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29520D7D-87A5-4A7E-B207-7652EA694BA3}"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<sst xmlns="http://schemas.openxmlformats.org/spreadsheetml/2006/main" count="1605" uniqueCount="292">
  <si>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</si>
  <si>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</si>
  <si>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</si>
  <si>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</si>
  <si>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</si>
  <si>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</si>
  <si>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</si>
  <si>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</si>
  <si>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</si>
  <si>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</si>
  <si>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</si>
  <si>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</si>
  <si>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</si>
  <si>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</si>
  <si>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</si>
  <si>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</si>
  <si>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</si>
  <si>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</si>
  <si>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</si>
  <si>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</si>
  <si>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</si>
  <si>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</si>
  <si>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</si>
  <si>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</si>
  <si>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</si>
  <si>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</si>
  <si>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</si>
  <si>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</si>
  <si>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</si>
  <si>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</si>
  <si>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Juan Carlos Santamaria</t>
  </si>
  <si>
    <t>NQ 90.1 FM</t>
  </si>
  <si>
    <t>Jesús Riveros</t>
  </si>
  <si>
    <t>Enlace Hidalgo1</t>
  </si>
  <si>
    <t>Congreso</t>
  </si>
  <si>
    <t>DIFH</t>
  </si>
  <si>
    <t>Ke Buena 106.7 FM</t>
  </si>
  <si>
    <t>Noticias 106.7</t>
  </si>
  <si>
    <t>David Cárdenas</t>
  </si>
  <si>
    <t>OCSAD</t>
  </si>
  <si>
    <t>Alerta Meteorológica</t>
  </si>
  <si>
    <t>Turismo</t>
  </si>
  <si>
    <t>La Poderosa Tuxpan 93.1 FM</t>
  </si>
  <si>
    <t>NN Nuestras Noticias Zona Norte</t>
  </si>
  <si>
    <t>Liz Argüelles</t>
  </si>
  <si>
    <t>Atención Afectaciones Por Lluvias</t>
  </si>
  <si>
    <t>Radio Lobo 96.7 FM</t>
  </si>
  <si>
    <t>Gina Lorenzo</t>
  </si>
  <si>
    <t>Enlace Noticias</t>
  </si>
  <si>
    <t>Rodolfo López</t>
  </si>
  <si>
    <t>Enfoque Regional Matutino</t>
  </si>
  <si>
    <t>Monitoreo De Presas</t>
  </si>
  <si>
    <t>Gobierno del estado</t>
  </si>
  <si>
    <t>Presidencia de la República</t>
  </si>
  <si>
    <t>Alcaldías</t>
  </si>
  <si>
    <t>Prevención De Riesgos</t>
  </si>
  <si>
    <t>Saderh</t>
  </si>
  <si>
    <t>Apoyo Al Agro</t>
  </si>
  <si>
    <t>SEPH</t>
  </si>
  <si>
    <t>TV local</t>
  </si>
  <si>
    <t>Ultra 102.9 FM</t>
  </si>
  <si>
    <t>Ultra Noticias1</t>
  </si>
  <si>
    <t>Izza Hernández</t>
  </si>
  <si>
    <t>PGJEH</t>
  </si>
  <si>
    <t>Vía telefónica el reporte de Bombero y Protección Civil con Abner Yáñez informa de las diversas emergencias reportadas por la ciudadanía y que fueron atendidas.</t>
  </si>
  <si>
    <t>Canal del Pueblo</t>
  </si>
  <si>
    <t>Vocales Radio</t>
  </si>
  <si>
    <t>Andrés Torres</t>
  </si>
  <si>
    <t>Radiodifusoras</t>
  </si>
  <si>
    <t>Auxilio a la ciudadanía</t>
  </si>
  <si>
    <t>Entrevista</t>
  </si>
  <si>
    <t>Radioescucha</t>
  </si>
  <si>
    <t>Semot</t>
  </si>
  <si>
    <t>Iniciativa</t>
  </si>
  <si>
    <t>Capacitación</t>
  </si>
  <si>
    <t>Combate a la delincuencia</t>
  </si>
  <si>
    <t>Semarnath</t>
  </si>
  <si>
    <t>Control lirio acuático</t>
  </si>
  <si>
    <t>Relleno Sanitario</t>
  </si>
  <si>
    <t>Hacienda</t>
  </si>
  <si>
    <t>Extinción de dominio</t>
  </si>
  <si>
    <t>Positiva</t>
  </si>
  <si>
    <t>Indicación geográfica</t>
  </si>
  <si>
    <t>Firma De Convenio</t>
  </si>
  <si>
    <t>Prevención del delito</t>
  </si>
  <si>
    <t>Ruta de la Transformación</t>
  </si>
  <si>
    <t>Con el objetivo de ampliar el acceso a la educación superior en la región, la Universidad para el Bienestar Benito Juárez García (UBBJ) mantiene abierta la convocatoria para ingresar a la Licenciatura en Medicina Integral y Salud Comunitaria en su nueva sede de San Andrés Daboxtha, municipio de Cardonal, Hidalgo, donde se espera la incorporación de al menos 80 estudiantes. El programa educativo invita a quienes cuenten con bachillerato concluido a formar parte de este nuevo proyecto, el cual ofrecerá educación gratuita y de calidad como parte de una iniciativa orientada a impulsar el desarrollo y la transformación social de la región. El periodo de registro permanece abierto desde el pasado 10 de junio y concluirá el próximo 30 de junio, a través de la liga https://ubbj.gob.mx/convocatoria?type_call=AES. La recepción de documentos se llevará a cabo de manera presencial del 6 al 10 de julio. Para ello, las y los aspirantes deberán presentar acta de nacimiento, CURP, certificado de bachillerato, INE o credencial de estudiante, así como una carta de intención en formato libre. Asimismo, la UBBJ exhortó a la población a compartir esta información para que el programa educativo llegue a un mayor número de personas interesadas en continuar sus estudios profesionales.</t>
  </si>
  <si>
    <t>Universidad del Bienestar</t>
  </si>
  <si>
    <t>Rescate de cuerpo</t>
  </si>
  <si>
    <t>Entrevista pautada</t>
  </si>
  <si>
    <t>Ciudad Deportiva</t>
  </si>
  <si>
    <t>Oficialía Mayor</t>
  </si>
  <si>
    <t>Gusano barrenador</t>
  </si>
  <si>
    <t>Acir 92.5 FM</t>
  </si>
  <si>
    <t>Panorama Informativo Pachuca</t>
  </si>
  <si>
    <t>Radioescucha Sr. Juan reporta que los semáforos de Prismas y Nuevo Hidalgo con dirección a Tulipanes, ya que no funcionan bien</t>
  </si>
  <si>
    <t>Fuga De Agua</t>
  </si>
  <si>
    <t>Proyecto de urbanización</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</si>
  <si>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</si>
  <si>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</si>
  <si>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</si>
  <si>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</si>
  <si>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</si>
  <si>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</si>
  <si>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</si>
  <si>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</si>
  <si>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De acuerdo con el pronóstico del clima del sistema estatal de protección civil de Hidalgo, se esperan lluvias de 25 a 50 mm en regiones del norte y oeste de Hidalgo, además de altas temperaturas en la zona norte y rachas de viento de hasta 40 km por hora. Hay que evitar cruzar corrientes de agua, mantenerse hidratados, realizar actividades al aire libre durante las primeras horas del día y asegurar objetos que puedan desprenderse.</t>
  </si>
  <si>
    <t>Productores de distintas regiones de Hidalgo recibieron apoyos agrícolas y acuícolas por más de 3.2 millones de pesos como parte del programa para dignificar y transformar el campo hidaliense. La entrega se realizó en Tula de Allende y benefició a 664 productoras y productores El secretario de Agricultura y Desarrollo Rural Napoleón González Pérez informó que se distribuyeron análisis de suelo, semillas de avena maíz, jitomate y cebada, además de mochilas fumigadoras desbrozadoras, plantas frutales y 800.000 crías de carpa y tilapia para fortalecer la actividad pesquera Los apoyos llegaron a municipios como Tula Tepeji del Río, Titalaquia, Tepetitlán, Mixquiahuala Tlaxcoapan, Tetepango y Tlagolilpan Autoridades estatales señalaron que estas acciones buscan incrementar la productividad, mejorar la rentabilidad del campo y generar mayores oportunidades para las familias hidalguenses Por eso el gobernador Jorge para poder lograr la transformación que se requiere.</t>
  </si>
  <si>
    <t>Como resultado de una operación coordinada entre autoridades federales y estatales,fue asegurado en el municipio de Tulancingo, un hombre de 31 años identificado como líder de una organización delictiva, con operaciones en la Ciudad de México y objetivo prioritario para las autoridades de esta entidad federativa.La acción fue posible gracias al trabajo conjunto de la Secretaría de Seguridad y Protección Ciudadana, el Centro Nacional de Inteligencia, la Secretaría de Seguridad Ciudadana de Ciudad de México, la Fiscalía General de Justicia de la Ciudad de México y la Secretaría de Seguridad Pública de Hidalgo. La detención se llevó a cabo en un balneario ubicado sobre la carretera Tulancingo-Metepec.Durante la intervención, al individuo le fueron aseguradas diversas dosis de presunta droga. De acuerdo con las investigaciones, el sujeto cuenta con antecedentes relacionados con los delitos de homicidio y feminicidio, además de ser señalado por su probable participación en actividades de robo a transportistas y distribución de narcóticos.</t>
  </si>
  <si>
    <t>Aprehensión</t>
  </si>
  <si>
    <t>En Actopan, elementos de la Dirección de Seguridad Pública y Tránsito Municipal, frustraron este domingo el robo de una camioneta tras detectar una actitud sospechosa durante un recorrido de vigilancia preventiva.Los hechos ocurrieron alrededor de la una de la tarde cuando policías observaron a un hombre a bordo de una pick-up verde que mostró nerviosismo al notar la presencia de la patrulla. El sujeto descendió del vehículo y oyó a pie dejando la unidad encendida. Los oficiales iniciaron una persecución pero el presunto robo responsable logró escapar con dirección al Mercado 8 de Julio.Minutos más tarde arribó el propietario de la camioneta vecino del área trenal quien acreditó la propiedad y recuperó su unidad.</t>
  </si>
  <si>
    <t>Asalto frustrado</t>
  </si>
  <si>
    <t>Eulalio Larrieta agradece a Lic. Sarahi Pineda, por estar atentas a los mensajes de la ciudadanía y por atenderlos.</t>
  </si>
  <si>
    <t>Radiescucha Ricardo manda audio y agradece al ayuntamiento de Pachuca, por darle atención a su reporte y por el apoyo a pavimentar las calles en Bosques del Peñar</t>
  </si>
  <si>
    <t>Radioescucha agradece a los bomberos por el apoyo que dieron el fin de semana en la colonia Doctores, ya que alguien vertió gas al drenaje; tenían un olor insoportable. Pudieron hacer lo prudente y dieron asesoría a todos los vecinos.</t>
  </si>
  <si>
    <t>En representación del Secretario de Educación Pública de Hidalgo, Natividad Castrejón, Director General del IHE, la Subsecretaria y Coordinadora General de Educación Básica, Nancy Adriana León Vite, señaló que este tipo de ejercicios forman parte de las acciones encaminadas a consolidar procesos educativos con enfoque humanista y de atención integral para la comunidad estudiantil</t>
  </si>
  <si>
    <t>En la misma conferencia el oficial mayor del gobierno de Hidalgo, Orlando Ángeles Pérez, detalló la ampliación de los recursos destinados a la rehabilitación de la ciudad deportiva de alto rendimiento. Durante su intervención destacó la distribución de esta inversión histórica en los distintos espacios que conforman el complejo ubicado en Pachuca, a un costado del aeropuerto Juan Guillermo Villasan, AUDIO APOYO</t>
  </si>
  <si>
    <t>En este evento participo Oscar Pérez, director general del Instituto Hidalguense del Deporte, quien aseguró que este nuevo complejo permitirá fortalecer el desarrollo deportivo en la entidad y generar mejores condiciones para la formación de atletas de alto nivel.”Agradecer al señor gobernador Julio Menchaca Salazar por creer en el deporte, por esta iniciativa que ha plasmado y hoy esos sueños se han hecho realidad para todos los atletas, para toda la gente, para toda la sociedad hidalguense “, AUDIO APOYO</t>
  </si>
  <si>
    <t>Durante el acto inaugural el gobernador Julio Menchaca Salazar destacó que el fortalecimiento del deporte y la cultura forma parte de las estrategias de desarrollo de la entidad. El nuevo complejo deportivo cuenta con instalaciones para la práctica de 29 disciplinas, AUDIO APOYO</t>
  </si>
  <si>
    <t>Con una inversion superior a los 522 millones de pesos, el gobierno de Hidalgo, puso en marcha la Ciudad Deportiva de Alto Rendimiento y la Villa Deportiva un complejo diseñado para ampliar la capacidad de atención para atletas y fomentar la practica deportiva en distintas disciplinas, AUDIO APOYO DE LOS CÍRCULOS DE DIÁLOGO QUE SE PRESENTÓ EN LA MAÑANA DE HOY, EN ESTA CONFERENCIA DE PRENSA QUE LLEVA A CABO EL GOBIERNO DE HIDALGO</t>
  </si>
  <si>
    <t>Ojalá que sea bien aprovechada estas instalaciones, sobre todo por los ciudadanos de la zona metropolitana de Pachuca y algunos atletas que seguramente viajarán de regiones como el Valle del Mezquital, ya para tener instalaciones dignas y poder competir en niveles más competitivos, semiprofesionales o profesionales. Seguramente estas instalaciones servirán para incrementar el nivel y la competitividad de los deportistas hidalienses</t>
  </si>
  <si>
    <t>Hay una inversión que está realizando el gobernador Julio Menchaca Salazar, una inversión superior a los 529 millones de pesos para la Ciudad Deportiva de Alto Rendimiento y la Villa Deportiva de Hidalgo, complejos que buscan fortalecer el deporte como herramienta de bienestar y desarrollo social. El mandatario hidaliense destacó que el crecimiento de la entidad también se sustenta en la cultura y el deporte mediante espacios modernos, incluyentes y accesibles. La potencia de nuestra entidad no solamente es el desarrollo económico, es la obra pública, sino la cultura y el deporte.Esta nueva infraestructura que ya inauguró el gobernador cuenta con instalaciones para 29 disciplinas, alberca semiolímpica, gimnasio, área para deporte adaptado, ciclopistas, servicios médicos y alojamiento para atletas visitantes. De recreación y de poder estar en armonía con la familia, porque las 29 disciplinas que aquí se pueden practicar tienen ese don, mientras algunos de la familia están jugando fútbol, otros pádel, otros tenis, otros básquetbol, softball, en fin, todas las instalaciones para el disfrute de las y los hidalienses. Durante la jornada, Menchaca Salazar premió a los ganadores de la carrera Activa tu potencial 10K y al equipo femenil de Atitalaquia, campeón del torneo internacional Mujeres Libres</t>
  </si>
  <si>
    <t>Secretaría de Seguridad Pública de Hidalgo informó la detención de cuatro personas entre ellas un menor de edad presuntamente vinculadas con actividades ilícitas en Tezontepec de Aldama tras una denuncia recibida al 089.El operativo se realizó en la colonia Los Tepetates donde policías estatales y del mando coordinado interceptaron una camioneta cuyos ocupantes intentaron huir al notar la presencia de las autoridades. Durante la revisión preventiva los agentes aseguraron un arma de fuego corta abastecida 373 dosis de presunta marihuana y cristal además de tres teléfonos celulares y en el vehículo en el que viajaban también fue asegurado. Los detenidos y los objetos decomisados fueron puestos a disposición de la autoridad competente quien va a definir su situación jurídica conforme a la ley.</t>
  </si>
  <si>
    <t>En un encuentro con los representantes de medios de comunicación,el gobernador de Hidalgo, Julio Menchaca Salazar, se le cuestionó sobre los trabajos en la presa Endo. “. Recientemente el arquitecto mencionaba que las máquinas que están haciendo la limpieza en la presa Endo pararon por falta de combustible, no sé si tengan alguna información al respecto, que es lo que está pasando, incluso porque recuerda que también el funcionario de Penex había mencionado que se iban a reactivar los combustibles”</t>
  </si>
  <si>
    <t>En Tula un joven fue asesinado a balazos la noche del sábado durante la feria de la colonia Tultengo. De acuerdo con reportes la víctima fue identificada como David originario de la misma colonia. Testigos señalaron que un sujeto le disparó en dos ocasiones en la cabeza y posteriormente huyó entre la multitud.</t>
  </si>
  <si>
    <t>Ejecuciones</t>
  </si>
  <si>
    <t>Una intensa movilización de cuerpos de seguridad que se registró ayer por la tarde sobre la autopista México-Pachuca por una persecución que derivó en un intercambio de disparos autoridades estatales y de distintas instituciones municipales realizaron un operativo para localizar pues a presuntos implicados en actividades ilícitas hasta el momento las autoridades no han informado sobre personas detenidas ni los resultados oficiales del dispositivo de seguridad, AUDIO APOYO</t>
  </si>
  <si>
    <t>Enfrentamiento con policías</t>
  </si>
  <si>
    <t>Una intensa movilización de cuerpos de seguridad que se registró ayer por la tarde sobre la autopista México-Pachuca por una persecución que derivó en un intercambio de disparos autoridades estatales y de distintas instituciones municipales realizaron un operativo para localizar pues a presuntos implicados en actividades ilícitas hasta el momento las autoridades no han informado sobre personas detenidas ni los resultados oficiales del dispositivo de seguridad</t>
  </si>
  <si>
    <t>Radioescucha Pedro Nieto reporta fuga de agua en calle Sor Juana Inés de la Cruz en Barrio San Clemente; lleva desde el día sábado.</t>
  </si>
  <si>
    <t>Le preguntamos al Secretario de Agricultura y Desarrollo Rural de Hidalgo Napoleón González Pérez, cómo se encuentra el tema del gusano barrenador aquí en Hidalgo. “ Hoy estamos alrededor de un 80% de los casos atendidos bien y el otro 20% se está atendiendo, entonces se está trabajando “AUDIO APOYO</t>
  </si>
  <si>
    <t>Con el propósito de preservar las tradiciones y promover la riqueza gastronómica de Hidalgo, concluyó en la misión el primer Festival del Chile Rayado 2026, evento que reunió a más de 70 expositores, entre productores, artesanos y agricultores.En representación del gobernador Julio Menchaca, la secretaria de Turismo, Elizabeth Quintanar, destacó que el Chile Rayado de la Sierra Gorda Hidalguense cuenta ya con la Indicación Geográfica Protegida, reconocimiento que permitirá fortalecer su promoción a nivel nacional e internacional. Nos encontramos en la misión y estamos muy felices porque el gobernador del estado compartió con todo mundo la denominación de origen del Chile Rayado. Este municipio, toda la región, sus comunidades y sus productores lo muestran al mundo de manera orgullosa.</t>
  </si>
  <si>
    <t>Premia SEPH a ganadores de la Olimpiada Hidalguense de Informática 2026</t>
  </si>
  <si>
    <t>Justa Académica</t>
  </si>
  <si>
    <t>La Secretaría de Educación Pública de Hidalgo reconoció a las y los ganadores de la Olimpíada Hidalguense de Informática 2026 en la que participaron más de 2.000 estudiantes de primaria, secundaria y bachillerato de todo el estado En esta segunda edición concursaron alumnos de 284 planteles educativos y fueron premiados 36 estudiantes con medallas y reconocimientos en distintas categorías Autoridades educativas destacaron que este certamen impulsa el reconocimiento de los alumnos, el esfuerzo su empeño para salir adelante y además sus cualidades en racionamiento lógico, la programación y el desarrollo de talento En áreas estratégicas para el futuro de Hidalgo como parte de las acciones para fortalecer la formación académica de niñas, niños y jóvenes</t>
  </si>
  <si>
    <t>Habitantes del municipio de Cuautepec de Hinojosa denunciaron presuntas malas prácticas en las oficinas de la Comisión Federal de Electricidad ubicadas en la zona centro de la demarcación a través de diversos videos difundidos en plataformas digitales los usuarios señalan que personal de la dependencia mantiene una actitud presuntamente déspota y grosera hacia quienes acuden a realizar trámites además de hacerlos esperar durante varias horas para ser atendidos</t>
  </si>
  <si>
    <t>Mal Desempeño</t>
  </si>
  <si>
    <t>Hoy muchas presas están al 100%, las menos están al 90%, y también merecen una atención especial de Protección Civil de Conagua. Entonces, hoy tiene mucho trabajo Protección Civil, pero sí están atentos a todas estas preocupaciones de la población.</t>
  </si>
  <si>
    <t>Comenta conductor Jesús Gonzalez que Hidalgo ya está pidiendo ser sede de la Olimpiada Nacional, en esta participan todos los estados, vienen jóvenes de distintas escuelas.</t>
  </si>
  <si>
    <t>Nacionales Conade</t>
  </si>
  <si>
    <t>El Instituto Tecnológico Superior de Huichapan abrió la convocatoria de ingreso a la nueva maestría en Desarrollo Regional e Innovación Tecnológica dirigida a profesionistas interesados en impulsar proyectos con impacto económico, social y tecnológico en sus comunidades Este posgrado contempla líneas de estudio en Desarrollo Regional Sostenible e Industria 4.0 con temas como Energías Renovables, Agricultura Sustentable Inteligencia Artificial, Emprendimiento y Soberanía Alimentaria La recepción de solicitudes permanecerá abierta hasta el 30 de julio, mientras que las clases de la primera generación iniciarán el 15 de agosto en modalidad de fin de semana, facilitando la participación de personas que ya se encuentran en el mercado laboral Informes y registros están disponibles a través de la Plataforma Institucional de la Secretaría de Educación Pública de Hidalgo y mediante el WhatsApp al 761-724-8147</t>
  </si>
  <si>
    <t>Oferta académica</t>
  </si>
  <si>
    <t>El Instituto Mexicano del Seguro Social (IMSS) en Hidalgo destaca la importancia de completar esquemas de vacunación en la población para fortalecer el sistema inmunológico, evitar enfermedades graves que originen secuelas permanentes o fallecimiento.</t>
  </si>
  <si>
    <t>Prevención De Enfermedades</t>
  </si>
  <si>
    <t>La Comisión Nacional del Agua (CONAGUA), a través de su Dirección Local Hidalgo, participó en la primera sesión ordinaria del Consejo Municipal de Protección Civil de Mineral de la Reforma, con la finalidad de contribuir a disminuir riesgos de inundación durante esta temporada de lluvias y ciclones.Como parte de las acciones de este Consejo, la CONAGUA establece estrecha coordinación con las autoridades de protección civil locales, además de ofrecer el apoyo necesario para la operación de una bomba de extracción en caso de que las fuertes lluvias así lo requieran.En la reunión participaron representantes de la 18/a. Zona Militar, de la Secretaría de la Defensa Nacional (SEDENA), Guardia Nacional, de Petróleos Mexicanos (Pemex), así como la Secretaría de Agricultura y Desarrollo Rural (SADER).</t>
  </si>
  <si>
    <t>Prevención de inundaciones</t>
  </si>
  <si>
    <t>En el tema de que la semana pasada se reportó un fuerte olor a combustible en el Valle del Mezquital, el mandatario estatal comentó lo siguiente. “No lo detectaron, de todos modos, Protección Civil está atenta”</t>
  </si>
  <si>
    <t>La presidenta del patronato del sistema Difidalgo David Ramos informó que el menor de 7 años detectado al interior de su casa sin ropa en el municipio de Mineral de la Reforma no presenta indicios de violencia, pero sí de desnutrición.</t>
  </si>
  <si>
    <t>Protección del menor</t>
  </si>
  <si>
    <t>Informaron que se llevará a cabo un foro al rescate del Cerro de Cubitos en la Fundación Arturo Herrera Cabañas el próximo domingo 28 de junio a las 10 a. m.</t>
  </si>
  <si>
    <t>Informan que ya comunicaron en redes este lunes se implementa un recorte operativo en la Ruta Troncal, la estación Parque del Maestro permanece temporalmente sin servicio.</t>
  </si>
  <si>
    <t>Recorte Operativo</t>
  </si>
  <si>
    <t>Eulalio Larrieta, que no están pasando camiones de Tuzobús, se están desviando en el Parque del Maestro y están subiendo en la calle Cuauhtémoc; si sabe el motivo, pedimos nos den información.</t>
  </si>
  <si>
    <t>Hoy a las 10 de la mañana autoridades estatales, municipales y habitantes de Tezontepec de Aldama y Tula de Allende sostendrán una reunión para revisar los estudios que sirvieron de base para autorizar el nuevo relleno sanitario regional</t>
  </si>
  <si>
    <t>Elementos de la policía turística de la Secretaría de Seguridad Pública de Hidalgo localizaron sanos y salvos a dos personas originarias de Guanajuato que se habían extraviado mientras realizaban senderismo en un bosque de Mineral del Chico. La atención oportuna de un reporte al 911 permitió activar el operativo de búsqueda y brindar apoyo a los visitantes.</t>
  </si>
  <si>
    <t>Rescate de persona</t>
  </si>
  <si>
    <t>Gobierno de Hidalgo impulsa la cultura, la infraestructura y el deporte como ejes de transformación</t>
  </si>
  <si>
    <t>Con acciones coordinadas, el Gobierno de Hidalgo y la federación impulsan saneamiento de la región de Tula</t>
  </si>
  <si>
    <t>Saneamiento río Tula</t>
  </si>
  <si>
    <t>El Gobierno Federal, en coordinación con el Gobierno de Hidalgo, destinará más de 900 millones de pesos para emprender acciones de modernización y saneamiento en la región de Tula en este año, mismas que contribuirán a atender los problemas ambientales que históricamente han afectado a esta zona del Estado. El titular de la Unidad de Planificación y Prospectiva de Hidalgo, Miguel Ángel Tello, destacó que se trata de una inversión histórica para mejorar las condiciones ambientales, sociales y de salud en la región, donde al menos seis municipios han enfrentado afectaciones relacionadas con la calidad del suelo, el aire y el agua. Recordó que estos recursos serán dirigidos a la recuperación de espacios públicos, acciones para mejorar la calidad del agua, protección contra inundaciones, restauración de zonas ecológicamente degradadas y conservación de áreas forestales</t>
  </si>
  <si>
    <t>Semaforización</t>
  </si>
  <si>
    <t>El Secretario de Agricultura y Desarrollo Rural de Hidalgo, Napoleón González: “ Siempre soy positivo , se lograron tecnificar 3 distritos de riego con una inversion histórica para el campo más de 11 mil millones de pesos de parte del gobierno federal, el Gobernador julio Menchaca sin estar obligado destino mas de 1000 millones de pesos, para que las actividades avancen” AUDIO APOYO</t>
  </si>
  <si>
    <t>Tecnificación De Riego</t>
  </si>
  <si>
    <t>Radiescucha pide que les ayuden a que el municipio apoye en poner topes en la colonia Rojo Gómez, ya que están algunas calles que van de bajada.</t>
  </si>
  <si>
    <t>Topes vehiculares</t>
  </si>
  <si>
    <t>Fue cuestionado también el gobernador por otros temas respecto a la comunidad de Santa María Xigui en el municipio de Alfajayucan, que en esa comunidad se impuso un toque de queda por parte de las autoridades delegacionales. A partir de las 11 de la noche usted ya no podía caminar por las calles de esa comunidad y si era sorprendido pues le iban a cobrar 20 mil pesos de multa. La medida fue implementada por la comunidad debido, dicen ellos, a la percepción de inseguridad. “Esos son abusos y costumbres, no son abusos y costumbres, ¿no? Aquí no nos vamos a tolerar. Aquí intervendrá sin duda el gobierno con la conciliación, pero no podemos dejar que se afecten los derechos de las personas, los derechos humanos de las personas, bajo ninguna condición. Imagínese, ustedes en esta comunidad estaban poniendo por encima de la Constitución los usos y costumbres”</t>
  </si>
  <si>
    <t>Usos y costumbres</t>
  </si>
  <si>
    <t>Radioescucha reporta que el día de ayer, un sujeto repartía en el tianguis de autos tarjetas ofreciendo por medio del brinco para pasar la verificación al 100 % , garantizado por la cantidad de $800.00 pesos , más la verificación y también si tiene, la persona me comentó : “Pagas tu brinco, te entrego tu cita, hoja de descuento y yo mismo te salgo a recibir al vereficentro “</t>
  </si>
  <si>
    <t>Verificación vehicular</t>
  </si>
  <si>
    <t>Radiescucha Ricardo manda audio y menciona que Caasim bache en Bosques del Peñar ya que cada que realiza un trabajo deja sus montones de tierra y hecha a perder el trabajo del ayuntamiento</t>
  </si>
  <si>
    <t>Zanjas Caasim</t>
  </si>
  <si>
    <t>Hoy no circula</t>
  </si>
  <si>
    <t>El Gobierno del Estado de Hidalgo no tiene considerada la implementación del programa “Hoy No Circula” para desahogar el tráfico vehicular que sobre todo se registra al sur de la Zona Metropolitana de Pachuca. El posicionamiento fue ofrecido por el Gobernador Julio Menchaca Salazar, quien consideró que lo más adecuado es establecer estrategias para mejorar la movilidad en general. Señaló que en el tiempo restante del actual periodo de gobierno estatal, se desarrollarán obras viales precisamente para desahogar el tráfico vehicular y con ello mejorar la vialidad, incluso a nivel regional. El titular del Poder Ejecutivo estatal señaló que actualmente se trabaja en la elaboración de los expedientes técnicos de los proyectos, los cuales serán anunciados antes de concluir su gobierno. Esto incluye varios factores, entre ellos la construcción y ampliación de carriles en distintas avenidas, así como la puesta en marcha del Tren México-Pachuca y la operación al 100 por ciento del Sistema de Transporte Metropolitano. La semana pasada incluso se anunció la ampliación de la carretera México-Pachuca, precisamente para agilizar la movilidad entre la capital del país y la del Estado de Hidalgo. De manera creciente se ha presentado tráfico vehicular, precisamente sobre todo al sur de la Zona Metropolitana de la capital del Estado de Hidalgo, lo que implica incluso largos periodos de tiempo para que se agilice la circulación vehicular. En momentos anteriores se ha propuesto la implementación del programa “Hoy no circula”, por ejemplo, por cuestiones ambientales, sobre todo para el cuidado del aire. Fue hace aproximadamente cinco años cuando se manejó la posibilidad de la implementación, luego de que durante varios días se registraran malos niveles de concentración de partículas contaminantes en el aire, precisamente en la Zona Metropolitana de Pachuca. La propuesta no prospero, pues ni siquiera se presentó un proyecto formal al respecto, sobre todo luego de que días después mejoraran las condiciones ambientales en el aire.</t>
  </si>
  <si>
    <t>El gobierno de Mineral de la Reforma, señaló que la consulta pública no implica la autorización de desarrollos habitacionales masivos en las inmediaciones del cerro de cubitos, el posicionamiento fue ofrecido por Juan Carlos Zarco Cruz, secretario de obas Públicas del municipio tras manifestaciones realizadas por ambientalistas, tras conocerse que dicha zona es considerada para su posible crecimiento controlado. El funcionario señaló que las decisiones sobre el ordenamiento ecológico no dependen solamente del municipio, sino de un órgano colegiado. Cabe mencionar que en días pasados, se dio a conocer la existencia de un permiso de construcción para un proyecto inmobiliario en la Unidad de Gestión Ambiental (UGA) 107, una zona aledaña al Parque Ecológico de Cubitos (PEC), el cual fue otorgado en la administración municipal pasada. Zarco Cruz justificó el proyecto inmobiliario bajo el argumento de que el crecimiento demográfico y la demanda de vivienda obligan a planificar el desarrollo territorial del municipio, aunque insistió en que ello no significa que se pretenda urbanizar toda la zona.</t>
  </si>
  <si>
    <t>Una persona perdió la vida y otra más resultó lesionada en un accidente vial registrado la noche de este jueves en Tizayuca, Hidalgo, donde una camioneta terminó impactada contra infraestructura de videovigilancia. De acuerdo con información de la Policía de Tizayuca, Hidalgo, el percance ocurrió sobre la avenida Juárez Sur, una de las principales vialidades de la demarcación, donde la unidad se proyectó contra un poste que sostiene cámaras del sistema de monitoreo urbano. lementos de emergencia acudieron al lugar y, con apoyo de equipo hidráulico, realizaron las maniobras necesarias para poder liberarlo; sin embargo, ya no contaba con signos vitales al momento de ser extraído.</t>
  </si>
  <si>
    <t>Un asalto se registró la noche del viernes 19 de junio en un Oxxo ubicado en la colonia El Damú, en el municipio de Tula de Allende, donde dos hombres armados sometieron al personal para apoderarse de dinero en efectivo y mercancía. De acuerdo con los primeros reportes, los presuntos delincuentes ingresaron al establecimiento portando armas de fuego y amenazaron a los trabajadores para tomar el control del negocio. Tras someter al personal, los asaltantes amarraron a los empleados y posteriormente los encerraron dentro de la bodega de la sucursal para evitar que solicitaran ayuda o alertaran a las autoridades. Durante el atraco, los delincuentes también despojaron a las víctimas de sus uniformes de trabajo. Según la información recabada, los responsables utilizaron los uniformes robados para hacerse pasar por empleados de la tienda y así abandonar el lugar sin levantar sospechas entre clientes o personas que se encontraban en las inmediaciones. Al negocio acudieron elementos policiacos, quienes de inmediato iniciaron un operativo para la búsqueda y localización de los delincuentes. Hasta el momento no se reporta ninguna detención.</t>
  </si>
  <si>
    <t>Robo a comercio</t>
  </si>
  <si>
    <t>Un hombre perdió la vida luego de ser atacado con arma de fuego en plena celebración de la feria de la comunidad de Tultengo, dentro del municipio de Tula de Allende. El ataque se registró la noche del sábado 20 de junio en calles de la localidad citada, a un costado de la cancha de futbol, donde se lleva a cabo la feria local. Testigos señalan que la víctima, de aproximadamente 34 años de edad, recibió dos impactos por arma de fuego en la cabeza por parte de sus atacantes, quienes lograron huir de inmediato tras el ataque, aún y con la gran cantidad de gente congregada en la zona. Al sitio acudieron elementos policiacos así como de Protección Civil; estos últimos confirmaron que el hombre ya no contaba con signos vitales, por lo que a continuación se procedió a resguardar la zona. Se implementó operativo para la búsqueda y eventual localización de los responsables del ataque; hasta el momento no se reporta detención de persona alguna relacionada con el ataque armado. Personal de la Procuraduría General de Justicia del Estado de Hidalgo inició las investigaciones correspondientes al caso, con el levantamiento de pruebas y testimoniales.</t>
  </si>
  <si>
    <t>Ataque Armado</t>
  </si>
  <si>
    <t>SSPH asegura a cuatro generadores de violencia en Tezontepec de Aldama</t>
  </si>
  <si>
    <t>Tres de los cuatro cuerpos de personas que cayeron a aguas de la presa “Fernando Hiriart Balderrama”, en el municipio de Zimapán, fueron localizados sin vida y rescatados, el pasado sábado 20 de junio, dos días después de reportarse la volcadura de la lancha donde se encontraban. Durante la tarde del domingo 21, el cuerpo restante fue rescatado de las aguas de la misma presa, con lo cual se dieron por concluidas las labores de rescate iniciadas por corporaciones de seguridad pública y Protección Civil. El accidente se registró a finales de la semana pasada en el cuerpo de agua citado, que se encuentra en los límites territoriales entre los estados de Hidalgo y Querétaro. La lancha era usada como utilizada como taxi acuático; el día del accidente salió desde el lado correspondiente al Estado de Hidalgo con nueve personas a bordo, pese a que tenía capacidad máxima para seis pasajeros. Cinco personas lograron salir a flote y pedir ayuda; sin embargo, cuatro de sus acompañantes desaparecieron. Las tareas de búsqueda y rescate de los cuerpos se realizaron con el apoyo de habitantes y cooperativistas de la zona de Tzibanzá, quienes conocen las condiciones del cuerpo de agua y colaboran en el rastreo. Las víctimas eran originarias de la comunidad de Loma Bonita, ubicada en Cadereyta de Montes, dentro del Estado de Querétaro.</t>
  </si>
  <si>
    <t>La presidenta del Patronato del Sistema DIF Hidalgo, Edda Vite Ramos, informó que el menor de siete años detectado al interior de su casa en el municipio de Mineral de la Reforma no presenta indicios de maltrato, pero sí de desnutrición. La titular del DIF estatal explicó que se trata de un menor con diagnóstico de parálisis cerebral y autismo, que vive en complicadas condiciones económicas, no obstante, tras la valoración por parte de la Procuraduría de Protección de Niñas, Niños, Adolescentes y la Familia se determinó que el menor no era víctima de violencia familiar o vulnerabilidad. En tanto, por el momento, descartó que sea necesario que el caso sea canalizado a asistencia social, ya que el DIF Municipal, dio seguimiento y proporcionaron alimentos además de apoyo social para la madre y mejorar las condiciones del menor. “El municipio ya asumió su responsabilidad y está muy al pendiente de este caso porque no son niños maltratados, son niños que la mamá sale a trabajar y los tiene que dejar pero vamos a ayudar que tengan los medios para que los pueda alimentar más adecuadamente”. Vite Ramos señaló que el niño es paciente del Hospital del Niño DIF Hidalgo, donde recibe atención médica conforme al “Código Guinda”, en el que los pacientes sin derechohabiencia acceden gratuitamente a consultas y tratamientos especializados.</t>
  </si>
  <si>
    <t>Mediante coordinación federal y estatal, capturan en Hidalgo a objetivo prioritario de CDMX</t>
  </si>
  <si>
    <t>Fortalecen vocaciones y cultura de la prevención con visita de estudiantes de Tulancingo al C5i. Como parte de las acciones para fortalecer la cultura de la prevención y acercar a las juventudes a las instituciones de seguridad, estudiantes de nivel medio superior y superior de Tulancingo realizaron una visita guiada a las instalaciones del Centro de Control, Comando, Comunicaciones, Cómputo, Coordinación e Inteligencia (C5i) del Estado de Hidalgo. Durante el recorrido, las y los jóvenes conocieron el funcionamiento del sistema de videovigilancia, los procedimientos para realizar denuncias anónimas al 089, el uso adecuado de la línea de emergencias 9-1-1, así como recomendaciones en materia de ciberseguridad y los protocolos de atención ante situaciones de riesgo, fortaleciendo la confianza y cercanía entre la ciudadanía y las instituciones encargadas de la seguridad pública. La invitación se extendió a diversas instituciones educativas del municipio, participando estudiantes de la Preparatoria Tollancingo, la Universidad Vizcaya y la Barra Hidalguense de Estudios Universitarios, estas últimas con grupos de la licenciatura en Criminalística. La visita fue posible gracias a las gestiones de la Instancia Municipal de la Juventud, en coordinación con la Secretaría de Seguridad Pública del Estado de Hidalgo, con el objetivo de fomentar entre las nuevas generaciones una mayor participación en la construcción de entornos más seguros y ampliar su perspectiva vocacional y profesional. Con estas acciones, se reafirma el compromiso con la formación, participación y desarrollo integral de las juventudes, reconociéndolas como agentes clave para la construcción de una sociedad más segura.</t>
  </si>
  <si>
    <t>Carlos César Pérez Escamilla, alcalde de San Felipe Orizatlán, señaló presuntas irregularidades financieras durante la anterior administración que encabezó Erika Saab Lara; entre ellas, el cobro del impuesto predial sin que los recursos ingresaran a las cuentas municipales, hechos que forman parte de una denuncia ante la Procuraduría General de Justicia de Hidalgo (PGJEH). El modus operandi, de acuerdo con el alcalde, consistía en la emisión de recibos falsos a los contribuyentes, dinero que no se reportaba a la plataforma fiscal. Lo anterior, propició deudas para los ciudadanos aún cuando ya habían pagado. Pérez Escamilla declaró que suman aproximadamente 60 personas afectadas, quienes reportaron la anomalía porque al intentar pagar su predial anual, les notificaron de los adeudos. La mayoría de estos casos ocurrió durante el ejercicio fiscal 2025. Ante esta situación, se implementó un programa de apoyo mediante el cual se les condonó un porcentaje del adeudo y se les reconoció el recurso previamente otorgado para permitir su regularización. Por estos hechos y otras presuntas irregularidades, el ayuntamiento inició formalmente carpetas de investigación y presentó las denuncias ante la PGJEH entre abril y mayo del año pasado. Entre las otras anomalías detectadas en el proceso de entrega-recepción, el alcalde mencionó la existencia de obras públicas que fueron pagadas, pero no estaban construidas o de infraestructura que no cumplió con las especificaciones.</t>
  </si>
  <si>
    <t>Denuncia Exalcalde</t>
  </si>
  <si>
    <t>El Instituto Hidalguense para Devolver al Pueblo lo Robado (Indeph) abarató la subasta de tres casas localizadas en Tepeapulco, Tepetitlán y Tizayuca, cuyos costos actualmente oscilan de los 700 mil al millón y medio de pesos. Sin embargo, en dos convocatorias previas emitidas en septiembre y noviembre de 2025, el organismo descentralizado las ofertó 13% más caras. Ambos procedimientos los declaró desiertos porque “no se registró ni se recibió propuesta alguna para participar” en el concurso. A siete meses de la última convocatoria, el Instituto lanzó una nueva que estará vigente hasta el 26 de junio. En esta ocasión pidió en 716 mil 352 pesos un predio rústico con una casa habitación de un nivel construida en 400 metros cuadrados en Tepetitlán, inmueble que el año pasado pretendía vender en 823 mil 805 pesos. Una propiedad de dos niveles en una unidad habitacional de Tizayuca edificada en una superficie de 112.5 metros cuadrados pasó de un millón 742 mil 540 pesos a un millón 515 mil 252 pesos. La vivienda restante es de dos pisos y se sitúa en Plaza Vieja, Tepeapulco; la cimentaron en un terreno de 98.43 metros cuadrados y por ella el Indeph pretende un millón 215 mil 546 pesos, aunque antes la ofreció en un millón 401 mil 328 pesos. Las cantidades que determinó el organismo descentralizado son precio base y pueden variar según lo que oferten los participantes de la subasta.</t>
  </si>
  <si>
    <t>Con atracciones para toda la familia y gustos, así como artistas de diversos géneros musicales tanto en el Teatro del Pueblo como en el palenque, la edición 2026 de la Expo Feria Tulancingo se realizará del 31 de julio al 16 de agosto. Los detalles y elenco fueron presentados en rueda de prensa encabezada por la alcaldesa Lorena García Cázares y los empresarios Fernando y Enrique Hernández Canales, representante de Herca Producciones, quienes tienen la concesión respectiva por tres años, contados a partir del 2025. El cartel del Teatro del Pueblo inicia actividades el 31 julio con la presentación de la banda La Adictiva; el 1 agosto, será la presentación de Espinoza Paz, mientras que el día 2 será la presentación de Cardenales de Nuevo León y el 3 habrá función de lucha libre. El 4 de agosto será la presentación del trío Aurora hidalguense; el día 5, la presentación de El Bogueto; el día 6, Los Askis, mientras que el 7 se presentarán Los Tigres del Norte y el día 8, Matute. Mientras que el 9 de agosto tocará la actuación del grupo Liberación; el día 1, se presentarán Las Guerreras K-Pop, el día 11, Rayito Colombiano; el 12, La Arrolladora Banda El Limón; el día 13, DLD. La cartelera del Teatro del Pueblo cierra con las actuaciones de Edwin Luna y La Trakalosa, el día 14 de agosto, el 15 se presentará Kenia Os y el cierre de feria, el 16 de agosto, será con la presentación de Invasores de Nuevo León. En el caso del palenque, el 31 de julio tendrá la actuación de Herencia de Grandes, el 1 de agosto se presentará Pancho Barraza y el día 6, Gloria Trevi.</t>
  </si>
  <si>
    <t>Expo feria</t>
  </si>
  <si>
    <t>Firman convenio para establecer campus virtual de la UNIDEH en El Arenal</t>
  </si>
  <si>
    <t>La Suprema Corte de Justicia de la Nación determinó invalidar diversos cobros contemplados en las Leyes de Ingresos de municipios del estado de Hidalgo para el ejercicio fiscal 2026, por considerarlos excesivos y desproporcionados. La resolución se emitió dentro de la acción de inconstitucionalidad 29/2026, promovida por la Comisión Nacional de los Derechos Humanos. Entre los municipios cuyas leyes fueron revisadas se encuentran Acatlán, Actopan, Apan, Acaxochitlán, Agua Blanca de Iturbide, Ajacuba, Alfajayucan y Almoloya, entre otros, los cuales deberán ajustar sus esquemas de cobro conforme a lo resuelto por el máximo tribunal. Entre los conceptos invalidados se encuentran la expedición de copias certificadas, constancias, digitalización de documentos y el cobro por el servicio de alumbrado público. Los Ministros coincidieron en que dichos cobros vulneraban los artículos 14, 16 y 31 de la Constitución, al no respetar los principios de proporcionalidad y equidad tributaria. Además, los mismos Ministros señalaron que generaban incertidumbre jurídica por la falta de claridad en la forma de cobro, pues no se precisaba si este se realizaba por foja, documento o expediente completo. Por lo que la invalidez de los artículos impugnados surtirá efectos una vez que la resolución sea notificada al Congreso estatal, lo que obligará a los municipios a dejar de aplicar los cobros señalados. Se exhortó al Poder Legislativo a establecer futuras cuotas con base en métodos objetivos, razonables y debidamente justificados, evitando esquemas “arbitrarios o desproporcionados”. Además, sentenció que el Congreso estatal deberá revisar a fondo sus criterios de recaudación en las leyes de ingresos municipales, asegurando que los cobros estén estrictamente vinculados al costo real del servicio y no constituyan cargas fiscales encubiertas o inequitativas.</t>
  </si>
  <si>
    <t>Inconstitucionalidad</t>
  </si>
  <si>
    <t>Menchaca entrega Ciudad Deportiva</t>
  </si>
  <si>
    <t>Colectivos LGBTTTIQA + exigieron la investigación pronta y real de crímenes de odio por orientación sexual y transfeminicidios, así como la garantía para transitar y realizar sus actividades cotidianas en forma segura. Lo anterior en el posicionamiento ofrecido tras realizar la tercera marcha LGBTTTIQA +, realizada en calles del centro de de la ciudad de Tulancingo, finalizando en el Centro Cultural “Ricardo Garibay”, donde también se realizó una Mercadita Diversa. Se señaló el hartazgo de la falta de justicia en la comisión de crímenes de odio que se han registrado en el Estado de Hidalgo, así como en las situaciones de violencia de todo tipo hacia personas, por su orientación sexual. Los colectivos se solidarizaron con las madres buscadoras de personas desaparecidas, en particular donde existen casos relacionados con la comunidad LGBTTTIQA+. El Colectivo Teresa de Cepeda y Ahumada, participante en la marcha, también ofreció posicionamiento; en este caso, se hizo llamado a no discriminar en forma alguna a personas, por sus actividades, preferencias o actividades personales. Este colectivo es una comunidad espiritual, académica y de activismo con sede en la Ciudad de México, así como en el municipio de Pachuca, Hidalgo. Fundado en 2014, se enfoca en el acompañamiento espiritual y la defensa de los derechos de las personas LGBTTTIQA+, queer y feministas, buscando resignificar la fe católica desde una perspectiva crítica, sin los sistemas patriarcales habituales. Durante la marcha, el contingente en el que participaron entre 170 a 200 personas, brindaron un minuto de silencio en homenaje a las personas de la comunidad LGBTTTIQA+ que han sido asesinadas o desaparecidas.</t>
  </si>
  <si>
    <t>Marcha LGBTTTIQ+</t>
  </si>
  <si>
    <t>El Sistema Estatal de Protección Civil dio a conocer el cambio a “Semáforo Amarillo” para tres regiones de la entidad, debido a “las condiciones” que se registran en varios municipios de la entidad por las lluvias recientes. El organismo detalló que, derivado de las condiciones a la altura del puente de Tunitlán, en Mixquiahuala de Juárez; en el río Calabozo, en Huautla, San Bartolo Tutotepec y Huehuetla, así como en la comunidad Chapula, Tianguistengo, dicha medida fue implementada para el Valle del Mezquital, la Sierra Alta, la Sierra Otomí-Tepehua y la Huasteca. Esto, a fin de que la población extreme precauciones. En ese sentido, el Sistema Estatal de Protección Civil exhortó a la población a mantenerse atenta a la información oficial, tener a la mano documentos importantes y artículos de primera necesidad, así como identificar rutas de evacuación, puntos de reunión y refugios temporales. Además, recomendó evitar acercarse o cruzar ríos, arroyos y zonas con corrientes de agua; atender en todo momento las indicaciones de las autoridades, y prepararse de manera preventiva ante una posible evacuación si las condiciones así lo requieren. Asimismo, las autoridades indicaron que personal de Protección Civil estatal y municipal mantiene monitoreo permanente de la situación.</t>
  </si>
  <si>
    <t>Los torrenciales lluvias registradas durante toda la semana pasada siguen provocando anegamientos y con ello afectaciones a carreteras, vialidades, así como a viviendas y negocios dentro de la región Tulancingo. Corredor Vial San José, una de las principales vialidades de acceso y salida del Valle, registró grandes cantidades de acumulación de aguas, que por momentos se han estancado debido a la existencia de construcciones y objetos que complican el flujo. Calles de las colonias Insurgentes y Vicente Guerrero registraron anegamientos prácticamente a diario, afectando tanto a las construcciones en dicha zona de la ciudad de Tulancingo, como la movilidad de quienes buscaban circular por la zona. A finales de la semana pasada, una gran cantidad de agua producto de la torrencial lluvia, se concentró sobre la carretera Tulancingo-Cuautepec, entre las colonias El Paraíso y La Esperanza, correspondiendo respectivamente a las demarcaciones citadas. En esa misma ocasión, la intensa lluvia dejó inutilizadas las labores de mejoramiento físico de la carretera Tulancingo-Santiago Tulantepec que se habían realizado apenas un par de días antes entre las colonias La Florida y Medias Tierras. Incluso la carretera federal México-Tuxpan, a la altura del municipio de Singuilucan, el agua proveniente de lluvia ha rebasado el nivel de la vialidad, provocando problemas para circular por la zona. En la entrada a Habitacionales, dentro del municipio de Santiago Tulantepec, en tres ocasiones en los diez días más recientes han registrado gran acumulación de agua en los accesos viales a la zona. Aunque no se ha registrado pérdidas totales de edificios, casas habitación o vehículos, sí existen daños importantes a dichos bienes a causa de las lluvias.</t>
  </si>
  <si>
    <t>Las torrenciales lluvias registradas en Tenango de Doria y San Bartolo Tutotepec durante la noche del viernes 19 de junio provocaron que nuevamente el río Pantepec, ubicado en Huehuetla, aumentara su cauce, dañando en forma total el puente que comunica a la zona norte de este último municipio citado. Fueron los escurrimientos provenientes de las dos primeras demarcaciones citadas las que provocaron la crecida del río, que a su vez dañó la vialidad que apenas dos días antes había sido reabierto. Por lo que la población de la zona norte de Huehuetla nuevamente quedó incomunicada, pues el puente afectado es prácticamente la única vialidad para comunicarse tanto con la cabecera municipal, como con el resto de los municipios de la Sierra Otomí Tepehua, así como del Valle de Tulancingo. En lo que va del presente año, es la tercera ocasión que dicho puente resulta afectado al punto de ser cerrada la vialidad. Apenas a mediados de la semana pasada había sido reabierto, tras una intervención física provisional para permitir la movilidad de la población de localidades como Zicatlán, San Antonio, Acuautla, San Gregorio y La Esperanza. El gobierno municipal de Huehuetla emitió un comunicado señalando que el paso por el puente será restablecido en cuanto existan las condiciones de seguridad para quienes deban utilizarlo. También durante la semana pasada se registró la visita de representantes de una empresa constructora que estará a cargo de la construcción de un puente colgante peatonal en dicha zona. Se trató de un recorrido para realizar trabajos de reconocimiento en la zona, como parte de los preparativos previos al inicio de la obra de conectividad vial que estará a cargo del Gobierno del Estado de Hidalgo. Sin embargo, los vecinos de la zona han solicitado que se ejecute obra de construcción para un puente en condiciones seguras para la circulación de vehículos automotores, señalando que también es necesario garantizar la movilidad dentro de la zona en todas sus modalidades. Hasta el momento no existe respuesta por parte de instituciones gubernamentales sobre esta última petición realizada por los vecinos afectados en la zona norte de Huehuetla.</t>
  </si>
  <si>
    <t>Colapso de puente</t>
  </si>
  <si>
    <t>En cabina Alberto González habla de los actos anticipados de campaña como la Secretaria de Salud, quien tuvo que quitar una lona. En este sentido, habla de las próximas elecciones para la renovación de los ayuntamientos, diputaciones locales y federales. Señala que el desorden y el caos es lo que abunda en los partidos y las dirigencias deberían hacer actos de contención y hacer encuestas serias. Junto con Andrés Torres comentan que hay secretarios y secretarias que parece que sí están interesados en la contienda, aunque al gobernador al parecer no se lo hayan manifestado aún.</t>
  </si>
  <si>
    <t>Elecciones</t>
  </si>
  <si>
    <t>Alberto González</t>
  </si>
  <si>
    <t>Justa académica</t>
  </si>
  <si>
    <t>Abre ITESHU nueva maestría en desarrollo regional e innovación tecnológica</t>
  </si>
  <si>
    <t>Andrés Torres comenta que si ha habido un problemita en los últimos sexenios en cuanto infraestructura, utilización de recursos públicos y falta de transparencia en todos los procesos ha sido dentro del deporte. Recuerda que en sexenios pasados se invirtió en cuestiones del deporte, pero mucha veces se politizó, como fue el caso de un Velódromo en el que se gastaron miles de millones de pesos; pero el gobierno de Menchaca sí cumple y ahí está (la Unidad Deportiva).</t>
  </si>
  <si>
    <t>Andrés Torres comenta que el 1010 AM El vocero Huasteco sigue fuera del aire y esto se debe a la falta de compromiso y de conocimiento. Las pifias del área administrativa de Radio y Televisión de Hidalgo que consideran que no hay ninguna obligación en el tema para poner en marcha una estación bilingüe, por cierto, una de las más importantes del estado. ellos dicen que no, entonces no hay transmisión. Tenemos más de dos meses fuera del aire en el 1010 AM, ya lo reportamos hasta en el Pentágono, así que seguimos esperando el danto advenimiento. (7.57-8.38)</t>
  </si>
  <si>
    <t>La Subsecretaría de Protección Civil mantiene la alerta en todos los municipios del estado por la temporada de huracanes.</t>
  </si>
  <si>
    <t>En su colaboración. David Cárdenas transmite audio de entrevista realizada a Héctor Chávez, titular de Comunicación Política del PRD Hidalgo - Habló sobre el tema del desarrollo económico de Hidalgo, destacó que el Estado se ha convertido en un polo estratégico en donde se han venido desarrollando diversos sectores importantes como la industria, la generación de empleos, el fortalecimiento al sector comercial y turístico, lo que ha permitido que Hidalgo tenga un papel protagónico a nivel nacional. Respecto a las condiciones de desarrollo que está creando el gobernador Julio Menchaca, comentó “Es un hombre que tiene mucha visión, creo que es un hombre que se ha venido formando en la adversidad, incluso cuando tuvo algunos conflictos dentro del partido donde estaba, al final ha remado contra corriente en su vida política y creo que eso lo hace ser muy sensible ante los problemas que hoy tiene la ciudadanía y creo que será bien recordado en un futuro, cuando ya no esté en el encargo”. En ese sentido, dijo, como oposición, lo que les corresponde es ayudar desde su posición política, reconocer lo que se está haciendo bien y fortalecer aquello que necesite atención. Finalmente, al ser cuestionado sobre el posicionamiento del PRD en Hidalgo, dijo, se encuentra fortalecido como partido local, ya que está autonomía con la que gozan al haber perdido el registro nacional, les permite tomar decisiones solamente para Hidalgo.</t>
  </si>
  <si>
    <t>Desarrollo económico</t>
  </si>
  <si>
    <t>Del suelo al agua: Hidalgo impulsa la productividad del campo con análisis de suelo y crías de peces</t>
  </si>
  <si>
    <t>UPLAPH/Bol.79/2026: Planeación de largo plazo, clave para consolidar a Hidalgo como potencia nacional</t>
  </si>
  <si>
    <t>Planificación de proyectos</t>
  </si>
  <si>
    <t>Julio Menchaca presenta resultados que transforman el abasto de agua potable en la Zona Metropolitana de Pachuca. (AUDIO JMS).</t>
  </si>
  <si>
    <t>Infraestructura Hidráulica</t>
  </si>
  <si>
    <t>Desmantela SSPH presunta banda de “montachoques” en la México-Pachuca; hay tres detenidos</t>
  </si>
  <si>
    <t>Gabinete de Seguridad destaca acciones de protección civil y combate al delito</t>
  </si>
  <si>
    <t>Reunión Gabinete De Seguridad</t>
  </si>
  <si>
    <t>Durante la Primera Sesión Ordinaria del Consejo Municipal de Seguridad Pública, encabezada por la presidenta municipal, Lorena García Cázares, y la secretaria ejecutiva del Consejo Estatal de Seguridad Pública, Diana Belén Elizalde Franco, se presentaron los avances y resultados que reflejan el fortalecimiento de la estrategia de seguridad implementada en el municipio. Entre los principales logros, se informó sobre el avance en la profesionalización de los elementos policiales y el reclutamiento permanente para fortalecer el estado de fuerza. Asimismo, se destacó la adquisición de nuevas unidades, uniformes y equipamiento, además de la incorporación de un C2 Móvil y el uso de drones para reforzar las labores de vigilancia, prevención y atención ciudadana. Con el objetivo de garantizar un trato digno a las personas detenidas por faltas administrativas, se brinda una llamada telefónica gratuita, alimentos y agua, monitoreo permanente mediante videovigilancia y servicio de consultorio las 24 horas para su valoración médica y psicológica.</t>
  </si>
  <si>
    <t>Estrategia de seguridad</t>
  </si>
  <si>
    <t>Locutor Jesús Riveros da lectura a comentario de radioescucha que reporta a un intendente de una escuela secundaria de Tulancingo que violenta sexualmente a una menor, comenta que ta pusieron la denuncia y hasta el momento no hay solución.</t>
  </si>
  <si>
    <t>Acoso Sexual</t>
  </si>
  <si>
    <t>Entrevista en cabina Mtro. Felipe Olimpo Durán Rocha, rector de la Universidad Politécnica de Tulancingo y la Mtra. María Juana Vargas Alvarado, coordinadora de la Ingeniería en Diseño Textil y Moda: Ante las necesidades del sector industrial, la UPT incorpora a su oferta académica, la Ingeniería en Diseño Textil y Moda, comentó el rector Felipe Olimpo Durán. Esta carrera ayuda a formar profesionistas que ayuden a transformar la industria textil a través de creatividad relacionada con tecnología, innovación, sustentabilidad y sobre todo con economía circular, que es una de las prioridades de esta carrera, informó la Mtra. María Juana Vargas.</t>
  </si>
  <si>
    <t>Locutor Juan Carlos Santamaría informa que, el día de hoy se tiene programado el inicio de un recorrido de supervisión en el Sistema de Transporte Metropolitano, dicho recorrido, partirá Plaza Juárez a los patios de la estación de Téllez. El recorrido será encabezado por el titular de la Oficialía Mayor de Gobierno del Estado, Edgar Orlando Ángeles Pérez y por Lizbeth Robles Gutiérrez, secretaria de Movilidad y Transporte en el Estado.</t>
  </si>
  <si>
    <t>Supervisión de Transporte</t>
  </si>
  <si>
    <t>Fue localizado el cuerpo semienterrado de un hombre que se encontraba desaparecido desde la semana pasada. El hallazgo ocurrió este lunes durante un cateo realizado en un inmueble ubicado en la calle Santa Teresa, de la colonia 2 de agosto, en Tulancingo. Agentes de la fiscalía general de la República, en coordinación con la Procuraduría General de Justicia del Estado de Hidalgo (PGJEH) y la Secretaría de Seguridad Pública de Hidalgo (SSPH), realizaron la diligencia y mantuvieron el resguardo de la vivienda. Hasta el cierre de la edición permanecían en el lugar patrullas de las corporaciones participantes, así como peritos en criminalística, que continuaban con las labores de investigación. Aunque las autoridades no han confirmado la identidad de la víctima, vecinos de la colonia señalaron que podría tratarse de J.L.M.S., de treinta y cuatro años de edad, quien fue reportado como desaparecido desde el miércoles diecisiete de junio y contaba con una ficha de búsqueda difundida por la PGJEH. La movilización policiaca generó expectación entre los habitantes de la zona, quienes reportaron presencia de agentes y unidades de seguridad desde las primeras horas del día. De manera extraoficial también trascendió que el predio intervenido podría estar relacionado con actividades de narcomenudeo y presuntamente habría funcionado como una casa de seguridad. El hallazgo ocurre una semana después de que fueran localizadas bolsas con restos humanos en el dren Mimila, ubicado en la colonia La Minera. Los restos correspondían también a un hombre que hasta ahora no ha sido identificado. Ante estos hechos, las autoridades mantienen abiertas diversas líneas de investigación para determinar si ambos casos guardan alguna relación o si se trata de sucesos independientes.</t>
  </si>
  <si>
    <t>Localización de cuerpo</t>
  </si>
  <si>
    <t>La madrugada de este martes, dos camionetas que presuntamente eran usadas para el trasiego de combustible robado se incendiaron en Tlaxcoapan. De acuerdo con las autoridades. el incidente se presentó en el ejido Decolore, donde vecinos alertaron sobre un incendio. Al arribar al lugar, personal de Protección Civil de Tlaxcoapan localizó dos vehículos abandonados consumidos por el fuego. Cabe mencionar que, en las inmediaciones, se encuentra un ducto de Petróleos Mexicanos (Pemex), del cual, presuntamente, se extraía el hidrocarburo. Por este hecho no se reportan personas lesionadas, solamente daños materiales.</t>
  </si>
  <si>
    <t>Incendio por huachicol</t>
  </si>
  <si>
    <t>Gobierno de Hidalgo atiende de manera oportuna afectaciones provocadas por lluvias en diversas regiones</t>
  </si>
  <si>
    <t>"NN Nuestras Noticias ""El Resumen"""</t>
  </si>
  <si>
    <t>La Misión celebra con su Primer Festival del Chile Rayado 2026</t>
  </si>
  <si>
    <t>Tomás Sosa</t>
  </si>
  <si>
    <t>Del suelo al agua: Hidalgo impulsa la productividad del campo con análisis de suelo y crías de peces, APOYO AUDIO</t>
  </si>
  <si>
    <t>Ciudad Deportiva: ejemplo de cómo el patrimonio público vuelve a servir a las y los hidalguenses</t>
  </si>
  <si>
    <t>El reto continúa, tras inversión histórica en deporte Hidalgo impulsa una nueva generación de campeones</t>
  </si>
  <si>
    <t>UTVM obtiene acreditación nacional para dos programas de ingeniería</t>
  </si>
  <si>
    <t>Acreditación de calidad</t>
  </si>
  <si>
    <t>Radioescucha reporta un bache impresionaste a la altura del Politécnico; está muy peligroso, profundo, está en el puente en la carretera Pachuca – Actopan</t>
  </si>
  <si>
    <t>Bacheo</t>
  </si>
  <si>
    <t>Radioescucha manda nuevamente audio y comenta cuál es el verificentro que reportó ayer, en donde un sujeto repartía en el tianguis de autos el domingo tarjetas ofreciendo por medio del brinco para pasar la verificación al 100 %.</t>
  </si>
  <si>
    <t>Radioescucha reporta falta de agua en Maestranza, ya llevamos mucho tiempo con este problema, pedimos al menos pipas</t>
  </si>
  <si>
    <t>Abasto De Agua</t>
  </si>
  <si>
    <t>Radioescucha reporta fuga de agua en colonia San Cayetano en calle Volcán de Chinchón</t>
  </si>
  <si>
    <t>En conferencia de prensa, el oficial mayor del estado de Hidalgo, Edgar Orlando Ángeles Pérez, informó que la apertura de la ciudad deportiva y de la Villa Deportiva significó una inversión superior a los 530 millones de pesos para el equipamiento de sus instalaciones. La nueva ciudad deportiva cuenta con más de 14 hectáreas de infraestructura especializada para disciplinas como atletismo, tenis, pádel, fútbol, hockey, skateboarding y deportes de combate, además de albercas semiolímpicas, gimnasio, áreas de medicina deportiva, fisioterapia, nutrición y psicología. Como parte de esta estrategia de recuperación del patrimonio estatal, también se logró reincorporar una hectárea que había sido vendida en la administración anterior, ampliando la capacidad y funcionalidad del complejo deportivo, AUDIO APOYO</t>
  </si>
  <si>
    <t>Radioescucha pide a las autoridades apoyo en Avenida San Judas Tadeo en colonia Carboneras, ya que cada que llueve se rompen los drenajes, se lleva todo el asfalto</t>
  </si>
  <si>
    <t>Afectaciones por lluvias</t>
  </si>
  <si>
    <t>La Comisión Nacional del Agua (Conagua), a través de su Dirección Local Hidalgo, realiza maniobras programadas y controladas de la presa Requena hacia el río Tula por medio de un desfogue controlado de hasta 20 metros cúbicos por segundo (m3/s).La Comisión resalta que dicha labor se realiza de manera programada y vigilada, por lo que no representa riesgo alguno para la población</t>
  </si>
  <si>
    <t>Desfogue De Presa</t>
  </si>
  <si>
    <t>El Instituto Mexicano del Seguro Social (IMSS) en Hidalgo hace un llamado a la población para identificar oportunamente los signos de alerta asociados al trastorno por juego de apuestas (ludopatía), una condición de salud mental que puede afectar significativamente el bienestar emocional, las relaciones familiares y sociales, el desempeño laboral o académico, así como la estabilidad económica de quienes la padecen.La psicóloga Maile Hurtado Pérez, adscrita al Hospital General de Zona (HGZ) No. 36 del IMSS en Hidalgo, explicó que la ludopatía es un trastorno caracterizado por un patrón persistente y recurrente de conducta de juego que provoca deterioro clínicamente significativo en diversas áreas de la vida de la persona.</t>
  </si>
  <si>
    <t>Desde cabina entrevista Sargento Fausto y Sargento Mejía con el tema invitación a carrera atlética “Ponte en Guardia”, evento gratuito organizado por la Guardia Nacional para celebrar su séptimo aniversario; se llevará a cabo el próximo fin de semana aquí en Pachuca, con el objetivo de fortalecer los lazos de confianza, unidad y proximidad social entre las fuerzas federales y la ciudadanía.</t>
  </si>
  <si>
    <t>Carrera atlética</t>
  </si>
  <si>
    <t>Julio Menchaca presenta resultados que transforman el abasto de agua potable en la Zona Metropolitana de Pachuca, AUDIO APOYO</t>
  </si>
  <si>
    <t>Eulalio Larrieta agradece a Carlos Gamiño por estar al pendiente de temas</t>
  </si>
  <si>
    <t>Cerca del mediodía de este domingo 21 de junio, fue encontrada la última persona que murió ahogada tras volcarse una lancha en la que viajaban nueve personas el pasado jueves 18 de agosto en la Presa de Zimapán.Cabe señalar que durante este sábado 20 de junio, las autoridades de Protección Civil Estatal rescatistas y voluntarios, dieron a conocer que de las cuatro personas que todavía se encontraban desaparecidas, se habían recuperado los cuerpos de dos mujeres y un hombre al interior de las aguas del embalse.Finalmente este domingo, lancheros integrantes de la Cooperativa Tzibanza, indicaron que cerca del mediodía se había encontrado el último cuerpo que faltaba por buscar, toda vez que las condiciones de hidrometeorológicas y la llegada del atardecer dificultaron la búsqueda del cuarto cuerpo durante este sábado por la tarde.</t>
  </si>
  <si>
    <t>Autoridades mantienen en sesión permanente el Comité Estatal de Emergencias luego de que las lluvias provocaron afectaciones en 27 municipios. En materia de seguridad se informa la localización de 10 personas con ficha de búsqueda de acciones preventivas en escuelas de 8 municipios donde más de 6.600 estudiantes participaron en talleres sobre adicciones, violencia en el noviazgo y extorsión.Entre los resultados operativos destaca la detención de tres presuntos extorsionadores en la carretera Pachuca-México, el aseguramiento de más de 26.000 litros de combustible en Aja Cuba y Emiliano Zapata, así como la captura de dos personas por robo a una tienda de conveniencia en Tula donde fueron rescatadas 13 personas. Además en Pachuca se recuperó un cargamento de detergente evaluado en dos millones de pesos y en Tezontepec de Aldama fueron detenidas cuatro personas consideradas generadoras de violencia. En operativo permanente también se aseguraron más de 2.500 dosis de estupefacientes.</t>
  </si>
  <si>
    <t>Gabinete de Seguridad</t>
  </si>
  <si>
    <t>Julio Menchaca presenta resultados que transforman el abasto de agua potable en la Zona Metropolitana de Pachuca</t>
  </si>
  <si>
    <t>Derivado de un reporte recibido a través del C4, elementos de la Secretaría de Seguridad Pública, Tránsito y Vialidad de Pachuca recuperaron una motocicleta con reporte de robo y detuvieron a dos personas presuntamente relacionadas con estos hechos. Luego de recibir el aviso sobre la sustracción de una motocicleta en el estacionamiento de una tienda de autoservicio ubicada en la colonia Ex Hacienda de Coscotitlán, oficiales implementaron un operativo de búsqueda y localización que permitió ubicar la unidad sobre la calle Nevado de Chicon, en la colonia San Cayetano. La motocicleta recuperada, marca Vento, color amarillo con negro y sin placas de circulación, presentaba daños en el cilindro de encendido y coincidía plenamente con las características del vehículo reportado minutos antes.</t>
  </si>
  <si>
    <t>Daniel Martínez</t>
  </si>
  <si>
    <t>Radioescucha: en el Registro de la Propiedad no es posible que tengan un rezago de trámites 20 días para entregarlos. Nos es posible que en la Oficina recaudadora no funcione correctamente. En trámites urgente cobran el triple, así deberían de hacernos un descuento por trámites que no entregan a tiempo.</t>
  </si>
  <si>
    <t>Mala atención</t>
  </si>
  <si>
    <t>Radioescucha: ojalá que Movilidad y Trasporte tome cartas en el asunto con los scooters y bicicletas eléctricas, porque ayer un tipo iba en sentid contrario a toda velocidad y tiró a una señora.</t>
  </si>
  <si>
    <t>Regulación de vehículos recreativos</t>
  </si>
  <si>
    <t>En cabina Dulce Galloso, directora del Instituto de Capacitación y Asistencia Médica DIF de Tulancingo y Luis Ángel Hernández, director del Organismo Asistencial de Tulancingo (sic) informaron que de 9 de la mañana a 7 de la noche brindan servicios de salud y capacitación de calidad, Invitan a la población a acudir a este espacio y beneficiarse de sus servicios a bajos costos.</t>
  </si>
  <si>
    <t>Servicios municipales</t>
  </si>
  <si>
    <t>La secretaria de Bienestar, Leticia Ramírez Amaya, informó que, del 22 al 28 de junio, se realiza a nivel nacional el registro a las Pensiones para el Bienestar de las Personas Adultas Mayores de 65 años o más y Mujeres Bienestar para mexicanas de 60 a 64 años. Ramírez Amaya señaló que los módulos de registro brindan atención de lunes a domingo, de 10 de la mañana a cuatro de la tarde en todo el país; la ubicación de los módulos se puede consultar en la página de la Secretaría de Bienestar www.gob.mx/bienestar. Para brindar una mejor atención, el registro se realiza de acuerdo con la letra del primer apellido de la persona, bajo el siguiente calendario: El lunes 22 de junio serán atendidos quienes lleven en su primer apellido las letras iniciales A, B, C; mientras que el martes 23 serán atendidas las personas con iniciales de su primer apellido D, E, F, G, H</t>
  </si>
  <si>
    <t>Programas Del Bienestar</t>
  </si>
  <si>
    <t>Vía telefónica la alcaldesa de El Cardonal, Karla Monserrat Hernández informó que la Universidad del Bienestar "Benito Juárez García" ubicada en San Andrés Daboxtha, abre su convocatoria del 10 al 30 de junio para licenciatura en Medicina Integral y Salud Comunitaria. Indicó que las Universidades para el Bienestar Benito Juárez García ofrecen educación superior gratuita, sin examen de admisión y con apoyos para las y los estudiantes. Da conocer los documentos necesarios y destaca el privilegio de tener en su municipio esta universidad gracias la trabajo del gobernador Julio Menchaca y la presidenta Claudia Sheinbaum.</t>
  </si>
  <si>
    <t>Daniel Martínez da lectura a un mensaje de los padres de un muchacho que intentó registrase en la página de la Universidad Tecnológica de Tulancingo, pero no pudo hacerlo; por lo que acudió de manera presencial a las instalaciones de la universidad y le dijeron que ya estaba cerrada la convocatoria de admisión. En las plataformas digitales, los anuncios espectaculares se dice que la convocatoria está abierta hasta el mes de agosto. Señalan que juegan con el tiempo de su hijo y al parecer ya perdió la oportunidad de entrar en este periodo. Piden a las autoridades sean claras en cuanto al tiempo de la convocatoria.</t>
  </si>
  <si>
    <t>Convocatoria</t>
  </si>
  <si>
    <t>La Comisión de Agua y Alcantarillado de Sistemas Intermunicipales (Caasim) iniciará esta semana un juicio mercantil en contra de la Universidad Autónoma del Estado de Hidalgo (UAEH) para reclamar el pago de un adeudo que asciende a aproximadamente 56 millones de pesos por concepto de servicio de agua potable. El director general del organismo, Juan Evel Chávez Trovamala, informó que, pese a que ya existe una resolución para que la institución cubra el adeudo, hasta el momento no se ha concretado el pago, por lo que se recurrirá nuevamente a la vía judicial para la recuperación de los recursos. “Ya se ordenó el pago; sin embargo, no hemos tenido cumplimiento. Ahora vamos a iniciar el tema mercantil para obtener el cobro, si no llegamos a una negociación, y la negociación es que paguen”, señaló. Cuestionado respecto a la postura del rector, Octavio Castillo Acosta, en el sentido de que no tienen adeudo o bien ofrecer un servicio a cambio, Juan Evel Chávez explicó que conoce los dichos del rector en los que afirma que se encuentra al corriente en sus pagos; sin embargo, aclaró que los depósitos realizados se aplican a los adeudos más antiguos, por lo que la deuda principal continúa generando recargos. “Lo que hace la universidad es pagar su recibo del día, pero ese dinero se va a la deuda anterior. Es como cualquier crédito: primero se cubren los adeudos vencidos. Por eso dicen que van al corriente, pero siguen generando recargos”, explicó. Chávez Trovamala descartó la posibilidad de aceptar pagos en especie o convenios alternativos, como cursos o capacitaciones, al señalar que Caasim requiere recursos económicos para continuar con la rehabilitación y ampliación de la infraestructura hidráulica en la zona metropolitana de Pachuca. “Ese dinero es para invertirlo en mejorar el servicio, atender fugas, renovar tuberías y fortalecer la infraestructura. No nos interesan convenios en especie; necesitamos liquidez para seguir invirtiendo”, afirmó. Respecto a posibles medidas de presión, indicó que no se contempla suspender totalmente el suministro de agua a la universidad para evitar afectar a la comunidad estudiantil, aunque reconoció que en algunos momentos se ha reducido el flujo del servicio.</t>
  </si>
  <si>
    <t>Adeudos Caasim</t>
  </si>
  <si>
    <t>Los comerciantes ambulantes no regresarán a la plaza Constitución y calles céntricas de Pachuca, señaló el presidente municipal Jorge Reyes Hernández al asegurar que la recuperación de esos espacios públicos responde a una demanda ciudadana y forma parte de la estrategia de garantizar orden en el Centro Histórico. El edil afirmó que la reubicación de los vendedores es una decisión definitiva, luego de que comerciantes han manifestado inconformidad por las bajas ventas registradas en la nueva explanada ubicada junto al mercado Benito Juárez. “No hay forma de que puedan regresar”, señaló el edil al referirse a la posibilidad de reinstalar puestos en calles céntricas y en la plaza Constitución y enfatizó que dichos espacios deben mantenerse libres para el disfrute de la ciudadanía. Luego de que los comerciantes han solicitado mejorar la conectividad de la zona para atraer más personas y aumentar sus ventas, el presidente municipal Jorge Reyes informó que ya se realizaron recorridos con la Secretaría de Movilidad y Transporte (Semoth) para analizar la viabilidad de instalar algunos paraderos cercanos. Aunque aclaró que la decisión corresponde al gobierno estatal, señaló que el ayuntamiento dará seguimiento a las gestiones para evaluar posibles modificaciones que faciliten la llegada de usuarios del transporte público a la nueva explanada.</t>
  </si>
  <si>
    <t>Ambulantaje</t>
  </si>
  <si>
    <t>Daniel Martínez opina respecto a que en el Ayuntamiento de Cuautepec de Hinojosa se aprobó la propuesta para concesionar la Expo Feria 2026 a la empresa Saga Eventos y Espectáculos, representada por Gaspar Álvarez y dicho empresario solicitó en su propuesta apoyo económico por cuatro millones de pesos; dijo que le parece una concesión muy extraña porque es un comodato en el que tienes que entregarle al organizador una "lana" para que haga la feria y que es muy lógico lo que está haciendo el regidor Benito Sánchez Pérez de solicitar las condiciones del contrato y que se transparente.</t>
  </si>
  <si>
    <t>Benito Sánchez Pérez, regidor del Partido Verde Ecologista de México (PVEM) en el Ayuntamiento de Cuautepec de Hinojosa, solicitó al alcalde Jorge Hernández Araus que se transparente el contrato de concesión de la reciente Expo Feria en honor a San Antonio. Durante sesión del cuerpo edilicio llevada a cabo la semana pasada, señaló que ha recibido reclamos por parte de la población respecto al tema, pues “nos acusan de traidores, de que recibimos mochada”, señaló. El 28 de abril de este año, con 10 votos a favor, el Ayuntamiento de Cuautepec aprobó la propuesta para concesionar la Expo Feria 2026 a la empresa Saga Eventos y Espectáculos, representada por Gaspar Álvarez. Dicho empresario solicitó en su propuesta apoyo económico por cuatro millones de pesos, así como contar con elementos de seguridad pública y la dotación de servicios durante la celebración de la feria. Durante la tercera sesión extraordinaria, solo ocho asambleístas municipales estuvieron a favor de la propuesta que presentó la empresa Herca Producciones, solicitando un presupuesto de tres millones de pesos para llevar a cabo el evento. En respuesta a la solicitud del regidor Sánchez Pérez, el alcalde Hernández Araus señaló que la realización de la Expo Feria tuvo un costo de dos millones de pesos, de los cuales se ha entregado la mitad de dicho presupuesto. Agregó que el presupuesto aprobado para la Expo Feria de Cuautepec 2026 fue de 4 millones 305 mil pesos, aproximadamente. Indicó que, al cierre de abril, el presupuesto había disminuido y, aunque no especificó el monto existente, reconoció que no sería fácil aportar el recurso inicial solicitado por el concesionario de la Expo Feria. Respecto a la presentación del contrato, Hernández Araus aseguró no tener inconveniente alguno, señalando que también puede ser solicitado vía transparencia. El regidor del PVEM aseguró que ha sido objeto de reclamos por parte de ciudadanos inconformes porque se otorgó la concesión de la feria comercial de Cuautepec a la empresa que pidió el apoyo económico más alto en comparación con la otra firma interesada en organizar el evento.</t>
  </si>
  <si>
    <t>Con el fin de reducir la posibilidad de actos de discriminación a personas que se encuentran en condiciones de desplazamiento interno en Hidalgo, diputados del Congreso del Estado de Hidalgo presentaron una iniciativa de reforma de ley. En reciente sesión ordinaria del Congreso local se presentó el proyecto de decreto para modificar y adicionar artículos de la Ley para prevenir, atender, sancionar y eliminar la discriminación en Hidalgo, en materia de desplazamiento interno. Dicha iniciativa es presentada tras la vaguada monzónica registrada en octubre del año pasado, que dejó a un importante número de pobladores a ser reubicados en zonas que no representen riesgo para su integridad personal, ni de sus viviendas. La iniciativa busca facultar a autoridades del gobierno estatal, ayuntamientos y organismos públicos autónomos a implementar estrategias para informar, sensibilizar y capacitar a servidores públicos en materia de no discriminación y trato digno a personas en condiciones de desplazamiento interno. Al respecto, el diputado Juan Pablo Escalante Urbán indicó que en Hidalgo derivado de las afectaciones causadas por la vaguada monzónica en octubre de 2025 se reportó la necesidad de reubicar a distintas familias por el riesgo que representa seguir en sus hogares.</t>
  </si>
  <si>
    <t>Lluvias y vientos dejan afectaciones en 18 municipios de Hidalgo</t>
  </si>
  <si>
    <t>Daniel Martínez comenta que el pasado domingo se conoció acerca de un operativo que se ha llevado a cabo en la Colonia 2 de Agosto y extraoficialmente, sin ninguna confirmación por parte de las autoridades; se habla de la localización de restos humanos. Lo preocupante es que en redes sociales y WhatsApp han empezado a surgir una serie de publicaciones señalando de la existencia de la localización de una fosa clandestina y la localización de varios cuerpos en la Calle Santa Teresa, Colonia 2 de Agosto. Una persona incluso dice que entre las personas encontradas sin vida estaría un pariente suyo. Señala que entiende que haya preocupación por la presencia de elementos de la policía estatal, municipal y de la Guardia Nacional; pero es parte del operativo del cateo y que de existir fosas clandestinas hubiera un movimiento importante del servicio médico forense y funerarias. En este sentido asegura que no abona en nada el estar replicando en grupos y hasta el momento nadie ha confirmado las supuestas fosas clandestinas. Lo que sí está confirmado es un cateo en este lugar y que se encontró un cuerpo sin vida. Pide a la población analizar la información antes de reenviarla y no estar mal informando.</t>
  </si>
  <si>
    <t>Noticias falsas</t>
  </si>
  <si>
    <t>El pasado domingo hubo un cateo el pasado domingo en un predio de la Colonia 2 de Agosto, incluso apareció una nota sobre una fosa clandestina con cuerpos y demás. No hay nada confirmado.</t>
  </si>
  <si>
    <t>Durante la Primera Sesión Ordinaria del Consejo Municipal de Seguridad Pública, encabezada por la presidenta municipal, Lorena García Cázares, y la secretaria ejecutiva del Consejo Estatal de Seguridad Pública, Diana Belén Elizalde Franco, se presentaron los avances y resultados que reflejan el fortalecimiento de la estrategia de seguridad implementada en el municipio. Entre los principales logros, se informó sobre el avance en la profesionalización de los elementos policiales y el reclutamiento permanente para fortalecer el estado de fuerza. Asimismo, se destacó la adquisición de nuevas unidades, uniformes y equipamiento, además de la incorporación de un C2 Móvil y el uso de drones para reforzar las labores de vigilancia, prevención y atención ciudadana. Con el objetivo de garantizar un trato digno a las personas detenidas por faltas administrativas, se brinda una llamada telefónica gratuita, alimentos y agua, monitoreo permanente mediante videovigilancia y servicio de consultorio las 24 horas para su valoración médica y psicológica. En su intervención, la secretaria ejecutiva, Diana Belén Elizalde Franco, confirmó una disminución en la incidencia delictiva en Tulancingo, así como un incremento en la cultura de la denuncia ciudadana. De igual manera, destacó la importancia de la coordinación entre los tres órdenes de gobierno para fortalecer las acciones en materia de seguridad pública. En materia de movilidad y seguridad vial, se informó que el programa Moto Segura ha realizado 103 puntos de control, lo que derivó en la remisión de 565 motocicletas al corralón por incumplimiento de la normatividad en materia de documentación y equipo de seguridad. Por su parte, el programa Alcoholímetro ha llevado a cabo 86 operativos, con la revisión de más de 7 mil 387 vehículos y la aplicación de mil 230 pruebas de alcoholemia. A estas acciones se suman cerca de 120 reuniones vecinales realizadas en distintos sectores del municipio, así como diversas campañas de prevención orientadas a fortalecer la participación ciudadana y la cultura de la legalidad, además de operativos coordinados con el apoyo de la Secretaría de Seguridad Pública del Estado.</t>
  </si>
  <si>
    <t>Incidencia Delictiva</t>
  </si>
  <si>
    <t>Sin ofrecer estadísticas o cifras específicas, el titular de la Secretaría de Seguridad Ciudadana municipal en Tulancingo, Enrique Romero Alcántar, afirmó que el robo en cualquiera de sus modalidades va a la baja. Destacó que en el caso del robo a comercio, que registró un aumento exponencial en el comparativo de los meses de enero de los años 2025 y 2026, ya tiene una disminución a la mitad, de acuerdo a datos del Secretariado Ejecutivo del Sistema Nacional de Seguridad Pública (SESNSP). Con base a denuncias formales ante el Ministerio Público, el organismo señala en la estadística, el año pasado se registraron dos robos con violencia a comercio, mientras que en el primer mes del 2026, se disparó a 27. El robo a negocio sin violencia también tiene un incremento exponencial en el primer mes entre los años 2025 y 2026, pues mientras que en enero del año pasado no hay registro de denuncias al respecto, en el primer mes de este año se presentaron 13 formalmente. Romero Alcántar señaló que la disminución ha sido gracias a la implementación de estrategias para la inhibición, y en caso necesario, la atención a delitos. Enfatizó que gracias a la implementación de operativo general de seguridad pública, se ha eficientado el combate a delitos, particularmente los robos en cualquiera de sus modalidades, incluyendo a casa habitación, a vehículos automotores, a peatón, entre ellos. El mando de seguridad pública en Tulancingo señaló que uno de los principales resultados del operativo permanente, es la detención hace dos semanas aproximadamente, de tres personas presuntamente implicadas en el robo a una joyería ubicada en el centro de la ciudad. Romero Alcántar señaló que el esquema de prevención y combate al delito será fortalecido con la entrega de más patrullas en fecha próxima, así como de la puesta en operación de un C2 móvil, dotado con un dron de largo alcance.</t>
  </si>
  <si>
    <t>Vía telefónica Milton Cortés informa que la zona de la Plaza Constitución sigue sin comerciantes, luego de que fueran removidos, sin embargo existe inconformidad y los comerciantes ambulantes amenazaban con regresar a este espacio y a la calle de Guerrero. Hasta el momento no hay presencia de los comerciantes, quienes se quejan también de la desinformación. Se tiene pactada una reunión con el líder de la FOIDEH y se tiene inconformidad porque al parecer se han colocado oros vendedores en las calles.</t>
  </si>
  <si>
    <t>Milton Cortés</t>
  </si>
  <si>
    <t>Andrés Torres comenta que el 1010 Am El Vocero Huasteco sigue fuera del aire. Más de dos meses sin transmisiones.</t>
  </si>
  <si>
    <t>Andrés Torres critica al alcalde de Ixmiquilpan, Emmanuel Hernández porque solo se pasea son su BMW y países europeos y porque a pesar de sus intento de modernizar el municipio con conferencias y ponerse muy dinámico, las encuestas no lo respaldan. Sus estrategias no le resultan porque no es una persona seria, asevera. A ver si el que aparezca bailando en las ferias con cervezas o en sus rodadas de bicicletas le ayuda.</t>
  </si>
  <si>
    <t>El gobernador Julio Menchaca estuvo en Pachuquilla donde inauguró un mural, que fue muy cuestionado por los asistentes, porque la autora quien ganó un premio en efectivo, hizo un autorretrato. Luego, en las presentaciones en una terrible falta de respeto, de timing, de sensibilidad política la gente empezó a gritarle al presidente de Mineral de la República -¡Gobernador, gobernador!- Imagínese que estaba el gobernador julio Menchaca y la ente empieza a gritarle a Eduardo Medécigo - ¡Gobernador, gobernador!- Muy a su estilo el gobernador no hizo mayor aspaviento, solo registró, le dio la mano cuando terminó el brevísimo evento y se retiró. Lo dejó con un palmo de narices. Los medios no lo van a consignar, porque la nómina de Mineral de la Reforma es amplia en materia de comunicación y este es el municipio que el gobernador ha visitado menos. Este es un mensaje clarísimo. Asimismo, cuando Eduardo Medécigo fue nombrado presidente de los presidentes municipales, nadie le hizo caso, asistieron 3 o 4 representantes de los municipio y hace como un mes pasó la estafeta al alcalde de Pachuca, Jorge Reyes; un evento al que sí asistió el gobernador y todos los presidentes municipales. Evidentemente, uno de los alcaldes que ha quedado a deber y que finalmente por sus pifias y falta de sensibilidad y conocimiento del medio ha tenido ya un "tachecito", porque es de muy mala educación y todavía quiso justificar diciendo que el gritaban al gobernador, pero eso era preparado.</t>
  </si>
  <si>
    <t>Destacan acciones de protección civil y combate al delito</t>
  </si>
  <si>
    <t>Resultados que transforman el abasto de agua potable</t>
  </si>
  <si>
    <t>La subsecretaría de Protección Civil y Gestión de Riesgos informa que ante el pronóstico de lluvias fuertes a muy fuertes de 50 a 75 mm en la región norte de Hidalgo, así como temperaturas de 30 a 35 °C y rachas de viento de 40 a 60 km/h, exhortamos a la población a extremar precauciones. Evita cruzar corrientes de agua, mantente hidratado, realiza tus actividades durante las primeras horas del día y asegura objetos que puedan desprenderse. En zonas de ladera y caminos con derrumbes recurrentes, mantente alerta y atiende las indicaciones de la autoridad. En caso de emergencia, llama al 911.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</si>
</sst>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60" tableType="queryTable" totalsRowShown="0">
  <autoFilter ref="A1:M160"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60"/>
  <sheetViews>
    <sheetView tabSelected="1" workbookViewId="0">
      <selection activeCell="B1" sqref="B1"/>
    </sheetView>
  </sheetViews>
  <sheetFormatPr baseColWidth="10" defaultRowHeight="15" x14ac:dyDescent="0.25"/>
  <cols>
    <col min="1" max="1" width="8.5703125" bestFit="1" customWidth="1"/>
    <col min="2" max="2" width="11.42578125" bestFit="1" customWidth="1"/>
    <col min="3" max="3" width="26" bestFit="1" customWidth="1"/>
    <col min="4" max="4" width="35.5703125" bestFit="1" customWidth="1"/>
    <col min="5" max="5" width="81.140625" bestFit="1" customWidth="1"/>
    <col min="6" max="6" width="20.85546875" bestFit="1" customWidth="1"/>
    <col min="7" max="7" width="33"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46195</v>
      </c>
      <c r="B2" s="1" t="str">
        <f ca="1">IF(Información1[[#This Row],[Fecha]]='Ajuste de fechas'!$A$2,"Día actual","Día anterior")</f>
        <v>Día anterior</v>
      </c>
      <c r="C2" t="s">
        <v>16</v>
      </c>
      <c r="D2" t="s">
        <v>50</v>
      </c>
      <c r="E2" t="s">
        <v>106</v>
      </c>
      <c r="F2" t="s">
        <v>9</v>
      </c>
      <c r="G2" t="s">
        <v>40</v>
      </c>
      <c r="H2" t="s">
        <v>8</v>
      </c>
      <c r="I2" t="s">
        <v>7</v>
      </c>
      <c r="J2" t="s">
        <v>52</v>
      </c>
      <c r="K2" t="s">
        <v>49</v>
      </c>
      <c r="L2" t="s">
        <v>24</v>
      </c>
      <c r="M2">
        <v>1</v>
      </c>
    </row>
    <row r="3" spans="1:13" x14ac:dyDescent="0.25">
      <c r="A3" s="2">
        <v>46195</v>
      </c>
      <c r="B3" s="1" t="str">
        <f ca="1">IF(Información1[[#This Row],[Fecha]]='Ajuste de fechas'!$A$2,"Día actual","Día anterior")</f>
        <v>Día anterior</v>
      </c>
      <c r="C3" t="s">
        <v>16</v>
      </c>
      <c r="D3" t="s">
        <v>50</v>
      </c>
      <c r="E3" t="s">
        <v>107</v>
      </c>
      <c r="F3" t="s">
        <v>56</v>
      </c>
      <c r="G3" t="s">
        <v>57</v>
      </c>
      <c r="H3" t="s">
        <v>8</v>
      </c>
      <c r="I3" t="s">
        <v>7</v>
      </c>
      <c r="J3" t="s">
        <v>52</v>
      </c>
      <c r="K3" t="s">
        <v>49</v>
      </c>
      <c r="L3" t="s">
        <v>24</v>
      </c>
      <c r="M3">
        <v>1</v>
      </c>
    </row>
    <row r="4" spans="1:13" x14ac:dyDescent="0.25">
      <c r="A4" s="2">
        <v>46195</v>
      </c>
      <c r="B4" s="1" t="str">
        <f ca="1">IF(Información1[[#This Row],[Fecha]]='Ajuste de fechas'!$A$2,"Día actual","Día anterior")</f>
        <v>Día anterior</v>
      </c>
      <c r="C4" t="s">
        <v>93</v>
      </c>
      <c r="D4" t="s">
        <v>94</v>
      </c>
      <c r="E4" t="s">
        <v>108</v>
      </c>
      <c r="F4" t="s">
        <v>12</v>
      </c>
      <c r="G4" t="s">
        <v>109</v>
      </c>
      <c r="H4" t="s">
        <v>8</v>
      </c>
      <c r="I4" t="s">
        <v>7</v>
      </c>
      <c r="J4" t="s">
        <v>52</v>
      </c>
      <c r="K4" t="s">
        <v>98</v>
      </c>
      <c r="L4" t="s">
        <v>24</v>
      </c>
      <c r="M4">
        <v>1</v>
      </c>
    </row>
    <row r="5" spans="1:13" x14ac:dyDescent="0.25">
      <c r="A5" s="2">
        <v>46195</v>
      </c>
      <c r="B5" s="1" t="str">
        <f ca="1">IF(Información1[[#This Row],[Fecha]]='Ajuste de fechas'!$A$2,"Día actual","Día anterior")</f>
        <v>Día anterior</v>
      </c>
      <c r="C5" t="s">
        <v>16</v>
      </c>
      <c r="D5" t="s">
        <v>50</v>
      </c>
      <c r="E5" t="s">
        <v>110</v>
      </c>
      <c r="F5" t="s">
        <v>10</v>
      </c>
      <c r="G5" t="s">
        <v>111</v>
      </c>
      <c r="H5" t="s">
        <v>8</v>
      </c>
      <c r="I5" t="s">
        <v>7</v>
      </c>
      <c r="J5" t="s">
        <v>54</v>
      </c>
      <c r="K5" t="s">
        <v>49</v>
      </c>
      <c r="L5" t="s">
        <v>24</v>
      </c>
      <c r="M5">
        <v>1</v>
      </c>
    </row>
    <row r="6" spans="1:13" x14ac:dyDescent="0.25">
      <c r="A6" s="2">
        <v>46195</v>
      </c>
      <c r="B6" s="1" t="str">
        <f ca="1">IF(Información1[[#This Row],[Fecha]]='Ajuste de fechas'!$A$2,"Día actual","Día anterior")</f>
        <v>Día anterior</v>
      </c>
      <c r="C6" t="s">
        <v>93</v>
      </c>
      <c r="D6" t="s">
        <v>94</v>
      </c>
      <c r="E6" t="s">
        <v>99</v>
      </c>
      <c r="F6" t="s">
        <v>10</v>
      </c>
      <c r="G6" t="s">
        <v>100</v>
      </c>
      <c r="H6" t="s">
        <v>8</v>
      </c>
      <c r="I6" t="s">
        <v>81</v>
      </c>
      <c r="J6" t="s">
        <v>54</v>
      </c>
      <c r="K6" t="s">
        <v>98</v>
      </c>
      <c r="L6" t="s">
        <v>25</v>
      </c>
      <c r="M6">
        <v>1</v>
      </c>
    </row>
    <row r="7" spans="1:13" x14ac:dyDescent="0.25">
      <c r="A7" s="2">
        <v>46195</v>
      </c>
      <c r="B7" s="1" t="str">
        <f ca="1">IF(Información1[[#This Row],[Fecha]]='Ajuste de fechas'!$A$2,"Día actual","Día anterior")</f>
        <v>Día anterior</v>
      </c>
      <c r="C7" t="s">
        <v>93</v>
      </c>
      <c r="D7" t="s">
        <v>94</v>
      </c>
      <c r="E7" t="s">
        <v>101</v>
      </c>
      <c r="F7" t="s">
        <v>10</v>
      </c>
      <c r="G7" t="s">
        <v>100</v>
      </c>
      <c r="H7" t="s">
        <v>8</v>
      </c>
      <c r="I7" t="s">
        <v>81</v>
      </c>
      <c r="J7" t="s">
        <v>54</v>
      </c>
      <c r="K7" t="s">
        <v>98</v>
      </c>
      <c r="L7" t="s">
        <v>25</v>
      </c>
      <c r="M7">
        <v>1</v>
      </c>
    </row>
    <row r="8" spans="1:13" x14ac:dyDescent="0.25">
      <c r="A8" s="2">
        <v>46195</v>
      </c>
      <c r="B8" s="1" t="str">
        <f ca="1">IF(Información1[[#This Row],[Fecha]]='Ajuste de fechas'!$A$2,"Día actual","Día anterior")</f>
        <v>Día anterior</v>
      </c>
      <c r="C8" t="s">
        <v>93</v>
      </c>
      <c r="D8" t="s">
        <v>94</v>
      </c>
      <c r="E8" t="s">
        <v>102</v>
      </c>
      <c r="F8" t="s">
        <v>58</v>
      </c>
      <c r="G8" t="s">
        <v>100</v>
      </c>
      <c r="H8" t="s">
        <v>8</v>
      </c>
      <c r="I8" t="s">
        <v>81</v>
      </c>
      <c r="J8" t="s">
        <v>52</v>
      </c>
      <c r="K8" t="s">
        <v>98</v>
      </c>
      <c r="L8" t="s">
        <v>25</v>
      </c>
      <c r="M8">
        <v>1</v>
      </c>
    </row>
    <row r="9" spans="1:13" x14ac:dyDescent="0.25">
      <c r="A9" s="2">
        <v>46195</v>
      </c>
      <c r="B9" s="1" t="str">
        <f ca="1">IF(Información1[[#This Row],[Fecha]]='Ajuste de fechas'!$A$2,"Día actual","Día anterior")</f>
        <v>Día anterior</v>
      </c>
      <c r="C9" t="s">
        <v>93</v>
      </c>
      <c r="D9" t="s">
        <v>94</v>
      </c>
      <c r="E9" t="s">
        <v>103</v>
      </c>
      <c r="F9" t="s">
        <v>9</v>
      </c>
      <c r="G9" t="s">
        <v>100</v>
      </c>
      <c r="H9" t="s">
        <v>8</v>
      </c>
      <c r="I9" t="s">
        <v>81</v>
      </c>
      <c r="J9" t="s">
        <v>52</v>
      </c>
      <c r="K9" t="s">
        <v>98</v>
      </c>
      <c r="L9" t="s">
        <v>25</v>
      </c>
      <c r="M9">
        <v>1</v>
      </c>
    </row>
    <row r="10" spans="1:13" x14ac:dyDescent="0.25">
      <c r="A10" s="2">
        <v>46195</v>
      </c>
      <c r="B10" s="1" t="str">
        <f ca="1">IF(Información1[[#This Row],[Fecha]]='Ajuste de fechas'!$A$2,"Día actual","Día anterior")</f>
        <v>Día anterior</v>
      </c>
      <c r="C10" t="s">
        <v>93</v>
      </c>
      <c r="D10" t="s">
        <v>94</v>
      </c>
      <c r="E10" t="s">
        <v>104</v>
      </c>
      <c r="F10" t="s">
        <v>72</v>
      </c>
      <c r="G10" t="s">
        <v>100</v>
      </c>
      <c r="H10" t="s">
        <v>8</v>
      </c>
      <c r="I10" t="s">
        <v>81</v>
      </c>
      <c r="J10" t="s">
        <v>52</v>
      </c>
      <c r="K10" t="s">
        <v>98</v>
      </c>
      <c r="L10" t="s">
        <v>25</v>
      </c>
      <c r="M10">
        <v>1</v>
      </c>
    </row>
    <row r="11" spans="1:13" x14ac:dyDescent="0.25">
      <c r="A11" s="2">
        <v>46195</v>
      </c>
      <c r="B11" s="1" t="str">
        <f ca="1">IF(Información1[[#This Row],[Fecha]]='Ajuste de fechas'!$A$2,"Día actual","Día anterior")</f>
        <v>Día anterior</v>
      </c>
      <c r="C11" t="s">
        <v>93</v>
      </c>
      <c r="D11" t="s">
        <v>94</v>
      </c>
      <c r="E11" t="s">
        <v>112</v>
      </c>
      <c r="F11" t="s">
        <v>6</v>
      </c>
      <c r="G11" t="s">
        <v>100</v>
      </c>
      <c r="H11" t="s">
        <v>8</v>
      </c>
      <c r="I11" t="s">
        <v>81</v>
      </c>
      <c r="J11" t="s">
        <v>52</v>
      </c>
      <c r="K11" t="s">
        <v>98</v>
      </c>
      <c r="L11" t="s">
        <v>25</v>
      </c>
      <c r="M11">
        <v>1</v>
      </c>
    </row>
    <row r="12" spans="1:13" x14ac:dyDescent="0.25">
      <c r="A12" s="2">
        <v>46195</v>
      </c>
      <c r="B12" s="1" t="str">
        <f ca="1">IF(Información1[[#This Row],[Fecha]]='Ajuste de fechas'!$A$2,"Día actual","Día anterior")</f>
        <v>Día anterior</v>
      </c>
      <c r="C12" t="s">
        <v>93</v>
      </c>
      <c r="D12" t="s">
        <v>94</v>
      </c>
      <c r="E12" t="s">
        <v>113</v>
      </c>
      <c r="F12" t="s">
        <v>10</v>
      </c>
      <c r="G12" t="s">
        <v>69</v>
      </c>
      <c r="H12" t="s">
        <v>8</v>
      </c>
      <c r="I12" t="s">
        <v>81</v>
      </c>
      <c r="J12" t="s">
        <v>54</v>
      </c>
      <c r="K12" t="s">
        <v>71</v>
      </c>
      <c r="L12" t="s">
        <v>25</v>
      </c>
      <c r="M12">
        <v>1</v>
      </c>
    </row>
    <row r="13" spans="1:13" x14ac:dyDescent="0.25">
      <c r="A13" s="2">
        <v>46195</v>
      </c>
      <c r="B13" s="1" t="str">
        <f ca="1">IF(Información1[[#This Row],[Fecha]]='Ajuste de fechas'!$A$2,"Día actual","Día anterior")</f>
        <v>Día anterior</v>
      </c>
      <c r="C13" t="s">
        <v>93</v>
      </c>
      <c r="D13" t="s">
        <v>94</v>
      </c>
      <c r="E13" t="s">
        <v>114</v>
      </c>
      <c r="F13" t="s">
        <v>12</v>
      </c>
      <c r="G13" t="s">
        <v>69</v>
      </c>
      <c r="H13" t="s">
        <v>8</v>
      </c>
      <c r="I13" t="s">
        <v>81</v>
      </c>
      <c r="J13" t="s">
        <v>52</v>
      </c>
      <c r="K13" t="s">
        <v>71</v>
      </c>
      <c r="L13" t="s">
        <v>25</v>
      </c>
      <c r="M13">
        <v>1</v>
      </c>
    </row>
    <row r="14" spans="1:13" x14ac:dyDescent="0.25">
      <c r="A14" s="2">
        <v>46195</v>
      </c>
      <c r="B14" s="1" t="str">
        <f ca="1">IF(Información1[[#This Row],[Fecha]]='Ajuste de fechas'!$A$2,"Día actual","Día anterior")</f>
        <v>Día anterior</v>
      </c>
      <c r="C14" t="s">
        <v>16</v>
      </c>
      <c r="D14" t="s">
        <v>50</v>
      </c>
      <c r="E14" t="s">
        <v>115</v>
      </c>
      <c r="F14" t="s">
        <v>58</v>
      </c>
      <c r="G14" t="s">
        <v>74</v>
      </c>
      <c r="H14" t="s">
        <v>8</v>
      </c>
      <c r="I14" t="s">
        <v>7</v>
      </c>
      <c r="J14" t="s">
        <v>52</v>
      </c>
      <c r="K14" t="s">
        <v>49</v>
      </c>
      <c r="L14" t="s">
        <v>24</v>
      </c>
      <c r="M14">
        <v>1</v>
      </c>
    </row>
    <row r="15" spans="1:13" x14ac:dyDescent="0.25">
      <c r="A15" s="2">
        <v>46195</v>
      </c>
      <c r="B15" s="1" t="str">
        <f ca="1">IF(Información1[[#This Row],[Fecha]]='Ajuste de fechas'!$A$2,"Día actual","Día anterior")</f>
        <v>Día anterior</v>
      </c>
      <c r="C15" t="s">
        <v>16</v>
      </c>
      <c r="D15" t="s">
        <v>50</v>
      </c>
      <c r="E15" t="s">
        <v>116</v>
      </c>
      <c r="F15" t="s">
        <v>91</v>
      </c>
      <c r="G15" t="s">
        <v>90</v>
      </c>
      <c r="H15" t="s">
        <v>8</v>
      </c>
      <c r="I15" t="s">
        <v>7</v>
      </c>
      <c r="J15" t="s">
        <v>52</v>
      </c>
      <c r="K15" t="s">
        <v>49</v>
      </c>
      <c r="L15" t="s">
        <v>24</v>
      </c>
      <c r="M15">
        <v>1</v>
      </c>
    </row>
    <row r="16" spans="1:13" x14ac:dyDescent="0.25">
      <c r="A16" s="2">
        <v>46195</v>
      </c>
      <c r="B16" s="1" t="str">
        <f ca="1">IF(Información1[[#This Row],[Fecha]]='Ajuste de fechas'!$A$2,"Día actual","Día anterior")</f>
        <v>Día anterior</v>
      </c>
      <c r="C16" t="s">
        <v>16</v>
      </c>
      <c r="D16" t="s">
        <v>50</v>
      </c>
      <c r="E16" t="s">
        <v>117</v>
      </c>
      <c r="F16" t="s">
        <v>58</v>
      </c>
      <c r="G16" t="s">
        <v>90</v>
      </c>
      <c r="H16" t="s">
        <v>8</v>
      </c>
      <c r="I16" t="s">
        <v>7</v>
      </c>
      <c r="J16" t="s">
        <v>52</v>
      </c>
      <c r="K16" t="s">
        <v>49</v>
      </c>
      <c r="L16" t="s">
        <v>24</v>
      </c>
      <c r="M16">
        <v>1</v>
      </c>
    </row>
    <row r="17" spans="1:13" x14ac:dyDescent="0.25">
      <c r="A17" s="2">
        <v>46195</v>
      </c>
      <c r="B17" s="1" t="str">
        <f ca="1">IF(Información1[[#This Row],[Fecha]]='Ajuste de fechas'!$A$2,"Día actual","Día anterior")</f>
        <v>Día anterior</v>
      </c>
      <c r="C17" t="s">
        <v>16</v>
      </c>
      <c r="D17" t="s">
        <v>50</v>
      </c>
      <c r="E17" t="s">
        <v>118</v>
      </c>
      <c r="F17" t="s">
        <v>15</v>
      </c>
      <c r="G17" t="s">
        <v>90</v>
      </c>
      <c r="H17" t="s">
        <v>8</v>
      </c>
      <c r="I17" t="s">
        <v>7</v>
      </c>
      <c r="J17" t="s">
        <v>52</v>
      </c>
      <c r="K17" t="s">
        <v>49</v>
      </c>
      <c r="L17" t="s">
        <v>24</v>
      </c>
      <c r="M17">
        <v>1</v>
      </c>
    </row>
    <row r="18" spans="1:13" x14ac:dyDescent="0.25">
      <c r="A18" s="2">
        <v>46195</v>
      </c>
      <c r="B18" s="1" t="str">
        <f ca="1">IF(Información1[[#This Row],[Fecha]]='Ajuste de fechas'!$A$2,"Día actual","Día anterior")</f>
        <v>Día anterior</v>
      </c>
      <c r="C18" t="s">
        <v>16</v>
      </c>
      <c r="D18" t="s">
        <v>50</v>
      </c>
      <c r="E18" t="s">
        <v>119</v>
      </c>
      <c r="F18" t="s">
        <v>15</v>
      </c>
      <c r="G18" t="s">
        <v>90</v>
      </c>
      <c r="H18" t="s">
        <v>8</v>
      </c>
      <c r="I18" t="s">
        <v>7</v>
      </c>
      <c r="J18" t="s">
        <v>52</v>
      </c>
      <c r="K18" t="s">
        <v>49</v>
      </c>
      <c r="L18" t="s">
        <v>24</v>
      </c>
      <c r="M18">
        <v>1</v>
      </c>
    </row>
    <row r="19" spans="1:13" x14ac:dyDescent="0.25">
      <c r="A19" s="2">
        <v>46195</v>
      </c>
      <c r="B19" s="1" t="str">
        <f ca="1">IF(Información1[[#This Row],[Fecha]]='Ajuste de fechas'!$A$2,"Día actual","Día anterior")</f>
        <v>Día anterior</v>
      </c>
      <c r="C19" t="s">
        <v>16</v>
      </c>
      <c r="D19" t="s">
        <v>50</v>
      </c>
      <c r="E19" t="s">
        <v>120</v>
      </c>
      <c r="F19" t="s">
        <v>13</v>
      </c>
      <c r="G19" t="s">
        <v>90</v>
      </c>
      <c r="H19" t="s">
        <v>8</v>
      </c>
      <c r="I19" t="s">
        <v>7</v>
      </c>
      <c r="J19" t="s">
        <v>13</v>
      </c>
      <c r="K19" t="s">
        <v>49</v>
      </c>
      <c r="L19" t="s">
        <v>24</v>
      </c>
      <c r="M19">
        <v>1</v>
      </c>
    </row>
    <row r="20" spans="1:13" x14ac:dyDescent="0.25">
      <c r="A20" s="2">
        <v>46195</v>
      </c>
      <c r="B20" s="1" t="str">
        <f ca="1">IF(Información1[[#This Row],[Fecha]]='Ajuste de fechas'!$A$2,"Día actual","Día anterior")</f>
        <v>Día anterior</v>
      </c>
      <c r="C20" t="s">
        <v>16</v>
      </c>
      <c r="D20" t="s">
        <v>50</v>
      </c>
      <c r="E20" t="s">
        <v>121</v>
      </c>
      <c r="F20" t="s">
        <v>15</v>
      </c>
      <c r="G20" t="s">
        <v>90</v>
      </c>
      <c r="H20" t="s">
        <v>8</v>
      </c>
      <c r="I20" t="s">
        <v>7</v>
      </c>
      <c r="J20" t="s">
        <v>52</v>
      </c>
      <c r="K20" t="s">
        <v>49</v>
      </c>
      <c r="L20" t="s">
        <v>24</v>
      </c>
      <c r="M20">
        <v>1</v>
      </c>
    </row>
    <row r="21" spans="1:13" x14ac:dyDescent="0.25">
      <c r="A21" s="2">
        <v>46195</v>
      </c>
      <c r="B21" s="1" t="str">
        <f ca="1">IF(Información1[[#This Row],[Fecha]]='Ajuste de fechas'!$A$2,"Día actual","Día anterior")</f>
        <v>Día anterior</v>
      </c>
      <c r="C21" t="s">
        <v>16</v>
      </c>
      <c r="D21" t="s">
        <v>50</v>
      </c>
      <c r="E21" t="s">
        <v>122</v>
      </c>
      <c r="F21" t="s">
        <v>12</v>
      </c>
      <c r="G21" t="s">
        <v>75</v>
      </c>
      <c r="H21" t="s">
        <v>8</v>
      </c>
      <c r="I21" t="s">
        <v>7</v>
      </c>
      <c r="J21" t="s">
        <v>52</v>
      </c>
      <c r="K21" t="s">
        <v>49</v>
      </c>
      <c r="L21" t="s">
        <v>24</v>
      </c>
      <c r="M21">
        <v>1</v>
      </c>
    </row>
    <row r="22" spans="1:13" x14ac:dyDescent="0.25">
      <c r="A22" s="2">
        <v>46195</v>
      </c>
      <c r="B22" s="1" t="str">
        <f ca="1">IF(Información1[[#This Row],[Fecha]]='Ajuste de fechas'!$A$2,"Día actual","Día anterior")</f>
        <v>Día anterior</v>
      </c>
      <c r="C22" t="s">
        <v>16</v>
      </c>
      <c r="D22" t="s">
        <v>50</v>
      </c>
      <c r="E22" t="s">
        <v>123</v>
      </c>
      <c r="F22" t="s">
        <v>15</v>
      </c>
      <c r="G22" t="s">
        <v>77</v>
      </c>
      <c r="H22" t="s">
        <v>8</v>
      </c>
      <c r="I22" t="s">
        <v>7</v>
      </c>
      <c r="J22" t="s">
        <v>52</v>
      </c>
      <c r="K22" t="s">
        <v>49</v>
      </c>
      <c r="L22" t="s">
        <v>24</v>
      </c>
      <c r="M22">
        <v>1</v>
      </c>
    </row>
    <row r="23" spans="1:13" x14ac:dyDescent="0.25">
      <c r="A23" s="2">
        <v>46195</v>
      </c>
      <c r="B23" s="1" t="str">
        <f ca="1">IF(Información1[[#This Row],[Fecha]]='Ajuste de fechas'!$A$2,"Día actual","Día anterior")</f>
        <v>Día anterior</v>
      </c>
      <c r="C23" t="s">
        <v>16</v>
      </c>
      <c r="D23" t="s">
        <v>50</v>
      </c>
      <c r="E23" t="s">
        <v>124</v>
      </c>
      <c r="F23" t="s">
        <v>12</v>
      </c>
      <c r="G23" t="s">
        <v>125</v>
      </c>
      <c r="H23" t="s">
        <v>8</v>
      </c>
      <c r="I23" t="s">
        <v>14</v>
      </c>
      <c r="J23" t="s">
        <v>52</v>
      </c>
      <c r="K23" t="s">
        <v>49</v>
      </c>
      <c r="L23" t="s">
        <v>24</v>
      </c>
      <c r="M23">
        <v>1</v>
      </c>
    </row>
    <row r="24" spans="1:13" x14ac:dyDescent="0.25">
      <c r="A24" s="2">
        <v>46195</v>
      </c>
      <c r="B24" s="1" t="str">
        <f ca="1">IF(Información1[[#This Row],[Fecha]]='Ajuste de fechas'!$A$2,"Día actual","Día anterior")</f>
        <v>Día anterior</v>
      </c>
      <c r="C24" t="s">
        <v>16</v>
      </c>
      <c r="D24" t="s">
        <v>50</v>
      </c>
      <c r="E24" t="s">
        <v>126</v>
      </c>
      <c r="F24" t="s">
        <v>12</v>
      </c>
      <c r="G24" t="s">
        <v>127</v>
      </c>
      <c r="H24" t="s">
        <v>8</v>
      </c>
      <c r="I24" t="s">
        <v>7</v>
      </c>
      <c r="J24" t="s">
        <v>52</v>
      </c>
      <c r="K24" t="s">
        <v>49</v>
      </c>
      <c r="L24" t="s">
        <v>24</v>
      </c>
      <c r="M24">
        <v>1</v>
      </c>
    </row>
    <row r="25" spans="1:13" x14ac:dyDescent="0.25">
      <c r="A25" s="2">
        <v>46195</v>
      </c>
      <c r="B25" s="1" t="str">
        <f ca="1">IF(Información1[[#This Row],[Fecha]]='Ajuste de fechas'!$A$2,"Día actual","Día anterior")</f>
        <v>Día anterior</v>
      </c>
      <c r="C25" t="s">
        <v>16</v>
      </c>
      <c r="D25" t="s">
        <v>50</v>
      </c>
      <c r="E25" t="s">
        <v>128</v>
      </c>
      <c r="F25" t="s">
        <v>12</v>
      </c>
      <c r="G25" t="s">
        <v>127</v>
      </c>
      <c r="H25" t="s">
        <v>8</v>
      </c>
      <c r="I25" t="s">
        <v>7</v>
      </c>
      <c r="J25" t="s">
        <v>52</v>
      </c>
      <c r="K25" t="s">
        <v>49</v>
      </c>
      <c r="L25" t="s">
        <v>24</v>
      </c>
      <c r="M25">
        <v>1</v>
      </c>
    </row>
    <row r="26" spans="1:13" x14ac:dyDescent="0.25">
      <c r="A26" s="2">
        <v>46195</v>
      </c>
      <c r="B26" s="1" t="str">
        <f ca="1">IF(Información1[[#This Row],[Fecha]]='Ajuste de fechas'!$A$2,"Día actual","Día anterior")</f>
        <v>Día anterior</v>
      </c>
      <c r="C26" t="s">
        <v>93</v>
      </c>
      <c r="D26" t="s">
        <v>94</v>
      </c>
      <c r="E26" t="s">
        <v>129</v>
      </c>
      <c r="F26" t="s">
        <v>6</v>
      </c>
      <c r="G26" t="s">
        <v>96</v>
      </c>
      <c r="H26" t="s">
        <v>8</v>
      </c>
      <c r="I26" t="s">
        <v>14</v>
      </c>
      <c r="J26" t="s">
        <v>52</v>
      </c>
      <c r="K26" t="s">
        <v>71</v>
      </c>
      <c r="L26" t="s">
        <v>25</v>
      </c>
      <c r="M26">
        <v>1</v>
      </c>
    </row>
    <row r="27" spans="1:13" x14ac:dyDescent="0.25">
      <c r="A27" s="2">
        <v>46195</v>
      </c>
      <c r="B27" s="1" t="str">
        <f ca="1">IF(Información1[[#This Row],[Fecha]]='Ajuste de fechas'!$A$2,"Día actual","Día anterior")</f>
        <v>Día anterior</v>
      </c>
      <c r="C27" t="s">
        <v>16</v>
      </c>
      <c r="D27" t="s">
        <v>50</v>
      </c>
      <c r="E27" t="s">
        <v>130</v>
      </c>
      <c r="F27" t="s">
        <v>56</v>
      </c>
      <c r="G27" t="s">
        <v>92</v>
      </c>
      <c r="H27" t="s">
        <v>8</v>
      </c>
      <c r="I27" t="s">
        <v>7</v>
      </c>
      <c r="J27" t="s">
        <v>52</v>
      </c>
      <c r="K27" t="s">
        <v>49</v>
      </c>
      <c r="L27" t="s">
        <v>24</v>
      </c>
      <c r="M27">
        <v>1</v>
      </c>
    </row>
    <row r="28" spans="1:13" x14ac:dyDescent="0.25">
      <c r="A28" s="2">
        <v>46195</v>
      </c>
      <c r="B28" s="1" t="str">
        <f ca="1">IF(Información1[[#This Row],[Fecha]]='Ajuste de fechas'!$A$2,"Día actual","Día anterior")</f>
        <v>Día anterior</v>
      </c>
      <c r="C28" t="s">
        <v>16</v>
      </c>
      <c r="D28" t="s">
        <v>50</v>
      </c>
      <c r="E28" t="s">
        <v>131</v>
      </c>
      <c r="F28" t="s">
        <v>41</v>
      </c>
      <c r="G28" t="s">
        <v>82</v>
      </c>
      <c r="H28" t="s">
        <v>8</v>
      </c>
      <c r="I28" t="s">
        <v>7</v>
      </c>
      <c r="J28" t="s">
        <v>52</v>
      </c>
      <c r="K28" t="s">
        <v>49</v>
      </c>
      <c r="L28" t="s">
        <v>24</v>
      </c>
      <c r="M28">
        <v>1</v>
      </c>
    </row>
    <row r="29" spans="1:13" x14ac:dyDescent="0.25">
      <c r="A29" s="2">
        <v>46195</v>
      </c>
      <c r="B29" s="1" t="str">
        <f ca="1">IF(Información1[[#This Row],[Fecha]]='Ajuste de fechas'!$A$2,"Día actual","Día anterior")</f>
        <v>Día anterior</v>
      </c>
      <c r="C29" t="s">
        <v>16</v>
      </c>
      <c r="D29" t="s">
        <v>50</v>
      </c>
      <c r="E29" t="s">
        <v>132</v>
      </c>
      <c r="F29" t="s">
        <v>58</v>
      </c>
      <c r="G29" t="s">
        <v>133</v>
      </c>
      <c r="H29" t="s">
        <v>8</v>
      </c>
      <c r="I29" t="s">
        <v>7</v>
      </c>
      <c r="J29" t="s">
        <v>52</v>
      </c>
      <c r="K29" t="s">
        <v>49</v>
      </c>
      <c r="L29" t="s">
        <v>26</v>
      </c>
      <c r="M29">
        <v>1</v>
      </c>
    </row>
    <row r="30" spans="1:13" x14ac:dyDescent="0.25">
      <c r="A30" s="2">
        <v>46195</v>
      </c>
      <c r="B30" s="1" t="str">
        <f ca="1">IF(Información1[[#This Row],[Fecha]]='Ajuste de fechas'!$A$2,"Día actual","Día anterior")</f>
        <v>Día anterior</v>
      </c>
      <c r="C30" t="s">
        <v>16</v>
      </c>
      <c r="D30" t="s">
        <v>50</v>
      </c>
      <c r="E30" t="s">
        <v>134</v>
      </c>
      <c r="F30" t="s">
        <v>58</v>
      </c>
      <c r="G30" t="s">
        <v>133</v>
      </c>
      <c r="H30" t="s">
        <v>8</v>
      </c>
      <c r="I30" t="s">
        <v>7</v>
      </c>
      <c r="J30" t="s">
        <v>52</v>
      </c>
      <c r="K30" t="s">
        <v>49</v>
      </c>
      <c r="L30" t="s">
        <v>24</v>
      </c>
      <c r="M30">
        <v>1</v>
      </c>
    </row>
    <row r="31" spans="1:13" x14ac:dyDescent="0.25">
      <c r="A31" s="2">
        <v>46195</v>
      </c>
      <c r="B31" s="1" t="str">
        <f ca="1">IF(Información1[[#This Row],[Fecha]]='Ajuste de fechas'!$A$2,"Día actual","Día anterior")</f>
        <v>Día anterior</v>
      </c>
      <c r="C31" t="s">
        <v>16</v>
      </c>
      <c r="D31" t="s">
        <v>50</v>
      </c>
      <c r="E31" t="s">
        <v>135</v>
      </c>
      <c r="F31" t="s">
        <v>11</v>
      </c>
      <c r="G31" t="s">
        <v>136</v>
      </c>
      <c r="H31" t="s">
        <v>8</v>
      </c>
      <c r="I31" t="s">
        <v>14</v>
      </c>
      <c r="J31" t="s">
        <v>53</v>
      </c>
      <c r="K31" t="s">
        <v>49</v>
      </c>
      <c r="L31" t="s">
        <v>24</v>
      </c>
      <c r="M31">
        <v>1</v>
      </c>
    </row>
    <row r="32" spans="1:13" x14ac:dyDescent="0.25">
      <c r="A32" s="2">
        <v>46195</v>
      </c>
      <c r="B32" s="1" t="str">
        <f ca="1">IF(Información1[[#This Row],[Fecha]]='Ajuste de fechas'!$A$2,"Día actual","Día anterior")</f>
        <v>Día anterior</v>
      </c>
      <c r="C32" t="s">
        <v>16</v>
      </c>
      <c r="D32" t="s">
        <v>50</v>
      </c>
      <c r="E32" t="s">
        <v>137</v>
      </c>
      <c r="F32" t="s">
        <v>11</v>
      </c>
      <c r="G32" t="s">
        <v>51</v>
      </c>
      <c r="H32" t="s">
        <v>8</v>
      </c>
      <c r="I32" t="s">
        <v>7</v>
      </c>
      <c r="J32" t="s">
        <v>53</v>
      </c>
      <c r="K32" t="s">
        <v>49</v>
      </c>
      <c r="L32" t="s">
        <v>24</v>
      </c>
      <c r="M32">
        <v>1</v>
      </c>
    </row>
    <row r="33" spans="1:13" x14ac:dyDescent="0.25">
      <c r="A33" s="2">
        <v>46195</v>
      </c>
      <c r="B33" s="1" t="str">
        <f ca="1">IF(Información1[[#This Row],[Fecha]]='Ajuste de fechas'!$A$2,"Día actual","Día anterior")</f>
        <v>Día anterior</v>
      </c>
      <c r="C33" t="s">
        <v>16</v>
      </c>
      <c r="D33" t="s">
        <v>50</v>
      </c>
      <c r="E33" t="s">
        <v>138</v>
      </c>
      <c r="F33" t="s">
        <v>58</v>
      </c>
      <c r="G33" t="s">
        <v>139</v>
      </c>
      <c r="H33" t="s">
        <v>8</v>
      </c>
      <c r="I33" t="s">
        <v>7</v>
      </c>
      <c r="J33" t="s">
        <v>52</v>
      </c>
      <c r="K33" t="s">
        <v>49</v>
      </c>
      <c r="L33" t="s">
        <v>24</v>
      </c>
      <c r="M33">
        <v>1</v>
      </c>
    </row>
    <row r="34" spans="1:13" x14ac:dyDescent="0.25">
      <c r="A34" s="2">
        <v>46195</v>
      </c>
      <c r="B34" s="1" t="str">
        <f ca="1">IF(Información1[[#This Row],[Fecha]]='Ajuste de fechas'!$A$2,"Día actual","Día anterior")</f>
        <v>Día anterior</v>
      </c>
      <c r="C34" t="s">
        <v>16</v>
      </c>
      <c r="D34" t="s">
        <v>50</v>
      </c>
      <c r="E34" t="s">
        <v>140</v>
      </c>
      <c r="F34" t="s">
        <v>58</v>
      </c>
      <c r="G34" t="s">
        <v>141</v>
      </c>
      <c r="H34" t="s">
        <v>8</v>
      </c>
      <c r="I34" t="s">
        <v>7</v>
      </c>
      <c r="J34" t="s">
        <v>52</v>
      </c>
      <c r="K34" t="s">
        <v>49</v>
      </c>
      <c r="L34" t="s">
        <v>24</v>
      </c>
      <c r="M34">
        <v>1</v>
      </c>
    </row>
    <row r="35" spans="1:13" x14ac:dyDescent="0.25">
      <c r="A35" s="2">
        <v>46195</v>
      </c>
      <c r="B35" s="1" t="str">
        <f ca="1">IF(Información1[[#This Row],[Fecha]]='Ajuste de fechas'!$A$2,"Día actual","Día anterior")</f>
        <v>Día anterior</v>
      </c>
      <c r="C35" t="s">
        <v>93</v>
      </c>
      <c r="D35" t="s">
        <v>94</v>
      </c>
      <c r="E35" t="s">
        <v>142</v>
      </c>
      <c r="F35" t="s">
        <v>11</v>
      </c>
      <c r="G35" t="s">
        <v>143</v>
      </c>
      <c r="H35" t="s">
        <v>8</v>
      </c>
      <c r="I35" t="s">
        <v>7</v>
      </c>
      <c r="J35" t="s">
        <v>53</v>
      </c>
      <c r="K35" t="s">
        <v>98</v>
      </c>
      <c r="L35" t="s">
        <v>24</v>
      </c>
      <c r="M35">
        <v>1</v>
      </c>
    </row>
    <row r="36" spans="1:13" x14ac:dyDescent="0.25">
      <c r="A36" s="2">
        <v>46195</v>
      </c>
      <c r="B36" s="1" t="str">
        <f ca="1">IF(Información1[[#This Row],[Fecha]]='Ajuste de fechas'!$A$2,"Día actual","Día anterior")</f>
        <v>Día anterior</v>
      </c>
      <c r="C36" t="s">
        <v>93</v>
      </c>
      <c r="D36" t="s">
        <v>94</v>
      </c>
      <c r="E36" t="s">
        <v>144</v>
      </c>
      <c r="F36" t="s">
        <v>11</v>
      </c>
      <c r="G36" t="s">
        <v>145</v>
      </c>
      <c r="H36" t="s">
        <v>8</v>
      </c>
      <c r="I36" t="s">
        <v>7</v>
      </c>
      <c r="J36" t="s">
        <v>53</v>
      </c>
      <c r="K36" t="s">
        <v>98</v>
      </c>
      <c r="L36" t="s">
        <v>24</v>
      </c>
      <c r="M36">
        <v>1</v>
      </c>
    </row>
    <row r="37" spans="1:13" x14ac:dyDescent="0.25">
      <c r="A37" s="2">
        <v>46195</v>
      </c>
      <c r="B37" s="1" t="str">
        <f ca="1">IF(Información1[[#This Row],[Fecha]]='Ajuste de fechas'!$A$2,"Día actual","Día anterior")</f>
        <v>Día anterior</v>
      </c>
      <c r="C37" t="s">
        <v>16</v>
      </c>
      <c r="D37" t="s">
        <v>50</v>
      </c>
      <c r="E37" t="s">
        <v>146</v>
      </c>
      <c r="F37" t="s">
        <v>15</v>
      </c>
      <c r="G37" t="s">
        <v>55</v>
      </c>
      <c r="H37" t="s">
        <v>8</v>
      </c>
      <c r="I37" t="s">
        <v>7</v>
      </c>
      <c r="J37" t="s">
        <v>52</v>
      </c>
      <c r="K37" t="s">
        <v>49</v>
      </c>
      <c r="L37" t="s">
        <v>24</v>
      </c>
      <c r="M37">
        <v>1</v>
      </c>
    </row>
    <row r="38" spans="1:13" x14ac:dyDescent="0.25">
      <c r="A38" s="2">
        <v>46195</v>
      </c>
      <c r="B38" s="1" t="str">
        <f ca="1">IF(Información1[[#This Row],[Fecha]]='Ajuste de fechas'!$A$2,"Día actual","Día anterior")</f>
        <v>Día anterior</v>
      </c>
      <c r="C38" t="s">
        <v>16</v>
      </c>
      <c r="D38" t="s">
        <v>50</v>
      </c>
      <c r="E38" t="s">
        <v>147</v>
      </c>
      <c r="F38" t="s">
        <v>35</v>
      </c>
      <c r="G38" t="s">
        <v>148</v>
      </c>
      <c r="H38" t="s">
        <v>8</v>
      </c>
      <c r="I38" t="s">
        <v>7</v>
      </c>
      <c r="J38" t="s">
        <v>52</v>
      </c>
      <c r="K38" t="s">
        <v>49</v>
      </c>
      <c r="L38" t="s">
        <v>24</v>
      </c>
      <c r="M38">
        <v>1</v>
      </c>
    </row>
    <row r="39" spans="1:13" x14ac:dyDescent="0.25">
      <c r="A39" s="2">
        <v>46195</v>
      </c>
      <c r="B39" s="1" t="str">
        <f ca="1">IF(Información1[[#This Row],[Fecha]]='Ajuste de fechas'!$A$2,"Día actual","Día anterior")</f>
        <v>Día anterior</v>
      </c>
      <c r="C39" t="s">
        <v>93</v>
      </c>
      <c r="D39" t="s">
        <v>94</v>
      </c>
      <c r="E39" t="s">
        <v>149</v>
      </c>
      <c r="F39" t="s">
        <v>13</v>
      </c>
      <c r="G39" t="s">
        <v>97</v>
      </c>
      <c r="H39" t="s">
        <v>8</v>
      </c>
      <c r="I39" t="s">
        <v>7</v>
      </c>
      <c r="J39" t="s">
        <v>13</v>
      </c>
      <c r="K39" t="s">
        <v>98</v>
      </c>
      <c r="L39" t="s">
        <v>24</v>
      </c>
      <c r="M39">
        <v>1</v>
      </c>
    </row>
    <row r="40" spans="1:13" x14ac:dyDescent="0.25">
      <c r="A40" s="2">
        <v>46195</v>
      </c>
      <c r="B40" s="1" t="str">
        <f ca="1">IF(Información1[[#This Row],[Fecha]]='Ajuste de fechas'!$A$2,"Día actual","Día anterior")</f>
        <v>Día anterior</v>
      </c>
      <c r="C40" t="s">
        <v>93</v>
      </c>
      <c r="D40" t="s">
        <v>94</v>
      </c>
      <c r="E40" t="s">
        <v>150</v>
      </c>
      <c r="F40" t="s">
        <v>72</v>
      </c>
      <c r="G40" t="s">
        <v>151</v>
      </c>
      <c r="H40" t="s">
        <v>8</v>
      </c>
      <c r="I40" t="s">
        <v>7</v>
      </c>
      <c r="J40" t="s">
        <v>52</v>
      </c>
      <c r="K40" t="s">
        <v>98</v>
      </c>
      <c r="L40" t="s">
        <v>24</v>
      </c>
      <c r="M40">
        <v>1</v>
      </c>
    </row>
    <row r="41" spans="1:13" x14ac:dyDescent="0.25">
      <c r="A41" s="2">
        <v>46195</v>
      </c>
      <c r="B41" s="1" t="str">
        <f ca="1">IF(Información1[[#This Row],[Fecha]]='Ajuste de fechas'!$A$2,"Día actual","Día anterior")</f>
        <v>Día anterior</v>
      </c>
      <c r="C41" t="s">
        <v>93</v>
      </c>
      <c r="D41" t="s">
        <v>94</v>
      </c>
      <c r="E41" t="s">
        <v>152</v>
      </c>
      <c r="F41" t="s">
        <v>72</v>
      </c>
      <c r="G41" t="s">
        <v>151</v>
      </c>
      <c r="H41" t="s">
        <v>8</v>
      </c>
      <c r="I41" t="s">
        <v>7</v>
      </c>
      <c r="J41" t="s">
        <v>52</v>
      </c>
      <c r="K41" t="s">
        <v>98</v>
      </c>
      <c r="L41" t="s">
        <v>25</v>
      </c>
      <c r="M41">
        <v>1</v>
      </c>
    </row>
    <row r="42" spans="1:13" x14ac:dyDescent="0.25">
      <c r="A42" s="2">
        <v>46195</v>
      </c>
      <c r="B42" s="1" t="str">
        <f ca="1">IF(Información1[[#This Row],[Fecha]]='Ajuste de fechas'!$A$2,"Día actual","Día anterior")</f>
        <v>Día anterior</v>
      </c>
      <c r="C42" t="s">
        <v>16</v>
      </c>
      <c r="D42" t="s">
        <v>50</v>
      </c>
      <c r="E42" t="s">
        <v>153</v>
      </c>
      <c r="F42" t="s">
        <v>10</v>
      </c>
      <c r="G42" t="s">
        <v>78</v>
      </c>
      <c r="H42" t="s">
        <v>8</v>
      </c>
      <c r="I42" t="s">
        <v>7</v>
      </c>
      <c r="J42" t="s">
        <v>54</v>
      </c>
      <c r="K42" t="s">
        <v>49</v>
      </c>
      <c r="L42" t="s">
        <v>24</v>
      </c>
      <c r="M42">
        <v>1</v>
      </c>
    </row>
    <row r="43" spans="1:13" x14ac:dyDescent="0.25">
      <c r="A43" s="2">
        <v>46195</v>
      </c>
      <c r="B43" s="1" t="str">
        <f ca="1">IF(Información1[[#This Row],[Fecha]]='Ajuste de fechas'!$A$2,"Día actual","Día anterior")</f>
        <v>Día anterior</v>
      </c>
      <c r="C43" t="s">
        <v>16</v>
      </c>
      <c r="D43" t="s">
        <v>50</v>
      </c>
      <c r="E43" t="s">
        <v>154</v>
      </c>
      <c r="F43" t="s">
        <v>12</v>
      </c>
      <c r="G43" t="s">
        <v>155</v>
      </c>
      <c r="H43" t="s">
        <v>8</v>
      </c>
      <c r="I43" t="s">
        <v>7</v>
      </c>
      <c r="J43" t="s">
        <v>52</v>
      </c>
      <c r="K43" t="s">
        <v>49</v>
      </c>
      <c r="L43" t="s">
        <v>24</v>
      </c>
      <c r="M43">
        <v>1</v>
      </c>
    </row>
    <row r="44" spans="1:13" x14ac:dyDescent="0.25">
      <c r="A44" s="2">
        <v>46195</v>
      </c>
      <c r="B44" s="1" t="str">
        <f ca="1">IF(Información1[[#This Row],[Fecha]]='Ajuste de fechas'!$A$2,"Día actual","Día anterior")</f>
        <v>Día anterior</v>
      </c>
      <c r="C44" t="s">
        <v>93</v>
      </c>
      <c r="D44" t="s">
        <v>94</v>
      </c>
      <c r="E44" t="s">
        <v>156</v>
      </c>
      <c r="F44" t="s">
        <v>15</v>
      </c>
      <c r="G44" t="s">
        <v>85</v>
      </c>
      <c r="H44" t="s">
        <v>8</v>
      </c>
      <c r="I44" t="s">
        <v>7</v>
      </c>
      <c r="J44" t="s">
        <v>52</v>
      </c>
      <c r="K44" t="s">
        <v>98</v>
      </c>
      <c r="L44" t="s">
        <v>26</v>
      </c>
      <c r="M44">
        <v>1</v>
      </c>
    </row>
    <row r="45" spans="1:13" x14ac:dyDescent="0.25">
      <c r="A45" s="2">
        <v>46195</v>
      </c>
      <c r="B45" s="1" t="str">
        <f ca="1">IF(Información1[[#This Row],[Fecha]]='Ajuste de fechas'!$A$2,"Día actual","Día anterior")</f>
        <v>Día anterior</v>
      </c>
      <c r="C45" t="s">
        <v>16</v>
      </c>
      <c r="D45" t="s">
        <v>50</v>
      </c>
      <c r="E45" t="s">
        <v>157</v>
      </c>
      <c r="F45" t="s">
        <v>17</v>
      </c>
      <c r="G45" t="s">
        <v>158</v>
      </c>
      <c r="H45" t="s">
        <v>8</v>
      </c>
      <c r="I45" t="s">
        <v>7</v>
      </c>
      <c r="J45" t="s">
        <v>52</v>
      </c>
      <c r="K45" t="s">
        <v>49</v>
      </c>
      <c r="L45" t="s">
        <v>26</v>
      </c>
      <c r="M45">
        <v>1</v>
      </c>
    </row>
    <row r="46" spans="1:13" x14ac:dyDescent="0.25">
      <c r="A46" s="2">
        <v>46195</v>
      </c>
      <c r="B46" s="1" t="str">
        <f ca="1">IF(Información1[[#This Row],[Fecha]]='Ajuste de fechas'!$A$2,"Día actual","Día anterior")</f>
        <v>Día anterior</v>
      </c>
      <c r="C46" t="s">
        <v>93</v>
      </c>
      <c r="D46" t="s">
        <v>94</v>
      </c>
      <c r="E46" t="s">
        <v>159</v>
      </c>
      <c r="F46" t="s">
        <v>17</v>
      </c>
      <c r="G46" t="s">
        <v>158</v>
      </c>
      <c r="H46" t="s">
        <v>8</v>
      </c>
      <c r="I46" t="s">
        <v>7</v>
      </c>
      <c r="J46" t="s">
        <v>52</v>
      </c>
      <c r="K46" t="s">
        <v>98</v>
      </c>
      <c r="L46" t="s">
        <v>24</v>
      </c>
      <c r="M46">
        <v>1</v>
      </c>
    </row>
    <row r="47" spans="1:13" x14ac:dyDescent="0.25">
      <c r="A47" s="2">
        <v>46195</v>
      </c>
      <c r="B47" s="1" t="str">
        <f ca="1">IF(Información1[[#This Row],[Fecha]]='Ajuste de fechas'!$A$2,"Día actual","Día anterior")</f>
        <v>Día anterior</v>
      </c>
      <c r="C47" t="s">
        <v>93</v>
      </c>
      <c r="D47" t="s">
        <v>94</v>
      </c>
      <c r="E47" t="s">
        <v>95</v>
      </c>
      <c r="F47" t="s">
        <v>10</v>
      </c>
      <c r="G47" t="s">
        <v>160</v>
      </c>
      <c r="H47" t="s">
        <v>8</v>
      </c>
      <c r="I47" t="s">
        <v>14</v>
      </c>
      <c r="J47" t="s">
        <v>54</v>
      </c>
      <c r="K47" t="s">
        <v>71</v>
      </c>
      <c r="L47" t="s">
        <v>25</v>
      </c>
      <c r="M47">
        <v>1</v>
      </c>
    </row>
    <row r="48" spans="1:13" x14ac:dyDescent="0.25">
      <c r="A48" s="2">
        <v>46195</v>
      </c>
      <c r="B48" s="1" t="str">
        <f ca="1">IF(Información1[[#This Row],[Fecha]]='Ajuste de fechas'!$A$2,"Día actual","Día anterior")</f>
        <v>Día anterior</v>
      </c>
      <c r="C48" t="s">
        <v>16</v>
      </c>
      <c r="D48" t="s">
        <v>50</v>
      </c>
      <c r="E48" t="s">
        <v>161</v>
      </c>
      <c r="F48" t="s">
        <v>56</v>
      </c>
      <c r="G48" t="s">
        <v>162</v>
      </c>
      <c r="H48" t="s">
        <v>8</v>
      </c>
      <c r="I48" t="s">
        <v>7</v>
      </c>
      <c r="J48" t="s">
        <v>52</v>
      </c>
      <c r="K48" t="s">
        <v>49</v>
      </c>
      <c r="L48" t="s">
        <v>24</v>
      </c>
      <c r="M48">
        <v>1</v>
      </c>
    </row>
    <row r="49" spans="1:13" x14ac:dyDescent="0.25">
      <c r="A49" s="2">
        <v>46195</v>
      </c>
      <c r="B49" s="1" t="str">
        <f ca="1">IF(Información1[[#This Row],[Fecha]]='Ajuste de fechas'!$A$2,"Día actual","Día anterior")</f>
        <v>Día anterior</v>
      </c>
      <c r="C49" t="s">
        <v>93</v>
      </c>
      <c r="D49" t="s">
        <v>94</v>
      </c>
      <c r="E49" t="s">
        <v>163</v>
      </c>
      <c r="F49" t="s">
        <v>10</v>
      </c>
      <c r="G49" t="s">
        <v>164</v>
      </c>
      <c r="H49" t="s">
        <v>8</v>
      </c>
      <c r="I49" t="s">
        <v>7</v>
      </c>
      <c r="J49" t="s">
        <v>54</v>
      </c>
      <c r="K49" t="s">
        <v>71</v>
      </c>
      <c r="L49" t="s">
        <v>24</v>
      </c>
      <c r="M49">
        <v>1</v>
      </c>
    </row>
    <row r="50" spans="1:13" x14ac:dyDescent="0.25">
      <c r="A50" s="2">
        <v>46195</v>
      </c>
      <c r="B50" s="1" t="str">
        <f ca="1">IF(Información1[[#This Row],[Fecha]]='Ajuste de fechas'!$A$2,"Día actual","Día anterior")</f>
        <v>Día anterior</v>
      </c>
      <c r="C50" t="s">
        <v>16</v>
      </c>
      <c r="D50" t="s">
        <v>50</v>
      </c>
      <c r="E50" t="s">
        <v>165</v>
      </c>
      <c r="F50" t="s">
        <v>15</v>
      </c>
      <c r="G50" t="s">
        <v>166</v>
      </c>
      <c r="H50" t="s">
        <v>8</v>
      </c>
      <c r="I50" t="s">
        <v>7</v>
      </c>
      <c r="J50" t="s">
        <v>52</v>
      </c>
      <c r="K50" t="s">
        <v>49</v>
      </c>
      <c r="L50" t="s">
        <v>24</v>
      </c>
      <c r="M50">
        <v>1</v>
      </c>
    </row>
    <row r="51" spans="1:13" x14ac:dyDescent="0.25">
      <c r="A51" s="2">
        <v>46195</v>
      </c>
      <c r="B51" s="1" t="str">
        <f ca="1">IF(Información1[[#This Row],[Fecha]]='Ajuste de fechas'!$A$2,"Día actual","Día anterior")</f>
        <v>Día anterior</v>
      </c>
      <c r="C51" t="s">
        <v>93</v>
      </c>
      <c r="D51" t="s">
        <v>94</v>
      </c>
      <c r="E51" t="s">
        <v>167</v>
      </c>
      <c r="F51" t="s">
        <v>79</v>
      </c>
      <c r="G51" t="s">
        <v>168</v>
      </c>
      <c r="H51" t="s">
        <v>8</v>
      </c>
      <c r="I51" t="s">
        <v>14</v>
      </c>
      <c r="J51" t="s">
        <v>52</v>
      </c>
      <c r="K51" t="s">
        <v>71</v>
      </c>
      <c r="L51" t="s">
        <v>25</v>
      </c>
      <c r="M51">
        <v>1</v>
      </c>
    </row>
    <row r="52" spans="1:13" x14ac:dyDescent="0.25">
      <c r="A52" s="2">
        <v>46195</v>
      </c>
      <c r="B52" s="1" t="str">
        <f ca="1">IF(Información1[[#This Row],[Fecha]]='Ajuste de fechas'!$A$2,"Día actual","Día anterior")</f>
        <v>Día anterior</v>
      </c>
      <c r="C52" t="s">
        <v>93</v>
      </c>
      <c r="D52" t="s">
        <v>94</v>
      </c>
      <c r="E52" t="s">
        <v>169</v>
      </c>
      <c r="F52" t="s">
        <v>6</v>
      </c>
      <c r="G52" t="s">
        <v>170</v>
      </c>
      <c r="H52" t="s">
        <v>8</v>
      </c>
      <c r="I52" t="s">
        <v>14</v>
      </c>
      <c r="J52" t="s">
        <v>52</v>
      </c>
      <c r="K52" t="s">
        <v>71</v>
      </c>
      <c r="L52" t="s">
        <v>25</v>
      </c>
      <c r="M52">
        <v>1</v>
      </c>
    </row>
    <row r="53" spans="1:13" x14ac:dyDescent="0.25">
      <c r="A53" s="2">
        <v>46195</v>
      </c>
      <c r="B53" s="1" t="str">
        <f ca="1">IF(Información1[[#This Row],[Fecha]]='Ajuste de fechas'!$A$2,"Día actual","Día anterior")</f>
        <v>Día anterior</v>
      </c>
      <c r="C53" t="s">
        <v>60</v>
      </c>
      <c r="D53" t="s">
        <v>61</v>
      </c>
      <c r="E53" t="s">
        <v>172</v>
      </c>
      <c r="F53" t="s">
        <v>15</v>
      </c>
      <c r="G53" t="s">
        <v>171</v>
      </c>
      <c r="H53" t="s">
        <v>8</v>
      </c>
      <c r="I53" t="s">
        <v>7</v>
      </c>
      <c r="J53" t="s">
        <v>52</v>
      </c>
      <c r="K53" t="s">
        <v>62</v>
      </c>
      <c r="L53" t="s">
        <v>24</v>
      </c>
      <c r="M53">
        <v>1</v>
      </c>
    </row>
    <row r="54" spans="1:13" x14ac:dyDescent="0.25">
      <c r="A54" s="2">
        <v>46195</v>
      </c>
      <c r="B54" s="1" t="str">
        <f ca="1">IF(Información1[[#This Row],[Fecha]]='Ajuste de fechas'!$A$2,"Día actual","Día anterior")</f>
        <v>Día anterior</v>
      </c>
      <c r="C54" t="s">
        <v>60</v>
      </c>
      <c r="D54" t="s">
        <v>61</v>
      </c>
      <c r="E54" t="s">
        <v>173</v>
      </c>
      <c r="F54" t="s">
        <v>10</v>
      </c>
      <c r="G54" t="s">
        <v>97</v>
      </c>
      <c r="H54" t="s">
        <v>8</v>
      </c>
      <c r="I54" t="s">
        <v>7</v>
      </c>
      <c r="J54" t="s">
        <v>54</v>
      </c>
      <c r="K54" t="s">
        <v>62</v>
      </c>
      <c r="L54" t="s">
        <v>24</v>
      </c>
      <c r="M54">
        <v>1</v>
      </c>
    </row>
    <row r="55" spans="1:13" x14ac:dyDescent="0.25">
      <c r="A55" s="2">
        <v>46195</v>
      </c>
      <c r="B55" s="1" t="str">
        <f ca="1">IF(Información1[[#This Row],[Fecha]]='Ajuste de fechas'!$A$2,"Día actual","Día anterior")</f>
        <v>Día anterior</v>
      </c>
      <c r="C55" t="s">
        <v>60</v>
      </c>
      <c r="D55" t="s">
        <v>61</v>
      </c>
      <c r="E55" t="s">
        <v>174</v>
      </c>
      <c r="F55" t="s">
        <v>10</v>
      </c>
      <c r="G55" t="s">
        <v>69</v>
      </c>
      <c r="H55" t="s">
        <v>8</v>
      </c>
      <c r="I55" t="s">
        <v>7</v>
      </c>
      <c r="J55" t="s">
        <v>54</v>
      </c>
      <c r="K55" t="s">
        <v>62</v>
      </c>
      <c r="L55" t="s">
        <v>24</v>
      </c>
      <c r="M55">
        <v>1</v>
      </c>
    </row>
    <row r="56" spans="1:13" x14ac:dyDescent="0.25">
      <c r="A56" s="2">
        <v>46195</v>
      </c>
      <c r="B56" s="1" t="str">
        <f ca="1">IF(Información1[[#This Row],[Fecha]]='Ajuste de fechas'!$A$2,"Día actual","Día anterior")</f>
        <v>Día anterior</v>
      </c>
      <c r="C56" t="s">
        <v>60</v>
      </c>
      <c r="D56" t="s">
        <v>61</v>
      </c>
      <c r="E56" t="s">
        <v>175</v>
      </c>
      <c r="F56" t="s">
        <v>10</v>
      </c>
      <c r="G56" t="s">
        <v>176</v>
      </c>
      <c r="H56" t="s">
        <v>8</v>
      </c>
      <c r="I56" t="s">
        <v>14</v>
      </c>
      <c r="J56" t="s">
        <v>54</v>
      </c>
      <c r="K56" t="s">
        <v>62</v>
      </c>
      <c r="L56" t="s">
        <v>24</v>
      </c>
      <c r="M56">
        <v>1</v>
      </c>
    </row>
    <row r="57" spans="1:13" x14ac:dyDescent="0.25">
      <c r="A57" s="2">
        <v>46195</v>
      </c>
      <c r="B57" s="1" t="str">
        <f ca="1">IF(Información1[[#This Row],[Fecha]]='Ajuste de fechas'!$A$2,"Día actual","Día anterior")</f>
        <v>Día anterior</v>
      </c>
      <c r="C57" t="s">
        <v>60</v>
      </c>
      <c r="D57" t="s">
        <v>61</v>
      </c>
      <c r="E57" t="s">
        <v>177</v>
      </c>
      <c r="F57" t="s">
        <v>63</v>
      </c>
      <c r="G57" t="s">
        <v>178</v>
      </c>
      <c r="H57" t="s">
        <v>8</v>
      </c>
      <c r="I57" t="s">
        <v>14</v>
      </c>
      <c r="J57" t="s">
        <v>52</v>
      </c>
      <c r="K57" t="s">
        <v>62</v>
      </c>
      <c r="L57" t="s">
        <v>24</v>
      </c>
      <c r="M57">
        <v>1</v>
      </c>
    </row>
    <row r="58" spans="1:13" x14ac:dyDescent="0.25">
      <c r="A58" s="2">
        <v>46195</v>
      </c>
      <c r="B58" s="1" t="str">
        <f ca="1">IF(Información1[[#This Row],[Fecha]]='Ajuste de fechas'!$A$2,"Día actual","Día anterior")</f>
        <v>Día anterior</v>
      </c>
      <c r="C58" t="s">
        <v>60</v>
      </c>
      <c r="D58" t="s">
        <v>61</v>
      </c>
      <c r="E58" t="s">
        <v>179</v>
      </c>
      <c r="F58" t="s">
        <v>12</v>
      </c>
      <c r="G58" t="s">
        <v>75</v>
      </c>
      <c r="H58" t="s">
        <v>8</v>
      </c>
      <c r="I58" t="s">
        <v>7</v>
      </c>
      <c r="J58" t="s">
        <v>52</v>
      </c>
      <c r="K58" t="s">
        <v>62</v>
      </c>
      <c r="L58" t="s">
        <v>26</v>
      </c>
      <c r="M58">
        <v>1</v>
      </c>
    </row>
    <row r="59" spans="1:13" x14ac:dyDescent="0.25">
      <c r="A59" s="2">
        <v>46195</v>
      </c>
      <c r="B59" s="1" t="str">
        <f ca="1">IF(Información1[[#This Row],[Fecha]]='Ajuste de fechas'!$A$2,"Día actual","Día anterior")</f>
        <v>Día anterior</v>
      </c>
      <c r="C59" t="s">
        <v>60</v>
      </c>
      <c r="D59" t="s">
        <v>61</v>
      </c>
      <c r="E59" t="s">
        <v>180</v>
      </c>
      <c r="F59" t="s">
        <v>13</v>
      </c>
      <c r="G59" t="s">
        <v>88</v>
      </c>
      <c r="H59" t="s">
        <v>8</v>
      </c>
      <c r="I59" t="s">
        <v>7</v>
      </c>
      <c r="J59" t="s">
        <v>13</v>
      </c>
      <c r="K59" t="s">
        <v>62</v>
      </c>
      <c r="L59" t="s">
        <v>24</v>
      </c>
      <c r="M59">
        <v>1</v>
      </c>
    </row>
    <row r="60" spans="1:13" x14ac:dyDescent="0.25">
      <c r="A60" s="2">
        <v>46195</v>
      </c>
      <c r="B60" s="1" t="str">
        <f ca="1">IF(Información1[[#This Row],[Fecha]]='Ajuste de fechas'!$A$2,"Día actual","Día anterior")</f>
        <v>Día anterior</v>
      </c>
      <c r="C60" t="s">
        <v>60</v>
      </c>
      <c r="D60" t="s">
        <v>61</v>
      </c>
      <c r="E60" t="s">
        <v>181</v>
      </c>
      <c r="F60" t="s">
        <v>35</v>
      </c>
      <c r="G60" t="s">
        <v>148</v>
      </c>
      <c r="H60" t="s">
        <v>8</v>
      </c>
      <c r="I60" t="s">
        <v>7</v>
      </c>
      <c r="J60" t="s">
        <v>52</v>
      </c>
      <c r="K60" t="s">
        <v>62</v>
      </c>
      <c r="L60" t="s">
        <v>24</v>
      </c>
      <c r="M60">
        <v>1</v>
      </c>
    </row>
    <row r="61" spans="1:13" x14ac:dyDescent="0.25">
      <c r="A61" s="2">
        <v>46195</v>
      </c>
      <c r="B61" s="1" t="str">
        <f ca="1">IF(Información1[[#This Row],[Fecha]]='Ajuste de fechas'!$A$2,"Día actual","Día anterior")</f>
        <v>Día anterior</v>
      </c>
      <c r="C61" t="s">
        <v>60</v>
      </c>
      <c r="D61" t="s">
        <v>61</v>
      </c>
      <c r="E61" t="s">
        <v>182</v>
      </c>
      <c r="F61" t="s">
        <v>12</v>
      </c>
      <c r="G61" t="s">
        <v>109</v>
      </c>
      <c r="H61" t="s">
        <v>8</v>
      </c>
      <c r="I61" t="s">
        <v>7</v>
      </c>
      <c r="J61" t="s">
        <v>52</v>
      </c>
      <c r="K61" t="s">
        <v>62</v>
      </c>
      <c r="L61" t="s">
        <v>26</v>
      </c>
      <c r="M61">
        <v>1</v>
      </c>
    </row>
    <row r="62" spans="1:13" x14ac:dyDescent="0.25">
      <c r="A62" s="2">
        <v>46195</v>
      </c>
      <c r="B62" s="1" t="str">
        <f ca="1">IF(Información1[[#This Row],[Fecha]]='Ajuste de fechas'!$A$2,"Día actual","Día anterior")</f>
        <v>Día anterior</v>
      </c>
      <c r="C62" t="s">
        <v>60</v>
      </c>
      <c r="D62" t="s">
        <v>61</v>
      </c>
      <c r="E62" t="s">
        <v>183</v>
      </c>
      <c r="F62" t="s">
        <v>12</v>
      </c>
      <c r="G62" t="s">
        <v>84</v>
      </c>
      <c r="H62" t="s">
        <v>8</v>
      </c>
      <c r="I62" t="s">
        <v>7</v>
      </c>
      <c r="J62" t="s">
        <v>52</v>
      </c>
      <c r="K62" t="s">
        <v>62</v>
      </c>
      <c r="L62" t="s">
        <v>24</v>
      </c>
      <c r="M62">
        <v>1</v>
      </c>
    </row>
    <row r="63" spans="1:13" x14ac:dyDescent="0.25">
      <c r="A63" s="2">
        <v>46195</v>
      </c>
      <c r="B63" s="1" t="str">
        <f ca="1">IF(Información1[[#This Row],[Fecha]]='Ajuste de fechas'!$A$2,"Día actual","Día anterior")</f>
        <v>Día anterior</v>
      </c>
      <c r="C63" t="s">
        <v>60</v>
      </c>
      <c r="D63" t="s">
        <v>61</v>
      </c>
      <c r="E63" t="s">
        <v>184</v>
      </c>
      <c r="F63" t="s">
        <v>10</v>
      </c>
      <c r="G63" t="s">
        <v>185</v>
      </c>
      <c r="H63" t="s">
        <v>8</v>
      </c>
      <c r="I63" t="s">
        <v>7</v>
      </c>
      <c r="J63" t="s">
        <v>54</v>
      </c>
      <c r="K63" t="s">
        <v>62</v>
      </c>
      <c r="L63" t="s">
        <v>24</v>
      </c>
      <c r="M63">
        <v>1</v>
      </c>
    </row>
    <row r="64" spans="1:13" x14ac:dyDescent="0.25">
      <c r="A64" s="2">
        <v>46195</v>
      </c>
      <c r="B64" s="1" t="str">
        <f ca="1">IF(Información1[[#This Row],[Fecha]]='Ajuste de fechas'!$A$2,"Día actual","Día anterior")</f>
        <v>Día anterior</v>
      </c>
      <c r="C64" t="s">
        <v>60</v>
      </c>
      <c r="D64" t="s">
        <v>61</v>
      </c>
      <c r="E64" t="s">
        <v>186</v>
      </c>
      <c r="F64" t="s">
        <v>79</v>
      </c>
      <c r="G64" t="s">
        <v>80</v>
      </c>
      <c r="H64" t="s">
        <v>8</v>
      </c>
      <c r="I64" t="s">
        <v>7</v>
      </c>
      <c r="J64" t="s">
        <v>52</v>
      </c>
      <c r="K64" t="s">
        <v>62</v>
      </c>
      <c r="L64" t="s">
        <v>24</v>
      </c>
      <c r="M64">
        <v>1</v>
      </c>
    </row>
    <row r="65" spans="1:13" x14ac:dyDescent="0.25">
      <c r="A65" s="2">
        <v>46195</v>
      </c>
      <c r="B65" s="1" t="str">
        <f ca="1">IF(Información1[[#This Row],[Fecha]]='Ajuste de fechas'!$A$2,"Día actual","Día anterior")</f>
        <v>Día anterior</v>
      </c>
      <c r="C65" t="s">
        <v>60</v>
      </c>
      <c r="D65" t="s">
        <v>61</v>
      </c>
      <c r="E65" t="s">
        <v>187</v>
      </c>
      <c r="F65" t="s">
        <v>10</v>
      </c>
      <c r="G65" t="s">
        <v>188</v>
      </c>
      <c r="H65" t="s">
        <v>8</v>
      </c>
      <c r="I65" t="s">
        <v>7</v>
      </c>
      <c r="J65" t="s">
        <v>54</v>
      </c>
      <c r="K65" t="s">
        <v>62</v>
      </c>
      <c r="L65" t="s">
        <v>24</v>
      </c>
      <c r="M65">
        <v>1</v>
      </c>
    </row>
    <row r="66" spans="1:13" x14ac:dyDescent="0.25">
      <c r="A66" s="2">
        <v>46195</v>
      </c>
      <c r="B66" s="1" t="str">
        <f ca="1">IF(Información1[[#This Row],[Fecha]]='Ajuste de fechas'!$A$2,"Día actual","Día anterior")</f>
        <v>Día anterior</v>
      </c>
      <c r="C66" t="s">
        <v>60</v>
      </c>
      <c r="D66" t="s">
        <v>61</v>
      </c>
      <c r="E66" t="s">
        <v>189</v>
      </c>
      <c r="F66" t="s">
        <v>58</v>
      </c>
      <c r="G66" t="s">
        <v>83</v>
      </c>
      <c r="H66" t="s">
        <v>8</v>
      </c>
      <c r="I66" t="s">
        <v>7</v>
      </c>
      <c r="J66" t="s">
        <v>52</v>
      </c>
      <c r="K66" t="s">
        <v>62</v>
      </c>
      <c r="L66" t="s">
        <v>26</v>
      </c>
      <c r="M66">
        <v>1</v>
      </c>
    </row>
    <row r="67" spans="1:13" x14ac:dyDescent="0.25">
      <c r="A67" s="2">
        <v>46195</v>
      </c>
      <c r="B67" s="1" t="str">
        <f ca="1">IF(Información1[[#This Row],[Fecha]]='Ajuste de fechas'!$A$2,"Día actual","Día anterior")</f>
        <v>Día anterior</v>
      </c>
      <c r="C67" t="s">
        <v>60</v>
      </c>
      <c r="D67" t="s">
        <v>61</v>
      </c>
      <c r="E67" t="s">
        <v>190</v>
      </c>
      <c r="F67" t="s">
        <v>34</v>
      </c>
      <c r="G67" t="s">
        <v>191</v>
      </c>
      <c r="H67" t="s">
        <v>8</v>
      </c>
      <c r="I67" t="s">
        <v>7</v>
      </c>
      <c r="J67" t="s">
        <v>13</v>
      </c>
      <c r="K67" t="s">
        <v>62</v>
      </c>
      <c r="L67" t="s">
        <v>24</v>
      </c>
      <c r="M67">
        <v>1</v>
      </c>
    </row>
    <row r="68" spans="1:13" x14ac:dyDescent="0.25">
      <c r="A68" s="2">
        <v>46195</v>
      </c>
      <c r="B68" s="1" t="str">
        <f ca="1">IF(Información1[[#This Row],[Fecha]]='Ajuste de fechas'!$A$2,"Día actual","Día anterior")</f>
        <v>Día anterior</v>
      </c>
      <c r="C68" t="s">
        <v>60</v>
      </c>
      <c r="D68" t="s">
        <v>61</v>
      </c>
      <c r="E68" t="s">
        <v>192</v>
      </c>
      <c r="F68" t="s">
        <v>15</v>
      </c>
      <c r="G68" t="s">
        <v>90</v>
      </c>
      <c r="H68" t="s">
        <v>8</v>
      </c>
      <c r="I68" t="s">
        <v>7</v>
      </c>
      <c r="J68" t="s">
        <v>52</v>
      </c>
      <c r="K68" t="s">
        <v>62</v>
      </c>
      <c r="L68" t="s">
        <v>26</v>
      </c>
      <c r="M68">
        <v>1</v>
      </c>
    </row>
    <row r="69" spans="1:13" x14ac:dyDescent="0.25">
      <c r="A69" s="2">
        <v>46195</v>
      </c>
      <c r="B69" s="1" t="str">
        <f ca="1">IF(Información1[[#This Row],[Fecha]]='Ajuste de fechas'!$A$2,"Día actual","Día anterior")</f>
        <v>Día anterior</v>
      </c>
      <c r="C69" t="s">
        <v>60</v>
      </c>
      <c r="D69" t="s">
        <v>61</v>
      </c>
      <c r="E69" t="s">
        <v>64</v>
      </c>
      <c r="F69" t="s">
        <v>10</v>
      </c>
      <c r="G69" t="s">
        <v>69</v>
      </c>
      <c r="H69" t="s">
        <v>8</v>
      </c>
      <c r="I69" t="s">
        <v>7</v>
      </c>
      <c r="J69" t="s">
        <v>54</v>
      </c>
      <c r="K69" t="s">
        <v>62</v>
      </c>
      <c r="L69" t="s">
        <v>24</v>
      </c>
      <c r="M69">
        <v>1</v>
      </c>
    </row>
    <row r="70" spans="1:13" x14ac:dyDescent="0.25">
      <c r="A70" s="2">
        <v>46195</v>
      </c>
      <c r="B70" s="1" t="str">
        <f ca="1">IF(Información1[[#This Row],[Fecha]]='Ajuste de fechas'!$A$2,"Día actual","Día anterior")</f>
        <v>Día anterior</v>
      </c>
      <c r="C70" t="s">
        <v>60</v>
      </c>
      <c r="D70" t="s">
        <v>61</v>
      </c>
      <c r="E70" t="s">
        <v>193</v>
      </c>
      <c r="F70" t="s">
        <v>13</v>
      </c>
      <c r="G70" t="s">
        <v>194</v>
      </c>
      <c r="H70" t="s">
        <v>8</v>
      </c>
      <c r="I70" t="s">
        <v>7</v>
      </c>
      <c r="J70" t="s">
        <v>13</v>
      </c>
      <c r="K70" t="s">
        <v>62</v>
      </c>
      <c r="L70" t="s">
        <v>24</v>
      </c>
      <c r="M70">
        <v>1</v>
      </c>
    </row>
    <row r="71" spans="1:13" x14ac:dyDescent="0.25">
      <c r="A71" s="2">
        <v>46195</v>
      </c>
      <c r="B71" s="1" t="str">
        <f ca="1">IF(Información1[[#This Row],[Fecha]]='Ajuste de fechas'!$A$2,"Día actual","Día anterior")</f>
        <v>Día anterior</v>
      </c>
      <c r="C71" t="s">
        <v>60</v>
      </c>
      <c r="D71" t="s">
        <v>61</v>
      </c>
      <c r="E71" t="s">
        <v>195</v>
      </c>
      <c r="F71" t="s">
        <v>9</v>
      </c>
      <c r="G71" t="s">
        <v>40</v>
      </c>
      <c r="H71" t="s">
        <v>8</v>
      </c>
      <c r="I71" t="s">
        <v>7</v>
      </c>
      <c r="J71" t="s">
        <v>52</v>
      </c>
      <c r="K71" t="s">
        <v>62</v>
      </c>
      <c r="L71" t="s">
        <v>24</v>
      </c>
      <c r="M71">
        <v>1</v>
      </c>
    </row>
    <row r="72" spans="1:13" x14ac:dyDescent="0.25">
      <c r="A72" s="2">
        <v>46195</v>
      </c>
      <c r="B72" s="1" t="str">
        <f ca="1">IF(Información1[[#This Row],[Fecha]]='Ajuste de fechas'!$A$2,"Día actual","Día anterior")</f>
        <v>Día anterior</v>
      </c>
      <c r="C72" t="s">
        <v>60</v>
      </c>
      <c r="D72" t="s">
        <v>61</v>
      </c>
      <c r="E72" t="s">
        <v>196</v>
      </c>
      <c r="F72" t="s">
        <v>10</v>
      </c>
      <c r="G72" t="s">
        <v>45</v>
      </c>
      <c r="H72" t="s">
        <v>8</v>
      </c>
      <c r="I72" t="s">
        <v>7</v>
      </c>
      <c r="J72" t="s">
        <v>54</v>
      </c>
      <c r="K72" t="s">
        <v>62</v>
      </c>
      <c r="L72" t="s">
        <v>24</v>
      </c>
      <c r="M72">
        <v>1</v>
      </c>
    </row>
    <row r="73" spans="1:13" x14ac:dyDescent="0.25">
      <c r="A73" s="2">
        <v>46195</v>
      </c>
      <c r="B73" s="1" t="str">
        <f ca="1">IF(Información1[[#This Row],[Fecha]]='Ajuste de fechas'!$A$2,"Día actual","Día anterior")</f>
        <v>Día anterior</v>
      </c>
      <c r="C73" t="s">
        <v>60</v>
      </c>
      <c r="D73" t="s">
        <v>61</v>
      </c>
      <c r="E73" t="s">
        <v>197</v>
      </c>
      <c r="F73" t="s">
        <v>10</v>
      </c>
      <c r="G73" t="s">
        <v>198</v>
      </c>
      <c r="H73" t="s">
        <v>8</v>
      </c>
      <c r="I73" t="s">
        <v>7</v>
      </c>
      <c r="J73" t="s">
        <v>54</v>
      </c>
      <c r="K73" t="s">
        <v>62</v>
      </c>
      <c r="L73" t="s">
        <v>24</v>
      </c>
      <c r="M73">
        <v>1</v>
      </c>
    </row>
    <row r="74" spans="1:13" x14ac:dyDescent="0.25">
      <c r="A74" s="2">
        <v>46195</v>
      </c>
      <c r="B74" s="1" t="str">
        <f ca="1">IF(Información1[[#This Row],[Fecha]]='Ajuste de fechas'!$A$2,"Día actual","Día anterior")</f>
        <v>Día anterior</v>
      </c>
      <c r="C74" t="s">
        <v>65</v>
      </c>
      <c r="D74" t="s">
        <v>66</v>
      </c>
      <c r="E74" t="s">
        <v>199</v>
      </c>
      <c r="F74" t="s">
        <v>13</v>
      </c>
      <c r="G74" t="s">
        <v>200</v>
      </c>
      <c r="H74" t="s">
        <v>59</v>
      </c>
      <c r="I74" t="s">
        <v>7</v>
      </c>
      <c r="J74" t="s">
        <v>13</v>
      </c>
      <c r="K74" t="s">
        <v>201</v>
      </c>
      <c r="L74" t="s">
        <v>25</v>
      </c>
      <c r="M74">
        <v>1</v>
      </c>
    </row>
    <row r="75" spans="1:13" x14ac:dyDescent="0.25">
      <c r="A75" s="2">
        <v>46195</v>
      </c>
      <c r="B75" s="1" t="str">
        <f ca="1">IF(Información1[[#This Row],[Fecha]]='Ajuste de fechas'!$A$2,"Día actual","Día anterior")</f>
        <v>Día anterior</v>
      </c>
      <c r="C75" t="s">
        <v>65</v>
      </c>
      <c r="D75" t="s">
        <v>66</v>
      </c>
      <c r="E75" t="s">
        <v>132</v>
      </c>
      <c r="F75" t="s">
        <v>58</v>
      </c>
      <c r="G75" t="s">
        <v>202</v>
      </c>
      <c r="H75" t="s">
        <v>59</v>
      </c>
      <c r="I75" t="s">
        <v>7</v>
      </c>
      <c r="J75" t="s">
        <v>52</v>
      </c>
      <c r="K75" t="s">
        <v>67</v>
      </c>
      <c r="L75" t="s">
        <v>26</v>
      </c>
      <c r="M75">
        <v>1</v>
      </c>
    </row>
    <row r="76" spans="1:13" x14ac:dyDescent="0.25">
      <c r="A76" s="2">
        <v>46195</v>
      </c>
      <c r="B76" s="1" t="str">
        <f ca="1">IF(Información1[[#This Row],[Fecha]]='Ajuste de fechas'!$A$2,"Día actual","Día anterior")</f>
        <v>Día anterior</v>
      </c>
      <c r="C76" t="s">
        <v>65</v>
      </c>
      <c r="D76" t="s">
        <v>66</v>
      </c>
      <c r="E76" t="s">
        <v>203</v>
      </c>
      <c r="F76" t="s">
        <v>58</v>
      </c>
      <c r="G76" t="s">
        <v>141</v>
      </c>
      <c r="H76" t="s">
        <v>59</v>
      </c>
      <c r="I76" t="s">
        <v>7</v>
      </c>
      <c r="J76" t="s">
        <v>52</v>
      </c>
      <c r="K76" t="s">
        <v>67</v>
      </c>
      <c r="L76" t="s">
        <v>26</v>
      </c>
      <c r="M76">
        <v>1</v>
      </c>
    </row>
    <row r="77" spans="1:13" x14ac:dyDescent="0.25">
      <c r="A77" s="2">
        <v>46195</v>
      </c>
      <c r="B77" s="1" t="str">
        <f ca="1">IF(Información1[[#This Row],[Fecha]]='Ajuste de fechas'!$A$2,"Día actual","Día anterior")</f>
        <v>Día anterior</v>
      </c>
      <c r="C77" t="s">
        <v>65</v>
      </c>
      <c r="D77" t="s">
        <v>66</v>
      </c>
      <c r="E77" t="s">
        <v>204</v>
      </c>
      <c r="F77" t="s">
        <v>58</v>
      </c>
      <c r="G77" t="s">
        <v>90</v>
      </c>
      <c r="H77" t="s">
        <v>59</v>
      </c>
      <c r="I77" t="s">
        <v>81</v>
      </c>
      <c r="J77" t="s">
        <v>52</v>
      </c>
      <c r="K77" t="s">
        <v>67</v>
      </c>
      <c r="L77" t="s">
        <v>25</v>
      </c>
      <c r="M77">
        <v>1</v>
      </c>
    </row>
    <row r="78" spans="1:13" x14ac:dyDescent="0.25">
      <c r="A78" s="2">
        <v>46195</v>
      </c>
      <c r="B78" s="1" t="str">
        <f ca="1">IF(Información1[[#This Row],[Fecha]]='Ajuste de fechas'!$A$2,"Día actual","Día anterior")</f>
        <v>Día anterior</v>
      </c>
      <c r="C78" t="s">
        <v>65</v>
      </c>
      <c r="D78" t="s">
        <v>66</v>
      </c>
      <c r="E78" t="s">
        <v>192</v>
      </c>
      <c r="F78" t="s">
        <v>15</v>
      </c>
      <c r="G78" t="s">
        <v>90</v>
      </c>
      <c r="H78" t="s">
        <v>59</v>
      </c>
      <c r="I78" t="s">
        <v>7</v>
      </c>
      <c r="J78" t="s">
        <v>52</v>
      </c>
      <c r="K78" t="s">
        <v>67</v>
      </c>
      <c r="L78" t="s">
        <v>26</v>
      </c>
      <c r="M78">
        <v>1</v>
      </c>
    </row>
    <row r="79" spans="1:13" x14ac:dyDescent="0.25">
      <c r="A79" s="2">
        <v>46195</v>
      </c>
      <c r="B79" s="1" t="str">
        <f ca="1">IF(Información1[[#This Row],[Fecha]]='Ajuste de fechas'!$A$2,"Día actual","Día anterior")</f>
        <v>Día anterior</v>
      </c>
      <c r="C79" t="s">
        <v>65</v>
      </c>
      <c r="D79" t="s">
        <v>66</v>
      </c>
      <c r="E79" t="s">
        <v>205</v>
      </c>
      <c r="F79" t="s">
        <v>9</v>
      </c>
      <c r="G79" t="s">
        <v>68</v>
      </c>
      <c r="H79" t="s">
        <v>59</v>
      </c>
      <c r="I79" t="s">
        <v>14</v>
      </c>
      <c r="J79" t="s">
        <v>52</v>
      </c>
      <c r="K79" t="s">
        <v>67</v>
      </c>
      <c r="L79" t="s">
        <v>25</v>
      </c>
      <c r="M79">
        <v>1</v>
      </c>
    </row>
    <row r="80" spans="1:13" x14ac:dyDescent="0.25">
      <c r="A80" s="2">
        <v>46195</v>
      </c>
      <c r="B80" s="1" t="str">
        <f ca="1">IF(Información1[[#This Row],[Fecha]]='Ajuste de fechas'!$A$2,"Día actual","Día anterior")</f>
        <v>Día anterior</v>
      </c>
      <c r="C80" t="s">
        <v>65</v>
      </c>
      <c r="D80" t="s">
        <v>66</v>
      </c>
      <c r="E80" t="s">
        <v>206</v>
      </c>
      <c r="F80" t="s">
        <v>9</v>
      </c>
      <c r="G80" t="s">
        <v>55</v>
      </c>
      <c r="H80" t="s">
        <v>59</v>
      </c>
      <c r="I80" t="s">
        <v>7</v>
      </c>
      <c r="J80" t="s">
        <v>52</v>
      </c>
      <c r="K80" t="s">
        <v>67</v>
      </c>
      <c r="L80" t="s">
        <v>24</v>
      </c>
      <c r="M80">
        <v>1</v>
      </c>
    </row>
    <row r="81" spans="1:13" x14ac:dyDescent="0.25">
      <c r="A81" s="2">
        <v>46196</v>
      </c>
      <c r="B81" s="1" t="str">
        <f ca="1">IF(Información1[[#This Row],[Fecha]]='Ajuste de fechas'!$A$2,"Día actual","Día anterior")</f>
        <v>Día actual</v>
      </c>
      <c r="C81" t="s">
        <v>31</v>
      </c>
      <c r="D81" t="s">
        <v>33</v>
      </c>
      <c r="E81" t="s">
        <v>207</v>
      </c>
      <c r="F81" t="s">
        <v>15</v>
      </c>
      <c r="G81" t="s">
        <v>208</v>
      </c>
      <c r="H81" t="s">
        <v>8</v>
      </c>
      <c r="I81" t="s">
        <v>81</v>
      </c>
      <c r="J81" t="s">
        <v>52</v>
      </c>
      <c r="K81" t="s">
        <v>32</v>
      </c>
      <c r="L81" t="s">
        <v>70</v>
      </c>
      <c r="M81">
        <v>1</v>
      </c>
    </row>
    <row r="82" spans="1:13" x14ac:dyDescent="0.25">
      <c r="A82" s="2">
        <v>46196</v>
      </c>
      <c r="B82" s="1" t="str">
        <f ca="1">IF(Información1[[#This Row],[Fecha]]='Ajuste de fechas'!$A$2,"Día actual","Día anterior")</f>
        <v>Día actual</v>
      </c>
      <c r="C82" t="s">
        <v>36</v>
      </c>
      <c r="D82" t="s">
        <v>37</v>
      </c>
      <c r="E82" t="s">
        <v>86</v>
      </c>
      <c r="F82" t="s">
        <v>11</v>
      </c>
      <c r="G82" t="s">
        <v>87</v>
      </c>
      <c r="H82" t="s">
        <v>8</v>
      </c>
      <c r="I82" t="s">
        <v>7</v>
      </c>
      <c r="J82" t="s">
        <v>53</v>
      </c>
      <c r="K82" t="s">
        <v>38</v>
      </c>
      <c r="L82" t="s">
        <v>24</v>
      </c>
      <c r="M82">
        <v>1</v>
      </c>
    </row>
    <row r="83" spans="1:13" x14ac:dyDescent="0.25">
      <c r="A83" s="2">
        <v>46196</v>
      </c>
      <c r="B83" s="1" t="str">
        <f ca="1">IF(Información1[[#This Row],[Fecha]]='Ajuste de fechas'!$A$2,"Día actual","Día anterior")</f>
        <v>Día actual</v>
      </c>
      <c r="C83" t="s">
        <v>36</v>
      </c>
      <c r="D83" t="s">
        <v>37</v>
      </c>
      <c r="E83" t="s">
        <v>209</v>
      </c>
      <c r="F83" t="s">
        <v>56</v>
      </c>
      <c r="G83" t="s">
        <v>57</v>
      </c>
      <c r="H83" t="s">
        <v>8</v>
      </c>
      <c r="I83" t="s">
        <v>7</v>
      </c>
      <c r="J83" t="s">
        <v>52</v>
      </c>
      <c r="K83" t="s">
        <v>38</v>
      </c>
      <c r="L83" t="s">
        <v>26</v>
      </c>
      <c r="M83">
        <v>1</v>
      </c>
    </row>
    <row r="84" spans="1:13" x14ac:dyDescent="0.25">
      <c r="A84" s="2">
        <v>46196</v>
      </c>
      <c r="B84" s="1" t="str">
        <f ca="1">IF(Información1[[#This Row],[Fecha]]='Ajuste de fechas'!$A$2,"Día actual","Día anterior")</f>
        <v>Día actual</v>
      </c>
      <c r="C84" t="s">
        <v>36</v>
      </c>
      <c r="D84" t="s">
        <v>37</v>
      </c>
      <c r="E84" t="s">
        <v>210</v>
      </c>
      <c r="F84" t="s">
        <v>17</v>
      </c>
      <c r="G84" t="s">
        <v>211</v>
      </c>
      <c r="H84" t="s">
        <v>8</v>
      </c>
      <c r="I84" t="s">
        <v>7</v>
      </c>
      <c r="J84" t="s">
        <v>52</v>
      </c>
      <c r="K84" t="s">
        <v>38</v>
      </c>
      <c r="L84" t="s">
        <v>26</v>
      </c>
      <c r="M84">
        <v>1</v>
      </c>
    </row>
    <row r="85" spans="1:13" x14ac:dyDescent="0.25">
      <c r="A85" s="2">
        <v>46196</v>
      </c>
      <c r="B85" s="1" t="str">
        <f ca="1">IF(Información1[[#This Row],[Fecha]]='Ajuste de fechas'!$A$2,"Día actual","Día anterior")</f>
        <v>Día actual</v>
      </c>
      <c r="C85" t="s">
        <v>36</v>
      </c>
      <c r="D85" t="s">
        <v>37</v>
      </c>
      <c r="E85" t="s">
        <v>212</v>
      </c>
      <c r="F85" t="s">
        <v>15</v>
      </c>
      <c r="G85" t="s">
        <v>213</v>
      </c>
      <c r="H85" t="s">
        <v>8</v>
      </c>
      <c r="I85" t="s">
        <v>7</v>
      </c>
      <c r="J85" t="s">
        <v>52</v>
      </c>
      <c r="K85" t="s">
        <v>38</v>
      </c>
      <c r="L85" t="s">
        <v>26</v>
      </c>
      <c r="M85">
        <v>1</v>
      </c>
    </row>
    <row r="86" spans="1:13" x14ac:dyDescent="0.25">
      <c r="A86" s="2">
        <v>46196</v>
      </c>
      <c r="B86" s="1" t="str">
        <f ca="1">IF(Información1[[#This Row],[Fecha]]='Ajuste de fechas'!$A$2,"Día actual","Día anterior")</f>
        <v>Día actual</v>
      </c>
      <c r="C86" t="s">
        <v>36</v>
      </c>
      <c r="D86" t="s">
        <v>37</v>
      </c>
      <c r="E86" t="s">
        <v>214</v>
      </c>
      <c r="F86" t="s">
        <v>12</v>
      </c>
      <c r="G86" t="s">
        <v>75</v>
      </c>
      <c r="H86" t="s">
        <v>8</v>
      </c>
      <c r="I86" t="s">
        <v>7</v>
      </c>
      <c r="J86" t="s">
        <v>52</v>
      </c>
      <c r="K86" t="s">
        <v>38</v>
      </c>
      <c r="L86" t="s">
        <v>26</v>
      </c>
      <c r="M86">
        <v>1</v>
      </c>
    </row>
    <row r="87" spans="1:13" x14ac:dyDescent="0.25">
      <c r="A87" s="2">
        <v>46196</v>
      </c>
      <c r="B87" s="1" t="str">
        <f ca="1">IF(Información1[[#This Row],[Fecha]]='Ajuste de fechas'!$A$2,"Día actual","Día anterior")</f>
        <v>Día actual</v>
      </c>
      <c r="C87" t="s">
        <v>36</v>
      </c>
      <c r="D87" t="s">
        <v>37</v>
      </c>
      <c r="E87" t="s">
        <v>215</v>
      </c>
      <c r="F87" t="s">
        <v>15</v>
      </c>
      <c r="G87" t="s">
        <v>216</v>
      </c>
      <c r="H87" t="s">
        <v>8</v>
      </c>
      <c r="I87" t="s">
        <v>7</v>
      </c>
      <c r="J87" t="s">
        <v>52</v>
      </c>
      <c r="K87" t="s">
        <v>38</v>
      </c>
      <c r="L87" t="s">
        <v>26</v>
      </c>
      <c r="M87">
        <v>1</v>
      </c>
    </row>
    <row r="88" spans="1:13" x14ac:dyDescent="0.25">
      <c r="A88" s="2">
        <v>46196</v>
      </c>
      <c r="B88" s="1" t="str">
        <f ca="1">IF(Información1[[#This Row],[Fecha]]='Ajuste de fechas'!$A$2,"Día actual","Día anterior")</f>
        <v>Día actual</v>
      </c>
      <c r="C88" t="s">
        <v>31</v>
      </c>
      <c r="D88" t="s">
        <v>33</v>
      </c>
      <c r="E88" t="s">
        <v>217</v>
      </c>
      <c r="F88" t="s">
        <v>10</v>
      </c>
      <c r="G88" t="s">
        <v>218</v>
      </c>
      <c r="H88" t="s">
        <v>8</v>
      </c>
      <c r="I88" t="s">
        <v>7</v>
      </c>
      <c r="J88" t="s">
        <v>54</v>
      </c>
      <c r="K88" t="s">
        <v>32</v>
      </c>
      <c r="L88" t="s">
        <v>24</v>
      </c>
      <c r="M88">
        <v>1</v>
      </c>
    </row>
    <row r="89" spans="1:13" x14ac:dyDescent="0.25">
      <c r="A89" s="2">
        <v>46196</v>
      </c>
      <c r="B89" s="1" t="str">
        <f ca="1">IF(Información1[[#This Row],[Fecha]]='Ajuste de fechas'!$A$2,"Día actual","Día anterior")</f>
        <v>Día actual</v>
      </c>
      <c r="C89" t="s">
        <v>31</v>
      </c>
      <c r="D89" t="s">
        <v>33</v>
      </c>
      <c r="E89" t="s">
        <v>219</v>
      </c>
      <c r="F89" t="s">
        <v>58</v>
      </c>
      <c r="G89" t="s">
        <v>220</v>
      </c>
      <c r="H89" t="s">
        <v>8</v>
      </c>
      <c r="I89" t="s">
        <v>14</v>
      </c>
      <c r="J89" t="s">
        <v>52</v>
      </c>
      <c r="K89" t="s">
        <v>71</v>
      </c>
      <c r="L89" t="s">
        <v>25</v>
      </c>
      <c r="M89">
        <v>1</v>
      </c>
    </row>
    <row r="90" spans="1:13" x14ac:dyDescent="0.25">
      <c r="A90" s="2">
        <v>46196</v>
      </c>
      <c r="B90" s="1" t="str">
        <f ca="1">IF(Información1[[#This Row],[Fecha]]='Ajuste de fechas'!$A$2,"Día actual","Día anterior")</f>
        <v>Día actual</v>
      </c>
      <c r="C90" t="s">
        <v>31</v>
      </c>
      <c r="D90" t="s">
        <v>33</v>
      </c>
      <c r="E90" t="s">
        <v>221</v>
      </c>
      <c r="F90" t="s">
        <v>58</v>
      </c>
      <c r="G90" t="s">
        <v>141</v>
      </c>
      <c r="H90" t="s">
        <v>8</v>
      </c>
      <c r="I90" t="s">
        <v>7</v>
      </c>
      <c r="J90" t="s">
        <v>52</v>
      </c>
      <c r="K90" t="s">
        <v>30</v>
      </c>
      <c r="L90" t="s">
        <v>70</v>
      </c>
      <c r="M90">
        <v>1</v>
      </c>
    </row>
    <row r="91" spans="1:13" x14ac:dyDescent="0.25">
      <c r="A91" s="2">
        <v>46196</v>
      </c>
      <c r="B91" s="1" t="str">
        <f ca="1">IF(Información1[[#This Row],[Fecha]]='Ajuste de fechas'!$A$2,"Día actual","Día anterior")</f>
        <v>Día actual</v>
      </c>
      <c r="C91" t="s">
        <v>31</v>
      </c>
      <c r="D91" t="s">
        <v>33</v>
      </c>
      <c r="E91" t="s">
        <v>222</v>
      </c>
      <c r="F91" t="s">
        <v>72</v>
      </c>
      <c r="G91" t="s">
        <v>223</v>
      </c>
      <c r="H91" t="s">
        <v>8</v>
      </c>
      <c r="I91" t="s">
        <v>7</v>
      </c>
      <c r="J91" t="s">
        <v>52</v>
      </c>
      <c r="K91" t="s">
        <v>30</v>
      </c>
      <c r="L91" t="s">
        <v>24</v>
      </c>
      <c r="M91">
        <v>1</v>
      </c>
    </row>
    <row r="92" spans="1:13" x14ac:dyDescent="0.25">
      <c r="A92" s="2">
        <v>46196</v>
      </c>
      <c r="B92" s="1" t="str">
        <f ca="1">IF(Información1[[#This Row],[Fecha]]='Ajuste de fechas'!$A$2,"Día actual","Día anterior")</f>
        <v>Día actual</v>
      </c>
      <c r="C92" t="s">
        <v>31</v>
      </c>
      <c r="D92" t="s">
        <v>33</v>
      </c>
      <c r="E92" t="s">
        <v>222</v>
      </c>
      <c r="F92" t="s">
        <v>91</v>
      </c>
      <c r="G92" t="s">
        <v>223</v>
      </c>
      <c r="H92" t="s">
        <v>8</v>
      </c>
      <c r="I92" t="s">
        <v>7</v>
      </c>
      <c r="J92" t="s">
        <v>52</v>
      </c>
      <c r="K92" t="s">
        <v>30</v>
      </c>
      <c r="L92" t="s">
        <v>24</v>
      </c>
      <c r="M92">
        <v>1</v>
      </c>
    </row>
    <row r="93" spans="1:13" x14ac:dyDescent="0.25">
      <c r="A93" s="2">
        <v>46196</v>
      </c>
      <c r="B93" s="1" t="str">
        <f ca="1">IF(Información1[[#This Row],[Fecha]]='Ajuste de fechas'!$A$2,"Día actual","Día anterior")</f>
        <v>Día actual</v>
      </c>
      <c r="C93" t="s">
        <v>31</v>
      </c>
      <c r="D93" t="s">
        <v>33</v>
      </c>
      <c r="E93" t="s">
        <v>224</v>
      </c>
      <c r="F93" t="s">
        <v>12</v>
      </c>
      <c r="G93" t="s">
        <v>225</v>
      </c>
      <c r="H93" t="s">
        <v>8</v>
      </c>
      <c r="I93" t="s">
        <v>7</v>
      </c>
      <c r="J93" t="s">
        <v>52</v>
      </c>
      <c r="K93" t="s">
        <v>32</v>
      </c>
      <c r="L93" t="s">
        <v>24</v>
      </c>
      <c r="M93">
        <v>1</v>
      </c>
    </row>
    <row r="94" spans="1:13" x14ac:dyDescent="0.25">
      <c r="A94" s="2">
        <v>46196</v>
      </c>
      <c r="B94" s="1" t="str">
        <f ca="1">IF(Información1[[#This Row],[Fecha]]='Ajuste de fechas'!$A$2,"Día actual","Día anterior")</f>
        <v>Día actual</v>
      </c>
      <c r="C94" t="s">
        <v>31</v>
      </c>
      <c r="D94" t="s">
        <v>33</v>
      </c>
      <c r="E94" t="s">
        <v>226</v>
      </c>
      <c r="F94" t="s">
        <v>12</v>
      </c>
      <c r="G94" t="s">
        <v>227</v>
      </c>
      <c r="H94" t="s">
        <v>8</v>
      </c>
      <c r="I94" t="s">
        <v>7</v>
      </c>
      <c r="J94" t="s">
        <v>52</v>
      </c>
      <c r="K94" t="s">
        <v>32</v>
      </c>
      <c r="L94" t="s">
        <v>24</v>
      </c>
      <c r="M94">
        <v>1</v>
      </c>
    </row>
    <row r="95" spans="1:13" x14ac:dyDescent="0.25">
      <c r="A95" s="2">
        <v>46196</v>
      </c>
      <c r="B95" s="1" t="str">
        <f ca="1">IF(Información1[[#This Row],[Fecha]]='Ajuste de fechas'!$A$2,"Día actual","Día anterior")</f>
        <v>Día actual</v>
      </c>
      <c r="C95" t="s">
        <v>31</v>
      </c>
      <c r="D95" t="s">
        <v>33</v>
      </c>
      <c r="E95" t="s">
        <v>212</v>
      </c>
      <c r="F95" t="s">
        <v>15</v>
      </c>
      <c r="G95" t="s">
        <v>213</v>
      </c>
      <c r="H95" t="s">
        <v>8</v>
      </c>
      <c r="I95" t="s">
        <v>7</v>
      </c>
      <c r="J95" t="s">
        <v>52</v>
      </c>
      <c r="K95" t="s">
        <v>30</v>
      </c>
      <c r="L95" t="s">
        <v>26</v>
      </c>
      <c r="M95">
        <v>1</v>
      </c>
    </row>
    <row r="96" spans="1:13" x14ac:dyDescent="0.25">
      <c r="A96" s="2">
        <v>46196</v>
      </c>
      <c r="B96" s="1" t="str">
        <f ca="1">IF(Información1[[#This Row],[Fecha]]='Ajuste de fechas'!$A$2,"Día actual","Día anterior")</f>
        <v>Día actual</v>
      </c>
      <c r="C96" t="s">
        <v>31</v>
      </c>
      <c r="D96" t="s">
        <v>33</v>
      </c>
      <c r="E96" t="s">
        <v>214</v>
      </c>
      <c r="F96" t="s">
        <v>12</v>
      </c>
      <c r="G96" t="s">
        <v>75</v>
      </c>
      <c r="H96" t="s">
        <v>8</v>
      </c>
      <c r="I96" t="s">
        <v>7</v>
      </c>
      <c r="J96" t="s">
        <v>52</v>
      </c>
      <c r="K96" t="s">
        <v>30</v>
      </c>
      <c r="L96" t="s">
        <v>26</v>
      </c>
      <c r="M96">
        <v>1</v>
      </c>
    </row>
    <row r="97" spans="1:13" x14ac:dyDescent="0.25">
      <c r="A97" s="2">
        <v>46196</v>
      </c>
      <c r="B97" s="1" t="str">
        <f ca="1">IF(Información1[[#This Row],[Fecha]]='Ajuste de fechas'!$A$2,"Día actual","Día anterior")</f>
        <v>Día actual</v>
      </c>
      <c r="C97" t="s">
        <v>31</v>
      </c>
      <c r="D97" t="s">
        <v>33</v>
      </c>
      <c r="E97" t="s">
        <v>228</v>
      </c>
      <c r="F97" t="s">
        <v>39</v>
      </c>
      <c r="G97" t="s">
        <v>45</v>
      </c>
      <c r="H97" t="s">
        <v>8</v>
      </c>
      <c r="I97" t="s">
        <v>7</v>
      </c>
      <c r="J97" t="s">
        <v>52</v>
      </c>
      <c r="K97" t="s">
        <v>30</v>
      </c>
      <c r="L97" t="s">
        <v>26</v>
      </c>
      <c r="M97">
        <v>1</v>
      </c>
    </row>
    <row r="98" spans="1:13" x14ac:dyDescent="0.25">
      <c r="A98" s="2">
        <v>46196</v>
      </c>
      <c r="B98" s="1" t="str">
        <f ca="1">IF(Información1[[#This Row],[Fecha]]='Ajuste de fechas'!$A$2,"Día actual","Día anterior")</f>
        <v>Día actual</v>
      </c>
      <c r="C98" t="s">
        <v>31</v>
      </c>
      <c r="D98" t="s">
        <v>33</v>
      </c>
      <c r="E98" t="s">
        <v>215</v>
      </c>
      <c r="F98" t="s">
        <v>15</v>
      </c>
      <c r="G98" t="s">
        <v>216</v>
      </c>
      <c r="H98" t="s">
        <v>8</v>
      </c>
      <c r="I98" t="s">
        <v>7</v>
      </c>
      <c r="J98" t="s">
        <v>52</v>
      </c>
      <c r="K98" t="s">
        <v>30</v>
      </c>
      <c r="L98" t="s">
        <v>26</v>
      </c>
      <c r="M98">
        <v>1</v>
      </c>
    </row>
    <row r="99" spans="1:13" x14ac:dyDescent="0.25">
      <c r="A99" s="2">
        <v>46195</v>
      </c>
      <c r="B99" s="1" t="str">
        <f ca="1">IF(Información1[[#This Row],[Fecha]]='Ajuste de fechas'!$A$2,"Día actual","Día anterior")</f>
        <v>Día anterior</v>
      </c>
      <c r="C99" t="s">
        <v>42</v>
      </c>
      <c r="D99" t="s">
        <v>229</v>
      </c>
      <c r="E99" t="s">
        <v>230</v>
      </c>
      <c r="F99" t="s">
        <v>41</v>
      </c>
      <c r="G99" t="s">
        <v>82</v>
      </c>
      <c r="H99" t="s">
        <v>8</v>
      </c>
      <c r="I99" t="s">
        <v>7</v>
      </c>
      <c r="J99" t="s">
        <v>52</v>
      </c>
      <c r="K99" t="s">
        <v>231</v>
      </c>
      <c r="L99" t="s">
        <v>26</v>
      </c>
      <c r="M99">
        <v>1</v>
      </c>
    </row>
    <row r="100" spans="1:13" x14ac:dyDescent="0.25">
      <c r="A100" s="2">
        <v>46195</v>
      </c>
      <c r="B100" s="1" t="str">
        <f ca="1">IF(Información1[[#This Row],[Fecha]]='Ajuste de fechas'!$A$2,"Día actual","Día anterior")</f>
        <v>Día anterior</v>
      </c>
      <c r="C100" t="s">
        <v>42</v>
      </c>
      <c r="D100" t="s">
        <v>229</v>
      </c>
      <c r="E100" t="s">
        <v>209</v>
      </c>
      <c r="F100" t="s">
        <v>56</v>
      </c>
      <c r="G100" t="s">
        <v>57</v>
      </c>
      <c r="H100" t="s">
        <v>8</v>
      </c>
      <c r="I100" t="s">
        <v>7</v>
      </c>
      <c r="J100" t="s">
        <v>52</v>
      </c>
      <c r="K100" t="s">
        <v>231</v>
      </c>
      <c r="L100" t="s">
        <v>26</v>
      </c>
      <c r="M100">
        <v>1</v>
      </c>
    </row>
    <row r="101" spans="1:13" x14ac:dyDescent="0.25">
      <c r="A101" s="2">
        <v>46195</v>
      </c>
      <c r="B101" s="1" t="str">
        <f ca="1">IF(Información1[[#This Row],[Fecha]]='Ajuste de fechas'!$A$2,"Día actual","Día anterior")</f>
        <v>Día anterior</v>
      </c>
      <c r="C101" t="s">
        <v>42</v>
      </c>
      <c r="D101" t="s">
        <v>229</v>
      </c>
      <c r="E101" t="s">
        <v>132</v>
      </c>
      <c r="F101" t="s">
        <v>58</v>
      </c>
      <c r="G101" t="s">
        <v>133</v>
      </c>
      <c r="H101" t="s">
        <v>8</v>
      </c>
      <c r="I101" t="s">
        <v>7</v>
      </c>
      <c r="J101" t="s">
        <v>52</v>
      </c>
      <c r="K101" t="s">
        <v>231</v>
      </c>
      <c r="L101" t="s">
        <v>26</v>
      </c>
      <c r="M101">
        <v>1</v>
      </c>
    </row>
    <row r="102" spans="1:13" x14ac:dyDescent="0.25">
      <c r="A102" s="2">
        <v>46195</v>
      </c>
      <c r="B102" s="1" t="str">
        <f ca="1">IF(Información1[[#This Row],[Fecha]]='Ajuste de fechas'!$A$2,"Día actual","Día anterior")</f>
        <v>Día anterior</v>
      </c>
      <c r="C102" t="s">
        <v>42</v>
      </c>
      <c r="D102" t="s">
        <v>43</v>
      </c>
      <c r="E102" t="s">
        <v>192</v>
      </c>
      <c r="F102" t="s">
        <v>15</v>
      </c>
      <c r="G102" t="s">
        <v>90</v>
      </c>
      <c r="H102" t="s">
        <v>8</v>
      </c>
      <c r="I102" t="s">
        <v>7</v>
      </c>
      <c r="J102" t="s">
        <v>52</v>
      </c>
      <c r="K102" t="s">
        <v>44</v>
      </c>
      <c r="L102" t="s">
        <v>26</v>
      </c>
      <c r="M102">
        <v>1</v>
      </c>
    </row>
    <row r="103" spans="1:13" x14ac:dyDescent="0.25">
      <c r="A103" s="2">
        <v>46195</v>
      </c>
      <c r="B103" s="1" t="str">
        <f ca="1">IF(Información1[[#This Row],[Fecha]]='Ajuste de fechas'!$A$2,"Día actual","Día anterior")</f>
        <v>Día anterior</v>
      </c>
      <c r="C103" t="s">
        <v>42</v>
      </c>
      <c r="D103" t="s">
        <v>43</v>
      </c>
      <c r="E103" t="s">
        <v>230</v>
      </c>
      <c r="F103" t="s">
        <v>41</v>
      </c>
      <c r="G103" t="s">
        <v>82</v>
      </c>
      <c r="H103" t="s">
        <v>8</v>
      </c>
      <c r="I103" t="s">
        <v>7</v>
      </c>
      <c r="J103" t="s">
        <v>52</v>
      </c>
      <c r="K103" t="s">
        <v>44</v>
      </c>
      <c r="L103" t="s">
        <v>26</v>
      </c>
      <c r="M103">
        <v>1</v>
      </c>
    </row>
    <row r="104" spans="1:13" x14ac:dyDescent="0.25">
      <c r="A104" s="2">
        <v>46195</v>
      </c>
      <c r="B104" s="1" t="str">
        <f ca="1">IF(Información1[[#This Row],[Fecha]]='Ajuste de fechas'!$A$2,"Día actual","Día anterior")</f>
        <v>Día anterior</v>
      </c>
      <c r="C104" t="s">
        <v>42</v>
      </c>
      <c r="D104" t="s">
        <v>43</v>
      </c>
      <c r="E104" t="s">
        <v>232</v>
      </c>
      <c r="F104" t="s">
        <v>56</v>
      </c>
      <c r="G104" t="s">
        <v>57</v>
      </c>
      <c r="H104" t="s">
        <v>8</v>
      </c>
      <c r="I104" t="s">
        <v>7</v>
      </c>
      <c r="J104" t="s">
        <v>52</v>
      </c>
      <c r="K104" t="s">
        <v>44</v>
      </c>
      <c r="L104" t="s">
        <v>26</v>
      </c>
      <c r="M104">
        <v>1</v>
      </c>
    </row>
    <row r="105" spans="1:13" x14ac:dyDescent="0.25">
      <c r="A105" s="2">
        <v>46196</v>
      </c>
      <c r="B105" s="1" t="str">
        <f ca="1">IF(Información1[[#This Row],[Fecha]]='Ajuste de fechas'!$A$2,"Día actual","Día anterior")</f>
        <v>Día actual</v>
      </c>
      <c r="C105" t="s">
        <v>42</v>
      </c>
      <c r="D105" t="s">
        <v>43</v>
      </c>
      <c r="E105" t="s">
        <v>233</v>
      </c>
      <c r="F105" t="s">
        <v>39</v>
      </c>
      <c r="G105" t="s">
        <v>90</v>
      </c>
      <c r="H105" t="s">
        <v>8</v>
      </c>
      <c r="I105" t="s">
        <v>7</v>
      </c>
      <c r="J105" t="s">
        <v>52</v>
      </c>
      <c r="K105" t="s">
        <v>44</v>
      </c>
      <c r="L105" t="s">
        <v>26</v>
      </c>
      <c r="M105">
        <v>1</v>
      </c>
    </row>
    <row r="106" spans="1:13" x14ac:dyDescent="0.25">
      <c r="A106" s="2">
        <v>46196</v>
      </c>
      <c r="B106" s="1" t="str">
        <f ca="1">IF(Información1[[#This Row],[Fecha]]='Ajuste de fechas'!$A$2,"Día actual","Día anterior")</f>
        <v>Día actual</v>
      </c>
      <c r="C106" t="s">
        <v>42</v>
      </c>
      <c r="D106" t="s">
        <v>43</v>
      </c>
      <c r="E106" t="s">
        <v>234</v>
      </c>
      <c r="F106" t="s">
        <v>39</v>
      </c>
      <c r="G106" t="s">
        <v>90</v>
      </c>
      <c r="H106" t="s">
        <v>8</v>
      </c>
      <c r="I106" t="s">
        <v>7</v>
      </c>
      <c r="J106" t="s">
        <v>52</v>
      </c>
      <c r="K106" t="s">
        <v>44</v>
      </c>
      <c r="L106" t="s">
        <v>26</v>
      </c>
      <c r="M106">
        <v>1</v>
      </c>
    </row>
    <row r="107" spans="1:13" x14ac:dyDescent="0.25">
      <c r="A107" s="2">
        <v>46196</v>
      </c>
      <c r="B107" s="1" t="str">
        <f ca="1">IF(Información1[[#This Row],[Fecha]]='Ajuste de fechas'!$A$2,"Día actual","Día anterior")</f>
        <v>Día actual</v>
      </c>
      <c r="C107" t="s">
        <v>46</v>
      </c>
      <c r="D107" t="s">
        <v>48</v>
      </c>
      <c r="E107" t="s">
        <v>235</v>
      </c>
      <c r="F107" t="s">
        <v>58</v>
      </c>
      <c r="G107" t="s">
        <v>236</v>
      </c>
      <c r="H107" t="s">
        <v>8</v>
      </c>
      <c r="I107" t="s">
        <v>7</v>
      </c>
      <c r="J107" t="s">
        <v>52</v>
      </c>
      <c r="K107" t="s">
        <v>47</v>
      </c>
      <c r="L107" t="s">
        <v>26</v>
      </c>
      <c r="M107">
        <v>1</v>
      </c>
    </row>
    <row r="108" spans="1:13" x14ac:dyDescent="0.25">
      <c r="A108" s="2">
        <v>46196</v>
      </c>
      <c r="B108" s="1" t="str">
        <f ca="1">IF(Información1[[#This Row],[Fecha]]='Ajuste de fechas'!$A$2,"Día actual","Día anterior")</f>
        <v>Día actual</v>
      </c>
      <c r="C108" t="s">
        <v>93</v>
      </c>
      <c r="D108" t="s">
        <v>94</v>
      </c>
      <c r="E108" t="s">
        <v>95</v>
      </c>
      <c r="F108" t="s">
        <v>10</v>
      </c>
      <c r="G108" t="s">
        <v>160</v>
      </c>
      <c r="H108" t="s">
        <v>8</v>
      </c>
      <c r="I108" t="s">
        <v>14</v>
      </c>
      <c r="J108" t="s">
        <v>54</v>
      </c>
      <c r="K108" t="s">
        <v>71</v>
      </c>
      <c r="L108" t="s">
        <v>25</v>
      </c>
      <c r="M108">
        <v>1</v>
      </c>
    </row>
    <row r="109" spans="1:13" x14ac:dyDescent="0.25">
      <c r="A109" s="2">
        <v>46196</v>
      </c>
      <c r="B109" s="1" t="str">
        <f ca="1">IF(Información1[[#This Row],[Fecha]]='Ajuste de fechas'!$A$2,"Día actual","Día anterior")</f>
        <v>Día actual</v>
      </c>
      <c r="C109" t="s">
        <v>93</v>
      </c>
      <c r="D109" t="s">
        <v>94</v>
      </c>
      <c r="E109" t="s">
        <v>237</v>
      </c>
      <c r="F109" t="s">
        <v>6</v>
      </c>
      <c r="G109" t="s">
        <v>238</v>
      </c>
      <c r="H109" t="s">
        <v>8</v>
      </c>
      <c r="I109" t="s">
        <v>14</v>
      </c>
      <c r="J109" t="s">
        <v>52</v>
      </c>
      <c r="K109" t="s">
        <v>71</v>
      </c>
      <c r="L109" t="s">
        <v>25</v>
      </c>
      <c r="M109">
        <v>1</v>
      </c>
    </row>
    <row r="110" spans="1:13" x14ac:dyDescent="0.25">
      <c r="A110" s="2">
        <v>46196</v>
      </c>
      <c r="B110" s="1" t="str">
        <f ca="1">IF(Información1[[#This Row],[Fecha]]='Ajuste de fechas'!$A$2,"Día actual","Día anterior")</f>
        <v>Día actual</v>
      </c>
      <c r="C110" t="s">
        <v>93</v>
      </c>
      <c r="D110" t="s">
        <v>94</v>
      </c>
      <c r="E110" t="s">
        <v>239</v>
      </c>
      <c r="F110" t="s">
        <v>76</v>
      </c>
      <c r="G110" t="s">
        <v>168</v>
      </c>
      <c r="H110" t="s">
        <v>8</v>
      </c>
      <c r="I110" t="s">
        <v>14</v>
      </c>
      <c r="J110" t="s">
        <v>52</v>
      </c>
      <c r="K110" t="s">
        <v>71</v>
      </c>
      <c r="L110" t="s">
        <v>25</v>
      </c>
      <c r="M110">
        <v>1</v>
      </c>
    </row>
    <row r="111" spans="1:13" x14ac:dyDescent="0.25">
      <c r="A111" s="2">
        <v>46196</v>
      </c>
      <c r="B111" s="1" t="str">
        <f ca="1">IF(Información1[[#This Row],[Fecha]]='Ajuste de fechas'!$A$2,"Día actual","Día anterior")</f>
        <v>Día actual</v>
      </c>
      <c r="C111" t="s">
        <v>93</v>
      </c>
      <c r="D111" t="s">
        <v>94</v>
      </c>
      <c r="E111" t="s">
        <v>240</v>
      </c>
      <c r="F111" t="s">
        <v>6</v>
      </c>
      <c r="G111" t="s">
        <v>241</v>
      </c>
      <c r="H111" t="s">
        <v>8</v>
      </c>
      <c r="I111" t="s">
        <v>14</v>
      </c>
      <c r="J111" t="s">
        <v>52</v>
      </c>
      <c r="K111" t="s">
        <v>71</v>
      </c>
      <c r="L111" t="s">
        <v>25</v>
      </c>
      <c r="M111">
        <v>1</v>
      </c>
    </row>
    <row r="112" spans="1:13" x14ac:dyDescent="0.25">
      <c r="A112" s="2">
        <v>46196</v>
      </c>
      <c r="B112" s="1" t="str">
        <f ca="1">IF(Información1[[#This Row],[Fecha]]='Ajuste de fechas'!$A$2,"Día actual","Día anterior")</f>
        <v>Día actual</v>
      </c>
      <c r="C112" t="s">
        <v>93</v>
      </c>
      <c r="D112" t="s">
        <v>94</v>
      </c>
      <c r="E112" t="s">
        <v>242</v>
      </c>
      <c r="F112" t="s">
        <v>6</v>
      </c>
      <c r="G112" t="s">
        <v>96</v>
      </c>
      <c r="H112" t="s">
        <v>8</v>
      </c>
      <c r="I112" t="s">
        <v>14</v>
      </c>
      <c r="J112" t="s">
        <v>52</v>
      </c>
      <c r="K112" t="s">
        <v>71</v>
      </c>
      <c r="L112" t="s">
        <v>25</v>
      </c>
      <c r="M112">
        <v>1</v>
      </c>
    </row>
    <row r="113" spans="1:13" x14ac:dyDescent="0.25">
      <c r="A113" s="2">
        <v>46196</v>
      </c>
      <c r="B113" s="1" t="str">
        <f ca="1">IF(Información1[[#This Row],[Fecha]]='Ajuste de fechas'!$A$2,"Día actual","Día anterior")</f>
        <v>Día actual</v>
      </c>
      <c r="C113" t="s">
        <v>93</v>
      </c>
      <c r="D113" t="s">
        <v>94</v>
      </c>
      <c r="E113" t="s">
        <v>243</v>
      </c>
      <c r="F113" t="s">
        <v>91</v>
      </c>
      <c r="G113" t="s">
        <v>90</v>
      </c>
      <c r="H113" t="s">
        <v>8</v>
      </c>
      <c r="I113" t="s">
        <v>7</v>
      </c>
      <c r="J113" t="s">
        <v>52</v>
      </c>
      <c r="K113" t="s">
        <v>98</v>
      </c>
      <c r="L113" t="s">
        <v>24</v>
      </c>
      <c r="M113">
        <v>1</v>
      </c>
    </row>
    <row r="114" spans="1:13" x14ac:dyDescent="0.25">
      <c r="A114" s="2">
        <v>46196</v>
      </c>
      <c r="B114" s="1" t="str">
        <f ca="1">IF(Información1[[#This Row],[Fecha]]='Ajuste de fechas'!$A$2,"Día actual","Día anterior")</f>
        <v>Día actual</v>
      </c>
      <c r="C114" t="s">
        <v>93</v>
      </c>
      <c r="D114" t="s">
        <v>94</v>
      </c>
      <c r="E114" t="s">
        <v>244</v>
      </c>
      <c r="F114" t="s">
        <v>10</v>
      </c>
      <c r="G114" t="s">
        <v>245</v>
      </c>
      <c r="H114" t="s">
        <v>8</v>
      </c>
      <c r="I114" t="s">
        <v>7</v>
      </c>
      <c r="J114" t="s">
        <v>54</v>
      </c>
      <c r="K114" t="s">
        <v>71</v>
      </c>
      <c r="L114" t="s">
        <v>25</v>
      </c>
      <c r="M114">
        <v>1</v>
      </c>
    </row>
    <row r="115" spans="1:13" x14ac:dyDescent="0.25">
      <c r="A115" s="2">
        <v>46196</v>
      </c>
      <c r="B115" s="1" t="str">
        <f ca="1">IF(Información1[[#This Row],[Fecha]]='Ajuste de fechas'!$A$2,"Día actual","Día anterior")</f>
        <v>Día actual</v>
      </c>
      <c r="C115" t="s">
        <v>93</v>
      </c>
      <c r="D115" t="s">
        <v>94</v>
      </c>
      <c r="E115" t="s">
        <v>179</v>
      </c>
      <c r="F115" t="s">
        <v>12</v>
      </c>
      <c r="G115" t="s">
        <v>75</v>
      </c>
      <c r="H115" t="s">
        <v>8</v>
      </c>
      <c r="I115" t="s">
        <v>7</v>
      </c>
      <c r="J115" t="s">
        <v>52</v>
      </c>
      <c r="K115" t="s">
        <v>98</v>
      </c>
      <c r="L115" t="s">
        <v>26</v>
      </c>
      <c r="M115">
        <v>1</v>
      </c>
    </row>
    <row r="116" spans="1:13" x14ac:dyDescent="0.25">
      <c r="A116" s="2">
        <v>46196</v>
      </c>
      <c r="B116" s="1" t="str">
        <f ca="1">IF(Información1[[#This Row],[Fecha]]='Ajuste de fechas'!$A$2,"Día actual","Día anterior")</f>
        <v>Día actual</v>
      </c>
      <c r="C116" t="s">
        <v>93</v>
      </c>
      <c r="D116" t="s">
        <v>94</v>
      </c>
      <c r="E116" t="s">
        <v>246</v>
      </c>
      <c r="F116" t="s">
        <v>11</v>
      </c>
      <c r="G116" t="s">
        <v>247</v>
      </c>
      <c r="H116" t="s">
        <v>8</v>
      </c>
      <c r="I116" t="s">
        <v>7</v>
      </c>
      <c r="J116" t="s">
        <v>53</v>
      </c>
      <c r="K116" t="s">
        <v>98</v>
      </c>
      <c r="L116" t="s">
        <v>24</v>
      </c>
      <c r="M116">
        <v>1</v>
      </c>
    </row>
    <row r="117" spans="1:13" x14ac:dyDescent="0.25">
      <c r="A117" s="2">
        <v>46196</v>
      </c>
      <c r="B117" s="1" t="str">
        <f ca="1">IF(Información1[[#This Row],[Fecha]]='Ajuste de fechas'!$A$2,"Día actual","Día anterior")</f>
        <v>Día actual</v>
      </c>
      <c r="C117" t="s">
        <v>93</v>
      </c>
      <c r="D117" t="s">
        <v>94</v>
      </c>
      <c r="E117" t="s">
        <v>248</v>
      </c>
      <c r="F117" t="s">
        <v>11</v>
      </c>
      <c r="G117" t="s">
        <v>143</v>
      </c>
      <c r="H117" t="s">
        <v>8</v>
      </c>
      <c r="I117" t="s">
        <v>7</v>
      </c>
      <c r="J117" t="s">
        <v>53</v>
      </c>
      <c r="K117" t="s">
        <v>98</v>
      </c>
      <c r="L117" t="s">
        <v>24</v>
      </c>
      <c r="M117">
        <v>1</v>
      </c>
    </row>
    <row r="118" spans="1:13" x14ac:dyDescent="0.25">
      <c r="A118" s="2">
        <v>46196</v>
      </c>
      <c r="B118" s="1" t="str">
        <f ca="1">IF(Información1[[#This Row],[Fecha]]='Ajuste de fechas'!$A$2,"Día actual","Día anterior")</f>
        <v>Día actual</v>
      </c>
      <c r="C118" t="s">
        <v>93</v>
      </c>
      <c r="D118" t="s">
        <v>94</v>
      </c>
      <c r="E118" t="s">
        <v>249</v>
      </c>
      <c r="F118" t="s">
        <v>11</v>
      </c>
      <c r="G118" t="s">
        <v>250</v>
      </c>
      <c r="H118" t="s">
        <v>8</v>
      </c>
      <c r="I118" t="s">
        <v>7</v>
      </c>
      <c r="J118" t="s">
        <v>53</v>
      </c>
      <c r="K118" t="s">
        <v>98</v>
      </c>
      <c r="L118" t="s">
        <v>70</v>
      </c>
      <c r="M118">
        <v>1</v>
      </c>
    </row>
    <row r="119" spans="1:13" x14ac:dyDescent="0.25">
      <c r="A119" s="2">
        <v>46196</v>
      </c>
      <c r="B119" s="1" t="str">
        <f ca="1">IF(Información1[[#This Row],[Fecha]]='Ajuste de fechas'!$A$2,"Día actual","Día anterior")</f>
        <v>Día actual</v>
      </c>
      <c r="C119" t="s">
        <v>93</v>
      </c>
      <c r="D119" t="s">
        <v>94</v>
      </c>
      <c r="E119" t="s">
        <v>228</v>
      </c>
      <c r="F119" t="s">
        <v>39</v>
      </c>
      <c r="G119" t="s">
        <v>45</v>
      </c>
      <c r="H119" t="s">
        <v>8</v>
      </c>
      <c r="I119" t="s">
        <v>7</v>
      </c>
      <c r="J119" t="s">
        <v>52</v>
      </c>
      <c r="K119" t="s">
        <v>98</v>
      </c>
      <c r="L119" t="s">
        <v>26</v>
      </c>
      <c r="M119">
        <v>1</v>
      </c>
    </row>
    <row r="120" spans="1:13" x14ac:dyDescent="0.25">
      <c r="A120" s="2">
        <v>46196</v>
      </c>
      <c r="B120" s="1" t="str">
        <f ca="1">IF(Información1[[#This Row],[Fecha]]='Ajuste de fechas'!$A$2,"Día actual","Día anterior")</f>
        <v>Día actual</v>
      </c>
      <c r="C120" t="s">
        <v>93</v>
      </c>
      <c r="D120" t="s">
        <v>94</v>
      </c>
      <c r="E120" t="s">
        <v>251</v>
      </c>
      <c r="F120" t="s">
        <v>15</v>
      </c>
      <c r="G120" t="s">
        <v>213</v>
      </c>
      <c r="H120" t="s">
        <v>8</v>
      </c>
      <c r="I120" t="s">
        <v>7</v>
      </c>
      <c r="J120" t="s">
        <v>52</v>
      </c>
      <c r="K120" t="s">
        <v>98</v>
      </c>
      <c r="L120" t="s">
        <v>26</v>
      </c>
      <c r="M120">
        <v>1</v>
      </c>
    </row>
    <row r="121" spans="1:13" x14ac:dyDescent="0.25">
      <c r="A121" s="2">
        <v>46196</v>
      </c>
      <c r="B121" s="1" t="str">
        <f ca="1">IF(Información1[[#This Row],[Fecha]]='Ajuste de fechas'!$A$2,"Día actual","Día anterior")</f>
        <v>Día actual</v>
      </c>
      <c r="C121" t="s">
        <v>93</v>
      </c>
      <c r="D121" t="s">
        <v>94</v>
      </c>
      <c r="E121" t="s">
        <v>99</v>
      </c>
      <c r="F121" t="s">
        <v>10</v>
      </c>
      <c r="G121" t="s">
        <v>100</v>
      </c>
      <c r="H121" t="s">
        <v>8</v>
      </c>
      <c r="I121" t="s">
        <v>81</v>
      </c>
      <c r="J121" t="s">
        <v>54</v>
      </c>
      <c r="K121" t="s">
        <v>98</v>
      </c>
      <c r="L121" t="s">
        <v>25</v>
      </c>
      <c r="M121">
        <v>1</v>
      </c>
    </row>
    <row r="122" spans="1:13" x14ac:dyDescent="0.25">
      <c r="A122" s="2">
        <v>46196</v>
      </c>
      <c r="B122" s="1" t="str">
        <f ca="1">IF(Información1[[#This Row],[Fecha]]='Ajuste de fechas'!$A$2,"Día actual","Día anterior")</f>
        <v>Día actual</v>
      </c>
      <c r="C122" t="s">
        <v>93</v>
      </c>
      <c r="D122" t="s">
        <v>94</v>
      </c>
      <c r="E122" t="s">
        <v>101</v>
      </c>
      <c r="F122" t="s">
        <v>10</v>
      </c>
      <c r="G122" t="s">
        <v>100</v>
      </c>
      <c r="H122" t="s">
        <v>8</v>
      </c>
      <c r="I122" t="s">
        <v>81</v>
      </c>
      <c r="J122" t="s">
        <v>54</v>
      </c>
      <c r="K122" t="s">
        <v>98</v>
      </c>
      <c r="L122" t="s">
        <v>25</v>
      </c>
      <c r="M122">
        <v>1</v>
      </c>
    </row>
    <row r="123" spans="1:13" x14ac:dyDescent="0.25">
      <c r="A123" s="2">
        <v>46196</v>
      </c>
      <c r="B123" s="1" t="str">
        <f ca="1">IF(Información1[[#This Row],[Fecha]]='Ajuste de fechas'!$A$2,"Día actual","Día anterior")</f>
        <v>Día actual</v>
      </c>
      <c r="C123" t="s">
        <v>93</v>
      </c>
      <c r="D123" t="s">
        <v>94</v>
      </c>
      <c r="E123" t="s">
        <v>252</v>
      </c>
      <c r="F123" t="s">
        <v>34</v>
      </c>
      <c r="G123" t="s">
        <v>100</v>
      </c>
      <c r="H123" t="s">
        <v>8</v>
      </c>
      <c r="I123" t="s">
        <v>81</v>
      </c>
      <c r="J123" t="s">
        <v>13</v>
      </c>
      <c r="K123" t="s">
        <v>98</v>
      </c>
      <c r="L123" t="s">
        <v>25</v>
      </c>
      <c r="M123">
        <v>1</v>
      </c>
    </row>
    <row r="124" spans="1:13" x14ac:dyDescent="0.25">
      <c r="A124" s="2">
        <v>46196</v>
      </c>
      <c r="B124" s="1" t="str">
        <f ca="1">IF(Información1[[#This Row],[Fecha]]='Ajuste de fechas'!$A$2,"Día actual","Día anterior")</f>
        <v>Día actual</v>
      </c>
      <c r="C124" t="s">
        <v>93</v>
      </c>
      <c r="D124" t="s">
        <v>94</v>
      </c>
      <c r="E124" t="s">
        <v>102</v>
      </c>
      <c r="F124" t="s">
        <v>58</v>
      </c>
      <c r="G124" t="s">
        <v>100</v>
      </c>
      <c r="H124" t="s">
        <v>8</v>
      </c>
      <c r="I124" t="s">
        <v>81</v>
      </c>
      <c r="J124" t="s">
        <v>52</v>
      </c>
      <c r="K124" t="s">
        <v>98</v>
      </c>
      <c r="L124" t="s">
        <v>25</v>
      </c>
      <c r="M124">
        <v>1</v>
      </c>
    </row>
    <row r="125" spans="1:13" x14ac:dyDescent="0.25">
      <c r="A125" s="2">
        <v>46196</v>
      </c>
      <c r="B125" s="1" t="str">
        <f ca="1">IF(Información1[[#This Row],[Fecha]]='Ajuste de fechas'!$A$2,"Día actual","Día anterior")</f>
        <v>Día actual</v>
      </c>
      <c r="C125" t="s">
        <v>93</v>
      </c>
      <c r="D125" t="s">
        <v>94</v>
      </c>
      <c r="E125" t="s">
        <v>103</v>
      </c>
      <c r="F125" t="s">
        <v>9</v>
      </c>
      <c r="G125" t="s">
        <v>100</v>
      </c>
      <c r="H125" t="s">
        <v>8</v>
      </c>
      <c r="I125" t="s">
        <v>81</v>
      </c>
      <c r="J125" t="s">
        <v>52</v>
      </c>
      <c r="K125" t="s">
        <v>98</v>
      </c>
      <c r="L125" t="s">
        <v>25</v>
      </c>
      <c r="M125">
        <v>1</v>
      </c>
    </row>
    <row r="126" spans="1:13" x14ac:dyDescent="0.25">
      <c r="A126" s="2">
        <v>46196</v>
      </c>
      <c r="B126" s="1" t="str">
        <f ca="1">IF(Información1[[#This Row],[Fecha]]='Ajuste de fechas'!$A$2,"Día actual","Día anterior")</f>
        <v>Día actual</v>
      </c>
      <c r="C126" t="s">
        <v>93</v>
      </c>
      <c r="D126" t="s">
        <v>94</v>
      </c>
      <c r="E126" t="s">
        <v>104</v>
      </c>
      <c r="F126" t="s">
        <v>72</v>
      </c>
      <c r="G126" t="s">
        <v>100</v>
      </c>
      <c r="H126" t="s">
        <v>8</v>
      </c>
      <c r="I126" t="s">
        <v>81</v>
      </c>
      <c r="J126" t="s">
        <v>52</v>
      </c>
      <c r="K126" t="s">
        <v>98</v>
      </c>
      <c r="L126" t="s">
        <v>25</v>
      </c>
      <c r="M126">
        <v>1</v>
      </c>
    </row>
    <row r="127" spans="1:13" x14ac:dyDescent="0.25">
      <c r="A127" s="2">
        <v>46196</v>
      </c>
      <c r="B127" s="1" t="str">
        <f ca="1">IF(Información1[[#This Row],[Fecha]]='Ajuste de fechas'!$A$2,"Día actual","Día anterior")</f>
        <v>Día actual</v>
      </c>
      <c r="C127" t="s">
        <v>93</v>
      </c>
      <c r="D127" t="s">
        <v>94</v>
      </c>
      <c r="E127" t="s">
        <v>105</v>
      </c>
      <c r="F127" t="s">
        <v>6</v>
      </c>
      <c r="G127" t="s">
        <v>100</v>
      </c>
      <c r="H127" t="s">
        <v>8</v>
      </c>
      <c r="I127" t="s">
        <v>81</v>
      </c>
      <c r="J127" t="s">
        <v>52</v>
      </c>
      <c r="K127" t="s">
        <v>98</v>
      </c>
      <c r="L127" t="s">
        <v>25</v>
      </c>
      <c r="M127">
        <v>1</v>
      </c>
    </row>
    <row r="128" spans="1:13" x14ac:dyDescent="0.25">
      <c r="A128" s="2">
        <v>46196</v>
      </c>
      <c r="B128" s="1" t="str">
        <f ca="1">IF(Información1[[#This Row],[Fecha]]='Ajuste de fechas'!$A$2,"Día actual","Día anterior")</f>
        <v>Día actual</v>
      </c>
      <c r="C128" t="s">
        <v>16</v>
      </c>
      <c r="D128" t="s">
        <v>50</v>
      </c>
      <c r="E128" t="s">
        <v>253</v>
      </c>
      <c r="F128" t="s">
        <v>9</v>
      </c>
      <c r="G128" t="s">
        <v>88</v>
      </c>
      <c r="H128" t="s">
        <v>8</v>
      </c>
      <c r="I128" t="s">
        <v>7</v>
      </c>
      <c r="J128" t="s">
        <v>52</v>
      </c>
      <c r="K128" t="s">
        <v>49</v>
      </c>
      <c r="L128" t="s">
        <v>24</v>
      </c>
      <c r="M128">
        <v>1</v>
      </c>
    </row>
    <row r="129" spans="1:13" x14ac:dyDescent="0.25">
      <c r="A129" s="2">
        <v>46196</v>
      </c>
      <c r="B129" s="1" t="str">
        <f ca="1">IF(Información1[[#This Row],[Fecha]]='Ajuste de fechas'!$A$2,"Día actual","Día anterior")</f>
        <v>Día actual</v>
      </c>
      <c r="C129" t="s">
        <v>16</v>
      </c>
      <c r="D129" t="s">
        <v>50</v>
      </c>
      <c r="E129" t="s">
        <v>214</v>
      </c>
      <c r="F129" t="s">
        <v>12</v>
      </c>
      <c r="G129" t="s">
        <v>75</v>
      </c>
      <c r="H129" t="s">
        <v>8</v>
      </c>
      <c r="I129" t="s">
        <v>7</v>
      </c>
      <c r="J129" t="s">
        <v>52</v>
      </c>
      <c r="K129" t="s">
        <v>49</v>
      </c>
      <c r="L129" t="s">
        <v>26</v>
      </c>
      <c r="M129">
        <v>1</v>
      </c>
    </row>
    <row r="130" spans="1:13" x14ac:dyDescent="0.25">
      <c r="A130" s="2">
        <v>46196</v>
      </c>
      <c r="B130" s="1" t="str">
        <f ca="1">IF(Información1[[#This Row],[Fecha]]='Ajuste de fechas'!$A$2,"Día actual","Día anterior")</f>
        <v>Día actual</v>
      </c>
      <c r="C130" t="s">
        <v>16</v>
      </c>
      <c r="D130" t="s">
        <v>50</v>
      </c>
      <c r="E130" t="s">
        <v>254</v>
      </c>
      <c r="F130" t="s">
        <v>255</v>
      </c>
      <c r="G130" t="s">
        <v>216</v>
      </c>
      <c r="H130" t="s">
        <v>8</v>
      </c>
      <c r="I130" t="s">
        <v>7</v>
      </c>
      <c r="J130" t="s">
        <v>52</v>
      </c>
      <c r="K130" t="s">
        <v>49</v>
      </c>
      <c r="L130" t="s">
        <v>24</v>
      </c>
      <c r="M130">
        <v>1</v>
      </c>
    </row>
    <row r="131" spans="1:13" x14ac:dyDescent="0.25">
      <c r="A131" s="2">
        <v>46196</v>
      </c>
      <c r="B131" s="1" t="str">
        <f ca="1">IF(Información1[[#This Row],[Fecha]]='Ajuste de fechas'!$A$2,"Día actual","Día anterior")</f>
        <v>Día actual</v>
      </c>
      <c r="C131" t="s">
        <v>16</v>
      </c>
      <c r="D131" t="s">
        <v>50</v>
      </c>
      <c r="E131" t="s">
        <v>256</v>
      </c>
      <c r="F131" t="s">
        <v>15</v>
      </c>
      <c r="G131" t="s">
        <v>213</v>
      </c>
      <c r="H131" t="s">
        <v>8</v>
      </c>
      <c r="I131" t="s">
        <v>7</v>
      </c>
      <c r="J131" t="s">
        <v>52</v>
      </c>
      <c r="K131" t="s">
        <v>49</v>
      </c>
      <c r="L131" t="s">
        <v>26</v>
      </c>
      <c r="M131">
        <v>1</v>
      </c>
    </row>
    <row r="132" spans="1:13" x14ac:dyDescent="0.25">
      <c r="A132" s="2">
        <v>46196</v>
      </c>
      <c r="B132" s="1" t="str">
        <f ca="1">IF(Información1[[#This Row],[Fecha]]='Ajuste de fechas'!$A$2,"Día actual","Día anterior")</f>
        <v>Día actual</v>
      </c>
      <c r="C132" t="s">
        <v>16</v>
      </c>
      <c r="D132" t="s">
        <v>50</v>
      </c>
      <c r="E132" t="s">
        <v>215</v>
      </c>
      <c r="F132" t="s">
        <v>15</v>
      </c>
      <c r="G132" t="s">
        <v>216</v>
      </c>
      <c r="H132" t="s">
        <v>8</v>
      </c>
      <c r="I132" t="s">
        <v>7</v>
      </c>
      <c r="J132" t="s">
        <v>52</v>
      </c>
      <c r="K132" t="s">
        <v>49</v>
      </c>
      <c r="L132" t="s">
        <v>26</v>
      </c>
      <c r="M132">
        <v>1</v>
      </c>
    </row>
    <row r="133" spans="1:13" x14ac:dyDescent="0.25">
      <c r="A133" s="2">
        <v>46196</v>
      </c>
      <c r="B133" s="1" t="str">
        <f ca="1">IF(Información1[[#This Row],[Fecha]]='Ajuste de fechas'!$A$2,"Día actual","Día anterior")</f>
        <v>Día actual</v>
      </c>
      <c r="C133" t="s">
        <v>60</v>
      </c>
      <c r="D133" t="s">
        <v>61</v>
      </c>
      <c r="E133" t="s">
        <v>257</v>
      </c>
      <c r="F133" t="s">
        <v>10</v>
      </c>
      <c r="G133" t="s">
        <v>75</v>
      </c>
      <c r="H133" t="s">
        <v>8</v>
      </c>
      <c r="I133" t="s">
        <v>7</v>
      </c>
      <c r="J133" t="s">
        <v>54</v>
      </c>
      <c r="K133" t="s">
        <v>258</v>
      </c>
      <c r="L133" t="s">
        <v>24</v>
      </c>
      <c r="M133">
        <v>1</v>
      </c>
    </row>
    <row r="134" spans="1:13" x14ac:dyDescent="0.25">
      <c r="A134" s="2">
        <v>46196</v>
      </c>
      <c r="B134" s="1" t="str">
        <f ca="1">IF(Información1[[#This Row],[Fecha]]='Ajuste de fechas'!$A$2,"Día actual","Día anterior")</f>
        <v>Día actual</v>
      </c>
      <c r="C134" t="s">
        <v>60</v>
      </c>
      <c r="D134" t="s">
        <v>61</v>
      </c>
      <c r="E134" t="s">
        <v>215</v>
      </c>
      <c r="F134" t="s">
        <v>15</v>
      </c>
      <c r="G134" t="s">
        <v>216</v>
      </c>
      <c r="H134" t="s">
        <v>8</v>
      </c>
      <c r="I134" t="s">
        <v>7</v>
      </c>
      <c r="J134" t="s">
        <v>52</v>
      </c>
      <c r="K134" t="s">
        <v>258</v>
      </c>
      <c r="L134" t="s">
        <v>26</v>
      </c>
      <c r="M134">
        <v>1</v>
      </c>
    </row>
    <row r="135" spans="1:13" x14ac:dyDescent="0.25">
      <c r="A135" s="2">
        <v>46196</v>
      </c>
      <c r="B135" s="1" t="str">
        <f ca="1">IF(Información1[[#This Row],[Fecha]]='Ajuste de fechas'!$A$2,"Día actual","Día anterior")</f>
        <v>Día actual</v>
      </c>
      <c r="C135" t="s">
        <v>60</v>
      </c>
      <c r="D135" t="s">
        <v>61</v>
      </c>
      <c r="E135" t="s">
        <v>259</v>
      </c>
      <c r="F135" t="s">
        <v>10</v>
      </c>
      <c r="G135" t="s">
        <v>260</v>
      </c>
      <c r="H135" t="s">
        <v>8</v>
      </c>
      <c r="I135" t="s">
        <v>14</v>
      </c>
      <c r="J135" t="s">
        <v>54</v>
      </c>
      <c r="K135" t="s">
        <v>71</v>
      </c>
      <c r="L135" t="s">
        <v>25</v>
      </c>
      <c r="M135">
        <v>1</v>
      </c>
    </row>
    <row r="136" spans="1:13" x14ac:dyDescent="0.25">
      <c r="A136" s="2">
        <v>46196</v>
      </c>
      <c r="B136" s="1" t="str">
        <f ca="1">IF(Información1[[#This Row],[Fecha]]='Ajuste de fechas'!$A$2,"Día actual","Día anterior")</f>
        <v>Día actual</v>
      </c>
      <c r="C136" t="s">
        <v>60</v>
      </c>
      <c r="D136" t="s">
        <v>61</v>
      </c>
      <c r="E136" t="s">
        <v>261</v>
      </c>
      <c r="F136" t="s">
        <v>72</v>
      </c>
      <c r="G136" t="s">
        <v>262</v>
      </c>
      <c r="H136" t="s">
        <v>8</v>
      </c>
      <c r="I136" t="s">
        <v>7</v>
      </c>
      <c r="J136" t="s">
        <v>52</v>
      </c>
      <c r="K136" t="s">
        <v>71</v>
      </c>
      <c r="L136" t="s">
        <v>25</v>
      </c>
      <c r="M136">
        <v>1</v>
      </c>
    </row>
    <row r="137" spans="1:13" x14ac:dyDescent="0.25">
      <c r="A137" s="2">
        <v>46196</v>
      </c>
      <c r="B137" s="1" t="str">
        <f ca="1">IF(Información1[[#This Row],[Fecha]]='Ajuste de fechas'!$A$2,"Día actual","Día anterior")</f>
        <v>Día actual</v>
      </c>
      <c r="C137" t="s">
        <v>60</v>
      </c>
      <c r="D137" t="s">
        <v>61</v>
      </c>
      <c r="E137" t="s">
        <v>214</v>
      </c>
      <c r="F137" t="s">
        <v>12</v>
      </c>
      <c r="G137" t="s">
        <v>75</v>
      </c>
      <c r="H137" t="s">
        <v>8</v>
      </c>
      <c r="I137" t="s">
        <v>7</v>
      </c>
      <c r="J137" t="s">
        <v>52</v>
      </c>
      <c r="K137" t="s">
        <v>258</v>
      </c>
      <c r="L137" t="s">
        <v>26</v>
      </c>
      <c r="M137">
        <v>1</v>
      </c>
    </row>
    <row r="138" spans="1:13" x14ac:dyDescent="0.25">
      <c r="A138" s="2">
        <v>46196</v>
      </c>
      <c r="B138" s="1" t="str">
        <f ca="1">IF(Información1[[#This Row],[Fecha]]='Ajuste de fechas'!$A$2,"Día actual","Día anterior")</f>
        <v>Día actual</v>
      </c>
      <c r="C138" t="s">
        <v>60</v>
      </c>
      <c r="D138" t="s">
        <v>61</v>
      </c>
      <c r="E138" t="s">
        <v>263</v>
      </c>
      <c r="F138" t="s">
        <v>10</v>
      </c>
      <c r="G138" t="s">
        <v>264</v>
      </c>
      <c r="H138" t="s">
        <v>8</v>
      </c>
      <c r="I138" t="s">
        <v>7</v>
      </c>
      <c r="J138" t="s">
        <v>54</v>
      </c>
      <c r="K138" t="s">
        <v>258</v>
      </c>
      <c r="L138" t="s">
        <v>70</v>
      </c>
      <c r="M138">
        <v>1</v>
      </c>
    </row>
    <row r="139" spans="1:13" x14ac:dyDescent="0.25">
      <c r="A139" s="2">
        <v>46196</v>
      </c>
      <c r="B139" s="1" t="str">
        <f ca="1">IF(Información1[[#This Row],[Fecha]]='Ajuste de fechas'!$A$2,"Día actual","Día anterior")</f>
        <v>Día actual</v>
      </c>
      <c r="C139" t="s">
        <v>60</v>
      </c>
      <c r="D139" t="s">
        <v>61</v>
      </c>
      <c r="E139" t="s">
        <v>235</v>
      </c>
      <c r="F139" t="s">
        <v>58</v>
      </c>
      <c r="G139" t="s">
        <v>236</v>
      </c>
      <c r="H139" t="s">
        <v>8</v>
      </c>
      <c r="I139" t="s">
        <v>7</v>
      </c>
      <c r="J139" t="s">
        <v>52</v>
      </c>
      <c r="K139" t="s">
        <v>258</v>
      </c>
      <c r="L139" t="s">
        <v>26</v>
      </c>
      <c r="M139">
        <v>1</v>
      </c>
    </row>
    <row r="140" spans="1:13" x14ac:dyDescent="0.25">
      <c r="A140" s="2">
        <v>46196</v>
      </c>
      <c r="B140" s="1" t="str">
        <f ca="1">IF(Información1[[#This Row],[Fecha]]='Ajuste de fechas'!$A$2,"Día actual","Día anterior")</f>
        <v>Día actual</v>
      </c>
      <c r="C140" t="s">
        <v>60</v>
      </c>
      <c r="D140" t="s">
        <v>61</v>
      </c>
      <c r="E140" t="s">
        <v>265</v>
      </c>
      <c r="F140" t="s">
        <v>11</v>
      </c>
      <c r="G140" t="s">
        <v>266</v>
      </c>
      <c r="H140" t="s">
        <v>8</v>
      </c>
      <c r="I140" t="s">
        <v>7</v>
      </c>
      <c r="J140" t="s">
        <v>53</v>
      </c>
      <c r="K140" t="s">
        <v>258</v>
      </c>
      <c r="L140" t="s">
        <v>24</v>
      </c>
      <c r="M140">
        <v>1</v>
      </c>
    </row>
    <row r="141" spans="1:13" x14ac:dyDescent="0.25">
      <c r="A141" s="2">
        <v>46196</v>
      </c>
      <c r="B141" s="1" t="str">
        <f ca="1">IF(Información1[[#This Row],[Fecha]]='Ajuste de fechas'!$A$2,"Día actual","Día anterior")</f>
        <v>Día actual</v>
      </c>
      <c r="C141" t="s">
        <v>60</v>
      </c>
      <c r="D141" t="s">
        <v>61</v>
      </c>
      <c r="E141" t="s">
        <v>267</v>
      </c>
      <c r="F141" t="s">
        <v>10</v>
      </c>
      <c r="G141" t="s">
        <v>87</v>
      </c>
      <c r="H141" t="s">
        <v>8</v>
      </c>
      <c r="I141" t="s">
        <v>7</v>
      </c>
      <c r="J141" t="s">
        <v>54</v>
      </c>
      <c r="K141" t="s">
        <v>258</v>
      </c>
      <c r="L141" t="s">
        <v>89</v>
      </c>
      <c r="M141">
        <v>1</v>
      </c>
    </row>
    <row r="142" spans="1:13" x14ac:dyDescent="0.25">
      <c r="A142" s="2">
        <v>46196</v>
      </c>
      <c r="B142" s="1" t="str">
        <f ca="1">IF(Información1[[#This Row],[Fecha]]='Ajuste de fechas'!$A$2,"Día actual","Día anterior")</f>
        <v>Día actual</v>
      </c>
      <c r="C142" t="s">
        <v>60</v>
      </c>
      <c r="D142" t="s">
        <v>61</v>
      </c>
      <c r="E142" t="s">
        <v>268</v>
      </c>
      <c r="F142" t="s">
        <v>58</v>
      </c>
      <c r="G142" t="s">
        <v>269</v>
      </c>
      <c r="H142" t="s">
        <v>8</v>
      </c>
      <c r="I142" t="s">
        <v>14</v>
      </c>
      <c r="J142" t="s">
        <v>52</v>
      </c>
      <c r="K142" t="s">
        <v>71</v>
      </c>
      <c r="L142" t="s">
        <v>25</v>
      </c>
      <c r="M142">
        <v>1</v>
      </c>
    </row>
    <row r="143" spans="1:13" x14ac:dyDescent="0.25">
      <c r="A143" s="2">
        <v>46196</v>
      </c>
      <c r="B143" s="1" t="str">
        <f ca="1">IF(Información1[[#This Row],[Fecha]]='Ajuste de fechas'!$A$2,"Día actual","Día anterior")</f>
        <v>Día actual</v>
      </c>
      <c r="C143" t="s">
        <v>60</v>
      </c>
      <c r="D143" t="s">
        <v>61</v>
      </c>
      <c r="E143" t="s">
        <v>270</v>
      </c>
      <c r="F143" t="s">
        <v>6</v>
      </c>
      <c r="G143" t="s">
        <v>271</v>
      </c>
      <c r="H143" t="s">
        <v>8</v>
      </c>
      <c r="I143" t="s">
        <v>7</v>
      </c>
      <c r="J143" t="s">
        <v>52</v>
      </c>
      <c r="K143" t="s">
        <v>258</v>
      </c>
      <c r="L143" t="s">
        <v>24</v>
      </c>
      <c r="M143">
        <v>1</v>
      </c>
    </row>
    <row r="144" spans="1:13" x14ac:dyDescent="0.25">
      <c r="A144" s="2">
        <v>46196</v>
      </c>
      <c r="B144" s="1" t="str">
        <f ca="1">IF(Información1[[#This Row],[Fecha]]='Ajuste de fechas'!$A$2,"Día actual","Día anterior")</f>
        <v>Día actual</v>
      </c>
      <c r="C144" t="s">
        <v>60</v>
      </c>
      <c r="D144" t="s">
        <v>61</v>
      </c>
      <c r="E144" t="s">
        <v>272</v>
      </c>
      <c r="F144" t="s">
        <v>10</v>
      </c>
      <c r="G144" t="s">
        <v>273</v>
      </c>
      <c r="H144" t="s">
        <v>8</v>
      </c>
      <c r="I144" t="s">
        <v>7</v>
      </c>
      <c r="J144" t="s">
        <v>54</v>
      </c>
      <c r="K144" t="s">
        <v>258</v>
      </c>
      <c r="L144" t="s">
        <v>24</v>
      </c>
      <c r="M144">
        <v>1</v>
      </c>
    </row>
    <row r="145" spans="1:13" x14ac:dyDescent="0.25">
      <c r="A145" s="2">
        <v>46196</v>
      </c>
      <c r="B145" s="1" t="str">
        <f ca="1">IF(Información1[[#This Row],[Fecha]]='Ajuste de fechas'!$A$2,"Día actual","Día anterior")</f>
        <v>Día actual</v>
      </c>
      <c r="C145" t="s">
        <v>60</v>
      </c>
      <c r="D145" t="s">
        <v>61</v>
      </c>
      <c r="E145" t="s">
        <v>274</v>
      </c>
      <c r="F145" t="s">
        <v>10</v>
      </c>
      <c r="G145" t="s">
        <v>188</v>
      </c>
      <c r="H145" t="s">
        <v>8</v>
      </c>
      <c r="I145" t="s">
        <v>14</v>
      </c>
      <c r="J145" t="s">
        <v>54</v>
      </c>
      <c r="K145" t="s">
        <v>258</v>
      </c>
      <c r="L145" t="s">
        <v>25</v>
      </c>
      <c r="M145">
        <v>1</v>
      </c>
    </row>
    <row r="146" spans="1:13" x14ac:dyDescent="0.25">
      <c r="A146" s="2">
        <v>46196</v>
      </c>
      <c r="B146" s="1" t="str">
        <f ca="1">IF(Información1[[#This Row],[Fecha]]='Ajuste de fechas'!$A$2,"Día actual","Día anterior")</f>
        <v>Día actual</v>
      </c>
      <c r="C146" t="s">
        <v>60</v>
      </c>
      <c r="D146" t="s">
        <v>61</v>
      </c>
      <c r="E146" t="s">
        <v>275</v>
      </c>
      <c r="F146" t="s">
        <v>10</v>
      </c>
      <c r="G146" t="s">
        <v>188</v>
      </c>
      <c r="H146" t="s">
        <v>8</v>
      </c>
      <c r="I146" t="s">
        <v>14</v>
      </c>
      <c r="J146" t="s">
        <v>54</v>
      </c>
      <c r="K146" t="s">
        <v>258</v>
      </c>
      <c r="L146" t="s">
        <v>24</v>
      </c>
      <c r="M146">
        <v>1</v>
      </c>
    </row>
    <row r="147" spans="1:13" x14ac:dyDescent="0.25">
      <c r="A147" s="2">
        <v>46196</v>
      </c>
      <c r="B147" s="1" t="str">
        <f ca="1">IF(Información1[[#This Row],[Fecha]]='Ajuste de fechas'!$A$2,"Día actual","Día anterior")</f>
        <v>Día actual</v>
      </c>
      <c r="C147" t="s">
        <v>60</v>
      </c>
      <c r="D147" t="s">
        <v>61</v>
      </c>
      <c r="E147" t="s">
        <v>64</v>
      </c>
      <c r="F147" t="s">
        <v>10</v>
      </c>
      <c r="G147" t="s">
        <v>69</v>
      </c>
      <c r="H147" t="s">
        <v>8</v>
      </c>
      <c r="I147" t="s">
        <v>7</v>
      </c>
      <c r="J147" t="s">
        <v>54</v>
      </c>
      <c r="K147" t="s">
        <v>258</v>
      </c>
      <c r="L147" t="s">
        <v>24</v>
      </c>
      <c r="M147">
        <v>1</v>
      </c>
    </row>
    <row r="148" spans="1:13" x14ac:dyDescent="0.25">
      <c r="A148" s="2">
        <v>46196</v>
      </c>
      <c r="B148" s="1" t="str">
        <f ca="1">IF(Información1[[#This Row],[Fecha]]='Ajuste de fechas'!$A$2,"Día actual","Día anterior")</f>
        <v>Día actual</v>
      </c>
      <c r="C148" t="s">
        <v>60</v>
      </c>
      <c r="D148" t="s">
        <v>61</v>
      </c>
      <c r="E148" t="s">
        <v>276</v>
      </c>
      <c r="F148" t="s">
        <v>34</v>
      </c>
      <c r="G148" t="s">
        <v>73</v>
      </c>
      <c r="H148" t="s">
        <v>8</v>
      </c>
      <c r="I148" t="s">
        <v>7</v>
      </c>
      <c r="J148" t="s">
        <v>13</v>
      </c>
      <c r="K148" t="s">
        <v>258</v>
      </c>
      <c r="L148" t="s">
        <v>24</v>
      </c>
      <c r="M148">
        <v>1</v>
      </c>
    </row>
    <row r="149" spans="1:13" x14ac:dyDescent="0.25">
      <c r="A149" s="2">
        <v>46196</v>
      </c>
      <c r="B149" s="1" t="str">
        <f ca="1">IF(Información1[[#This Row],[Fecha]]='Ajuste de fechas'!$A$2,"Día actual","Día anterior")</f>
        <v>Día actual</v>
      </c>
      <c r="C149" t="s">
        <v>60</v>
      </c>
      <c r="D149" t="s">
        <v>61</v>
      </c>
      <c r="E149" t="s">
        <v>277</v>
      </c>
      <c r="F149" t="s">
        <v>39</v>
      </c>
      <c r="G149" t="s">
        <v>45</v>
      </c>
      <c r="H149" t="s">
        <v>8</v>
      </c>
      <c r="I149" t="s">
        <v>7</v>
      </c>
      <c r="J149" t="s">
        <v>52</v>
      </c>
      <c r="K149" t="s">
        <v>258</v>
      </c>
      <c r="L149" t="s">
        <v>26</v>
      </c>
      <c r="M149">
        <v>1</v>
      </c>
    </row>
    <row r="150" spans="1:13" x14ac:dyDescent="0.25">
      <c r="A150" s="2">
        <v>46196</v>
      </c>
      <c r="B150" s="1" t="str">
        <f ca="1">IF(Información1[[#This Row],[Fecha]]='Ajuste de fechas'!$A$2,"Día actual","Día anterior")</f>
        <v>Día actual</v>
      </c>
      <c r="C150" t="s">
        <v>60</v>
      </c>
      <c r="D150" t="s">
        <v>61</v>
      </c>
      <c r="E150" t="s">
        <v>278</v>
      </c>
      <c r="F150" t="s">
        <v>12</v>
      </c>
      <c r="G150" t="s">
        <v>279</v>
      </c>
      <c r="H150" t="s">
        <v>8</v>
      </c>
      <c r="I150" t="s">
        <v>7</v>
      </c>
      <c r="J150" t="s">
        <v>52</v>
      </c>
      <c r="K150" t="s">
        <v>258</v>
      </c>
      <c r="L150" t="s">
        <v>25</v>
      </c>
      <c r="M150">
        <v>1</v>
      </c>
    </row>
    <row r="151" spans="1:13" x14ac:dyDescent="0.25">
      <c r="A151" s="2">
        <v>46196</v>
      </c>
      <c r="B151" s="1" t="str">
        <f ca="1">IF(Información1[[#This Row],[Fecha]]='Ajuste de fechas'!$A$2,"Día actual","Día anterior")</f>
        <v>Día actual</v>
      </c>
      <c r="C151" t="s">
        <v>60</v>
      </c>
      <c r="D151" t="s">
        <v>61</v>
      </c>
      <c r="E151" t="s">
        <v>280</v>
      </c>
      <c r="F151" t="s">
        <v>10</v>
      </c>
      <c r="G151" t="s">
        <v>225</v>
      </c>
      <c r="H151" t="s">
        <v>8</v>
      </c>
      <c r="I151" t="s">
        <v>7</v>
      </c>
      <c r="J151" t="s">
        <v>54</v>
      </c>
      <c r="K151" t="s">
        <v>258</v>
      </c>
      <c r="L151" t="s">
        <v>24</v>
      </c>
      <c r="M151">
        <v>1</v>
      </c>
    </row>
    <row r="152" spans="1:13" x14ac:dyDescent="0.25">
      <c r="A152" s="2">
        <v>46196</v>
      </c>
      <c r="B152" s="1" t="str">
        <f ca="1">IF(Información1[[#This Row],[Fecha]]='Ajuste de fechas'!$A$2,"Día actual","Día anterior")</f>
        <v>Día actual</v>
      </c>
      <c r="C152" t="s">
        <v>60</v>
      </c>
      <c r="D152" t="s">
        <v>61</v>
      </c>
      <c r="E152" t="s">
        <v>281</v>
      </c>
      <c r="F152" t="s">
        <v>10</v>
      </c>
      <c r="G152" t="s">
        <v>282</v>
      </c>
      <c r="H152" t="s">
        <v>8</v>
      </c>
      <c r="I152" t="s">
        <v>81</v>
      </c>
      <c r="J152" t="s">
        <v>54</v>
      </c>
      <c r="K152" t="s">
        <v>258</v>
      </c>
      <c r="L152" t="s">
        <v>24</v>
      </c>
      <c r="M152">
        <v>1</v>
      </c>
    </row>
    <row r="153" spans="1:13" x14ac:dyDescent="0.25">
      <c r="A153" s="2">
        <v>46196</v>
      </c>
      <c r="B153" s="1" t="str">
        <f ca="1">IF(Información1[[#This Row],[Fecha]]='Ajuste de fechas'!$A$2,"Día actual","Día anterior")</f>
        <v>Día actual</v>
      </c>
      <c r="C153" t="s">
        <v>60</v>
      </c>
      <c r="D153" t="s">
        <v>61</v>
      </c>
      <c r="E153" t="s">
        <v>283</v>
      </c>
      <c r="F153" t="s">
        <v>10</v>
      </c>
      <c r="G153" t="s">
        <v>282</v>
      </c>
      <c r="H153" t="s">
        <v>8</v>
      </c>
      <c r="I153" t="s">
        <v>7</v>
      </c>
      <c r="J153" t="s">
        <v>54</v>
      </c>
      <c r="K153" t="s">
        <v>258</v>
      </c>
      <c r="L153" t="s">
        <v>24</v>
      </c>
      <c r="M153">
        <v>1</v>
      </c>
    </row>
    <row r="154" spans="1:13" x14ac:dyDescent="0.25">
      <c r="A154" s="2">
        <v>46196</v>
      </c>
      <c r="B154" s="1" t="str">
        <f ca="1">IF(Información1[[#This Row],[Fecha]]='Ajuste de fechas'!$A$2,"Día actual","Día anterior")</f>
        <v>Día actual</v>
      </c>
      <c r="C154" t="s">
        <v>65</v>
      </c>
      <c r="D154" t="s">
        <v>66</v>
      </c>
      <c r="E154" t="s">
        <v>284</v>
      </c>
      <c r="F154" t="s">
        <v>10</v>
      </c>
      <c r="G154" t="s">
        <v>273</v>
      </c>
      <c r="H154" t="s">
        <v>59</v>
      </c>
      <c r="I154" t="s">
        <v>7</v>
      </c>
      <c r="J154" t="s">
        <v>54</v>
      </c>
      <c r="K154" t="s">
        <v>285</v>
      </c>
      <c r="L154" t="s">
        <v>24</v>
      </c>
      <c r="M154">
        <v>1</v>
      </c>
    </row>
    <row r="155" spans="1:13" x14ac:dyDescent="0.25">
      <c r="A155" s="2">
        <v>46196</v>
      </c>
      <c r="B155" s="1" t="str">
        <f ca="1">IF(Información1[[#This Row],[Fecha]]='Ajuste de fechas'!$A$2,"Día actual","Día anterior")</f>
        <v>Día actual</v>
      </c>
      <c r="C155" t="s">
        <v>65</v>
      </c>
      <c r="D155" t="s">
        <v>66</v>
      </c>
      <c r="E155" t="s">
        <v>286</v>
      </c>
      <c r="F155" t="s">
        <v>9</v>
      </c>
      <c r="G155" t="s">
        <v>68</v>
      </c>
      <c r="H155" t="s">
        <v>59</v>
      </c>
      <c r="I155" t="s">
        <v>14</v>
      </c>
      <c r="J155" t="s">
        <v>52</v>
      </c>
      <c r="K155" t="s">
        <v>67</v>
      </c>
      <c r="L155" t="s">
        <v>24</v>
      </c>
      <c r="M155">
        <v>1</v>
      </c>
    </row>
    <row r="156" spans="1:13" x14ac:dyDescent="0.25">
      <c r="A156" s="2">
        <v>46196</v>
      </c>
      <c r="B156" s="1" t="str">
        <f ca="1">IF(Información1[[#This Row],[Fecha]]='Ajuste de fechas'!$A$2,"Día actual","Día anterior")</f>
        <v>Día actual</v>
      </c>
      <c r="C156" t="s">
        <v>65</v>
      </c>
      <c r="D156" t="s">
        <v>66</v>
      </c>
      <c r="E156" t="s">
        <v>287</v>
      </c>
      <c r="F156" t="s">
        <v>10</v>
      </c>
      <c r="G156" t="s">
        <v>136</v>
      </c>
      <c r="H156" t="s">
        <v>59</v>
      </c>
      <c r="I156" t="s">
        <v>14</v>
      </c>
      <c r="J156" t="s">
        <v>54</v>
      </c>
      <c r="K156" t="s">
        <v>67</v>
      </c>
      <c r="L156" t="s">
        <v>25</v>
      </c>
      <c r="M156">
        <v>1</v>
      </c>
    </row>
    <row r="157" spans="1:13" x14ac:dyDescent="0.25">
      <c r="A157" s="2">
        <v>46196</v>
      </c>
      <c r="B157" s="1" t="str">
        <f ca="1">IF(Información1[[#This Row],[Fecha]]='Ajuste de fechas'!$A$2,"Día actual","Día anterior")</f>
        <v>Día actual</v>
      </c>
      <c r="C157" t="s">
        <v>65</v>
      </c>
      <c r="D157" t="s">
        <v>66</v>
      </c>
      <c r="E157" t="s">
        <v>288</v>
      </c>
      <c r="F157" t="s">
        <v>10</v>
      </c>
      <c r="G157" t="s">
        <v>136</v>
      </c>
      <c r="H157" t="s">
        <v>59</v>
      </c>
      <c r="I157" t="s">
        <v>14</v>
      </c>
      <c r="J157" t="s">
        <v>54</v>
      </c>
      <c r="K157" t="s">
        <v>67</v>
      </c>
      <c r="L157" t="s">
        <v>25</v>
      </c>
      <c r="M157">
        <v>1</v>
      </c>
    </row>
    <row r="158" spans="1:13" x14ac:dyDescent="0.25">
      <c r="A158" s="2">
        <v>46196</v>
      </c>
      <c r="B158" s="1" t="str">
        <f ca="1">IF(Información1[[#This Row],[Fecha]]='Ajuste de fechas'!$A$2,"Día actual","Día anterior")</f>
        <v>Día actual</v>
      </c>
      <c r="C158" t="s">
        <v>65</v>
      </c>
      <c r="D158" t="s">
        <v>66</v>
      </c>
      <c r="E158" t="s">
        <v>289</v>
      </c>
      <c r="F158" t="s">
        <v>15</v>
      </c>
      <c r="G158" t="s">
        <v>216</v>
      </c>
      <c r="H158" t="s">
        <v>59</v>
      </c>
      <c r="I158" t="s">
        <v>7</v>
      </c>
      <c r="J158" t="s">
        <v>52</v>
      </c>
      <c r="K158" t="s">
        <v>67</v>
      </c>
      <c r="L158" t="s">
        <v>26</v>
      </c>
      <c r="M158">
        <v>1</v>
      </c>
    </row>
    <row r="159" spans="1:13" x14ac:dyDescent="0.25">
      <c r="A159" s="2">
        <v>46196</v>
      </c>
      <c r="B159" s="1" t="str">
        <f ca="1">IF(Información1[[#This Row],[Fecha]]='Ajuste de fechas'!$A$2,"Día actual","Día anterior")</f>
        <v>Día actual</v>
      </c>
      <c r="C159" t="s">
        <v>65</v>
      </c>
      <c r="D159" t="s">
        <v>66</v>
      </c>
      <c r="E159" t="s">
        <v>290</v>
      </c>
      <c r="F159" t="s">
        <v>15</v>
      </c>
      <c r="G159" t="s">
        <v>213</v>
      </c>
      <c r="H159" t="s">
        <v>59</v>
      </c>
      <c r="I159" t="s">
        <v>7</v>
      </c>
      <c r="J159" t="s">
        <v>52</v>
      </c>
      <c r="K159" t="s">
        <v>67</v>
      </c>
      <c r="L159" t="s">
        <v>26</v>
      </c>
      <c r="M159">
        <v>1</v>
      </c>
    </row>
    <row r="160" spans="1:13" x14ac:dyDescent="0.25">
      <c r="A160" s="2">
        <v>46196</v>
      </c>
      <c r="B160" s="1" t="str">
        <f ca="1">IF(Información1[[#This Row],[Fecha]]='Ajuste de fechas'!$A$2,"Día actual","Día anterior")</f>
        <v>Día actual</v>
      </c>
      <c r="C160" t="s">
        <v>65</v>
      </c>
      <c r="D160" t="s">
        <v>66</v>
      </c>
      <c r="E160" t="s">
        <v>291</v>
      </c>
      <c r="F160" t="s">
        <v>9</v>
      </c>
      <c r="G160" t="s">
        <v>40</v>
      </c>
      <c r="H160" t="s">
        <v>59</v>
      </c>
      <c r="I160" t="s">
        <v>7</v>
      </c>
      <c r="J160" t="s">
        <v>52</v>
      </c>
      <c r="K160" t="s">
        <v>67</v>
      </c>
      <c r="L160" t="s">
        <v>24</v>
      </c>
      <c r="M16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46196</v>
      </c>
      <c r="B2" s="2">
        <f ca="1">A2-1</f>
        <v>46195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2026-06-24T01:15:04Z</dcterms:modified>
</cp:coreProperties>
</file>