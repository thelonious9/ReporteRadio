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0E37DD95-01D5-442C-B023-25CFBCCBB821}"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30" i="2" l="1"/>
  <c r="B31" i="2"/>
  <c r="B36" i="2"/>
  <c r="B32" i="2"/>
  <c r="B33" i="2"/>
  <c r="B35" i="2"/>
  <c r="B34" i="2"/>
  <c r="B2"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98" i="2"/>
  <c r="B100" i="2"/>
  <c r="B102" i="2"/>
  <c r="B105" i="2"/>
  <c r="B107" i="2"/>
  <c r="B129" i="2"/>
  <c r="B132" i="2"/>
  <c r="B135" i="2"/>
  <c r="B139" i="2"/>
  <c r="B143" i="2"/>
  <c r="B4" i="2"/>
  <c r="B6" i="2"/>
  <c r="B9" i="2"/>
  <c r="B11" i="2"/>
  <c r="B13" i="2"/>
  <c r="B16" i="2"/>
  <c r="B18" i="2"/>
  <c r="B20" i="2"/>
  <c r="B22" i="2"/>
  <c r="B25" i="2"/>
  <c r="B26" i="2"/>
  <c r="B29" i="2"/>
  <c r="B73" i="2"/>
  <c r="B74" i="2"/>
  <c r="B75" i="2"/>
  <c r="B76" i="2"/>
  <c r="B77" i="2"/>
  <c r="B78" i="2"/>
  <c r="B79" i="2"/>
  <c r="B80" i="2"/>
  <c r="B81" i="2"/>
  <c r="B82" i="2"/>
  <c r="B83" i="2"/>
  <c r="B84" i="2"/>
  <c r="B85" i="2"/>
  <c r="B86" i="2"/>
  <c r="B87" i="2"/>
  <c r="B88" i="2"/>
  <c r="B89" i="2"/>
  <c r="B90" i="2"/>
  <c r="B91" i="2"/>
  <c r="B92" i="2"/>
  <c r="B93" i="2"/>
  <c r="B94" i="2"/>
  <c r="B95" i="2"/>
  <c r="B96" i="2"/>
  <c r="B97" i="2"/>
  <c r="B99" i="2"/>
  <c r="B101" i="2"/>
  <c r="B103" i="2"/>
  <c r="B104" i="2"/>
  <c r="B106" i="2"/>
  <c r="B108" i="2"/>
  <c r="B131" i="2"/>
  <c r="B134" i="2"/>
  <c r="B137" i="2"/>
  <c r="B140" i="2"/>
  <c r="B142" i="2"/>
  <c r="B3" i="2"/>
  <c r="B5" i="2"/>
  <c r="B7" i="2"/>
  <c r="B8" i="2"/>
  <c r="B10" i="2"/>
  <c r="B12" i="2"/>
  <c r="B14" i="2"/>
  <c r="B15" i="2"/>
  <c r="B17" i="2"/>
  <c r="B19" i="2"/>
  <c r="B21" i="2"/>
  <c r="B23" i="2"/>
  <c r="B24" i="2"/>
  <c r="B27" i="2"/>
  <c r="B28" i="2"/>
  <c r="B109" i="2"/>
  <c r="B110" i="2"/>
  <c r="B111" i="2"/>
  <c r="B112" i="2"/>
  <c r="B113" i="2"/>
  <c r="B114" i="2"/>
  <c r="B115" i="2"/>
  <c r="B116" i="2"/>
  <c r="B117" i="2"/>
  <c r="B118" i="2"/>
  <c r="B119" i="2"/>
  <c r="B120" i="2"/>
  <c r="B121" i="2"/>
  <c r="B122" i="2"/>
  <c r="B123" i="2"/>
  <c r="B124" i="2"/>
  <c r="B125" i="2"/>
  <c r="B126" i="2"/>
  <c r="B127" i="2"/>
  <c r="B128" i="2"/>
  <c r="B130" i="2"/>
  <c r="B133" i="2"/>
  <c r="B136" i="2"/>
  <c r="B138" i="2"/>
  <c r="B14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<sst xmlns="http://schemas.openxmlformats.org/spreadsheetml/2006/main" count="1435" uniqueCount="283">
  <si>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</si>
  <si>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</si>
  <si>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</si>
  <si>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</si>
  <si>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</si>
  <si>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</si>
  <si>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</si>
  <si>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</si>
  <si>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</si>
  <si>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</si>
  <si>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</si>
  <si>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</si>
  <si>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</si>
  <si>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</si>
  <si>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</si>
  <si>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</si>
  <si>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</si>
  <si>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</si>
  <si>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</si>
  <si>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</si>
  <si>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</si>
  <si>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</si>
  <si>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</si>
  <si>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</si>
  <si>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</si>
  <si>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</si>
  <si>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</si>
  <si>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</si>
  <si>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</si>
  <si>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</si>
  <si>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</si>
  <si>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</si>
  <si>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</si>
  <si>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</si>
  <si>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</si>
  <si>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</si>
  <si>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</si>
  <si>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</si>
  <si>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</si>
  <si>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</si>
  <si>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</si>
  <si>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</si>
  <si>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</si>
  <si>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</si>
  <si>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</si>
  <si>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</si>
  <si>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</si>
  <si>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</si>
  <si>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</si>
  <si>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</si>
  <si>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</si>
  <si>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</si>
  <si>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</si>
  <si>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</si>
  <si>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</si>
  <si>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</si>
  <si>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</si>
  <si>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</si>
  <si>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</si>
  <si>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</si>
  <si>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</si>
  <si>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</si>
  <si>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</si>
  <si>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</si>
  <si>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</si>
  <si>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</si>
  <si>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</si>
  <si>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</si>
  <si>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</si>
  <si>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</si>
  <si>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</si>
  <si>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</si>
  <si>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</si>
  <si>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</si>
  <si>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Participación</t>
  </si>
  <si>
    <t>Radio Lobo 96.7 FM</t>
  </si>
  <si>
    <t>TSJEH</t>
  </si>
  <si>
    <t>Rutas de la Reconstrucción</t>
  </si>
  <si>
    <t>Feria Patronal</t>
  </si>
  <si>
    <t>Ataque Armado</t>
  </si>
  <si>
    <t>Ordenamiento Territorial</t>
  </si>
  <si>
    <t>Proceso Por Feminicidio</t>
  </si>
  <si>
    <t>OCSAD</t>
  </si>
  <si>
    <t>Feria Del Libro</t>
  </si>
  <si>
    <t>Turismo</t>
  </si>
  <si>
    <t>Pueblos con sabor</t>
  </si>
  <si>
    <t>Saderh</t>
  </si>
  <si>
    <t>Certificación de idioma</t>
  </si>
  <si>
    <t>Sedeco</t>
  </si>
  <si>
    <t>Enlace Noticias</t>
  </si>
  <si>
    <t>Gina Lorenzo</t>
  </si>
  <si>
    <t>Localización de cuerpo</t>
  </si>
  <si>
    <t>Tepeji del Río se une al Programa Regional de Desarrollo Urbano y Ordenamiento Territorial de Tula.</t>
  </si>
  <si>
    <t>Combate a la delincuencia</t>
  </si>
  <si>
    <t>Control de incendios</t>
  </si>
  <si>
    <t>Atracción De Inversiones</t>
  </si>
  <si>
    <t>Un video difundido a través de redes sociales exhibe una riña entre un repartidor de comida y un operador del transporte público ocurrida sobre el bulevar Río de las Avenidas, en Pachuca, Hidalgo. De acuerdo con las imágenes, ambos hombres descendieron de sus unidades y comenzaron a golpearse a la altura del cruce con la avenida Madero, mientras automovilistas y peatones presenciaban el enfrentamiento.</t>
  </si>
  <si>
    <t>Procuraduría municipal del menor</t>
  </si>
  <si>
    <t>Eulalio Larrieta agradece a Carlos Gamiño por estar al pendiente de temas.</t>
  </si>
  <si>
    <t>Aseguran 80 mil litros de combustible ilegal en Atotonilco de Tula</t>
  </si>
  <si>
    <t>Combate Al Huachicol</t>
  </si>
  <si>
    <t>Vialidad En Mal Estado</t>
  </si>
  <si>
    <t>Gobierno de Hidalgo potencia desarrollo de Tlanchinol con más de 294 millones de pesos. (AUDIO ASG)</t>
  </si>
  <si>
    <t>Gobierno de la Transformación pasa del compromiso a los hechos: Julio Menchaca. (AUDIO JMS).</t>
  </si>
  <si>
    <t>Anuncia Saderh apertura de ventanillas para Apoyos y Subsidios 2026</t>
  </si>
  <si>
    <t>Impulso al agro</t>
  </si>
  <si>
    <t>La madrugada de hoy, autoridades localizaron un bulto en una zona ubicada entre Villa de Tezuntepec, en el estado de Hidalgo.</t>
  </si>
  <si>
    <t>Se registró la noche de ayer domingo sobre la calle Pirámides, cerca de un campo de fútbol en la colonia 16 de enero aquí en Tula, donde vecinos reportaron múltiples detonaciones de armas de fuego.Al arribar, localizaron a dos hombres con heridas provocadas por impacto de bala</t>
  </si>
  <si>
    <t>La noche del sábado se registró un ataque armado en la colonia El Montecillo, donde un trabajador del motel Los Pinos fue asesinado.</t>
  </si>
  <si>
    <t>Comentó conductor que el fin de semana en Hidalgo, se registraron varios hechos violentos.”De verdad que nos sorprende lo que está sucediendo en algunos municipios de Hidalgo”.</t>
  </si>
  <si>
    <t>Ola De Violencia</t>
  </si>
  <si>
    <t>Se reporta bloqueo total sobre la carretera México-Tuxpan específicamente en el kilómetro 118 de la carretera de cuota y sobre el kilómetro 76 en la carretera libre Santiago Tepepa, solicitan que los trabajos de rehabilitación de la carretera federal, así como mayor seguridad, pue reportan asaltos y despojos sobre la carretera de cuota. Comentan que no van a retirar el bloqueo hasta que haya diálogo y solución por parte de las autoridades.</t>
  </si>
  <si>
    <t>Inseguridad Carretera</t>
  </si>
  <si>
    <t>Una mujer denunció a través de redes sociales haber sido víctima de un asalto sobre la altura de la presa El Tejocotal en Acaxochitlán. Comentó que un grupo de hombres armados se hicieron pasar por elementos policiales para obligarla a detener su vehículo y cometer el asalto. AUDIO VIDEO.</t>
  </si>
  <si>
    <t>Una movilización de cuerpos de emergencia se registró la noche de ayer en el complejo Cinépolis de Galerías Pachuca tras el reporte de humo en una de las salas, desalojando la sala como medida preventiva.</t>
  </si>
  <si>
    <t>Prevención de incendios</t>
  </si>
  <si>
    <t>Una mujer murió tras ser atropellada la mañana de hoy lunes sobre la calzada Melchoro Campo en Tula.</t>
  </si>
  <si>
    <t>Atropellamiento</t>
  </si>
  <si>
    <t>En Tezontepec de Aldama, la noche del sábado, policías municipales acudieron a un reporte en la Cruz de Mangas, donde vecinos indicaron que en un predio donde habitaban paracaidistas se había registrado un hecho de violencia. Al ingresar, los policías encontraban el cuerpo de un hombre adulto degollado con golpes en el rostro y estaba atado de pies y manos con un cinturón y un cable eléctrico.</t>
  </si>
  <si>
    <t>En estos momentos en Zumpango estado de México se lleva acabo la 1era. Sesión Ordinaria del Consejo de Desarrollo Metropolitano del Valle de México, donde esta el gobernador Julio Menchaca, y tambien participa la jefa de gobierno de la CDMX Clara Brugada.</t>
  </si>
  <si>
    <t>ZMVM</t>
  </si>
  <si>
    <t>Luego de confirmarse el fallecimiento de una de las personas lesionadas por la explosión registrada en la colonia San Juan Otlaxpa, en Tepeji del Río, el regidor Alejandro Maldonado informó que se impulsarán acciones para fortalecer la prevención de accidentes relacionados con el uso de pirotecnia durante las fiestas patronales.</t>
  </si>
  <si>
    <t>Explosión Pirotecnia</t>
  </si>
  <si>
    <t>En esta misma conferencia semanal, el titular de la Unidad de Planeación y Prospectiva, Miguel Tello, presentó los resultados del indicador trimestral de la actividad económica estatal, conocido como ITAEE. Se trata de un indicador que permite dar seguimiento al comportamiento de la economía en las entidades federativas, AUDIO APOYO</t>
  </si>
  <si>
    <t>Mañanera de Hidalgo</t>
  </si>
  <si>
    <t>Durante la ronda de preguntas de la sala de prensa, el secretario de Desarrollo Económico, Carlos Henkel, fue cuestionado sobre dos proyectos ubicados en Tula, uno de ellos fue el hospital Medens, localizado frente al hospital regional de Tula, y sobre el status del proyecto para la instalación de una tienda Walmart en este municipio, AUDIO APOYO</t>
  </si>
  <si>
    <t>Durante la mañanera el secretario de Desarrollo Económico Carlos Henkel, informó cómo avanzan los proyectos de inversión en la zona industrial de la región Tula Tepeji, AUDIO APOYO</t>
  </si>
  <si>
    <t>Hoy se llevo acabo la conferencia de prensa semanal del gobierno de Hidalgo el secretario de Desarrollo Económico, Carlos Henkel, expuso los factores que de acuerdo con la administración estatal han posicionado a Hidalgo entre las entidades con condiciones favorables para la inversión, AUDIO APOYO</t>
  </si>
  <si>
    <t>Reproducción de audio del video del gobernador Julio Menchaca Salazar en círculos de círculos de diálogo</t>
  </si>
  <si>
    <t>Como parte de la estrategia de círculos de diálogo del gobernador Julio Menchaca Salazar sostuvo un encuentro con representantes del sector empresarial para conocer el avance de las inversiones que se han concretado y se encuentran en desarrollo en la entidad. En la reunión estuvieron Fernando Garrido, presidente de Coparmex Hidalgo, Jorge González, presidente del consejo coordinador empresarial de Hidalgo, así como representantes de Mercado Libre, Laboratorios Carnot y Ánfora.Durante el encuentro se abordaron temas relacionados con el desarrollo de proyectos de inversión y la participación crecimiento económico de Hidalgo, AUDIO APOYO</t>
  </si>
  <si>
    <t>Una mujer sin vida fue localizada al interior de un automóvil sumergido en las aguas negras del Canal Requena, a la altura de la comunidad del Humo en Tepatepec. Tras las labores de rescate de la unidad, la víctima fue identificada como administrativa y secretaria adscrita a la Secretaría de Seguridad Pública del Estado de Hidalgo.</t>
  </si>
  <si>
    <t>De acuerdo con el Diagnóstico Nacional de Supervisión Penitenciaria, aproximadamente el 90 % de los 261 centros penitenciarios estatales del país presentan problemáticas de cogobierno y cobro de cuotas por parte de los internos. El informe técnico señala que las autoridades nacionales y estatales han puesto especial atención en la revisión y ejecución de cateos dentro de los penales de 11 entidades federativas, entre las que se incluye a Hidalgo.</t>
  </si>
  <si>
    <t>Diagnóstico penitenciario</t>
  </si>
  <si>
    <t>Autoridades estatales y federales pusieron en marcha asambleas informativas en Tenango de Doria, Huehuetla y San Bartolo Tutotepec para presentar los planes de relocalización a familias cuyas viviendas quedaron situadas en zonas de alto riesgo tras los deslaves de la vaguada monzónica de 2025. El programa incluye un apoyo económico único para gastos de mudanza y un procedimiento formal de acompañamiento para garantizar un traslado voluntario y seguro ante la previsión de lluvias intensas para el otoño de 2026.</t>
  </si>
  <si>
    <t>Despacho</t>
  </si>
  <si>
    <t>Reubicación de viviendas</t>
  </si>
  <si>
    <t>En representación del gobernador Julio Menchaca Salazar, el secretario de Gobierno, Guillermo Olivares Reyna, asistió al cambio de mesa directiva del Club Pachuca Rotary para el periodo 2026-2027, donde Efrén Valencia Ibarra tomó protesta como nuevo presidente en sucesión de Francisco Gerardo Baños Paz. Durante la ceremonia, el funcionario destacó el papel de la sociedad civil organizada para impulsar proyectos de inversión y bienestar social en la entidad.</t>
  </si>
  <si>
    <t>Toma de protesta</t>
  </si>
  <si>
    <t>La Secretaría de Bienestar e Inclusión Social de Hidalgo (Sebiso) continuará con la distribución de tarjetas de programas bancarizados en las regiones Otomí-Tepehua, Sierra Alta y Sierra Baja, priorizando municipios afectados por la vaguada monzónica de 2025 como San Bartolo Tutotepec, Huehuetla, Metztitlán y Tianguistengo. El titular de la dependencia, Ricardo Gómez Moreno, precisó que esta primera fase contempla una dispersión de 390 millones de pesos para beneficiar a 39 mil personas</t>
  </si>
  <si>
    <t>Bienestar</t>
  </si>
  <si>
    <t>Programas Del Pueblo</t>
  </si>
  <si>
    <t>La Secretaría de Turismo de Hidalgo llevó a cabo el festival gastronómico "Sabor a Hidalgo" en el Pueblo Mágico de Zempoala, reuniendo a los 37 municipios distinguidos como Pueblos con Sabor. Durante el evento se expusieron platillos tradicionales como el chimbote, el mole, las dobladitas y el tamal de recaudo. Asimismo, las autoridades anunciaron que esta oferta gastronómica contará con un pabellón especial denominado "Hidalgo Tiene Algo" durante la próxima Feria San Francisco en Pachuca. AUDIO DE APOYO</t>
  </si>
  <si>
    <t>El cuerpo sin vida de un hombre maniatado y con heridas producidas por arma blanca fue hallado dentro de una vivienda en el fraccionamiento Las Cruces, en la comunidad de La Cruz de Mangas, municipio de Tezontepec de Aldama. Vecinos alertaron al 911 sobre la presencia del lesionado, acudiendo corporaciones de seguridad para resguardar la zona mientras la representación social iniciaba las diligencias correspondientes.</t>
  </si>
  <si>
    <t>Un hombre falleció y otro más resultó con lesiones de gravedad tras sufrir un ataque con armas de fuego en las inmediaciones del campo de fútbol de la colonia 16 de Enero, sobre la calle Pirámides en Tula de Allende. Los agresores se dieron a la fuga antes de la llegada de los cuerpos de seguridad, quienes implementaron un operativo de búsqueda en la zona.</t>
  </si>
  <si>
    <t>En acciones coordinadas de seguridad entre la SSPH, la PGJEH, la Sedena y la Guardia Nacional, se ejecutaron dos cateos simultáneos en las colonias Las Palmas y La Lagunita, en el municipio de Singuilucan. Como resultado de las diligencias se aseguraron 1,467 litros de hidrocarburo, 103 contenedores, mangueras de alta presión, así como 200 dosis de presunta marihuana y 87 de aparente cristal.</t>
  </si>
  <si>
    <t>Autoridades de protección civil confirmaron el deceso de una de las tres personas que resultaron lesionadas la semana pasada tras la explosión de una bodega presuntamente utilizada para almacenar pirotecnia en la comunidad de San Juan Otlaxpan, municipio de Tepeji del Río. La persona se encontraba hospitalizada debido a la gravedad de las quemaduras causadas por la detonación.</t>
  </si>
  <si>
    <t>El encargado de la recepción de un hotel ubicado en la colonia Montecillo, en Tula de Allende, fue privado de la vida tras recibir al menos cinco impactos de proyectil de arma de fuego. La víctima, de aproximadamente 60 años, fue localizada por empleados del establecimiento tras escuchar las detonaciones, dando paso a la intervención de peritos de la PGJEH para el levantamiento del cuerpo y el inicio de las investigaciones.</t>
  </si>
  <si>
    <t>Ejecuciones</t>
  </si>
  <si>
    <t>Un operativo conjunto integrado por la Guardia Nacional, la Sedena, la SSPH y la PGJEH desmanteló un centro clandestino de almacenamiento de combustible en la localidad de Zacamulpa, municipio de Atotonilco de Tula. Durante el cateo se decomisaron 80 mil litros de gasolina ilegal, cuatro cisternas de 10 mil litros, 14 contenedores, 110 metros de manguera, dosis de presunta droga y 24 vehículos (entre ellos 11 autotanques y seis unidades con reporte de robo vigente).</t>
  </si>
  <si>
    <t>Elementos de Protección Civil de Mineral de la Reforma y del Cuerpo de Bomberos del Estado sofocaron un incendio de llantas y residuos sólidos urbanos registrado en las inmediaciones del Corredor de la Montaña. Tras las maniobras de control, las corporaciones confirmaron que el incidente fue liquidado en su totalidad sin que se reportaran personas lesionadas ni riesgo para la población.</t>
  </si>
  <si>
    <t>A pesar de que los casos confirmados de COVID-19 en el país cayeron 76 % en comparación con el mismo periodo de 2025, el boletín epidemiológico de la semana 29 ubica a Hidalgo en el tercer lugar nacional con 117 casos acumulados y seis fallecimientos. Las autoridades de salud mantienen la vigilancia epidemiológica ante el incremento progresivo en la tasa de positividad registrado desde mayo.</t>
  </si>
  <si>
    <t>SSH</t>
  </si>
  <si>
    <t>Covid 19</t>
  </si>
  <si>
    <t>Hidalgo alcanzó un aumento de casi seis puntos porcentuales en la eficiencia terminal de educación media superior durante los últimos tres ciclos escolares, pasando del 67.8 % al 73.4 %. El titular de la SEPH, Natividad Castrejón Valdéz, informó además que la entidad logró una cobertura del 80.5 % en este nivel académico —ubicándose en el sexto lugar nacional— y anunció la puesta en marcha del programa "Identidad y Cohesión" para reducir los índices de deserción escolar.</t>
  </si>
  <si>
    <t>Permanencia escolar</t>
  </si>
  <si>
    <t>Con la participación de más de 1,200 figuras educativas entre docentes, directivos y supervisores, el Instituto Hidalguense de Educación (IHE) concluyó las actividades del ciclo escolar 2025-2026 de la Jornada Académica Comunitaria de Saberes y Pensamiento Científico. El secretario de Educación Pública de Hidalgo, Natividad Castrejón Valdéz, destacó que la iniciativa fortaleció el aprendizaje de 26,400 estudiantes de educación básica en los municipios de Chilcuautla, Francisco I. Madero, Mixquiahuala de Juárez y Progreso de Obregón.</t>
  </si>
  <si>
    <t>Formación continua</t>
  </si>
  <si>
    <t>La Procuraduría General de Justicia del Estado de Hidalgo (PGJEH) resguarda 462 cuerpos y restos humanos en el Servicio Médico Forense. La directora de la División Científica, Yasmín García Escobar, detalló que cerca de 100 personas ya han sido identificadas y se busca a sus familiares. Del total bajo resguardo, el 80 % corresponde a hombres, el 20 % a mujeres y 51 a fetos o productos de gestación. Asimismo, precisó que la mayoría de los ingresos no están vinculados a homicidios, sino a accidentes, decesos hospitalarios o personas en condición de movilidad. AUDIO DE APOYO.</t>
  </si>
  <si>
    <t>Identificación de restos</t>
  </si>
  <si>
    <t>El mandatario estatal, Julio Menchaca Salazar, adelantó que la Secretaría de Movilidad (Semoth) presentará próximamente un esquema de regularización para las tarifas del transporte público, con especial énfasis en el servicio de taxis. El objetivo de la estrategia es evitar cobros excesivos y garantizar un equilibrio justo entre usuarios y prestadores del servicio, fortaleciendo la calidad de la atención al turismo y la ciudadanía local.</t>
  </si>
  <si>
    <t>Tarifario de taxis</t>
  </si>
  <si>
    <t>El gobernador de Hidalgo, Julio Menchaca Salazar, afirmó que las diferencias registradas en diversos ayuntamientos deben atenderse mediante la conciliación y el respeto a la autonomía municipal del Artículo 115 constitucional. Indicó que la administración estatal mantiene comunicación constante para acompañar y conciliar intereses, priorizando el bienestar de la ciudadanía y la gobernabilidad sobre disputas internas. AUDIO DE APOYO.</t>
  </si>
  <si>
    <t>Conciliación</t>
  </si>
  <si>
    <t>Radioescucha reporta calle Juan Diego, esta en pesimas condiciones</t>
  </si>
  <si>
    <t>Conductor Eulalio Larrieta opina sobre el reporte de radioescucha por cobro de tarifa en taxi y comenta que el transporte todavía no saca la tarifa de los taxis y están haciendo su agosto ya en agosto. Entonces, por favor, SEMOT si ya tienen las tarifas, pues que las compartan.</t>
  </si>
  <si>
    <t>Alteración tarifa de transporte</t>
  </si>
  <si>
    <t>Radioescucha reporta que ayer al mediodía, una dama en un taxi con número 374 y medallón 3779 me cobró 90 pesos de los Tuzos al Aquiles Serdán, le dij que cobraban 80 pesos y al bajar le di 80 y me exigió que le diera los 90. Es un abuso.</t>
  </si>
  <si>
    <t>Radioescucha comenta y reporta: “Da mucha tristeza y vergüenza como este gobierno cuestiona el transporte público ya que es un asco, el abuso de los taxistas con sobrecupo, las colectivas, inseguridad, etcétera. Y todo esto lo permite el gobierno dejo video de evidencia. Un conductor de taxi muy agresivo agredió con maniobras a un particular. Ojalá que con la evidencia lo puedan detener”</t>
  </si>
  <si>
    <t>Deficiencias transporte público</t>
  </si>
  <si>
    <t>Radioescucha reporta falta de agua en Valle del Palma en Nicolas Bravo</t>
  </si>
  <si>
    <t>Comenta conductor Eulalio sobre la fuga de Valle del Palamar, que ya lleva más de un mes y medioa de este reporte, y no se realiza nada, esperemos que ya nos apoyen</t>
  </si>
  <si>
    <t>Fuga De Agua</t>
  </si>
  <si>
    <t>Radioescucha reporta que sigue la fuga en Valle del Palmar, ya tiene que la estamos reportando.</t>
  </si>
  <si>
    <t>Radioescucha reporta fuga de agua en el cerro frente a Plaza Q</t>
  </si>
  <si>
    <t>Radioescucha reporta bloqueo total sobre la carretera México-Tuxpan específicamente en el kilómetro 118 de la carretera de cuota y sobre el kilómetro 76 en la carretera libre Santiago Tepepa.</t>
  </si>
  <si>
    <t>Bloqueo Carretero</t>
  </si>
  <si>
    <t>Radioescucha pide información sobre la certificación TOEFL, ya que se marco a número y comentaron que no es ese. Comenta conductor que la semana pasada ya se estuvo dando la infro, pero que buscan y le mandan la info</t>
  </si>
  <si>
    <t>Maratones por la Lectura abordan los riesgos de los retos virales en las escuelas</t>
  </si>
  <si>
    <t>Fomento A La Lectura</t>
  </si>
  <si>
    <t>Conalep Hidalgo y Semarnath presentan el proyecto Agrofly ante la Secretaría de Agricultura y Desarrollo Rural del Gobierno de México</t>
  </si>
  <si>
    <t>Innovación tecnológica</t>
  </si>
  <si>
    <t>La incidencia de Covid-19 en el estado de Hidalgo mantiene una tendencia al alza tras confirmarse 18 nuevos contagios en la última semana, de acuerdo con los informes de la Secretaría de Salud federal emitidos por la Dirección General de Epidemiología. Al corte de la Semana Epidemiológica 29 (del 19 al 25 de julio de 2026), la entidad acumula 117 casos positivos a Covid-19</t>
  </si>
  <si>
    <t>Acerca Sebiso beneficios a migrantes y sus familias en Ajacuba</t>
  </si>
  <si>
    <t>Apoyo A Migrantes</t>
  </si>
  <si>
    <t>En cabina, participación de Jorge Hernández, director de Comunicación Social del Ayuntamiento de Pachuca, con el tema: El fin de semana realizamos faena en Fraccionamiento Nuevo Hidalgo, hoy en el Cerro de Cubitos campaña gratuita de esterilización y vacuna antirrábica para perros y gatos a partir de las 9:00am</t>
  </si>
  <si>
    <t>Menchaca Salazar inagura Feria Internacional del Libro Infantil y Juvenil de Hidalgo 2026</t>
  </si>
  <si>
    <t>Realizan programa desde las instalaciones del Rehilete, y durante el programa realiza intervenciones Jerusalem Kuri del Campo Directora General del Museo Interactivo para la Niñez y la Juventud Hidalguense "El Rehilete" con el tema : Curso de verano y actividades</t>
  </si>
  <si>
    <t>Curso de verano</t>
  </si>
  <si>
    <t>Locutor Jesús Riveros da lectura a comentario de radioescucha que reporte inseguridad sobre la carretera México-Tuxpan a la altura del Tejocotal, perteneciente al municipio de Acaxochitlán, solicitan más seguridad al alcalde; Jesús Riveros responde que el alcalde del municipio anunció que se trabajará de manera coordinada con la Guardia Nacional, el municipio y el Estado, porque este tramo se ha vuelto un foco rojo en materia de seguridad</t>
  </si>
  <si>
    <t>Inseguridad</t>
  </si>
  <si>
    <t>Entrevista vía telefónica Ricardo Perea, presidente municipal de Acaxochitlán - Habló sobre la situación del cierre de la la carretera México–Tuxpan tanto la autopista de cuota como la carretera libre, a la altura de Santiago Tepepa, en el municipio de Acaxochitlán, explicó que se establecieron acuerdos entre pobladores y autoridades para acordar el inicio de obras de reencarpetamiento para este lunes, además, se establecerán mesas de diálogo en materia de seguridad.</t>
  </si>
  <si>
    <t>Locutor Jesús Riveros da lectura a comentario de radioescucha del comité de padres de familia de la Escuela Secundaria General No. 1 Benito Juárez, reportan que se contrató a una empresa constructora por parte del programa La Escuela es Nuestra para la remodelación de los baños, señalan que la empresa no ha podido entrar a trabajar al plantel porque el director no les está permitiendo la entrada, los padres de familia acusan conflicto de intereses por parte del director del plantel para la realización de obras por un monto de 600 mil pesos. Derivado de lo anterior, buscaron a servicios regionales, sin embargo, por periodo vacacional se les informó que serán atendidos hasta el próximo 10 de agosto.</t>
  </si>
  <si>
    <t>Queja padres de familia</t>
  </si>
  <si>
    <t>Con la presencia de autoridades de los tres órdenes de gobierno, representantes del sector ganadero, productores, expositores y familias, fue inaugurada oficialmente la Expo Feria Internacional Ganadera Tulancingo 2026, considerada uno de los eventos más importantes de Hidalgo por su impacto económico, turístico y cultural. La ceremonia fue encabezada por la presidenta municipal, Lorena García Cázares; acompañada por la senadora Simey Olvera Bautista; el secretario de Seguridad Pública de Hidalgo, Salvador Cruz Neri; así como alcaldes y alcaldesas de Singuilucan, Acatlán, Acaxochitlán, Tenango de Doria y Omitlán de Juárez.</t>
  </si>
  <si>
    <t>Expo feria</t>
  </si>
  <si>
    <t>Respecto al bloque suscitado sobre la carretera México-Tuxpan, locutor Jesús Riveros informó que ya se encuentra el alcalde de Acaxochitlán Ricardo Perea para establecer acuerdos con los pobladores, sin embargo, se informa que están solicitando la presencia de autoridades federales y estatales.</t>
  </si>
  <si>
    <t>Hidalgo registró el mayor crecimiento en México de siniestros con motocicletas entre 2021 y 2025, con un aumento de 176.6%, de acuerdo con el Censo Nacional de Accidentes de Tránsito, pasando de 368 a mil 18 anuales. Además, presentan una elevada letalidad: en 2025 concentraron 42.2% de las muertes registradas en el estado. La motocicleta pasó de ser una alternativa económica de transporte a convertirse en el principal foco de crecimiento de accidentes viales en Hidalgo. En apenas cuatro años la entidad registró el mayor incremento en este tipo de siniestros, muy por encima de la tendencia nacional y con consecuencias cada vez más graves para la seguridad pública. Los microdatos del Censo Nacional de Accidentes de Tránsito Terrestre en Zonas Urbanas y Suburbanas (ATUS) del Inegi muestran que entre 2021 y 2025 los accidentes donde participó una motocicleta crecieron 176.6 por ciento en Hidalgo, al pasar de 368 a mil 18 casos anuales. A nivel nacional el incremento fue de 47.8 por ciento, al aumentar de 59 mil 971 a 88 mil 635 accidentes. Dicho de otra manera, el crecimiento observado en Hidalgo fue casi cuatro veces mayor que el promedio del país. La diferencia no sólo coloca a Hidalgo en el primer lugar nacional, sino que lo separa ampliamente del resto de las entidades</t>
  </si>
  <si>
    <t>Accidente vial</t>
  </si>
  <si>
    <t>Jesús Riveros transmite audio de la conferencia mañanera, en donde Carlos Henkel Escorza, secretario de Desarrollo Económico presentó cifras en cuanto a la economía de Hidalgo.</t>
  </si>
  <si>
    <t>Locutor Jesús Riveros transmite audio del inicio de la conferencia matutina semanal del Gobierno del Estado de Hidalgo, con la presentación por parte Edmundo Pineda de las y los secretarios que darán a conocer los distintos temas que se abordarán el día de hoy.</t>
  </si>
  <si>
    <t>Locutor Jesús Riveros informó, que hoy lunes 3 de agosto, frente al Centro Cultural de Tulancingo, habrá servicio médico gratuito por parte de las Unidades Médicas que el Despacho del Gobernador en coordinación con Pemex llevan a distintos municipios; entre los servicios que se ofrecen están: ultrasonidos, medicamentos , electrocardiograma, toma de peso, glucosa, triglicéridos y colesterol, consultas de medicina general, nutricional y odontología.</t>
  </si>
  <si>
    <t>Unidad Médica Móvil</t>
  </si>
  <si>
    <t>Maratones por la Lectura abordan los riesgos de los retos virales en las escuelas.</t>
  </si>
  <si>
    <t>Personal de la Secretaría de Infraestructura, Comunicaciones y Transportes (SICT) sostuvo una reunión con habitantes de las comunidades de San Alejo, Santa María Asunción y San Pedro Tlachichilco, con el objetivo de atender las inquietudes relacionadas con el retiro de reductores de velocidad tras los trabajos de rehabilitación de la carretera federal México–Tuxpan, en el tramo comprendido entre los kilómetros 59 al 63. Durante el encuentro, pobladores manifestaron su preocupación ante la incertidumbre sobre si volverían a colocarse los topes que fueron retirados debido a las labores de rehabilitación de esta importante vía. Ante esta situación, responsables de la obra informaron que sí se instalarán reductores de velocidad donde sean necesarios, sin embargo, primero se realizará una evaluación técnica para determinar los puntos adecuados. Explicaron que estos dispositivos se colocan principalmente en zonas donde existe mayor presencia peatonal, como entradas a escuelas, comunidades, centros de salud y cruces, además de considerar las condiciones de seguridad de cada punto. “Sí se colocarán topes, pero el 80% de estos no están registrados; no se colocarán todos los que estaban instalados antes de la rehabilitación de la carretera”, señalaron los encargados de los trabajos. En el caso de San Pedro Tlachichilco, se informó que también se realizará un análisis para determinar la instalación de reductores, debido a que algunos de los existentes anteriormente no contaban con autorización correspondiente. Por su parte, los habitantes solicitaron que sean reinstalados los topes que ya se encontraban en la zona y, de ser necesario, que se coloquen algunos adicionales, al considerar que representan una medida de seguridad para quienes diariamente cruzan esta carretera. Tras el diálogo, los pobladores aceptaron la propuesta de la SICT para que sean los responsables de la obra quienes determinen, mediante su evaluación, los puntos donde serán colocados los reductores. Asimismo, acordaron observar su funcionamiento y, en caso de existir nuevas inquietudes, realizar una reunión posterior para dar seguimiento al tema.</t>
  </si>
  <si>
    <t>Topes vehiculares</t>
  </si>
  <si>
    <t>Productores de la región del Valle de Tulancingo recibieron apoyos agrícolas y pecuarios como semilla de maíz y jitomate, hijuelos de maguey, molinos forrajeros, equipamiento acuícola, vientres porcinos, además de paquetes de aves de doble propósito y otros insumos que impulsarán la producción en la región. El evento fue encabezado por la alcaldesa de Tulancingo, Lorena García Cázares , y el titular de la Secretaría de Agricultura y Desarrollo Rural Hidalgo Napoleón González Pérez quien reiteró que los apoyos se entregan de manera directa y sin intermediarios. La entrega de apoyos que benefició a 884 productores, con una inversión superior a 10.1 millones de pesos.</t>
  </si>
  <si>
    <t>Apoyo Al Agro</t>
  </si>
  <si>
    <t>Luego de varios meses de reportes por la proliferación de mosquitos en comunidades cercanas a la presa Javier Rojo Gómez, el gobierno municipal de Alfajayucan anunció jornadas de fumigación para combatir al mosquito cúlex, sin embargo, habitantes exigen limpieza y retiro del lirio acuático para terminar con el problema. De acuerdo a la información oficial, las fumigaciones se realizarán los días 4, 5 y 6 de agosto, concentrándose en las localidades de Cerro Azul, La Cañada y La Piedad, Esta medida atiende parte de las demandas que habitantes de la zona han planteado desde hace meses, quienes han advertido sobre la presencia de grandes concentraciones de mosquitos, además de señalar afectaciones a animales y ganado. Sin embargo, los ciudadanos sostienen que la fumigación por sí sola no terminará con el problema y han insistido en que se requiere atender lo que consideran el origen de la proliferación: la presencia y acumulación de lirio en la presa. Por ello, además de las acciones para controlar temporalmente al mosquito, exigen que se realicen trabajos de limpieza y retiro del lirio de la presa Javier Rojo Gómez, pues aseguran que mientras esta vegetación permanezca en el cuerpo de agua, el problema va a continuar.</t>
  </si>
  <si>
    <t>culex</t>
  </si>
  <si>
    <t>UTEC obtiene un millón de pesos para impulsar cuatro proyectos de investigación</t>
  </si>
  <si>
    <t>Becas De Posgrado</t>
  </si>
  <si>
    <t>Hidalgo, entre las ocho entidades con cobertura total en "Vive Saludable, Vive Feliz"</t>
  </si>
  <si>
    <t>Vida Saludable</t>
  </si>
  <si>
    <t>En Huehuetla el gobernador Julio Menchaca supervisa obra, como parte de las Rutas de la Transformación para la Reconstrucción, se informó sobre la visita de la presidenta Claudia Sheinbaum a Hidalgo para anuncios importantes. (AUDIO JMS).</t>
  </si>
  <si>
    <t>SSPH recupera tractocamión y cargamento de 56 toneladas de mercancía robada</t>
  </si>
  <si>
    <t>Durante julio se recuperaron 133 vehículos robados</t>
  </si>
  <si>
    <t>Reunión Gabinete De Seguridad</t>
  </si>
  <si>
    <t>Crecimiento, empleo y certeza impulsan a Hidalgo como potencia económica en marcha. (AUDIO CHE); (AUDIO MATV).</t>
  </si>
  <si>
    <t>Julio Menchaca consolida integración de ocho municipios hidalguenses a la Zona Metropolitana del Valle de México</t>
  </si>
  <si>
    <t>La zona de El Tejocotal y sus tramos carreteros aledaños (límites entre Hidalgo y Puebla) enfrentan una crisis de inseguridad crítica, caracterizada por un repunte de asaltos violentos, robos de vehículos y el reciente hallazgo de víctimas en la zona ecoturística. Esta situación detonó masivas manifestaciones ciudadanas con bloqueos totales en las principales autopistas de la región. Habitantes locales mantuvieron cerrados los kilómetros 118 de la autopista de cuota México-Tuxpan y el 76 de la carretera libre en el tramo de El Tejocotal. Las manifestaciones colapsaron la circulación hacia la Sierra Norte de Puebla por más de siete horas, exigiendo de forma inmediata mayor presencia de la Guardia Nacional ante la ola delictiva. En la autopista Tlaxco-El Tejocotal y la vía libre se reporta constantemente el robo violento de vehículos pesados y camionetas de carga. Los delincuentes interceptan a conductores mediante amenazas armadas, despojándolos de mercancías o dinero en efectivo, recurriendo en ocasiones a abandonar a las víctimas en zonas boscosas de los alrededores. La delincuencia ha permeado hasta la propia zona turística de la presa. Lancheros locales reportaron el hallazgo de un cuerpo sin vida a las orillas de la Presa del Tejocotal, en el ejido Apapaxtla de Acaxochitlán, lo que requirió la intervención inmediata de peritos forenses y fuerzas de seguridad pública. Tras las manifestaciones y bloqueos, se firmaron acuerdos en mesas de diálogo donde las corporaciones locales de Hidalgo, Puebla y fuerzas federales se comprometieron a establecer operativos carreteros coordinados permanentes. A pesar de los patrullajes y de detenciones puntuales reportadas tras persecuciones en los accesos a Acaxochitlán, los usuarios de estas rutas siguen considerando el corredor de El Tejocotal como una zona de alto riesgo.</t>
  </si>
  <si>
    <t>Locutor Jesús Riveros da lectura a comentario de radioescucha que solicite envíen más médicos al Hospital General de Tulancingo; locutor responde que pasará el reporte a la SSH que es a la que le corresponde.</t>
  </si>
  <si>
    <t>IMSS Bienestar</t>
  </si>
  <si>
    <t>El pasado lunes 03 de agosto se llevó a cabo la segunda conferencia de prensa semanal del gobierno municipal de Tulancingo, donde el DIF municipal, encabezado por Jessica Garrido Cázares, presentó un informe de los apoyos y atenciones brindadas hasta ahora. No obstante, destacó que, a unas semanas de haberse instaurado la Procuraduría Municipal de Protección de Niñas, Niños y Adolescentes, se han atendido hasta ahora ocho casos de presunto abuso y trabajo infantil, reportados por la ciudadanía. Al respecto, el director general del Sistema DIF Tulancingo, Luis Ángel Hernández Alvarado, ubicó al abuso sexual y a la violencia contra los menores de edad, como las principales causas de atención e intervención en esta Procuraduría. En cuanto al tema de abuso sexual, señaló que el grupo de niñas y niños mayores de 10 años de edad es el más afectado y subrayó que los principales violentadores son familiares de la víctima o personas cercanas al núcleo familiar. “La presidenta del patronato, Jessica Garrido, ha hecho la observación y pedido que no nos enfoquemos únicamente en atender las causas, sino que implementemos campañas de prevención”. También, puntualizó que conjuntamente con la presidenta del patronato del organismo asistencial, Jessica Garrido Cázares, trabajan para fortalecer la estructura administrativa de la procuraduría. “Si bien es cierto que seguimos atendiendo de la misma manera en lo general, tenemos planeado hacer adecuaciones administrativas para dar cumplimiento con lo que establece el gobierno estatal y el Sistema DIF Hidalgo”, enfatizó el director del DIF Tulancingo. De acuerdo con la dirigente de la Fundación NAOH, Abigail de la Cruz Morales, siete de cada 10 agresores sexuales son familiares o personas conocidas por las víctimas menores de edad, mientras que cuatro de cada 10 niños y seis de cada 10 niñas, sufrirán algún tipo de abuso sexual antes de cumplir 18 años.</t>
  </si>
  <si>
    <t>Acepta el reto y forma parte de la 1.ª Carrera Feria Los Angelitos 5K, que se realzará en el marco de la tradicional Feria de Los Angelitos 2026, con el objetivo de disfrutar del deporte, la convivencia y el espíritu de comunidad. La cita es el próximo domingo 16 de agosto a las 08:00 horas, se contará con categorías para niñas, niños, jóvenes y adultos, además de una bolsa de $50,000 pesos a repartir en estímulos económicos, esta será una gran oportunidad para correr, competir y vivir una mañana llena de energía.</t>
  </si>
  <si>
    <t>Con la participación de agrupaciones provenientes de Puebla, Ciudad de México, Apan, Pachuca y exponentes locales, el próximo domingo 16 de agosto se realizará un gran evento masivo de danzón en el Foro Cultural de la Expoferia Internacional Ganadera de Tulancingo, a partir de las 13:00 horas. Como parte de esta celebración cultural, se presentará una coreografía especial en la que se espera reunir al mayor número posible de parejas danzoneras, quienes participarán en una ejecución sincronizada que dará muestra de la tradición, elegancia y arraigo de este género musical en la región. La coordinación de esta actividad está a cargo del profesor Rodolfo Ramírez. Al concluir el encuentro masivo, el público podrá disfrutar de música en vivo con la presentación de Soneros de Kachikin, agrupación originaria de Papantla, Veracruz, reconocida por su propuesta musical y su cercanía con el público de esta región. En la iniciativa promovida por la alcaldesa Lorena García Cázares a través de la Secretaría de Cultura, Educación, Deporte y Juventud, se visibiliza el talento local y regional tanto en la Feria de Nuestra Señora de los Ángeles como en la Expoferia Internacional Ganadera. Además, la Expoferia contará con la participación especial del Bachillerato en Artes de Pachuca, que presentará actividades de música, teatro, pintura y danza.</t>
  </si>
  <si>
    <t>Entrevista en cabina Mtra. Sarahí Michel Conde y los estudiantes de la Ingeniería en Diseño Textil y Moda, Antonio Cisneros y Brisa Acosta de la Universidad Tecnológica de la Sierra Hidalguense - Hablaron sobre la pasarela “Aura 2026” evento que se realiza anualmente con el objetivo de presenciar el talento y creatividad de los estudiantes de tercer y noveno cuatrimestre de la Ing. en Diseño Textil y Moda. La doceava edición de la pasarela “Aura 2026” se realizará el próximo 13 de agosto a las 19:00 horas en el Centro de Convenciones TuzoForum.</t>
  </si>
  <si>
    <t>Evento académico</t>
  </si>
  <si>
    <t>TV Cable hidalguense Canal 6</t>
  </si>
  <si>
    <t>Contigo Noticias</t>
  </si>
  <si>
    <t>SSPH ejecuta cateos simultáneos en Singuilucan, asegura hidrocarburo y presunta droga</t>
  </si>
  <si>
    <t>Itzel Ortega</t>
  </si>
  <si>
    <t>Director de la PIBEH recorre regiones para escuchar a su personal</t>
  </si>
  <si>
    <t>Recorrido por instalaciones</t>
  </si>
  <si>
    <t>Inician asambleas informativas para la relocalización de familias afectadas por las lluvias torrenciales en Hidalgo</t>
  </si>
  <si>
    <t>Con la participación de alrededor de 250 personas, el Ayuntamiento de Pachuca, a través de la Secretaría de Planeación y Evaluación, realizó las Mesas de Participación Ciudadana para integrar las propuestas y necesidades de la población al proceso de actualización del Plan Municipal de Desarrollo. El encuentro se llevó a cabo en el Auditorio Ejidal de Santiago Tlapacoya, donde habitantes, representantes de distintos sectores y personas servidoras públicas participaron en mesas de trabajo enfocadas en analizar los principales retos y áreas de oportunidad del municipio. Durante la jornada se abordaron temas relacionados con seguridad pública, servicios públicos municipales, desarrollo económico, tesorería, planeación y asuntos generales. Las propuestas recabadas serán revisadas como parte de la actualización del documento que orientará las políticas públicas y acciones del Gobierno Municipal durante los próximos años.</t>
  </si>
  <si>
    <t>Participación Ciudadana</t>
  </si>
  <si>
    <t>Sebiso intensifica entrega de tarjetas en tres regiones de Hidalgo</t>
  </si>
  <si>
    <t>Pachuca celebra PerroFest con causa animal</t>
  </si>
  <si>
    <t>Bienestar Animal</t>
  </si>
  <si>
    <t>Una camioneta tipo Sub quedó severamente dañada después de impactarse contra un poste y la guarnición de la carretera Pachuca- Actopan, a la altura de las Torres de Rectoría. El incidente se registró la tarde del domingo y el fuerte estruendo alertó a los automovilistas que circulaban por la zona quienes solicitaron la presencia de los servicios de emergencia. Paramédicos atendieron a la conductora quien únicamente presentó una crisis nerviosa tras el aparatoso impacto.</t>
  </si>
  <si>
    <t>Erick Ivan Martínez</t>
  </si>
  <si>
    <t>Dos mujeres se enfrentaron físicamente durante la Feria de los Angelitos, esto en el municipio de Tulancingo, como podemos ver en las imágenes. La confrontación fue grabada por las personas que se encontraban en el lugar y el video comenzó a circular rápidamente en redes sociales. El incidente generó nuevas críticas entre asistentes, usuarios quienes han expresado señalamientos relacionados con la seguridad de la feria, la organización y algunas fallas técnicas registradas durante esta feria. Hasta el momento, se desconoce que originó la riña y si las autoridades intervinieron o aplicaron alguna sanción, sin embargo, en las imágenes se pudo ver esta riña que se realizó dentro de uno de los pasillos de la feria.</t>
  </si>
  <si>
    <t>Prevención De Riesgos</t>
  </si>
  <si>
    <t>La volcadura de un tráiler con doble tanque se registró alrededor del mediodía, provocando afectaciones en el trébol de acceso a la localidad de Jaltepec, en Tulancingo. Elementos de Bomberos y Protección Civil municipal acudieron al sitio para realizar acciones de apoyo a la emergencia; en el sitio, hicieron contacto con el operador de la unidad, quien presentaba una lesión menor en una de sus manos. De forma simultánea se realizó inspección de la unidad, sin encontrar fisuras mayores en los tanques, salvo un pequeño derrame de combustible, el cual fue contenido de inmediato. Por lo que se descartó una fuga mayor de combustible. La circulación en la zona fue cerrada en tanto se atendía el servicio, para prevenir un accidente de consecuencias mayores. Fue poco después de dos horas de iniciar la atención al servicio que se dio por controlada la situación.</t>
  </si>
  <si>
    <t>riña</t>
  </si>
  <si>
    <t>Gobierno de Hidalgo consolida el trabajo conjunto con la ciudadanía y los sectores sociales</t>
  </si>
  <si>
    <t>Cada vez más jóvenes hidalguense es permanecen y concluyen sus estudios de Bachillerato, de acuerdo con la Secretaría de Educación Pública de Hidalgo la entidad registró avances en los indicadores de permanencia escolar y actualmente se ubica entre los estados con mayor cobertura en educación media superior a nivel nacional. Según la dependencia a la eficiencia terminal, es decir, el porcentaje de estudiantes que logran terminar el Bachillerato en el tiempo previsto, pasó de 67.8% en el ciclo escolar 2021-2022 a 73.4% en el ciclo 2024-2025. Este incremento refleja que un mayor número de jóvenes logra concluir sus estudios y reducir el abandono escolar. Además, Hidalgo alcanzó una cobertura de 80.5% en educación media superior, lo que coloca la entidad en el sexto lugar nacional. Este indicador mide cuántos jóvenes de entre 15 y 17 años tienen acceso y permanecen inscritos en el nivel de Bachillerato. Autoridades educativas señalaron que, aunque los resultados muestran una tendencia positiva, aún existen retos para que más estudiantes concluían oportunamente su formación, por ello anunciaron la puesta en marcha del Proyecto identidad y cohesión. Una estrategia que busca fortalecer el sentido de pertenencia de las y los alumnos con sus planteles, así como generar condiciones que favorezcan su permanencia en las aulas.</t>
  </si>
  <si>
    <t>El Congreso del Estado fue sede del Encuentro de Cafeticultores Hidalguenses, con el objetivo de distinguir a las y los productores de la región Otomí-Tepehua, mediante la entrega de un reconocimiento, en el marco de la aprobación del dictamen que declara el primero de octubre como el Día del Café, de la Cafeticultora y del Cafeticultor Hidalguense. El diputado Andrés Velázquez Vázquez, presidente de la Junta de Gobierno, precisó que reconocer a las y los cafeticultores hidalguenses significa valorar el esfuerzo de quienes mantienen viva una actividad fundamental para la economía, cultura y e identidad del estado.</t>
  </si>
  <si>
    <t>Caficultura</t>
  </si>
  <si>
    <t>Menchaca Salazar inaugura Feria Internacional del Libro Infantil y Juvenil de Hidalgo 2026</t>
  </si>
  <si>
    <t>Indicadores de crecimiento económico, inversiones estatales y proyectos impulsados con recursos federales que benefician a hidalgo, así como la generación de empleos en la entidad, marcaron la agenda de la conferencia de prensa semanal del gobierno de Hidalgo, donde funcionarios estatales presentaron un balance de los resultados alcanzados en materia económica durante el acto a la administración gubernamental. Por su parte, el titular de la Unidad de Planeación y Prospectiva miguel Ángel Tello informó sobre las inversiones que actualmente se desarrollan en Hidalgo, tanto en las impulsadas por el gobierno del estado como los proyectos federales que se ejecutan en la entidad y en distintas regiones del territorio hidalguense. En tanto el secretario del Trabajo y Previsión Social, Oscar Javier González, presentó un panorama sobre la situación laboral en Hidalgo con cifras relacionadas con la generación de empleos formales y el comportamiento del mercado de trabajo en la entidad.</t>
  </si>
  <si>
    <t>Una mujer perdió la vida la mañana de este lunes tras un accidente vial registrado sobre la avenida Melchor Ocampo, en la zona centro del municipio de Tula de Allende. De acuerdo con los primeros reportes, una unidad del transporte público, que estaba por concluir su recorrido, fue impactada de costado por una camioneta de traslado de valores. La fuerza del choque provocó que la unidad de pasajeros perdiera el control y se proyectara hacia el camellón central, donde arrolló a una mujer. La víctima quedó prensada entre las llantas de la unidad de transporte colectivo, falleciendo en el lugar a consecuencia de las lesiones sufridas. Personal de emergencia acudió para atender la situación, mientras elementos especializados realizaron las maniobras necesarias para liberar el cuerpo, que posteriormente fue trasladado por peritos de la Procuraduría General de Justicia del Estado de Hidalgo. Tras el accidente, ambos conductores fueron detenidos por las autoridades y quedaron a disposición de la instancia correspondiente, la cual determinará su situación legal conforme avancen las investigaciones. Las autoridades ministeriales iniciaron la carpeta de investigación correspondiente para esclarecer la mecánica del accidente y deslindar responsabilidades.</t>
  </si>
  <si>
    <t>Accidente de Transporte Público</t>
  </si>
  <si>
    <t>La mañana de este lunes fue localizado el cuerpo de un hombre con evidentes signos de violencia en el municipio de Villa de Tezontepec, hecho que movilizó a corporaciones de seguridad y personal ministerial. El hallazgo ocurrió en la zona conocida como El Palenque, a unos metros de una escuela primaria, donde vecinos reportaron la presencia de una persona envuelta en bolsas de plástico. Al arribar, las autoridades confirmaron que la víctima se encontraba sin vida, atada y con aparentes huellas de tortura. De manera preliminar, se informó que el hombre, cuya identidad permanece sin confirmar, presentaba una lesión provocada por arma de fuego. En el sitio también fue encontrada una cartulina con un mensaje de presunto contenido delictivo, el cual ya forma parte de las investigaciones. La zona fue resguardada por elementos policiacos mientras peritos de la Procuraduría General de Justicia del Estado de Hidalgo (PGJEH) realizaron el procesamiento de la escena y el levantamiento del cuerpo.</t>
  </si>
  <si>
    <t>Un lesionado y dos personas detenidas, fue el saldo de una balacera ocurrida entre civiles y elementos de Guardia Nacional, durante la mañana del lunes 3 de agosto. La situación se registró en la colonia La Amistad, en el municipio de Tula de Allende; se señala que los agentes de seguridad fueron agredidos con armas de fuego, a lo cual respondieron. Durante la balacera, una persona resultó lesionada por arma de fuego, sin conocerse si se trató de algún elemento de seguridad pública, o un civil. Tras el ataque, dos personas fueron detenidas, siendo canalizadas ante autoridades para el inicio de las investigaciones respectivas a la agresión. Tras el enfrentamiento en Tula, la colonia La Amistad permaneció bajo vigilancia de corporaciones de seguridad mientras se realizaban las diligencias correspondientes. Elementos de distintas instituciones participaron en las labores de resguardo y recopilación de información para integrar los reportes oficiales sobre lo ocurrido. Representantes ministeriales iniciaron las investigaciones para el deslinde de las responsabilidades legales en dicha situación.</t>
  </si>
  <si>
    <t>Enfrentamiento con policías</t>
  </si>
  <si>
    <t>Para garantizar que, en la integración de las diputaciones por el principio de representación proporcional, exista al menos una fórmula destinada a personas con discapacidad y personas de la diversidad sexual y de género, el Congreso local aprobó reformas al Código Electoral local. Cabe recordar que en el anterior proceso electoral fue el Instituto Estatal Electoral de Hidalgo (IEEH) fue el que emitió los lineamientos para garantizar la participación de dichos grupos vulnerables, y estableció que debían ocupar alguno de los primeros cinco lugares. En el dictamen emitido por la Primera Comisión Permanente de Legislación y Puntos Constitucionales, se adiciona una fracción V al artículo 207 del Código Electoral del Estado de Hidalgo, en la que se establece que entre las doce fórmulas de diputaciones de representación proporcional deberá asegurarse el acceso al cargo de integrantes de estos grupos históricamente vulnerados. La iniciativa fue presentada el 15 de julio de 2026 por diputadas y diputados de los grupos legislativos de Morena y Nueva Alianza y, tras su análisis, fue aprobada por la comisión dictaminadora el 28 de julio de 2026. Durante el estudio del proyecto, las y los legisladores señalaron que la reforma busca garantizar el ejercicio efectivo de los derechos político-electorales mediante acciones afirmativas que permitan superar las barreras estructurales que han limitado el acceso de estos sectores a los cargos de representación popular.</t>
  </si>
  <si>
    <t>Reforma De Ley</t>
  </si>
  <si>
    <t>Siete municipios del Estado de Hidalgo se integran a la Zona Metropolitana del Valle de México (ZMVM), tras la aprobación por parte del Consejo de Desarrollo Metropolitano del Valle de México. Lo anterior en el marco de la Primera Sesión Ordinaria 2026 de dicho Consejo, donde se determinó que junto con Tizayuca, se integran a la ZMVM los municipios de integran Villa de Tezontepec, Tolcayuca, Tula de Allende, Tepeji del Río de Ocampo, Atitalaquia, Tlaxcoapan y Atotonilco de Tula. Además de dichos municipios, se suma uno más del Estado de Morelos, con lo que se busca detonar el crecimiento regional ordenado y garantizar el bienestar integral de las familias. Edna Elena Vega Rangel, secretaria de Desarrollo Agrario, Territorial y Urbano del Gobierno de México, resaltó que la ZMVM es el principal centro económico, social y urbano del país. Por lo que para avanzar hacia el futuro se debía reconfigurar, conformándose ahora por 59 municipios del Estado de México, uno de Morelos, 16 alcaldías de la Ciudad de México y ocho municipios de Hidalgo. Adelantando que ya se cuenta con un documento base del Programa de Ordenación de la ZMVM, mismo que entrará en revisión para establecer mecanismos de coordinación y financiamiento, para ser sometido a consulta pública. “Es verdaderamente histórica esta recuperación del Consejo Metropolitano, prácticamente 30 años para poder avanzar en esta posibilidad de una visión metropolitana”, señaló la funcionaria federal al solicitar que continúe el trabajo entre las cuatro entidades y la federación. Por su parte, el Gobernador del Estado de Hidalgo Julio Menchaca Salazar señaló que en casi cuatro años de la administración a su cargo, se han invertido más de 25 mil millones de pesos en obra pública. Además, se han captado 125 mil millones de pesos en inversión privada para la generación de 163 mil empleos, sumado a la vinculación de los sectores académico y productivo.</t>
  </si>
  <si>
    <t>Vía telefónica la coordinadora estatal del INEGI en Hidalgo, Laura Silva González Quintos in formó que la Plataforma "Cuéntame de México", se trata de un espacio desarrollado por el INEGI Informa a través del cual las niñas, niños y adolescentes pueden aprender sobre nuestro país de manera interactiva y divertida, así como descubrir datos interesantes sobre cultura, geografía, historia y economía. Al buscar información específica de Hidalgo, la plataforma muestra datos clave del estado (como número de habitantes y municipios) mediante mapas, juegos y mascotas amigables. Explora cifras de población, división territorial, actividades económicas y aspectos de gobierno. Cuenta con mapas interactivos, juegos y personajes guías (como un ajolote o un búho) para facilitar el estudio en casa o en la escuela. Apoya a los maestros como recurso complementario en el aula para interpretar información estadística desde la infancia. Puedes explorar los contenidos didácticos y datos específicos de cada entidad federativa en el portal educativo del INEGI.</t>
  </si>
  <si>
    <t>Plataforma Inegi</t>
  </si>
  <si>
    <t>Entrevista pautada</t>
  </si>
  <si>
    <t>Vía telefónica Clara Berenice Bazán San Agustín hace una denuncia por lo malos manejos de la administración municipal de Tulancingo y de la Subprocuraduría estatal, lo anterior porque el domingo 2 de agosto fue al panteón y no encontraron los restos óseos de su hermano en el nicho correspondiente y no había nadie qué les diera una explicación de por qué removieron los restos y no les notificaron. Señaló que ese día Gabriel Zambrano, director del Panteón le dijo que el se haría la denuncia correspondiente el lunes. Asimismo asegura que tuvo que acudir a la Central Integral de Servicios de Pachuca, perteneciente a la Procuraduría, porque en las instancias de Tulancingo le dieron puras evasivas. Finalmente dijo que ya realizó la denuncia con Número de carpeta: N12k-2026-00723 y que no es la única persona de Tulancingo que denuncia este tipo de casos y que es injusto que se tenga que ir a hacer las denuncias hasta Pachuca y en el ayuntamiento no se haga nada. Piden denunciar, pero evaden diciendo que no les corresponde. Señala que el ayuntamiento no ha hecho nada al respecto.</t>
  </si>
  <si>
    <t>Mala atención MP</t>
  </si>
  <si>
    <t>El 81.3 por ciento reportadas como desaparecidas en Hidalgo han sido localizadas, señalaron integrantes del Gabinete de Seguridad estatal durante la mesa de trabajo realizada con familiares de personas no localizadas. José Francisco García Reyes, titular de la Comisión de Búsqueda de Personas del Estado de Hidalgo (CBPEH), informó que de 2 mil 912 personas reportadas como desaparecidas durante la actual administración estatal, se han localizado 2 mil 368 personas hasta la fecha. Por lo cual, hasta el momento siguen sin localización 544 personas en la entidad. Señaló que en la actual administración estatal la efectividad en la localización incrementó en comparación con la administración anterior, en la que se reportaron 946 personas desaparecidas, de las cuales encontraron a 634, lo que corresponde al 67 por ciento del total. Para las labores de búsqueda, la CBPEH cuenta con más equipo para la localización de personas, al pasar de 55 bienes informáticos a 119 equipos, de 5 cámaras fotográficas a 10, de seis drones a ocho artefactos. Así como se pasó de cinco equipos especiales a 23 equipos especializados y de 180 nichos de resguardo aumentó a 680 nichos construidos. Guillermo Olivares Reyna, secretario de Gobierno estatal, encabezó la mesa de trabajo, donde mencionó que lo importante del encuentro es informar a las organizaciones y familiares de personas desaparecidas los avances en los trabajos de localización.</t>
  </si>
  <si>
    <t>Mesas de acercamiento</t>
  </si>
  <si>
    <t>Pobladores de varias localidades del municipio de Acaxochitlán, bloquearon la carretera federal y la autopista México-Tuxpan, exigiendo reencarpetamiento de vialidades y reforzamiento de seguridad pública. Durante las primeras horas del lunes 3 de agosto, fue cerrada a la circulación ambas vialidades, a la altura del acceso a Santiago Tepepa, en el puente y debajo de éste, para impedir el paso vehicular en ambos sentidos de la autopista y la carretera federal. Exigían retomar inmediatamente los trabajos de reencarpetamiento en vialidades que utilizan pobladores de comunidades como Ventaquemada, La Bóveda, Tejocotal, Paredones, Apapaxtla El Chico, Apapaxtla El Grande, Montemar, entre otras. Otras localidades consideradas a beneficiar con dichos trabajos son Tlalmimilolpan, Tepepa, San Pedro Tlachichilco, San Martín, San Mateo, El Canal, Ejido Tepepa, San Fernando, Ejido Tlazintla y El Vado. Los manifestantes también exigieron reforzar la vigilancia para frenar la creciente ola de asaltos a automovilistas, robo de vehículos y otros delitos que se presentan en la zona limítrofe de Hidalgo y Puebla. Al sitio del bloqueo acudieron funcionaros de los tres órdenes de gobierno, con objetivo de establecer diálogo que permitiera el retiro del bloqueo de ambas vialidades. Se estableció el compromiso de ayer mismo retomar las labores de reencarpetamiento, incluso fijó como fecha límite el 31 de octubre para concluir en su totalidad la rehabilitación del tramo La Desviación-Acaxochitlán, de la vía libre México-Tuxpan. Incluso se señaló la posibilidad de finalizar dichos trabajos antes de la fecha señalada, para lo cual se avanzará en los trabajos en dos frentes: de los límites de Puebla hacia Acaxochitlán, y el otro de Acaxochitlán hacia El Tejocotal. En cuanto al tema de seguridad, se estableció que mandos de la Guardia Nacional, Policías Estatal y Municipal, programaron para este miércoles una mesa de seguridad en la comunidad La Bóveda. Tras el establecimiento de los acuerdos, el bloqueo fue retirado, permitiendo de nuevo la circulación vehicular en ambas vialidades.</t>
  </si>
  <si>
    <t>Atención A Manifestantes</t>
  </si>
  <si>
    <t>Con el propósito de acercar servicios médicos gratuitos a la población y fortalecer las acciones de prevención y atención en materia de salud, este lunes inició la jornada de Unidades Médicas Móviles que el Gobierno Municipal de Tulancingo realiza en coordinación con Petróleos Mexicanos (PEMEX) y la Secretaría del Despacho del Gobernador del Estado de Hidalgo. Las unidades permanecerán hasta el 7 de agosto en la calle Hidalgo, frente al Centro Cultural Ricardo Garibay, en un horario de 8:30 a 15:00 horas, brindando atención sin costo a la ciudadanía. Durante esta jornada, la población puede acceder gratuitamente a diversos servicios de atención médica preventiva y de primer contacto, entre ellos consultas de medicina general, nutrición y odontología, así como estudios de ultrasonido, electrocardiogramas y la entrega de medicamentos, de acuerdo con la valoración realizada por el personal médico. Asimismo, las unidades ofrecen pruebas para la detección y monitoreo de factores de riesgo asociados a enfermedades crónicas, mediante la toma de glucosa, colesterol y triglicéridos, además de mediciones de peso y talla, contribuyendo con ello a la promoción de hábitos saludables y al diagnóstico oportuno de padecimientos que pueden prevenirse o atenderse de manera temprana.</t>
  </si>
  <si>
    <t>Daniel Martínez comenta que ayer circuló en redes sociales un video de un vehículo que transportaba pantalones de mezclilla y se volcó sobre la carretera Tulancingo- Pirámides. Al lugar llegó personal de la Guardia Nacional, quienes no hicieron nada, solo se dedicaron a observar cómo la gente hacía rapiña.</t>
  </si>
  <si>
    <t>Inacción policial</t>
  </si>
  <si>
    <t>Con una hora de retraso, debido a fallas técnicas para la presentación de los testigos, este lunes 3 de agosto se desarrolló la audiencia de debate del proceso penal por el triple feminicidio ocurrido en la colonia San Isidro, perteneciente al municipio de Santiago Tulantepec. La audiencia se realizó en la Sala 1 del Tribunal Colegiado de los Juzgados Penales de Control y Juicio Oral de Tulancingo, donde la defensa de uno de los imputados continuó con el desahogo de pruebas testimoniales. Durante la diligencia, la defensa del imputado identificado con las iniciales O.Y.C. interrogó a dos de los tres testigos que tenía programados para comparecer ante el tribunal; una vez concluidas sus declaraciones, ambos fueron liberados por la autoridad judicial. En tanto, la representación legal desistió del tercer testimonio previsto para esta audiencia y anunció que en la próxima sesión presentará a tres personas más para rendir declaración ante el Tribunal Colegiado, como parte de la estrategia de defensa. En la misma audiencia, el abogado defensor de los imputados D.G.C. y R.G.Y. informó al tribunal que desistía de presentar a cuatro testigos adicionales que originalmente habían sido ofrecidos durante el proceso. Con esta determinación dio por concluida su etapa de presentación de testimonios, por lo que ya no podrá convocar a nuevos declarantes que aporten información directa sobre los hechos con el propósito de respaldar la teoría inicial de su defensa. Tras el desahogo de las actuaciones programadas para este lunes, el Tribunal Colegiado fijó como fecha para la continuación del juicio el próximo 13 de agosto, cuando continuará el desahogo de pruebas por parte acusada dentro del debate oral. El triple feminicidio se registró el 30 de julio del año pasado dentro de una vivienda de la colonia San Isidro, perteneciente al municipio de Santiago Tulantepec.</t>
  </si>
  <si>
    <t>La Procuraduría Municipal de Protección de Niñas, Niños y Adolescentes de Tulancingo mantiene como principales atenciones los casos de abuso sexual y maltrato infantil, problemáticas que, en la mayoría de las ocasiones, ocurren dentro del entorno familiar. La directora de la dependencia, Lorena Elizabeth Barranco Licona, explicó que, tras la creación de las procuradurías municipales impulsada por el Gobierno de Hidalgo y el Sistema DIF estatal, la atención a menores se realiza de manera más cercana y ágil, evitando que las víctimas sean revictimizadas durante los procesos legales y de atención. Indicó que la Procuraduría brinda acompañamiento integral a través de las áreas jurídica, psicológica y de trabajo social, lo que permite atender de forma inmediata las denuncias y proteger los derechos de niñas, niños y adolescentes. Barranco Licona señaló que, aunque en Tulancingo los casos han disminuido gracias a la coordinación con las escuelas y al incremento de las denuncias, durante este año el abuso sexual ha sido el delito con mayor incidencia y, durante las vacaciones, suele registrarse un aumento en este tipo de reportes. Asimismo, advirtió que en esta temporada también incrementan los casos de trabajo infantil, particularmente durante la feria, por lo que recordó que esta práctica representa una vulneración a los derechos de los menores.</t>
  </si>
  <si>
    <t>Andrés Torres dice que hay una página en Facebook que se está volviendo muy popular por las encuestas que hace sobre los alcaldes, secretarias y secretarios y no sabe su en esta página esté la secretaria de Salud, Vanesa Escalante; pero en las encuestas oficiales, la secretaria de Salud es de las mejores posicionadas en el gabinete del gobernador Julio Menchaca.</t>
  </si>
  <si>
    <t>Sucesión Gubernamental</t>
  </si>
  <si>
    <t>Andrés Torres recomienda leer su columna Las Vocales Extraviada en donde habla de que crecimiento económico de Hidalgo se debe a una estrategia agresiva de atracción de inversiones privadas, el auge de su sector industrial y su conectividad estratégica con el Valle de México, factores que llevaron al estado a registrar un incremento anual del 8.2 por ciento en su Producto Interno Bruto (PIB) a inicios de 2026, posicionándolo como el líder nacional en crecimiento económico según datos oficiales del INEGI.</t>
  </si>
  <si>
    <t>Crecimiento Económico</t>
  </si>
  <si>
    <t>Vía telefónica el Secretario de Planeación, Miguel Ángel Tello habló sobre los avances económicos del estado y resaltó que con buena planeación, disciplina y orden se lograron importantes metas económicas. Subrayó que el trabajo realizado ha llevado a Hidalgo a un nuevo nivel en términos económicos en el país. Desde el inicio de su gestión, ha sido claro que había que organizar la administración para dar confianza a los inversionistas y al gobierno federal. Esto fue parte fundamental para que se desarrollara un ambiente atractivo para las inversiones en Hidalgo. Destacó el trabajo en equipo que se ha realizado entre diversos secretarios para asegurar finanzas sanas y continuidad en los proyectos de infraestructura. Según datos del INEGI, Hidalgo ha experimentado un crecimiento significativo, con un aumento del 8.2% en su Producto Interno Bruto. Esto demuestra que ha habido un aumento en el empleo y nuevas oportunidades para los habitantes del estado. Tello mencionó que el manejo adecuado de los recursos y la inversión en proyectos importantes, como carreteras y el tren que conecta la Ciudad de México con Pachuca, son pruebas del progreso conseguido. Además, señaló que el estado de Hidalgo ha permanecido en el mismo lugar geográfico, pero que, a diferencia de administraciones anteriores, ahora se brinda una mayor certeza a los inversionistas para fomentar el desarrollo. En la conversación, se enfatizó que la falta de acción en el pasado había impedido el crecimiento y las inversiones en el estado, situación que está cambiando actualmente. En respuesta a un radioescucha que le pregunta si hay proyectos para Francisco I. Madero, dijo que actualmente, se está llevando a cabo un proyecto de tecnificación de riego que incluye la rehabilitación de canaletas y la nivelación de parcelas. La meta es nivelar entre 500 y 1,000 hectáreas, con una inversión estimada de 400 a 500 millones de pesos. Además, hay un compromiso para mejorar la infraestructura educativa, incluyendo la educación superior. Destacó que Tepatepec tiene buenas tierras cultivables y acceso a agua, por lo que se busca fortalecer su vocación agrícola. Existen cooperativas en el norte de Tepatepec organizándose para vender minerales, lo que también apoya la economía local. Finalmente dijo que el Gobierno del Estado de Hidalgo, a través de la Unidad de Planeación y Perspectiva, está trabajando activamente en diversas actividades, como temas ecológicos y deportivos, y se está incorporando con otros municipios para abordar problemas comunes y buscar beneficios compartidos en la zona metropolitana. Esta colaboración marca un cambio en cómo Hidalgo es visto en la región, ya que ahora es considerado un socio en la planeación y toma de decisiones metropolitanas, en lugar de ser un área desatendida. Gracias a estas iniciativas, Hidalgo es el estado que más recursos recibe de la federación entre los cuatro estados metropolitanos.</t>
  </si>
  <si>
    <t>Ayer el Secretario de Gobierno, Guillermo Olivares se reunió con vecinos de Mineral de la Reforma que están inconformes por la falta de servicios como seguridad ya agua potable. En esta reunión se revisaron las tiras para resolver la problemática de estos fraccionamientos. El secretario se comprometió a resolver temas con los fraccionadores y de servicios.</t>
  </si>
  <si>
    <t>Municipalización</t>
  </si>
  <si>
    <t>Radioescucha, Olga Islas: un llamado a la presidencia municipal de Tepeapulco porque ya llevamos 2 días sin agua en toda la ciudad y no hay ningún apoyo de pipas. Ojalá alguien de la presidencia municipal se levante temprano.</t>
  </si>
  <si>
    <t>Hidalgo fortalece inversión con empresa líder de Brasil</t>
  </si>
  <si>
    <t>Avanza Hidalgo en la integración metropolitana con ocho municipios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</si>
</sst>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3" tableType="queryTable" totalsRowShown="0">
  <autoFilter ref="A1:M143"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3"/>
  <sheetViews>
    <sheetView tabSelected="1" workbookViewId="0">
      <selection activeCell="B2" sqref="B2"/>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2"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46237</v>
      </c>
      <c r="B2" s="1" t="str">
        <f ca="1">IF(Información1[[#This Row],[Fecha]]='Ajuste de fechas'!$A$2,"Día actual","Día anterior")</f>
        <v>Día anterior</v>
      </c>
      <c r="C2" t="s">
        <v>75</v>
      </c>
      <c r="D2" t="s">
        <v>89</v>
      </c>
      <c r="E2" t="s">
        <v>104</v>
      </c>
      <c r="F2" t="s">
        <v>86</v>
      </c>
      <c r="G2" t="s">
        <v>105</v>
      </c>
      <c r="H2" t="s">
        <v>11</v>
      </c>
      <c r="I2" t="s">
        <v>7</v>
      </c>
      <c r="J2" t="s">
        <v>39</v>
      </c>
      <c r="K2" t="s">
        <v>90</v>
      </c>
      <c r="L2" t="s">
        <v>42</v>
      </c>
      <c r="M2">
        <v>1</v>
      </c>
    </row>
    <row r="3" spans="1:13" x14ac:dyDescent="0.25">
      <c r="A3" s="2">
        <v>46237</v>
      </c>
      <c r="B3" s="1" t="str">
        <f ca="1">IF(Información1[[#This Row],[Fecha]]='Ajuste de fechas'!$A$2,"Día actual","Día anterior")</f>
        <v>Día anterior</v>
      </c>
      <c r="C3" t="s">
        <v>28</v>
      </c>
      <c r="D3" t="s">
        <v>65</v>
      </c>
      <c r="E3" t="s">
        <v>106</v>
      </c>
      <c r="F3" t="s">
        <v>19</v>
      </c>
      <c r="G3" t="s">
        <v>91</v>
      </c>
      <c r="H3" t="s">
        <v>11</v>
      </c>
      <c r="I3" t="s">
        <v>25</v>
      </c>
      <c r="J3" t="s">
        <v>43</v>
      </c>
      <c r="K3" t="s">
        <v>66</v>
      </c>
      <c r="L3" t="s">
        <v>40</v>
      </c>
      <c r="M3">
        <v>1</v>
      </c>
    </row>
    <row r="4" spans="1:13" x14ac:dyDescent="0.25">
      <c r="A4" s="2">
        <v>46237</v>
      </c>
      <c r="B4" s="1" t="str">
        <f ca="1">IF(Información1[[#This Row],[Fecha]]='Ajuste de fechas'!$A$2,"Día actual","Día anterior")</f>
        <v>Día anterior</v>
      </c>
      <c r="C4" t="s">
        <v>28</v>
      </c>
      <c r="D4" t="s">
        <v>65</v>
      </c>
      <c r="E4" t="s">
        <v>107</v>
      </c>
      <c r="F4" t="s">
        <v>19</v>
      </c>
      <c r="G4" t="s">
        <v>79</v>
      </c>
      <c r="H4" t="s">
        <v>11</v>
      </c>
      <c r="I4" t="s">
        <v>25</v>
      </c>
      <c r="J4" t="s">
        <v>43</v>
      </c>
      <c r="K4" t="s">
        <v>66</v>
      </c>
      <c r="L4" t="s">
        <v>40</v>
      </c>
      <c r="M4">
        <v>1</v>
      </c>
    </row>
    <row r="5" spans="1:13" x14ac:dyDescent="0.25">
      <c r="A5" s="2">
        <v>46237</v>
      </c>
      <c r="B5" s="1" t="str">
        <f ca="1">IF(Información1[[#This Row],[Fecha]]='Ajuste de fechas'!$A$2,"Día actual","Día anterior")</f>
        <v>Día anterior</v>
      </c>
      <c r="C5" t="s">
        <v>28</v>
      </c>
      <c r="D5" t="s">
        <v>65</v>
      </c>
      <c r="E5" t="s">
        <v>108</v>
      </c>
      <c r="F5" t="s">
        <v>19</v>
      </c>
      <c r="G5" t="s">
        <v>79</v>
      </c>
      <c r="H5" t="s">
        <v>11</v>
      </c>
      <c r="I5" t="s">
        <v>25</v>
      </c>
      <c r="J5" t="s">
        <v>43</v>
      </c>
      <c r="K5" t="s">
        <v>66</v>
      </c>
      <c r="L5" t="s">
        <v>40</v>
      </c>
      <c r="M5">
        <v>1</v>
      </c>
    </row>
    <row r="6" spans="1:13" x14ac:dyDescent="0.25">
      <c r="A6" s="2">
        <v>46237</v>
      </c>
      <c r="B6" s="1" t="str">
        <f ca="1">IF(Información1[[#This Row],[Fecha]]='Ajuste de fechas'!$A$2,"Día actual","Día anterior")</f>
        <v>Día anterior</v>
      </c>
      <c r="C6" t="s">
        <v>28</v>
      </c>
      <c r="D6" t="s">
        <v>65</v>
      </c>
      <c r="E6" t="s">
        <v>109</v>
      </c>
      <c r="F6" t="s">
        <v>23</v>
      </c>
      <c r="G6" t="s">
        <v>110</v>
      </c>
      <c r="H6" t="s">
        <v>11</v>
      </c>
      <c r="I6" t="s">
        <v>25</v>
      </c>
      <c r="J6" t="s">
        <v>39</v>
      </c>
      <c r="K6" t="s">
        <v>66</v>
      </c>
      <c r="L6" t="s">
        <v>40</v>
      </c>
      <c r="M6">
        <v>1</v>
      </c>
    </row>
    <row r="7" spans="1:13" x14ac:dyDescent="0.25">
      <c r="A7" s="2">
        <v>46237</v>
      </c>
      <c r="B7" s="1" t="str">
        <f ca="1">IF(Información1[[#This Row],[Fecha]]='Ajuste de fechas'!$A$2,"Día actual","Día anterior")</f>
        <v>Día anterior</v>
      </c>
      <c r="C7" t="s">
        <v>28</v>
      </c>
      <c r="D7" t="s">
        <v>65</v>
      </c>
      <c r="E7" t="s">
        <v>111</v>
      </c>
      <c r="F7" t="s">
        <v>19</v>
      </c>
      <c r="G7" t="s">
        <v>112</v>
      </c>
      <c r="H7" t="s">
        <v>11</v>
      </c>
      <c r="I7" t="s">
        <v>25</v>
      </c>
      <c r="J7" t="s">
        <v>43</v>
      </c>
      <c r="K7" t="s">
        <v>66</v>
      </c>
      <c r="L7" t="s">
        <v>40</v>
      </c>
      <c r="M7">
        <v>1</v>
      </c>
    </row>
    <row r="8" spans="1:13" x14ac:dyDescent="0.25">
      <c r="A8" s="2">
        <v>46237</v>
      </c>
      <c r="B8" s="1" t="str">
        <f ca="1">IF(Información1[[#This Row],[Fecha]]='Ajuste de fechas'!$A$2,"Día actual","Día anterior")</f>
        <v>Día anterior</v>
      </c>
      <c r="C8" t="s">
        <v>28</v>
      </c>
      <c r="D8" t="s">
        <v>65</v>
      </c>
      <c r="E8" t="s">
        <v>113</v>
      </c>
      <c r="F8" t="s">
        <v>19</v>
      </c>
      <c r="G8" t="s">
        <v>112</v>
      </c>
      <c r="H8" t="s">
        <v>11</v>
      </c>
      <c r="I8" t="s">
        <v>7</v>
      </c>
      <c r="J8" t="s">
        <v>43</v>
      </c>
      <c r="K8" t="s">
        <v>66</v>
      </c>
      <c r="L8" t="s">
        <v>40</v>
      </c>
      <c r="M8">
        <v>1</v>
      </c>
    </row>
    <row r="9" spans="1:13" x14ac:dyDescent="0.25">
      <c r="A9" s="2">
        <v>46237</v>
      </c>
      <c r="B9" s="1" t="str">
        <f ca="1">IF(Información1[[#This Row],[Fecha]]='Ajuste de fechas'!$A$2,"Día actual","Día anterior")</f>
        <v>Día anterior</v>
      </c>
      <c r="C9" t="s">
        <v>28</v>
      </c>
      <c r="D9" t="s">
        <v>65</v>
      </c>
      <c r="E9" t="s">
        <v>114</v>
      </c>
      <c r="F9" t="s">
        <v>19</v>
      </c>
      <c r="G9" t="s">
        <v>115</v>
      </c>
      <c r="H9" t="s">
        <v>11</v>
      </c>
      <c r="I9" t="s">
        <v>7</v>
      </c>
      <c r="J9" t="s">
        <v>43</v>
      </c>
      <c r="K9" t="s">
        <v>66</v>
      </c>
      <c r="L9" t="s">
        <v>40</v>
      </c>
      <c r="M9">
        <v>1</v>
      </c>
    </row>
    <row r="10" spans="1:13" x14ac:dyDescent="0.25">
      <c r="A10" s="2">
        <v>46237</v>
      </c>
      <c r="B10" s="1" t="str">
        <f ca="1">IF(Información1[[#This Row],[Fecha]]='Ajuste de fechas'!$A$2,"Día actual","Día anterior")</f>
        <v>Día anterior</v>
      </c>
      <c r="C10" t="s">
        <v>28</v>
      </c>
      <c r="D10" t="s">
        <v>65</v>
      </c>
      <c r="E10" t="s">
        <v>116</v>
      </c>
      <c r="F10" t="s">
        <v>19</v>
      </c>
      <c r="G10" t="s">
        <v>117</v>
      </c>
      <c r="H10" t="s">
        <v>11</v>
      </c>
      <c r="I10" t="s">
        <v>7</v>
      </c>
      <c r="J10" t="s">
        <v>43</v>
      </c>
      <c r="K10" t="s">
        <v>66</v>
      </c>
      <c r="L10" t="s">
        <v>40</v>
      </c>
      <c r="M10">
        <v>1</v>
      </c>
    </row>
    <row r="11" spans="1:13" x14ac:dyDescent="0.25">
      <c r="A11" s="2">
        <v>46237</v>
      </c>
      <c r="B11" s="1" t="str">
        <f ca="1">IF(Información1[[#This Row],[Fecha]]='Ajuste de fechas'!$A$2,"Día actual","Día anterior")</f>
        <v>Día anterior</v>
      </c>
      <c r="C11" t="s">
        <v>28</v>
      </c>
      <c r="D11" t="s">
        <v>65</v>
      </c>
      <c r="E11" t="s">
        <v>118</v>
      </c>
      <c r="F11" t="s">
        <v>19</v>
      </c>
      <c r="G11" t="s">
        <v>91</v>
      </c>
      <c r="H11" t="s">
        <v>11</v>
      </c>
      <c r="I11" t="s">
        <v>7</v>
      </c>
      <c r="J11" t="s">
        <v>43</v>
      </c>
      <c r="K11" t="s">
        <v>66</v>
      </c>
      <c r="L11" t="s">
        <v>40</v>
      </c>
      <c r="M11">
        <v>1</v>
      </c>
    </row>
    <row r="12" spans="1:13" x14ac:dyDescent="0.25">
      <c r="A12" s="2">
        <v>46237</v>
      </c>
      <c r="B12" s="1" t="str">
        <f ca="1">IF(Información1[[#This Row],[Fecha]]='Ajuste de fechas'!$A$2,"Día actual","Día anterior")</f>
        <v>Día anterior</v>
      </c>
      <c r="C12" t="s">
        <v>28</v>
      </c>
      <c r="D12" t="s">
        <v>65</v>
      </c>
      <c r="E12" t="s">
        <v>119</v>
      </c>
      <c r="F12" t="s">
        <v>26</v>
      </c>
      <c r="G12" t="s">
        <v>120</v>
      </c>
      <c r="H12" t="s">
        <v>11</v>
      </c>
      <c r="I12" t="s">
        <v>7</v>
      </c>
      <c r="J12" t="s">
        <v>39</v>
      </c>
      <c r="K12" t="s">
        <v>66</v>
      </c>
      <c r="L12" t="s">
        <v>40</v>
      </c>
      <c r="M12">
        <v>1</v>
      </c>
    </row>
    <row r="13" spans="1:13" x14ac:dyDescent="0.25">
      <c r="A13" s="2">
        <v>46237</v>
      </c>
      <c r="B13" s="1" t="str">
        <f ca="1">IF(Información1[[#This Row],[Fecha]]='Ajuste de fechas'!$A$2,"Día actual","Día anterior")</f>
        <v>Día anterior</v>
      </c>
      <c r="C13" t="s">
        <v>28</v>
      </c>
      <c r="D13" t="s">
        <v>65</v>
      </c>
      <c r="E13" t="s">
        <v>121</v>
      </c>
      <c r="F13" t="s">
        <v>19</v>
      </c>
      <c r="G13" t="s">
        <v>122</v>
      </c>
      <c r="H13" t="s">
        <v>11</v>
      </c>
      <c r="I13" t="s">
        <v>7</v>
      </c>
      <c r="J13" t="s">
        <v>43</v>
      </c>
      <c r="K13" t="s">
        <v>66</v>
      </c>
      <c r="L13" t="s">
        <v>40</v>
      </c>
      <c r="M13">
        <v>1</v>
      </c>
    </row>
    <row r="14" spans="1:13" x14ac:dyDescent="0.25">
      <c r="A14" s="2">
        <v>46237</v>
      </c>
      <c r="B14" s="1" t="str">
        <f ca="1">IF(Información1[[#This Row],[Fecha]]='Ajuste de fechas'!$A$2,"Día actual","Día anterior")</f>
        <v>Día anterior</v>
      </c>
      <c r="C14" t="s">
        <v>28</v>
      </c>
      <c r="D14" t="s">
        <v>65</v>
      </c>
      <c r="E14" t="s">
        <v>123</v>
      </c>
      <c r="F14" t="s">
        <v>31</v>
      </c>
      <c r="G14" t="s">
        <v>124</v>
      </c>
      <c r="H14" t="s">
        <v>11</v>
      </c>
      <c r="I14" t="s">
        <v>7</v>
      </c>
      <c r="J14" t="s">
        <v>39</v>
      </c>
      <c r="K14" t="s">
        <v>66</v>
      </c>
      <c r="L14" t="s">
        <v>40</v>
      </c>
      <c r="M14">
        <v>1</v>
      </c>
    </row>
    <row r="15" spans="1:13" x14ac:dyDescent="0.25">
      <c r="A15" s="2">
        <v>46237</v>
      </c>
      <c r="B15" s="1" t="str">
        <f ca="1">IF(Información1[[#This Row],[Fecha]]='Ajuste de fechas'!$A$2,"Día actual","Día anterior")</f>
        <v>Día anterior</v>
      </c>
      <c r="C15" t="s">
        <v>28</v>
      </c>
      <c r="D15" t="s">
        <v>65</v>
      </c>
      <c r="E15" t="s">
        <v>125</v>
      </c>
      <c r="F15" t="s">
        <v>88</v>
      </c>
      <c r="G15" t="s">
        <v>124</v>
      </c>
      <c r="H15" t="s">
        <v>11</v>
      </c>
      <c r="I15" t="s">
        <v>7</v>
      </c>
      <c r="J15" t="s">
        <v>39</v>
      </c>
      <c r="K15" t="s">
        <v>66</v>
      </c>
      <c r="L15" t="s">
        <v>40</v>
      </c>
      <c r="M15">
        <v>1</v>
      </c>
    </row>
    <row r="16" spans="1:13" x14ac:dyDescent="0.25">
      <c r="A16" s="2">
        <v>46237</v>
      </c>
      <c r="B16" s="1" t="str">
        <f ca="1">IF(Información1[[#This Row],[Fecha]]='Ajuste de fechas'!$A$2,"Día actual","Día anterior")</f>
        <v>Día anterior</v>
      </c>
      <c r="C16" t="s">
        <v>28</v>
      </c>
      <c r="D16" t="s">
        <v>65</v>
      </c>
      <c r="E16" t="s">
        <v>126</v>
      </c>
      <c r="F16" t="s">
        <v>88</v>
      </c>
      <c r="G16" t="s">
        <v>124</v>
      </c>
      <c r="H16" t="s">
        <v>11</v>
      </c>
      <c r="I16" t="s">
        <v>7</v>
      </c>
      <c r="J16" t="s">
        <v>39</v>
      </c>
      <c r="K16" t="s">
        <v>66</v>
      </c>
      <c r="L16" t="s">
        <v>40</v>
      </c>
      <c r="M16">
        <v>1</v>
      </c>
    </row>
    <row r="17" spans="1:13" x14ac:dyDescent="0.25">
      <c r="A17" s="2">
        <v>46237</v>
      </c>
      <c r="B17" s="1" t="str">
        <f ca="1">IF(Información1[[#This Row],[Fecha]]='Ajuste de fechas'!$A$2,"Día actual","Día anterior")</f>
        <v>Día anterior</v>
      </c>
      <c r="C17" t="s">
        <v>28</v>
      </c>
      <c r="D17" t="s">
        <v>65</v>
      </c>
      <c r="E17" t="s">
        <v>127</v>
      </c>
      <c r="F17" t="s">
        <v>88</v>
      </c>
      <c r="G17" t="s">
        <v>124</v>
      </c>
      <c r="H17" t="s">
        <v>11</v>
      </c>
      <c r="I17" t="s">
        <v>7</v>
      </c>
      <c r="J17" t="s">
        <v>39</v>
      </c>
      <c r="K17" t="s">
        <v>66</v>
      </c>
      <c r="L17" t="s">
        <v>40</v>
      </c>
      <c r="M17">
        <v>1</v>
      </c>
    </row>
    <row r="18" spans="1:13" x14ac:dyDescent="0.25">
      <c r="A18" s="2">
        <v>46237</v>
      </c>
      <c r="B18" s="1" t="str">
        <f ca="1">IF(Información1[[#This Row],[Fecha]]='Ajuste de fechas'!$A$2,"Día actual","Día anterior")</f>
        <v>Día anterior</v>
      </c>
      <c r="C18" t="s">
        <v>28</v>
      </c>
      <c r="D18" t="s">
        <v>65</v>
      </c>
      <c r="E18" t="s">
        <v>128</v>
      </c>
      <c r="F18" t="s">
        <v>26</v>
      </c>
      <c r="G18" t="s">
        <v>124</v>
      </c>
      <c r="H18" t="s">
        <v>11</v>
      </c>
      <c r="I18" t="s">
        <v>7</v>
      </c>
      <c r="J18" t="s">
        <v>39</v>
      </c>
      <c r="K18" t="s">
        <v>66</v>
      </c>
      <c r="L18" t="s">
        <v>40</v>
      </c>
      <c r="M18">
        <v>1</v>
      </c>
    </row>
    <row r="19" spans="1:13" x14ac:dyDescent="0.25">
      <c r="A19" s="2">
        <v>46237</v>
      </c>
      <c r="B19" s="1" t="str">
        <f ca="1">IF(Información1[[#This Row],[Fecha]]='Ajuste de fechas'!$A$2,"Día actual","Día anterior")</f>
        <v>Día anterior</v>
      </c>
      <c r="C19" t="s">
        <v>28</v>
      </c>
      <c r="D19" t="s">
        <v>65</v>
      </c>
      <c r="E19" t="s">
        <v>129</v>
      </c>
      <c r="F19" t="s">
        <v>26</v>
      </c>
      <c r="G19" t="s">
        <v>124</v>
      </c>
      <c r="H19" t="s">
        <v>11</v>
      </c>
      <c r="I19" t="s">
        <v>7</v>
      </c>
      <c r="J19" t="s">
        <v>39</v>
      </c>
      <c r="K19" t="s">
        <v>66</v>
      </c>
      <c r="L19" t="s">
        <v>40</v>
      </c>
      <c r="M19">
        <v>1</v>
      </c>
    </row>
    <row r="20" spans="1:13" x14ac:dyDescent="0.25">
      <c r="A20" s="2">
        <v>46237</v>
      </c>
      <c r="B20" s="1" t="str">
        <f ca="1">IF(Información1[[#This Row],[Fecha]]='Ajuste de fechas'!$A$2,"Día actual","Día anterior")</f>
        <v>Día anterior</v>
      </c>
      <c r="C20" t="s">
        <v>67</v>
      </c>
      <c r="D20" t="s">
        <v>68</v>
      </c>
      <c r="E20" t="s">
        <v>103</v>
      </c>
      <c r="F20" t="s">
        <v>26</v>
      </c>
      <c r="G20" t="s">
        <v>77</v>
      </c>
      <c r="H20" t="s">
        <v>11</v>
      </c>
      <c r="I20" t="s">
        <v>7</v>
      </c>
      <c r="J20" t="s">
        <v>39</v>
      </c>
      <c r="K20" t="s">
        <v>69</v>
      </c>
      <c r="L20" t="s">
        <v>42</v>
      </c>
      <c r="M20">
        <v>1</v>
      </c>
    </row>
    <row r="21" spans="1:13" x14ac:dyDescent="0.25">
      <c r="A21" s="2">
        <v>46237</v>
      </c>
      <c r="B21" s="1" t="str">
        <f ca="1">IF(Información1[[#This Row],[Fecha]]='Ajuste de fechas'!$A$2,"Día actual","Día anterior")</f>
        <v>Día anterior</v>
      </c>
      <c r="C21" t="s">
        <v>67</v>
      </c>
      <c r="D21" t="s">
        <v>68</v>
      </c>
      <c r="E21" t="s">
        <v>92</v>
      </c>
      <c r="F21" t="s">
        <v>31</v>
      </c>
      <c r="G21" t="s">
        <v>80</v>
      </c>
      <c r="H21" t="s">
        <v>11</v>
      </c>
      <c r="I21" t="s">
        <v>7</v>
      </c>
      <c r="J21" t="s">
        <v>39</v>
      </c>
      <c r="K21" t="s">
        <v>69</v>
      </c>
      <c r="L21" t="s">
        <v>42</v>
      </c>
      <c r="M21">
        <v>1</v>
      </c>
    </row>
    <row r="22" spans="1:13" x14ac:dyDescent="0.25">
      <c r="A22" s="2">
        <v>46237</v>
      </c>
      <c r="B22" s="1" t="str">
        <f ca="1">IF(Información1[[#This Row],[Fecha]]='Ajuste de fechas'!$A$2,"Día actual","Día anterior")</f>
        <v>Día anterior</v>
      </c>
      <c r="C22" t="s">
        <v>67</v>
      </c>
      <c r="D22" t="s">
        <v>68</v>
      </c>
      <c r="E22" t="s">
        <v>102</v>
      </c>
      <c r="F22" t="s">
        <v>26</v>
      </c>
      <c r="G22" t="s">
        <v>77</v>
      </c>
      <c r="H22" t="s">
        <v>11</v>
      </c>
      <c r="I22" t="s">
        <v>7</v>
      </c>
      <c r="J22" t="s">
        <v>39</v>
      </c>
      <c r="K22" t="s">
        <v>69</v>
      </c>
      <c r="L22" t="s">
        <v>42</v>
      </c>
      <c r="M22">
        <v>1</v>
      </c>
    </row>
    <row r="23" spans="1:13" x14ac:dyDescent="0.25">
      <c r="A23" s="2">
        <v>46237</v>
      </c>
      <c r="B23" s="1" t="str">
        <f ca="1">IF(Información1[[#This Row],[Fecha]]='Ajuste de fechas'!$A$2,"Día actual","Día anterior")</f>
        <v>Día anterior</v>
      </c>
      <c r="C23" t="s">
        <v>28</v>
      </c>
      <c r="D23" t="s">
        <v>72</v>
      </c>
      <c r="E23" t="s">
        <v>130</v>
      </c>
      <c r="F23" t="s">
        <v>23</v>
      </c>
      <c r="G23" t="s">
        <v>91</v>
      </c>
      <c r="H23" t="s">
        <v>11</v>
      </c>
      <c r="I23" t="s">
        <v>7</v>
      </c>
      <c r="J23" t="s">
        <v>39</v>
      </c>
      <c r="K23" t="s">
        <v>73</v>
      </c>
      <c r="L23" t="s">
        <v>40</v>
      </c>
      <c r="M23">
        <v>1</v>
      </c>
    </row>
    <row r="24" spans="1:13" x14ac:dyDescent="0.25">
      <c r="A24" s="2">
        <v>46237</v>
      </c>
      <c r="B24" s="1" t="str">
        <f ca="1">IF(Información1[[#This Row],[Fecha]]='Ajuste de fechas'!$A$2,"Día actual","Día anterior")</f>
        <v>Día anterior</v>
      </c>
      <c r="C24" t="s">
        <v>28</v>
      </c>
      <c r="D24" t="s">
        <v>72</v>
      </c>
      <c r="E24" t="s">
        <v>131</v>
      </c>
      <c r="F24" t="s">
        <v>22</v>
      </c>
      <c r="G24" t="s">
        <v>132</v>
      </c>
      <c r="H24" t="s">
        <v>11</v>
      </c>
      <c r="I24" t="s">
        <v>7</v>
      </c>
      <c r="J24" t="s">
        <v>44</v>
      </c>
      <c r="K24" t="s">
        <v>73</v>
      </c>
      <c r="L24" t="s">
        <v>40</v>
      </c>
      <c r="M24">
        <v>1</v>
      </c>
    </row>
    <row r="25" spans="1:13" x14ac:dyDescent="0.25">
      <c r="A25" s="2">
        <v>46237</v>
      </c>
      <c r="B25" s="1" t="str">
        <f ca="1">IF(Información1[[#This Row],[Fecha]]='Ajuste de fechas'!$A$2,"Día actual","Día anterior")</f>
        <v>Día anterior</v>
      </c>
      <c r="C25" t="s">
        <v>28</v>
      </c>
      <c r="D25" t="s">
        <v>72</v>
      </c>
      <c r="E25" t="s">
        <v>133</v>
      </c>
      <c r="F25" t="s">
        <v>134</v>
      </c>
      <c r="G25" t="s">
        <v>135</v>
      </c>
      <c r="H25" t="s">
        <v>11</v>
      </c>
      <c r="I25" t="s">
        <v>7</v>
      </c>
      <c r="J25" t="s">
        <v>39</v>
      </c>
      <c r="K25" t="s">
        <v>73</v>
      </c>
      <c r="L25" t="s">
        <v>40</v>
      </c>
      <c r="M25">
        <v>1</v>
      </c>
    </row>
    <row r="26" spans="1:13" x14ac:dyDescent="0.25">
      <c r="A26" s="2">
        <v>46237</v>
      </c>
      <c r="B26" s="1" t="str">
        <f ca="1">IF(Información1[[#This Row],[Fecha]]='Ajuste de fechas'!$A$2,"Día actual","Día anterior")</f>
        <v>Día anterior</v>
      </c>
      <c r="C26" t="s">
        <v>28</v>
      </c>
      <c r="D26" t="s">
        <v>72</v>
      </c>
      <c r="E26" t="s">
        <v>136</v>
      </c>
      <c r="F26" t="s">
        <v>15</v>
      </c>
      <c r="G26" t="s">
        <v>137</v>
      </c>
      <c r="H26" t="s">
        <v>11</v>
      </c>
      <c r="I26" t="s">
        <v>7</v>
      </c>
      <c r="J26" t="s">
        <v>39</v>
      </c>
      <c r="K26" t="s">
        <v>73</v>
      </c>
      <c r="L26" t="s">
        <v>40</v>
      </c>
      <c r="M26">
        <v>1</v>
      </c>
    </row>
    <row r="27" spans="1:13" x14ac:dyDescent="0.25">
      <c r="A27" s="2">
        <v>46237</v>
      </c>
      <c r="B27" s="1" t="str">
        <f ca="1">IF(Información1[[#This Row],[Fecha]]='Ajuste de fechas'!$A$2,"Día actual","Día anterior")</f>
        <v>Día anterior</v>
      </c>
      <c r="C27" t="s">
        <v>28</v>
      </c>
      <c r="D27" t="s">
        <v>72</v>
      </c>
      <c r="E27" t="s">
        <v>138</v>
      </c>
      <c r="F27" t="s">
        <v>139</v>
      </c>
      <c r="G27" t="s">
        <v>140</v>
      </c>
      <c r="H27" t="s">
        <v>11</v>
      </c>
      <c r="I27" t="s">
        <v>7</v>
      </c>
      <c r="J27" t="s">
        <v>39</v>
      </c>
      <c r="K27" t="s">
        <v>73</v>
      </c>
      <c r="L27" t="s">
        <v>40</v>
      </c>
      <c r="M27">
        <v>1</v>
      </c>
    </row>
    <row r="28" spans="1:13" x14ac:dyDescent="0.25">
      <c r="A28" s="2">
        <v>46237</v>
      </c>
      <c r="B28" s="1" t="str">
        <f ca="1">IF(Información1[[#This Row],[Fecha]]='Ajuste de fechas'!$A$2,"Día actual","Día anterior")</f>
        <v>Día anterior</v>
      </c>
      <c r="C28" t="s">
        <v>28</v>
      </c>
      <c r="D28" t="s">
        <v>72</v>
      </c>
      <c r="E28" t="s">
        <v>141</v>
      </c>
      <c r="F28" t="s">
        <v>84</v>
      </c>
      <c r="G28" t="s">
        <v>85</v>
      </c>
      <c r="H28" t="s">
        <v>11</v>
      </c>
      <c r="I28" t="s">
        <v>7</v>
      </c>
      <c r="J28" t="s">
        <v>39</v>
      </c>
      <c r="K28" t="s">
        <v>73</v>
      </c>
      <c r="L28" t="s">
        <v>40</v>
      </c>
      <c r="M28">
        <v>1</v>
      </c>
    </row>
    <row r="29" spans="1:13" x14ac:dyDescent="0.25">
      <c r="A29" s="2">
        <v>46237</v>
      </c>
      <c r="B29" s="1" t="str">
        <f ca="1">IF(Información1[[#This Row],[Fecha]]='Ajuste de fechas'!$A$2,"Día actual","Día anterior")</f>
        <v>Día anterior</v>
      </c>
      <c r="C29" t="s">
        <v>28</v>
      </c>
      <c r="D29" t="s">
        <v>72</v>
      </c>
      <c r="E29" t="s">
        <v>142</v>
      </c>
      <c r="F29" t="s">
        <v>23</v>
      </c>
      <c r="G29" t="s">
        <v>91</v>
      </c>
      <c r="H29" t="s">
        <v>11</v>
      </c>
      <c r="I29" t="s">
        <v>7</v>
      </c>
      <c r="J29" t="s">
        <v>39</v>
      </c>
      <c r="K29" t="s">
        <v>73</v>
      </c>
      <c r="L29" t="s">
        <v>40</v>
      </c>
      <c r="M29">
        <v>1</v>
      </c>
    </row>
    <row r="30" spans="1:13" x14ac:dyDescent="0.25">
      <c r="A30" s="2">
        <v>46237</v>
      </c>
      <c r="B30" s="1" t="str">
        <f ca="1">IF(Información1[[#This Row],[Fecha]]='Ajuste de fechas'!$A$2,"Día actual","Día anterior")</f>
        <v>Día anterior</v>
      </c>
      <c r="C30" t="s">
        <v>28</v>
      </c>
      <c r="D30" t="s">
        <v>72</v>
      </c>
      <c r="E30" t="s">
        <v>143</v>
      </c>
      <c r="F30" t="s">
        <v>19</v>
      </c>
      <c r="G30" t="s">
        <v>79</v>
      </c>
      <c r="H30" t="s">
        <v>11</v>
      </c>
      <c r="I30" t="s">
        <v>7</v>
      </c>
      <c r="J30" t="s">
        <v>43</v>
      </c>
      <c r="K30" t="s">
        <v>73</v>
      </c>
      <c r="L30" t="s">
        <v>40</v>
      </c>
      <c r="M30">
        <v>1</v>
      </c>
    </row>
    <row r="31" spans="1:13" x14ac:dyDescent="0.25">
      <c r="A31" s="2">
        <v>46237</v>
      </c>
      <c r="B31" s="1" t="str">
        <f ca="1">IF(Información1[[#This Row],[Fecha]]='Ajuste de fechas'!$A$2,"Día actual","Día anterior")</f>
        <v>Día anterior</v>
      </c>
      <c r="C31" t="s">
        <v>28</v>
      </c>
      <c r="D31" t="s">
        <v>72</v>
      </c>
      <c r="E31" t="s">
        <v>144</v>
      </c>
      <c r="F31" t="s">
        <v>23</v>
      </c>
      <c r="G31" t="s">
        <v>93</v>
      </c>
      <c r="H31" t="s">
        <v>11</v>
      </c>
      <c r="I31" t="s">
        <v>7</v>
      </c>
      <c r="J31" t="s">
        <v>39</v>
      </c>
      <c r="K31" t="s">
        <v>73</v>
      </c>
      <c r="L31" t="s">
        <v>40</v>
      </c>
      <c r="M31">
        <v>1</v>
      </c>
    </row>
    <row r="32" spans="1:13" x14ac:dyDescent="0.25">
      <c r="A32" s="2">
        <v>46237</v>
      </c>
      <c r="B32" s="1" t="str">
        <f ca="1">IF(Información1[[#This Row],[Fecha]]='Ajuste de fechas'!$A$2,"Día actual","Día anterior")</f>
        <v>Día anterior</v>
      </c>
      <c r="C32" t="s">
        <v>28</v>
      </c>
      <c r="D32" t="s">
        <v>72</v>
      </c>
      <c r="E32" t="s">
        <v>145</v>
      </c>
      <c r="F32" t="s">
        <v>19</v>
      </c>
      <c r="G32" t="s">
        <v>122</v>
      </c>
      <c r="H32" t="s">
        <v>11</v>
      </c>
      <c r="I32" t="s">
        <v>7</v>
      </c>
      <c r="J32" t="s">
        <v>43</v>
      </c>
      <c r="K32" t="s">
        <v>73</v>
      </c>
      <c r="L32" t="s">
        <v>40</v>
      </c>
      <c r="M32">
        <v>1</v>
      </c>
    </row>
    <row r="33" spans="1:13" x14ac:dyDescent="0.25">
      <c r="A33" s="2">
        <v>46237</v>
      </c>
      <c r="B33" s="1" t="str">
        <f ca="1">IF(Información1[[#This Row],[Fecha]]='Ajuste de fechas'!$A$2,"Día actual","Día anterior")</f>
        <v>Día anterior</v>
      </c>
      <c r="C33" t="s">
        <v>28</v>
      </c>
      <c r="D33" t="s">
        <v>72</v>
      </c>
      <c r="E33" t="s">
        <v>146</v>
      </c>
      <c r="F33" t="s">
        <v>48</v>
      </c>
      <c r="G33" t="s">
        <v>147</v>
      </c>
      <c r="H33" t="s">
        <v>11</v>
      </c>
      <c r="I33" t="s">
        <v>7</v>
      </c>
      <c r="J33" t="s">
        <v>39</v>
      </c>
      <c r="K33" t="s">
        <v>73</v>
      </c>
      <c r="L33" t="s">
        <v>40</v>
      </c>
      <c r="M33">
        <v>1</v>
      </c>
    </row>
    <row r="34" spans="1:13" x14ac:dyDescent="0.25">
      <c r="A34" s="2">
        <v>46237</v>
      </c>
      <c r="B34" s="1" t="str">
        <f ca="1">IF(Información1[[#This Row],[Fecha]]='Ajuste de fechas'!$A$2,"Día actual","Día anterior")</f>
        <v>Día anterior</v>
      </c>
      <c r="C34" t="s">
        <v>28</v>
      </c>
      <c r="D34" t="s">
        <v>72</v>
      </c>
      <c r="E34" t="s">
        <v>148</v>
      </c>
      <c r="F34" t="s">
        <v>23</v>
      </c>
      <c r="G34" t="s">
        <v>100</v>
      </c>
      <c r="H34" t="s">
        <v>11</v>
      </c>
      <c r="I34" t="s">
        <v>7</v>
      </c>
      <c r="J34" t="s">
        <v>39</v>
      </c>
      <c r="K34" t="s">
        <v>73</v>
      </c>
      <c r="L34" t="s">
        <v>40</v>
      </c>
      <c r="M34">
        <v>1</v>
      </c>
    </row>
    <row r="35" spans="1:13" x14ac:dyDescent="0.25">
      <c r="A35" s="2">
        <v>46237</v>
      </c>
      <c r="B35" s="1" t="str">
        <f ca="1">IF(Información1[[#This Row],[Fecha]]='Ajuste de fechas'!$A$2,"Día actual","Día anterior")</f>
        <v>Día anterior</v>
      </c>
      <c r="C35" t="s">
        <v>28</v>
      </c>
      <c r="D35" t="s">
        <v>72</v>
      </c>
      <c r="E35" t="s">
        <v>149</v>
      </c>
      <c r="F35" t="s">
        <v>19</v>
      </c>
      <c r="G35" t="s">
        <v>94</v>
      </c>
      <c r="H35" t="s">
        <v>11</v>
      </c>
      <c r="I35" t="s">
        <v>7</v>
      </c>
      <c r="J35" t="s">
        <v>43</v>
      </c>
      <c r="K35" t="s">
        <v>73</v>
      </c>
      <c r="L35" t="s">
        <v>40</v>
      </c>
      <c r="M35">
        <v>1</v>
      </c>
    </row>
    <row r="36" spans="1:13" x14ac:dyDescent="0.25">
      <c r="A36" s="2">
        <v>46237</v>
      </c>
      <c r="B36" s="1" t="str">
        <f ca="1">IF(Información1[[#This Row],[Fecha]]='Ajuste de fechas'!$A$2,"Día actual","Día anterior")</f>
        <v>Día anterior</v>
      </c>
      <c r="C36" t="s">
        <v>28</v>
      </c>
      <c r="D36" t="s">
        <v>72</v>
      </c>
      <c r="E36" t="s">
        <v>150</v>
      </c>
      <c r="F36" t="s">
        <v>151</v>
      </c>
      <c r="G36" t="s">
        <v>152</v>
      </c>
      <c r="H36" t="s">
        <v>11</v>
      </c>
      <c r="I36" t="s">
        <v>7</v>
      </c>
      <c r="J36" t="s">
        <v>39</v>
      </c>
      <c r="K36" t="s">
        <v>73</v>
      </c>
      <c r="L36" t="s">
        <v>40</v>
      </c>
      <c r="M36">
        <v>1</v>
      </c>
    </row>
    <row r="37" spans="1:13" x14ac:dyDescent="0.25">
      <c r="A37" s="2">
        <v>46237</v>
      </c>
      <c r="B37" s="1" t="str">
        <f ca="1">IF(Información1[[#This Row],[Fecha]]='Ajuste de fechas'!$A$2,"Día actual","Día anterior")</f>
        <v>Día anterior</v>
      </c>
      <c r="C37" t="s">
        <v>28</v>
      </c>
      <c r="D37" t="s">
        <v>72</v>
      </c>
      <c r="E37" t="s">
        <v>153</v>
      </c>
      <c r="F37" t="s">
        <v>21</v>
      </c>
      <c r="G37" t="s">
        <v>154</v>
      </c>
      <c r="H37" t="s">
        <v>11</v>
      </c>
      <c r="I37" t="s">
        <v>7</v>
      </c>
      <c r="J37" t="s">
        <v>39</v>
      </c>
      <c r="K37" t="s">
        <v>73</v>
      </c>
      <c r="L37" t="s">
        <v>40</v>
      </c>
      <c r="M37">
        <v>1</v>
      </c>
    </row>
    <row r="38" spans="1:13" x14ac:dyDescent="0.25">
      <c r="A38" s="2">
        <v>46237</v>
      </c>
      <c r="B38" s="1" t="str">
        <f ca="1">IF(Información1[[#This Row],[Fecha]]='Ajuste de fechas'!$A$2,"Día actual","Día anterior")</f>
        <v>Día anterior</v>
      </c>
      <c r="C38" t="s">
        <v>28</v>
      </c>
      <c r="D38" t="s">
        <v>72</v>
      </c>
      <c r="E38" t="s">
        <v>155</v>
      </c>
      <c r="F38" t="s">
        <v>21</v>
      </c>
      <c r="G38" t="s">
        <v>156</v>
      </c>
      <c r="H38" t="s">
        <v>11</v>
      </c>
      <c r="I38" t="s">
        <v>7</v>
      </c>
      <c r="J38" t="s">
        <v>39</v>
      </c>
      <c r="K38" t="s">
        <v>73</v>
      </c>
      <c r="L38" t="s">
        <v>40</v>
      </c>
      <c r="M38">
        <v>1</v>
      </c>
    </row>
    <row r="39" spans="1:13" x14ac:dyDescent="0.25">
      <c r="A39" s="2">
        <v>46237</v>
      </c>
      <c r="B39" s="1" t="str">
        <f ca="1">IF(Información1[[#This Row],[Fecha]]='Ajuste de fechas'!$A$2,"Día actual","Día anterior")</f>
        <v>Día anterior</v>
      </c>
      <c r="C39" t="s">
        <v>28</v>
      </c>
      <c r="D39" t="s">
        <v>72</v>
      </c>
      <c r="E39" t="s">
        <v>157</v>
      </c>
      <c r="F39" t="s">
        <v>48</v>
      </c>
      <c r="G39" t="s">
        <v>158</v>
      </c>
      <c r="H39" t="s">
        <v>11</v>
      </c>
      <c r="I39" t="s">
        <v>7</v>
      </c>
      <c r="J39" t="s">
        <v>39</v>
      </c>
      <c r="K39" t="s">
        <v>73</v>
      </c>
      <c r="L39" t="s">
        <v>40</v>
      </c>
      <c r="M39">
        <v>1</v>
      </c>
    </row>
    <row r="40" spans="1:13" x14ac:dyDescent="0.25">
      <c r="A40" s="2">
        <v>46237</v>
      </c>
      <c r="B40" s="1" t="str">
        <f ca="1">IF(Información1[[#This Row],[Fecha]]='Ajuste de fechas'!$A$2,"Día actual","Día anterior")</f>
        <v>Día anterior</v>
      </c>
      <c r="C40" t="s">
        <v>28</v>
      </c>
      <c r="D40" t="s">
        <v>72</v>
      </c>
      <c r="E40" t="s">
        <v>159</v>
      </c>
      <c r="F40" t="s">
        <v>26</v>
      </c>
      <c r="G40" t="s">
        <v>160</v>
      </c>
      <c r="H40" t="s">
        <v>11</v>
      </c>
      <c r="I40" t="s">
        <v>7</v>
      </c>
      <c r="J40" t="s">
        <v>39</v>
      </c>
      <c r="K40" t="s">
        <v>73</v>
      </c>
      <c r="L40" t="s">
        <v>40</v>
      </c>
      <c r="M40">
        <v>1</v>
      </c>
    </row>
    <row r="41" spans="1:13" x14ac:dyDescent="0.25">
      <c r="A41" s="2">
        <v>46237</v>
      </c>
      <c r="B41" s="1" t="str">
        <f ca="1">IF(Información1[[#This Row],[Fecha]]='Ajuste de fechas'!$A$2,"Día actual","Día anterior")</f>
        <v>Día anterior</v>
      </c>
      <c r="C41" t="s">
        <v>28</v>
      </c>
      <c r="D41" t="s">
        <v>72</v>
      </c>
      <c r="E41" t="s">
        <v>161</v>
      </c>
      <c r="F41" t="s">
        <v>26</v>
      </c>
      <c r="G41" t="s">
        <v>162</v>
      </c>
      <c r="H41" t="s">
        <v>11</v>
      </c>
      <c r="I41" t="s">
        <v>7</v>
      </c>
      <c r="J41" t="s">
        <v>39</v>
      </c>
      <c r="K41" t="s">
        <v>73</v>
      </c>
      <c r="L41" t="s">
        <v>40</v>
      </c>
      <c r="M41">
        <v>1</v>
      </c>
    </row>
    <row r="42" spans="1:13" x14ac:dyDescent="0.25">
      <c r="A42" s="2">
        <v>46237</v>
      </c>
      <c r="B42" s="1" t="str">
        <f ca="1">IF(Información1[[#This Row],[Fecha]]='Ajuste de fechas'!$A$2,"Día actual","Día anterior")</f>
        <v>Día anterior</v>
      </c>
      <c r="C42" t="s">
        <v>8</v>
      </c>
      <c r="D42" t="s">
        <v>10</v>
      </c>
      <c r="E42" t="s">
        <v>163</v>
      </c>
      <c r="F42" t="s">
        <v>19</v>
      </c>
      <c r="G42" t="s">
        <v>101</v>
      </c>
      <c r="H42" t="s">
        <v>11</v>
      </c>
      <c r="I42" t="s">
        <v>25</v>
      </c>
      <c r="J42" t="s">
        <v>43</v>
      </c>
      <c r="K42" t="s">
        <v>9</v>
      </c>
      <c r="L42" t="s">
        <v>41</v>
      </c>
      <c r="M42">
        <v>1</v>
      </c>
    </row>
    <row r="43" spans="1:13" x14ac:dyDescent="0.25">
      <c r="A43" s="2">
        <v>46237</v>
      </c>
      <c r="B43" s="1" t="str">
        <f ca="1">IF(Información1[[#This Row],[Fecha]]='Ajuste de fechas'!$A$2,"Día actual","Día anterior")</f>
        <v>Día anterior</v>
      </c>
      <c r="C43" t="s">
        <v>8</v>
      </c>
      <c r="D43" t="s">
        <v>10</v>
      </c>
      <c r="E43" t="s">
        <v>164</v>
      </c>
      <c r="F43" t="s">
        <v>17</v>
      </c>
      <c r="G43" t="s">
        <v>165</v>
      </c>
      <c r="H43" t="s">
        <v>11</v>
      </c>
      <c r="I43" t="s">
        <v>25</v>
      </c>
      <c r="J43" t="s">
        <v>39</v>
      </c>
      <c r="K43" t="s">
        <v>9</v>
      </c>
      <c r="L43" t="s">
        <v>41</v>
      </c>
      <c r="M43">
        <v>1</v>
      </c>
    </row>
    <row r="44" spans="1:13" x14ac:dyDescent="0.25">
      <c r="A44" s="2">
        <v>46237</v>
      </c>
      <c r="B44" s="1" t="str">
        <f ca="1">IF(Información1[[#This Row],[Fecha]]='Ajuste de fechas'!$A$2,"Día actual","Día anterior")</f>
        <v>Día anterior</v>
      </c>
      <c r="C44" t="s">
        <v>8</v>
      </c>
      <c r="D44" t="s">
        <v>10</v>
      </c>
      <c r="E44" t="s">
        <v>166</v>
      </c>
      <c r="F44" t="s">
        <v>17</v>
      </c>
      <c r="G44" t="s">
        <v>165</v>
      </c>
      <c r="H44" t="s">
        <v>11</v>
      </c>
      <c r="I44" t="s">
        <v>25</v>
      </c>
      <c r="J44" t="s">
        <v>39</v>
      </c>
      <c r="K44" t="s">
        <v>9</v>
      </c>
      <c r="L44" t="s">
        <v>41</v>
      </c>
      <c r="M44">
        <v>1</v>
      </c>
    </row>
    <row r="45" spans="1:13" x14ac:dyDescent="0.25">
      <c r="A45" s="2">
        <v>46237</v>
      </c>
      <c r="B45" s="1" t="str">
        <f ca="1">IF(Información1[[#This Row],[Fecha]]='Ajuste de fechas'!$A$2,"Día actual","Día anterior")</f>
        <v>Día anterior</v>
      </c>
      <c r="C45" t="s">
        <v>8</v>
      </c>
      <c r="D45" t="s">
        <v>10</v>
      </c>
      <c r="E45" t="s">
        <v>167</v>
      </c>
      <c r="F45" t="s">
        <v>17</v>
      </c>
      <c r="G45" t="s">
        <v>168</v>
      </c>
      <c r="H45" t="s">
        <v>11</v>
      </c>
      <c r="I45" t="s">
        <v>25</v>
      </c>
      <c r="J45" t="s">
        <v>39</v>
      </c>
      <c r="K45" t="s">
        <v>9</v>
      </c>
      <c r="L45" t="s">
        <v>41</v>
      </c>
      <c r="M45">
        <v>1</v>
      </c>
    </row>
    <row r="46" spans="1:13" x14ac:dyDescent="0.25">
      <c r="A46" s="2">
        <v>46237</v>
      </c>
      <c r="B46" s="1" t="str">
        <f ca="1">IF(Información1[[#This Row],[Fecha]]='Ajuste de fechas'!$A$2,"Día actual","Día anterior")</f>
        <v>Día anterior</v>
      </c>
      <c r="C46" t="s">
        <v>8</v>
      </c>
      <c r="D46" t="s">
        <v>10</v>
      </c>
      <c r="E46" t="s">
        <v>169</v>
      </c>
      <c r="F46" t="s">
        <v>6</v>
      </c>
      <c r="G46" t="s">
        <v>71</v>
      </c>
      <c r="H46" t="s">
        <v>11</v>
      </c>
      <c r="I46" t="s">
        <v>25</v>
      </c>
      <c r="J46" t="s">
        <v>39</v>
      </c>
      <c r="K46" t="s">
        <v>9</v>
      </c>
      <c r="L46" t="s">
        <v>41</v>
      </c>
      <c r="M46">
        <v>1</v>
      </c>
    </row>
    <row r="47" spans="1:13" x14ac:dyDescent="0.25">
      <c r="A47" s="2">
        <v>46237</v>
      </c>
      <c r="B47" s="1" t="str">
        <f ca="1">IF(Información1[[#This Row],[Fecha]]='Ajuste de fechas'!$A$2,"Día actual","Día anterior")</f>
        <v>Día anterior</v>
      </c>
      <c r="C47" t="s">
        <v>8</v>
      </c>
      <c r="D47" t="s">
        <v>10</v>
      </c>
      <c r="E47" t="s">
        <v>170</v>
      </c>
      <c r="F47" t="s">
        <v>6</v>
      </c>
      <c r="G47" t="s">
        <v>171</v>
      </c>
      <c r="H47" t="s">
        <v>11</v>
      </c>
      <c r="I47" t="s">
        <v>25</v>
      </c>
      <c r="J47" t="s">
        <v>39</v>
      </c>
      <c r="K47" t="s">
        <v>14</v>
      </c>
      <c r="L47" t="s">
        <v>41</v>
      </c>
      <c r="M47">
        <v>1</v>
      </c>
    </row>
    <row r="48" spans="1:13" x14ac:dyDescent="0.25">
      <c r="A48" s="2">
        <v>46237</v>
      </c>
      <c r="B48" s="1" t="str">
        <f ca="1">IF(Información1[[#This Row],[Fecha]]='Ajuste de fechas'!$A$2,"Día actual","Día anterior")</f>
        <v>Día anterior</v>
      </c>
      <c r="C48" t="s">
        <v>8</v>
      </c>
      <c r="D48" t="s">
        <v>10</v>
      </c>
      <c r="E48" t="s">
        <v>172</v>
      </c>
      <c r="F48" t="s">
        <v>6</v>
      </c>
      <c r="G48" t="s">
        <v>171</v>
      </c>
      <c r="H48" t="s">
        <v>11</v>
      </c>
      <c r="I48" t="s">
        <v>25</v>
      </c>
      <c r="J48" t="s">
        <v>39</v>
      </c>
      <c r="K48" t="s">
        <v>9</v>
      </c>
      <c r="L48" t="s">
        <v>41</v>
      </c>
      <c r="M48">
        <v>1</v>
      </c>
    </row>
    <row r="49" spans="1:13" x14ac:dyDescent="0.25">
      <c r="A49" s="2">
        <v>46237</v>
      </c>
      <c r="B49" s="1" t="str">
        <f ca="1">IF(Información1[[#This Row],[Fecha]]='Ajuste de fechas'!$A$2,"Día actual","Día anterior")</f>
        <v>Día anterior</v>
      </c>
      <c r="C49" t="s">
        <v>8</v>
      </c>
      <c r="D49" t="s">
        <v>10</v>
      </c>
      <c r="E49" t="s">
        <v>173</v>
      </c>
      <c r="F49" t="s">
        <v>6</v>
      </c>
      <c r="G49" t="s">
        <v>171</v>
      </c>
      <c r="H49" t="s">
        <v>11</v>
      </c>
      <c r="I49" t="s">
        <v>25</v>
      </c>
      <c r="J49" t="s">
        <v>39</v>
      </c>
      <c r="K49" t="s">
        <v>9</v>
      </c>
      <c r="L49" t="s">
        <v>41</v>
      </c>
      <c r="M49">
        <v>1</v>
      </c>
    </row>
    <row r="50" spans="1:13" x14ac:dyDescent="0.25">
      <c r="A50" s="2">
        <v>46237</v>
      </c>
      <c r="B50" s="1" t="str">
        <f ca="1">IF(Información1[[#This Row],[Fecha]]='Ajuste de fechas'!$A$2,"Día actual","Día anterior")</f>
        <v>Día anterior</v>
      </c>
      <c r="C50" t="s">
        <v>8</v>
      </c>
      <c r="D50" t="s">
        <v>10</v>
      </c>
      <c r="E50" t="s">
        <v>174</v>
      </c>
      <c r="F50" t="s">
        <v>22</v>
      </c>
      <c r="G50" t="s">
        <v>175</v>
      </c>
      <c r="H50" t="s">
        <v>11</v>
      </c>
      <c r="I50" t="s">
        <v>7</v>
      </c>
      <c r="J50" t="s">
        <v>44</v>
      </c>
      <c r="K50" t="s">
        <v>14</v>
      </c>
      <c r="L50" t="s">
        <v>41</v>
      </c>
      <c r="M50">
        <v>1</v>
      </c>
    </row>
    <row r="51" spans="1:13" x14ac:dyDescent="0.25">
      <c r="A51" s="2">
        <v>46237</v>
      </c>
      <c r="B51" s="1" t="str">
        <f ca="1">IF(Información1[[#This Row],[Fecha]]='Ajuste de fechas'!$A$2,"Día actual","Día anterior")</f>
        <v>Día anterior</v>
      </c>
      <c r="C51" t="s">
        <v>8</v>
      </c>
      <c r="D51" t="s">
        <v>10</v>
      </c>
      <c r="E51" t="s">
        <v>176</v>
      </c>
      <c r="F51" t="s">
        <v>21</v>
      </c>
      <c r="G51" t="s">
        <v>87</v>
      </c>
      <c r="H51" t="s">
        <v>11</v>
      </c>
      <c r="I51" t="s">
        <v>7</v>
      </c>
      <c r="J51" t="s">
        <v>39</v>
      </c>
      <c r="K51" t="s">
        <v>9</v>
      </c>
      <c r="L51" t="s">
        <v>41</v>
      </c>
      <c r="M51">
        <v>1</v>
      </c>
    </row>
    <row r="52" spans="1:13" x14ac:dyDescent="0.25">
      <c r="A52" s="2">
        <v>46237</v>
      </c>
      <c r="B52" s="1" t="str">
        <f ca="1">IF(Información1[[#This Row],[Fecha]]='Ajuste de fechas'!$A$2,"Día actual","Día anterior")</f>
        <v>Día anterior</v>
      </c>
      <c r="C52" t="s">
        <v>8</v>
      </c>
      <c r="D52" t="s">
        <v>10</v>
      </c>
      <c r="E52" t="s">
        <v>177</v>
      </c>
      <c r="F52" t="s">
        <v>21</v>
      </c>
      <c r="G52" t="s">
        <v>178</v>
      </c>
      <c r="H52" t="s">
        <v>11</v>
      </c>
      <c r="I52" t="s">
        <v>7</v>
      </c>
      <c r="J52" t="s">
        <v>39</v>
      </c>
      <c r="K52" t="s">
        <v>14</v>
      </c>
      <c r="L52" t="s">
        <v>42</v>
      </c>
      <c r="M52">
        <v>1</v>
      </c>
    </row>
    <row r="53" spans="1:13" x14ac:dyDescent="0.25">
      <c r="A53" s="2">
        <v>46237</v>
      </c>
      <c r="B53" s="1" t="str">
        <f ca="1">IF(Información1[[#This Row],[Fecha]]='Ajuste de fechas'!$A$2,"Día actual","Día anterior")</f>
        <v>Día anterior</v>
      </c>
      <c r="C53" t="s">
        <v>8</v>
      </c>
      <c r="D53" t="s">
        <v>10</v>
      </c>
      <c r="E53" t="s">
        <v>179</v>
      </c>
      <c r="F53" t="s">
        <v>139</v>
      </c>
      <c r="G53" t="s">
        <v>180</v>
      </c>
      <c r="H53" t="s">
        <v>11</v>
      </c>
      <c r="I53" t="s">
        <v>7</v>
      </c>
      <c r="J53" t="s">
        <v>39</v>
      </c>
      <c r="K53" t="s">
        <v>14</v>
      </c>
      <c r="L53" t="s">
        <v>42</v>
      </c>
      <c r="M53">
        <v>1</v>
      </c>
    </row>
    <row r="54" spans="1:13" x14ac:dyDescent="0.25">
      <c r="A54" s="2">
        <v>46237</v>
      </c>
      <c r="B54" s="1" t="str">
        <f ca="1">IF(Información1[[#This Row],[Fecha]]='Ajuste de fechas'!$A$2,"Día actual","Día anterior")</f>
        <v>Día anterior</v>
      </c>
      <c r="C54" t="s">
        <v>8</v>
      </c>
      <c r="D54" t="s">
        <v>10</v>
      </c>
      <c r="E54" t="s">
        <v>181</v>
      </c>
      <c r="F54" t="s">
        <v>151</v>
      </c>
      <c r="G54" t="s">
        <v>152</v>
      </c>
      <c r="H54" t="s">
        <v>11</v>
      </c>
      <c r="I54" t="s">
        <v>7</v>
      </c>
      <c r="J54" t="s">
        <v>39</v>
      </c>
      <c r="K54" t="s">
        <v>14</v>
      </c>
      <c r="L54" t="s">
        <v>40</v>
      </c>
      <c r="M54">
        <v>1</v>
      </c>
    </row>
    <row r="55" spans="1:13" x14ac:dyDescent="0.25">
      <c r="A55" s="2">
        <v>46237</v>
      </c>
      <c r="B55" s="1" t="str">
        <f ca="1">IF(Información1[[#This Row],[Fecha]]='Ajuste de fechas'!$A$2,"Día actual","Día anterior")</f>
        <v>Día anterior</v>
      </c>
      <c r="C55" t="s">
        <v>8</v>
      </c>
      <c r="D55" t="s">
        <v>10</v>
      </c>
      <c r="E55" t="s">
        <v>182</v>
      </c>
      <c r="F55" t="s">
        <v>139</v>
      </c>
      <c r="G55" t="s">
        <v>183</v>
      </c>
      <c r="H55" t="s">
        <v>11</v>
      </c>
      <c r="I55" t="s">
        <v>7</v>
      </c>
      <c r="J55" t="s">
        <v>39</v>
      </c>
      <c r="K55" t="s">
        <v>14</v>
      </c>
      <c r="L55" t="s">
        <v>42</v>
      </c>
      <c r="M55">
        <v>1</v>
      </c>
    </row>
    <row r="56" spans="1:13" x14ac:dyDescent="0.25">
      <c r="A56" s="2">
        <v>46237</v>
      </c>
      <c r="B56" s="1" t="str">
        <f ca="1">IF(Información1[[#This Row],[Fecha]]='Ajuste de fechas'!$A$2,"Día actual","Día anterior")</f>
        <v>Día anterior</v>
      </c>
      <c r="C56" t="s">
        <v>8</v>
      </c>
      <c r="D56" t="s">
        <v>10</v>
      </c>
      <c r="E56" t="s">
        <v>99</v>
      </c>
      <c r="F56" t="s">
        <v>23</v>
      </c>
      <c r="G56" t="s">
        <v>100</v>
      </c>
      <c r="H56" t="s">
        <v>11</v>
      </c>
      <c r="I56" t="s">
        <v>7</v>
      </c>
      <c r="J56" t="s">
        <v>39</v>
      </c>
      <c r="K56" t="s">
        <v>14</v>
      </c>
      <c r="L56" t="s">
        <v>42</v>
      </c>
      <c r="M56">
        <v>1</v>
      </c>
    </row>
    <row r="57" spans="1:13" x14ac:dyDescent="0.25">
      <c r="A57" s="2">
        <v>46237</v>
      </c>
      <c r="B57" s="1" t="str">
        <f ca="1">IF(Información1[[#This Row],[Fecha]]='Ajuste de fechas'!$A$2,"Día actual","Día anterior")</f>
        <v>Día anterior</v>
      </c>
      <c r="C57" t="s">
        <v>8</v>
      </c>
      <c r="D57" t="s">
        <v>10</v>
      </c>
      <c r="E57" t="s">
        <v>184</v>
      </c>
      <c r="F57" t="s">
        <v>19</v>
      </c>
      <c r="G57" t="s">
        <v>32</v>
      </c>
      <c r="H57" t="s">
        <v>11</v>
      </c>
      <c r="I57" t="s">
        <v>7</v>
      </c>
      <c r="J57" t="s">
        <v>43</v>
      </c>
      <c r="K57" t="s">
        <v>14</v>
      </c>
      <c r="L57" t="s">
        <v>74</v>
      </c>
      <c r="M57">
        <v>1</v>
      </c>
    </row>
    <row r="58" spans="1:13" x14ac:dyDescent="0.25">
      <c r="A58" s="2">
        <v>46237</v>
      </c>
      <c r="B58" s="1" t="str">
        <f ca="1">IF(Información1[[#This Row],[Fecha]]='Ajuste de fechas'!$A$2,"Día actual","Día anterior")</f>
        <v>Día anterior</v>
      </c>
      <c r="C58" t="s">
        <v>8</v>
      </c>
      <c r="D58" t="s">
        <v>10</v>
      </c>
      <c r="E58" t="s">
        <v>185</v>
      </c>
      <c r="F58" t="s">
        <v>26</v>
      </c>
      <c r="G58" t="s">
        <v>83</v>
      </c>
      <c r="H58" t="s">
        <v>11</v>
      </c>
      <c r="I58" t="s">
        <v>7</v>
      </c>
      <c r="J58" t="s">
        <v>39</v>
      </c>
      <c r="K58" t="s">
        <v>14</v>
      </c>
      <c r="L58" t="s">
        <v>42</v>
      </c>
      <c r="M58">
        <v>1</v>
      </c>
    </row>
    <row r="59" spans="1:13" x14ac:dyDescent="0.25">
      <c r="A59" s="2">
        <v>46237</v>
      </c>
      <c r="B59" s="1" t="str">
        <f ca="1">IF(Información1[[#This Row],[Fecha]]='Ajuste de fechas'!$A$2,"Día actual","Día anterior")</f>
        <v>Día anterior</v>
      </c>
      <c r="C59" t="s">
        <v>8</v>
      </c>
      <c r="D59" t="s">
        <v>10</v>
      </c>
      <c r="E59" t="s">
        <v>186</v>
      </c>
      <c r="F59" t="s">
        <v>21</v>
      </c>
      <c r="G59" t="s">
        <v>187</v>
      </c>
      <c r="H59" t="s">
        <v>11</v>
      </c>
      <c r="I59" t="s">
        <v>7</v>
      </c>
      <c r="J59" t="s">
        <v>39</v>
      </c>
      <c r="K59" t="s">
        <v>14</v>
      </c>
      <c r="L59" t="s">
        <v>70</v>
      </c>
      <c r="M59">
        <v>1</v>
      </c>
    </row>
    <row r="60" spans="1:13" x14ac:dyDescent="0.25">
      <c r="A60" s="2">
        <v>46237</v>
      </c>
      <c r="B60" s="1" t="str">
        <f ca="1">IF(Información1[[#This Row],[Fecha]]='Ajuste de fechas'!$A$2,"Día actual","Día anterior")</f>
        <v>Día anterior</v>
      </c>
      <c r="C60" t="s">
        <v>8</v>
      </c>
      <c r="D60" t="s">
        <v>10</v>
      </c>
      <c r="E60" t="s">
        <v>20</v>
      </c>
      <c r="F60" t="s">
        <v>19</v>
      </c>
      <c r="G60" t="s">
        <v>32</v>
      </c>
      <c r="H60" t="s">
        <v>11</v>
      </c>
      <c r="I60" t="s">
        <v>12</v>
      </c>
      <c r="J60" t="s">
        <v>43</v>
      </c>
      <c r="K60" t="s">
        <v>14</v>
      </c>
      <c r="L60" t="s">
        <v>41</v>
      </c>
      <c r="M60">
        <v>1</v>
      </c>
    </row>
    <row r="61" spans="1:13" x14ac:dyDescent="0.25">
      <c r="A61" s="2">
        <v>46237</v>
      </c>
      <c r="B61" s="1" t="str">
        <f ca="1">IF(Información1[[#This Row],[Fecha]]='Ajuste de fechas'!$A$2,"Día actual","Día anterior")</f>
        <v>Día anterior</v>
      </c>
      <c r="C61" t="s">
        <v>8</v>
      </c>
      <c r="D61" t="s">
        <v>10</v>
      </c>
      <c r="E61" t="s">
        <v>18</v>
      </c>
      <c r="F61" t="s">
        <v>19</v>
      </c>
      <c r="G61" t="s">
        <v>32</v>
      </c>
      <c r="H61" t="s">
        <v>11</v>
      </c>
      <c r="I61" t="s">
        <v>12</v>
      </c>
      <c r="J61" t="s">
        <v>43</v>
      </c>
      <c r="K61" t="s">
        <v>14</v>
      </c>
      <c r="L61" t="s">
        <v>41</v>
      </c>
      <c r="M61">
        <v>1</v>
      </c>
    </row>
    <row r="62" spans="1:13" x14ac:dyDescent="0.25">
      <c r="A62" s="2">
        <v>46237</v>
      </c>
      <c r="B62" s="1" t="str">
        <f ca="1">IF(Información1[[#This Row],[Fecha]]='Ajuste de fechas'!$A$2,"Día actual","Día anterior")</f>
        <v>Día anterior</v>
      </c>
      <c r="C62" t="s">
        <v>8</v>
      </c>
      <c r="D62" t="s">
        <v>10</v>
      </c>
      <c r="E62" t="s">
        <v>98</v>
      </c>
      <c r="F62" t="s">
        <v>54</v>
      </c>
      <c r="G62" t="s">
        <v>32</v>
      </c>
      <c r="H62" t="s">
        <v>11</v>
      </c>
      <c r="I62" t="s">
        <v>12</v>
      </c>
      <c r="J62" t="s">
        <v>24</v>
      </c>
      <c r="K62" t="s">
        <v>14</v>
      </c>
      <c r="L62" t="s">
        <v>41</v>
      </c>
      <c r="M62">
        <v>1</v>
      </c>
    </row>
    <row r="63" spans="1:13" x14ac:dyDescent="0.25">
      <c r="A63" s="2">
        <v>46237</v>
      </c>
      <c r="B63" s="1" t="str">
        <f ca="1">IF(Información1[[#This Row],[Fecha]]='Ajuste de fechas'!$A$2,"Día actual","Día anterior")</f>
        <v>Día anterior</v>
      </c>
      <c r="C63" t="s">
        <v>8</v>
      </c>
      <c r="D63" t="s">
        <v>10</v>
      </c>
      <c r="E63" t="s">
        <v>13</v>
      </c>
      <c r="F63" t="s">
        <v>15</v>
      </c>
      <c r="G63" t="s">
        <v>32</v>
      </c>
      <c r="H63" t="s">
        <v>11</v>
      </c>
      <c r="I63" t="s">
        <v>12</v>
      </c>
      <c r="J63" t="s">
        <v>39</v>
      </c>
      <c r="K63" t="s">
        <v>14</v>
      </c>
      <c r="L63" t="s">
        <v>41</v>
      </c>
      <c r="M63">
        <v>1</v>
      </c>
    </row>
    <row r="64" spans="1:13" x14ac:dyDescent="0.25">
      <c r="A64" s="2">
        <v>46237</v>
      </c>
      <c r="B64" s="1" t="str">
        <f ca="1">IF(Información1[[#This Row],[Fecha]]='Ajuste de fechas'!$A$2,"Día actual","Día anterior")</f>
        <v>Día anterior</v>
      </c>
      <c r="C64" t="s">
        <v>8</v>
      </c>
      <c r="D64" t="s">
        <v>10</v>
      </c>
      <c r="E64" t="s">
        <v>16</v>
      </c>
      <c r="F64" t="s">
        <v>17</v>
      </c>
      <c r="G64" t="s">
        <v>32</v>
      </c>
      <c r="H64" t="s">
        <v>11</v>
      </c>
      <c r="I64" t="s">
        <v>12</v>
      </c>
      <c r="J64" t="s">
        <v>39</v>
      </c>
      <c r="K64" t="s">
        <v>14</v>
      </c>
      <c r="L64" t="s">
        <v>41</v>
      </c>
      <c r="M64">
        <v>1</v>
      </c>
    </row>
    <row r="65" spans="1:13" x14ac:dyDescent="0.25">
      <c r="A65" s="2">
        <v>46237</v>
      </c>
      <c r="B65" s="1" t="str">
        <f ca="1">IF(Información1[[#This Row],[Fecha]]='Ajuste de fechas'!$A$2,"Día actual","Día anterior")</f>
        <v>Día anterior</v>
      </c>
      <c r="C65" t="s">
        <v>8</v>
      </c>
      <c r="D65" t="s">
        <v>10</v>
      </c>
      <c r="E65" t="s">
        <v>53</v>
      </c>
      <c r="F65" t="s">
        <v>6</v>
      </c>
      <c r="G65" t="s">
        <v>32</v>
      </c>
      <c r="H65" t="s">
        <v>11</v>
      </c>
      <c r="I65" t="s">
        <v>12</v>
      </c>
      <c r="J65" t="s">
        <v>39</v>
      </c>
      <c r="K65" t="s">
        <v>14</v>
      </c>
      <c r="L65" t="s">
        <v>41</v>
      </c>
      <c r="M65">
        <v>1</v>
      </c>
    </row>
    <row r="66" spans="1:13" x14ac:dyDescent="0.25">
      <c r="A66" s="2">
        <v>46237</v>
      </c>
      <c r="B66" s="1" t="str">
        <f ca="1">IF(Información1[[#This Row],[Fecha]]='Ajuste de fechas'!$A$2,"Día actual","Día anterior")</f>
        <v>Día anterior</v>
      </c>
      <c r="C66" t="s">
        <v>50</v>
      </c>
      <c r="D66" t="s">
        <v>55</v>
      </c>
      <c r="E66" t="s">
        <v>188</v>
      </c>
      <c r="F66" t="s">
        <v>19</v>
      </c>
      <c r="G66" t="s">
        <v>189</v>
      </c>
      <c r="H66" t="s">
        <v>11</v>
      </c>
      <c r="I66" t="s">
        <v>7</v>
      </c>
      <c r="J66" t="s">
        <v>43</v>
      </c>
      <c r="K66" t="s">
        <v>9</v>
      </c>
      <c r="L66" t="s">
        <v>41</v>
      </c>
      <c r="M66">
        <v>1</v>
      </c>
    </row>
    <row r="67" spans="1:13" x14ac:dyDescent="0.25">
      <c r="A67" s="2">
        <v>46237</v>
      </c>
      <c r="B67" s="1" t="str">
        <f ca="1">IF(Información1[[#This Row],[Fecha]]='Ajuste de fechas'!$A$2,"Día actual","Día anterior")</f>
        <v>Día anterior</v>
      </c>
      <c r="C67" t="s">
        <v>50</v>
      </c>
      <c r="D67" t="s">
        <v>55</v>
      </c>
      <c r="E67" t="s">
        <v>190</v>
      </c>
      <c r="F67" t="s">
        <v>19</v>
      </c>
      <c r="G67" t="s">
        <v>175</v>
      </c>
      <c r="H67" t="s">
        <v>11</v>
      </c>
      <c r="I67" t="s">
        <v>7</v>
      </c>
      <c r="J67" t="s">
        <v>43</v>
      </c>
      <c r="K67" t="s">
        <v>51</v>
      </c>
      <c r="L67" t="s">
        <v>70</v>
      </c>
      <c r="M67">
        <v>1</v>
      </c>
    </row>
    <row r="68" spans="1:13" x14ac:dyDescent="0.25">
      <c r="A68" s="2">
        <v>46237</v>
      </c>
      <c r="B68" s="1" t="str">
        <f ca="1">IF(Información1[[#This Row],[Fecha]]='Ajuste de fechas'!$A$2,"Día actual","Día anterior")</f>
        <v>Día anterior</v>
      </c>
      <c r="C68" t="s">
        <v>50</v>
      </c>
      <c r="D68" t="s">
        <v>55</v>
      </c>
      <c r="E68" t="s">
        <v>191</v>
      </c>
      <c r="F68" t="s">
        <v>21</v>
      </c>
      <c r="G68" t="s">
        <v>192</v>
      </c>
      <c r="H68" t="s">
        <v>11</v>
      </c>
      <c r="I68" t="s">
        <v>25</v>
      </c>
      <c r="J68" t="s">
        <v>39</v>
      </c>
      <c r="K68" t="s">
        <v>9</v>
      </c>
      <c r="L68" t="s">
        <v>41</v>
      </c>
      <c r="M68">
        <v>1</v>
      </c>
    </row>
    <row r="69" spans="1:13" x14ac:dyDescent="0.25">
      <c r="A69" s="2">
        <v>46237</v>
      </c>
      <c r="B69" s="1" t="str">
        <f ca="1">IF(Información1[[#This Row],[Fecha]]='Ajuste de fechas'!$A$2,"Día actual","Día anterior")</f>
        <v>Día anterior</v>
      </c>
      <c r="C69" t="s">
        <v>50</v>
      </c>
      <c r="D69" t="s">
        <v>52</v>
      </c>
      <c r="E69" t="s">
        <v>111</v>
      </c>
      <c r="F69" t="s">
        <v>22</v>
      </c>
      <c r="G69" t="s">
        <v>175</v>
      </c>
      <c r="H69" t="s">
        <v>11</v>
      </c>
      <c r="I69" t="s">
        <v>25</v>
      </c>
      <c r="J69" t="s">
        <v>44</v>
      </c>
      <c r="K69" t="s">
        <v>51</v>
      </c>
      <c r="L69" t="s">
        <v>40</v>
      </c>
      <c r="M69">
        <v>1</v>
      </c>
    </row>
    <row r="70" spans="1:13" x14ac:dyDescent="0.25">
      <c r="A70" s="2">
        <v>46237</v>
      </c>
      <c r="B70" s="1" t="str">
        <f ca="1">IF(Información1[[#This Row],[Fecha]]='Ajuste de fechas'!$A$2,"Día actual","Día anterior")</f>
        <v>Día anterior</v>
      </c>
      <c r="C70" t="s">
        <v>50</v>
      </c>
      <c r="D70" t="s">
        <v>52</v>
      </c>
      <c r="E70" t="s">
        <v>193</v>
      </c>
      <c r="F70" t="s">
        <v>19</v>
      </c>
      <c r="G70" t="s">
        <v>194</v>
      </c>
      <c r="H70" t="s">
        <v>11</v>
      </c>
      <c r="I70" t="s">
        <v>7</v>
      </c>
      <c r="J70" t="s">
        <v>43</v>
      </c>
      <c r="K70" t="s">
        <v>51</v>
      </c>
      <c r="L70" t="s">
        <v>40</v>
      </c>
      <c r="M70">
        <v>1</v>
      </c>
    </row>
    <row r="71" spans="1:13" x14ac:dyDescent="0.25">
      <c r="A71" s="2">
        <v>46237</v>
      </c>
      <c r="B71" s="1" t="str">
        <f ca="1">IF(Información1[[#This Row],[Fecha]]='Ajuste de fechas'!$A$2,"Día actual","Día anterior")</f>
        <v>Día anterior</v>
      </c>
      <c r="C71" t="s">
        <v>50</v>
      </c>
      <c r="D71" t="s">
        <v>52</v>
      </c>
      <c r="E71" t="s">
        <v>195</v>
      </c>
      <c r="F71" t="s">
        <v>19</v>
      </c>
      <c r="G71" t="s">
        <v>175</v>
      </c>
      <c r="H71" t="s">
        <v>11</v>
      </c>
      <c r="I71" t="s">
        <v>7</v>
      </c>
      <c r="J71" t="s">
        <v>43</v>
      </c>
      <c r="K71" t="s">
        <v>51</v>
      </c>
      <c r="L71" t="s">
        <v>40</v>
      </c>
      <c r="M71">
        <v>1</v>
      </c>
    </row>
    <row r="72" spans="1:13" x14ac:dyDescent="0.25">
      <c r="A72" s="2">
        <v>46237</v>
      </c>
      <c r="B72" s="1" t="str">
        <f ca="1">IF(Información1[[#This Row],[Fecha]]='Ajuste de fechas'!$A$2,"Día actual","Día anterior")</f>
        <v>Día anterior</v>
      </c>
      <c r="C72" t="s">
        <v>50</v>
      </c>
      <c r="D72" t="s">
        <v>52</v>
      </c>
      <c r="E72" t="s">
        <v>196</v>
      </c>
      <c r="F72" t="s">
        <v>23</v>
      </c>
      <c r="G72" t="s">
        <v>197</v>
      </c>
      <c r="H72" t="s">
        <v>11</v>
      </c>
      <c r="I72" t="s">
        <v>25</v>
      </c>
      <c r="J72" t="s">
        <v>39</v>
      </c>
      <c r="K72" t="s">
        <v>51</v>
      </c>
      <c r="L72" t="s">
        <v>40</v>
      </c>
      <c r="M72">
        <v>1</v>
      </c>
    </row>
    <row r="73" spans="1:13" x14ac:dyDescent="0.25">
      <c r="A73" s="2">
        <v>46237</v>
      </c>
      <c r="B73" s="1" t="str">
        <f ca="1">IF(Información1[[#This Row],[Fecha]]='Ajuste de fechas'!$A$2,"Día actual","Día anterior")</f>
        <v>Día anterior</v>
      </c>
      <c r="C73" t="s">
        <v>50</v>
      </c>
      <c r="D73" t="s">
        <v>52</v>
      </c>
      <c r="E73" t="s">
        <v>198</v>
      </c>
      <c r="F73" t="s">
        <v>88</v>
      </c>
      <c r="G73" t="s">
        <v>124</v>
      </c>
      <c r="H73" t="s">
        <v>11</v>
      </c>
      <c r="I73" t="s">
        <v>7</v>
      </c>
      <c r="J73" t="s">
        <v>39</v>
      </c>
      <c r="K73" t="s">
        <v>51</v>
      </c>
      <c r="L73" t="s">
        <v>40</v>
      </c>
      <c r="M73">
        <v>1</v>
      </c>
    </row>
    <row r="74" spans="1:13" x14ac:dyDescent="0.25">
      <c r="A74" s="2">
        <v>46237</v>
      </c>
      <c r="B74" s="1" t="str">
        <f ca="1">IF(Información1[[#This Row],[Fecha]]='Ajuste de fechas'!$A$2,"Día actual","Día anterior")</f>
        <v>Día anterior</v>
      </c>
      <c r="C74" t="s">
        <v>50</v>
      </c>
      <c r="D74" t="s">
        <v>52</v>
      </c>
      <c r="E74" t="s">
        <v>199</v>
      </c>
      <c r="F74" t="s">
        <v>82</v>
      </c>
      <c r="G74" t="s">
        <v>124</v>
      </c>
      <c r="H74" t="s">
        <v>11</v>
      </c>
      <c r="I74" t="s">
        <v>7</v>
      </c>
      <c r="J74" t="s">
        <v>39</v>
      </c>
      <c r="K74" t="s">
        <v>51</v>
      </c>
      <c r="L74" t="s">
        <v>40</v>
      </c>
      <c r="M74">
        <v>1</v>
      </c>
    </row>
    <row r="75" spans="1:13" x14ac:dyDescent="0.25">
      <c r="A75" s="2">
        <v>46237</v>
      </c>
      <c r="B75" s="1" t="str">
        <f ca="1">IF(Información1[[#This Row],[Fecha]]='Ajuste de fechas'!$A$2,"Día actual","Día anterior")</f>
        <v>Día anterior</v>
      </c>
      <c r="C75" t="s">
        <v>50</v>
      </c>
      <c r="D75" t="s">
        <v>52</v>
      </c>
      <c r="E75" t="s">
        <v>200</v>
      </c>
      <c r="F75" t="s">
        <v>134</v>
      </c>
      <c r="G75" t="s">
        <v>201</v>
      </c>
      <c r="H75" t="s">
        <v>11</v>
      </c>
      <c r="I75" t="s">
        <v>12</v>
      </c>
      <c r="J75" t="s">
        <v>39</v>
      </c>
      <c r="K75" t="s">
        <v>51</v>
      </c>
      <c r="L75" t="s">
        <v>40</v>
      </c>
      <c r="M75">
        <v>1</v>
      </c>
    </row>
    <row r="76" spans="1:13" x14ac:dyDescent="0.25">
      <c r="A76" s="2">
        <v>46237</v>
      </c>
      <c r="B76" s="1" t="str">
        <f ca="1">IF(Información1[[#This Row],[Fecha]]='Ajuste de fechas'!$A$2,"Día actual","Día anterior")</f>
        <v>Día anterior</v>
      </c>
      <c r="C76" t="s">
        <v>50</v>
      </c>
      <c r="D76" t="s">
        <v>52</v>
      </c>
      <c r="E76" t="s">
        <v>202</v>
      </c>
      <c r="F76" t="s">
        <v>21</v>
      </c>
      <c r="G76" t="s">
        <v>178</v>
      </c>
      <c r="H76" t="s">
        <v>11</v>
      </c>
      <c r="I76" t="s">
        <v>7</v>
      </c>
      <c r="J76" t="s">
        <v>39</v>
      </c>
      <c r="K76" t="s">
        <v>51</v>
      </c>
      <c r="L76" t="s">
        <v>42</v>
      </c>
      <c r="M76">
        <v>1</v>
      </c>
    </row>
    <row r="77" spans="1:13" x14ac:dyDescent="0.25">
      <c r="A77" s="2">
        <v>46238</v>
      </c>
      <c r="B77" s="1" t="str">
        <f ca="1">IF(Información1[[#This Row],[Fecha]]='Ajuste de fechas'!$A$2,"Día actual","Día anterior")</f>
        <v>Día actual</v>
      </c>
      <c r="C77" t="s">
        <v>50</v>
      </c>
      <c r="D77" t="s">
        <v>55</v>
      </c>
      <c r="E77" t="s">
        <v>203</v>
      </c>
      <c r="F77" t="s">
        <v>22</v>
      </c>
      <c r="G77" t="s">
        <v>204</v>
      </c>
      <c r="H77" t="s">
        <v>11</v>
      </c>
      <c r="I77" t="s">
        <v>7</v>
      </c>
      <c r="J77" t="s">
        <v>44</v>
      </c>
      <c r="K77" t="s">
        <v>51</v>
      </c>
      <c r="L77" t="s">
        <v>40</v>
      </c>
      <c r="M77">
        <v>1</v>
      </c>
    </row>
    <row r="78" spans="1:13" x14ac:dyDescent="0.25">
      <c r="A78" s="2">
        <v>46238</v>
      </c>
      <c r="B78" s="1" t="str">
        <f ca="1">IF(Información1[[#This Row],[Fecha]]='Ajuste de fechas'!$A$2,"Día actual","Día anterior")</f>
        <v>Día actual</v>
      </c>
      <c r="C78" t="s">
        <v>50</v>
      </c>
      <c r="D78" t="s">
        <v>55</v>
      </c>
      <c r="E78" t="s">
        <v>205</v>
      </c>
      <c r="F78" t="s">
        <v>19</v>
      </c>
      <c r="G78" t="s">
        <v>206</v>
      </c>
      <c r="H78" t="s">
        <v>11</v>
      </c>
      <c r="I78" t="s">
        <v>7</v>
      </c>
      <c r="J78" t="s">
        <v>43</v>
      </c>
      <c r="K78" t="s">
        <v>51</v>
      </c>
      <c r="L78" t="s">
        <v>40</v>
      </c>
      <c r="M78">
        <v>1</v>
      </c>
    </row>
    <row r="79" spans="1:13" x14ac:dyDescent="0.25">
      <c r="A79" s="2">
        <v>46238</v>
      </c>
      <c r="B79" s="1" t="str">
        <f ca="1">IF(Información1[[#This Row],[Fecha]]='Ajuste de fechas'!$A$2,"Día actual","Día anterior")</f>
        <v>Día actual</v>
      </c>
      <c r="C79" t="s">
        <v>50</v>
      </c>
      <c r="D79" t="s">
        <v>55</v>
      </c>
      <c r="E79" t="s">
        <v>104</v>
      </c>
      <c r="F79" t="s">
        <v>86</v>
      </c>
      <c r="G79" t="s">
        <v>206</v>
      </c>
      <c r="H79" t="s">
        <v>11</v>
      </c>
      <c r="I79" t="s">
        <v>7</v>
      </c>
      <c r="J79" t="s">
        <v>39</v>
      </c>
      <c r="K79" t="s">
        <v>49</v>
      </c>
      <c r="L79" t="s">
        <v>42</v>
      </c>
      <c r="M79">
        <v>1</v>
      </c>
    </row>
    <row r="80" spans="1:13" x14ac:dyDescent="0.25">
      <c r="A80" s="2">
        <v>46238</v>
      </c>
      <c r="B80" s="1" t="str">
        <f ca="1">IF(Información1[[#This Row],[Fecha]]='Ajuste de fechas'!$A$2,"Día actual","Día anterior")</f>
        <v>Día actual</v>
      </c>
      <c r="C80" t="s">
        <v>62</v>
      </c>
      <c r="D80" t="s">
        <v>63</v>
      </c>
      <c r="E80" t="s">
        <v>207</v>
      </c>
      <c r="F80" t="s">
        <v>19</v>
      </c>
      <c r="G80" t="s">
        <v>208</v>
      </c>
      <c r="H80" t="s">
        <v>11</v>
      </c>
      <c r="I80" t="s">
        <v>7</v>
      </c>
      <c r="J80" t="s">
        <v>43</v>
      </c>
      <c r="K80" t="s">
        <v>64</v>
      </c>
      <c r="L80" t="s">
        <v>40</v>
      </c>
      <c r="M80">
        <v>1</v>
      </c>
    </row>
    <row r="81" spans="1:13" x14ac:dyDescent="0.25">
      <c r="A81" s="2">
        <v>46238</v>
      </c>
      <c r="B81" s="1" t="str">
        <f ca="1">IF(Información1[[#This Row],[Fecha]]='Ajuste de fechas'!$A$2,"Día actual","Día anterior")</f>
        <v>Día actual</v>
      </c>
      <c r="C81" t="s">
        <v>62</v>
      </c>
      <c r="D81" t="s">
        <v>63</v>
      </c>
      <c r="E81" t="s">
        <v>209</v>
      </c>
      <c r="F81" t="s">
        <v>21</v>
      </c>
      <c r="G81" t="s">
        <v>210</v>
      </c>
      <c r="H81" t="s">
        <v>11</v>
      </c>
      <c r="I81" t="s">
        <v>7</v>
      </c>
      <c r="J81" t="s">
        <v>39</v>
      </c>
      <c r="K81" t="s">
        <v>64</v>
      </c>
      <c r="L81" t="s">
        <v>42</v>
      </c>
      <c r="M81">
        <v>1</v>
      </c>
    </row>
    <row r="82" spans="1:13" x14ac:dyDescent="0.25">
      <c r="A82" s="2">
        <v>46238</v>
      </c>
      <c r="B82" s="1" t="str">
        <f ca="1">IF(Información1[[#This Row],[Fecha]]='Ajuste de fechas'!$A$2,"Día actual","Día anterior")</f>
        <v>Día actual</v>
      </c>
      <c r="C82" t="s">
        <v>62</v>
      </c>
      <c r="D82" t="s">
        <v>63</v>
      </c>
      <c r="E82" t="s">
        <v>211</v>
      </c>
      <c r="F82" t="s">
        <v>21</v>
      </c>
      <c r="G82" t="s">
        <v>212</v>
      </c>
      <c r="H82" t="s">
        <v>11</v>
      </c>
      <c r="I82" t="s">
        <v>7</v>
      </c>
      <c r="J82" t="s">
        <v>39</v>
      </c>
      <c r="K82" t="s">
        <v>64</v>
      </c>
      <c r="L82" t="s">
        <v>42</v>
      </c>
      <c r="M82">
        <v>1</v>
      </c>
    </row>
    <row r="83" spans="1:13" x14ac:dyDescent="0.25">
      <c r="A83" s="2">
        <v>46238</v>
      </c>
      <c r="B83" s="1" t="str">
        <f ca="1">IF(Información1[[#This Row],[Fecha]]='Ajuste de fechas'!$A$2,"Día actual","Día anterior")</f>
        <v>Día actual</v>
      </c>
      <c r="C83" t="s">
        <v>62</v>
      </c>
      <c r="D83" t="s">
        <v>63</v>
      </c>
      <c r="E83" t="s">
        <v>213</v>
      </c>
      <c r="F83" t="s">
        <v>26</v>
      </c>
      <c r="G83" t="s">
        <v>77</v>
      </c>
      <c r="H83" t="s">
        <v>11</v>
      </c>
      <c r="I83" t="s">
        <v>7</v>
      </c>
      <c r="J83" t="s">
        <v>39</v>
      </c>
      <c r="K83" t="s">
        <v>64</v>
      </c>
      <c r="L83" t="s">
        <v>40</v>
      </c>
      <c r="M83">
        <v>1</v>
      </c>
    </row>
    <row r="84" spans="1:13" x14ac:dyDescent="0.25">
      <c r="A84" s="2">
        <v>46238</v>
      </c>
      <c r="B84" s="1" t="str">
        <f ca="1">IF(Información1[[#This Row],[Fecha]]='Ajuste de fechas'!$A$2,"Día actual","Día anterior")</f>
        <v>Día actual</v>
      </c>
      <c r="C84" t="s">
        <v>62</v>
      </c>
      <c r="D84" t="s">
        <v>63</v>
      </c>
      <c r="E84" t="s">
        <v>214</v>
      </c>
      <c r="F84" t="s">
        <v>23</v>
      </c>
      <c r="G84" t="s">
        <v>93</v>
      </c>
      <c r="H84" t="s">
        <v>11</v>
      </c>
      <c r="I84" t="s">
        <v>7</v>
      </c>
      <c r="J84" t="s">
        <v>39</v>
      </c>
      <c r="K84" t="s">
        <v>64</v>
      </c>
      <c r="L84" t="s">
        <v>42</v>
      </c>
      <c r="M84">
        <v>1</v>
      </c>
    </row>
    <row r="85" spans="1:13" x14ac:dyDescent="0.25">
      <c r="A85" s="2">
        <v>46238</v>
      </c>
      <c r="B85" s="1" t="str">
        <f ca="1">IF(Información1[[#This Row],[Fecha]]='Ajuste de fechas'!$A$2,"Día actual","Día anterior")</f>
        <v>Día actual</v>
      </c>
      <c r="C85" t="s">
        <v>62</v>
      </c>
      <c r="D85" t="s">
        <v>63</v>
      </c>
      <c r="E85" t="s">
        <v>215</v>
      </c>
      <c r="F85" t="s">
        <v>26</v>
      </c>
      <c r="G85" t="s">
        <v>216</v>
      </c>
      <c r="H85" t="s">
        <v>11</v>
      </c>
      <c r="I85" t="s">
        <v>7</v>
      </c>
      <c r="J85" t="s">
        <v>39</v>
      </c>
      <c r="K85" t="s">
        <v>64</v>
      </c>
      <c r="L85" t="s">
        <v>42</v>
      </c>
      <c r="M85">
        <v>1</v>
      </c>
    </row>
    <row r="86" spans="1:13" x14ac:dyDescent="0.25">
      <c r="A86" s="2">
        <v>46238</v>
      </c>
      <c r="B86" s="1" t="str">
        <f ca="1">IF(Información1[[#This Row],[Fecha]]='Ajuste de fechas'!$A$2,"Día actual","Día anterior")</f>
        <v>Día actual</v>
      </c>
      <c r="C86" t="s">
        <v>62</v>
      </c>
      <c r="D86" t="s">
        <v>63</v>
      </c>
      <c r="E86" t="s">
        <v>217</v>
      </c>
      <c r="F86" t="s">
        <v>82</v>
      </c>
      <c r="G86" t="s">
        <v>124</v>
      </c>
      <c r="H86" t="s">
        <v>11</v>
      </c>
      <c r="I86" t="s">
        <v>7</v>
      </c>
      <c r="J86" t="s">
        <v>39</v>
      </c>
      <c r="K86" t="s">
        <v>64</v>
      </c>
      <c r="L86" t="s">
        <v>42</v>
      </c>
      <c r="M86">
        <v>1</v>
      </c>
    </row>
    <row r="87" spans="1:13" x14ac:dyDescent="0.25">
      <c r="A87" s="2">
        <v>46238</v>
      </c>
      <c r="B87" s="1" t="str">
        <f ca="1">IF(Información1[[#This Row],[Fecha]]='Ajuste de fechas'!$A$2,"Día actual","Día anterior")</f>
        <v>Día actual</v>
      </c>
      <c r="C87" t="s">
        <v>62</v>
      </c>
      <c r="D87" t="s">
        <v>63</v>
      </c>
      <c r="E87" t="s">
        <v>218</v>
      </c>
      <c r="F87" t="s">
        <v>26</v>
      </c>
      <c r="G87" t="s">
        <v>120</v>
      </c>
      <c r="H87" t="s">
        <v>11</v>
      </c>
      <c r="I87" t="s">
        <v>7</v>
      </c>
      <c r="J87" t="s">
        <v>39</v>
      </c>
      <c r="K87" t="s">
        <v>64</v>
      </c>
      <c r="L87" t="s">
        <v>42</v>
      </c>
      <c r="M87">
        <v>1</v>
      </c>
    </row>
    <row r="88" spans="1:13" x14ac:dyDescent="0.25">
      <c r="A88" s="2">
        <v>46238</v>
      </c>
      <c r="B88" s="1" t="str">
        <f ca="1">IF(Información1[[#This Row],[Fecha]]='Ajuste de fechas'!$A$2,"Día actual","Día anterior")</f>
        <v>Día actual</v>
      </c>
      <c r="C88" t="s">
        <v>50</v>
      </c>
      <c r="D88" t="s">
        <v>52</v>
      </c>
      <c r="E88" t="s">
        <v>219</v>
      </c>
      <c r="F88" t="s">
        <v>22</v>
      </c>
      <c r="G88" t="s">
        <v>189</v>
      </c>
      <c r="H88" t="s">
        <v>11</v>
      </c>
      <c r="I88" t="s">
        <v>25</v>
      </c>
      <c r="J88" t="s">
        <v>44</v>
      </c>
      <c r="K88" t="s">
        <v>51</v>
      </c>
      <c r="L88" t="s">
        <v>40</v>
      </c>
      <c r="M88">
        <v>1</v>
      </c>
    </row>
    <row r="89" spans="1:13" x14ac:dyDescent="0.25">
      <c r="A89" s="2">
        <v>46238</v>
      </c>
      <c r="B89" s="1" t="str">
        <f ca="1">IF(Información1[[#This Row],[Fecha]]='Ajuste de fechas'!$A$2,"Día actual","Día anterior")</f>
        <v>Día actual</v>
      </c>
      <c r="C89" t="s">
        <v>50</v>
      </c>
      <c r="D89" t="s">
        <v>52</v>
      </c>
      <c r="E89" t="s">
        <v>220</v>
      </c>
      <c r="F89" t="s">
        <v>22</v>
      </c>
      <c r="G89" t="s">
        <v>221</v>
      </c>
      <c r="H89" t="s">
        <v>11</v>
      </c>
      <c r="I89" t="s">
        <v>7</v>
      </c>
      <c r="J89" t="s">
        <v>44</v>
      </c>
      <c r="K89" t="s">
        <v>9</v>
      </c>
      <c r="L89" t="s">
        <v>41</v>
      </c>
      <c r="M89">
        <v>1</v>
      </c>
    </row>
    <row r="90" spans="1:13" x14ac:dyDescent="0.25">
      <c r="A90" s="2">
        <v>46238</v>
      </c>
      <c r="B90" s="1" t="str">
        <f ca="1">IF(Información1[[#This Row],[Fecha]]='Ajuste de fechas'!$A$2,"Día actual","Día anterior")</f>
        <v>Día actual</v>
      </c>
      <c r="C90" t="s">
        <v>50</v>
      </c>
      <c r="D90" t="s">
        <v>52</v>
      </c>
      <c r="E90" t="s">
        <v>222</v>
      </c>
      <c r="F90" t="s">
        <v>19</v>
      </c>
      <c r="G90" t="s">
        <v>97</v>
      </c>
      <c r="H90" t="s">
        <v>11</v>
      </c>
      <c r="I90" t="s">
        <v>7</v>
      </c>
      <c r="J90" t="s">
        <v>43</v>
      </c>
      <c r="K90" t="s">
        <v>51</v>
      </c>
      <c r="L90" t="s">
        <v>40</v>
      </c>
      <c r="M90">
        <v>1</v>
      </c>
    </row>
    <row r="91" spans="1:13" x14ac:dyDescent="0.25">
      <c r="A91" s="2">
        <v>46238</v>
      </c>
      <c r="B91" s="1" t="str">
        <f ca="1">IF(Información1[[#This Row],[Fecha]]='Ajuste de fechas'!$A$2,"Día actual","Día anterior")</f>
        <v>Día actual</v>
      </c>
      <c r="C91" t="s">
        <v>50</v>
      </c>
      <c r="D91" t="s">
        <v>52</v>
      </c>
      <c r="E91" t="s">
        <v>223</v>
      </c>
      <c r="F91" t="s">
        <v>19</v>
      </c>
      <c r="G91" t="s">
        <v>78</v>
      </c>
      <c r="H91" t="s">
        <v>11</v>
      </c>
      <c r="I91" t="s">
        <v>7</v>
      </c>
      <c r="J91" t="s">
        <v>43</v>
      </c>
      <c r="K91" t="s">
        <v>51</v>
      </c>
      <c r="L91" t="s">
        <v>40</v>
      </c>
      <c r="M91">
        <v>1</v>
      </c>
    </row>
    <row r="92" spans="1:13" x14ac:dyDescent="0.25">
      <c r="A92" s="2">
        <v>46238</v>
      </c>
      <c r="B92" s="1" t="str">
        <f ca="1">IF(Información1[[#This Row],[Fecha]]='Ajuste de fechas'!$A$2,"Día actual","Día anterior")</f>
        <v>Día actual</v>
      </c>
      <c r="C92" t="s">
        <v>50</v>
      </c>
      <c r="D92" t="s">
        <v>52</v>
      </c>
      <c r="E92" t="s">
        <v>224</v>
      </c>
      <c r="F92" t="s">
        <v>19</v>
      </c>
      <c r="G92" t="s">
        <v>194</v>
      </c>
      <c r="H92" t="s">
        <v>11</v>
      </c>
      <c r="I92" t="s">
        <v>7</v>
      </c>
      <c r="J92" t="s">
        <v>43</v>
      </c>
      <c r="K92" t="s">
        <v>51</v>
      </c>
      <c r="L92" t="s">
        <v>40</v>
      </c>
      <c r="M92">
        <v>1</v>
      </c>
    </row>
    <row r="93" spans="1:13" x14ac:dyDescent="0.25">
      <c r="A93" s="2">
        <v>46238</v>
      </c>
      <c r="B93" s="1" t="str">
        <f ca="1">IF(Información1[[#This Row],[Fecha]]='Ajuste de fechas'!$A$2,"Día actual","Día anterior")</f>
        <v>Día actual</v>
      </c>
      <c r="C93" t="s">
        <v>50</v>
      </c>
      <c r="D93" t="s">
        <v>52</v>
      </c>
      <c r="E93" t="s">
        <v>219</v>
      </c>
      <c r="F93" t="s">
        <v>23</v>
      </c>
      <c r="G93" t="s">
        <v>189</v>
      </c>
      <c r="H93" t="s">
        <v>11</v>
      </c>
      <c r="I93" t="s">
        <v>7</v>
      </c>
      <c r="J93" t="s">
        <v>39</v>
      </c>
      <c r="K93" t="s">
        <v>51</v>
      </c>
      <c r="L93" t="s">
        <v>40</v>
      </c>
      <c r="M93">
        <v>1</v>
      </c>
    </row>
    <row r="94" spans="1:13" x14ac:dyDescent="0.25">
      <c r="A94" s="2">
        <v>46238</v>
      </c>
      <c r="B94" s="1" t="str">
        <f ca="1">IF(Información1[[#This Row],[Fecha]]='Ajuste de fechas'!$A$2,"Día actual","Día anterior")</f>
        <v>Día actual</v>
      </c>
      <c r="C94" t="s">
        <v>50</v>
      </c>
      <c r="D94" t="s">
        <v>52</v>
      </c>
      <c r="E94" t="s">
        <v>218</v>
      </c>
      <c r="F94" t="s">
        <v>26</v>
      </c>
      <c r="G94" t="s">
        <v>120</v>
      </c>
      <c r="H94" t="s">
        <v>11</v>
      </c>
      <c r="I94" t="s">
        <v>7</v>
      </c>
      <c r="J94" t="s">
        <v>39</v>
      </c>
      <c r="K94" t="s">
        <v>51</v>
      </c>
      <c r="L94" t="s">
        <v>42</v>
      </c>
      <c r="M94">
        <v>1</v>
      </c>
    </row>
    <row r="95" spans="1:13" x14ac:dyDescent="0.25">
      <c r="A95" s="2">
        <v>46238</v>
      </c>
      <c r="B95" s="1" t="str">
        <f ca="1">IF(Información1[[#This Row],[Fecha]]='Ajuste de fechas'!$A$2,"Día actual","Día anterior")</f>
        <v>Día actual</v>
      </c>
      <c r="C95" t="s">
        <v>50</v>
      </c>
      <c r="D95" t="s">
        <v>52</v>
      </c>
      <c r="E95" t="s">
        <v>225</v>
      </c>
      <c r="F95" t="s">
        <v>21</v>
      </c>
      <c r="G95" t="s">
        <v>226</v>
      </c>
      <c r="H95" t="s">
        <v>11</v>
      </c>
      <c r="I95" t="s">
        <v>7</v>
      </c>
      <c r="J95" t="s">
        <v>39</v>
      </c>
      <c r="K95" t="s">
        <v>49</v>
      </c>
      <c r="L95" t="s">
        <v>70</v>
      </c>
      <c r="M95">
        <v>1</v>
      </c>
    </row>
    <row r="96" spans="1:13" x14ac:dyDescent="0.25">
      <c r="A96" s="2">
        <v>46238</v>
      </c>
      <c r="B96" s="1" t="str">
        <f ca="1">IF(Información1[[#This Row],[Fecha]]='Ajuste de fechas'!$A$2,"Día actual","Día anterior")</f>
        <v>Día actual</v>
      </c>
      <c r="C96" t="s">
        <v>50</v>
      </c>
      <c r="D96" t="s">
        <v>52</v>
      </c>
      <c r="E96" t="s">
        <v>211</v>
      </c>
      <c r="F96" t="s">
        <v>21</v>
      </c>
      <c r="G96" t="s">
        <v>212</v>
      </c>
      <c r="H96" t="s">
        <v>11</v>
      </c>
      <c r="I96" t="s">
        <v>7</v>
      </c>
      <c r="J96" t="s">
        <v>39</v>
      </c>
      <c r="K96" t="s">
        <v>51</v>
      </c>
      <c r="L96" t="s">
        <v>42</v>
      </c>
      <c r="M96">
        <v>1</v>
      </c>
    </row>
    <row r="97" spans="1:13" x14ac:dyDescent="0.25">
      <c r="A97" s="2">
        <v>46238</v>
      </c>
      <c r="B97" s="1" t="str">
        <f ca="1">IF(Información1[[#This Row],[Fecha]]='Ajuste de fechas'!$A$2,"Día actual","Día anterior")</f>
        <v>Día actual</v>
      </c>
      <c r="C97" t="s">
        <v>50</v>
      </c>
      <c r="D97" t="s">
        <v>52</v>
      </c>
      <c r="E97" t="s">
        <v>104</v>
      </c>
      <c r="F97" t="s">
        <v>86</v>
      </c>
      <c r="G97" t="s">
        <v>206</v>
      </c>
      <c r="H97" t="s">
        <v>11</v>
      </c>
      <c r="I97" t="s">
        <v>7</v>
      </c>
      <c r="J97" t="s">
        <v>39</v>
      </c>
      <c r="K97" t="s">
        <v>49</v>
      </c>
      <c r="L97" t="s">
        <v>42</v>
      </c>
      <c r="M97">
        <v>1</v>
      </c>
    </row>
    <row r="98" spans="1:13" x14ac:dyDescent="0.25">
      <c r="A98" s="2">
        <v>46238</v>
      </c>
      <c r="B98" s="1" t="str">
        <f ca="1">IF(Información1[[#This Row],[Fecha]]='Ajuste de fechas'!$A$2,"Día actual","Día anterior")</f>
        <v>Día actual</v>
      </c>
      <c r="C98" t="s">
        <v>50</v>
      </c>
      <c r="D98" t="s">
        <v>52</v>
      </c>
      <c r="E98" t="s">
        <v>220</v>
      </c>
      <c r="F98" t="s">
        <v>151</v>
      </c>
      <c r="G98" t="s">
        <v>221</v>
      </c>
      <c r="H98" t="s">
        <v>11</v>
      </c>
      <c r="I98" t="s">
        <v>7</v>
      </c>
      <c r="J98" t="s">
        <v>39</v>
      </c>
      <c r="K98" t="s">
        <v>9</v>
      </c>
      <c r="L98" t="s">
        <v>41</v>
      </c>
      <c r="M98">
        <v>1</v>
      </c>
    </row>
    <row r="99" spans="1:13" x14ac:dyDescent="0.25">
      <c r="A99" s="2">
        <v>46238</v>
      </c>
      <c r="B99" s="1" t="str">
        <f ca="1">IF(Información1[[#This Row],[Fecha]]='Ajuste de fechas'!$A$2,"Día actual","Día anterior")</f>
        <v>Día actual</v>
      </c>
      <c r="C99" t="s">
        <v>50</v>
      </c>
      <c r="D99" t="s">
        <v>52</v>
      </c>
      <c r="E99" t="s">
        <v>211</v>
      </c>
      <c r="F99" t="s">
        <v>21</v>
      </c>
      <c r="G99" t="s">
        <v>212</v>
      </c>
      <c r="H99" t="s">
        <v>11</v>
      </c>
      <c r="I99" t="s">
        <v>7</v>
      </c>
      <c r="J99" t="s">
        <v>39</v>
      </c>
      <c r="K99" t="s">
        <v>49</v>
      </c>
      <c r="L99" t="s">
        <v>42</v>
      </c>
      <c r="M99">
        <v>1</v>
      </c>
    </row>
    <row r="100" spans="1:13" x14ac:dyDescent="0.25">
      <c r="A100" s="2">
        <v>46238</v>
      </c>
      <c r="B100" s="1" t="str">
        <f ca="1">IF(Información1[[#This Row],[Fecha]]='Ajuste de fechas'!$A$2,"Día actual","Día anterior")</f>
        <v>Día actual</v>
      </c>
      <c r="C100" t="s">
        <v>50</v>
      </c>
      <c r="D100" t="s">
        <v>52</v>
      </c>
      <c r="E100" t="s">
        <v>215</v>
      </c>
      <c r="F100" t="s">
        <v>26</v>
      </c>
      <c r="G100" t="s">
        <v>216</v>
      </c>
      <c r="H100" t="s">
        <v>11</v>
      </c>
      <c r="I100" t="s">
        <v>7</v>
      </c>
      <c r="J100" t="s">
        <v>39</v>
      </c>
      <c r="K100" t="s">
        <v>49</v>
      </c>
      <c r="L100" t="s">
        <v>42</v>
      </c>
      <c r="M100">
        <v>1</v>
      </c>
    </row>
    <row r="101" spans="1:13" x14ac:dyDescent="0.25">
      <c r="A101" s="2">
        <v>46238</v>
      </c>
      <c r="B101" s="1" t="str">
        <f ca="1">IF(Información1[[#This Row],[Fecha]]='Ajuste de fechas'!$A$2,"Día actual","Día anterior")</f>
        <v>Día actual</v>
      </c>
      <c r="C101" t="s">
        <v>50</v>
      </c>
      <c r="D101" t="s">
        <v>52</v>
      </c>
      <c r="E101" t="s">
        <v>214</v>
      </c>
      <c r="F101" t="s">
        <v>23</v>
      </c>
      <c r="G101" t="s">
        <v>93</v>
      </c>
      <c r="H101" t="s">
        <v>11</v>
      </c>
      <c r="I101" t="s">
        <v>7</v>
      </c>
      <c r="J101" t="s">
        <v>39</v>
      </c>
      <c r="K101" t="s">
        <v>49</v>
      </c>
      <c r="L101" t="s">
        <v>42</v>
      </c>
      <c r="M101">
        <v>1</v>
      </c>
    </row>
    <row r="102" spans="1:13" x14ac:dyDescent="0.25">
      <c r="A102" s="2">
        <v>46237</v>
      </c>
      <c r="B102" s="1" t="str">
        <f ca="1">IF(Información1[[#This Row],[Fecha]]='Ajuste de fechas'!$A$2,"Día actual","Día anterior")</f>
        <v>Día anterior</v>
      </c>
      <c r="C102" t="s">
        <v>227</v>
      </c>
      <c r="D102" t="s">
        <v>228</v>
      </c>
      <c r="E102" t="s">
        <v>229</v>
      </c>
      <c r="F102" t="s">
        <v>23</v>
      </c>
      <c r="G102" t="s">
        <v>93</v>
      </c>
      <c r="H102" t="s">
        <v>57</v>
      </c>
      <c r="I102" t="s">
        <v>7</v>
      </c>
      <c r="J102" t="s">
        <v>39</v>
      </c>
      <c r="K102" t="s">
        <v>230</v>
      </c>
      <c r="L102" t="s">
        <v>42</v>
      </c>
      <c r="M102">
        <v>1</v>
      </c>
    </row>
    <row r="103" spans="1:13" x14ac:dyDescent="0.25">
      <c r="A103" s="2">
        <v>46237</v>
      </c>
      <c r="B103" s="1" t="str">
        <f ca="1">IF(Información1[[#This Row],[Fecha]]='Ajuste de fechas'!$A$2,"Día actual","Día anterior")</f>
        <v>Día anterior</v>
      </c>
      <c r="C103" t="s">
        <v>227</v>
      </c>
      <c r="D103" t="s">
        <v>228</v>
      </c>
      <c r="E103" t="s">
        <v>231</v>
      </c>
      <c r="F103" t="s">
        <v>23</v>
      </c>
      <c r="G103" t="s">
        <v>232</v>
      </c>
      <c r="H103" t="s">
        <v>57</v>
      </c>
      <c r="I103" t="s">
        <v>7</v>
      </c>
      <c r="J103" t="s">
        <v>39</v>
      </c>
      <c r="K103" t="s">
        <v>230</v>
      </c>
      <c r="L103" t="s">
        <v>42</v>
      </c>
      <c r="M103">
        <v>1</v>
      </c>
    </row>
    <row r="104" spans="1:13" x14ac:dyDescent="0.25">
      <c r="A104" s="2">
        <v>46237</v>
      </c>
      <c r="B104" s="1" t="str">
        <f ca="1">IF(Información1[[#This Row],[Fecha]]='Ajuste de fechas'!$A$2,"Día actual","Día anterior")</f>
        <v>Día anterior</v>
      </c>
      <c r="C104" t="s">
        <v>227</v>
      </c>
      <c r="D104" t="s">
        <v>228</v>
      </c>
      <c r="E104" t="s">
        <v>233</v>
      </c>
      <c r="F104" t="s">
        <v>134</v>
      </c>
      <c r="G104" t="s">
        <v>135</v>
      </c>
      <c r="H104" t="s">
        <v>57</v>
      </c>
      <c r="I104" t="s">
        <v>7</v>
      </c>
      <c r="J104" t="s">
        <v>39</v>
      </c>
      <c r="K104" t="s">
        <v>230</v>
      </c>
      <c r="L104" t="s">
        <v>42</v>
      </c>
      <c r="M104">
        <v>1</v>
      </c>
    </row>
    <row r="105" spans="1:13" x14ac:dyDescent="0.25">
      <c r="A105" s="2">
        <v>46237</v>
      </c>
      <c r="B105" s="1" t="str">
        <f ca="1">IF(Información1[[#This Row],[Fecha]]='Ajuste de fechas'!$A$2,"Día actual","Día anterior")</f>
        <v>Día anterior</v>
      </c>
      <c r="C105" t="s">
        <v>227</v>
      </c>
      <c r="D105" t="s">
        <v>228</v>
      </c>
      <c r="E105" t="s">
        <v>234</v>
      </c>
      <c r="F105" t="s">
        <v>19</v>
      </c>
      <c r="G105" t="s">
        <v>235</v>
      </c>
      <c r="H105" t="s">
        <v>57</v>
      </c>
      <c r="I105" t="s">
        <v>7</v>
      </c>
      <c r="J105" t="s">
        <v>43</v>
      </c>
      <c r="K105" t="s">
        <v>230</v>
      </c>
      <c r="L105" t="s">
        <v>40</v>
      </c>
      <c r="M105">
        <v>1</v>
      </c>
    </row>
    <row r="106" spans="1:13" x14ac:dyDescent="0.25">
      <c r="A106" s="2">
        <v>46237</v>
      </c>
      <c r="B106" s="1" t="str">
        <f ca="1">IF(Información1[[#This Row],[Fecha]]='Ajuste de fechas'!$A$2,"Día actual","Día anterior")</f>
        <v>Día anterior</v>
      </c>
      <c r="C106" t="s">
        <v>227</v>
      </c>
      <c r="D106" t="s">
        <v>228</v>
      </c>
      <c r="E106" t="s">
        <v>236</v>
      </c>
      <c r="F106" t="s">
        <v>139</v>
      </c>
      <c r="G106" t="s">
        <v>140</v>
      </c>
      <c r="H106" t="s">
        <v>57</v>
      </c>
      <c r="I106" t="s">
        <v>7</v>
      </c>
      <c r="J106" t="s">
        <v>39</v>
      </c>
      <c r="K106" t="s">
        <v>230</v>
      </c>
      <c r="L106" t="s">
        <v>42</v>
      </c>
      <c r="M106">
        <v>1</v>
      </c>
    </row>
    <row r="107" spans="1:13" x14ac:dyDescent="0.25">
      <c r="A107" s="2">
        <v>46237</v>
      </c>
      <c r="B107" s="1" t="str">
        <f ca="1">IF(Información1[[#This Row],[Fecha]]='Ajuste de fechas'!$A$2,"Día actual","Día anterior")</f>
        <v>Día anterior</v>
      </c>
      <c r="C107" t="s">
        <v>227</v>
      </c>
      <c r="D107" t="s">
        <v>228</v>
      </c>
      <c r="E107" t="s">
        <v>237</v>
      </c>
      <c r="F107" t="s">
        <v>31</v>
      </c>
      <c r="G107" t="s">
        <v>238</v>
      </c>
      <c r="H107" t="s">
        <v>57</v>
      </c>
      <c r="I107" t="s">
        <v>7</v>
      </c>
      <c r="J107" t="s">
        <v>39</v>
      </c>
      <c r="K107" t="s">
        <v>230</v>
      </c>
      <c r="L107" t="s">
        <v>42</v>
      </c>
      <c r="M107">
        <v>1</v>
      </c>
    </row>
    <row r="108" spans="1:13" x14ac:dyDescent="0.25">
      <c r="A108" s="2">
        <v>46237</v>
      </c>
      <c r="B108" s="1" t="str">
        <f ca="1">IF(Información1[[#This Row],[Fecha]]='Ajuste de fechas'!$A$2,"Día actual","Día anterior")</f>
        <v>Día anterior</v>
      </c>
      <c r="C108" t="s">
        <v>227</v>
      </c>
      <c r="D108" t="s">
        <v>228</v>
      </c>
      <c r="E108" t="s">
        <v>239</v>
      </c>
      <c r="F108" t="s">
        <v>19</v>
      </c>
      <c r="G108" t="s">
        <v>56</v>
      </c>
      <c r="H108" t="s">
        <v>57</v>
      </c>
      <c r="I108" t="s">
        <v>7</v>
      </c>
      <c r="J108" t="s">
        <v>43</v>
      </c>
      <c r="K108" t="s">
        <v>240</v>
      </c>
      <c r="L108" t="s">
        <v>40</v>
      </c>
      <c r="M108">
        <v>1</v>
      </c>
    </row>
    <row r="109" spans="1:13" x14ac:dyDescent="0.25">
      <c r="A109" s="2">
        <v>46237</v>
      </c>
      <c r="B109" s="1" t="str">
        <f ca="1">IF(Información1[[#This Row],[Fecha]]='Ajuste de fechas'!$A$2,"Día actual","Día anterior")</f>
        <v>Día anterior</v>
      </c>
      <c r="C109" t="s">
        <v>227</v>
      </c>
      <c r="D109" t="s">
        <v>228</v>
      </c>
      <c r="E109" t="s">
        <v>241</v>
      </c>
      <c r="F109" t="s">
        <v>19</v>
      </c>
      <c r="G109" t="s">
        <v>78</v>
      </c>
      <c r="H109" t="s">
        <v>57</v>
      </c>
      <c r="I109" t="s">
        <v>25</v>
      </c>
      <c r="J109" t="s">
        <v>43</v>
      </c>
      <c r="K109" t="s">
        <v>240</v>
      </c>
      <c r="L109" t="s">
        <v>40</v>
      </c>
      <c r="M109">
        <v>1</v>
      </c>
    </row>
    <row r="110" spans="1:13" x14ac:dyDescent="0.25">
      <c r="A110" s="2">
        <v>46237</v>
      </c>
      <c r="B110" s="1" t="str">
        <f ca="1">IF(Información1[[#This Row],[Fecha]]='Ajuste de fechas'!$A$2,"Día actual","Día anterior")</f>
        <v>Día anterior</v>
      </c>
      <c r="C110" t="s">
        <v>227</v>
      </c>
      <c r="D110" t="s">
        <v>228</v>
      </c>
      <c r="E110" t="s">
        <v>114</v>
      </c>
      <c r="F110" t="s">
        <v>19</v>
      </c>
      <c r="G110" t="s">
        <v>242</v>
      </c>
      <c r="H110" t="s">
        <v>57</v>
      </c>
      <c r="I110" t="s">
        <v>7</v>
      </c>
      <c r="J110" t="s">
        <v>43</v>
      </c>
      <c r="K110" t="s">
        <v>240</v>
      </c>
      <c r="L110" t="s">
        <v>40</v>
      </c>
      <c r="M110">
        <v>1</v>
      </c>
    </row>
    <row r="111" spans="1:13" x14ac:dyDescent="0.25">
      <c r="A111" s="2">
        <v>46237</v>
      </c>
      <c r="B111" s="1" t="str">
        <f ca="1">IF(Información1[[#This Row],[Fecha]]='Ajuste de fechas'!$A$2,"Día actual","Día anterior")</f>
        <v>Día anterior</v>
      </c>
      <c r="C111" t="s">
        <v>227</v>
      </c>
      <c r="D111" t="s">
        <v>228</v>
      </c>
      <c r="E111" t="s">
        <v>243</v>
      </c>
      <c r="F111" t="s">
        <v>19</v>
      </c>
      <c r="G111" t="s">
        <v>56</v>
      </c>
      <c r="H111" t="s">
        <v>57</v>
      </c>
      <c r="I111" t="s">
        <v>7</v>
      </c>
      <c r="J111" t="s">
        <v>43</v>
      </c>
      <c r="K111" t="s">
        <v>240</v>
      </c>
      <c r="L111" t="s">
        <v>40</v>
      </c>
      <c r="M111">
        <v>1</v>
      </c>
    </row>
    <row r="112" spans="1:13" x14ac:dyDescent="0.25">
      <c r="A112" s="2">
        <v>46237</v>
      </c>
      <c r="B112" s="1" t="str">
        <f ca="1">IF(Información1[[#This Row],[Fecha]]='Ajuste de fechas'!$A$2,"Día actual","Día anterior")</f>
        <v>Día anterior</v>
      </c>
      <c r="C112" t="s">
        <v>227</v>
      </c>
      <c r="D112" t="s">
        <v>228</v>
      </c>
      <c r="E112" t="s">
        <v>96</v>
      </c>
      <c r="F112" t="s">
        <v>17</v>
      </c>
      <c r="G112" t="s">
        <v>244</v>
      </c>
      <c r="H112" t="s">
        <v>57</v>
      </c>
      <c r="I112" t="s">
        <v>7</v>
      </c>
      <c r="J112" t="s">
        <v>39</v>
      </c>
      <c r="K112" t="s">
        <v>240</v>
      </c>
      <c r="L112" t="s">
        <v>40</v>
      </c>
      <c r="M112">
        <v>1</v>
      </c>
    </row>
    <row r="113" spans="1:13" x14ac:dyDescent="0.25">
      <c r="A113" s="2">
        <v>46237</v>
      </c>
      <c r="B113" s="1" t="str">
        <f ca="1">IF(Información1[[#This Row],[Fecha]]='Ajuste de fechas'!$A$2,"Día actual","Día anterior")</f>
        <v>Día anterior</v>
      </c>
      <c r="C113" t="s">
        <v>227</v>
      </c>
      <c r="D113" t="s">
        <v>228</v>
      </c>
      <c r="E113" t="s">
        <v>245</v>
      </c>
      <c r="F113" t="s">
        <v>15</v>
      </c>
      <c r="G113" t="s">
        <v>137</v>
      </c>
      <c r="H113" t="s">
        <v>57</v>
      </c>
      <c r="I113" t="s">
        <v>7</v>
      </c>
      <c r="J113" t="s">
        <v>39</v>
      </c>
      <c r="K113" t="s">
        <v>230</v>
      </c>
      <c r="L113" t="s">
        <v>42</v>
      </c>
      <c r="M113">
        <v>1</v>
      </c>
    </row>
    <row r="114" spans="1:13" x14ac:dyDescent="0.25">
      <c r="A114" s="2">
        <v>46237</v>
      </c>
      <c r="B114" s="1" t="str">
        <f ca="1">IF(Información1[[#This Row],[Fecha]]='Ajuste de fechas'!$A$2,"Día actual","Día anterior")</f>
        <v>Día anterior</v>
      </c>
      <c r="C114" t="s">
        <v>227</v>
      </c>
      <c r="D114" t="s">
        <v>228</v>
      </c>
      <c r="E114" t="s">
        <v>246</v>
      </c>
      <c r="F114" t="s">
        <v>21</v>
      </c>
      <c r="G114" t="s">
        <v>154</v>
      </c>
      <c r="H114" t="s">
        <v>57</v>
      </c>
      <c r="I114" t="s">
        <v>7</v>
      </c>
      <c r="J114" t="s">
        <v>39</v>
      </c>
      <c r="K114" t="s">
        <v>230</v>
      </c>
      <c r="L114" t="s">
        <v>40</v>
      </c>
      <c r="M114">
        <v>1</v>
      </c>
    </row>
    <row r="115" spans="1:13" x14ac:dyDescent="0.25">
      <c r="A115" s="2">
        <v>46237</v>
      </c>
      <c r="B115" s="1" t="str">
        <f ca="1">IF(Información1[[#This Row],[Fecha]]='Ajuste de fechas'!$A$2,"Día actual","Día anterior")</f>
        <v>Día anterior</v>
      </c>
      <c r="C115" t="s">
        <v>227</v>
      </c>
      <c r="D115" t="s">
        <v>228</v>
      </c>
      <c r="E115" t="s">
        <v>247</v>
      </c>
      <c r="F115" t="s">
        <v>54</v>
      </c>
      <c r="G115" t="s">
        <v>248</v>
      </c>
      <c r="H115" t="s">
        <v>57</v>
      </c>
      <c r="I115" t="s">
        <v>7</v>
      </c>
      <c r="J115" t="s">
        <v>24</v>
      </c>
      <c r="K115" t="s">
        <v>230</v>
      </c>
      <c r="L115" t="s">
        <v>40</v>
      </c>
      <c r="M115">
        <v>1</v>
      </c>
    </row>
    <row r="116" spans="1:13" x14ac:dyDescent="0.25">
      <c r="A116" s="2">
        <v>46237</v>
      </c>
      <c r="B116" s="1" t="str">
        <f ca="1">IF(Información1[[#This Row],[Fecha]]='Ajuste de fechas'!$A$2,"Día actual","Día anterior")</f>
        <v>Día anterior</v>
      </c>
      <c r="C116" t="s">
        <v>227</v>
      </c>
      <c r="D116" t="s">
        <v>228</v>
      </c>
      <c r="E116" t="s">
        <v>249</v>
      </c>
      <c r="F116" t="s">
        <v>26</v>
      </c>
      <c r="G116" t="s">
        <v>83</v>
      </c>
      <c r="H116" t="s">
        <v>57</v>
      </c>
      <c r="I116" t="s">
        <v>7</v>
      </c>
      <c r="J116" t="s">
        <v>39</v>
      </c>
      <c r="K116" t="s">
        <v>230</v>
      </c>
      <c r="L116" t="s">
        <v>42</v>
      </c>
      <c r="M116">
        <v>1</v>
      </c>
    </row>
    <row r="117" spans="1:13" x14ac:dyDescent="0.25">
      <c r="A117" s="2">
        <v>46237</v>
      </c>
      <c r="B117" s="1" t="str">
        <f ca="1">IF(Información1[[#This Row],[Fecha]]='Ajuste de fechas'!$A$2,"Día actual","Día anterior")</f>
        <v>Día anterior</v>
      </c>
      <c r="C117" t="s">
        <v>227</v>
      </c>
      <c r="D117" t="s">
        <v>228</v>
      </c>
      <c r="E117" t="s">
        <v>250</v>
      </c>
      <c r="F117" t="s">
        <v>82</v>
      </c>
      <c r="G117" t="s">
        <v>124</v>
      </c>
      <c r="H117" t="s">
        <v>57</v>
      </c>
      <c r="I117" t="s">
        <v>7</v>
      </c>
      <c r="J117" t="s">
        <v>39</v>
      </c>
      <c r="K117" t="s">
        <v>230</v>
      </c>
      <c r="L117" t="s">
        <v>40</v>
      </c>
      <c r="M117">
        <v>1</v>
      </c>
    </row>
    <row r="118" spans="1:13" x14ac:dyDescent="0.25">
      <c r="A118" s="2">
        <v>46238</v>
      </c>
      <c r="B118" s="1" t="str">
        <f ca="1">IF(Información1[[#This Row],[Fecha]]='Ajuste de fechas'!$A$2,"Día actual","Día anterior")</f>
        <v>Día actual</v>
      </c>
      <c r="C118" t="s">
        <v>58</v>
      </c>
      <c r="D118" t="s">
        <v>59</v>
      </c>
      <c r="E118" t="s">
        <v>251</v>
      </c>
      <c r="F118" t="s">
        <v>17</v>
      </c>
      <c r="G118" t="s">
        <v>252</v>
      </c>
      <c r="H118" t="s">
        <v>11</v>
      </c>
      <c r="I118" t="s">
        <v>7</v>
      </c>
      <c r="J118" t="s">
        <v>39</v>
      </c>
      <c r="K118" t="s">
        <v>60</v>
      </c>
      <c r="L118" t="s">
        <v>40</v>
      </c>
      <c r="M118">
        <v>1</v>
      </c>
    </row>
    <row r="119" spans="1:13" x14ac:dyDescent="0.25">
      <c r="A119" s="2">
        <v>46238</v>
      </c>
      <c r="B119" s="1" t="str">
        <f ca="1">IF(Información1[[#This Row],[Fecha]]='Ajuste de fechas'!$A$2,"Día actual","Día anterior")</f>
        <v>Día actual</v>
      </c>
      <c r="C119" t="s">
        <v>58</v>
      </c>
      <c r="D119" t="s">
        <v>59</v>
      </c>
      <c r="E119" t="s">
        <v>253</v>
      </c>
      <c r="F119" t="s">
        <v>48</v>
      </c>
      <c r="G119" t="s">
        <v>147</v>
      </c>
      <c r="H119" t="s">
        <v>11</v>
      </c>
      <c r="I119" t="s">
        <v>7</v>
      </c>
      <c r="J119" t="s">
        <v>39</v>
      </c>
      <c r="K119" t="s">
        <v>60</v>
      </c>
      <c r="L119" t="s">
        <v>40</v>
      </c>
      <c r="M119">
        <v>1</v>
      </c>
    </row>
    <row r="120" spans="1:13" x14ac:dyDescent="0.25">
      <c r="A120" s="2">
        <v>46238</v>
      </c>
      <c r="B120" s="1" t="str">
        <f ca="1">IF(Información1[[#This Row],[Fecha]]='Ajuste de fechas'!$A$2,"Día actual","Día anterior")</f>
        <v>Día actual</v>
      </c>
      <c r="C120" t="s">
        <v>58</v>
      </c>
      <c r="D120" t="s">
        <v>59</v>
      </c>
      <c r="E120" t="s">
        <v>254</v>
      </c>
      <c r="F120" t="s">
        <v>22</v>
      </c>
      <c r="G120" t="s">
        <v>255</v>
      </c>
      <c r="H120" t="s">
        <v>11</v>
      </c>
      <c r="I120" t="s">
        <v>7</v>
      </c>
      <c r="J120" t="s">
        <v>44</v>
      </c>
      <c r="K120" t="s">
        <v>60</v>
      </c>
      <c r="L120" t="s">
        <v>40</v>
      </c>
      <c r="M120">
        <v>1</v>
      </c>
    </row>
    <row r="121" spans="1:13" x14ac:dyDescent="0.25">
      <c r="A121" s="2">
        <v>46238</v>
      </c>
      <c r="B121" s="1" t="str">
        <f ca="1">IF(Información1[[#This Row],[Fecha]]='Ajuste de fechas'!$A$2,"Día actual","Día anterior")</f>
        <v>Día actual</v>
      </c>
      <c r="C121" t="s">
        <v>58</v>
      </c>
      <c r="D121" t="s">
        <v>59</v>
      </c>
      <c r="E121" t="s">
        <v>215</v>
      </c>
      <c r="F121" t="s">
        <v>26</v>
      </c>
      <c r="G121" t="s">
        <v>216</v>
      </c>
      <c r="H121" t="s">
        <v>11</v>
      </c>
      <c r="I121" t="s">
        <v>7</v>
      </c>
      <c r="J121" t="s">
        <v>39</v>
      </c>
      <c r="K121" t="s">
        <v>60</v>
      </c>
      <c r="L121" t="s">
        <v>42</v>
      </c>
      <c r="M121">
        <v>1</v>
      </c>
    </row>
    <row r="122" spans="1:13" x14ac:dyDescent="0.25">
      <c r="A122" s="2">
        <v>46238</v>
      </c>
      <c r="B122" s="1" t="str">
        <f ca="1">IF(Información1[[#This Row],[Fecha]]='Ajuste de fechas'!$A$2,"Día actual","Día anterior")</f>
        <v>Día actual</v>
      </c>
      <c r="C122" t="s">
        <v>58</v>
      </c>
      <c r="D122" t="s">
        <v>59</v>
      </c>
      <c r="E122" t="s">
        <v>209</v>
      </c>
      <c r="F122" t="s">
        <v>21</v>
      </c>
      <c r="G122" t="s">
        <v>210</v>
      </c>
      <c r="H122" t="s">
        <v>11</v>
      </c>
      <c r="I122" t="s">
        <v>7</v>
      </c>
      <c r="J122" t="s">
        <v>39</v>
      </c>
      <c r="K122" t="s">
        <v>60</v>
      </c>
      <c r="L122" t="s">
        <v>42</v>
      </c>
      <c r="M122">
        <v>1</v>
      </c>
    </row>
    <row r="123" spans="1:13" x14ac:dyDescent="0.25">
      <c r="A123" s="2">
        <v>46238</v>
      </c>
      <c r="B123" s="1" t="str">
        <f ca="1">IF(Información1[[#This Row],[Fecha]]='Ajuste de fechas'!$A$2,"Día actual","Día anterior")</f>
        <v>Día actual</v>
      </c>
      <c r="C123" t="s">
        <v>58</v>
      </c>
      <c r="D123" t="s">
        <v>59</v>
      </c>
      <c r="E123" t="s">
        <v>256</v>
      </c>
      <c r="F123" t="s">
        <v>54</v>
      </c>
      <c r="G123" t="s">
        <v>257</v>
      </c>
      <c r="H123" t="s">
        <v>11</v>
      </c>
      <c r="I123" t="s">
        <v>7</v>
      </c>
      <c r="J123" t="s">
        <v>24</v>
      </c>
      <c r="K123" t="s">
        <v>60</v>
      </c>
      <c r="L123" t="s">
        <v>40</v>
      </c>
      <c r="M123">
        <v>1</v>
      </c>
    </row>
    <row r="124" spans="1:13" x14ac:dyDescent="0.25">
      <c r="A124" s="2">
        <v>46238</v>
      </c>
      <c r="B124" s="1" t="str">
        <f ca="1">IF(Información1[[#This Row],[Fecha]]='Ajuste de fechas'!$A$2,"Día actual","Día anterior")</f>
        <v>Día actual</v>
      </c>
      <c r="C124" t="s">
        <v>58</v>
      </c>
      <c r="D124" t="s">
        <v>59</v>
      </c>
      <c r="E124" t="s">
        <v>258</v>
      </c>
      <c r="F124" t="s">
        <v>26</v>
      </c>
      <c r="G124" t="s">
        <v>120</v>
      </c>
      <c r="H124" t="s">
        <v>11</v>
      </c>
      <c r="I124" t="s">
        <v>7</v>
      </c>
      <c r="J124" t="s">
        <v>39</v>
      </c>
      <c r="K124" t="s">
        <v>60</v>
      </c>
      <c r="L124" t="s">
        <v>40</v>
      </c>
      <c r="M124">
        <v>1</v>
      </c>
    </row>
    <row r="125" spans="1:13" x14ac:dyDescent="0.25">
      <c r="A125" s="2">
        <v>46238</v>
      </c>
      <c r="B125" s="1" t="str">
        <f ca="1">IF(Información1[[#This Row],[Fecha]]='Ajuste de fechas'!$A$2,"Día actual","Día anterior")</f>
        <v>Día actual</v>
      </c>
      <c r="C125" t="s">
        <v>58</v>
      </c>
      <c r="D125" t="s">
        <v>59</v>
      </c>
      <c r="E125" t="s">
        <v>259</v>
      </c>
      <c r="F125" t="s">
        <v>82</v>
      </c>
      <c r="G125" t="s">
        <v>260</v>
      </c>
      <c r="H125" t="s">
        <v>11</v>
      </c>
      <c r="I125" t="s">
        <v>7</v>
      </c>
      <c r="J125" t="s">
        <v>39</v>
      </c>
      <c r="K125" t="s">
        <v>9</v>
      </c>
      <c r="L125" t="s">
        <v>261</v>
      </c>
      <c r="M125">
        <v>1</v>
      </c>
    </row>
    <row r="126" spans="1:13" x14ac:dyDescent="0.25">
      <c r="A126" s="2">
        <v>46238</v>
      </c>
      <c r="B126" s="1" t="str">
        <f ca="1">IF(Información1[[#This Row],[Fecha]]='Ajuste de fechas'!$A$2,"Día actual","Día anterior")</f>
        <v>Día actual</v>
      </c>
      <c r="C126" t="s">
        <v>58</v>
      </c>
      <c r="D126" t="s">
        <v>59</v>
      </c>
      <c r="E126" t="s">
        <v>262</v>
      </c>
      <c r="F126" t="s">
        <v>48</v>
      </c>
      <c r="G126" t="s">
        <v>263</v>
      </c>
      <c r="H126" t="s">
        <v>11</v>
      </c>
      <c r="I126" t="s">
        <v>25</v>
      </c>
      <c r="J126" t="s">
        <v>39</v>
      </c>
      <c r="K126" t="s">
        <v>9</v>
      </c>
      <c r="L126" t="s">
        <v>41</v>
      </c>
      <c r="M126">
        <v>1</v>
      </c>
    </row>
    <row r="127" spans="1:13" x14ac:dyDescent="0.25">
      <c r="A127" s="2">
        <v>46238</v>
      </c>
      <c r="B127" s="1" t="str">
        <f ca="1">IF(Información1[[#This Row],[Fecha]]='Ajuste de fechas'!$A$2,"Día actual","Día anterior")</f>
        <v>Día actual</v>
      </c>
      <c r="C127" t="s">
        <v>58</v>
      </c>
      <c r="D127" t="s">
        <v>59</v>
      </c>
      <c r="E127" t="s">
        <v>104</v>
      </c>
      <c r="F127" t="s">
        <v>86</v>
      </c>
      <c r="G127" t="s">
        <v>206</v>
      </c>
      <c r="H127" t="s">
        <v>11</v>
      </c>
      <c r="I127" t="s">
        <v>7</v>
      </c>
      <c r="J127" t="s">
        <v>39</v>
      </c>
      <c r="K127" t="s">
        <v>60</v>
      </c>
      <c r="L127" t="s">
        <v>42</v>
      </c>
      <c r="M127">
        <v>1</v>
      </c>
    </row>
    <row r="128" spans="1:13" x14ac:dyDescent="0.25">
      <c r="A128" s="2">
        <v>46238</v>
      </c>
      <c r="B128" s="1" t="str">
        <f ca="1">IF(Información1[[#This Row],[Fecha]]='Ajuste de fechas'!$A$2,"Día actual","Día anterior")</f>
        <v>Día actual</v>
      </c>
      <c r="C128" t="s">
        <v>58</v>
      </c>
      <c r="D128" t="s">
        <v>59</v>
      </c>
      <c r="E128" t="s">
        <v>264</v>
      </c>
      <c r="F128" t="s">
        <v>15</v>
      </c>
      <c r="G128" t="s">
        <v>265</v>
      </c>
      <c r="H128" t="s">
        <v>11</v>
      </c>
      <c r="I128" t="s">
        <v>7</v>
      </c>
      <c r="J128" t="s">
        <v>39</v>
      </c>
      <c r="K128" t="s">
        <v>60</v>
      </c>
      <c r="L128" t="s">
        <v>40</v>
      </c>
      <c r="M128">
        <v>1</v>
      </c>
    </row>
    <row r="129" spans="1:13" x14ac:dyDescent="0.25">
      <c r="A129" s="2">
        <v>46238</v>
      </c>
      <c r="B129" s="1" t="str">
        <f ca="1">IF(Información1[[#This Row],[Fecha]]='Ajuste de fechas'!$A$2,"Día actual","Día anterior")</f>
        <v>Día actual</v>
      </c>
      <c r="C129" t="s">
        <v>58</v>
      </c>
      <c r="D129" t="s">
        <v>59</v>
      </c>
      <c r="E129" t="s">
        <v>233</v>
      </c>
      <c r="F129" t="s">
        <v>134</v>
      </c>
      <c r="G129" t="s">
        <v>135</v>
      </c>
      <c r="H129" t="s">
        <v>11</v>
      </c>
      <c r="I129" t="s">
        <v>7</v>
      </c>
      <c r="J129" t="s">
        <v>39</v>
      </c>
      <c r="K129" t="s">
        <v>60</v>
      </c>
      <c r="L129" t="s">
        <v>42</v>
      </c>
      <c r="M129">
        <v>1</v>
      </c>
    </row>
    <row r="130" spans="1:13" x14ac:dyDescent="0.25">
      <c r="A130" s="2">
        <v>46238</v>
      </c>
      <c r="B130" s="1" t="str">
        <f ca="1">IF(Información1[[#This Row],[Fecha]]='Ajuste de fechas'!$A$2,"Día actual","Día anterior")</f>
        <v>Día actual</v>
      </c>
      <c r="C130" t="s">
        <v>58</v>
      </c>
      <c r="D130" t="s">
        <v>59</v>
      </c>
      <c r="E130" t="s">
        <v>61</v>
      </c>
      <c r="F130" t="s">
        <v>19</v>
      </c>
      <c r="G130" t="s">
        <v>56</v>
      </c>
      <c r="H130" t="s">
        <v>11</v>
      </c>
      <c r="I130" t="s">
        <v>7</v>
      </c>
      <c r="J130" t="s">
        <v>43</v>
      </c>
      <c r="K130" t="s">
        <v>60</v>
      </c>
      <c r="L130" t="s">
        <v>74</v>
      </c>
      <c r="M130">
        <v>1</v>
      </c>
    </row>
    <row r="131" spans="1:13" x14ac:dyDescent="0.25">
      <c r="A131" s="2">
        <v>46238</v>
      </c>
      <c r="B131" s="1" t="str">
        <f ca="1">IF(Información1[[#This Row],[Fecha]]='Ajuste de fechas'!$A$2,"Día actual","Día anterior")</f>
        <v>Día actual</v>
      </c>
      <c r="C131" t="s">
        <v>58</v>
      </c>
      <c r="D131" t="s">
        <v>59</v>
      </c>
      <c r="E131" t="s">
        <v>266</v>
      </c>
      <c r="F131" t="s">
        <v>15</v>
      </c>
      <c r="G131" t="s">
        <v>267</v>
      </c>
      <c r="H131" t="s">
        <v>11</v>
      </c>
      <c r="I131" t="s">
        <v>7</v>
      </c>
      <c r="J131" t="s">
        <v>39</v>
      </c>
      <c r="K131" t="s">
        <v>60</v>
      </c>
      <c r="L131" t="s">
        <v>40</v>
      </c>
      <c r="M131">
        <v>1</v>
      </c>
    </row>
    <row r="132" spans="1:13" x14ac:dyDescent="0.25">
      <c r="A132" s="2">
        <v>46238</v>
      </c>
      <c r="B132" s="1" t="str">
        <f ca="1">IF(Información1[[#This Row],[Fecha]]='Ajuste de fechas'!$A$2,"Día actual","Día anterior")</f>
        <v>Día actual</v>
      </c>
      <c r="C132" t="s">
        <v>58</v>
      </c>
      <c r="D132" t="s">
        <v>59</v>
      </c>
      <c r="E132" t="s">
        <v>268</v>
      </c>
      <c r="F132" t="s">
        <v>19</v>
      </c>
      <c r="G132" t="s">
        <v>201</v>
      </c>
      <c r="H132" t="s">
        <v>11</v>
      </c>
      <c r="I132" t="s">
        <v>7</v>
      </c>
      <c r="J132" t="s">
        <v>43</v>
      </c>
      <c r="K132" t="s">
        <v>60</v>
      </c>
      <c r="L132" t="s">
        <v>40</v>
      </c>
      <c r="M132">
        <v>1</v>
      </c>
    </row>
    <row r="133" spans="1:13" x14ac:dyDescent="0.25">
      <c r="A133" s="2">
        <v>46238</v>
      </c>
      <c r="B133" s="1" t="str">
        <f ca="1">IF(Información1[[#This Row],[Fecha]]='Ajuste de fechas'!$A$2,"Día actual","Día anterior")</f>
        <v>Día actual</v>
      </c>
      <c r="C133" t="s">
        <v>58</v>
      </c>
      <c r="D133" t="s">
        <v>59</v>
      </c>
      <c r="E133" t="s">
        <v>269</v>
      </c>
      <c r="F133" t="s">
        <v>22</v>
      </c>
      <c r="G133" t="s">
        <v>270</v>
      </c>
      <c r="H133" t="s">
        <v>11</v>
      </c>
      <c r="I133" t="s">
        <v>25</v>
      </c>
      <c r="J133" t="s">
        <v>44</v>
      </c>
      <c r="K133" t="s">
        <v>60</v>
      </c>
      <c r="L133" t="s">
        <v>41</v>
      </c>
      <c r="M133">
        <v>1</v>
      </c>
    </row>
    <row r="134" spans="1:13" x14ac:dyDescent="0.25">
      <c r="A134" s="2">
        <v>46238</v>
      </c>
      <c r="B134" s="1" t="str">
        <f ca="1">IF(Información1[[#This Row],[Fecha]]='Ajuste de fechas'!$A$2,"Día actual","Día anterior")</f>
        <v>Día actual</v>
      </c>
      <c r="C134" t="s">
        <v>58</v>
      </c>
      <c r="D134" t="s">
        <v>59</v>
      </c>
      <c r="E134" t="s">
        <v>271</v>
      </c>
      <c r="F134" t="s">
        <v>76</v>
      </c>
      <c r="G134" t="s">
        <v>81</v>
      </c>
      <c r="H134" t="s">
        <v>11</v>
      </c>
      <c r="I134" t="s">
        <v>7</v>
      </c>
      <c r="J134" t="s">
        <v>24</v>
      </c>
      <c r="K134" t="s">
        <v>60</v>
      </c>
      <c r="L134" t="s">
        <v>40</v>
      </c>
      <c r="M134">
        <v>1</v>
      </c>
    </row>
    <row r="135" spans="1:13" x14ac:dyDescent="0.25">
      <c r="A135" s="2">
        <v>46238</v>
      </c>
      <c r="B135" s="1" t="str">
        <f ca="1">IF(Información1[[#This Row],[Fecha]]='Ajuste de fechas'!$A$2,"Día actual","Día anterior")</f>
        <v>Día actual</v>
      </c>
      <c r="C135" t="s">
        <v>58</v>
      </c>
      <c r="D135" t="s">
        <v>59</v>
      </c>
      <c r="E135" t="s">
        <v>272</v>
      </c>
      <c r="F135" t="s">
        <v>19</v>
      </c>
      <c r="G135" t="s">
        <v>97</v>
      </c>
      <c r="H135" t="s">
        <v>11</v>
      </c>
      <c r="I135" t="s">
        <v>7</v>
      </c>
      <c r="J135" t="s">
        <v>43</v>
      </c>
      <c r="K135" t="s">
        <v>60</v>
      </c>
      <c r="L135" t="s">
        <v>40</v>
      </c>
      <c r="M135">
        <v>1</v>
      </c>
    </row>
    <row r="136" spans="1:13" x14ac:dyDescent="0.25">
      <c r="A136" s="2">
        <v>46238</v>
      </c>
      <c r="B136" s="1" t="str">
        <f ca="1">IF(Información1[[#This Row],[Fecha]]='Ajuste de fechas'!$A$2,"Día actual","Día anterior")</f>
        <v>Día actual</v>
      </c>
      <c r="C136" t="s">
        <v>29</v>
      </c>
      <c r="D136" t="s">
        <v>30</v>
      </c>
      <c r="E136" t="s">
        <v>273</v>
      </c>
      <c r="F136" t="s">
        <v>151</v>
      </c>
      <c r="G136" t="s">
        <v>274</v>
      </c>
      <c r="H136" t="s">
        <v>57</v>
      </c>
      <c r="I136" t="s">
        <v>12</v>
      </c>
      <c r="J136" t="s">
        <v>39</v>
      </c>
      <c r="K136" t="s">
        <v>27</v>
      </c>
      <c r="L136" t="s">
        <v>40</v>
      </c>
      <c r="M136">
        <v>1</v>
      </c>
    </row>
    <row r="137" spans="1:13" x14ac:dyDescent="0.25">
      <c r="A137" s="2">
        <v>46238</v>
      </c>
      <c r="B137" s="1" t="str">
        <f ca="1">IF(Información1[[#This Row],[Fecha]]='Ajuste de fechas'!$A$2,"Día actual","Día anterior")</f>
        <v>Día actual</v>
      </c>
      <c r="C137" t="s">
        <v>29</v>
      </c>
      <c r="D137" t="s">
        <v>30</v>
      </c>
      <c r="E137" t="s">
        <v>275</v>
      </c>
      <c r="F137" t="s">
        <v>88</v>
      </c>
      <c r="G137" t="s">
        <v>276</v>
      </c>
      <c r="H137" t="s">
        <v>57</v>
      </c>
      <c r="I137" t="s">
        <v>12</v>
      </c>
      <c r="J137" t="s">
        <v>39</v>
      </c>
      <c r="K137" t="s">
        <v>27</v>
      </c>
      <c r="L137" t="s">
        <v>41</v>
      </c>
      <c r="M137">
        <v>1</v>
      </c>
    </row>
    <row r="138" spans="1:13" x14ac:dyDescent="0.25">
      <c r="A138" s="2">
        <v>46238</v>
      </c>
      <c r="B138" s="1" t="str">
        <f ca="1">IF(Información1[[#This Row],[Fecha]]='Ajuste de fechas'!$A$2,"Día actual","Día anterior")</f>
        <v>Día actual</v>
      </c>
      <c r="C138" t="s">
        <v>29</v>
      </c>
      <c r="D138" t="s">
        <v>30</v>
      </c>
      <c r="E138" t="s">
        <v>277</v>
      </c>
      <c r="F138" t="s">
        <v>31</v>
      </c>
      <c r="G138" t="s">
        <v>276</v>
      </c>
      <c r="H138" t="s">
        <v>57</v>
      </c>
      <c r="I138" t="s">
        <v>7</v>
      </c>
      <c r="J138" t="s">
        <v>39</v>
      </c>
      <c r="K138" t="s">
        <v>27</v>
      </c>
      <c r="L138" t="s">
        <v>70</v>
      </c>
      <c r="M138">
        <v>1</v>
      </c>
    </row>
    <row r="139" spans="1:13" x14ac:dyDescent="0.25">
      <c r="A139" s="2">
        <v>46238</v>
      </c>
      <c r="B139" s="1" t="str">
        <f ca="1">IF(Información1[[#This Row],[Fecha]]='Ajuste de fechas'!$A$2,"Día actual","Día anterior")</f>
        <v>Día actual</v>
      </c>
      <c r="C139" t="s">
        <v>29</v>
      </c>
      <c r="D139" t="s">
        <v>30</v>
      </c>
      <c r="E139" t="s">
        <v>278</v>
      </c>
      <c r="F139" t="s">
        <v>15</v>
      </c>
      <c r="G139" t="s">
        <v>279</v>
      </c>
      <c r="H139" t="s">
        <v>57</v>
      </c>
      <c r="I139" t="s">
        <v>7</v>
      </c>
      <c r="J139" t="s">
        <v>39</v>
      </c>
      <c r="K139" t="s">
        <v>27</v>
      </c>
      <c r="L139" t="s">
        <v>40</v>
      </c>
      <c r="M139">
        <v>1</v>
      </c>
    </row>
    <row r="140" spans="1:13" x14ac:dyDescent="0.25">
      <c r="A140" s="2">
        <v>46238</v>
      </c>
      <c r="B140" s="1" t="str">
        <f ca="1">IF(Información1[[#This Row],[Fecha]]='Ajuste de fechas'!$A$2,"Día actual","Día anterior")</f>
        <v>Día actual</v>
      </c>
      <c r="C140" t="s">
        <v>29</v>
      </c>
      <c r="D140" t="s">
        <v>30</v>
      </c>
      <c r="E140" t="s">
        <v>215</v>
      </c>
      <c r="F140" t="s">
        <v>26</v>
      </c>
      <c r="G140" t="s">
        <v>216</v>
      </c>
      <c r="H140" t="s">
        <v>57</v>
      </c>
      <c r="I140" t="s">
        <v>7</v>
      </c>
      <c r="J140" t="s">
        <v>39</v>
      </c>
      <c r="K140" t="s">
        <v>27</v>
      </c>
      <c r="L140" t="s">
        <v>42</v>
      </c>
      <c r="M140">
        <v>1</v>
      </c>
    </row>
    <row r="141" spans="1:13" x14ac:dyDescent="0.25">
      <c r="A141" s="2">
        <v>46238</v>
      </c>
      <c r="B141" s="1" t="str">
        <f ca="1">IF(Información1[[#This Row],[Fecha]]='Ajuste de fechas'!$A$2,"Día actual","Día anterior")</f>
        <v>Día actual</v>
      </c>
      <c r="C141" t="s">
        <v>29</v>
      </c>
      <c r="D141" t="s">
        <v>30</v>
      </c>
      <c r="E141" t="s">
        <v>280</v>
      </c>
      <c r="F141" t="s">
        <v>19</v>
      </c>
      <c r="G141" t="s">
        <v>71</v>
      </c>
      <c r="H141" t="s">
        <v>57</v>
      </c>
      <c r="I141" t="s">
        <v>25</v>
      </c>
      <c r="J141" t="s">
        <v>43</v>
      </c>
      <c r="K141" t="s">
        <v>9</v>
      </c>
      <c r="L141" t="s">
        <v>41</v>
      </c>
      <c r="M141">
        <v>1</v>
      </c>
    </row>
    <row r="142" spans="1:13" x14ac:dyDescent="0.25">
      <c r="A142" s="2">
        <v>46238</v>
      </c>
      <c r="B142" s="1" t="str">
        <f ca="1">IF(Información1[[#This Row],[Fecha]]='Ajuste de fechas'!$A$2,"Día actual","Día anterior")</f>
        <v>Día actual</v>
      </c>
      <c r="C142" t="s">
        <v>29</v>
      </c>
      <c r="D142" t="s">
        <v>30</v>
      </c>
      <c r="E142" t="s">
        <v>281</v>
      </c>
      <c r="F142" t="s">
        <v>26</v>
      </c>
      <c r="G142" t="s">
        <v>95</v>
      </c>
      <c r="H142" t="s">
        <v>57</v>
      </c>
      <c r="I142" t="s">
        <v>7</v>
      </c>
      <c r="J142" t="s">
        <v>39</v>
      </c>
      <c r="K142" t="s">
        <v>27</v>
      </c>
      <c r="L142" t="s">
        <v>42</v>
      </c>
      <c r="M142">
        <v>1</v>
      </c>
    </row>
    <row r="143" spans="1:13" x14ac:dyDescent="0.25">
      <c r="A143" s="2">
        <v>46238</v>
      </c>
      <c r="B143" s="1" t="str">
        <f ca="1">IF(Información1[[#This Row],[Fecha]]='Ajuste de fechas'!$A$2,"Día actual","Día anterior")</f>
        <v>Día actual</v>
      </c>
      <c r="C143" t="s">
        <v>29</v>
      </c>
      <c r="D143" t="s">
        <v>30</v>
      </c>
      <c r="E143" t="s">
        <v>282</v>
      </c>
      <c r="F143" t="s">
        <v>26</v>
      </c>
      <c r="G143" t="s">
        <v>120</v>
      </c>
      <c r="H143" t="s">
        <v>57</v>
      </c>
      <c r="I143" t="s">
        <v>7</v>
      </c>
      <c r="J143" t="s">
        <v>39</v>
      </c>
      <c r="K143" t="s">
        <v>27</v>
      </c>
      <c r="L143" t="s">
        <v>42</v>
      </c>
      <c r="M14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46238</v>
      </c>
      <c r="B2" s="2">
        <f ca="1">A2-1</f>
        <v>46237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2026-08-04T23:42:52Z</dcterms:modified>
</cp:coreProperties>
</file>