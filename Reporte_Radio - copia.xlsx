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D4F53B8B-C2C8-4AB9-8618-87A161C24A0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73" i="2"/>
  <c r="B111" i="2"/>
  <c r="B115" i="2"/>
  <c r="B118" i="2"/>
  <c r="B121" i="2"/>
  <c r="B124" i="2"/>
  <c r="B127" i="2"/>
  <c r="B130" i="2"/>
  <c r="B133" i="2"/>
  <c r="B136" i="2"/>
  <c r="B139" i="2"/>
  <c r="B142" i="2"/>
  <c r="B145"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109" i="2"/>
  <c r="B112" i="2"/>
  <c r="B114" i="2"/>
  <c r="B117" i="2"/>
  <c r="B120" i="2"/>
  <c r="B122" i="2"/>
  <c r="B125" i="2"/>
  <c r="B128" i="2"/>
  <c r="B131" i="2"/>
  <c r="B135" i="2"/>
  <c r="B137" i="2"/>
  <c r="B140" i="2"/>
  <c r="B14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10" i="2"/>
  <c r="B113" i="2"/>
  <c r="B116" i="2"/>
  <c r="B119" i="2"/>
  <c r="B123" i="2"/>
  <c r="B126" i="2"/>
  <c r="B129" i="2"/>
  <c r="B132" i="2"/>
  <c r="B134" i="2"/>
  <c r="B138" i="2"/>
  <c r="B141" i="2"/>
  <c r="B14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<sst xmlns="http://schemas.openxmlformats.org/spreadsheetml/2006/main" count="1450" uniqueCount="286">
  <si>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</si>
  <si>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</si>
  <si>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</si>
  <si>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</si>
  <si>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</si>
  <si>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</si>
  <si>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</si>
  <si>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</si>
  <si>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</si>
  <si>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</si>
  <si>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</si>
  <si>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</si>
  <si>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</si>
  <si>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</si>
  <si>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</si>
  <si>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</si>
  <si>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</si>
  <si>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</si>
  <si>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</si>
  <si>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</si>
  <si>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</si>
  <si>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</si>
  <si>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</si>
  <si>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</si>
  <si>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</si>
  <si>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</si>
  <si>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</si>
  <si>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</si>
  <si>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</si>
  <si>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</si>
  <si>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</si>
  <si>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</si>
  <si>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</si>
  <si>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</si>
  <si>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</si>
  <si>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</si>
  <si>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</si>
  <si>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</si>
  <si>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</si>
  <si>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</si>
  <si>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</si>
  <si>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</si>
  <si>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</si>
  <si>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</si>
  <si>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</si>
  <si>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</si>
  <si>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</si>
  <si>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</si>
  <si>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</si>
  <si>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</si>
  <si>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</si>
  <si>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</si>
  <si>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</si>
  <si>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</si>
  <si>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</si>
  <si>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</si>
  <si>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</si>
  <si>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</si>
  <si>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</si>
  <si>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</si>
  <si>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</si>
  <si>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Relleno Sanitario</t>
  </si>
  <si>
    <t>Abasto De Agua</t>
  </si>
  <si>
    <t>Enfoque Regional Matutino</t>
  </si>
  <si>
    <t>Rodolfo López</t>
  </si>
  <si>
    <t>DIFH</t>
  </si>
  <si>
    <t>Radio Lobo 96.7 FM</t>
  </si>
  <si>
    <t>Enlace Noticias</t>
  </si>
  <si>
    <t>Gina Lorenzo</t>
  </si>
  <si>
    <t>Mesas de acercamiento</t>
  </si>
  <si>
    <t>Queja transporte público</t>
  </si>
  <si>
    <t>TV Cable hidalguense Canal 6</t>
  </si>
  <si>
    <t>Contigo Noticias</t>
  </si>
  <si>
    <t>Juan Carlos Santamaria</t>
  </si>
  <si>
    <t>Contraloría</t>
  </si>
  <si>
    <t>Atención A Manifestantes</t>
  </si>
  <si>
    <t>Radiodifusoras</t>
  </si>
  <si>
    <t>SSH</t>
  </si>
  <si>
    <t>NQ 90.1 FM</t>
  </si>
  <si>
    <t>Enlace Hidalgo2</t>
  </si>
  <si>
    <t>Jesús Riveros</t>
  </si>
  <si>
    <t>Cuenta pública</t>
  </si>
  <si>
    <t>Ke Buena 106.7 FM</t>
  </si>
  <si>
    <t>Noticias 106.7</t>
  </si>
  <si>
    <t>David Cárdenas</t>
  </si>
  <si>
    <t>Enlace Hidalgo1</t>
  </si>
  <si>
    <t>Combate Al Narcomenudeo</t>
  </si>
  <si>
    <t>Observaciones ASEH</t>
  </si>
  <si>
    <t>Vialidad En Mal Estado</t>
  </si>
  <si>
    <t>Partidos</t>
  </si>
  <si>
    <t>Toma de alcaldía</t>
  </si>
  <si>
    <t>Atención Afectaciones Por Lluvias</t>
  </si>
  <si>
    <t>Biodigestor</t>
  </si>
  <si>
    <t>Pelea transportistas</t>
  </si>
  <si>
    <t>Bienestar</t>
  </si>
  <si>
    <t>Programas Del Pueblo</t>
  </si>
  <si>
    <t>OCSAD</t>
  </si>
  <si>
    <t>Feria Patronal</t>
  </si>
  <si>
    <t>Trabajo legislativo</t>
  </si>
  <si>
    <t>Rehabilitación carretera</t>
  </si>
  <si>
    <t>Hackeo</t>
  </si>
  <si>
    <t>Participan estudiantes de UTVM en proyecto turístico para Tasquillo</t>
  </si>
  <si>
    <t>Participación social</t>
  </si>
  <si>
    <t>La Comisión Estatal para el Desarrollo Sostenible de los Pueblos Indígenas (CEDSPI) entregó 16 sanitarios equipados con biodigestor y tinaco multicapa, gestionados por el Gobierno de Tulancingo, en beneficio de 80 habitantes de las comunidades indígenas de San Nicolás Cebolletas, Laguna del Cerrito y San Vidal. La entrega fue encabezada por el titular de la CEDSPI, Prisco Manuel Gutiérrez, quien reconoció al Gobierno de Tulancingo por su permanente labor de gestión. Asimismo, informó que la inversión destinada por el Gobierno del Estado asciende a 1 millón 448 mil 228 pesos con un centavo, recursos que permitieron la instalación de seis módulos sanitarios en San Nicolás Cebolletas, cinco en Laguna del Cerrito y cinco más en San Vidal. Estas acciones reflejan el compromiso compartido de los gobiernos estatal y municipal por impulsar el desarrollo sostenible de los pueblos y comunidades indígenas, mediante obras que atienden necesidades prioritarias y generan mejores condiciones para una vida más digna, saludable y con mayores oportunidades. Los sanitarios cuentan con un sistema de biodigestor que permite el tratamiento de los desechos sin necesidad de conexión a la red de drenaje, contribuyendo al saneamiento básico, la protección de la salud pública y la conservación del agua, el suelo y los mantos freáticos. Con ello, además de prevenir focos de infección, se incorporan soluciones sustentables para localidades rurales y de difícil acceso. Los principales beneficiarios son familias que habitan en condiciones de vulnerabilidad, quienes ahora disponen de infraestructura sanitaria moderna, segura y respetuosa del medio ambiente, fortaleciendo su bienestar y mejorando sus condiciones de vida.</t>
  </si>
  <si>
    <t>Un hombre de 47 años y un adolescente de 15 resultaron lesionados luego de que la camioneta en la que viajaban cayó al Río San Lorenzo, en las inmediaciones del acceso a la Ciudad Universitaria, conocida como el Instituto de Ciencias Agropecuarias (ICAP), en el municipio de Tulancingo. Se dice que estas dos persona iban alcoholizadas y fueron trasladadas para recibir atención médica.</t>
  </si>
  <si>
    <t>Un hombre fue detenido en el fraccionamiento Héroes de Tizayuca tras el aseguramiento de más de 40 dosis y cápsulas con características de droga estimulante. De acuerdo con información oficial, el hecho ocurrió en el fraccionamiento Héroes de Tizayuca, donde elementos de la Secretaría de Seguridad Ciudadana atendieron un reporte canalizado por el C2. La intervención se realizó en coordinación con la Subsecretaría de Operación Policial y la Jefatura Regional Pachuca, como parte de las acciones de monitoreo, inteligencia y análisis operativo en la zona. Al llegar al sitio, los elementos ubicaron a un masculino señalado en el reporte, quien presuntamente mostró resistencia durante la intervención. Durante la inspección preventiva, realizada conforme a los protocolos establecidos, los agentes aseguraron diversos indicios. Tras el hallazgo, el individuo fue detenido en el lugar y trasladado junto con los indicios ante el Ministerio Público.</t>
  </si>
  <si>
    <t>Detención</t>
  </si>
  <si>
    <t>De manera simultánea, la Fiscalía General de la República (FGR) ejecutó una orden de cateo en dos inmuebles ubicados en la colonia 21 de Julio, en la localidad de Ciudad Sahagún, municipio de Tepeapulco, en donde se aseguró hidrocarburo, contenedores, 22 cartuchos y un arma de fuego tipo escopeta. En atención a una denuncia anónima, realizada a la Policía Federal Ministerial (PFM) de la Agencia de Investigación Criminal (AIC), en la que sus elementos alertaron a la Fiscalía Federal en hidalgo, sobre un predio en el que, presuntamente, se almacenaba hidrocarburo de forma ilícita, por lo que el Fiscal Federal inició las investigaciones correspondientes para investigar los hechos denunciados. Mediante actos de inteligencia hechos por parte de la PFM, se corroboró la veracidad de los datos puestos en la denuncia, por lo que, el MPF solicitó autorización judicial para ejecutar la diligencia de cateo, la cual fue autorizada por el juez de Control, y ejecutada en coordinación con peritos especializados de la institución y agentes de la PFM.</t>
  </si>
  <si>
    <t>Combate Al Huachicol</t>
  </si>
  <si>
    <t>Derivado de una denuncia anónima recibida por la Policía Federal Ministerial (PFM), en la que se informó sobre robos de vehículos, transporte de drogas, armas e hidrocarburo ilícito, la Fiscalía General de la República (FGR) instaló un punto de revisión sobre la autopista Arco Norte. Durante las diligencias realizadas en dicho punto, elementos de la PFM detuvieron a una persona que viajaba a bordo de una camioneta de pasajeros. En el interior del vehículo localizaron un compartimiento oculto donde encontraron 50 envoltorios, de aproximadamente un kilogramo cada uno, con una sustancia granulosa con características de clorhidrato de metanfetamina</t>
  </si>
  <si>
    <t>La Secretaría de Seguridad Ciudadana de Tizayuca informó sobre la detención de un hombre señalado como el presunto responsable del robo a una tienda de conveniencia en el fraccionamiento Haciendas de Tizayuca. Durante la intervención, el sujeto agredió y lesionó con un arma punzocortante a dos de los oficiales que participaron en el operativo. ​De acuerdo con el reporte oficial de la dependencia, la movilización policial se originó tras una alerta emitida por el Centro de Control y Comando (C2). Tras el reporte, se desplegó un operativo de búsqueda y localización en la zona, logrando ubicar a un individuo que coincidía plenamente con las características del sospechoso. ​ Al momento de ser interceptado, el sujeto opuso resistencia y agredió a los uniformados con un cuchillo. Pese a la agresión, los policías lograron contener la situación con el apoyo de otras unidades que llegaron al punto. El presunto responsable fue detenido y el arma blanca quedó asegurada como parte de la intervención.</t>
  </si>
  <si>
    <t>Durante la noche de este sábado se registró un accidente en el que se vio involucrada una camioneta particular y una pipa de transporte de gas lp. Los hechos sucedieron en los límites del municipio de Tizayuca, con Tecámac, Estado de México, sobre la carretera federal Mexico-Pachuca, donde la unidad que transportaba gas con número económico T-01 impactó el costado izquierdo de la camioneta Chevrolet Trax color negro placas de circulación MNW-578-A. Por los hechos dos personas resultaron con lesiones y tuvieron que ser atendidas por paramédicos, sin requerir traslado a algún hospital. Elementos de la guardia nacional y policía municipal atendieron el hecho y coordinaron las labores para retirar las unidades, que fueron puestas ante el Ministerio Público, en tanto se deslindan responsabilidades.</t>
  </si>
  <si>
    <t>Accidente De Pipa</t>
  </si>
  <si>
    <t>El cuerpo de una persona con signos de haber sido calcinado, fue localizado al interior de un domicilio ubicado sobre la calle Allende, en la colonia Centro de Tlanalapa. Elementos policiacos acudieron al sitio luego de recibir reporte al respecto, confirmando el hallazgo, pero sin que hasta el momento se hayan brindado datos de identificación. Posteriormente se conoció de la detención de dos hombres y una mujer, quienes fueron puestos a disposición de las autoridades correspondientes, para establecer o descartar su posible participación en los hechos relatados. El domicilio fue acordonado y resguardado por los elementos policiacos, en tanto que personal de la Procuraduría General de Justicia del Estado de Hidalgo inició el levantamiento de pruebas y testimonios, para desarrollar las investigaciones sobre el caso. A partir del desarrollo de dichas investigaciones eventualmente se darían a conocer los resultados respectivos.</t>
  </si>
  <si>
    <t>Localización de cuerpo</t>
  </si>
  <si>
    <t>Un hombre fue localizado sin vida, con lesiones provocadas por arma de fuego, dentro de la localidad de El Cardonal, dentro del municipio de Atitalaquia, la madrugada del viernes 3 de julio. Previamente, fueron reportadas detonaciones por arma de fuego, por lo cual elementos de seguridad pública acudieron al sitio, localizando el cuerpo de la persona. Tras revisión por parte de paramédicos, se confirmó que el cuerpo localizado, correspondiente a un hombre aún sin identificar, ya no presentaba signos vitales, siendo ubicadas lesiones por arma de fuego en su cuerpo. La zona fue resguardada mientras se solicitaba la intervención de personal de la Procuraduría General de Justicia del Estado de Hidalgo, que quedó a cargo de las investigaciones sobre el caso, así como del levantamiento del cuerpo. De acuerdo con los primeros reportes disponibles, personas desconocidas habrían disparado contra el hombre y huyeron después del ataque. Hasta el momento no se conoce de personas detenidas, relacionadas con el fallecimiento del hombre.</t>
  </si>
  <si>
    <t>Ataque Armado</t>
  </si>
  <si>
    <t>El director general de la Unidad Especializada en el Combate al Secuestro (UECS), Manuel García Guzmán, fue suspendido durante 30 días sin goce de sueldo por participar en una convivencia con bebidas alcohólicas dentro de instalaciones de la Procuraduría General de Justicia del Estado de Hidalgo (PGJEH). La sanción también alcanzó a otros seis servidores públicos que aparecieron o participaron en la reunión realizada dentro de una oficina de la unidad especializada. En total, siete funcionarios recibieron la misma medida administrativa tras concluir la investigación interna. La confirmación de la suspensión fue dada a conocer por el contralor de Hidalgo, Álvaro Bardales Ramírez, en entrevista con Acrópolis Noticias. De acuerdo con la información difundida por ese medio, el Órgano Interno de Control determinó que la conducta representó una falta administrativa grave, al utilizar espacios oficiales para una celebración en la que hubo consumo de alcohol. El caso se hizo público el pasado 29 de mayo, cuando comenzaron a circular videos en redes sociales donde se observaba a personal de la Unidad Especializada en el Combate al Secuestro reunido dentro de una oficina. En las imágenes se apreciaban bebidas alcohólicas, mientras algunos asistentes animaban a uno de los presentes a consumir alcohol. Entre las personas captadas se encontraba García Guzmán, quien aparecía sosteniendo una botella de licor. La difusión de las grabaciones e imágenes generó críticas debido a que se trataba de una unidad encargada de investigar y perseguir uno de los delitos de mayor impacto para las víctimas y sus familias. La suspensión, según lo informado por el contralor estatal a Acrópolis Noticias, ya se encuentra en cumplimiento. La resolución habría sido emitida aproximadamente dos semanas antes de que se confirmara públicamente la sanción.</t>
  </si>
  <si>
    <t>Sanción a funcionario</t>
  </si>
  <si>
    <t>Sin intermediarios, Julio Menchaca arranca entrega de los Programas del Pueblo</t>
  </si>
  <si>
    <t>A más de 3 meses del colapso del relleno sanitario regional de Tula, Atitalaquia no tiene un sitio de disposición final propio. El ayuntamiento tuvo que rentar un patio de transferencia para trasladar diariamente sus desechos al Estado de México, lo que ha generado gastos extraordinarios. Mientras tanto, El municipio trabaja en campañas de concientización y separación de residuos para disminuir la cantidad de basura que se genera. actualente no exuste un proyecto para la construcción de un relleno sanitario.</t>
  </si>
  <si>
    <t>Un grupo de pobladores de Tepeji del Río bloquearon de manera parcial la autopista México- Querétaro, es te viernes 6 de julio en protesta por servicios públicos, transparencia en el uso de recursos públicos, así como falta de transparencia en el uso de recursos. El gobierno municipal de Tepeji del Río emitió un comunicado, donde señala que la alcaldesa, Tania Valdez Cuellar está en disposición de dialogar con los manifestantes siempre y cuando se garanticen las condiciones de seguridad. también los manifestantes se trasladaron a la entrada de Tepotzotlán, donde continuaron con sus protestas. La alcaldesa asevera que ha dado la cara desde el inicio, y por su parte, el Secretario de Gobierno, Guillermo Olivares dio a conocer el fin de semana que se llegó a a cuerdos con lo que las protestas finalizaron. Uno de los representantes vecinales indicó que de nos ver cumplidas sus peticiones acudirán nuevamente a la alcaldía a exigir ser escuchados.</t>
  </si>
  <si>
    <t>En el transcurso del mes de julio iniciará la segunda etapa de la modernización y ampliación a cuatro carriles de la autopista México-Tuxpan en el tramo Tulancingo-Nueva Necaxa. La obra, respaldada por autoridades municipales y estatales, contempla una inversión de 9 mil 609 millones de pesos e incluye acciones directas de modernización en la zona de Tulancingo. A finales del año pasado, la alcaldesa de Tulancingo, Lorena García Cázares, confirmó la ampliación de carriles con la construcción de un segundo cuerpo, a partir del crucero Pitula y hasta San Alejo. La ejecución de obra inició a principios del presente año, tras la gestión y seguimiento por parte del gobierno municipal de Tulancingo, que también otorga acompañamiento técnico y operativo para su desarrollo. La alcaldesa García Cázares señaló en su momento que la modernización y ampliación de la autopista es un proyecto de adecuación vial muy ambicioso, que llegará hasta el Estado de Puebla, siendo Tulancingo la zona donde se realiza la primera etapa de obra. Durante varios años se había solicitado la ampliación de la vialidad con objetivo de disminuir la incidencia de accidentes en la zona citada, algunos de ellos de consecuencias fatales. Dichos accidentes en su mayoría han ocurrido precisamente por el ensanchamiento de la vialidad, lo que confunde sobre todo a los automovilistas que no la usan con frecuencia. A inicios del pasado mes de junio de este año, el director general de Banco Nacional de Obras y Servicios Públicos, Jorge Alberto Mendoza Sánchez, anunció el inicio de la segunda etapa de la obra en la autopista México-Tuxpan. Durante una de las conferencias de prensa del Gobierno de México, el funcionario señaló que el objetivo general de la obra es consolidar un corredor de alta capacidad que permita una conexión más eficiente entre la Ciudad de México y el puerto de Tuxpan, Veracruz. Ello para facilitar el transporte de mercancías y reduciendo los tiempos de traslado para miles de automovilistas, así como disminuir la incidencia de accidentes, luego de que durante 2024 se registraran más de 490 percances en distintos tramos de dicha vialidad. Además de las acciones en Hidalgo, el plan contempla la ampliación del tramo Tihuatlán-Tuxpan, donde se construirán nuevos carriles, puentes, entronques y estructuras complementarias para mejorar la movilidad y la seguridad vial. En la primera etapa de la obra, se abarcan 22.2 kilómetros dentro de la región Tulancingo. La alcaldesa García Cázares ha señalado previamente que con la obra de ampliación y modernización, además de abatir accidentes viales, se abren posibilidades de desarrollo, incluso para la región, al tener una vialidad adecuada.</t>
  </si>
  <si>
    <t>Ampliación carretera</t>
  </si>
  <si>
    <t>“Vamos a ser partido político nacional y vamos a estar en la boleta de 2027” señaló Víctor Osmind Guerrero Trejo, coordinador estatal de Que Siga la Democracia en Hidalgo, quien dio a conocer las acciones que emprenderá la agrupación política ante la negativa del registro como partido político nacional. Tras el no reconocimiento como partido político por parte del Instituto Nacional Electoral (INE), el coordinador estatal y los delegados políticos en el estado, anunciaron este viernes en conferencia de prensa que el próximo lunes acudirán ante la Sala Superior del Tribunal Electoral del Poder Judicial de la Federación (TEPJF) para impugnar la negativa de registro. “Tenemos la certeza de que vamos a ser partido político nacional y vamos a estar en la boleta electoral de 2027. Por ello todos los liderazgos estatales de diversas entidades del país hemos cerrado filas en torno a esta acción legal con la confianza de que nuestros derechos serán restituidos", expresó. El también exdiputado local, pidió a los ciudadanos que confiaron en la propuesta de partido durante las asambleas, a que tengan confianza de que el Tribunal les dará la razón, y que la organización política seguirá trabajando para que ese proyecto se consolide.</t>
  </si>
  <si>
    <t>Registro partidos</t>
  </si>
  <si>
    <t>Por medio de un comunicado oficial, el Gobierno Municipal de Tulancingo informó que el procedimiento de aclaración a observaciones a su Cuenta Pública 2025 no ha iniciado formalmente, aun cuando el informe haya sido publicado en el sitio electrónico de la Auditoría Superior del Estado de Hidalgo (ASEH). A inicios de esta semana, la instancia estatal entregó dicho informe, donde el Municipio de Tulancingo registra observaciones en recursos públicos ejercidos por 5 millones 743 mil 297.26 pesos. Al fijar postura al respecto, el gobierno municipal señala que “el procedimiento de fiscalización aún se encuentra en curso”. El municipio contará con 30 días hábiles para presentar la información y documentación correspondiente, una vez que sea notificado oficialmente. De acuerdo a lo señalado, el gobierno local aún no ha recibido la notificación respectiva. “Es importante precisar que el plazo legal de 30 días hábiles para atender dichas observaciones comenzará a correr a partir de la notificación oficial del informe correspondiente, la cual aún no ha sido realizada”, se enfatiza en el comunicado. “La administración municipal revisará de manera exhaustiva cada una de las observaciones y presentará la información, documentación y elementos técnicos que resulten procedentes para acreditar el correcto ejercicio de los recursos públicos, siempre con transparencia, responsabilidad y estricto apego a la normatividad vigente”. Se agrega en el posicionamiento oficial que “las observaciones contenidas en el informe de resultados no constituyen, por sí mismas, una resolución definitiva ni acreditan la existencia de un daño o perjuicio a la hacienda pública o al patrimonio municipal”. Tampoco significan que exista un faltante de recursos públicos, ya que forman parte de un procedimiento legal que contempla etapas de aclaración, valoración documental y, en su caso, solventación”. Al entregar el documento al Congreso del Estado de Hidalgo con las observaciones realizadas a diversos entes públicos, el titular de la ASEH, Jorge Valverde Islas, afirmó que la rendición de cuentas “no constituye una alternativa, sino un deber ineludible” de todo servidor público. El municipio con la mayor cantidad de observaciones es Tula de Allende, con 17 millones 671 mil 86.16 pesos; le siguen Tulancingo de Bravo, con 5 millones 743 mil 297.26 pesos; Pachuca de Soto, con 5 millones 43 mil 614.20 pesos; Zapotlán de Juárez, con un millón 586 mil 999.88 pesos, y Mineral del Monte, con 851 mil 473.08 pesos. En conjunto, los cinco ayuntamientos concentran 30 millones 895 mil 470.58 pesos de los 32 millones 39 mil 832.49 pesos observados a los municipios. En total, la ASEH determinó observaciones por 46 millones 367 mil 64.76 pesos susceptibles de solventarse como resultado de la primera etapa de fiscalización de la Cuenta Pública 2025.</t>
  </si>
  <si>
    <t>Vía telefónica Nicolás Aguirre Trejo, habitante de Santiago Tultepec indicó que ya están cansados de la alcaldesa, pues la entrada de Santiago está en pésimo estado y ayer la barranca de El salado se desbordó y el agua se medió a su casa y la presidenta ni Protección Civil fueron a ver qué había sucedido. Asevera que la entrada a Santiago Tultepec está completamente destrozada y recuerda que la alcaldesa se comprometió con los vecinos, para que se aportara el recursos para la ampliación del puente y el municipio terminaría la pavimentación del tramo de aproximadamente 80 metros de este puente y hasta el momento no ha hecho nada. Pide a la alcaldesa, voltear a verlos y que ante situaciones como la de ayer que Protección Civil haga recorridos para apoyar a la gente. Asimismo, pide que se haga limpieza n la Barranca de El Salado, porque tiene años que no la limpian. (señala haber enviado al conductor del programa un video sobre lo que comentó)</t>
  </si>
  <si>
    <t>Un vehículo particular impactó contra una unidad del Sistema de Transporte Metropolitano (Tuzobús), resultando tres personas con lesiones. El accidente se registró la mañana del sábado 4 de julio a la altura de la Zona Plateada, dentro de la ciudad de Pachuca, en el carril sur del sistema de transporte masivo de pasajeros. El Sistema Integrado de Transporte Masivo de Hidalgo (Sitmah) informó que el percance ocurrió cuando el automóvil particular no respetó la luz roja del semáforo, impactando contra la unidad correspondiente al servicio T01 del Transporte Metropolitano. Como consecuencia del frenado de emergencia, tres pasajeros resultaron con lesiones menores y recibieron atención médica conforme a los protocolos establecidos. Personal operativo del Sitmah acudió al lugar para brindar apoyo y garantizar la seguridad de los usuarios. Las lesiones en los pasajeros afectados derivaron de la puesta en marcha del sistema de frenado de emergencia por parte del operador de la unidad de transporte de pasajeros. En el comunicado emitido por las autoridades no se establece si el conductor de la unidad motora que no respetó la luz del semáforo fue sancionado.</t>
  </si>
  <si>
    <t>Accidente Tuzobús</t>
  </si>
  <si>
    <t>El operador de una unidad para transporte colectivo de pasajeros atropelló a un adulto mayor que en ese momento intentaba cruzar la Avenida Juárez, en el centro de Tizayuca. De acuerdo a testigos de los hechos ocurridos la mañana del sábado 4 de julio, el operador de la unidad para transporte de pasajeros ignoró la luz roja del semáforo, pues se encontraba atendiendo su teléfono celular Como resultado, el adulto mayor resultó atropellado; personal de atención a emergencias acudió para atender al lesionado, quien tras ser valorado en su estado físico y de salud, fue trasladado al Hospital General de Pachuca. Se informó que la unidad para transporte colectivo de pasajeros no contaba con placas de circulación, por lo que operaba de forma irregular, lo cual fue informado a personal de la Secretaria de Movilidad y Transporte de Hidalgo. El operador de la unidad fue puesto a disposición del Ministerio Público para el seguimiento de la investigación al caso, al tiempo que la unidad también fue retenida, con el mismo objetivo. Hasta el momento no se conoce sobre la evolución en el estado de salud de la persona adulta mayor atropellada. .</t>
  </si>
  <si>
    <t>Accidente transporte público</t>
  </si>
  <si>
    <t>La Secretaría de Movilidad y Transporte de Hidalgo (Semot) informó que fueron sancionados los dos operadores de taxi involucrados en un altercado registrado el pasado 2 de julio sobre el bulevar Nuevo Hidalgo, esquina con Circuito Tulipán Norte, en el municipio de Pachuca. De acuerdo con la dependencia, elementos de la Policía Estatal atendieron inicialmente el incidente como primeros respondientes y, posteriormente, personal de la Dirección de Vigilancia y Supervisión del Sistema de Transporte Convencional de Hidalgo (STCH) acudió al sitio para realizar las diligencias correspondientes. Una vez confirmada la participación de ambos operadores en la riña, los inspectores levantaron las boletas de infracción por incurrir en actos violentos, conforme a la normativa vigente. Asimismo, las unidades con placas A-555-FUX y A-304-FVA, adscritas a los sitios 01 PCH S y 11 ZEM S, respectivamente, fueron aseguradas y trasladadas al depósito vehicular, donde permanecerán mientras se desarrollan los procedimientos administrativos correspondientes. La Semot reiteró que mantendrá la vigilancia para garantizar que el servicio de transporte público se preste en condiciones de legalidad, seguridad y respeto hacia la ciudadanía.</t>
  </si>
  <si>
    <t>De continuar el mal servicio y abusos por parte de operadores de servicio de transporte público de pasajeros, podrían realizarse modificaciones legales que permitan el ingreso de plataformas digitales para prestar dicho servicio. La declaración fue ofrecida por el Gobernador de Hidalgo, Julio Menchaca Salazar, al ser cuestionado en entrevista sobre las quejas de los usuarios en dichos servicios. “Hoy la Ley no permite otras formas de transporte como existen otras entidades, pero eso no quiere decir que no pueda cambiar en un presente cercano si no se ponen las pilas”, expresó. Recordó que recientemente los transportistas obtuvieron un incremento en la tarifa luego de años sin ajustes, lo que debería traducirse en la mejora general del servicio. También recordó que fueron los propios concesionarios quienes asumieron el compromiso de mejorar la atención a los pasajeros. Señaló que el acuerdo fue establecido con la participación de la Secretaría de Gobierno y la Secretaría de Movilidad y Transporte. “Si se rompe el hilo de estar prestando un buen servicio y hay abusos, podrá haber posibilidades de modificar la ley”, enfatizó el Gobernador de Hidalgo. Entre las quejas más recurrentes que se presentan en el servicio de transporte público de pasajeros, se encuentran exceso de velocidad, sobrecupo y presiones laborales hacia los operadores. Señaló que constantemente se realizan revisiones a las unidades de transporte público, tanto para verificar que estén en buenas condiciones mecánicas, así como que cuenten con la documentación completa. Sin embargo, reconoció que la Secretaría de Movilidad y Transporte estatal no cuenta con el personal suficiente para realizar dichas revisiones.</t>
  </si>
  <si>
    <t>Apps de transporte</t>
  </si>
  <si>
    <t>En Cabina Alberto González y Andrés Torres hablan de las encuestas de los aspirantes a las alcaldías en Hidalgo, mismas que han perdido credibilidad, pues es cierto que las gana quien la paga; por lo que se debería hacer una reforma de ley para que estas encuestas se consideren como actos anticipados de campaña, lo que ven difícil pues muchos de los que legislan son aspirantes. Mencionan que en las encuestas lidera el actual alcalde Jorge Reyes, seguido por Osiris Leines y Sahadia Martínez Lozada. Mencionan que ante el recorte en el presupuesto para las campañas el tema económico de los aspirantes pesará mucho. en Morena los candidatos se definirán por encuestas. Asimismo hablan de que los aspirantes deberán renunciar a su cargo en agosto.</t>
  </si>
  <si>
    <t>Morena</t>
  </si>
  <si>
    <t>Aspirantes</t>
  </si>
  <si>
    <t>Alberto González</t>
  </si>
  <si>
    <t>Durante los comerciales en televisión, Andrés Torres comenta que le hackearon su página y que "lo bueno es que no hay censura...(inaudible".</t>
  </si>
  <si>
    <t>Andrés Torres informa que su página https://www.vocalesonline.com.mx fue hackeada e invita a seguirlos a través de las otras plataformas.</t>
  </si>
  <si>
    <t>Lleva IHE Ferias para la Convivencia Escolar a Tepetitlán y Zapotlán de Juárez</t>
  </si>
  <si>
    <t>Convivencia Escolar</t>
  </si>
  <si>
    <t>Una fuga de combustible generó una intensa movilización de cuerpos de emergencia la mañana de ayer sobre la carretera Pachuca-Sahagún, en el municipio de Mineral de la Reforma, luego de que se detectara una presunta toma clandestina en un ducto de Petróleos Mexicanos (Pemex). Persnal de la paraestatal se encargó del control y reparación de la fuga.</t>
  </si>
  <si>
    <t>Fuga de hidrocarburo</t>
  </si>
  <si>
    <t>Andrés Torres comenta que en 1010 AM "El Vocero Huasteco" tiene casi 3 meses fuera del aire, debido a problemas técnicos y por falta de diesel.</t>
  </si>
  <si>
    <t>Andrés Torres da lectura a su columna "Vocales Extraviadas que se intitula "Ensayo y error": La importancia de Mineral de la Reforma en el contexto político y electoral de Hidalgo es significativa, ya que es el segundo lugar más poblado y con mayor votación en la zona metropolitana. Representa el 6.4 por ciento de la lista de votantes del estado. Su rápido crecimiento urbano lo hace crucial para las elecciones de gobernador y diputaciones. A enero de 2026, cuenta con 152 mil 564 electores, solo superado por Pachuca. Casi el 38 por ciento de los votantes son jóvenes entre 18 y 34 años. Su cercanía a Pachuca lo convierte en un laboratorio electoral para los partidos. Ganar este municipio no solo asegura muchos votos, sino también influencia en el área económica y política de Hidalgo. Los principales candidatos a la alcaldía son Eduardo Medécigo Rubio, Osiris Leines Medécigo y Shadia Martínez Lozada.</t>
  </si>
  <si>
    <t>Se registró un fuerte accidente en el Corredor de la Montaña donde se vieron involucrados un tráiler, un taxi y un auto particular, el fuerte encontronazo ha dejado varias personas lesionadas, el taxi terminó totalmente destrozado, cuerpos de emergencia atendieron a los 3 lesionados.</t>
  </si>
  <si>
    <t>CEDSPI llevará campaña de salud visual “¡A ver… a ver!” a cuatro municipios más</t>
  </si>
  <si>
    <t>Salud Visual</t>
  </si>
  <si>
    <t>Con celebración futbolera, DIF Hidalgo clausura el ciclo escolar 2025-2026 de los Centros de Atención Infantil</t>
  </si>
  <si>
    <t>Graduación</t>
  </si>
  <si>
    <t>Arranca entrega de los Programas del Pueblo</t>
  </si>
  <si>
    <t>La Subsecretaría de Protección Civil del Estado de Hidalgo informa que, ante el pronóstico de lluvias fuertes a muy fuertes de 50 a 75 mm en las regiones norte y centro de Hidalgo, así como rachas de viento de 30 a 50 km/h, exhortamos a la población a extremar precauciones. Evita cruzar corrientes de agua, mantente alejado de zonas de riesgo y asegura objetos que puedan desprenderse. En zonas de ladera y caminos con derrumbes recurrentes, permanece alerta y atiende las indicaciones de la autoridad.</t>
  </si>
  <si>
    <t>Alerta Meteorológica</t>
  </si>
  <si>
    <t>Con el propósito de incentivar la participación ciudadana, el Gobierno de Tulancingo llevó a cabo la capacitación de nuevos Comités de Contraloría Social, integrados por vecinos y representantes ciudadanos de las colonias donde próximamente se ejecutarán obras de pavimento hidráulico, guarniciones y banquetas, redes de agua potable, alcantarillado sanitario y dren pluvial. Los comités corresponden a las comunidades y colonias de San Nicolás Cebolletas, La Lagunilla, Plan de Ayala, Nuevo Tulancingo, La Morena, El Paraíso y La Cruz, cuyos integrantes tendrán la responsabilidad de dar seguimiento al desarrollo de las obras, verificar el cumplimiento de los proyectos y promover una comunicación permanente entre la ciudadanía y las autoridades. La jornada de capacitación fue encabezada por Diego López Martínez, subdirector de Contraloría Social del estado de Hidalgo, el secretario de Desarrollo Urbano, Armando Pérez Alcíbar, y el titular del Órgano Interno de Control en Tulancingo, Miguel Ángel Romero Mejía. Durante la capacitación se destacó que la función de estos comités va más allá del cumplimiento de una disposición normativa, ya que constituye un ejercicio de participación ciudadana que permite a los propios beneficiarios involucrarse de manera activa en la supervisión de las obras públicas, contribuyendo a que los recursos públicos se ejerzan con responsabilidad, eficiencia y transparencia. La alcaldesa Lorena García Cázares reafirma su compromiso de impulsar una gestión cercana a la población, en la que sociedad y gobierno trabajen de manera conjunta para asegurar que cada obra pública genere beneficios reales, fortalezca la confianza ciudadana y contribuya al desarrollo ordenado y sostenible del municipio.</t>
  </si>
  <si>
    <t>Contraloría Social</t>
  </si>
  <si>
    <t>A unas semanas del inicio de la Feria de los Angelitos 2026, comerciantes y ciudadanos interesados en obtener un espacio para vender enfrentan un panorama de incertidumbre, ya que además de las presuntas reventas con costos elevados, en redes sociales circulan ofertas que podrían derivar en posibles fraudes. De acuerdo con comerciantes consultados, algunos espacios que oficialmente tienen un costo de dos mil 100 pesos por metro son revendidos o rentados de manera irregular desde ocho mil hasta 12 mil pesos por metro, incrementando considerablemente el precio para quienes buscan participar en la tradicional festividad patronal. De acuerdo al nuevo comité de ferias, comerciantes han denunciado que algunos espacios se ofrecen en reventa en seis mil 300 pesos por un metro, 10 mil pesos por dos metros y 14 mil pesos por tres metros, cuando el costo oficial es de dos mil 100 pesos por metro. Esto representa un sobreprecio de entre cuatro mil 200 y siete mil 700 pesos, dependiendo de las dimensiones del espacio ofertado. Estas prácticas representan un riesgo para los compradores, ya que el Gobierno Municipal ha reiterado que los espacios de la Feria de los Angelitos ya fueron asignados mediante el padrón del Comité de Feria, por lo que no existen nuevos lugares disponibles para su venta al público.</t>
  </si>
  <si>
    <t>Locutor Jesús Riveros da lectura a comentario de radioescucha que reporta al transporte público de la ruta San José-Habitacional porque son muy prepotentes, hablan por teléfono desde que salen de la base, hacen paradas en donde quieren, son groseros con las personas de la tercera edad, no es posible que gente así conduzca un vehículo del transporte público, hasta cuándo debemos seguir soportando esta actitud, las autoridades hacen oídos sordos a las quejas que se hacen porque no hay sanciones. Locutor Jesús Riveros responde que le va a compartir el número de la Semot para que pueda realizar su queja de manera formal.</t>
  </si>
  <si>
    <t>Con celebración futbolera, DIF Hidalgo clausura el ciclo escolar 2025-2026 de los Centros de Atención Infantil (CAI)</t>
  </si>
  <si>
    <t>Montserrat Oliver estuvo grabando cápsulas en el estado de Hidalgo para la gran fiesta del fútbol internacional y su programa "México Increíble". Durante su visita, exploró la riqueza natural, oficios tradicionales y la gastronomía de municipios como Santiago de Anaya.</t>
  </si>
  <si>
    <t>Producción audiovisual</t>
  </si>
  <si>
    <t>La Auditoría Superior del Estado de Hidalgo (ASEH) detectó cobros excesivos e irregulares en el estacionamiento municipal de la Explanada de Dolores en Real del Monte. Durante los fines de semana y días festivos, el ayuntamiento cobraba a los turistas tarifas superiores a las autorizadas en su propia Ley de Ingreso.</t>
  </si>
  <si>
    <t>La Auditoría Superior del Estado de Hidalgo (ASEH) detectó cobros excesivos e irregulares en el estacionamiento municipal de la Explanada de Dolores en Real del Monte. Durante los fines de semana y días festivos, el ayuntamiento cobraba a los turistas tarifas superiores a las autorizadas en su propia Ley de Ingreso</t>
  </si>
  <si>
    <t>El secretario de Gobierno del estado, Guillermo Olivares Reyna, dio a conocer ante medios de comunicación que “la tranquilidad y la paz regresaron al municipio de Tepeji del Río”, al llegar a un acuerdo entre autoridades y colonos. Lo anterior derivó de manifestaciones realizadas por habitantes que solicitaban atención a diversas obras y otras peticiones. Cabe recordar que pobladores de más de 30 localidades, algunas de origen indígena, señalaron que sus solicitudes no eran atendidas por la alcaldesa Tania Valdez Cuéllar. “Se atendió con diligencia y disposición de las partes, tras una reunión en Pachuca en la que todos mostraron voluntad para construir una solución. Además, se continuará dialogando sobre los casos que así lo requieran, se dio un paso importante y pudiera decirse que la tranquilidad y la paz regresan al municipio”, señaló. Olivares Reyna precisó que se dio respuesta a los planteamientos expuestos por la ciudadanía y confió en que, durante los próximos encuentros con autoridades ejidales, delegados y regidores, existan mejores perspectivas para atender las inquietudes pendientes. El funcionario estatal reconoció que algunos habitantes consideraban que sus planteamientos no habían recibido respuesta, no obstante, aseguró que se instalarán más mesas de trabajo “donde se requiera y cuando se requiera”, siempre que exista disposición y voluntad de las partes.</t>
  </si>
  <si>
    <t>Gobernabilidad</t>
  </si>
  <si>
    <t>Ante la situación que atraviesa el municipio de Tepeji del Río de Ocampo, el diputado local por el Distrito XV, Aldo Meza Hernández, del grupo legislativo de Morena, manifiesta lo siguiente: Como representante popular, mi responsabilidad es legislar, gestionar y vigilar que los recursos públicos se ejerzan con transparencia y en beneficio de la población. Rechazo cualquier señalamiento que pretenda responsabilizarme de la gobernabilidad del municipio o del ejercicio de atribuciones que corresponden al ayuntamiento. Las recientes manifestaciones de integrantes de diversas localidades, quienes expresaron su inconformidad por la falta de obra pública y exigieron mayor transparencia en el uso del presupuesto municipal, reflejan una demanda ciudadana legítima que debe ser atendida con diálogo, apertura y rendición de cuentas por parte de la autoridad competente. Desde el Congreso del Estado de Hidalgo, he impulsado acciones concretas para fortalecer la transparencia municipal. En abril de 2025 presenté un exhorto dirigido a los 84 ayuntamientos para que actualizaran y publicaran de manera permanente la información correspondiente a sus presupuestos de egresos en los portales de transparencia, con el propósito de garantizar que la ciudadanía conozca cómo y en qué se ejercen los recursos públicos.</t>
  </si>
  <si>
    <t>Gobierno de Hidalgo fortalece la preservación del chile rayado, patrimonio gastronómico de la Sierra Gorda.</t>
  </si>
  <si>
    <t>Conservación del Patrimonio Cultural</t>
  </si>
  <si>
    <t>El Congreso del Estado de Hidalgo albergó el Parlamento LGBTTTIQ+ Hidalgo, un espacio institucional de participación ciudadana, diálogo plural e incidencia legislativa que permitió a las personas de la diversidad sexogenérica, organizaciones de la sociedad civil, academia y personas aliadas, presentar, analizar y fortalecer propuestas orientadas a la construcción de una Agenda Legislativa de la Diversidad para el Estado de Hidalgo. El diputado Andrés Velázquez Vázquez, presidente de la Junta de Gobierno, precisó que la felicidad, el respeto y la inclusión son valores esenciales para construir una sociedad más justa, reiterando que el Congreso es un espacio abierto para todas las personas sin distinción. El legislador afirmó que el parlamento representa una oportunidad para escuchar directamente las voces de las personas de la diversidad sexogenérica y convertir sus propuestas en acciones legislativas concretas para prevenir y erradicar la discriminación. Asimismo, asumió el compromiso de dar seguimiento institucional a los acuerdos que surjan de este ejercicio, fortaleciendo el diálogo entre el Poder Legislativo, los niveles de gobierno y la sociedad civil.</t>
  </si>
  <si>
    <t>Respuesta inmediata de la SSPH permite recuperar 64 toneladas de vino robadas en carretera federal</t>
  </si>
  <si>
    <t>Combate a la delincuencia</t>
  </si>
  <si>
    <t>SSPH fortalece estrategia de seguridad conjunta con 11 municipios de Hidalgo</t>
  </si>
  <si>
    <t>Estrategia de seguridad</t>
  </si>
  <si>
    <t>El Programa Vivienda para el Bienestar mantiene en construcción 434 mil 319 viviendas en todo el país y coloca a Hidalgo como la sexta entidad con mayor número de casas proyectadas, al registrar 20 mil 090 nuevos hogares. De ese total, 7 mil 474 viviendas están a cargo de la Comisión Nacional de Vivienda (CONAVI), mientras que 12 mil 616 corresponden al Instituto del Fondo Nacional de la Vivienda para los Trabajadores (INFONAVIT). Con estas cifras, ocho de cada diez viviendas actualmente en proceso corresponden al INFONAVIT, mientras que las dos restantes son desarrolladas por la CONAVI. Hasta marzo de 2026, el avance nacional reportado era de 434 mil 319 viviendas: 350 mil 529 del INFONAVIT y 83 mil 790 de la CONAVI. En el ranking nacional, Tamaulipas encabeza la lista con 49 mil 651 viviendas, seguido de Yucatán con 40 mil 669; Veracruz, con 40 mil 629; Quintana Roo, con 37 mil 011; Tabasco, con 31 mil 922; Hidalgo, con 20 mil 090; Baja California, con 20 mil 080; Guanajuato, con 19 mil 325, y Chiapas, con 19 mil 168. En contraste, las entidades con menor número de viviendas proyectadas son Ciudad de México, con apenas 44; Nayarit, con mil 134; Aguascalientes, con mil 192; Baja California Sur, con mil 481; Jalisco, con 2 mil 706; Tlaxcala, con 2 mil 939, y Morelos, con 3 mil 397. De acuerdo con la Secretaría de Desarrollo Agrario, Territorial y Urbano (SEDATU), en Hidalgo ya fueron asignados predios o iniciaron las obras de conjuntos habitacionales en San Agustín Tlaxiaca, Mineral del Monte, Progreso de Obregón, Mixquiahuala, Huejutla, El Arenal, Tepeapulco, Tepeji del Río, Atotonilco de Tula y Tulancingo. Las viviendas tendrán una superficie aproximada de 60 metros cuadrados y contarán con dos recámaras, sala, comedor, cocina, baño completo y patio de servicio, aunque el diseño podrá variar según el proyecto. Además, estarán ubicadas estratégicamente cerca de centros de trabajo, hospitales y escuelas. También incorporarán ecotecnologías básicas, como calentador, lavadero de granito y espacios funcionales. El costo estimado de cada vivienda es de alrededor de 500 mil pesos. En el caso de las viviendas construidas por la CONAVI, el Gobierno federal absorberá el 100 por ciento del costo de edificación y prevé recuperar únicamente el 30 por ciento de la inversión mediante los esquemas de financiamiento establecidos.</t>
  </si>
  <si>
    <t>Plan Nacional De Vivienda</t>
  </si>
  <si>
    <t>Mediante enlace telefónico en su participación, David Cárdenas informó que, durante la conferencia mañanera de la presidenta Claudia Sheinbaum se le recordó sobre la reciente inauguración de la Ciudad Deportiva de Alto Rendimiento en Pachuca realizad por el gobernador Julio Menchaca Salazar, se le preguntó sobre la posibilidad de que la próxima Olimpiada Juvenil 2027 se pudiera realizar en Pachuca a lo que respondió, que es una de las sedes que se están planteando. (AUDIO CSP).</t>
  </si>
  <si>
    <t>Nacionales Conade</t>
  </si>
  <si>
    <t>Para fortalecer las condiciones laborales del personal operativo de la administración municipal de Cuautepec de Hinojosa, el alcalde Jorge Hernández Araus encabezó la entrega de uniformes y equipo de protección a trabajadores de distintas áreas de Servicios Municipales. Las y los trabajadores de departamentos como Limpias y Recolección de Residuos, Parques y Jardines y Alumbrado Público recibieron prendas y equipo de trabajo, entre ellos playeras, camisolas, pantalones, botas, calzado especializado, guantes e impermeables, con el propósito de que desempeñen sus labores con mayor seguridad, comodidad y eficiencia.</t>
  </si>
  <si>
    <t>Entrega De Equipo</t>
  </si>
  <si>
    <t>CEDSPI entrega 31 sanitarios con biodigestor a comunidades indígenas de Tulancingo y Acaxochitlán.</t>
  </si>
  <si>
    <t>Biodigesto</t>
  </si>
  <si>
    <t>A través de un video, se tuvo la participación de Román Bernal Díaz, subsecretario de Protección Civil y Gestión de Riesgos del Gobierno del Estado, en donde informó que se atendieron las afectaciones por las lluvias de la semana pasada que fueron fuertes en casi todo el Estado y todavía más intensas en la Sierra Alta y en la Otomí-Tepehua sin que se presentaran mayores complicaciones, más que la caída de algunos árboles y severos encharcamientos en algunos lugares. Dijo que para esta semana se esperan lluvias de menor intensidad que la anterior, pero que es importante tener en cuenta la posibilidad de deslaves por lo que pidió a la población tomar las precauciones adecuadas.</t>
  </si>
  <si>
    <t>Mañanera de Hidalgo</t>
  </si>
  <si>
    <t>Durante la sesión de preguntas y respuestas de la conferencia matutina, Napoleón González Pérez, secretario de agricultura y Desarrollo Rural, fue cuestionado sobre el regreso de la plaga del gusano barrenador del ganado, explicando que, a nivel nacional, este regreso se dio por ganado proveniente de Panamá y dijo que, luego de que se presentaron los primeros casos a nivel nacional fueron 15 meses lo que pasaron para que en Hidalgo empezar a presentarse y destacó el acompañamiento de autoridades de diferentes instituciones, así como el trabajo de los propios ganaderos para evitar la propagación.</t>
  </si>
  <si>
    <t>Saderh</t>
  </si>
  <si>
    <t>Durante su participación en la conferencia matutina, el secretario de Contraloría, Álvaro Bardales Ramírez informó sobre el hecho de que no hay observaciones en el informe de la entrega de la Cuenta Pública por parte de la ASF, así como la participación de los funcionarios públicos en la presentación de la declaración patrimonial, destacando que son 112 mil 698 personas obligadas y en este universo, en el Poder Judicial y en el Poder Legislativo tuvieron un cumplimiento del 100 por ciento, mientras que, en el Poder Ejecutivo el cumplimiento fue del 99.47 por ciento.</t>
  </si>
  <si>
    <t>En vivo desde la conferencia matutina, Juan Carlos Santamaría informó sobre la participación del secretario de Bienestar e Inclusión Social, Ricardo Gómez Moreno quien se refirió a la especial atención que se brinda en materia de programas sociales a las y los habitantes de 307 comunidades de 28 municipios afectados por las lluvias de octubre pasado.</t>
  </si>
  <si>
    <t>Estudiantes de Ingeniería Civil fortalecen su formación en obra carretera</t>
  </si>
  <si>
    <t>Vinculación Académica</t>
  </si>
  <si>
    <t>Locutor Juan Carlos Santamaría Transmite en vivo desde la conferencia mañanera de Gobierno del Estado, informó sobre los funcionarios que estarán brindado información esta mañana de lunes 6 de julio, entre los que destacan: Napoleón González Pérez, secretario de Agricultura y de Desarrollo Rural; Óscar Javier González, secretario del Trabajo y Previsión Social y Ricardo Gómez Moreno, secretario de Bienestar e Inclusión Social, además del titular de la Oficina de Comunicación, Edmundo Pineda López quien es el encargado de presentar esta conferencia cada semana.</t>
  </si>
  <si>
    <t>Reforestarán el Parque Nacional El Chico, con más de tres mil árboles. Con la siembra de 3 mil 500 nuevos ejemplares en el paraje Cruz del Negro, la Secretaría de Medio Ambiente y Recursos Naturales de Hidalgo (Semarnath) completó la tercera fase de reforestación del Parque Nacional El Chico. Esta jornada, que conmemora el 44 aniversario del área natural protegida, eleva a 17 mil el total de árboles establecidos bajo el programa integral de restauración forestal impulsado por el gobernador Julio Menchaca Salazar. La titular de la Semarnath, Mónica Patricia Mixtega Trejo, subrayó que el mejor homenaje para este emblemático bosque es garantizar su conservación mediante el trabajo conjunto entre sociedad y gobierno, una meta que en esta ocasión movilizó a cerca de 200 personas —entre brigadistas, técnicos y voluntarios— dedicadas a la recuperación de la biodiversidad y el patrimonio natural del estado.</t>
  </si>
  <si>
    <t>Reforestación</t>
  </si>
  <si>
    <t>Toda esta semana vamos a presentar lluvias por la tarde, noche, aquí en el centro del país, así que, tómalo en cuenta. Durante las próximas 96 horas continuarán las precipitaciones en el territorio hidalguense con una intensidad estimada de entre 5 y 25 milímetros, impactando principalmente en las zonas norte, sur y occidente del estado. Así lo informó el subsecretario de Protección Civil y Gestión de Riesgos, Román Bernal Díaz, quien detalló que aunque se mantiene el monitoreo por posibles cambios meteorológicos, estas lluvias serán menos intensas que las registradas en la semana que concluyó el 5 de julio.Al respecto, el funcionario presentó el balance de la semana pasada, periodo en el que se registraron lluvias fuertes concentradas de manera particular en las regiones de la Sierra Otomí-Tepehua y la Sierra Alta. Las incidencias reportadas derivado de este temporal consistieron mayoritariamente en deslaves y caída de árboles, eventos que fueron atendidos de forma inmediata por personal de Protección Civil estatal y municipal, con el apoyo operativo de la Guardia Nacional, la Secretaría de la Defensa Nacional, corporaciones de Seguridad Pública y cuerpos de bomberos, logrando cerrar el periodo sin afectaciones mayores a la población.</t>
  </si>
  <si>
    <t>Prevención De Riesgos</t>
  </si>
  <si>
    <t>La Secretaría de Salud de Hidalgo (SSH) reforzó las acciones de prevención, epidemiología y vigilancia contra la miasis por gusano barrenador en humanos, implementando capacitaciones al personal médico de primer contacto, delegaciones y centros de bienestar animal. De acuerdo con los datos epidemiológicos al corte del 1 de julio de 2026, se confirman 14 casos de miasis en la entidad, de los cuales 12 pacientes ya fueron dados de alta médica, uno permanece bajo seguimiento ambulatorio y se registró una defunción cuya causa básica estuvo asociada a complicaciones graves de enfermedades crónicas previas combinadas con esta afección. Las autoridades exhortaron a mantener limpias y cubiertas las heridas y evitar la automedicación.</t>
  </si>
  <si>
    <t>Gusano barrenador</t>
  </si>
  <si>
    <t>Vamos a hablar del gusano barrenador, estamos muy cerca de alcanzar los mil casos. El titular de la Secretaría de Agricultura y Desarrollo Rural de Hidalgo (Saderh), Napoleón González Pérez, informó que la entidad registra un acumulado de 942 casos detectados de infestación por gusano barrenador en ganado bovino y ovino. El funcionario precisó que el problema se encuentra bajo control clínico, manteniendo únicamente el 20 por ciento de los casos activos, mientras que el 80 por ciento de los animales afectados ya fueron atendidos y sanados por completo. Asimismo, se confirmó formalmente que gracias a las intervenciones de los médicos veterinarios no se ha registrado un solo deceso de ganado por esta causa en el estado. AUDIO DE APOYO</t>
  </si>
  <si>
    <t>El gobernador Julio Menchaca Salazar confirmó saldo blanco en los operativos implementados en explanadas públicas y centros de visualización masiva tras la conclusión oficial de los partidos de la Copa del Mundo de la FIFA en territorio nacional. Se destacó el cierre operativo en la capital hidalguense, que albergó de manera exclusiva a la selección nacional de Sudáfrica como campamento base. Por otra parte, en la reunión semanal de seguridad se reportó la detención de 21 personas en 10 municipios, el aseguramiento de 3,700 dosis de sustancias ilícitas, el decomiso de 9,400 litros de hidrocarburo robado en tres municipios, la detención de dos presuntos responsables de un ataque armado en un bar de Tula de Allende, la recuperación de un tractocamión con 64 toneladas de vino robado en la autopista México-Tuxpan y la localización de ocho personas con ficha de búsqueda activa a través de Protección Civil y corporaciones estatales.</t>
  </si>
  <si>
    <t>Reunión Gabinete De Seguridad</t>
  </si>
  <si>
    <t>A ocho días de que concluya el ciclo escolar 2025-2026 el próximo jueves 16 de julio, el secretario de Educación Pública de Hidalgo, Natividad Castrejón Valdez, encabezó el banderazo de salida para la distribución anticipada de más de tres millones de libros de texto gratuitos. La estrategia preventiva busca asegurar que los alumnos de preescolar, primaria y secundaria cuenten con el material desde el primer día de clases del ciclo 2026-2027, previsto para iniciar el lunes 31 de agosto. Asimismo, se destacó que el estado forma parte del programa federal “Recicla para Leer”, destinado a reutilizar y transformar papel de desecho en libros nuevos. AUDIO DE APOYO</t>
  </si>
  <si>
    <t>El titular de la Secretaría de la Contraloría, Álvaro Bardales Ramírez, informó que Hidalgo alcanzó un 98.2 por ciento de cumplimiento en las declaraciones patrimoniales correspondientes al ejercicio de modificación 2026, cumpliendo en tiempo y forma 110,689 de los 112,000 servidores públicos obligados. En los municipios con plantillas grandes, Pachuca cumplió al 100 por ciento con 2,194 declaraciones, Mineral de la Reforma registró el 99.92 por ciento (1,326 declaraciones) y Tizayuca el 94.11 por ciento (1,629 declaraciones). En contraste, los municipios con menor cumplimiento fueron Mixquiahuala de Juárez con el 51.21 por ciento (233 declaraciones), Huehuetla con el 75 por ciento (181 declaraciones) y Tenango de Doria con el índice más bajo de 39.23 por ciento (102 declaraciones). AUDIO DE APOYO</t>
  </si>
  <si>
    <t>Declaración patrimonial</t>
  </si>
  <si>
    <t>El primer informe de la cuenta pública 2025 presentado por la Auditoría Superior del Estado de Hidalgo (ASEH) reveló que cinco comisiones municipales de agua potable, alcantarillado y saneamiento de la entidad omitieron justificar el uso de un monto exacto de 5 millones 464 mil 981 pesos. Los organismos operadores bajo observación corresponden a los municipios de Ajacuba, Santiago de Anaya, Huasca de Ocampo, El Arenal y Huautla. De acuerdo con la auditoría, la principal irregularidad consistió en la falta de comprobantes fiscales y financieros que acrediten el ingreso correcto de los recursos recaudados a las arcas municipales.</t>
  </si>
  <si>
    <t>El Consejo General del Instituto Estatal Electoral de Hidalgo (IEEH) aprobó, en sesión extraordinaria, la distribución del financiamiento público para los partidos políticos de nueva creación Somos México y Fuerza con Paz, tras obtener su registro nacional formal ante el INE a partir del uno de julio. Cada instituto político recibirá una bolsa de 691,400 pesos para actividades ordinarias y 64,818 pesos para actividades específicas. Tras el reajuste de las prerrogativas estatales, el presupuesto para actividades específicas de los demás partidos quedó de la siguiente manera: Morena recibirá 10 millones de pesos; el PT, 5 millones; mientras que el PRI, el Partido Verde Ecologista, Movimiento Ciudadano y el PAN contarán con 4 millones de pesos cada uno.</t>
  </si>
  <si>
    <t>IEEH</t>
  </si>
  <si>
    <t>La presidenta de México, Claudia Sheinbaum Pardo, dio a conocer que la ciudad de Pachuca, Hidalgo, figura formalmente como una de las sedes propuestas para albergar las Olimpiadas Nacionales Juveniles. La mandataria federal precisó que el proyecto tendrá que ser coordinado por Rommel Pacheco al frente de la Conade, en estrecha colaboración con el gobernador Julio Menchaca Salazar, destacando que siempre se requiere del apoyo del estado para realizar estos eventos. Se adelantó que próximamente se anunciarán las sedes oficiales. AUDIO DE APOYO</t>
  </si>
  <si>
    <t>Radioescucha Sr. Juan reporta que los semáforos de Prismas y Nuevo Hidalgo con dirección a Tulipanes, ya que no funcionan bien</t>
  </si>
  <si>
    <t>Semaforización</t>
  </si>
  <si>
    <t>Radioescucha reporta grandes baches en Real Toledo estan horribles, pide que ayuden las autoridades para mejorar la vialidad</t>
  </si>
  <si>
    <t>Radioescucha pide al gobernador Julio Menchaca la reparación del techo del taller de máquinas y herramientas de la Secundaria Técnica #1 de Pachuca; mandó videos en qué condiciones se encuentran.</t>
  </si>
  <si>
    <t>Infraestructura escolar</t>
  </si>
  <si>
    <t>Radioescucha Sra. Blanca Cruz manda audio y reporta falta de agua en Fraccionamiento Progreso, van más de 5 días sin agua</t>
  </si>
  <si>
    <t>Radioescucha reporta falta de agua en la colonia Felipe Ángeles, ya llevamos varios dias sin agua</t>
  </si>
  <si>
    <t>Radioescucha pide operativo rastrillo en la calle Pedro Escobedo; están varios autos estacionados y ya llevan mucho tiempo sin moverlos.</t>
  </si>
  <si>
    <t>Operativo Rastrillo</t>
  </si>
  <si>
    <t>Radioescucha pide tener topes y reductores de velocidad en calle Petroleros, pide que hagan algo las autoridades de Mineral de la Reforma</t>
  </si>
  <si>
    <t>Topes vehiculares</t>
  </si>
  <si>
    <t>Radioescucha pide tener precaución por accidente de pipa volteada</t>
  </si>
  <si>
    <t>Radioescucha reporta que una pipa que transportaba carga de grado alimenticio se volcó la mañana de este martes tras presuntamente perder el control sobre el bulevar Las Torres</t>
  </si>
  <si>
    <t>Entrevista en cabina con el Dr. Stev Chi con el tema Festejos chinos en Pachuca este 15 de julio a las 5 de la tarde en la Galería Leo Acosta y Teatro Romo de Vivar, entrada libre, y agradece a la Secretaría de Cultura del Estado de Hidalgo por su apoyo en este tipo de eventos.</t>
  </si>
  <si>
    <t>Evento Cultural</t>
  </si>
  <si>
    <t>Radioescucha Sra. María Elenea pide que repitan las colonias que se quedaran sin servicio de agua el día de mañana. Comenta conductor que Oriente, Sur Oriente y Centro de la Zona Metropolitana de Pachuca</t>
  </si>
  <si>
    <t>La Caasim informó que habrá afectaciones en el suministro de agua potable en los sectores Oriente, Sur Oriente y Centro de la Zona Metropolitana de Pachuca, debido a los trabajos de construcción del tren AIFA-Pachuca.De acuerdo con el organismo, la suspensión parcial del servicio se debe a las maniobras que realizará la Secretaría de la Defensa Nacional (Sedena) como parte del proyecto ferroviario que conectará el Aeropuerto Internacional Felipe Ángeles (AIFA) con la capital hidalguense.Los trabajos iniciarán el miércoles 8 de julio a las 05:00 horas y tendrán una duración estimada de hasta 40 horas. No obstante, la recuperación del servicio será gradual y el restablecimiento total del suministro de agua podría tardar hasta 96 horas, conforme a la programación establecida</t>
  </si>
  <si>
    <t>La Subsecretaría de Protección Civil y Gestión de Riesgos del Estado de Hidalgo informó que derivado del reporte de una fuga clandestina localizada sobre la carretera Pachuca-Ciudad Sagún en el municipio de Mineral de la Reforma, se mantiene en coordinación permanente con Pemex y las autoridades competentes para la atención del incidente. Las maniobras se desarrollan conforme al plan de acción establecido por el personal especializado con el objetivo de asegurar el punto y controlar la derivación detectada. La Subsecretaría de Protección Civil detalló que no existe riesgo para la población y que no ha sido necesaria la evacuación de personas.</t>
  </si>
  <si>
    <t>Al inaugurar la Semana de la Cultura Jurídica para la Comunidad, el presidente municipal de Mineral de la Reforma, Eduardo Medécigo Rubio, destacó que el gremio jurista debe mantenerse actualizado en temas relacionados con la aplicación del derecho.El primer ponente de la Semana de la Cultura Jurídica fue Ciro Juárez González, director general del Instituto de la Defensoría Pública del Estado de Hidalgo, con el tema “La Representación Jurídica para las Personas en Situación de Vulnerabilidad”.Durante su exposición dijo que este tipo de eventos tiene como objetivo acercar información relevante a las y los habitantes, con énfasis en la protección de los derechos de las personas en situación de vulnerabilidad, como mujeres, adultos mayores, niñas, niños y adolescentes, migrantes, la comunidad LGBTIQ+, entre otros sectores de la población. El evento concluirá el próximo 10 de julio y se desarrolla en el Centro Mineralense de las Artes (CEMART), la entrada es libre y todas las ponencias se realizarán de 10:00 a 12:00 horas</t>
  </si>
  <si>
    <t>El Congreso de Hidalgo albergó el Parlamento LGBTTTIQ+ Hidalgo, un espacio institucional de participación ciudadana, diálogo plural e incidencia legislativa que permitió a personas de la diversidad sexogenérica, organizaciones de la sociedad civil, academia y personas aliadas presentar, analizar y fortalecer propuestas orientadas a la construcción de una Agenda Legislativa de la Diversidad para el estado. El diputado Andrés Velázquez Vázquez, presidente de la Junta de Gobierno, precisó que la felicidad, el respeto y la inclusión son valores esenciales para construir una sociedad más justa, al reiterar que el Congreso es un espacio abierto para todas las personas sin distinción.</t>
  </si>
  <si>
    <t>Diversidad sexogenérica</t>
  </si>
  <si>
    <t>Lluvias continuarán en Hidalgo; autoridades refuerzan acciones preventivas y exhortan a la población, AUDIO APOYO</t>
  </si>
  <si>
    <t>La Secretaría de Salud de Hidalgo, informó que de acuerdo con el Sistema Especial de Vigilancia Epidemiológica, con corte al 1 de julio de 2026, en Hidalgo se han confirmado 14 casos de miasis en personas residentes de los municipios de Tenango de Doria, Tlaxcoapan, Tlanchinol, Huehuetla, Tianguistengo, Pisaflores, Calnali, Zapotlán de Juárez, Metztitlán, Tepehuacán de Guerrero, Chapantongo, Huichapan y Santiago de Anaya. Del total de casos, 12 pacientes fueron dados de alta, una paciente permanece en seguimiento médico y se registró una defunción cuya causa básica fue arteriosclerosis generalizada. La dependencia continuará fortaleciendo las acciones de capacitación, vigilancia epidemiológica y promoción de la salud para proteger el bienestar de las y los hidalguenses.</t>
  </si>
  <si>
    <t>Tras los hechos registrados la mañana de este sábado sobre el Corredor Turístico de La Montaña, a la altura de la colonia San Guillermo, en el municipio de Mineral de la Reforma, cuerpos de emergencia, en coordinación con elementos de la Policía Estatal, brindaron atención inmediata a un hecho de tránsito en el que se vieron involucrados tres vehículos.</t>
  </si>
  <si>
    <t>Regresar con respuestas fortalece la confianza ciudadana: realiza Segobh mesas de acercamiento en Huasca</t>
  </si>
  <si>
    <t>UTVAM y UPP impulsan alianza para ampliar oportunidades académicas</t>
  </si>
  <si>
    <t>Firma De Convenio</t>
  </si>
  <si>
    <t>Erick Iván Martínez</t>
  </si>
  <si>
    <t>La tarde de este lunes, una pipa que transportaba agua volcó sobre el puente vehicular que conecta la carretera Pachuca- Actopan con la comunidad de Tilcuautla, esto en el municipio de San Agustín Tlaxiaca, elementos de Protección Civil, de Bomberos y de la policía municipal acudieron al lugar para atender el percance y realizar las maniobras correspondientes y resguardar la zona. De manera preliminar señalaron que esta pipa que viajaba por el por el puente elevado sufrió un accidente y cayó desde la parte alta. Sin embargo, las autoridades municipales, las autoridades de tránsito están revisando y realizando las indagatorias para saber cuál es el motivo, cuál fue el motivo de este accidente. Sin embargo, te comento que por fortuna el conductor únicamente resultó policontundido.</t>
  </si>
  <si>
    <t>Una nota triste para todos también, pero para algunos les pegó mal y fue la eliminación de la Selección Mexicana del mundial 2026. Esto en Mixquiahuala terminó con momentos de tensión, donde se registró una riña al interior del bar Las Micheladas del Delegado. El incidente quedó grabado en video y posteriormente comenzó a difundirse rápidamente en redes sociales. En las imágenes se observó como varios asistentes protagonizaron una pelea mientras otras personas intentaron intervenir para evitar que la situación escalara. De acuerdo con lo que se aprecia en el video, dos mujeres se enfrentaron a golpes mientras algunos presentes buscaron separarlas. Hasta el momento no se ha informado de manera oficial sobre personas detenidas, únicamente el dolor de haber sido eliminados de este mundial 2026 y que pues finalmente esta riña.</t>
  </si>
  <si>
    <t>Riña</t>
  </si>
  <si>
    <t>La tarde de este viernes, una boutique ubicada en la zona centro de Tlahuelipan fue blanco de un asalto cometido por tres hombres que viajaban en una motocicleta. De acuerdo con los primeros reportes, los sujetos ingresaron con el rostro cubierto y amenazaron a la empleada del establecimiento. Para evitar una agresión, la trabajadora salió del local, momento que los presuntos responsables aprovecharon para apoderarse de diversos artículos y escapar a bordo de la motocicleta. Hasta el momento no se ha reportado personas detenidas por este hecho, sin embargo te comento que este este tipo de robo se ha replicado de manera continua en varios municipios, entre ellos el municipio de Ixmiquilpan, Actopan, Mixquiahuala y ahora Tlahuelilpan.</t>
  </si>
  <si>
    <t>Asalto A Comercio</t>
  </si>
  <si>
    <t>Gobierno de Hidalgo fortalece la preservación del chile rayado, patrimonio gastronómico de la Sierra Gorda</t>
  </si>
  <si>
    <t>Hasta 200 escuelas de Hidalgo podrían fortalecer su colaboración con instituciones educativas de otros países, gracias al convenio firmado entre la Secretaría de Educación Pública de Hidalgo y el British Council, organismo del Reino Unido especializado en educación y relaciones culturales. El acuerdo permitirá que planteles hidalguenses puedan integrarse al programa Learning Sector Alianzas Internacionales 2026-2027, el cual promueve proyectos de colaboración entre escuelas de diferentes naciones, impulsando el aprendizaje de la ciencia, la tecnología, la innovación y el intercambio de experiencias entre estudiantes y docentes. Durante la firma del convenio, autoridades educativas señalaron que esta alianza busca ampliar las oportunidades académicas para las y los alumnos, además de fortalecer una educación más incluyente y con visión internacional. Por su parte, representantes del British Council destacaron que este programa ya beneficia a cientos de escuelas en países como Reino Unido, Brasil, India y Sudáfrica.</t>
  </si>
  <si>
    <t>Durante la Conferencia Matutina del Gobierno de Hidalgo, el titular de la Secretaría de Bienestar e Inclusión Social, Seviso, Ricardo Gómez Moreno, informó que este año se dio prioridad a la atención de la población de los 28 municipios afectados por la pasada vacuada monzónica. Por otra parte, el secretario de contraloría en la entidad, Álvaro Bardales Ramírez, presentó el informe sobre las declaraciones patrimoniales dos mil veintiséis, mencionando que mediante el sistema Declaranet Hidalgo, estaban obligadas a presentar su declaración ciento doce mil seiscientos noventa y ocho personas servidoras públicas, de las cuales ciento diez mil seiscientos ochenta y nueve cumplieron con esta obligación. Asimismo, informó que se realizó la primera entrega de informes individuales de la cuenta pública 2025, en la que fueron auditados seis mil 567 millones de pesos correspondientes a la distribución de participaciones. El secretario de Agricultura, Napoleón González Pérez presentó las acciones del programa transformando el campo hidalguense enfocadas en el fortalecimiento de las cadenas productivas del maguey, café y ganadería.</t>
  </si>
  <si>
    <t>Gobierno</t>
  </si>
  <si>
    <t>Semarnath conmemora el 44 aniversario del Parque Nacional El Chico con la plantación de 3 mil 500 árboles</t>
  </si>
  <si>
    <t>Con operativos simultáneos, SSPH asegura a cuatro sujetos por narcomenudeo y robo en Hidalgo</t>
  </si>
  <si>
    <t>Una toma clandestina en un ducto de Petróleos Mexicanos (Pemex) en las inmediaciones de la carretera Pachuca-Ciudad Sahagún movilizó a los cuerpos de emergencia la noche de este domingo, los cuales descartaron riesgos para la población y también aclararon que no es necesario el desalojo de personas. El perímetro de seguridad permanece bajo resguardo de las autoridades mientras continúan las labores de control, informó la Subsecretaría de Protección Civil y Gestión de Riesgos de Hidalgo. A su vez, se mantiene coordinación permanente con Pemex y las autoridades competentes para la atención del incidente, agregó la dependencia estatal en comunicado de prensa. Por tanto, al momento las maniobras se desarrollan conforme al plan de acción establecido por el personal especializado, con la finalidad de controlar la fuga detectada. “La subsecretaría mantiene el monitoreo permanente del incidente y continuará informando oportunamente a través de sus canales institucionales sobre cualquier actualización relevante”, detalló la subsecretaría.</t>
  </si>
  <si>
    <t>Un adolescente de 15 años resultó herido de gravedad cuando un grupo de personas detonaron armas de fuego hacia un domicilio ubicado ubicado en la comunidad de Tlamaco, dentro del municipio de Atitalaquia. La situación se registró durante la noche del domingo 5 de julio; testigos en la zona señalaron que los agresores arribaron a bordo de una camioneta, y de inmediato dispararon hacia la vivienda. Una de las balas impactó contra el cuerpo del adolescente; los agresores huyeron a bordo de la misma camioneta en la que llegaron, luego de realizar los disparos. Los propios familiares del adolescente lesionado familiares lo trasladaron a bordo de un vehículo particular hacia un hospital cercano para que recibiera atención médica especializada; su estado de salud se reporta como delicado. Elementos policiacos arribaron al sitio, confirmando el ataque, tras lo cual realizaron acordonamiento del sitio; al mismo tiempo, se inició operativo para la búsqueda y localización de los agresores, sin que hasta el momento se reporte detención alguna Personal de la Procuraduría General de Justicia del Estado de Hidalgo inició las indagatorias en el caso, para establecer las responsabilidades legales a quien corresponda.</t>
  </si>
  <si>
    <t>Durante el primer semestre de este año, se han documentado al menos nueve agresiones contra policías de Tizayuca. El 28 de marzo pasado, dos policías fueron retenidos y golpeados por vecinos de Haciendas de Tizayuca mientras atendían el reporte de una camioneta que circulaba a exceso de velocidad. Un día después, otros dos elementos resultaron lesionados durante una riña en Nuevo Tizayuca. El 3 de mayo, una mujer policía sufrió una lesión de gravedad tras recibir un disparo en el pie durante un operativo en el fraccionamiento Villa Magna; El 18 de junio, una oficial que acudió a la atención de un reporte en El Pedregal fue atacada con un machete por cuatro personas. A esto se suma lo ocurrido el 24 de junio, cuando un oficial fue atacado con un cuchillo en pleno centro de la demarcación. El 3 de julio, dos policías fueron atacados con arma blanca tras atender el reporte de robo en una tienda en Haciendas de Tizayuca.</t>
  </si>
  <si>
    <t>Agresión A Policía</t>
  </si>
  <si>
    <t>El equipo del Hospital General IMSS Bienestar de Apan, realizó una intervención multidisciplinaria que permitió evitar la amputación del brazo derecho de una mujer de 52 años tras la mordedura de una araña violinista. La atención se realizó mediante atención oportuna, cirugía de urgencia, tratamiento especializado y rehabilitación gratuita para preservar la funcionalidad de la extremidad. Al ingresar al servicio de Urgencias, la paciente presentaba un cuadro clínico grave, con inflamación severa y síndrome compartimental, complicación que incrementa la presión dentro de los tejidos e impide el adecuado flujo sanguíneo, poniendo en riesgo la viabilidad de la extremidad. Tras la valoración por los servicios de Medicina Interna y Cirugía, el equipo multidisciplinario determinó intervenir de manera inmediata.</t>
  </si>
  <si>
    <t>Aunque el 84% de los animales afectados con el gusano barrenador ya sanaron, aún hay 145 casos activos en Hidalgo que se concentran principalmente en los municipios de Juárez, Tlahuiltepa y Huichapan. De acuerdo con Napoleón González Pérez, secretario de Agricultura y Desarrollo Rural del Estado (Saderh), a partir del primer asunto registrado en febrero de este año y hasta el momento, suman 942 acumulados. En 8 de cada 10 de estos la herida ya cerró, lo que significa que 797 animales sanaron. Los casos se presentaron principalmente en bovinos, caninos, equinos, caprinos y ovinos. El funcionario señaló que las acciones para contener la plaga continúan con el Servicio Nacional de Sanidad, Inocuidad y Calidad Agroalimentaria (SENASICA) con el objetivo de evitar la propagación. Como parte de las acciones de las medidas preventivas la Secretaría de Agricultura y Desarrollo Rural de Hidalgo, exhortó a los productores pecuarios y a propietarios de mascotas también a inspeccionar de manera constante cualquier herida que presenten sus animales. Dijo que se debe tener cuidado con las heridas después del nacimiento y en el marcado, ya que estos son el sitio donde la mosca deposita sus huevecillos. Las autoridades insistieron en que la detección oportuna y la atención oportuna a las lesiones son fundamentales para reducir el riesgo de nuevos contagios y proteger la salud del ganao y de otros animales susceptibles. Con los 142 activos, Hidalgo está en el lugar cinco de las 13 entidades del país con incidencia por gusano barrenador; solo por debajo de Puebla (171), San Luis Potosí (158), Yucatán (152) y Tamaulipas (145). El desglose por municipio muestra que 18 de los 84 municipios de la entidad tienen incidencia, principalmente Juárez Hidalgo con 20 casos; Tlahuiltepa, 12 y Huichapan 11, al menos hasta el corte del 4 de julio como lo muestran las estadísticas de la Secretaría de Agricultura federal. Le sigue Nicolás Flores (8), Ixmiquilpan (7), Eloxochitlán (6), Actopan (5), Nopala (5), Tasquillo (5), Tepehuacán (5), Yahualica (5), Zapotlán (5), Huejutla (4), San Agustín Tlaxiaca (4), Tulancingo (4), Metztitlán (3), Tlanchinol (3) y Acatlán (2). González Pérez recordó que recientemente el Gobierno de México inauguró una nueva planta en el estado de Chiapas que producirá hasta 100 millones de moscas estériles por semana para combatir la plaga. Finalmente, indicó que los casos iniciaron en Panamá y luego llegaron a México -15 meses después- por la compraventa de animales, pero puntualizó que el brote no inició en el país.</t>
  </si>
  <si>
    <t>14 casos en humanos por miasis por gusano barrenador se acumulan en el Estado de Hidalgo, de los cuales existe un fallecimiento por complicaciones médicas, pues el paciente padecía arterioesclerosis generalizada. La información fue ofrecida por autoridades en materia de atención a la salud, señalando que el total de casos está registrado al corte del 1 de julio, por parte del Sistema Especial de Vigilancia Epidemiológica. Del total de casos, 12 pacientes fueron dados de alta, una paciente permanece en seguimiento médico, además de la persona que falleció. Los casos se han ubicado en los municipios de Tenango de Doria, Tlaxcoapan, Tlanchinol, Huehuetla, Tianguistengo, Pisaflores, Calnali, Zapotlán de Juárez, Metztitlán, Tepehuacán de Guerrero, Chapantongo, Huichapan y Santiago de Anaya. Vanesa Escalante Arroyo, titular de la Secretaría de Salud de Hidalgo (SSH), señaló que dicha dependencia mantiene una estrategia permanente de capacitación, coordinación interinstitucional y vigilancia epidemiológica en todo el estado. También se impartieron capacitaciones virtuales al Grupo Intersectorial de Promoción de la Salud y Determinantes Sociales, a la Red Hidalguense de Municipios por la Salud y a las Universidades Promotoras de la Salud, a fin de reforzar el conocimiento sobre las medidas de prevención y control de esta enfermedad. Entre las actividades de atención y preventivas, se llevó a cabo el Curso-Taller “Formador de Formadores en Miasis por Gusano Barrenador”, dirigido al personal de las Jurisdicciones Sanitarias e instituciones de salud. Así como a personal de los municipios responsable de la atención de perros y gatos en Centros de Bienestar Animal y centros de control canino, lo que fortalece las capacidades técnicas para la identificación y atención oportuna de casos. La SSH reitera a la población la importancia de mantener limpias y protegidas las heridas, acudir de inmediato a la unidad de salud ante cualquier lesión con presencia de larvas o signos de infección, evitar la automedicación y seguir las recomendaciones del personal médico. La dependencia continuará fortaleciendo las acciones de capacitación, vigilancia epidemiológica y promoción de la salud para proteger el bienestar de las y los hidalguenses.</t>
  </si>
  <si>
    <t>Un estudiante de educación primaria en el municipio de San Felipe Orizatlán, fue detectado en posesión de presunta hierba seca con las características de la droga tipo mariguana. En una conferencia de prensa, Julio Sánchez Sáenz, titular de la Secretaría de Salud municipal, confirmó que tras confirmar la situación, se implementó protocolo de atención y seguimiento a la persona, por presunto consumo de la sustancia. Señaló que el hecho se trataría probablemente del primer caso de consumo de sustancias nocivas en personas que cursan educación básica. Insistió que el estudiante de escuela primaria al que le fue hallada mariguana recibirá atención integral por parte de especialistas en materia de salud para garantizar su recuperación. Sánchez Sáenz señaló que, de acuerdo con las estadísticas, las sustancias más consumidas en San Felipe Orizatlán son la marihuana y el “cristal”, mientras que las bebidas alcohólicas se encuentran en segundo lugar de consumo. ​Ante el riesgo de que este tipo de situaciones se repliquen en más planteles escolares, el secretario de Salud local exhortó a los tutores y padres de familia a monitorear el comportamiento y cambios repentinos de conducta en los menores. Así como vigilar los círculos de amistades con los que conviven e interactúan diariamente y mantener una comunicación abierta y de confianza para evitar que los infantes sean “presa fácil” de las redes del narcotráfico y la adicción. ​Las autoridades municipales adelantaron que buscarán reforzar los programas de prevención y pláticas informativas en los centros escolares para blindar a la juventud orizatlense. El funcionario municipal anticipó que se preparará una plática informativa hacia los estudiantes respecto al riesgo de consumo de drogas. En dicha plática deberán participar también docentes y padres de familia, con objetivo de fomentar factores de protección, además de mantenerse atentos e informar hallazgos o situaciones irregulares en sus hijas e hijos.</t>
  </si>
  <si>
    <t>Droga en escuelas</t>
  </si>
  <si>
    <t>La Secretaría de Medio Ambiente y Recursos Naturales del Estado de Hidalgo (Semarnath), otorgó autorización provisional para el depósito de llantas en desuso en la parte trasera del recinto ferial de Tulancingo. La confirmación fue realizada por el titular de la Secretaría de Servicios Municipales, Juan Alberto Santuario Elías, señalando que la dependencia estatal aún realiza estudios para otorgar el permiso definitivo. Aclaró que la autorización provisional fue otorgada debido a que se pudo comprobar que el sitio es adecuado para el depósito temporal de las llantas, además de que se utilizan medidas adecuadas para evitar riesgos de contaminación o de proliferación de fauna nociva. A mediados de febrero de este año, vecinos de fraccionamientos cercanos al recinto ferial denunciaron el uso del recinto ferial como depósito para llantas en desuso. Expresaron preocupación precisamente por los temas citados, así como por el riesgo de que se registrara un incendio, derivado de un posible mal manejo del material desechado. Santuario Elías explicó en ese momento que se estaba realizando un manejo adecuado de las llantas para evitar cualquier tipo de riesgos. Agregó que existe un convenio entre el Gobierno Municipal de Tulancingo y una empresa cementera para que esta última se lleve los neumáticos acumulados cada determinado tiempo, los cuales son utilizados para sus propios procesos de fabricación de material de construcción. En actualización, el funcionario señaló que están a la espera de que Semarnath otorgue el permiso definitivo para usar parte de recinto ferial para el depósito temporal de las llantas. Señaló que en la solicitud para dicho uso, se especifica que se usará de septiembre a diciembre del año en curso, así como de enero a junio de siguiente, dejando libres los meses de julio y agosto para la organización y celebración de la Expo Feria anual. Santuario Elías confió que en breve se contará con la autorización definitiva por parte de Semarnath, insistiendo que se siguen los protocolos de manejo adecuado, para evitar problemas de contaminación o de un incendio de las llantas.</t>
  </si>
  <si>
    <t>El número de hidalguenses repatriados desde Estados Unidos mantiene una reducción durante 2026. De enero a mayo de este año, 2 mil 365 personas originarias de la entidad fueron retornadas a México, según información de la Dirección General de Atención al Migrante de la Secretaría de Bienestar e Inclusión Social (Sebiso). El director del área, Manuel Aranda Montero, atribuyó este comportamiento principalmente a la disminución de personas que intentan ingresar de manera irregular a territorio estadounidense. Sin embargo, señaló que las autoridades de ese país han incrementado las detenciones de migrantes que ya vivían ahí, incluso de quienes tenían varios años o décadas de residencia. El funcionario descartó que las cifras actuales correspondan a una ola de deportaciones masivas. Explicó que, al estimarse una población de entre 470 mil y 480 mil hidalguenses radicando en Estados Unidos, los casos registrados representan menos del uno por ciento del total. Añadió que el gobierno estatal no dispone de un padrón sobre los hidalguenses que permanecen detenidos por autoridades migratorias estadounidenses, debido a que la información oficial se conoce únicamente cuando las personas son repatriadas. También precisó que algunos connacionales no regresan directamente a Hidalgo, ya que primero son trasladados a entidades del sur del país, entre ellas Tabasco, Chiapas y Yucatán, desde donde posteriormente continúan su viaje hacia sus municipios de origen. Como antecedente, recordó que durante todo 2025 se registraron aproximadamente 4 mil 600 repatriaciones de hidalguenses, cifra que ya representaba una disminución respecto a años previos.</t>
  </si>
  <si>
    <t>Repatriación</t>
  </si>
  <si>
    <t>El titular de Bomberos y Protección Civil, Edmundo Hernández Chimal, informó que sí se atendieron los reportes de emergencia por las afectaciones a causa de las lluvias en Tilhuacán, cabecera de Santiago Tultepec. Sin embargo recibieron más de 20 reportes, más los que atendieron en el camino, lo que les impidió llegar inmediatamente. fueron solventando las emergencias poco a poco, pero jamás se dejó de dar la atención. Señaló que la zona de Tilhuacán y colonias cercanas fue de las más afectadas, pues la lluvia fue más intensa y en algunas partes el agua alcanzó los 15 centímetros.</t>
  </si>
  <si>
    <t>Las recientes precipitaciones registradas en Hidalgo permitieron que la entidad dejara atrás las condiciones de sequía. De acuerdo con el reporte más reciente del Monitor de Sequía del Servicio Meteorológico Nacional, los 84 municipios del estado ya no presentan afectaciones por este fenómeno. La Comisión Nacional del Agua (Conagua) señaló que la recuperación de las condiciones de humedad es resultado de las lluvias ocurridas en las últimas semanas, las cuales favorecieron la disponibilidad de agua y mejoraron el panorama en todo el territorio hidalguense. De manera paralela, la dependencia federal concluyó un operativo de limpieza y desazolve en el municipio de Francisco I. Madero como parte de las medidas para enfrentar la temporada de lluvias. Los trabajos contemplaron el mantenimiento de casi 11 kilómetros de la red de drenaje, la intervención de 149 pozos de visita y una fosa séptica. Además, fueron retirados más de 46 metros cúbicos de azolve y extraídos alrededor de 84 metros cúbicos de aguas residuales, acciones que beneficiarán a aproximadamente 25 mil habitantes al disminuir el riesgo de inundaciones y mejorar el funcionamiento de la infraestructura sanitaria. Conagua destacó que estas labores preventivas contribuyen a mantener en óptimas condiciones los sistemas de drenaje, reducir posibles afectaciones durante las lluvias y proteger la salud de la población al evitar la acumulación de residuos y aguas estancadas.</t>
  </si>
  <si>
    <t>Este miércoles 8 de julio será inaugurado el Centro Administrativo del Bienestar y Desarrollo Rural, en el predio donde se ubicó la Casa de Gobierno, en la ciudad de Pachuca. Ricardo Gómez Moreno, titular de la Secretaría de Bienestar e Inclusión Social en Hidalgo (Sebisoh), señaló que en este sitio operarán oficinas de la dependencia estatal a su cargo, así como de la Secretaría de Desarrollo Agropecuario y Desarrollo Rural en Hidalgo (Saderh). En 2023, al ordenar la demolición del inmueble, el Gobernador de Hidalgo, Julio Menchaca Salazar, señaló que lo que fuera la Casa de Gobierno representaba un gasto cercano a 750 mil pesos mensuales en mantenimiento y simbolizaba los privilegios de la clase gobernante. Enfatizó que la transformación del lugar respondía al objetivo de eliminar los signos de opulencia y convertirlos en espacios de atención para la ciudadanía. La antigua Casa de Gobierno, propiedad del Estado desde 1957, contaba con una superficie superior a los 5 mil 900 metros cuadrados y albergó a 14 gobernadores y sus familias. Entre sus instalaciones había alberca, tobogán, jacuzzi, sauna, áreas deportivas y otras amenidades. El gobierno estatal señaló en su momento que la construcción de las nuevas oficinas contribuirá a disminuir el gasto por arrendamiento de inmuebles. La construcción del nuevo inmueble para oficinas gubernamentales tuvo una inversión de 346 millones 373 mil 296 pesos, de acuerdo con tres licitaciones públicas que emitió la Secretaría de Infraestructura Pública y Desarrollo Urbano Sostenible de Hidalgo.</t>
  </si>
  <si>
    <t>Sequía</t>
  </si>
  <si>
    <t>La primera etapa de la reconstrucción de la carretera estatal Tulancingo-Santiago Tulantepec está considerada entre la entrada de la colonia La Explanada a la calle Plan de Ayala, cerca de la zona de Medias Tierras. La confirmación fue realizada en entrevista por Armando Pérez Alcibar, titular de la Secretaría municipal de Desarrollo Urbano, Obras Pública y Medio Ambiente en Tulancingo. Señalo que a mediados del pasado mes de mayo, funcionarios del gobierno de Tulancingo realizaron recorrido con representantes del Gobierno del Estado de Hidalgo, que se encargará de la ejecución de obra, para valorar la zona que se intervendrá. “La presidenta de Santiago (Tulantepec) se había comprometido en llevar a cabo lo de esta reconstrucción, pero creo que no tenían los proyectos bien ejecutados”, señaló Pérez Alcibar. En visita de trabajo realizada el pasado mes de junio a la región, el Gobernador de Hidalgo, Julio Menchaca Salazar dio a conocer la reconstrucción de la carretera Tulancingo-Santiago Tulantepec. La inversión en esta primera etapa será de 34.5 millones de pesos, asegurando las autoridades estatales que la ejecución de obra será este mismo año. Pérez Alcibar reconoció que la vialidad a intervenir es una de las más transitadas en la región Tulancingo, por lo cual se llevó a cabo la reunión con funcionarios estatales, de tal manera que se aceleraran los trabajos respectivos. En tema relacionado, señaló que se tiene considerado que la rehabilitación carretera sea parte del distribuidor vial “Pueblos Unidos”, que conectará a la carretera estatal con libramiento La Joya, el bulevar Centenario de la Revolución Mexicana, llegando incluso al crucero La Y Griega. Incluso ya se está trabajando en este momento en el proyecto de obras complementarias, como electrificación, hidráulicas y sanitarias para dicho distribuidor, en fecha por confirmar. Dicho distribuidor permitiría desahogar la circulación vehicular beneficiando a los municipios de la Zona Metropolitana de Tulancingo, incluso a los de la región del Altiplano.</t>
  </si>
  <si>
    <t>El equipo del Hospital General IMSS Bienestar de Apan, realizó una intervención multidisciplinaria que permitió evitar la amputación del brazo derecho de una mujer de 52 años tras la mordedura de una araña violinista. La atención se realizó mediante atención oportuna, cirugía de urgencia, tratamiento especializado y rehabilitación gratuita para preservar la funcionalidad de la extremidad. Al ingresar al servicio de Urgencias, la paciente presentaba un cuadro clínico grave, con inflamación severa y síndrome compartimental, complicación que incrementa la presión dentro de los tejidos e impide el adecuado flujo sanguíneo, ponciendo en riesgo la viabilidad de la extremidad. Tras la valoración por los servicios de Medicina Interna y Cirugía, el equipo multidisciplinario determinó intervenir de manera inmediata.</t>
  </si>
  <si>
    <t>Atención médica</t>
  </si>
  <si>
    <t>En tema de salud ha sido difícil para la Secretaría de Salud, la Secretaría de Agricultura y todas las instancias involucradas en combate al gusano barrenador, pues ya son más del mil casos de ganado infectado con este gusano. La recomendación es estar atento del ganado, revisar las lesiones y en caso de ser necesario avisar a la Sagarpa y a las presidencia municipales para cerrarle el paso a este mal que afecta al ganado y las personas.</t>
  </si>
  <si>
    <t>Radioescucha, Jaime Samudio (Ixmiquilpan): pide la intervención de las autoridades debido al incremento de hechos delictivos, en donde personas de origen extranjero e ven involucradas. Andrés Torres comenta que en Ixmiquilpan el robo a cas habitación y los asaltos son frecuentes y en Mixquiahuala el robo de motocicletas.</t>
  </si>
  <si>
    <t>Inseguridad</t>
  </si>
  <si>
    <t>En Mineral de la Reforma ya hay un aspirante que va a presentar como uno de sus tópicos de campaña un "bachetón", que buena falta hace.</t>
  </si>
  <si>
    <t>Vecinos de Zempoala que se vieron afectados por las lluvias, se han unido para el bacheo de las zonas afectadas sin apoyo del gobierno y lamentan que en este caso, solamente Pachuca haya respondido al llamado de apoyo, esto a pesar de las mesas de trabajo que se realizaron con la Secretaría de Gobierno y los vecinos. Lamentan que ni el gobierno de Mineral de la Reforma ni Zempoala se unan a estas labores, aunque consideran que nunca es tarde.</t>
  </si>
  <si>
    <t>Bacheo</t>
  </si>
  <si>
    <t>Milton Cortés</t>
  </si>
  <si>
    <t>El día de hoy se pronostican lluvias y la Subsecretaría de Protección Civil , ya puso en marcha algunas acciones preventivas para que la gente no resulte tan afectada. Se pide a la población seguir las recomendaciones para no exponerse.</t>
  </si>
  <si>
    <t>Vía telefónica Milton Cortés informó que ayer autoridades de los tres órdenes de gobierno, representantes de la iniciativa privada y organismos empresariales firmaron en Pachuca el Pacto por la Prosperidad, la Justicia Económica y la Seguridad, una estrategia nacional promovida por la Confederación de Cámaras Nacionales de Comercio, Servicios y Turismo (Concanaco Servytur) para fortalecer las condiciones de operación de los negocios familiares y fomentar el desarrollo económico. Durante la ceremonia, el presidente municipal de Pachuca, Jorge Alberto Reyes Hernández, destacó que el acuerdo busca facilitar la actividad comercial mediante la simplificación administrativa, la digitalización de trámites y una mayor coordinación entre autoridades y empresarios.</t>
  </si>
  <si>
    <t>Simplificación de trámites</t>
  </si>
  <si>
    <t>Radioescucha, Juanito Gutiérrez Arteaga: desde El Calvario, Tasquillo les comento que me llenó de emoción cuando en noviembre del año pasado el gobernador Julio Menchaca en una charla en la Unidad Deportiva Municipal me prometió el enlace con Oscar Pérez, para ver la construcción de una cancha de usos múltiples. Después de varias solicitudes se logró el enlace con la Dirección de Infraestructura en marzo del presente año, desde entonces en espera de una respuesta favorable. El día de ayer, recibí un oficio donde me dicen que no es posible y tengo que gestionarlo con mi municipio. en verdad, qué decepción, yo creí que las famosas Rutas de la Transformación sí funcionaban, pero ya vi y viví que es puso show. Imagínate que ahora tengo que esperar a que mi presidente (El Roñas) se le dé la gana de trabajar. En verdad qué decepción del gobierno de Julio Menchaca.</t>
  </si>
  <si>
    <t>Ruta de la Transformación</t>
  </si>
  <si>
    <t>El secretario de Educación Pública de Hidalgo, Natividad Castrejón Valdez, dio el banderazo de salida para la distribución de 3 millones 712 mil 142 Libros de Texto Gratuitos del ciclo escolar 2026-2027, que beneficiarán a 567 mil 191 estudiantes de educación básica en la entidad. Durante el acto protocolario, el funcionario estatal destacó que esta acción reafirma el compromiso de la administración que encabeza el gobernador Julio Menchaca Salazar de garantizar que las y los estudiantes cuenten con sus libros de texto desde el primer día de clases, en congruencia con los principios de la Nueva Escuela Mexicana (NEM). El también titular del Instituto Hidalguense de Educación (IHE) señaló que la entrega oportuna de los libros garantiza que todas y todos los estudiantes, sin importar su condición económica o lugar de residencia, dispongan de los mismos materiales educativos desde el inicio del ciclo escolar, lo que fortalece la equidad, la inclusión y la justicia social.</t>
  </si>
  <si>
    <t>Libros de texto</t>
  </si>
  <si>
    <t>Andrés Torres destaca que la fotografía de la reunión del Gabinete de Seguridad de la sema pasada en comparación con la de esta semana, se distingue porque la vestimenta ahora sí es formal. "Se nota que le están echando producción", comento. Asimismo die que el orden en que se sientan es un mensaje político también.</t>
  </si>
  <si>
    <t>Saldo blanco en Hidalgo tras festejos por el Mundial</t>
  </si>
  <si>
    <t>En San Idelfonso, comunidad de Tepeji del Río se dicen molestos por el abandono de la presidenta municipal, tomaron la presidencia municipal y hay protestas que la alcaldesa está tratando de sortear.</t>
  </si>
  <si>
    <t>En Tizayuca están complicados los tema de seguridad, la semana pasada hubo un accidente en una popular colonia de Tizayuca y esto generó que varios jóvenes fueran lesionados por el paso de una patrulla, que primero los policías declararon que había sido un derrape y con los video en mano, se comprobó que fue culpa de los policías que nunca pisaron el freno y arroyaron a varias personas. Hoy hay protestas y toda una polémica con la policía municipal de Tizayuca debido a este incidente y por si fuera menos, amanece en el ranking de los municipios con más policías que presentan agresiones, lesiones o situaciones que han lesioando su integridad física en el cumplimiento de su deber o en otras situaciones.</t>
  </si>
  <si>
    <t>El día de ayer en la Plaza Constitución de Pachuca una urban del transporte público de la ruta 11 de julio, impactó a dos mujeres y un hombre dejándolos lesionados.</t>
  </si>
  <si>
    <t>Ayer, de acuerdo con la Secretaría de Transporte en la Zona Plateada un conductor no respetó la señal de alto e invadió el carril del Tuzobús, impactando con la unidad y dejando como saldo 3 lesionados.</t>
  </si>
  <si>
    <t>Esta mañana se reporta la volcadura de un a pipa en el Bulevar Las Torres en su cruce con la carretera Pachuca- Ciudad Sahagún.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</si>
</sst>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5" tableType="queryTable" totalsRowShown="0">
  <autoFilter ref="A1:M145"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5"/>
  <sheetViews>
    <sheetView tabSelected="1" topLeftCell="A110" workbookViewId="0">
      <selection activeCell="A145" sqref="A145"/>
    </sheetView>
  </sheetViews>
  <sheetFormatPr baseColWidth="10" defaultRowHeight="15" x14ac:dyDescent="0.25"/>
  <cols>
    <col min="1" max="1" width="8.5703125" bestFit="1" customWidth="1"/>
    <col min="2" max="2" width="11.42578125" bestFit="1" customWidth="1"/>
    <col min="3" max="3" width="27.28515625" bestFit="1" customWidth="1"/>
    <col min="4" max="4" width="29.42578125" bestFit="1" customWidth="1"/>
    <col min="5" max="5" width="81.140625" bestFit="1" customWidth="1"/>
    <col min="6" max="6" width="15.28515625" bestFit="1" customWidth="1"/>
    <col min="7" max="7" width="81.1406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46209</v>
      </c>
      <c r="B2" s="1" t="str">
        <f ca="1">IF(Información1[[#This Row],[Fecha]]='Ajuste de fechas'!$A$2,"Día actual","Día anterior")</f>
        <v>Día anterior</v>
      </c>
      <c r="C2" t="s">
        <v>36</v>
      </c>
      <c r="D2" t="s">
        <v>37</v>
      </c>
      <c r="E2" t="s">
        <v>101</v>
      </c>
      <c r="F2" t="s">
        <v>34</v>
      </c>
      <c r="G2" t="s">
        <v>102</v>
      </c>
      <c r="H2" t="s">
        <v>8</v>
      </c>
      <c r="I2" t="s">
        <v>7</v>
      </c>
      <c r="J2" t="s">
        <v>31</v>
      </c>
      <c r="K2" t="s">
        <v>60</v>
      </c>
      <c r="L2" t="s">
        <v>26</v>
      </c>
      <c r="M2">
        <v>1</v>
      </c>
    </row>
    <row r="3" spans="1:13" x14ac:dyDescent="0.25">
      <c r="A3" s="2">
        <v>46209</v>
      </c>
      <c r="B3" s="1" t="str">
        <f ca="1">IF(Información1[[#This Row],[Fecha]]='Ajuste de fechas'!$A$2,"Día actual","Día anterior")</f>
        <v>Día anterior</v>
      </c>
      <c r="C3" t="s">
        <v>36</v>
      </c>
      <c r="D3" t="s">
        <v>37</v>
      </c>
      <c r="E3" t="s">
        <v>103</v>
      </c>
      <c r="F3" t="s">
        <v>17</v>
      </c>
      <c r="G3" t="s">
        <v>92</v>
      </c>
      <c r="H3" t="s">
        <v>8</v>
      </c>
      <c r="I3" t="s">
        <v>7</v>
      </c>
      <c r="J3" t="s">
        <v>31</v>
      </c>
      <c r="K3" t="s">
        <v>60</v>
      </c>
      <c r="L3" t="s">
        <v>24</v>
      </c>
      <c r="M3">
        <v>1</v>
      </c>
    </row>
    <row r="4" spans="1:13" x14ac:dyDescent="0.25">
      <c r="A4" s="2">
        <v>46209</v>
      </c>
      <c r="B4" s="1" t="str">
        <f ca="1">IF(Información1[[#This Row],[Fecha]]='Ajuste de fechas'!$A$2,"Día actual","Día anterior")</f>
        <v>Día anterior</v>
      </c>
      <c r="C4" t="s">
        <v>36</v>
      </c>
      <c r="D4" t="s">
        <v>37</v>
      </c>
      <c r="E4" t="s">
        <v>104</v>
      </c>
      <c r="F4" t="s">
        <v>10</v>
      </c>
      <c r="G4" t="s">
        <v>43</v>
      </c>
      <c r="H4" t="s">
        <v>8</v>
      </c>
      <c r="I4" t="s">
        <v>7</v>
      </c>
      <c r="J4" t="s">
        <v>33</v>
      </c>
      <c r="K4" t="s">
        <v>60</v>
      </c>
      <c r="L4" t="s">
        <v>24</v>
      </c>
      <c r="M4">
        <v>1</v>
      </c>
    </row>
    <row r="5" spans="1:13" x14ac:dyDescent="0.25">
      <c r="A5" s="2">
        <v>46209</v>
      </c>
      <c r="B5" s="1" t="str">
        <f ca="1">IF(Información1[[#This Row],[Fecha]]='Ajuste de fechas'!$A$2,"Día actual","Día anterior")</f>
        <v>Día anterior</v>
      </c>
      <c r="C5" t="s">
        <v>36</v>
      </c>
      <c r="D5" t="s">
        <v>37</v>
      </c>
      <c r="E5" t="s">
        <v>105</v>
      </c>
      <c r="F5" t="s">
        <v>10</v>
      </c>
      <c r="G5" t="s">
        <v>106</v>
      </c>
      <c r="H5" t="s">
        <v>8</v>
      </c>
      <c r="I5" t="s">
        <v>7</v>
      </c>
      <c r="J5" t="s">
        <v>33</v>
      </c>
      <c r="K5" t="s">
        <v>60</v>
      </c>
      <c r="L5" t="s">
        <v>24</v>
      </c>
      <c r="M5">
        <v>1</v>
      </c>
    </row>
    <row r="6" spans="1:13" x14ac:dyDescent="0.25">
      <c r="A6" s="2">
        <v>46209</v>
      </c>
      <c r="B6" s="1" t="str">
        <f ca="1">IF(Información1[[#This Row],[Fecha]]='Ajuste de fechas'!$A$2,"Día actual","Día anterior")</f>
        <v>Día anterior</v>
      </c>
      <c r="C6" t="s">
        <v>36</v>
      </c>
      <c r="D6" t="s">
        <v>37</v>
      </c>
      <c r="E6" t="s">
        <v>107</v>
      </c>
      <c r="F6" t="s">
        <v>11</v>
      </c>
      <c r="G6" t="s">
        <v>108</v>
      </c>
      <c r="H6" t="s">
        <v>8</v>
      </c>
      <c r="I6" t="s">
        <v>7</v>
      </c>
      <c r="J6" t="s">
        <v>32</v>
      </c>
      <c r="K6" t="s">
        <v>60</v>
      </c>
      <c r="L6" t="s">
        <v>24</v>
      </c>
      <c r="M6">
        <v>1</v>
      </c>
    </row>
    <row r="7" spans="1:13" x14ac:dyDescent="0.25">
      <c r="A7" s="2">
        <v>46209</v>
      </c>
      <c r="B7" s="1" t="str">
        <f ca="1">IF(Información1[[#This Row],[Fecha]]='Ajuste de fechas'!$A$2,"Día actual","Día anterior")</f>
        <v>Día anterior</v>
      </c>
      <c r="C7" t="s">
        <v>36</v>
      </c>
      <c r="D7" t="s">
        <v>37</v>
      </c>
      <c r="E7" t="s">
        <v>109</v>
      </c>
      <c r="F7" t="s">
        <v>11</v>
      </c>
      <c r="G7" t="s">
        <v>86</v>
      </c>
      <c r="H7" t="s">
        <v>8</v>
      </c>
      <c r="I7" t="s">
        <v>7</v>
      </c>
      <c r="J7" t="s">
        <v>32</v>
      </c>
      <c r="K7" t="s">
        <v>60</v>
      </c>
      <c r="L7" t="s">
        <v>24</v>
      </c>
      <c r="M7">
        <v>1</v>
      </c>
    </row>
    <row r="8" spans="1:13" x14ac:dyDescent="0.25">
      <c r="A8" s="2">
        <v>46209</v>
      </c>
      <c r="B8" s="1" t="str">
        <f ca="1">IF(Información1[[#This Row],[Fecha]]='Ajuste de fechas'!$A$2,"Día actual","Día anterior")</f>
        <v>Día anterior</v>
      </c>
      <c r="C8" t="s">
        <v>36</v>
      </c>
      <c r="D8" t="s">
        <v>37</v>
      </c>
      <c r="E8" t="s">
        <v>110</v>
      </c>
      <c r="F8" t="s">
        <v>10</v>
      </c>
      <c r="G8" t="s">
        <v>106</v>
      </c>
      <c r="H8" t="s">
        <v>8</v>
      </c>
      <c r="I8" t="s">
        <v>7</v>
      </c>
      <c r="J8" t="s">
        <v>33</v>
      </c>
      <c r="K8" t="s">
        <v>60</v>
      </c>
      <c r="L8" t="s">
        <v>24</v>
      </c>
      <c r="M8">
        <v>1</v>
      </c>
    </row>
    <row r="9" spans="1:13" x14ac:dyDescent="0.25">
      <c r="A9" s="2">
        <v>46209</v>
      </c>
      <c r="B9" s="1" t="str">
        <f ca="1">IF(Información1[[#This Row],[Fecha]]='Ajuste de fechas'!$A$2,"Día actual","Día anterior")</f>
        <v>Día anterior</v>
      </c>
      <c r="C9" t="s">
        <v>36</v>
      </c>
      <c r="D9" t="s">
        <v>37</v>
      </c>
      <c r="E9" t="s">
        <v>111</v>
      </c>
      <c r="F9" t="s">
        <v>10</v>
      </c>
      <c r="G9" t="s">
        <v>112</v>
      </c>
      <c r="H9" t="s">
        <v>8</v>
      </c>
      <c r="I9" t="s">
        <v>7</v>
      </c>
      <c r="J9" t="s">
        <v>33</v>
      </c>
      <c r="K9" t="s">
        <v>60</v>
      </c>
      <c r="L9" t="s">
        <v>24</v>
      </c>
      <c r="M9">
        <v>1</v>
      </c>
    </row>
    <row r="10" spans="1:13" x14ac:dyDescent="0.25">
      <c r="A10" s="2">
        <v>46209</v>
      </c>
      <c r="B10" s="1" t="str">
        <f ca="1">IF(Información1[[#This Row],[Fecha]]='Ajuste de fechas'!$A$2,"Día actual","Día anterior")</f>
        <v>Día anterior</v>
      </c>
      <c r="C10" t="s">
        <v>36</v>
      </c>
      <c r="D10" t="s">
        <v>37</v>
      </c>
      <c r="E10" t="s">
        <v>113</v>
      </c>
      <c r="F10" t="s">
        <v>38</v>
      </c>
      <c r="G10" t="s">
        <v>114</v>
      </c>
      <c r="H10" t="s">
        <v>8</v>
      </c>
      <c r="I10" t="s">
        <v>7</v>
      </c>
      <c r="J10" t="s">
        <v>31</v>
      </c>
      <c r="K10" t="s">
        <v>60</v>
      </c>
      <c r="L10" t="s">
        <v>24</v>
      </c>
      <c r="M10">
        <v>1</v>
      </c>
    </row>
    <row r="11" spans="1:13" x14ac:dyDescent="0.25">
      <c r="A11" s="2">
        <v>46209</v>
      </c>
      <c r="B11" s="1" t="str">
        <f ca="1">IF(Información1[[#This Row],[Fecha]]='Ajuste de fechas'!$A$2,"Día actual","Día anterior")</f>
        <v>Día anterior</v>
      </c>
      <c r="C11" t="s">
        <v>36</v>
      </c>
      <c r="D11" t="s">
        <v>37</v>
      </c>
      <c r="E11" t="s">
        <v>115</v>
      </c>
      <c r="F11" t="s">
        <v>38</v>
      </c>
      <c r="G11" t="s">
        <v>116</v>
      </c>
      <c r="H11" t="s">
        <v>8</v>
      </c>
      <c r="I11" t="s">
        <v>14</v>
      </c>
      <c r="J11" t="s">
        <v>31</v>
      </c>
      <c r="K11" t="s">
        <v>60</v>
      </c>
      <c r="L11" t="s">
        <v>24</v>
      </c>
      <c r="M11">
        <v>1</v>
      </c>
    </row>
    <row r="12" spans="1:13" x14ac:dyDescent="0.25">
      <c r="A12" s="2">
        <v>46209</v>
      </c>
      <c r="B12" s="1" t="str">
        <f ca="1">IF(Información1[[#This Row],[Fecha]]='Ajuste de fechas'!$A$2,"Día actual","Día anterior")</f>
        <v>Día anterior</v>
      </c>
      <c r="C12" t="s">
        <v>36</v>
      </c>
      <c r="D12" t="s">
        <v>37</v>
      </c>
      <c r="E12" t="s">
        <v>117</v>
      </c>
      <c r="F12" t="s">
        <v>74</v>
      </c>
      <c r="G12" t="s">
        <v>118</v>
      </c>
      <c r="H12" t="s">
        <v>8</v>
      </c>
      <c r="I12" t="s">
        <v>7</v>
      </c>
      <c r="J12" t="s">
        <v>31</v>
      </c>
      <c r="K12" t="s">
        <v>60</v>
      </c>
      <c r="L12" t="s">
        <v>24</v>
      </c>
      <c r="M12">
        <v>1</v>
      </c>
    </row>
    <row r="13" spans="1:13" x14ac:dyDescent="0.25">
      <c r="A13" s="2">
        <v>46209</v>
      </c>
      <c r="B13" s="1" t="str">
        <f ca="1">IF(Información1[[#This Row],[Fecha]]='Ajuste de fechas'!$A$2,"Día actual","Día anterior")</f>
        <v>Día anterior</v>
      </c>
      <c r="C13" t="s">
        <v>36</v>
      </c>
      <c r="D13" t="s">
        <v>37</v>
      </c>
      <c r="E13" t="s">
        <v>119</v>
      </c>
      <c r="F13" t="s">
        <v>15</v>
      </c>
      <c r="G13" t="s">
        <v>95</v>
      </c>
      <c r="H13" t="s">
        <v>8</v>
      </c>
      <c r="I13" t="s">
        <v>7</v>
      </c>
      <c r="J13" t="s">
        <v>31</v>
      </c>
      <c r="K13" t="s">
        <v>60</v>
      </c>
      <c r="L13" t="s">
        <v>26</v>
      </c>
      <c r="M13">
        <v>1</v>
      </c>
    </row>
    <row r="14" spans="1:13" x14ac:dyDescent="0.25">
      <c r="A14" s="2">
        <v>46209</v>
      </c>
      <c r="B14" s="1" t="str">
        <f ca="1">IF(Información1[[#This Row],[Fecha]]='Ajuste de fechas'!$A$2,"Día actual","Día anterior")</f>
        <v>Día anterior</v>
      </c>
      <c r="C14" t="s">
        <v>36</v>
      </c>
      <c r="D14" t="s">
        <v>37</v>
      </c>
      <c r="E14" t="s">
        <v>120</v>
      </c>
      <c r="F14" t="s">
        <v>10</v>
      </c>
      <c r="G14" t="s">
        <v>61</v>
      </c>
      <c r="H14" t="s">
        <v>8</v>
      </c>
      <c r="I14" t="s">
        <v>7</v>
      </c>
      <c r="J14" t="s">
        <v>33</v>
      </c>
      <c r="K14" t="s">
        <v>60</v>
      </c>
      <c r="L14" t="s">
        <v>24</v>
      </c>
      <c r="M14">
        <v>1</v>
      </c>
    </row>
    <row r="15" spans="1:13" x14ac:dyDescent="0.25">
      <c r="A15" s="2">
        <v>46209</v>
      </c>
      <c r="B15" s="1" t="str">
        <f ca="1">IF(Información1[[#This Row],[Fecha]]='Ajuste de fechas'!$A$2,"Día actual","Día anterior")</f>
        <v>Día anterior</v>
      </c>
      <c r="C15" t="s">
        <v>36</v>
      </c>
      <c r="D15" t="s">
        <v>37</v>
      </c>
      <c r="E15" t="s">
        <v>121</v>
      </c>
      <c r="F15" t="s">
        <v>10</v>
      </c>
      <c r="G15" t="s">
        <v>75</v>
      </c>
      <c r="H15" t="s">
        <v>8</v>
      </c>
      <c r="I15" t="s">
        <v>7</v>
      </c>
      <c r="J15" t="s">
        <v>33</v>
      </c>
      <c r="K15" t="s">
        <v>60</v>
      </c>
      <c r="L15" t="s">
        <v>24</v>
      </c>
      <c r="M15">
        <v>1</v>
      </c>
    </row>
    <row r="16" spans="1:13" x14ac:dyDescent="0.25">
      <c r="A16" s="2">
        <v>46209</v>
      </c>
      <c r="B16" s="1" t="str">
        <f ca="1">IF(Información1[[#This Row],[Fecha]]='Ajuste de fechas'!$A$2,"Día actual","Día anterior")</f>
        <v>Día anterior</v>
      </c>
      <c r="C16" t="s">
        <v>36</v>
      </c>
      <c r="D16" t="s">
        <v>37</v>
      </c>
      <c r="E16" t="s">
        <v>121</v>
      </c>
      <c r="F16" t="s">
        <v>9</v>
      </c>
      <c r="G16" t="s">
        <v>75</v>
      </c>
      <c r="H16" t="s">
        <v>8</v>
      </c>
      <c r="I16" t="s">
        <v>7</v>
      </c>
      <c r="J16" t="s">
        <v>31</v>
      </c>
      <c r="K16" t="s">
        <v>60</v>
      </c>
      <c r="L16" t="s">
        <v>24</v>
      </c>
      <c r="M16">
        <v>1</v>
      </c>
    </row>
    <row r="17" spans="1:13" x14ac:dyDescent="0.25">
      <c r="A17" s="2">
        <v>46209</v>
      </c>
      <c r="B17" s="1" t="str">
        <f ca="1">IF(Información1[[#This Row],[Fecha]]='Ajuste de fechas'!$A$2,"Día actual","Día anterior")</f>
        <v>Día anterior</v>
      </c>
      <c r="C17" t="s">
        <v>36</v>
      </c>
      <c r="D17" t="s">
        <v>37</v>
      </c>
      <c r="E17" t="s">
        <v>122</v>
      </c>
      <c r="F17" t="s">
        <v>10</v>
      </c>
      <c r="G17" t="s">
        <v>123</v>
      </c>
      <c r="H17" t="s">
        <v>8</v>
      </c>
      <c r="I17" t="s">
        <v>7</v>
      </c>
      <c r="J17" t="s">
        <v>33</v>
      </c>
      <c r="K17" t="s">
        <v>60</v>
      </c>
      <c r="L17" t="s">
        <v>24</v>
      </c>
      <c r="M17">
        <v>1</v>
      </c>
    </row>
    <row r="18" spans="1:13" x14ac:dyDescent="0.25">
      <c r="A18" s="2">
        <v>46209</v>
      </c>
      <c r="B18" s="1" t="str">
        <f ca="1">IF(Información1[[#This Row],[Fecha]]='Ajuste de fechas'!$A$2,"Día actual","Día anterior")</f>
        <v>Día anterior</v>
      </c>
      <c r="C18" t="s">
        <v>36</v>
      </c>
      <c r="D18" t="s">
        <v>37</v>
      </c>
      <c r="E18" t="s">
        <v>124</v>
      </c>
      <c r="F18" t="s">
        <v>13</v>
      </c>
      <c r="G18" t="s">
        <v>125</v>
      </c>
      <c r="H18" t="s">
        <v>8</v>
      </c>
      <c r="I18" t="s">
        <v>7</v>
      </c>
      <c r="J18" t="s">
        <v>13</v>
      </c>
      <c r="K18" t="s">
        <v>60</v>
      </c>
      <c r="L18" t="s">
        <v>24</v>
      </c>
      <c r="M18">
        <v>1</v>
      </c>
    </row>
    <row r="19" spans="1:13" x14ac:dyDescent="0.25">
      <c r="A19" s="2">
        <v>46209</v>
      </c>
      <c r="B19" s="1" t="str">
        <f ca="1">IF(Información1[[#This Row],[Fecha]]='Ajuste de fechas'!$A$2,"Día actual","Día anterior")</f>
        <v>Día anterior</v>
      </c>
      <c r="C19" t="s">
        <v>36</v>
      </c>
      <c r="D19" t="s">
        <v>37</v>
      </c>
      <c r="E19" t="s">
        <v>126</v>
      </c>
      <c r="F19" t="s">
        <v>10</v>
      </c>
      <c r="G19" t="s">
        <v>87</v>
      </c>
      <c r="H19" t="s">
        <v>8</v>
      </c>
      <c r="I19" t="s">
        <v>7</v>
      </c>
      <c r="J19" t="s">
        <v>33</v>
      </c>
      <c r="K19" t="s">
        <v>60</v>
      </c>
      <c r="L19" t="s">
        <v>24</v>
      </c>
      <c r="M19">
        <v>1</v>
      </c>
    </row>
    <row r="20" spans="1:13" x14ac:dyDescent="0.25">
      <c r="A20" s="2">
        <v>46209</v>
      </c>
      <c r="B20" s="1" t="str">
        <f ca="1">IF(Información1[[#This Row],[Fecha]]='Ajuste de fechas'!$A$2,"Día actual","Día anterior")</f>
        <v>Día anterior</v>
      </c>
      <c r="C20" t="s">
        <v>36</v>
      </c>
      <c r="D20" t="s">
        <v>37</v>
      </c>
      <c r="E20" t="s">
        <v>39</v>
      </c>
      <c r="F20" t="s">
        <v>10</v>
      </c>
      <c r="G20" t="s">
        <v>43</v>
      </c>
      <c r="H20" t="s">
        <v>8</v>
      </c>
      <c r="I20" t="s">
        <v>7</v>
      </c>
      <c r="J20" t="s">
        <v>33</v>
      </c>
      <c r="K20" t="s">
        <v>60</v>
      </c>
      <c r="L20" t="s">
        <v>24</v>
      </c>
      <c r="M20">
        <v>1</v>
      </c>
    </row>
    <row r="21" spans="1:13" x14ac:dyDescent="0.25">
      <c r="A21" s="2">
        <v>46209</v>
      </c>
      <c r="B21" s="1" t="str">
        <f ca="1">IF(Información1[[#This Row],[Fecha]]='Ajuste de fechas'!$A$2,"Día actual","Día anterior")</f>
        <v>Día anterior</v>
      </c>
      <c r="C21" t="s">
        <v>36</v>
      </c>
      <c r="D21" t="s">
        <v>37</v>
      </c>
      <c r="E21" t="s">
        <v>127</v>
      </c>
      <c r="F21" t="s">
        <v>10</v>
      </c>
      <c r="G21" t="s">
        <v>91</v>
      </c>
      <c r="H21" t="s">
        <v>8</v>
      </c>
      <c r="I21" t="s">
        <v>14</v>
      </c>
      <c r="J21" t="s">
        <v>33</v>
      </c>
      <c r="K21" t="s">
        <v>60</v>
      </c>
      <c r="L21" t="s">
        <v>25</v>
      </c>
      <c r="M21">
        <v>1</v>
      </c>
    </row>
    <row r="22" spans="1:13" x14ac:dyDescent="0.25">
      <c r="A22" s="2">
        <v>46209</v>
      </c>
      <c r="B22" s="1" t="str">
        <f ca="1">IF(Información1[[#This Row],[Fecha]]='Ajuste de fechas'!$A$2,"Día actual","Día anterior")</f>
        <v>Día anterior</v>
      </c>
      <c r="C22" t="s">
        <v>36</v>
      </c>
      <c r="D22" t="s">
        <v>37</v>
      </c>
      <c r="E22" t="s">
        <v>128</v>
      </c>
      <c r="F22" t="s">
        <v>46</v>
      </c>
      <c r="G22" t="s">
        <v>129</v>
      </c>
      <c r="H22" t="s">
        <v>8</v>
      </c>
      <c r="I22" t="s">
        <v>7</v>
      </c>
      <c r="J22" t="s">
        <v>31</v>
      </c>
      <c r="K22" t="s">
        <v>60</v>
      </c>
      <c r="L22" t="s">
        <v>24</v>
      </c>
      <c r="M22">
        <v>1</v>
      </c>
    </row>
    <row r="23" spans="1:13" x14ac:dyDescent="0.25">
      <c r="A23" s="2">
        <v>46209</v>
      </c>
      <c r="B23" s="1" t="str">
        <f ca="1">IF(Información1[[#This Row],[Fecha]]='Ajuste de fechas'!$A$2,"Día actual","Día anterior")</f>
        <v>Día anterior</v>
      </c>
      <c r="C23" t="s">
        <v>36</v>
      </c>
      <c r="D23" t="s">
        <v>37</v>
      </c>
      <c r="E23" t="s">
        <v>130</v>
      </c>
      <c r="F23" t="s">
        <v>46</v>
      </c>
      <c r="G23" t="s">
        <v>131</v>
      </c>
      <c r="H23" t="s">
        <v>8</v>
      </c>
      <c r="I23" t="s">
        <v>7</v>
      </c>
      <c r="J23" t="s">
        <v>31</v>
      </c>
      <c r="K23" t="s">
        <v>60</v>
      </c>
      <c r="L23" t="s">
        <v>24</v>
      </c>
      <c r="M23">
        <v>1</v>
      </c>
    </row>
    <row r="24" spans="1:13" x14ac:dyDescent="0.25">
      <c r="A24" s="2">
        <v>46209</v>
      </c>
      <c r="B24" s="1" t="str">
        <f ca="1">IF(Información1[[#This Row],[Fecha]]='Ajuste de fechas'!$A$2,"Día actual","Día anterior")</f>
        <v>Día anterior</v>
      </c>
      <c r="C24" t="s">
        <v>36</v>
      </c>
      <c r="D24" t="s">
        <v>37</v>
      </c>
      <c r="E24" t="s">
        <v>132</v>
      </c>
      <c r="F24" t="s">
        <v>46</v>
      </c>
      <c r="G24" t="s">
        <v>93</v>
      </c>
      <c r="H24" t="s">
        <v>8</v>
      </c>
      <c r="I24" t="s">
        <v>7</v>
      </c>
      <c r="J24" t="s">
        <v>31</v>
      </c>
      <c r="K24" t="s">
        <v>60</v>
      </c>
      <c r="L24" t="s">
        <v>24</v>
      </c>
      <c r="M24">
        <v>1</v>
      </c>
    </row>
    <row r="25" spans="1:13" x14ac:dyDescent="0.25">
      <c r="A25" s="2">
        <v>46209</v>
      </c>
      <c r="B25" s="1" t="str">
        <f ca="1">IF(Información1[[#This Row],[Fecha]]='Ajuste de fechas'!$A$2,"Día actual","Día anterior")</f>
        <v>Día anterior</v>
      </c>
      <c r="C25" t="s">
        <v>36</v>
      </c>
      <c r="D25" t="s">
        <v>37</v>
      </c>
      <c r="E25" t="s">
        <v>133</v>
      </c>
      <c r="F25" t="s">
        <v>15</v>
      </c>
      <c r="G25" t="s">
        <v>134</v>
      </c>
      <c r="H25" t="s">
        <v>8</v>
      </c>
      <c r="I25" t="s">
        <v>7</v>
      </c>
      <c r="J25" t="s">
        <v>31</v>
      </c>
      <c r="K25" t="s">
        <v>60</v>
      </c>
      <c r="L25" t="s">
        <v>24</v>
      </c>
      <c r="M25">
        <v>1</v>
      </c>
    </row>
    <row r="26" spans="1:13" x14ac:dyDescent="0.25">
      <c r="A26" s="2">
        <v>46209</v>
      </c>
      <c r="B26" s="1" t="str">
        <f ca="1">IF(Información1[[#This Row],[Fecha]]='Ajuste de fechas'!$A$2,"Día actual","Día anterior")</f>
        <v>Día anterior</v>
      </c>
      <c r="C26" t="s">
        <v>40</v>
      </c>
      <c r="D26" t="s">
        <v>41</v>
      </c>
      <c r="E26" t="s">
        <v>135</v>
      </c>
      <c r="F26" t="s">
        <v>136</v>
      </c>
      <c r="G26" t="s">
        <v>137</v>
      </c>
      <c r="H26" t="s">
        <v>35</v>
      </c>
      <c r="I26" t="s">
        <v>7</v>
      </c>
      <c r="J26" t="s">
        <v>89</v>
      </c>
      <c r="K26" t="s">
        <v>138</v>
      </c>
      <c r="L26" t="s">
        <v>25</v>
      </c>
      <c r="M26">
        <v>1</v>
      </c>
    </row>
    <row r="27" spans="1:13" x14ac:dyDescent="0.25">
      <c r="A27" s="2">
        <v>46209</v>
      </c>
      <c r="B27" s="1" t="str">
        <f ca="1">IF(Información1[[#This Row],[Fecha]]='Ajuste de fechas'!$A$2,"Día actual","Día anterior")</f>
        <v>Día anterior</v>
      </c>
      <c r="C27" t="s">
        <v>40</v>
      </c>
      <c r="D27" t="s">
        <v>41</v>
      </c>
      <c r="E27" t="s">
        <v>139</v>
      </c>
      <c r="F27" t="s">
        <v>9</v>
      </c>
      <c r="G27" t="s">
        <v>100</v>
      </c>
      <c r="H27" t="s">
        <v>35</v>
      </c>
      <c r="I27" t="s">
        <v>14</v>
      </c>
      <c r="J27" t="s">
        <v>31</v>
      </c>
      <c r="K27" t="s">
        <v>42</v>
      </c>
      <c r="L27" t="s">
        <v>25</v>
      </c>
      <c r="M27">
        <v>1</v>
      </c>
    </row>
    <row r="28" spans="1:13" x14ac:dyDescent="0.25">
      <c r="A28" s="2">
        <v>46209</v>
      </c>
      <c r="B28" s="1" t="str">
        <f ca="1">IF(Información1[[#This Row],[Fecha]]='Ajuste de fechas'!$A$2,"Día actual","Día anterior")</f>
        <v>Día anterior</v>
      </c>
      <c r="C28" t="s">
        <v>40</v>
      </c>
      <c r="D28" t="s">
        <v>41</v>
      </c>
      <c r="E28" t="s">
        <v>140</v>
      </c>
      <c r="F28" t="s">
        <v>13</v>
      </c>
      <c r="G28" t="s">
        <v>100</v>
      </c>
      <c r="H28" t="s">
        <v>35</v>
      </c>
      <c r="I28" t="s">
        <v>7</v>
      </c>
      <c r="J28" t="s">
        <v>13</v>
      </c>
      <c r="K28" t="s">
        <v>42</v>
      </c>
      <c r="L28" t="s">
        <v>24</v>
      </c>
      <c r="M28">
        <v>1</v>
      </c>
    </row>
    <row r="29" spans="1:13" x14ac:dyDescent="0.25">
      <c r="A29" s="2">
        <v>46209</v>
      </c>
      <c r="B29" s="1" t="str">
        <f ca="1">IF(Información1[[#This Row],[Fecha]]='Ajuste de fechas'!$A$2,"Día actual","Día anterior")</f>
        <v>Día anterior</v>
      </c>
      <c r="C29" t="s">
        <v>40</v>
      </c>
      <c r="D29" t="s">
        <v>41</v>
      </c>
      <c r="E29" t="s">
        <v>141</v>
      </c>
      <c r="F29" t="s">
        <v>34</v>
      </c>
      <c r="G29" t="s">
        <v>142</v>
      </c>
      <c r="H29" t="s">
        <v>35</v>
      </c>
      <c r="I29" t="s">
        <v>7</v>
      </c>
      <c r="J29" t="s">
        <v>31</v>
      </c>
      <c r="K29" t="s">
        <v>42</v>
      </c>
      <c r="L29" t="s">
        <v>26</v>
      </c>
      <c r="M29">
        <v>1</v>
      </c>
    </row>
    <row r="30" spans="1:13" x14ac:dyDescent="0.25">
      <c r="A30" s="2">
        <v>46209</v>
      </c>
      <c r="B30" s="1" t="str">
        <f ca="1">IF(Información1[[#This Row],[Fecha]]='Ajuste de fechas'!$A$2,"Día actual","Día anterior")</f>
        <v>Día anterior</v>
      </c>
      <c r="C30" t="s">
        <v>40</v>
      </c>
      <c r="D30" t="s">
        <v>41</v>
      </c>
      <c r="E30" t="s">
        <v>143</v>
      </c>
      <c r="F30" t="s">
        <v>11</v>
      </c>
      <c r="G30" t="s">
        <v>144</v>
      </c>
      <c r="H30" t="s">
        <v>35</v>
      </c>
      <c r="I30" t="s">
        <v>7</v>
      </c>
      <c r="J30" t="s">
        <v>32</v>
      </c>
      <c r="K30" t="s">
        <v>42</v>
      </c>
      <c r="L30" t="s">
        <v>24</v>
      </c>
      <c r="M30">
        <v>1</v>
      </c>
    </row>
    <row r="31" spans="1:13" x14ac:dyDescent="0.25">
      <c r="A31" s="2">
        <v>46209</v>
      </c>
      <c r="B31" s="1" t="str">
        <f ca="1">IF(Información1[[#This Row],[Fecha]]='Ajuste de fechas'!$A$2,"Día actual","Día anterior")</f>
        <v>Día anterior</v>
      </c>
      <c r="C31" t="s">
        <v>40</v>
      </c>
      <c r="D31" t="s">
        <v>41</v>
      </c>
      <c r="E31" t="s">
        <v>145</v>
      </c>
      <c r="F31" t="s">
        <v>9</v>
      </c>
      <c r="G31" t="s">
        <v>76</v>
      </c>
      <c r="H31" t="s">
        <v>35</v>
      </c>
      <c r="I31" t="s">
        <v>7</v>
      </c>
      <c r="J31" t="s">
        <v>31</v>
      </c>
      <c r="K31" t="s">
        <v>42</v>
      </c>
      <c r="L31" t="s">
        <v>24</v>
      </c>
      <c r="M31">
        <v>1</v>
      </c>
    </row>
    <row r="32" spans="1:13" x14ac:dyDescent="0.25">
      <c r="A32" s="2">
        <v>46209</v>
      </c>
      <c r="B32" s="1" t="str">
        <f ca="1">IF(Información1[[#This Row],[Fecha]]='Ajuste de fechas'!$A$2,"Día actual","Día anterior")</f>
        <v>Día anterior</v>
      </c>
      <c r="C32" t="s">
        <v>40</v>
      </c>
      <c r="D32" t="s">
        <v>41</v>
      </c>
      <c r="E32" t="s">
        <v>146</v>
      </c>
      <c r="F32" t="s">
        <v>136</v>
      </c>
      <c r="G32" t="s">
        <v>137</v>
      </c>
      <c r="H32" t="s">
        <v>35</v>
      </c>
      <c r="I32" t="s">
        <v>7</v>
      </c>
      <c r="J32" t="s">
        <v>89</v>
      </c>
      <c r="K32" t="s">
        <v>42</v>
      </c>
      <c r="L32" t="s">
        <v>25</v>
      </c>
      <c r="M32">
        <v>1</v>
      </c>
    </row>
    <row r="33" spans="1:13" x14ac:dyDescent="0.25">
      <c r="A33" s="2">
        <v>46209</v>
      </c>
      <c r="B33" s="1" t="str">
        <f ca="1">IF(Información1[[#This Row],[Fecha]]='Ajuste de fechas'!$A$2,"Día actual","Día anterior")</f>
        <v>Día anterior</v>
      </c>
      <c r="C33" t="s">
        <v>40</v>
      </c>
      <c r="D33" t="s">
        <v>41</v>
      </c>
      <c r="E33" t="s">
        <v>147</v>
      </c>
      <c r="F33" t="s">
        <v>10</v>
      </c>
      <c r="G33" t="s">
        <v>43</v>
      </c>
      <c r="H33" t="s">
        <v>35</v>
      </c>
      <c r="I33" t="s">
        <v>7</v>
      </c>
      <c r="J33" t="s">
        <v>33</v>
      </c>
      <c r="K33" t="s">
        <v>42</v>
      </c>
      <c r="L33" t="s">
        <v>24</v>
      </c>
      <c r="M33">
        <v>1</v>
      </c>
    </row>
    <row r="34" spans="1:13" x14ac:dyDescent="0.25">
      <c r="A34" s="2">
        <v>46209</v>
      </c>
      <c r="B34" s="1" t="str">
        <f ca="1">IF(Información1[[#This Row],[Fecha]]='Ajuste de fechas'!$A$2,"Día actual","Día anterior")</f>
        <v>Día anterior</v>
      </c>
      <c r="C34" t="s">
        <v>40</v>
      </c>
      <c r="D34" t="s">
        <v>41</v>
      </c>
      <c r="E34" t="s">
        <v>148</v>
      </c>
      <c r="F34" t="s">
        <v>17</v>
      </c>
      <c r="G34" t="s">
        <v>149</v>
      </c>
      <c r="H34" t="s">
        <v>35</v>
      </c>
      <c r="I34" t="s">
        <v>7</v>
      </c>
      <c r="J34" t="s">
        <v>31</v>
      </c>
      <c r="K34" t="s">
        <v>42</v>
      </c>
      <c r="L34" t="s">
        <v>26</v>
      </c>
      <c r="M34">
        <v>1</v>
      </c>
    </row>
    <row r="35" spans="1:13" x14ac:dyDescent="0.25">
      <c r="A35" s="2">
        <v>46209</v>
      </c>
      <c r="B35" s="1" t="str">
        <f ca="1">IF(Información1[[#This Row],[Fecha]]='Ajuste de fechas'!$A$2,"Día actual","Día anterior")</f>
        <v>Día anterior</v>
      </c>
      <c r="C35" t="s">
        <v>40</v>
      </c>
      <c r="D35" t="s">
        <v>41</v>
      </c>
      <c r="E35" t="s">
        <v>150</v>
      </c>
      <c r="F35" t="s">
        <v>65</v>
      </c>
      <c r="G35" t="s">
        <v>151</v>
      </c>
      <c r="H35" t="s">
        <v>35</v>
      </c>
      <c r="I35" t="s">
        <v>7</v>
      </c>
      <c r="J35" t="s">
        <v>31</v>
      </c>
      <c r="K35" t="s">
        <v>42</v>
      </c>
      <c r="L35" t="s">
        <v>26</v>
      </c>
      <c r="M35">
        <v>1</v>
      </c>
    </row>
    <row r="36" spans="1:13" x14ac:dyDescent="0.25">
      <c r="A36" s="2">
        <v>46209</v>
      </c>
      <c r="B36" s="1" t="str">
        <f ca="1">IF(Información1[[#This Row],[Fecha]]='Ajuste de fechas'!$A$2,"Día actual","Día anterior")</f>
        <v>Día anterior</v>
      </c>
      <c r="C36" t="s">
        <v>40</v>
      </c>
      <c r="D36" t="s">
        <v>41</v>
      </c>
      <c r="E36" t="s">
        <v>101</v>
      </c>
      <c r="F36" t="s">
        <v>34</v>
      </c>
      <c r="G36" t="s">
        <v>102</v>
      </c>
      <c r="H36" t="s">
        <v>35</v>
      </c>
      <c r="I36" t="s">
        <v>7</v>
      </c>
      <c r="J36" t="s">
        <v>31</v>
      </c>
      <c r="K36" t="s">
        <v>42</v>
      </c>
      <c r="L36" t="s">
        <v>26</v>
      </c>
      <c r="M36">
        <v>1</v>
      </c>
    </row>
    <row r="37" spans="1:13" x14ac:dyDescent="0.25">
      <c r="A37" s="2">
        <v>46209</v>
      </c>
      <c r="B37" s="1" t="str">
        <f ca="1">IF(Información1[[#This Row],[Fecha]]='Ajuste de fechas'!$A$2,"Día actual","Día anterior")</f>
        <v>Día anterior</v>
      </c>
      <c r="C37" t="s">
        <v>40</v>
      </c>
      <c r="D37" t="s">
        <v>41</v>
      </c>
      <c r="E37" t="s">
        <v>152</v>
      </c>
      <c r="F37" t="s">
        <v>15</v>
      </c>
      <c r="G37" t="s">
        <v>95</v>
      </c>
      <c r="H37" t="s">
        <v>35</v>
      </c>
      <c r="I37" t="s">
        <v>7</v>
      </c>
      <c r="J37" t="s">
        <v>31</v>
      </c>
      <c r="K37" t="s">
        <v>42</v>
      </c>
      <c r="L37" t="s">
        <v>26</v>
      </c>
      <c r="M37">
        <v>1</v>
      </c>
    </row>
    <row r="38" spans="1:13" x14ac:dyDescent="0.25">
      <c r="A38" s="2">
        <v>46209</v>
      </c>
      <c r="B38" s="1" t="str">
        <f ca="1">IF(Información1[[#This Row],[Fecha]]='Ajuste de fechas'!$A$2,"Día actual","Día anterior")</f>
        <v>Día anterior</v>
      </c>
      <c r="C38" t="s">
        <v>40</v>
      </c>
      <c r="D38" t="s">
        <v>41</v>
      </c>
      <c r="E38" t="s">
        <v>153</v>
      </c>
      <c r="F38" t="s">
        <v>9</v>
      </c>
      <c r="G38" t="s">
        <v>154</v>
      </c>
      <c r="H38" t="s">
        <v>35</v>
      </c>
      <c r="I38" t="s">
        <v>7</v>
      </c>
      <c r="J38" t="s">
        <v>31</v>
      </c>
      <c r="K38" t="s">
        <v>42</v>
      </c>
      <c r="L38" t="s">
        <v>24</v>
      </c>
      <c r="M38">
        <v>1</v>
      </c>
    </row>
    <row r="39" spans="1:13" x14ac:dyDescent="0.25">
      <c r="A39" s="2">
        <v>46209</v>
      </c>
      <c r="B39" s="1" t="str">
        <f ca="1">IF(Información1[[#This Row],[Fecha]]='Ajuste de fechas'!$A$2,"Día actual","Día anterior")</f>
        <v>Día anterior</v>
      </c>
      <c r="C39" t="s">
        <v>78</v>
      </c>
      <c r="D39" t="s">
        <v>79</v>
      </c>
      <c r="E39" t="s">
        <v>155</v>
      </c>
      <c r="F39" t="s">
        <v>10</v>
      </c>
      <c r="G39" t="s">
        <v>156</v>
      </c>
      <c r="H39" t="s">
        <v>8</v>
      </c>
      <c r="I39" t="s">
        <v>7</v>
      </c>
      <c r="J39" t="s">
        <v>33</v>
      </c>
      <c r="K39" t="s">
        <v>80</v>
      </c>
      <c r="L39" t="s">
        <v>24</v>
      </c>
      <c r="M39">
        <v>1</v>
      </c>
    </row>
    <row r="40" spans="1:13" x14ac:dyDescent="0.25">
      <c r="A40" s="2">
        <v>46209</v>
      </c>
      <c r="B40" s="1" t="str">
        <f ca="1">IF(Información1[[#This Row],[Fecha]]='Ajuste de fechas'!$A$2,"Día actual","Día anterior")</f>
        <v>Día anterior</v>
      </c>
      <c r="C40" t="s">
        <v>78</v>
      </c>
      <c r="D40" t="s">
        <v>79</v>
      </c>
      <c r="E40" t="s">
        <v>157</v>
      </c>
      <c r="F40" t="s">
        <v>10</v>
      </c>
      <c r="G40" t="s">
        <v>97</v>
      </c>
      <c r="H40" t="s">
        <v>8</v>
      </c>
      <c r="I40" t="s">
        <v>7</v>
      </c>
      <c r="J40" t="s">
        <v>33</v>
      </c>
      <c r="K40" t="s">
        <v>80</v>
      </c>
      <c r="L40" t="s">
        <v>24</v>
      </c>
      <c r="M40">
        <v>1</v>
      </c>
    </row>
    <row r="41" spans="1:13" x14ac:dyDescent="0.25">
      <c r="A41" s="2">
        <v>46209</v>
      </c>
      <c r="B41" s="1" t="str">
        <f ca="1">IF(Información1[[#This Row],[Fecha]]='Ajuste de fechas'!$A$2,"Día actual","Día anterior")</f>
        <v>Día anterior</v>
      </c>
      <c r="C41" t="s">
        <v>78</v>
      </c>
      <c r="D41" t="s">
        <v>79</v>
      </c>
      <c r="E41" t="s">
        <v>158</v>
      </c>
      <c r="F41" t="s">
        <v>46</v>
      </c>
      <c r="G41" t="s">
        <v>70</v>
      </c>
      <c r="H41" t="s">
        <v>8</v>
      </c>
      <c r="I41" t="s">
        <v>14</v>
      </c>
      <c r="J41" t="s">
        <v>31</v>
      </c>
      <c r="K41" t="s">
        <v>45</v>
      </c>
      <c r="L41" t="s">
        <v>25</v>
      </c>
      <c r="M41">
        <v>1</v>
      </c>
    </row>
    <row r="42" spans="1:13" x14ac:dyDescent="0.25">
      <c r="A42" s="2">
        <v>46209</v>
      </c>
      <c r="B42" s="1" t="str">
        <f ca="1">IF(Información1[[#This Row],[Fecha]]='Ajuste de fechas'!$A$2,"Día actual","Día anterior")</f>
        <v>Día anterior</v>
      </c>
      <c r="C42" t="s">
        <v>66</v>
      </c>
      <c r="D42" t="s">
        <v>67</v>
      </c>
      <c r="E42" t="s">
        <v>159</v>
      </c>
      <c r="F42" t="s">
        <v>65</v>
      </c>
      <c r="G42" t="s">
        <v>151</v>
      </c>
      <c r="H42" t="s">
        <v>8</v>
      </c>
      <c r="I42" t="s">
        <v>7</v>
      </c>
      <c r="J42" t="s">
        <v>31</v>
      </c>
      <c r="K42" t="s">
        <v>68</v>
      </c>
      <c r="L42" t="s">
        <v>26</v>
      </c>
      <c r="M42">
        <v>1</v>
      </c>
    </row>
    <row r="43" spans="1:13" x14ac:dyDescent="0.25">
      <c r="A43" s="2">
        <v>46209</v>
      </c>
      <c r="B43" s="1" t="str">
        <f ca="1">IF(Información1[[#This Row],[Fecha]]='Ajuste de fechas'!$A$2,"Día actual","Día anterior")</f>
        <v>Día anterior</v>
      </c>
      <c r="C43" t="s">
        <v>82</v>
      </c>
      <c r="D43" t="s">
        <v>83</v>
      </c>
      <c r="E43" t="s">
        <v>160</v>
      </c>
      <c r="F43" t="s">
        <v>13</v>
      </c>
      <c r="G43" t="s">
        <v>161</v>
      </c>
      <c r="H43" t="s">
        <v>8</v>
      </c>
      <c r="I43" t="s">
        <v>7</v>
      </c>
      <c r="J43" t="s">
        <v>13</v>
      </c>
      <c r="K43" t="s">
        <v>84</v>
      </c>
      <c r="L43" t="s">
        <v>24</v>
      </c>
      <c r="M43">
        <v>1</v>
      </c>
    </row>
    <row r="44" spans="1:13" x14ac:dyDescent="0.25">
      <c r="A44" s="2">
        <v>46209</v>
      </c>
      <c r="B44" s="1" t="str">
        <f ca="1">IF(Información1[[#This Row],[Fecha]]='Ajuste de fechas'!$A$2,"Día actual","Día anterior")</f>
        <v>Día anterior</v>
      </c>
      <c r="C44" t="s">
        <v>82</v>
      </c>
      <c r="D44" t="s">
        <v>83</v>
      </c>
      <c r="E44" t="s">
        <v>162</v>
      </c>
      <c r="F44" t="s">
        <v>10</v>
      </c>
      <c r="G44" t="s">
        <v>87</v>
      </c>
      <c r="H44" t="s">
        <v>8</v>
      </c>
      <c r="I44" t="s">
        <v>14</v>
      </c>
      <c r="J44" t="s">
        <v>33</v>
      </c>
      <c r="K44" t="s">
        <v>84</v>
      </c>
      <c r="L44" t="s">
        <v>24</v>
      </c>
      <c r="M44">
        <v>1</v>
      </c>
    </row>
    <row r="45" spans="1:13" x14ac:dyDescent="0.25">
      <c r="A45" s="2">
        <v>46209</v>
      </c>
      <c r="B45" s="1" t="str">
        <f ca="1">IF(Información1[[#This Row],[Fecha]]='Ajuste de fechas'!$A$2,"Día actual","Día anterior")</f>
        <v>Día anterior</v>
      </c>
      <c r="C45" t="s">
        <v>82</v>
      </c>
      <c r="D45" t="s">
        <v>83</v>
      </c>
      <c r="E45" t="s">
        <v>163</v>
      </c>
      <c r="F45" t="s">
        <v>30</v>
      </c>
      <c r="G45" t="s">
        <v>87</v>
      </c>
      <c r="H45" t="s">
        <v>8</v>
      </c>
      <c r="I45" t="s">
        <v>7</v>
      </c>
      <c r="J45" t="s">
        <v>13</v>
      </c>
      <c r="K45" t="s">
        <v>84</v>
      </c>
      <c r="L45" t="s">
        <v>24</v>
      </c>
      <c r="M45">
        <v>1</v>
      </c>
    </row>
    <row r="46" spans="1:13" x14ac:dyDescent="0.25">
      <c r="A46" s="2">
        <v>46209</v>
      </c>
      <c r="B46" s="1" t="str">
        <f ca="1">IF(Información1[[#This Row],[Fecha]]='Ajuste de fechas'!$A$2,"Día actual","Día anterior")</f>
        <v>Día anterior</v>
      </c>
      <c r="C46" t="s">
        <v>82</v>
      </c>
      <c r="D46" t="s">
        <v>83</v>
      </c>
      <c r="E46" t="s">
        <v>164</v>
      </c>
      <c r="F46" t="s">
        <v>9</v>
      </c>
      <c r="G46" t="s">
        <v>165</v>
      </c>
      <c r="H46" t="s">
        <v>8</v>
      </c>
      <c r="I46" t="s">
        <v>7</v>
      </c>
      <c r="J46" t="s">
        <v>31</v>
      </c>
      <c r="K46" t="s">
        <v>84</v>
      </c>
      <c r="L46" t="s">
        <v>24</v>
      </c>
      <c r="M46">
        <v>1</v>
      </c>
    </row>
    <row r="47" spans="1:13" x14ac:dyDescent="0.25">
      <c r="A47" s="2">
        <v>46209</v>
      </c>
      <c r="B47" s="1" t="str">
        <f ca="1">IF(Información1[[#This Row],[Fecha]]='Ajuste de fechas'!$A$2,"Día actual","Día anterior")</f>
        <v>Día anterior</v>
      </c>
      <c r="C47" t="s">
        <v>82</v>
      </c>
      <c r="D47" t="s">
        <v>83</v>
      </c>
      <c r="E47" t="s">
        <v>166</v>
      </c>
      <c r="F47" t="s">
        <v>30</v>
      </c>
      <c r="G47" t="s">
        <v>165</v>
      </c>
      <c r="H47" t="s">
        <v>8</v>
      </c>
      <c r="I47" t="s">
        <v>7</v>
      </c>
      <c r="J47" t="s">
        <v>13</v>
      </c>
      <c r="K47" t="s">
        <v>84</v>
      </c>
      <c r="L47" t="s">
        <v>24</v>
      </c>
      <c r="M47">
        <v>1</v>
      </c>
    </row>
    <row r="48" spans="1:13" x14ac:dyDescent="0.25">
      <c r="A48" s="2">
        <v>46209</v>
      </c>
      <c r="B48" s="1" t="str">
        <f ca="1">IF(Información1[[#This Row],[Fecha]]='Ajuste de fechas'!$A$2,"Día actual","Día anterior")</f>
        <v>Día anterior</v>
      </c>
      <c r="C48" t="s">
        <v>82</v>
      </c>
      <c r="D48" t="s">
        <v>83</v>
      </c>
      <c r="E48" t="s">
        <v>167</v>
      </c>
      <c r="F48" t="s">
        <v>96</v>
      </c>
      <c r="G48" t="s">
        <v>168</v>
      </c>
      <c r="H48" t="s">
        <v>8</v>
      </c>
      <c r="I48" t="s">
        <v>7</v>
      </c>
      <c r="J48" t="s">
        <v>31</v>
      </c>
      <c r="K48" t="s">
        <v>84</v>
      </c>
      <c r="L48" t="s">
        <v>26</v>
      </c>
      <c r="M48">
        <v>1</v>
      </c>
    </row>
    <row r="49" spans="1:13" x14ac:dyDescent="0.25">
      <c r="A49" s="2">
        <v>46209</v>
      </c>
      <c r="B49" s="1" t="str">
        <f ca="1">IF(Información1[[#This Row],[Fecha]]='Ajuste de fechas'!$A$2,"Día actual","Día anterior")</f>
        <v>Día anterior</v>
      </c>
      <c r="C49" t="s">
        <v>82</v>
      </c>
      <c r="D49" t="s">
        <v>83</v>
      </c>
      <c r="E49" t="s">
        <v>169</v>
      </c>
      <c r="F49" t="s">
        <v>30</v>
      </c>
      <c r="G49" t="s">
        <v>98</v>
      </c>
      <c r="H49" t="s">
        <v>8</v>
      </c>
      <c r="I49" t="s">
        <v>7</v>
      </c>
      <c r="J49" t="s">
        <v>13</v>
      </c>
      <c r="K49" t="s">
        <v>84</v>
      </c>
      <c r="L49" t="s">
        <v>24</v>
      </c>
      <c r="M49">
        <v>1</v>
      </c>
    </row>
    <row r="50" spans="1:13" x14ac:dyDescent="0.25">
      <c r="A50" s="2">
        <v>46209</v>
      </c>
      <c r="B50" s="1" t="str">
        <f ca="1">IF(Información1[[#This Row],[Fecha]]='Ajuste de fechas'!$A$2,"Día actual","Día anterior")</f>
        <v>Día anterior</v>
      </c>
      <c r="C50" t="s">
        <v>82</v>
      </c>
      <c r="D50" t="s">
        <v>83</v>
      </c>
      <c r="E50" t="s">
        <v>119</v>
      </c>
      <c r="F50" t="s">
        <v>15</v>
      </c>
      <c r="G50" t="s">
        <v>95</v>
      </c>
      <c r="H50" t="s">
        <v>8</v>
      </c>
      <c r="I50" t="s">
        <v>7</v>
      </c>
      <c r="J50" t="s">
        <v>31</v>
      </c>
      <c r="K50" t="s">
        <v>84</v>
      </c>
      <c r="L50" t="s">
        <v>26</v>
      </c>
      <c r="M50">
        <v>1</v>
      </c>
    </row>
    <row r="51" spans="1:13" x14ac:dyDescent="0.25">
      <c r="A51" s="2">
        <v>46209</v>
      </c>
      <c r="B51" s="1" t="str">
        <f ca="1">IF(Información1[[#This Row],[Fecha]]='Ajuste de fechas'!$A$2,"Día actual","Día anterior")</f>
        <v>Día anterior</v>
      </c>
      <c r="C51" t="s">
        <v>82</v>
      </c>
      <c r="D51" t="s">
        <v>83</v>
      </c>
      <c r="E51" t="s">
        <v>159</v>
      </c>
      <c r="F51" t="s">
        <v>65</v>
      </c>
      <c r="G51" t="s">
        <v>151</v>
      </c>
      <c r="H51" t="s">
        <v>8</v>
      </c>
      <c r="I51" t="s">
        <v>7</v>
      </c>
      <c r="J51" t="s">
        <v>31</v>
      </c>
      <c r="K51" t="s">
        <v>84</v>
      </c>
      <c r="L51" t="s">
        <v>26</v>
      </c>
      <c r="M51">
        <v>1</v>
      </c>
    </row>
    <row r="52" spans="1:13" x14ac:dyDescent="0.25">
      <c r="A52" s="2">
        <v>46209</v>
      </c>
      <c r="B52" s="1" t="str">
        <f ca="1">IF(Información1[[#This Row],[Fecha]]='Ajuste de fechas'!$A$2,"Día actual","Día anterior")</f>
        <v>Día anterior</v>
      </c>
      <c r="C52" t="s">
        <v>82</v>
      </c>
      <c r="D52" t="s">
        <v>83</v>
      </c>
      <c r="E52" t="s">
        <v>141</v>
      </c>
      <c r="F52" t="s">
        <v>34</v>
      </c>
      <c r="G52" t="s">
        <v>142</v>
      </c>
      <c r="H52" t="s">
        <v>8</v>
      </c>
      <c r="I52" t="s">
        <v>7</v>
      </c>
      <c r="J52" t="s">
        <v>31</v>
      </c>
      <c r="K52" t="s">
        <v>84</v>
      </c>
      <c r="L52" t="s">
        <v>26</v>
      </c>
      <c r="M52">
        <v>1</v>
      </c>
    </row>
    <row r="53" spans="1:13" x14ac:dyDescent="0.25">
      <c r="A53" s="2">
        <v>46209</v>
      </c>
      <c r="B53" s="1" t="str">
        <f ca="1">IF(Información1[[#This Row],[Fecha]]='Ajuste de fechas'!$A$2,"Día actual","Día anterior")</f>
        <v>Día anterior</v>
      </c>
      <c r="C53" t="s">
        <v>82</v>
      </c>
      <c r="D53" t="s">
        <v>83</v>
      </c>
      <c r="E53" t="s">
        <v>170</v>
      </c>
      <c r="F53" t="s">
        <v>12</v>
      </c>
      <c r="G53" t="s">
        <v>171</v>
      </c>
      <c r="H53" t="s">
        <v>8</v>
      </c>
      <c r="I53" t="s">
        <v>7</v>
      </c>
      <c r="J53" t="s">
        <v>31</v>
      </c>
      <c r="K53" t="s">
        <v>84</v>
      </c>
      <c r="L53" t="s">
        <v>26</v>
      </c>
      <c r="M53">
        <v>1</v>
      </c>
    </row>
    <row r="54" spans="1:13" x14ac:dyDescent="0.25">
      <c r="A54" s="2">
        <v>46209</v>
      </c>
      <c r="B54" s="1" t="str">
        <f ca="1">IF(Información1[[#This Row],[Fecha]]='Ajuste de fechas'!$A$2,"Día actual","Día anterior")</f>
        <v>Día anterior</v>
      </c>
      <c r="C54" t="s">
        <v>82</v>
      </c>
      <c r="D54" t="s">
        <v>83</v>
      </c>
      <c r="E54" t="s">
        <v>172</v>
      </c>
      <c r="F54" t="s">
        <v>12</v>
      </c>
      <c r="G54" t="s">
        <v>173</v>
      </c>
      <c r="H54" t="s">
        <v>8</v>
      </c>
      <c r="I54" t="s">
        <v>7</v>
      </c>
      <c r="J54" t="s">
        <v>31</v>
      </c>
      <c r="K54" t="s">
        <v>84</v>
      </c>
      <c r="L54" t="s">
        <v>26</v>
      </c>
      <c r="M54">
        <v>1</v>
      </c>
    </row>
    <row r="55" spans="1:13" x14ac:dyDescent="0.25">
      <c r="A55" s="2">
        <v>46209</v>
      </c>
      <c r="B55" s="1" t="str">
        <f ca="1">IF(Información1[[#This Row],[Fecha]]='Ajuste de fechas'!$A$2,"Día actual","Día anterior")</f>
        <v>Día anterior</v>
      </c>
      <c r="C55" t="s">
        <v>78</v>
      </c>
      <c r="D55" t="s">
        <v>85</v>
      </c>
      <c r="E55" t="s">
        <v>174</v>
      </c>
      <c r="F55" t="s">
        <v>11</v>
      </c>
      <c r="G55" t="s">
        <v>175</v>
      </c>
      <c r="H55" t="s">
        <v>8</v>
      </c>
      <c r="I55" t="s">
        <v>7</v>
      </c>
      <c r="J55" t="s">
        <v>32</v>
      </c>
      <c r="K55" t="s">
        <v>80</v>
      </c>
      <c r="L55" t="s">
        <v>24</v>
      </c>
      <c r="M55">
        <v>1</v>
      </c>
    </row>
    <row r="56" spans="1:13" x14ac:dyDescent="0.25">
      <c r="A56" s="2">
        <v>46209</v>
      </c>
      <c r="B56" s="1" t="str">
        <f ca="1">IF(Información1[[#This Row],[Fecha]]='Ajuste de fechas'!$A$2,"Día actual","Día anterior")</f>
        <v>Día anterior</v>
      </c>
      <c r="C56" t="s">
        <v>78</v>
      </c>
      <c r="D56" t="s">
        <v>85</v>
      </c>
      <c r="E56" t="s">
        <v>176</v>
      </c>
      <c r="F56" t="s">
        <v>11</v>
      </c>
      <c r="G56" t="s">
        <v>177</v>
      </c>
      <c r="H56" t="s">
        <v>8</v>
      </c>
      <c r="I56" t="s">
        <v>7</v>
      </c>
      <c r="J56" t="s">
        <v>32</v>
      </c>
      <c r="K56" t="s">
        <v>80</v>
      </c>
      <c r="L56" t="s">
        <v>24</v>
      </c>
      <c r="M56">
        <v>1</v>
      </c>
    </row>
    <row r="57" spans="1:13" x14ac:dyDescent="0.25">
      <c r="A57" s="2">
        <v>46209</v>
      </c>
      <c r="B57" s="1" t="str">
        <f ca="1">IF(Información1[[#This Row],[Fecha]]='Ajuste de fechas'!$A$2,"Día actual","Día anterior")</f>
        <v>Día anterior</v>
      </c>
      <c r="C57" t="s">
        <v>78</v>
      </c>
      <c r="D57" t="s">
        <v>85</v>
      </c>
      <c r="E57" t="s">
        <v>178</v>
      </c>
      <c r="F57" t="s">
        <v>10</v>
      </c>
      <c r="G57" t="s">
        <v>179</v>
      </c>
      <c r="H57" t="s">
        <v>8</v>
      </c>
      <c r="I57" t="s">
        <v>7</v>
      </c>
      <c r="J57" t="s">
        <v>33</v>
      </c>
      <c r="K57" t="s">
        <v>80</v>
      </c>
      <c r="L57" t="s">
        <v>24</v>
      </c>
      <c r="M57">
        <v>1</v>
      </c>
    </row>
    <row r="58" spans="1:13" x14ac:dyDescent="0.25">
      <c r="A58" s="2">
        <v>46209</v>
      </c>
      <c r="B58" s="1" t="str">
        <f ca="1">IF(Información1[[#This Row],[Fecha]]='Ajuste de fechas'!$A$2,"Día actual","Día anterior")</f>
        <v>Día anterior</v>
      </c>
      <c r="C58" t="s">
        <v>78</v>
      </c>
      <c r="D58" t="s">
        <v>85</v>
      </c>
      <c r="E58" t="s">
        <v>180</v>
      </c>
      <c r="F58" t="s">
        <v>17</v>
      </c>
      <c r="G58" t="s">
        <v>181</v>
      </c>
      <c r="H58" t="s">
        <v>8</v>
      </c>
      <c r="I58" t="s">
        <v>7</v>
      </c>
      <c r="J58" t="s">
        <v>31</v>
      </c>
      <c r="K58" t="s">
        <v>80</v>
      </c>
      <c r="L58" t="s">
        <v>26</v>
      </c>
      <c r="M58">
        <v>1</v>
      </c>
    </row>
    <row r="59" spans="1:13" x14ac:dyDescent="0.25">
      <c r="A59" s="2">
        <v>46209</v>
      </c>
      <c r="B59" s="1" t="str">
        <f ca="1">IF(Información1[[#This Row],[Fecha]]='Ajuste de fechas'!$A$2,"Día actual","Día anterior")</f>
        <v>Día anterior</v>
      </c>
      <c r="C59" t="s">
        <v>78</v>
      </c>
      <c r="D59" t="s">
        <v>85</v>
      </c>
      <c r="E59" t="s">
        <v>182</v>
      </c>
      <c r="F59" t="s">
        <v>9</v>
      </c>
      <c r="G59" t="s">
        <v>183</v>
      </c>
      <c r="H59" t="s">
        <v>8</v>
      </c>
      <c r="I59" t="s">
        <v>7</v>
      </c>
      <c r="J59" t="s">
        <v>31</v>
      </c>
      <c r="K59" t="s">
        <v>73</v>
      </c>
      <c r="L59" t="s">
        <v>24</v>
      </c>
      <c r="M59">
        <v>1</v>
      </c>
    </row>
    <row r="60" spans="1:13" x14ac:dyDescent="0.25">
      <c r="A60" s="2">
        <v>46209</v>
      </c>
      <c r="B60" s="1" t="str">
        <f ca="1">IF(Información1[[#This Row],[Fecha]]='Ajuste de fechas'!$A$2,"Día actual","Día anterior")</f>
        <v>Día anterior</v>
      </c>
      <c r="C60" t="s">
        <v>78</v>
      </c>
      <c r="D60" t="s">
        <v>85</v>
      </c>
      <c r="E60" t="s">
        <v>184</v>
      </c>
      <c r="F60" t="s">
        <v>185</v>
      </c>
      <c r="G60" t="s">
        <v>183</v>
      </c>
      <c r="H60" t="s">
        <v>8</v>
      </c>
      <c r="I60" t="s">
        <v>7</v>
      </c>
      <c r="J60" t="s">
        <v>31</v>
      </c>
      <c r="K60" t="s">
        <v>73</v>
      </c>
      <c r="L60" t="s">
        <v>24</v>
      </c>
      <c r="M60">
        <v>1</v>
      </c>
    </row>
    <row r="61" spans="1:13" x14ac:dyDescent="0.25">
      <c r="A61" s="2">
        <v>46209</v>
      </c>
      <c r="B61" s="1" t="str">
        <f ca="1">IF(Información1[[#This Row],[Fecha]]='Ajuste de fechas'!$A$2,"Día actual","Día anterior")</f>
        <v>Día anterior</v>
      </c>
      <c r="C61" t="s">
        <v>78</v>
      </c>
      <c r="D61" t="s">
        <v>85</v>
      </c>
      <c r="E61" t="s">
        <v>186</v>
      </c>
      <c r="F61" t="s">
        <v>74</v>
      </c>
      <c r="G61" t="s">
        <v>183</v>
      </c>
      <c r="H61" t="s">
        <v>8</v>
      </c>
      <c r="I61" t="s">
        <v>7</v>
      </c>
      <c r="J61" t="s">
        <v>31</v>
      </c>
      <c r="K61" t="s">
        <v>73</v>
      </c>
      <c r="L61" t="s">
        <v>24</v>
      </c>
      <c r="M61">
        <v>1</v>
      </c>
    </row>
    <row r="62" spans="1:13" x14ac:dyDescent="0.25">
      <c r="A62" s="2">
        <v>46209</v>
      </c>
      <c r="B62" s="1" t="str">
        <f ca="1">IF(Información1[[#This Row],[Fecha]]='Ajuste de fechas'!$A$2,"Día actual","Día anterior")</f>
        <v>Día anterior</v>
      </c>
      <c r="C62" t="s">
        <v>78</v>
      </c>
      <c r="D62" t="s">
        <v>85</v>
      </c>
      <c r="E62" t="s">
        <v>187</v>
      </c>
      <c r="F62" t="s">
        <v>94</v>
      </c>
      <c r="G62" t="s">
        <v>183</v>
      </c>
      <c r="H62" t="s">
        <v>8</v>
      </c>
      <c r="I62" t="s">
        <v>7</v>
      </c>
      <c r="J62" t="s">
        <v>31</v>
      </c>
      <c r="K62" t="s">
        <v>73</v>
      </c>
      <c r="L62" t="s">
        <v>24</v>
      </c>
      <c r="M62">
        <v>1</v>
      </c>
    </row>
    <row r="63" spans="1:13" x14ac:dyDescent="0.25">
      <c r="A63" s="2">
        <v>46209</v>
      </c>
      <c r="B63" s="1" t="str">
        <f ca="1">IF(Información1[[#This Row],[Fecha]]='Ajuste de fechas'!$A$2,"Día actual","Día anterior")</f>
        <v>Día anterior</v>
      </c>
      <c r="C63" t="s">
        <v>78</v>
      </c>
      <c r="D63" t="s">
        <v>85</v>
      </c>
      <c r="E63" t="s">
        <v>188</v>
      </c>
      <c r="F63" t="s">
        <v>34</v>
      </c>
      <c r="G63" t="s">
        <v>189</v>
      </c>
      <c r="H63" t="s">
        <v>8</v>
      </c>
      <c r="I63" t="s">
        <v>7</v>
      </c>
      <c r="J63" t="s">
        <v>31</v>
      </c>
      <c r="K63" t="s">
        <v>73</v>
      </c>
      <c r="L63" t="s">
        <v>26</v>
      </c>
      <c r="M63">
        <v>1</v>
      </c>
    </row>
    <row r="64" spans="1:13" x14ac:dyDescent="0.25">
      <c r="A64" s="2">
        <v>46209</v>
      </c>
      <c r="B64" s="1" t="str">
        <f ca="1">IF(Información1[[#This Row],[Fecha]]='Ajuste de fechas'!$A$2,"Día actual","Día anterior")</f>
        <v>Día anterior</v>
      </c>
      <c r="C64" t="s">
        <v>78</v>
      </c>
      <c r="D64" t="s">
        <v>85</v>
      </c>
      <c r="E64" t="s">
        <v>190</v>
      </c>
      <c r="F64" t="s">
        <v>96</v>
      </c>
      <c r="G64" t="s">
        <v>183</v>
      </c>
      <c r="H64" t="s">
        <v>8</v>
      </c>
      <c r="I64" t="s">
        <v>7</v>
      </c>
      <c r="J64" t="s">
        <v>31</v>
      </c>
      <c r="K64" t="s">
        <v>73</v>
      </c>
      <c r="L64" t="s">
        <v>24</v>
      </c>
      <c r="M64">
        <v>1</v>
      </c>
    </row>
    <row r="65" spans="1:13" x14ac:dyDescent="0.25">
      <c r="A65" s="2">
        <v>46210</v>
      </c>
      <c r="B65" s="1" t="str">
        <f ca="1">IF(Información1[[#This Row],[Fecha]]='Ajuste de fechas'!$A$2,"Día actual","Día anterior")</f>
        <v>Día actual</v>
      </c>
      <c r="C65" t="s">
        <v>16</v>
      </c>
      <c r="D65" t="s">
        <v>63</v>
      </c>
      <c r="E65" t="s">
        <v>191</v>
      </c>
      <c r="F65" t="s">
        <v>47</v>
      </c>
      <c r="G65" t="s">
        <v>192</v>
      </c>
      <c r="H65" t="s">
        <v>8</v>
      </c>
      <c r="I65" t="s">
        <v>7</v>
      </c>
      <c r="J65" t="s">
        <v>31</v>
      </c>
      <c r="K65" t="s">
        <v>64</v>
      </c>
      <c r="L65" t="s">
        <v>24</v>
      </c>
      <c r="M65">
        <v>1</v>
      </c>
    </row>
    <row r="66" spans="1:13" x14ac:dyDescent="0.25">
      <c r="A66" s="2">
        <v>46210</v>
      </c>
      <c r="B66" s="1" t="str">
        <f ca="1">IF(Información1[[#This Row],[Fecha]]='Ajuste de fechas'!$A$2,"Día actual","Día anterior")</f>
        <v>Día actual</v>
      </c>
      <c r="C66" t="s">
        <v>16</v>
      </c>
      <c r="D66" t="s">
        <v>63</v>
      </c>
      <c r="E66" t="s">
        <v>193</v>
      </c>
      <c r="F66" t="s">
        <v>9</v>
      </c>
      <c r="G66" t="s">
        <v>194</v>
      </c>
      <c r="H66" t="s">
        <v>8</v>
      </c>
      <c r="I66" t="s">
        <v>7</v>
      </c>
      <c r="J66" t="s">
        <v>31</v>
      </c>
      <c r="K66" t="s">
        <v>64</v>
      </c>
      <c r="L66" t="s">
        <v>24</v>
      </c>
      <c r="M66">
        <v>1</v>
      </c>
    </row>
    <row r="67" spans="1:13" x14ac:dyDescent="0.25">
      <c r="A67" s="2">
        <v>46210</v>
      </c>
      <c r="B67" s="1" t="str">
        <f ca="1">IF(Información1[[#This Row],[Fecha]]='Ajuste de fechas'!$A$2,"Día actual","Día anterior")</f>
        <v>Día actual</v>
      </c>
      <c r="C67" t="s">
        <v>16</v>
      </c>
      <c r="D67" t="s">
        <v>63</v>
      </c>
      <c r="E67" t="s">
        <v>195</v>
      </c>
      <c r="F67" t="s">
        <v>77</v>
      </c>
      <c r="G67" t="s">
        <v>196</v>
      </c>
      <c r="H67" t="s">
        <v>8</v>
      </c>
      <c r="I67" t="s">
        <v>7</v>
      </c>
      <c r="J67" t="s">
        <v>31</v>
      </c>
      <c r="K67" t="s">
        <v>64</v>
      </c>
      <c r="L67" t="s">
        <v>24</v>
      </c>
      <c r="M67">
        <v>1</v>
      </c>
    </row>
    <row r="68" spans="1:13" x14ac:dyDescent="0.25">
      <c r="A68" s="2">
        <v>46210</v>
      </c>
      <c r="B68" s="1" t="str">
        <f ca="1">IF(Información1[[#This Row],[Fecha]]='Ajuste de fechas'!$A$2,"Día actual","Día anterior")</f>
        <v>Día actual</v>
      </c>
      <c r="C68" t="s">
        <v>16</v>
      </c>
      <c r="D68" t="s">
        <v>63</v>
      </c>
      <c r="E68" t="s">
        <v>197</v>
      </c>
      <c r="F68" t="s">
        <v>185</v>
      </c>
      <c r="G68" t="s">
        <v>196</v>
      </c>
      <c r="H68" t="s">
        <v>8</v>
      </c>
      <c r="I68" t="s">
        <v>7</v>
      </c>
      <c r="J68" t="s">
        <v>31</v>
      </c>
      <c r="K68" t="s">
        <v>64</v>
      </c>
      <c r="L68" t="s">
        <v>24</v>
      </c>
      <c r="M68">
        <v>1</v>
      </c>
    </row>
    <row r="69" spans="1:13" x14ac:dyDescent="0.25">
      <c r="A69" s="2">
        <v>46210</v>
      </c>
      <c r="B69" s="1" t="str">
        <f ca="1">IF(Información1[[#This Row],[Fecha]]='Ajuste de fechas'!$A$2,"Día actual","Día anterior")</f>
        <v>Día actual</v>
      </c>
      <c r="C69" t="s">
        <v>16</v>
      </c>
      <c r="D69" t="s">
        <v>63</v>
      </c>
      <c r="E69" t="s">
        <v>198</v>
      </c>
      <c r="F69" t="s">
        <v>15</v>
      </c>
      <c r="G69" t="s">
        <v>199</v>
      </c>
      <c r="H69" t="s">
        <v>8</v>
      </c>
      <c r="I69" t="s">
        <v>7</v>
      </c>
      <c r="J69" t="s">
        <v>31</v>
      </c>
      <c r="K69" t="s">
        <v>64</v>
      </c>
      <c r="L69" t="s">
        <v>24</v>
      </c>
      <c r="M69">
        <v>1</v>
      </c>
    </row>
    <row r="70" spans="1:13" x14ac:dyDescent="0.25">
      <c r="A70" s="2">
        <v>46210</v>
      </c>
      <c r="B70" s="1" t="str">
        <f ca="1">IF(Información1[[#This Row],[Fecha]]='Ajuste de fechas'!$A$2,"Día actual","Día anterior")</f>
        <v>Día actual</v>
      </c>
      <c r="C70" t="s">
        <v>16</v>
      </c>
      <c r="D70" t="s">
        <v>63</v>
      </c>
      <c r="E70" t="s">
        <v>200</v>
      </c>
      <c r="F70" t="s">
        <v>34</v>
      </c>
      <c r="H70" t="s">
        <v>8</v>
      </c>
      <c r="I70" t="s">
        <v>7</v>
      </c>
      <c r="J70" t="s">
        <v>31</v>
      </c>
      <c r="K70" t="s">
        <v>64</v>
      </c>
      <c r="L70" t="s">
        <v>24</v>
      </c>
      <c r="M70">
        <v>1</v>
      </c>
    </row>
    <row r="71" spans="1:13" x14ac:dyDescent="0.25">
      <c r="A71" s="2">
        <v>46210</v>
      </c>
      <c r="B71" s="1" t="str">
        <f ca="1">IF(Información1[[#This Row],[Fecha]]='Ajuste de fechas'!$A$2,"Día actual","Día anterior")</f>
        <v>Día actual</v>
      </c>
      <c r="C71" t="s">
        <v>16</v>
      </c>
      <c r="D71" t="s">
        <v>63</v>
      </c>
      <c r="E71" t="s">
        <v>201</v>
      </c>
      <c r="F71" t="s">
        <v>74</v>
      </c>
      <c r="G71" t="s">
        <v>202</v>
      </c>
      <c r="H71" t="s">
        <v>8</v>
      </c>
      <c r="I71" t="s">
        <v>7</v>
      </c>
      <c r="J71" t="s">
        <v>31</v>
      </c>
      <c r="K71" t="s">
        <v>64</v>
      </c>
      <c r="L71" t="s">
        <v>24</v>
      </c>
      <c r="M71">
        <v>1</v>
      </c>
    </row>
    <row r="72" spans="1:13" x14ac:dyDescent="0.25">
      <c r="A72" s="2">
        <v>46210</v>
      </c>
      <c r="B72" s="1" t="str">
        <f ca="1">IF(Información1[[#This Row],[Fecha]]='Ajuste de fechas'!$A$2,"Día actual","Día anterior")</f>
        <v>Día actual</v>
      </c>
      <c r="C72" t="s">
        <v>16</v>
      </c>
      <c r="D72" t="s">
        <v>63</v>
      </c>
      <c r="E72" t="s">
        <v>203</v>
      </c>
      <c r="F72" t="s">
        <v>30</v>
      </c>
      <c r="G72" t="s">
        <v>81</v>
      </c>
      <c r="H72" t="s">
        <v>8</v>
      </c>
      <c r="I72" t="s">
        <v>7</v>
      </c>
      <c r="J72" t="s">
        <v>13</v>
      </c>
      <c r="K72" t="s">
        <v>64</v>
      </c>
      <c r="L72" t="s">
        <v>24</v>
      </c>
      <c r="M72">
        <v>1</v>
      </c>
    </row>
    <row r="73" spans="1:13" x14ac:dyDescent="0.25">
      <c r="A73" s="2">
        <v>46210</v>
      </c>
      <c r="B73" s="1" t="str">
        <f ca="1">IF(Información1[[#This Row],[Fecha]]='Ajuste de fechas'!$A$2,"Día actual","Día anterior")</f>
        <v>Día actual</v>
      </c>
      <c r="C73" t="s">
        <v>16</v>
      </c>
      <c r="D73" t="s">
        <v>63</v>
      </c>
      <c r="E73" t="s">
        <v>204</v>
      </c>
      <c r="F73" t="s">
        <v>205</v>
      </c>
      <c r="H73" t="s">
        <v>8</v>
      </c>
      <c r="I73" t="s">
        <v>7</v>
      </c>
      <c r="J73" t="s">
        <v>13</v>
      </c>
      <c r="K73" t="s">
        <v>64</v>
      </c>
      <c r="L73" t="s">
        <v>24</v>
      </c>
      <c r="M73">
        <v>1</v>
      </c>
    </row>
    <row r="74" spans="1:13" x14ac:dyDescent="0.25">
      <c r="A74" s="2">
        <v>46210</v>
      </c>
      <c r="B74" s="1" t="str">
        <f ca="1">IF(Información1[[#This Row],[Fecha]]='Ajuste de fechas'!$A$2,"Día actual","Día anterior")</f>
        <v>Día actual</v>
      </c>
      <c r="C74" t="s">
        <v>16</v>
      </c>
      <c r="D74" t="s">
        <v>63</v>
      </c>
      <c r="E74" t="s">
        <v>206</v>
      </c>
      <c r="F74" t="s">
        <v>11</v>
      </c>
      <c r="G74" t="s">
        <v>177</v>
      </c>
      <c r="H74" t="s">
        <v>8</v>
      </c>
      <c r="I74" t="s">
        <v>7</v>
      </c>
      <c r="J74" t="s">
        <v>32</v>
      </c>
      <c r="K74" t="s">
        <v>64</v>
      </c>
      <c r="L74" t="s">
        <v>24</v>
      </c>
      <c r="M74">
        <v>1</v>
      </c>
    </row>
    <row r="75" spans="1:13" x14ac:dyDescent="0.25">
      <c r="A75" s="2">
        <v>46210</v>
      </c>
      <c r="B75" s="1" t="str">
        <f ca="1">IF(Información1[[#This Row],[Fecha]]='Ajuste de fechas'!$A$2,"Día actual","Día anterior")</f>
        <v>Día actual</v>
      </c>
      <c r="C75" t="s">
        <v>49</v>
      </c>
      <c r="D75" t="s">
        <v>50</v>
      </c>
      <c r="E75" t="s">
        <v>207</v>
      </c>
      <c r="F75" t="s">
        <v>10</v>
      </c>
      <c r="G75" t="s">
        <v>208</v>
      </c>
      <c r="H75" t="s">
        <v>8</v>
      </c>
      <c r="I75" t="s">
        <v>14</v>
      </c>
      <c r="J75" t="s">
        <v>33</v>
      </c>
      <c r="K75" t="s">
        <v>45</v>
      </c>
      <c r="L75" t="s">
        <v>25</v>
      </c>
      <c r="M75">
        <v>1</v>
      </c>
    </row>
    <row r="76" spans="1:13" x14ac:dyDescent="0.25">
      <c r="A76" s="2">
        <v>46210</v>
      </c>
      <c r="B76" s="1" t="str">
        <f ca="1">IF(Información1[[#This Row],[Fecha]]='Ajuste de fechas'!$A$2,"Día actual","Día anterior")</f>
        <v>Día actual</v>
      </c>
      <c r="C76" t="s">
        <v>49</v>
      </c>
      <c r="D76" t="s">
        <v>50</v>
      </c>
      <c r="E76" t="s">
        <v>209</v>
      </c>
      <c r="F76" t="s">
        <v>10</v>
      </c>
      <c r="G76" t="s">
        <v>88</v>
      </c>
      <c r="H76" t="s">
        <v>8</v>
      </c>
      <c r="I76" t="s">
        <v>14</v>
      </c>
      <c r="J76" t="s">
        <v>33</v>
      </c>
      <c r="K76" t="s">
        <v>45</v>
      </c>
      <c r="L76" t="s">
        <v>25</v>
      </c>
      <c r="M76">
        <v>1</v>
      </c>
    </row>
    <row r="77" spans="1:13" x14ac:dyDescent="0.25">
      <c r="A77" s="2">
        <v>46210</v>
      </c>
      <c r="B77" s="1" t="str">
        <f ca="1">IF(Información1[[#This Row],[Fecha]]='Ajuste de fechas'!$A$2,"Día actual","Día anterior")</f>
        <v>Día actual</v>
      </c>
      <c r="C77" t="s">
        <v>49</v>
      </c>
      <c r="D77" t="s">
        <v>50</v>
      </c>
      <c r="E77" t="s">
        <v>210</v>
      </c>
      <c r="F77" t="s">
        <v>34</v>
      </c>
      <c r="G77" t="s">
        <v>211</v>
      </c>
      <c r="H77" t="s">
        <v>8</v>
      </c>
      <c r="I77" t="s">
        <v>14</v>
      </c>
      <c r="J77" t="s">
        <v>31</v>
      </c>
      <c r="K77" t="s">
        <v>45</v>
      </c>
      <c r="L77" t="s">
        <v>25</v>
      </c>
      <c r="M77">
        <v>1</v>
      </c>
    </row>
    <row r="78" spans="1:13" x14ac:dyDescent="0.25">
      <c r="A78" s="2">
        <v>46210</v>
      </c>
      <c r="B78" s="1" t="str">
        <f ca="1">IF(Información1[[#This Row],[Fecha]]='Ajuste de fechas'!$A$2,"Día actual","Día anterior")</f>
        <v>Día actual</v>
      </c>
      <c r="C78" t="s">
        <v>49</v>
      </c>
      <c r="D78" t="s">
        <v>50</v>
      </c>
      <c r="E78" t="s">
        <v>212</v>
      </c>
      <c r="F78" t="s">
        <v>6</v>
      </c>
      <c r="G78" t="s">
        <v>62</v>
      </c>
      <c r="H78" t="s">
        <v>8</v>
      </c>
      <c r="I78" t="s">
        <v>14</v>
      </c>
      <c r="J78" t="s">
        <v>31</v>
      </c>
      <c r="K78" t="s">
        <v>45</v>
      </c>
      <c r="L78" t="s">
        <v>25</v>
      </c>
      <c r="M78">
        <v>1</v>
      </c>
    </row>
    <row r="79" spans="1:13" x14ac:dyDescent="0.25">
      <c r="A79" s="2">
        <v>46210</v>
      </c>
      <c r="B79" s="1" t="str">
        <f ca="1">IF(Información1[[#This Row],[Fecha]]='Ajuste de fechas'!$A$2,"Día actual","Día anterior")</f>
        <v>Día actual</v>
      </c>
      <c r="C79" t="s">
        <v>49</v>
      </c>
      <c r="D79" t="s">
        <v>50</v>
      </c>
      <c r="E79" t="s">
        <v>213</v>
      </c>
      <c r="F79" t="s">
        <v>6</v>
      </c>
      <c r="G79" t="s">
        <v>62</v>
      </c>
      <c r="H79" t="s">
        <v>8</v>
      </c>
      <c r="I79" t="s">
        <v>14</v>
      </c>
      <c r="J79" t="s">
        <v>31</v>
      </c>
      <c r="K79" t="s">
        <v>45</v>
      </c>
      <c r="L79" t="s">
        <v>25</v>
      </c>
      <c r="M79">
        <v>1</v>
      </c>
    </row>
    <row r="80" spans="1:13" x14ac:dyDescent="0.25">
      <c r="A80" s="2">
        <v>46210</v>
      </c>
      <c r="B80" s="1" t="str">
        <f ca="1">IF(Información1[[#This Row],[Fecha]]='Ajuste de fechas'!$A$2,"Día actual","Día anterior")</f>
        <v>Día actual</v>
      </c>
      <c r="C80" t="s">
        <v>49</v>
      </c>
      <c r="D80" t="s">
        <v>50</v>
      </c>
      <c r="E80" t="s">
        <v>214</v>
      </c>
      <c r="F80" t="s">
        <v>10</v>
      </c>
      <c r="G80" t="s">
        <v>215</v>
      </c>
      <c r="H80" t="s">
        <v>8</v>
      </c>
      <c r="I80" t="s">
        <v>7</v>
      </c>
      <c r="J80" t="s">
        <v>33</v>
      </c>
      <c r="K80" t="s">
        <v>45</v>
      </c>
      <c r="L80" t="s">
        <v>25</v>
      </c>
      <c r="M80">
        <v>1</v>
      </c>
    </row>
    <row r="81" spans="1:13" x14ac:dyDescent="0.25">
      <c r="A81" s="2">
        <v>46210</v>
      </c>
      <c r="B81" s="1" t="str">
        <f ca="1">IF(Información1[[#This Row],[Fecha]]='Ajuste de fechas'!$A$2,"Día actual","Día anterior")</f>
        <v>Día actual</v>
      </c>
      <c r="C81" t="s">
        <v>49</v>
      </c>
      <c r="D81" t="s">
        <v>50</v>
      </c>
      <c r="E81" t="s">
        <v>216</v>
      </c>
      <c r="F81" t="s">
        <v>10</v>
      </c>
      <c r="G81" t="s">
        <v>217</v>
      </c>
      <c r="H81" t="s">
        <v>8</v>
      </c>
      <c r="I81" t="s">
        <v>7</v>
      </c>
      <c r="J81" t="s">
        <v>33</v>
      </c>
      <c r="K81" t="s">
        <v>45</v>
      </c>
      <c r="L81" t="s">
        <v>25</v>
      </c>
      <c r="M81">
        <v>1</v>
      </c>
    </row>
    <row r="82" spans="1:13" x14ac:dyDescent="0.25">
      <c r="A82" s="2">
        <v>46210</v>
      </c>
      <c r="B82" s="1" t="str">
        <f ca="1">IF(Información1[[#This Row],[Fecha]]='Ajuste de fechas'!$A$2,"Día actual","Día anterior")</f>
        <v>Día actual</v>
      </c>
      <c r="C82" t="s">
        <v>49</v>
      </c>
      <c r="D82" t="s">
        <v>50</v>
      </c>
      <c r="E82" t="s">
        <v>218</v>
      </c>
      <c r="F82" t="s">
        <v>13</v>
      </c>
      <c r="G82" t="s">
        <v>112</v>
      </c>
      <c r="H82" t="s">
        <v>8</v>
      </c>
      <c r="I82" t="s">
        <v>7</v>
      </c>
      <c r="J82" t="s">
        <v>13</v>
      </c>
      <c r="K82" t="s">
        <v>45</v>
      </c>
      <c r="L82" t="s">
        <v>25</v>
      </c>
      <c r="M82">
        <v>1</v>
      </c>
    </row>
    <row r="83" spans="1:13" x14ac:dyDescent="0.25">
      <c r="A83" s="2">
        <v>46210</v>
      </c>
      <c r="B83" s="1" t="str">
        <f ca="1">IF(Información1[[#This Row],[Fecha]]='Ajuste de fechas'!$A$2,"Día actual","Día anterior")</f>
        <v>Día actual</v>
      </c>
      <c r="C83" t="s">
        <v>49</v>
      </c>
      <c r="D83" t="s">
        <v>50</v>
      </c>
      <c r="E83" t="s">
        <v>219</v>
      </c>
      <c r="F83" t="s">
        <v>13</v>
      </c>
      <c r="G83" t="s">
        <v>112</v>
      </c>
      <c r="H83" t="s">
        <v>8</v>
      </c>
      <c r="I83" t="s">
        <v>7</v>
      </c>
      <c r="J83" t="s">
        <v>13</v>
      </c>
      <c r="K83" t="s">
        <v>45</v>
      </c>
      <c r="L83" t="s">
        <v>25</v>
      </c>
      <c r="M83">
        <v>1</v>
      </c>
    </row>
    <row r="84" spans="1:13" x14ac:dyDescent="0.25">
      <c r="A84" s="2">
        <v>46210</v>
      </c>
      <c r="B84" s="1" t="str">
        <f ca="1">IF(Información1[[#This Row],[Fecha]]='Ajuste de fechas'!$A$2,"Día actual","Día anterior")</f>
        <v>Día actual</v>
      </c>
      <c r="C84" t="s">
        <v>49</v>
      </c>
      <c r="D84" t="s">
        <v>50</v>
      </c>
      <c r="E84" t="s">
        <v>220</v>
      </c>
      <c r="F84" t="s">
        <v>13</v>
      </c>
      <c r="G84" t="s">
        <v>221</v>
      </c>
      <c r="H84" t="s">
        <v>8</v>
      </c>
      <c r="I84" t="s">
        <v>7</v>
      </c>
      <c r="J84" t="s">
        <v>13</v>
      </c>
      <c r="K84" t="s">
        <v>51</v>
      </c>
      <c r="L84" t="s">
        <v>44</v>
      </c>
      <c r="M84">
        <v>1</v>
      </c>
    </row>
    <row r="85" spans="1:13" x14ac:dyDescent="0.25">
      <c r="A85" s="2">
        <v>46210</v>
      </c>
      <c r="B85" s="1" t="str">
        <f ca="1">IF(Información1[[#This Row],[Fecha]]='Ajuste de fechas'!$A$2,"Día actual","Día anterior")</f>
        <v>Día actual</v>
      </c>
      <c r="C85" t="s">
        <v>49</v>
      </c>
      <c r="D85" t="s">
        <v>50</v>
      </c>
      <c r="E85" t="s">
        <v>222</v>
      </c>
      <c r="F85" t="s">
        <v>6</v>
      </c>
      <c r="G85" t="s">
        <v>62</v>
      </c>
      <c r="H85" t="s">
        <v>8</v>
      </c>
      <c r="I85" t="s">
        <v>7</v>
      </c>
      <c r="J85" t="s">
        <v>31</v>
      </c>
      <c r="K85" t="s">
        <v>45</v>
      </c>
      <c r="L85" t="s">
        <v>25</v>
      </c>
      <c r="M85">
        <v>1</v>
      </c>
    </row>
    <row r="86" spans="1:13" x14ac:dyDescent="0.25">
      <c r="A86" s="2">
        <v>46210</v>
      </c>
      <c r="B86" s="1" t="str">
        <f ca="1">IF(Información1[[#This Row],[Fecha]]='Ajuste de fechas'!$A$2,"Día actual","Día anterior")</f>
        <v>Día actual</v>
      </c>
      <c r="C86" t="s">
        <v>49</v>
      </c>
      <c r="D86" t="s">
        <v>50</v>
      </c>
      <c r="E86" t="s">
        <v>223</v>
      </c>
      <c r="F86" t="s">
        <v>6</v>
      </c>
      <c r="G86" t="s">
        <v>62</v>
      </c>
      <c r="H86" t="s">
        <v>8</v>
      </c>
      <c r="I86" t="s">
        <v>7</v>
      </c>
      <c r="J86" t="s">
        <v>31</v>
      </c>
      <c r="K86" t="s">
        <v>51</v>
      </c>
      <c r="L86" t="s">
        <v>24</v>
      </c>
      <c r="M86">
        <v>1</v>
      </c>
    </row>
    <row r="87" spans="1:13" x14ac:dyDescent="0.25">
      <c r="A87" s="2">
        <v>46210</v>
      </c>
      <c r="B87" s="1" t="str">
        <f ca="1">IF(Información1[[#This Row],[Fecha]]='Ajuste de fechas'!$A$2,"Día actual","Día anterior")</f>
        <v>Día actual</v>
      </c>
      <c r="C87" t="s">
        <v>49</v>
      </c>
      <c r="D87" t="s">
        <v>50</v>
      </c>
      <c r="E87" t="s">
        <v>224</v>
      </c>
      <c r="F87" t="s">
        <v>9</v>
      </c>
      <c r="G87" t="s">
        <v>144</v>
      </c>
      <c r="H87" t="s">
        <v>8</v>
      </c>
      <c r="I87" t="s">
        <v>7</v>
      </c>
      <c r="J87" t="s">
        <v>31</v>
      </c>
      <c r="K87" t="s">
        <v>51</v>
      </c>
      <c r="L87" t="s">
        <v>24</v>
      </c>
      <c r="M87">
        <v>1</v>
      </c>
    </row>
    <row r="88" spans="1:13" x14ac:dyDescent="0.25">
      <c r="A88" s="2">
        <v>46210</v>
      </c>
      <c r="B88" s="1" t="str">
        <f ca="1">IF(Información1[[#This Row],[Fecha]]='Ajuste de fechas'!$A$2,"Día actual","Día anterior")</f>
        <v>Día actual</v>
      </c>
      <c r="C88" t="s">
        <v>49</v>
      </c>
      <c r="D88" t="s">
        <v>50</v>
      </c>
      <c r="E88" t="s">
        <v>225</v>
      </c>
      <c r="F88" t="s">
        <v>10</v>
      </c>
      <c r="H88" t="s">
        <v>8</v>
      </c>
      <c r="I88" t="s">
        <v>7</v>
      </c>
      <c r="J88" t="s">
        <v>33</v>
      </c>
      <c r="K88" t="s">
        <v>51</v>
      </c>
      <c r="L88" t="s">
        <v>24</v>
      </c>
      <c r="M88">
        <v>1</v>
      </c>
    </row>
    <row r="89" spans="1:13" x14ac:dyDescent="0.25">
      <c r="A89" s="2">
        <v>46210</v>
      </c>
      <c r="B89" s="1" t="str">
        <f ca="1">IF(Información1[[#This Row],[Fecha]]='Ajuste de fechas'!$A$2,"Día actual","Día anterior")</f>
        <v>Día actual</v>
      </c>
      <c r="C89" t="s">
        <v>49</v>
      </c>
      <c r="D89" t="s">
        <v>50</v>
      </c>
      <c r="E89" t="s">
        <v>226</v>
      </c>
      <c r="F89" t="s">
        <v>30</v>
      </c>
      <c r="G89" t="s">
        <v>227</v>
      </c>
      <c r="H89" t="s">
        <v>8</v>
      </c>
      <c r="I89" t="s">
        <v>7</v>
      </c>
      <c r="J89" t="s">
        <v>13</v>
      </c>
      <c r="K89" t="s">
        <v>51</v>
      </c>
      <c r="L89" t="s">
        <v>24</v>
      </c>
      <c r="M89">
        <v>1</v>
      </c>
    </row>
    <row r="90" spans="1:13" x14ac:dyDescent="0.25">
      <c r="A90" s="2">
        <v>46210</v>
      </c>
      <c r="B90" s="1" t="str">
        <f ca="1">IF(Información1[[#This Row],[Fecha]]='Ajuste de fechas'!$A$2,"Día actual","Día anterior")</f>
        <v>Día actual</v>
      </c>
      <c r="C90" t="s">
        <v>49</v>
      </c>
      <c r="D90" t="s">
        <v>50</v>
      </c>
      <c r="E90" t="s">
        <v>228</v>
      </c>
      <c r="F90" t="s">
        <v>96</v>
      </c>
      <c r="G90" t="s">
        <v>194</v>
      </c>
      <c r="H90" t="s">
        <v>8</v>
      </c>
      <c r="I90" t="s">
        <v>7</v>
      </c>
      <c r="J90" t="s">
        <v>31</v>
      </c>
      <c r="K90" t="s">
        <v>51</v>
      </c>
      <c r="L90" t="s">
        <v>26</v>
      </c>
      <c r="M90">
        <v>1</v>
      </c>
    </row>
    <row r="91" spans="1:13" x14ac:dyDescent="0.25">
      <c r="A91" s="2">
        <v>46210</v>
      </c>
      <c r="B91" s="1" t="str">
        <f ca="1">IF(Información1[[#This Row],[Fecha]]='Ajuste de fechas'!$A$2,"Día actual","Día anterior")</f>
        <v>Día actual</v>
      </c>
      <c r="C91" t="s">
        <v>49</v>
      </c>
      <c r="D91" t="s">
        <v>50</v>
      </c>
      <c r="E91" t="s">
        <v>229</v>
      </c>
      <c r="F91" t="s">
        <v>77</v>
      </c>
      <c r="G91" t="s">
        <v>53</v>
      </c>
      <c r="H91" t="s">
        <v>8</v>
      </c>
      <c r="I91" t="s">
        <v>7</v>
      </c>
      <c r="J91" t="s">
        <v>31</v>
      </c>
      <c r="K91" t="s">
        <v>51</v>
      </c>
      <c r="L91" t="s">
        <v>25</v>
      </c>
      <c r="M91">
        <v>1</v>
      </c>
    </row>
    <row r="92" spans="1:13" x14ac:dyDescent="0.25">
      <c r="A92" s="2">
        <v>46210</v>
      </c>
      <c r="B92" s="1" t="str">
        <f ca="1">IF(Información1[[#This Row],[Fecha]]='Ajuste de fechas'!$A$2,"Día actual","Día anterior")</f>
        <v>Día actual</v>
      </c>
      <c r="C92" t="s">
        <v>49</v>
      </c>
      <c r="D92" t="s">
        <v>50</v>
      </c>
      <c r="E92" t="s">
        <v>52</v>
      </c>
      <c r="F92" t="s">
        <v>10</v>
      </c>
      <c r="G92" t="s">
        <v>53</v>
      </c>
      <c r="H92" t="s">
        <v>8</v>
      </c>
      <c r="I92" t="s">
        <v>48</v>
      </c>
      <c r="J92" t="s">
        <v>33</v>
      </c>
      <c r="K92" t="s">
        <v>51</v>
      </c>
      <c r="L92" t="s">
        <v>25</v>
      </c>
      <c r="M92">
        <v>1</v>
      </c>
    </row>
    <row r="93" spans="1:13" x14ac:dyDescent="0.25">
      <c r="A93" s="2">
        <v>46210</v>
      </c>
      <c r="B93" s="1" t="str">
        <f ca="1">IF(Información1[[#This Row],[Fecha]]='Ajuste de fechas'!$A$2,"Día actual","Día anterior")</f>
        <v>Día actual</v>
      </c>
      <c r="C93" t="s">
        <v>49</v>
      </c>
      <c r="D93" t="s">
        <v>50</v>
      </c>
      <c r="E93" t="s">
        <v>54</v>
      </c>
      <c r="F93" t="s">
        <v>10</v>
      </c>
      <c r="G93" t="s">
        <v>53</v>
      </c>
      <c r="H93" t="s">
        <v>8</v>
      </c>
      <c r="I93" t="s">
        <v>48</v>
      </c>
      <c r="J93" t="s">
        <v>33</v>
      </c>
      <c r="K93" t="s">
        <v>51</v>
      </c>
      <c r="L93" t="s">
        <v>25</v>
      </c>
      <c r="M93">
        <v>1</v>
      </c>
    </row>
    <row r="94" spans="1:13" x14ac:dyDescent="0.25">
      <c r="A94" s="2">
        <v>46210</v>
      </c>
      <c r="B94" s="1" t="str">
        <f ca="1">IF(Información1[[#This Row],[Fecha]]='Ajuste de fechas'!$A$2,"Día actual","Día anterior")</f>
        <v>Día actual</v>
      </c>
      <c r="C94" t="s">
        <v>49</v>
      </c>
      <c r="D94" t="s">
        <v>50</v>
      </c>
      <c r="E94" t="s">
        <v>55</v>
      </c>
      <c r="F94" t="s">
        <v>34</v>
      </c>
      <c r="G94" t="s">
        <v>53</v>
      </c>
      <c r="H94" t="s">
        <v>8</v>
      </c>
      <c r="I94" t="s">
        <v>48</v>
      </c>
      <c r="J94" t="s">
        <v>31</v>
      </c>
      <c r="K94" t="s">
        <v>51</v>
      </c>
      <c r="L94" t="s">
        <v>25</v>
      </c>
      <c r="M94">
        <v>1</v>
      </c>
    </row>
    <row r="95" spans="1:13" x14ac:dyDescent="0.25">
      <c r="A95" s="2">
        <v>46210</v>
      </c>
      <c r="B95" s="1" t="str">
        <f ca="1">IF(Información1[[#This Row],[Fecha]]='Ajuste de fechas'!$A$2,"Día actual","Día anterior")</f>
        <v>Día actual</v>
      </c>
      <c r="C95" t="s">
        <v>49</v>
      </c>
      <c r="D95" t="s">
        <v>50</v>
      </c>
      <c r="E95" t="s">
        <v>59</v>
      </c>
      <c r="F95" t="s">
        <v>30</v>
      </c>
      <c r="G95" t="s">
        <v>53</v>
      </c>
      <c r="H95" t="s">
        <v>8</v>
      </c>
      <c r="I95" t="s">
        <v>48</v>
      </c>
      <c r="J95" t="s">
        <v>13</v>
      </c>
      <c r="K95" t="s">
        <v>51</v>
      </c>
      <c r="L95" t="s">
        <v>25</v>
      </c>
      <c r="M95">
        <v>1</v>
      </c>
    </row>
    <row r="96" spans="1:13" x14ac:dyDescent="0.25">
      <c r="A96" s="2">
        <v>46210</v>
      </c>
      <c r="B96" s="1" t="str">
        <f ca="1">IF(Información1[[#This Row],[Fecha]]='Ajuste de fechas'!$A$2,"Día actual","Día anterior")</f>
        <v>Día actual</v>
      </c>
      <c r="C96" t="s">
        <v>49</v>
      </c>
      <c r="D96" t="s">
        <v>50</v>
      </c>
      <c r="E96" t="s">
        <v>56</v>
      </c>
      <c r="F96" t="s">
        <v>9</v>
      </c>
      <c r="G96" t="s">
        <v>53</v>
      </c>
      <c r="H96" t="s">
        <v>8</v>
      </c>
      <c r="I96" t="s">
        <v>48</v>
      </c>
      <c r="J96" t="s">
        <v>31</v>
      </c>
      <c r="K96" t="s">
        <v>51</v>
      </c>
      <c r="L96" t="s">
        <v>25</v>
      </c>
      <c r="M96">
        <v>1</v>
      </c>
    </row>
    <row r="97" spans="1:13" x14ac:dyDescent="0.25">
      <c r="A97" s="2">
        <v>46210</v>
      </c>
      <c r="B97" s="1" t="str">
        <f ca="1">IF(Información1[[#This Row],[Fecha]]='Ajuste de fechas'!$A$2,"Día actual","Día anterior")</f>
        <v>Día actual</v>
      </c>
      <c r="C97" t="s">
        <v>49</v>
      </c>
      <c r="D97" t="s">
        <v>50</v>
      </c>
      <c r="E97" t="s">
        <v>57</v>
      </c>
      <c r="F97" t="s">
        <v>46</v>
      </c>
      <c r="G97" t="s">
        <v>53</v>
      </c>
      <c r="H97" t="s">
        <v>8</v>
      </c>
      <c r="I97" t="s">
        <v>48</v>
      </c>
      <c r="J97" t="s">
        <v>31</v>
      </c>
      <c r="K97" t="s">
        <v>51</v>
      </c>
      <c r="L97" t="s">
        <v>25</v>
      </c>
      <c r="M97">
        <v>1</v>
      </c>
    </row>
    <row r="98" spans="1:13" x14ac:dyDescent="0.25">
      <c r="A98" s="2">
        <v>46210</v>
      </c>
      <c r="B98" s="1" t="str">
        <f ca="1">IF(Información1[[#This Row],[Fecha]]='Ajuste de fechas'!$A$2,"Día actual","Día anterior")</f>
        <v>Día actual</v>
      </c>
      <c r="C98" t="s">
        <v>49</v>
      </c>
      <c r="D98" t="s">
        <v>50</v>
      </c>
      <c r="E98" t="s">
        <v>58</v>
      </c>
      <c r="F98" t="s">
        <v>6</v>
      </c>
      <c r="G98" t="s">
        <v>53</v>
      </c>
      <c r="H98" t="s">
        <v>8</v>
      </c>
      <c r="I98" t="s">
        <v>48</v>
      </c>
      <c r="J98" t="s">
        <v>31</v>
      </c>
      <c r="K98" t="s">
        <v>51</v>
      </c>
      <c r="L98" t="s">
        <v>25</v>
      </c>
      <c r="M98">
        <v>1</v>
      </c>
    </row>
    <row r="99" spans="1:13" x14ac:dyDescent="0.25">
      <c r="A99" s="2">
        <v>46209</v>
      </c>
      <c r="B99" s="1" t="str">
        <f ca="1">IF(Información1[[#This Row],[Fecha]]='Ajuste de fechas'!$A$2,"Día actual","Día anterior")</f>
        <v>Día anterior</v>
      </c>
      <c r="C99" t="s">
        <v>71</v>
      </c>
      <c r="D99" t="s">
        <v>72</v>
      </c>
      <c r="E99" t="s">
        <v>170</v>
      </c>
      <c r="F99" t="s">
        <v>12</v>
      </c>
      <c r="G99" t="s">
        <v>171</v>
      </c>
      <c r="H99" t="s">
        <v>35</v>
      </c>
      <c r="I99" t="s">
        <v>7</v>
      </c>
      <c r="J99" t="s">
        <v>31</v>
      </c>
      <c r="K99" t="s">
        <v>73</v>
      </c>
      <c r="L99" t="s">
        <v>26</v>
      </c>
      <c r="M99">
        <v>1</v>
      </c>
    </row>
    <row r="100" spans="1:13" x14ac:dyDescent="0.25">
      <c r="A100" s="2">
        <v>46209</v>
      </c>
      <c r="B100" s="1" t="str">
        <f ca="1">IF(Información1[[#This Row],[Fecha]]='Ajuste de fechas'!$A$2,"Día actual","Día anterior")</f>
        <v>Día anterior</v>
      </c>
      <c r="C100" t="s">
        <v>71</v>
      </c>
      <c r="D100" t="s">
        <v>72</v>
      </c>
      <c r="E100" t="s">
        <v>230</v>
      </c>
      <c r="F100" t="s">
        <v>12</v>
      </c>
      <c r="G100" t="s">
        <v>43</v>
      </c>
      <c r="H100" t="s">
        <v>35</v>
      </c>
      <c r="I100" t="s">
        <v>7</v>
      </c>
      <c r="J100" t="s">
        <v>31</v>
      </c>
      <c r="K100" t="s">
        <v>73</v>
      </c>
      <c r="L100" t="s">
        <v>26</v>
      </c>
      <c r="M100">
        <v>1</v>
      </c>
    </row>
    <row r="101" spans="1:13" x14ac:dyDescent="0.25">
      <c r="A101" s="2">
        <v>46209</v>
      </c>
      <c r="B101" s="1" t="str">
        <f ca="1">IF(Información1[[#This Row],[Fecha]]='Ajuste de fechas'!$A$2,"Día actual","Día anterior")</f>
        <v>Día anterior</v>
      </c>
      <c r="C101" t="s">
        <v>71</v>
      </c>
      <c r="D101" t="s">
        <v>72</v>
      </c>
      <c r="E101" t="s">
        <v>231</v>
      </c>
      <c r="F101" t="s">
        <v>9</v>
      </c>
      <c r="G101" t="s">
        <v>69</v>
      </c>
      <c r="H101" t="s">
        <v>35</v>
      </c>
      <c r="I101" t="s">
        <v>7</v>
      </c>
      <c r="J101" t="s">
        <v>31</v>
      </c>
      <c r="K101" t="s">
        <v>73</v>
      </c>
      <c r="L101" t="s">
        <v>26</v>
      </c>
      <c r="M101">
        <v>1</v>
      </c>
    </row>
    <row r="102" spans="1:13" x14ac:dyDescent="0.25">
      <c r="A102" s="2">
        <v>46209</v>
      </c>
      <c r="B102" s="1" t="str">
        <f ca="1">IF(Información1[[#This Row],[Fecha]]='Ajuste de fechas'!$A$2,"Día actual","Día anterior")</f>
        <v>Día anterior</v>
      </c>
      <c r="C102" t="s">
        <v>71</v>
      </c>
      <c r="D102" t="s">
        <v>72</v>
      </c>
      <c r="E102" t="s">
        <v>141</v>
      </c>
      <c r="F102" t="s">
        <v>34</v>
      </c>
      <c r="G102" t="s">
        <v>142</v>
      </c>
      <c r="H102" t="s">
        <v>35</v>
      </c>
      <c r="I102" t="s">
        <v>7</v>
      </c>
      <c r="J102" t="s">
        <v>31</v>
      </c>
      <c r="K102" t="s">
        <v>73</v>
      </c>
      <c r="L102" t="s">
        <v>26</v>
      </c>
      <c r="M102">
        <v>1</v>
      </c>
    </row>
    <row r="103" spans="1:13" x14ac:dyDescent="0.25">
      <c r="A103" s="2">
        <v>46209</v>
      </c>
      <c r="B103" s="1" t="str">
        <f ca="1">IF(Información1[[#This Row],[Fecha]]='Ajuste de fechas'!$A$2,"Día actual","Día anterior")</f>
        <v>Día anterior</v>
      </c>
      <c r="C103" t="s">
        <v>71</v>
      </c>
      <c r="D103" t="s">
        <v>72</v>
      </c>
      <c r="E103" t="s">
        <v>232</v>
      </c>
      <c r="F103" t="s">
        <v>34</v>
      </c>
      <c r="G103" t="s">
        <v>233</v>
      </c>
      <c r="H103" t="s">
        <v>35</v>
      </c>
      <c r="I103" t="s">
        <v>7</v>
      </c>
      <c r="J103" t="s">
        <v>31</v>
      </c>
      <c r="K103" t="s">
        <v>234</v>
      </c>
      <c r="L103" t="s">
        <v>26</v>
      </c>
      <c r="M103">
        <v>1</v>
      </c>
    </row>
    <row r="104" spans="1:13" x14ac:dyDescent="0.25">
      <c r="A104" s="2">
        <v>46209</v>
      </c>
      <c r="B104" s="1" t="str">
        <f ca="1">IF(Información1[[#This Row],[Fecha]]='Ajuste de fechas'!$A$2,"Día actual","Día anterior")</f>
        <v>Día anterior</v>
      </c>
      <c r="C104" t="s">
        <v>71</v>
      </c>
      <c r="D104" t="s">
        <v>72</v>
      </c>
      <c r="E104" t="s">
        <v>148</v>
      </c>
      <c r="F104" t="s">
        <v>17</v>
      </c>
      <c r="G104" t="s">
        <v>149</v>
      </c>
      <c r="H104" t="s">
        <v>35</v>
      </c>
      <c r="I104" t="s">
        <v>7</v>
      </c>
      <c r="J104" t="s">
        <v>31</v>
      </c>
      <c r="K104" t="s">
        <v>234</v>
      </c>
      <c r="L104" t="s">
        <v>26</v>
      </c>
      <c r="M104">
        <v>1</v>
      </c>
    </row>
    <row r="105" spans="1:13" x14ac:dyDescent="0.25">
      <c r="A105" s="2">
        <v>46209</v>
      </c>
      <c r="B105" s="1" t="str">
        <f ca="1">IF(Información1[[#This Row],[Fecha]]='Ajuste de fechas'!$A$2,"Día actual","Día anterior")</f>
        <v>Día anterior</v>
      </c>
      <c r="C105" t="s">
        <v>71</v>
      </c>
      <c r="D105" t="s">
        <v>72</v>
      </c>
      <c r="E105" t="s">
        <v>235</v>
      </c>
      <c r="F105" t="s">
        <v>10</v>
      </c>
      <c r="G105" t="s">
        <v>112</v>
      </c>
      <c r="H105" t="s">
        <v>35</v>
      </c>
      <c r="I105" t="s">
        <v>7</v>
      </c>
      <c r="J105" t="s">
        <v>33</v>
      </c>
      <c r="K105" t="s">
        <v>234</v>
      </c>
      <c r="L105" t="s">
        <v>24</v>
      </c>
      <c r="M105">
        <v>1</v>
      </c>
    </row>
    <row r="106" spans="1:13" x14ac:dyDescent="0.25">
      <c r="A106" s="2">
        <v>46209</v>
      </c>
      <c r="B106" s="1" t="str">
        <f ca="1">IF(Información1[[#This Row],[Fecha]]='Ajuste de fechas'!$A$2,"Día actual","Día anterior")</f>
        <v>Día anterior</v>
      </c>
      <c r="C106" t="s">
        <v>71</v>
      </c>
      <c r="D106" t="s">
        <v>72</v>
      </c>
      <c r="E106" t="s">
        <v>236</v>
      </c>
      <c r="F106" t="s">
        <v>10</v>
      </c>
      <c r="G106" t="s">
        <v>237</v>
      </c>
      <c r="H106" t="s">
        <v>35</v>
      </c>
      <c r="I106" t="s">
        <v>7</v>
      </c>
      <c r="J106" t="s">
        <v>33</v>
      </c>
      <c r="K106" t="s">
        <v>234</v>
      </c>
      <c r="L106" t="s">
        <v>24</v>
      </c>
      <c r="M106">
        <v>1</v>
      </c>
    </row>
    <row r="107" spans="1:13" x14ac:dyDescent="0.25">
      <c r="A107" s="2">
        <v>46209</v>
      </c>
      <c r="B107" s="1" t="str">
        <f ca="1">IF(Información1[[#This Row],[Fecha]]='Ajuste de fechas'!$A$2,"Día actual","Día anterior")</f>
        <v>Día anterior</v>
      </c>
      <c r="C107" t="s">
        <v>71</v>
      </c>
      <c r="D107" t="s">
        <v>72</v>
      </c>
      <c r="E107" t="s">
        <v>238</v>
      </c>
      <c r="F107" t="s">
        <v>10</v>
      </c>
      <c r="G107" t="s">
        <v>239</v>
      </c>
      <c r="H107" t="s">
        <v>35</v>
      </c>
      <c r="I107" t="s">
        <v>14</v>
      </c>
      <c r="J107" t="s">
        <v>33</v>
      </c>
      <c r="K107" t="s">
        <v>234</v>
      </c>
      <c r="L107" t="s">
        <v>24</v>
      </c>
      <c r="M107">
        <v>1</v>
      </c>
    </row>
    <row r="108" spans="1:13" x14ac:dyDescent="0.25">
      <c r="A108" s="2">
        <v>46209</v>
      </c>
      <c r="B108" s="1" t="str">
        <f ca="1">IF(Información1[[#This Row],[Fecha]]='Ajuste de fechas'!$A$2,"Día actual","Día anterior")</f>
        <v>Día anterior</v>
      </c>
      <c r="C108" t="s">
        <v>71</v>
      </c>
      <c r="D108" t="s">
        <v>72</v>
      </c>
      <c r="E108" t="s">
        <v>240</v>
      </c>
      <c r="F108" t="s">
        <v>96</v>
      </c>
      <c r="G108" t="s">
        <v>168</v>
      </c>
      <c r="H108" t="s">
        <v>35</v>
      </c>
      <c r="I108" t="s">
        <v>7</v>
      </c>
      <c r="J108" t="s">
        <v>31</v>
      </c>
      <c r="K108" t="s">
        <v>73</v>
      </c>
      <c r="L108" t="s">
        <v>26</v>
      </c>
      <c r="M108">
        <v>1</v>
      </c>
    </row>
    <row r="109" spans="1:13" x14ac:dyDescent="0.25">
      <c r="A109" s="2">
        <v>46209</v>
      </c>
      <c r="B109" s="1" t="str">
        <f ca="1">IF(Información1[[#This Row],[Fecha]]='Ajuste de fechas'!$A$2,"Día actual","Día anterior")</f>
        <v>Día anterior</v>
      </c>
      <c r="C109" t="s">
        <v>71</v>
      </c>
      <c r="D109" t="s">
        <v>72</v>
      </c>
      <c r="E109" t="s">
        <v>241</v>
      </c>
      <c r="F109" t="s">
        <v>34</v>
      </c>
      <c r="G109" t="s">
        <v>233</v>
      </c>
      <c r="H109" t="s">
        <v>35</v>
      </c>
      <c r="I109" t="s">
        <v>7</v>
      </c>
      <c r="J109" t="s">
        <v>31</v>
      </c>
      <c r="K109" t="s">
        <v>73</v>
      </c>
      <c r="L109" t="s">
        <v>24</v>
      </c>
      <c r="M109">
        <v>1</v>
      </c>
    </row>
    <row r="110" spans="1:13" x14ac:dyDescent="0.25">
      <c r="A110" s="2">
        <v>46209</v>
      </c>
      <c r="B110" s="1" t="str">
        <f ca="1">IF(Información1[[#This Row],[Fecha]]='Ajuste de fechas'!$A$2,"Día actual","Día anterior")</f>
        <v>Día anterior</v>
      </c>
      <c r="C110" t="s">
        <v>71</v>
      </c>
      <c r="D110" t="s">
        <v>72</v>
      </c>
      <c r="E110" t="s">
        <v>226</v>
      </c>
      <c r="F110" t="s">
        <v>30</v>
      </c>
      <c r="G110" t="s">
        <v>227</v>
      </c>
      <c r="H110" t="s">
        <v>35</v>
      </c>
      <c r="I110" t="s">
        <v>7</v>
      </c>
      <c r="J110" t="s">
        <v>13</v>
      </c>
      <c r="K110" t="s">
        <v>73</v>
      </c>
      <c r="L110" t="s">
        <v>24</v>
      </c>
      <c r="M110">
        <v>1</v>
      </c>
    </row>
    <row r="111" spans="1:13" x14ac:dyDescent="0.25">
      <c r="A111" s="2">
        <v>46209</v>
      </c>
      <c r="B111" s="1" t="str">
        <f ca="1">IF(Información1[[#This Row],[Fecha]]='Ajuste de fechas'!$A$2,"Día actual","Día anterior")</f>
        <v>Día anterior</v>
      </c>
      <c r="C111" t="s">
        <v>71</v>
      </c>
      <c r="D111" t="s">
        <v>72</v>
      </c>
      <c r="E111" t="s">
        <v>242</v>
      </c>
      <c r="F111" t="s">
        <v>243</v>
      </c>
      <c r="G111" t="s">
        <v>183</v>
      </c>
      <c r="H111" t="s">
        <v>35</v>
      </c>
      <c r="I111" t="s">
        <v>7</v>
      </c>
      <c r="J111" t="s">
        <v>31</v>
      </c>
      <c r="K111" t="s">
        <v>73</v>
      </c>
      <c r="L111" t="s">
        <v>24</v>
      </c>
      <c r="M111">
        <v>1</v>
      </c>
    </row>
    <row r="112" spans="1:13" x14ac:dyDescent="0.25">
      <c r="A112" s="2">
        <v>46209</v>
      </c>
      <c r="B112" s="1" t="str">
        <f ca="1">IF(Información1[[#This Row],[Fecha]]='Ajuste de fechas'!$A$2,"Día actual","Día anterior")</f>
        <v>Día anterior</v>
      </c>
      <c r="C112" t="s">
        <v>71</v>
      </c>
      <c r="D112" t="s">
        <v>72</v>
      </c>
      <c r="E112" t="s">
        <v>159</v>
      </c>
      <c r="F112" t="s">
        <v>65</v>
      </c>
      <c r="G112" t="s">
        <v>151</v>
      </c>
      <c r="H112" t="s">
        <v>35</v>
      </c>
      <c r="I112" t="s">
        <v>7</v>
      </c>
      <c r="J112" t="s">
        <v>31</v>
      </c>
      <c r="K112" t="s">
        <v>73</v>
      </c>
      <c r="L112" t="s">
        <v>26</v>
      </c>
      <c r="M112">
        <v>1</v>
      </c>
    </row>
    <row r="113" spans="1:13" x14ac:dyDescent="0.25">
      <c r="A113" s="2">
        <v>46210</v>
      </c>
      <c r="B113" s="1" t="str">
        <f ca="1">IF(Información1[[#This Row],[Fecha]]='Ajuste de fechas'!$A$2,"Día actual","Día anterior")</f>
        <v>Día actual</v>
      </c>
      <c r="C113" t="s">
        <v>36</v>
      </c>
      <c r="D113" t="s">
        <v>37</v>
      </c>
      <c r="E113" t="s">
        <v>244</v>
      </c>
      <c r="F113" t="s">
        <v>47</v>
      </c>
      <c r="G113" t="s">
        <v>192</v>
      </c>
      <c r="H113" t="s">
        <v>8</v>
      </c>
      <c r="I113" t="s">
        <v>7</v>
      </c>
      <c r="J113" t="s">
        <v>31</v>
      </c>
      <c r="K113" t="s">
        <v>60</v>
      </c>
      <c r="L113" t="s">
        <v>26</v>
      </c>
      <c r="M113">
        <v>1</v>
      </c>
    </row>
    <row r="114" spans="1:13" x14ac:dyDescent="0.25">
      <c r="A114" s="2">
        <v>46210</v>
      </c>
      <c r="B114" s="1" t="str">
        <f ca="1">IF(Información1[[#This Row],[Fecha]]='Ajuste de fechas'!$A$2,"Día actual","Día anterior")</f>
        <v>Día actual</v>
      </c>
      <c r="C114" t="s">
        <v>36</v>
      </c>
      <c r="D114" t="s">
        <v>37</v>
      </c>
      <c r="E114" t="s">
        <v>170</v>
      </c>
      <c r="F114" t="s">
        <v>12</v>
      </c>
      <c r="G114" t="s">
        <v>171</v>
      </c>
      <c r="H114" t="s">
        <v>8</v>
      </c>
      <c r="I114" t="s">
        <v>7</v>
      </c>
      <c r="J114" t="s">
        <v>31</v>
      </c>
      <c r="K114" t="s">
        <v>60</v>
      </c>
      <c r="L114" t="s">
        <v>26</v>
      </c>
      <c r="M114">
        <v>1</v>
      </c>
    </row>
    <row r="115" spans="1:13" x14ac:dyDescent="0.25">
      <c r="A115" s="2">
        <v>46210</v>
      </c>
      <c r="B115" s="1" t="str">
        <f ca="1">IF(Información1[[#This Row],[Fecha]]='Ajuste de fechas'!$A$2,"Día actual","Día anterior")</f>
        <v>Día actual</v>
      </c>
      <c r="C115" t="s">
        <v>36</v>
      </c>
      <c r="D115" t="s">
        <v>37</v>
      </c>
      <c r="E115" t="s">
        <v>245</v>
      </c>
      <c r="F115" t="s">
        <v>12</v>
      </c>
      <c r="G115" t="s">
        <v>171</v>
      </c>
      <c r="H115" t="s">
        <v>8</v>
      </c>
      <c r="I115" t="s">
        <v>7</v>
      </c>
      <c r="J115" t="s">
        <v>31</v>
      </c>
      <c r="K115" t="s">
        <v>60</v>
      </c>
      <c r="L115" t="s">
        <v>26</v>
      </c>
      <c r="M115">
        <v>1</v>
      </c>
    </row>
    <row r="116" spans="1:13" x14ac:dyDescent="0.25">
      <c r="A116" s="2">
        <v>46210</v>
      </c>
      <c r="B116" s="1" t="str">
        <f ca="1">IF(Información1[[#This Row],[Fecha]]='Ajuste de fechas'!$A$2,"Día actual","Día anterior")</f>
        <v>Día actual</v>
      </c>
      <c r="C116" t="s">
        <v>36</v>
      </c>
      <c r="D116" t="s">
        <v>37</v>
      </c>
      <c r="E116" t="s">
        <v>246</v>
      </c>
      <c r="F116" t="s">
        <v>9</v>
      </c>
      <c r="G116" t="s">
        <v>144</v>
      </c>
      <c r="H116" t="s">
        <v>8</v>
      </c>
      <c r="I116" t="s">
        <v>7</v>
      </c>
      <c r="J116" t="s">
        <v>31</v>
      </c>
      <c r="K116" t="s">
        <v>60</v>
      </c>
      <c r="L116" t="s">
        <v>24</v>
      </c>
      <c r="M116">
        <v>1</v>
      </c>
    </row>
    <row r="117" spans="1:13" x14ac:dyDescent="0.25">
      <c r="A117" s="2">
        <v>46210</v>
      </c>
      <c r="B117" s="1" t="str">
        <f ca="1">IF(Información1[[#This Row],[Fecha]]='Ajuste de fechas'!$A$2,"Día actual","Día anterior")</f>
        <v>Día actual</v>
      </c>
      <c r="C117" t="s">
        <v>36</v>
      </c>
      <c r="D117" t="s">
        <v>37</v>
      </c>
      <c r="E117" t="s">
        <v>247</v>
      </c>
      <c r="F117" t="s">
        <v>38</v>
      </c>
      <c r="G117" t="s">
        <v>116</v>
      </c>
      <c r="H117" t="s">
        <v>8</v>
      </c>
      <c r="I117" t="s">
        <v>7</v>
      </c>
      <c r="J117" t="s">
        <v>31</v>
      </c>
      <c r="K117" t="s">
        <v>60</v>
      </c>
      <c r="L117" t="s">
        <v>24</v>
      </c>
      <c r="M117">
        <v>1</v>
      </c>
    </row>
    <row r="118" spans="1:13" x14ac:dyDescent="0.25">
      <c r="A118" s="2">
        <v>46210</v>
      </c>
      <c r="B118" s="1" t="str">
        <f ca="1">IF(Información1[[#This Row],[Fecha]]='Ajuste de fechas'!$A$2,"Día actual","Día anterior")</f>
        <v>Día actual</v>
      </c>
      <c r="C118" t="s">
        <v>36</v>
      </c>
      <c r="D118" t="s">
        <v>37</v>
      </c>
      <c r="E118" t="s">
        <v>248</v>
      </c>
      <c r="F118" t="s">
        <v>10</v>
      </c>
      <c r="G118" t="s">
        <v>249</v>
      </c>
      <c r="H118" t="s">
        <v>8</v>
      </c>
      <c r="I118" t="s">
        <v>7</v>
      </c>
      <c r="J118" t="s">
        <v>33</v>
      </c>
      <c r="K118" t="s">
        <v>60</v>
      </c>
      <c r="L118" t="s">
        <v>24</v>
      </c>
      <c r="M118">
        <v>1</v>
      </c>
    </row>
    <row r="119" spans="1:13" x14ac:dyDescent="0.25">
      <c r="A119" s="2">
        <v>46210</v>
      </c>
      <c r="B119" s="1" t="str">
        <f ca="1">IF(Información1[[#This Row],[Fecha]]='Ajuste de fechas'!$A$2,"Día actual","Día anterior")</f>
        <v>Día actual</v>
      </c>
      <c r="C119" t="s">
        <v>36</v>
      </c>
      <c r="D119" t="s">
        <v>37</v>
      </c>
      <c r="E119" t="s">
        <v>250</v>
      </c>
      <c r="F119" t="s">
        <v>11</v>
      </c>
      <c r="H119" t="s">
        <v>8</v>
      </c>
      <c r="I119" t="s">
        <v>7</v>
      </c>
      <c r="J119" t="s">
        <v>32</v>
      </c>
      <c r="K119" t="s">
        <v>60</v>
      </c>
      <c r="L119" t="s">
        <v>24</v>
      </c>
      <c r="M119">
        <v>1</v>
      </c>
    </row>
    <row r="120" spans="1:13" x14ac:dyDescent="0.25">
      <c r="A120" s="2">
        <v>46210</v>
      </c>
      <c r="B120" s="1" t="str">
        <f ca="1">IF(Información1[[#This Row],[Fecha]]='Ajuste de fechas'!$A$2,"Día actual","Día anterior")</f>
        <v>Día actual</v>
      </c>
      <c r="C120" t="s">
        <v>36</v>
      </c>
      <c r="D120" t="s">
        <v>37</v>
      </c>
      <c r="E120" t="s">
        <v>251</v>
      </c>
      <c r="F120" t="s">
        <v>185</v>
      </c>
      <c r="G120" t="s">
        <v>196</v>
      </c>
      <c r="H120" t="s">
        <v>8</v>
      </c>
      <c r="I120" t="s">
        <v>7</v>
      </c>
      <c r="J120" t="s">
        <v>31</v>
      </c>
      <c r="K120" t="s">
        <v>60</v>
      </c>
      <c r="L120" t="s">
        <v>24</v>
      </c>
      <c r="M120">
        <v>1</v>
      </c>
    </row>
    <row r="121" spans="1:13" x14ac:dyDescent="0.25">
      <c r="A121" s="2">
        <v>46210</v>
      </c>
      <c r="B121" s="1" t="str">
        <f ca="1">IF(Información1[[#This Row],[Fecha]]='Ajuste de fechas'!$A$2,"Día actual","Día anterior")</f>
        <v>Día actual</v>
      </c>
      <c r="C121" t="s">
        <v>36</v>
      </c>
      <c r="D121" t="s">
        <v>37</v>
      </c>
      <c r="E121" t="s">
        <v>252</v>
      </c>
      <c r="F121" t="s">
        <v>77</v>
      </c>
      <c r="G121" t="s">
        <v>196</v>
      </c>
      <c r="H121" t="s">
        <v>8</v>
      </c>
      <c r="I121" t="s">
        <v>7</v>
      </c>
      <c r="J121" t="s">
        <v>31</v>
      </c>
      <c r="K121" t="s">
        <v>60</v>
      </c>
      <c r="L121" t="s">
        <v>24</v>
      </c>
      <c r="M121">
        <v>1</v>
      </c>
    </row>
    <row r="122" spans="1:13" x14ac:dyDescent="0.25">
      <c r="A122" s="2">
        <v>46210</v>
      </c>
      <c r="B122" s="1" t="str">
        <f ca="1">IF(Información1[[#This Row],[Fecha]]='Ajuste de fechas'!$A$2,"Día actual","Día anterior")</f>
        <v>Día actual</v>
      </c>
      <c r="C122" t="s">
        <v>36</v>
      </c>
      <c r="D122" t="s">
        <v>37</v>
      </c>
      <c r="E122" t="s">
        <v>253</v>
      </c>
      <c r="F122" t="s">
        <v>10</v>
      </c>
      <c r="G122" t="s">
        <v>254</v>
      </c>
      <c r="H122" t="s">
        <v>8</v>
      </c>
      <c r="I122" t="s">
        <v>7</v>
      </c>
      <c r="J122" t="s">
        <v>33</v>
      </c>
      <c r="K122" t="s">
        <v>60</v>
      </c>
      <c r="L122" t="s">
        <v>24</v>
      </c>
      <c r="M122">
        <v>1</v>
      </c>
    </row>
    <row r="123" spans="1:13" x14ac:dyDescent="0.25">
      <c r="A123" s="2">
        <v>46210</v>
      </c>
      <c r="B123" s="1" t="str">
        <f ca="1">IF(Información1[[#This Row],[Fecha]]='Ajuste de fechas'!$A$2,"Día actual","Día anterior")</f>
        <v>Día actual</v>
      </c>
      <c r="C123" t="s">
        <v>36</v>
      </c>
      <c r="D123" t="s">
        <v>37</v>
      </c>
      <c r="E123" t="s">
        <v>255</v>
      </c>
      <c r="F123" t="s">
        <v>10</v>
      </c>
      <c r="H123" t="s">
        <v>8</v>
      </c>
      <c r="I123" t="s">
        <v>7</v>
      </c>
      <c r="J123" t="s">
        <v>33</v>
      </c>
      <c r="K123" t="s">
        <v>60</v>
      </c>
      <c r="L123" t="s">
        <v>24</v>
      </c>
      <c r="M123">
        <v>1</v>
      </c>
    </row>
    <row r="124" spans="1:13" x14ac:dyDescent="0.25">
      <c r="A124" s="2">
        <v>46210</v>
      </c>
      <c r="B124" s="1" t="str">
        <f ca="1">IF(Información1[[#This Row],[Fecha]]='Ajuste de fechas'!$A$2,"Día actual","Día anterior")</f>
        <v>Día actual</v>
      </c>
      <c r="C124" t="s">
        <v>36</v>
      </c>
      <c r="D124" t="s">
        <v>37</v>
      </c>
      <c r="E124" t="s">
        <v>256</v>
      </c>
      <c r="F124" t="s">
        <v>94</v>
      </c>
      <c r="G124" t="s">
        <v>257</v>
      </c>
      <c r="H124" t="s">
        <v>8</v>
      </c>
      <c r="I124" t="s">
        <v>7</v>
      </c>
      <c r="J124" t="s">
        <v>31</v>
      </c>
      <c r="K124" t="s">
        <v>60</v>
      </c>
      <c r="L124" t="s">
        <v>24</v>
      </c>
      <c r="M124">
        <v>1</v>
      </c>
    </row>
    <row r="125" spans="1:13" x14ac:dyDescent="0.25">
      <c r="A125" s="2">
        <v>46210</v>
      </c>
      <c r="B125" s="1" t="str">
        <f ca="1">IF(Información1[[#This Row],[Fecha]]='Ajuste de fechas'!$A$2,"Día actual","Día anterior")</f>
        <v>Día actual</v>
      </c>
      <c r="C125" t="s">
        <v>36</v>
      </c>
      <c r="D125" t="s">
        <v>37</v>
      </c>
      <c r="E125" t="s">
        <v>39</v>
      </c>
      <c r="F125" t="s">
        <v>10</v>
      </c>
      <c r="G125" t="s">
        <v>43</v>
      </c>
      <c r="H125" t="s">
        <v>8</v>
      </c>
      <c r="I125" t="s">
        <v>7</v>
      </c>
      <c r="J125" t="s">
        <v>33</v>
      </c>
      <c r="K125" t="s">
        <v>60</v>
      </c>
      <c r="L125" t="s">
        <v>24</v>
      </c>
      <c r="M125">
        <v>1</v>
      </c>
    </row>
    <row r="126" spans="1:13" x14ac:dyDescent="0.25">
      <c r="A126" s="2">
        <v>46210</v>
      </c>
      <c r="B126" s="1" t="str">
        <f ca="1">IF(Información1[[#This Row],[Fecha]]='Ajuste de fechas'!$A$2,"Día actual","Día anterior")</f>
        <v>Día actual</v>
      </c>
      <c r="C126" t="s">
        <v>36</v>
      </c>
      <c r="D126" t="s">
        <v>37</v>
      </c>
      <c r="E126" t="s">
        <v>258</v>
      </c>
      <c r="F126" t="s">
        <v>10</v>
      </c>
      <c r="G126" t="s">
        <v>91</v>
      </c>
      <c r="H126" t="s">
        <v>8</v>
      </c>
      <c r="I126" t="s">
        <v>7</v>
      </c>
      <c r="J126" t="s">
        <v>33</v>
      </c>
      <c r="K126" t="s">
        <v>60</v>
      </c>
      <c r="L126" t="s">
        <v>24</v>
      </c>
      <c r="M126">
        <v>1</v>
      </c>
    </row>
    <row r="127" spans="1:13" x14ac:dyDescent="0.25">
      <c r="A127" s="2">
        <v>46210</v>
      </c>
      <c r="B127" s="1" t="str">
        <f ca="1">IF(Información1[[#This Row],[Fecha]]='Ajuste de fechas'!$A$2,"Día actual","Día anterior")</f>
        <v>Día actual</v>
      </c>
      <c r="C127" t="s">
        <v>36</v>
      </c>
      <c r="D127" t="s">
        <v>37</v>
      </c>
      <c r="E127" t="s">
        <v>259</v>
      </c>
      <c r="F127" t="s">
        <v>11</v>
      </c>
      <c r="G127" t="s">
        <v>259</v>
      </c>
      <c r="H127" t="s">
        <v>8</v>
      </c>
      <c r="I127" t="s">
        <v>7</v>
      </c>
      <c r="J127" t="s">
        <v>32</v>
      </c>
      <c r="K127" t="s">
        <v>60</v>
      </c>
      <c r="L127" t="s">
        <v>24</v>
      </c>
      <c r="M127">
        <v>1</v>
      </c>
    </row>
    <row r="128" spans="1:13" x14ac:dyDescent="0.25">
      <c r="A128" s="2">
        <v>46210</v>
      </c>
      <c r="B128" s="1" t="str">
        <f ca="1">IF(Información1[[#This Row],[Fecha]]='Ajuste de fechas'!$A$2,"Día actual","Día anterior")</f>
        <v>Día actual</v>
      </c>
      <c r="C128" t="s">
        <v>36</v>
      </c>
      <c r="D128" t="s">
        <v>37</v>
      </c>
      <c r="E128" t="s">
        <v>260</v>
      </c>
      <c r="F128" t="s">
        <v>94</v>
      </c>
      <c r="G128" t="s">
        <v>261</v>
      </c>
      <c r="H128" t="s">
        <v>8</v>
      </c>
      <c r="I128" t="s">
        <v>7</v>
      </c>
      <c r="J128" t="s">
        <v>31</v>
      </c>
      <c r="K128" t="s">
        <v>60</v>
      </c>
      <c r="L128" t="s">
        <v>24</v>
      </c>
      <c r="M128">
        <v>1</v>
      </c>
    </row>
    <row r="129" spans="1:13" x14ac:dyDescent="0.25">
      <c r="A129" s="2">
        <v>46210</v>
      </c>
      <c r="B129" s="1" t="str">
        <f ca="1">IF(Información1[[#This Row],[Fecha]]='Ajuste de fechas'!$A$2,"Día actual","Día anterior")</f>
        <v>Día actual</v>
      </c>
      <c r="C129" t="s">
        <v>36</v>
      </c>
      <c r="D129" t="s">
        <v>37</v>
      </c>
      <c r="E129" t="s">
        <v>262</v>
      </c>
      <c r="F129" t="s">
        <v>10</v>
      </c>
      <c r="G129" t="s">
        <v>99</v>
      </c>
      <c r="H129" t="s">
        <v>8</v>
      </c>
      <c r="I129" t="s">
        <v>7</v>
      </c>
      <c r="J129" t="s">
        <v>33</v>
      </c>
      <c r="K129" t="s">
        <v>60</v>
      </c>
      <c r="L129" t="s">
        <v>24</v>
      </c>
      <c r="M129">
        <v>1</v>
      </c>
    </row>
    <row r="130" spans="1:13" x14ac:dyDescent="0.25">
      <c r="A130" s="2">
        <v>46210</v>
      </c>
      <c r="B130" s="1" t="str">
        <f ca="1">IF(Información1[[#This Row],[Fecha]]='Ajuste de fechas'!$A$2,"Día actual","Día anterior")</f>
        <v>Día actual</v>
      </c>
      <c r="C130" t="s">
        <v>40</v>
      </c>
      <c r="D130" t="s">
        <v>41</v>
      </c>
      <c r="E130" t="s">
        <v>263</v>
      </c>
      <c r="F130" t="s">
        <v>11</v>
      </c>
      <c r="G130" t="s">
        <v>264</v>
      </c>
      <c r="H130" t="s">
        <v>35</v>
      </c>
      <c r="I130" t="s">
        <v>7</v>
      </c>
      <c r="J130" t="s">
        <v>32</v>
      </c>
      <c r="K130" t="s">
        <v>42</v>
      </c>
      <c r="L130" t="s">
        <v>24</v>
      </c>
      <c r="M130">
        <v>1</v>
      </c>
    </row>
    <row r="131" spans="1:13" x14ac:dyDescent="0.25">
      <c r="A131" s="2">
        <v>46210</v>
      </c>
      <c r="B131" s="1" t="str">
        <f ca="1">IF(Información1[[#This Row],[Fecha]]='Ajuste de fechas'!$A$2,"Día actual","Día anterior")</f>
        <v>Día actual</v>
      </c>
      <c r="C131" t="s">
        <v>40</v>
      </c>
      <c r="D131" t="s">
        <v>41</v>
      </c>
      <c r="E131" t="s">
        <v>265</v>
      </c>
      <c r="F131" t="s">
        <v>185</v>
      </c>
      <c r="G131" t="s">
        <v>196</v>
      </c>
      <c r="H131" t="s">
        <v>35</v>
      </c>
      <c r="I131" t="s">
        <v>7</v>
      </c>
      <c r="J131" t="s">
        <v>31</v>
      </c>
      <c r="K131" t="s">
        <v>42</v>
      </c>
      <c r="L131" t="s">
        <v>24</v>
      </c>
      <c r="M131">
        <v>1</v>
      </c>
    </row>
    <row r="132" spans="1:13" x14ac:dyDescent="0.25">
      <c r="A132" s="2">
        <v>46210</v>
      </c>
      <c r="B132" s="1" t="str">
        <f ca="1">IF(Información1[[#This Row],[Fecha]]='Ajuste de fechas'!$A$2,"Día actual","Día anterior")</f>
        <v>Día actual</v>
      </c>
      <c r="C132" t="s">
        <v>40</v>
      </c>
      <c r="D132" t="s">
        <v>41</v>
      </c>
      <c r="E132" t="s">
        <v>266</v>
      </c>
      <c r="F132" t="s">
        <v>12</v>
      </c>
      <c r="G132" t="s">
        <v>267</v>
      </c>
      <c r="H132" t="s">
        <v>35</v>
      </c>
      <c r="I132" t="s">
        <v>14</v>
      </c>
      <c r="J132" t="s">
        <v>31</v>
      </c>
      <c r="K132" t="s">
        <v>45</v>
      </c>
      <c r="L132" t="s">
        <v>25</v>
      </c>
      <c r="M132">
        <v>1</v>
      </c>
    </row>
    <row r="133" spans="1:13" x14ac:dyDescent="0.25">
      <c r="A133" s="2">
        <v>46210</v>
      </c>
      <c r="B133" s="1" t="str">
        <f ca="1">IF(Información1[[#This Row],[Fecha]]='Ajuste de fechas'!$A$2,"Día actual","Día anterior")</f>
        <v>Día actual</v>
      </c>
      <c r="C133" t="s">
        <v>40</v>
      </c>
      <c r="D133" t="s">
        <v>41</v>
      </c>
      <c r="E133" t="s">
        <v>268</v>
      </c>
      <c r="F133" t="s">
        <v>13</v>
      </c>
      <c r="G133" t="s">
        <v>137</v>
      </c>
      <c r="H133" t="s">
        <v>35</v>
      </c>
      <c r="I133" t="s">
        <v>7</v>
      </c>
      <c r="J133" t="s">
        <v>13</v>
      </c>
      <c r="K133" t="s">
        <v>42</v>
      </c>
      <c r="L133" t="s">
        <v>24</v>
      </c>
      <c r="M133">
        <v>1</v>
      </c>
    </row>
    <row r="134" spans="1:13" x14ac:dyDescent="0.25">
      <c r="A134" s="2">
        <v>46210</v>
      </c>
      <c r="B134" s="1" t="str">
        <f ca="1">IF(Información1[[#This Row],[Fecha]]='Ajuste de fechas'!$A$2,"Día actual","Día anterior")</f>
        <v>Día actual</v>
      </c>
      <c r="C134" t="s">
        <v>40</v>
      </c>
      <c r="D134" t="s">
        <v>41</v>
      </c>
      <c r="E134" t="s">
        <v>269</v>
      </c>
      <c r="F134" t="s">
        <v>9</v>
      </c>
      <c r="G134" t="s">
        <v>270</v>
      </c>
      <c r="H134" t="s">
        <v>35</v>
      </c>
      <c r="I134" t="s">
        <v>14</v>
      </c>
      <c r="J134" t="s">
        <v>31</v>
      </c>
      <c r="K134" t="s">
        <v>271</v>
      </c>
      <c r="L134" t="s">
        <v>24</v>
      </c>
      <c r="M134">
        <v>1</v>
      </c>
    </row>
    <row r="135" spans="1:13" x14ac:dyDescent="0.25">
      <c r="A135" s="2">
        <v>46210</v>
      </c>
      <c r="B135" s="1" t="str">
        <f ca="1">IF(Información1[[#This Row],[Fecha]]='Ajuste de fechas'!$A$2,"Día actual","Día anterior")</f>
        <v>Día actual</v>
      </c>
      <c r="C135" t="s">
        <v>40</v>
      </c>
      <c r="D135" t="s">
        <v>41</v>
      </c>
      <c r="E135" t="s">
        <v>272</v>
      </c>
      <c r="F135" t="s">
        <v>9</v>
      </c>
      <c r="G135" t="s">
        <v>154</v>
      </c>
      <c r="H135" t="s">
        <v>35</v>
      </c>
      <c r="I135" t="s">
        <v>7</v>
      </c>
      <c r="J135" t="s">
        <v>31</v>
      </c>
      <c r="K135" t="s">
        <v>271</v>
      </c>
      <c r="L135" t="s">
        <v>24</v>
      </c>
      <c r="M135">
        <v>1</v>
      </c>
    </row>
    <row r="136" spans="1:13" x14ac:dyDescent="0.25">
      <c r="A136" s="2">
        <v>46210</v>
      </c>
      <c r="B136" s="1" t="str">
        <f ca="1">IF(Información1[[#This Row],[Fecha]]='Ajuste de fechas'!$A$2,"Día actual","Día anterior")</f>
        <v>Día actual</v>
      </c>
      <c r="C136" t="s">
        <v>40</v>
      </c>
      <c r="D136" t="s">
        <v>41</v>
      </c>
      <c r="E136" t="s">
        <v>273</v>
      </c>
      <c r="F136" t="s">
        <v>10</v>
      </c>
      <c r="G136" t="s">
        <v>274</v>
      </c>
      <c r="H136" t="s">
        <v>35</v>
      </c>
      <c r="I136" t="s">
        <v>7</v>
      </c>
      <c r="J136" t="s">
        <v>33</v>
      </c>
      <c r="K136" t="s">
        <v>271</v>
      </c>
      <c r="L136" t="s">
        <v>24</v>
      </c>
      <c r="M136">
        <v>1</v>
      </c>
    </row>
    <row r="137" spans="1:13" x14ac:dyDescent="0.25">
      <c r="A137" s="2">
        <v>46210</v>
      </c>
      <c r="B137" s="1" t="str">
        <f ca="1">IF(Información1[[#This Row],[Fecha]]='Ajuste de fechas'!$A$2,"Día actual","Día anterior")</f>
        <v>Día actual</v>
      </c>
      <c r="C137" t="s">
        <v>40</v>
      </c>
      <c r="D137" t="s">
        <v>41</v>
      </c>
      <c r="E137" t="s">
        <v>275</v>
      </c>
      <c r="F137" t="s">
        <v>15</v>
      </c>
      <c r="G137" t="s">
        <v>276</v>
      </c>
      <c r="H137" t="s">
        <v>35</v>
      </c>
      <c r="I137" t="s">
        <v>14</v>
      </c>
      <c r="J137" t="s">
        <v>31</v>
      </c>
      <c r="K137" t="s">
        <v>45</v>
      </c>
      <c r="L137" t="s">
        <v>25</v>
      </c>
      <c r="M137">
        <v>1</v>
      </c>
    </row>
    <row r="138" spans="1:13" x14ac:dyDescent="0.25">
      <c r="A138" s="2">
        <v>46210</v>
      </c>
      <c r="B138" s="1" t="str">
        <f ca="1">IF(Información1[[#This Row],[Fecha]]='Ajuste de fechas'!$A$2,"Día actual","Día anterior")</f>
        <v>Día actual</v>
      </c>
      <c r="C138" t="s">
        <v>40</v>
      </c>
      <c r="D138" t="s">
        <v>41</v>
      </c>
      <c r="E138" t="s">
        <v>277</v>
      </c>
      <c r="F138" t="s">
        <v>34</v>
      </c>
      <c r="G138" t="s">
        <v>278</v>
      </c>
      <c r="H138" t="s">
        <v>35</v>
      </c>
      <c r="I138" t="s">
        <v>7</v>
      </c>
      <c r="J138" t="s">
        <v>31</v>
      </c>
      <c r="K138" t="s">
        <v>42</v>
      </c>
      <c r="L138" t="s">
        <v>24</v>
      </c>
      <c r="M138">
        <v>1</v>
      </c>
    </row>
    <row r="139" spans="1:13" x14ac:dyDescent="0.25">
      <c r="A139" s="2">
        <v>46210</v>
      </c>
      <c r="B139" s="1" t="str">
        <f ca="1">IF(Información1[[#This Row],[Fecha]]='Ajuste de fechas'!$A$2,"Día actual","Día anterior")</f>
        <v>Día actual</v>
      </c>
      <c r="C139" t="s">
        <v>40</v>
      </c>
      <c r="D139" t="s">
        <v>41</v>
      </c>
      <c r="E139" t="s">
        <v>279</v>
      </c>
      <c r="F139" t="s">
        <v>15</v>
      </c>
      <c r="G139" t="s">
        <v>199</v>
      </c>
      <c r="H139" t="s">
        <v>35</v>
      </c>
      <c r="I139" t="s">
        <v>7</v>
      </c>
      <c r="J139" t="s">
        <v>31</v>
      </c>
      <c r="K139" t="s">
        <v>42</v>
      </c>
      <c r="L139" t="s">
        <v>25</v>
      </c>
      <c r="M139">
        <v>1</v>
      </c>
    </row>
    <row r="140" spans="1:13" x14ac:dyDescent="0.25">
      <c r="A140" s="2">
        <v>46210</v>
      </c>
      <c r="B140" s="1" t="str">
        <f ca="1">IF(Información1[[#This Row],[Fecha]]='Ajuste de fechas'!$A$2,"Día actual","Día anterior")</f>
        <v>Día actual</v>
      </c>
      <c r="C140" t="s">
        <v>40</v>
      </c>
      <c r="D140" t="s">
        <v>41</v>
      </c>
      <c r="E140" t="s">
        <v>280</v>
      </c>
      <c r="F140" t="s">
        <v>15</v>
      </c>
      <c r="G140" t="s">
        <v>199</v>
      </c>
      <c r="H140" t="s">
        <v>35</v>
      </c>
      <c r="I140" t="s">
        <v>7</v>
      </c>
      <c r="J140" t="s">
        <v>31</v>
      </c>
      <c r="K140" t="s">
        <v>42</v>
      </c>
      <c r="L140" t="s">
        <v>26</v>
      </c>
      <c r="M140">
        <v>1</v>
      </c>
    </row>
    <row r="141" spans="1:13" x14ac:dyDescent="0.25">
      <c r="A141" s="2">
        <v>46210</v>
      </c>
      <c r="B141" s="1" t="str">
        <f ca="1">IF(Información1[[#This Row],[Fecha]]='Ajuste de fechas'!$A$2,"Día actual","Día anterior")</f>
        <v>Día actual</v>
      </c>
      <c r="C141" t="s">
        <v>40</v>
      </c>
      <c r="D141" t="s">
        <v>41</v>
      </c>
      <c r="E141" t="s">
        <v>281</v>
      </c>
      <c r="F141" t="s">
        <v>10</v>
      </c>
      <c r="G141" t="s">
        <v>90</v>
      </c>
      <c r="H141" t="s">
        <v>35</v>
      </c>
      <c r="I141" t="s">
        <v>14</v>
      </c>
      <c r="J141" t="s">
        <v>33</v>
      </c>
      <c r="K141" t="s">
        <v>42</v>
      </c>
      <c r="L141" t="s">
        <v>24</v>
      </c>
      <c r="M141">
        <v>1</v>
      </c>
    </row>
    <row r="142" spans="1:13" x14ac:dyDescent="0.25">
      <c r="A142" s="2">
        <v>46210</v>
      </c>
      <c r="B142" s="1" t="str">
        <f ca="1">IF(Información1[[#This Row],[Fecha]]='Ajuste de fechas'!$A$2,"Día actual","Día anterior")</f>
        <v>Día actual</v>
      </c>
      <c r="C142" t="s">
        <v>40</v>
      </c>
      <c r="D142" t="s">
        <v>41</v>
      </c>
      <c r="E142" t="s">
        <v>282</v>
      </c>
      <c r="F142" t="s">
        <v>10</v>
      </c>
      <c r="G142" t="s">
        <v>249</v>
      </c>
      <c r="H142" t="s">
        <v>35</v>
      </c>
      <c r="I142" t="s">
        <v>14</v>
      </c>
      <c r="J142" t="s">
        <v>33</v>
      </c>
      <c r="K142" t="s">
        <v>42</v>
      </c>
      <c r="L142" t="s">
        <v>24</v>
      </c>
      <c r="M142">
        <v>1</v>
      </c>
    </row>
    <row r="143" spans="1:13" x14ac:dyDescent="0.25">
      <c r="A143" s="2">
        <v>46210</v>
      </c>
      <c r="B143" s="1" t="str">
        <f ca="1">IF(Información1[[#This Row],[Fecha]]='Ajuste de fechas'!$A$2,"Día actual","Día anterior")</f>
        <v>Día actual</v>
      </c>
      <c r="C143" t="s">
        <v>40</v>
      </c>
      <c r="D143" t="s">
        <v>41</v>
      </c>
      <c r="E143" t="s">
        <v>283</v>
      </c>
      <c r="F143" t="s">
        <v>46</v>
      </c>
      <c r="G143" t="s">
        <v>131</v>
      </c>
      <c r="H143" t="s">
        <v>35</v>
      </c>
      <c r="I143" t="s">
        <v>14</v>
      </c>
      <c r="J143" t="s">
        <v>31</v>
      </c>
      <c r="K143" t="s">
        <v>42</v>
      </c>
      <c r="L143" t="s">
        <v>24</v>
      </c>
      <c r="M143">
        <v>1</v>
      </c>
    </row>
    <row r="144" spans="1:13" x14ac:dyDescent="0.25">
      <c r="A144" s="2">
        <v>46210</v>
      </c>
      <c r="B144" s="1" t="str">
        <f ca="1">IF(Información1[[#This Row],[Fecha]]='Ajuste de fechas'!$A$2,"Día actual","Día anterior")</f>
        <v>Día actual</v>
      </c>
      <c r="C144" t="s">
        <v>40</v>
      </c>
      <c r="D144" t="s">
        <v>41</v>
      </c>
      <c r="E144" t="s">
        <v>284</v>
      </c>
      <c r="F144" t="s">
        <v>46</v>
      </c>
      <c r="G144" t="s">
        <v>129</v>
      </c>
      <c r="H144" t="s">
        <v>35</v>
      </c>
      <c r="I144" t="s">
        <v>7</v>
      </c>
      <c r="J144" t="s">
        <v>31</v>
      </c>
      <c r="K144" t="s">
        <v>42</v>
      </c>
      <c r="L144" t="s">
        <v>24</v>
      </c>
      <c r="M144">
        <v>1</v>
      </c>
    </row>
    <row r="145" spans="1:13" x14ac:dyDescent="0.25">
      <c r="A145" s="2">
        <v>46210</v>
      </c>
      <c r="B145" s="1" t="str">
        <f ca="1">IF(Información1[[#This Row],[Fecha]]='Ajuste de fechas'!$A$2,"Día actual","Día anterior")</f>
        <v>Día actual</v>
      </c>
      <c r="C145" t="s">
        <v>40</v>
      </c>
      <c r="D145" t="s">
        <v>41</v>
      </c>
      <c r="E145" t="s">
        <v>285</v>
      </c>
      <c r="F145" t="s">
        <v>13</v>
      </c>
      <c r="G145" t="s">
        <v>112</v>
      </c>
      <c r="H145" t="s">
        <v>35</v>
      </c>
      <c r="I145" t="s">
        <v>7</v>
      </c>
      <c r="J145" t="s">
        <v>13</v>
      </c>
      <c r="K145" t="s">
        <v>42</v>
      </c>
      <c r="L145" t="s">
        <v>24</v>
      </c>
      <c r="M14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46210</v>
      </c>
      <c r="B2" s="2">
        <f ca="1">A2-1</f>
        <v>46209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2026-07-07T23:58:19Z</dcterms:modified>
</cp:coreProperties>
</file>