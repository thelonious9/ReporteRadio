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7DC59557-042B-4CDF-A16A-40F297C4FEB5}"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62" i="2"/>
  <c r="B65" i="2"/>
  <c r="B68" i="2"/>
  <c r="B71" i="2"/>
  <c r="B74" i="2"/>
  <c r="B77" i="2"/>
  <c r="B80" i="2"/>
  <c r="B83" i="2"/>
  <c r="B86" i="2"/>
  <c r="B89" i="2"/>
  <c r="B24" i="2"/>
  <c r="B25" i="2"/>
  <c r="B26" i="2"/>
  <c r="B27" i="2"/>
  <c r="B28" i="2"/>
  <c r="B29" i="2"/>
  <c r="B30" i="2"/>
  <c r="B31" i="2"/>
  <c r="B32" i="2"/>
  <c r="B33" i="2"/>
  <c r="B34" i="2"/>
  <c r="B35" i="2"/>
  <c r="B36" i="2"/>
  <c r="B37" i="2"/>
  <c r="B38" i="2"/>
  <c r="B39" i="2"/>
  <c r="B40" i="2"/>
  <c r="B41" i="2"/>
  <c r="B42" i="2"/>
  <c r="B43" i="2"/>
  <c r="B44" i="2"/>
  <c r="B45" i="2"/>
  <c r="B46" i="2"/>
  <c r="B57" i="2"/>
  <c r="B59" i="2"/>
  <c r="B61" i="2"/>
  <c r="B63" i="2"/>
  <c r="B66" i="2"/>
  <c r="B69" i="2"/>
  <c r="B72" i="2"/>
  <c r="B75" i="2"/>
  <c r="B78" i="2"/>
  <c r="B81" i="2"/>
  <c r="B84" i="2"/>
  <c r="B87" i="2"/>
  <c r="B90" i="2"/>
  <c r="B47" i="2"/>
  <c r="B48" i="2"/>
  <c r="B49" i="2"/>
  <c r="B50" i="2"/>
  <c r="B51" i="2"/>
  <c r="B52" i="2"/>
  <c r="B53" i="2"/>
  <c r="B54" i="2"/>
  <c r="B55" i="2"/>
  <c r="B56" i="2"/>
  <c r="B58" i="2"/>
  <c r="B60" i="2"/>
  <c r="B64" i="2"/>
  <c r="B67" i="2"/>
  <c r="B70" i="2"/>
  <c r="B73" i="2"/>
  <c r="B76" i="2"/>
  <c r="B79" i="2"/>
  <c r="B82" i="2"/>
  <c r="B85" i="2"/>
  <c r="B88" i="2"/>
  <c r="B9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<sst xmlns="http://schemas.openxmlformats.org/spreadsheetml/2006/main" count="915" uniqueCount="198">
  <si>
    <t>Fecha</t>
  </si>
  <si>
    <t>Titular</t>
  </si>
  <si>
    <t>Dependencia</t>
  </si>
  <si>
    <t>Canal</t>
  </si>
  <si>
    <t>Tema</t>
  </si>
  <si>
    <t>Estatus</t>
  </si>
  <si>
    <t>Sipdus</t>
  </si>
  <si>
    <t>Informativa</t>
  </si>
  <si>
    <t>Radio local</t>
  </si>
  <si>
    <t>Positiva</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</si>
  <si>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</si>
  <si>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</si>
  <si>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</si>
  <si>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</si>
  <si>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</si>
  <si>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</si>
  <si>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</si>
  <si>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</si>
  <si>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</si>
  <si>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</si>
  <si>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</si>
  <si>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</si>
  <si>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</si>
  <si>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</si>
  <si>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</si>
  <si>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</si>
  <si>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</si>
  <si>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</si>
  <si>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</si>
  <si>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</si>
  <si>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</si>
  <si>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Juan Carlos Santamaria</t>
  </si>
  <si>
    <t>NQ 90.1 FM</t>
  </si>
  <si>
    <t>Jesús Riveros</t>
  </si>
  <si>
    <t>Enlace Hidalgo1</t>
  </si>
  <si>
    <t>Mundial De Futbol</t>
  </si>
  <si>
    <t>Congreso</t>
  </si>
  <si>
    <t>SSH</t>
  </si>
  <si>
    <t>Enlace Hidalgo2</t>
  </si>
  <si>
    <t>DIFH</t>
  </si>
  <si>
    <t>Ke Buena 106.7 FM</t>
  </si>
  <si>
    <t>Noticias 106.7</t>
  </si>
  <si>
    <t>David Cárdenas</t>
  </si>
  <si>
    <t>OCSAD</t>
  </si>
  <si>
    <t>Procuraduría Municipal del Menor</t>
  </si>
  <si>
    <t>Localización de cuerpo</t>
  </si>
  <si>
    <t>Alerta Meteorológica</t>
  </si>
  <si>
    <t>Turismo</t>
  </si>
  <si>
    <t>La Poderosa Tuxpan 93.1 FM</t>
  </si>
  <si>
    <t>NN Nuestras Noticias Zona Norte</t>
  </si>
  <si>
    <t>Liz Argüelles</t>
  </si>
  <si>
    <t>Atención Afectaciones Por Lluvias</t>
  </si>
  <si>
    <t>Sedeco</t>
  </si>
  <si>
    <t>Carretera En Mal Estado</t>
  </si>
  <si>
    <t>Ruta de la Transformación</t>
  </si>
  <si>
    <t>Combate Al Narcomenudeo</t>
  </si>
  <si>
    <t>Tauromaquia</t>
  </si>
  <si>
    <t>Radio Lobo 96.7 FM</t>
  </si>
  <si>
    <t>Gina Lorenzo</t>
  </si>
  <si>
    <t>Enlace Noticias</t>
  </si>
  <si>
    <t>Rodolfo López</t>
  </si>
  <si>
    <t>Enfoque Regional Matutino</t>
  </si>
  <si>
    <t>Tras la aprobación del Congreso de Hidalgo de la convocatoria para realizar una consulta popular que defina si se prohíben o no las corridas de toros en Hidalgo, Jonathan Job Morales, presidente de la asociación Biofutura, anunció que emprenderán acciones legales para impedir que se lleve a cabo dicho ejercicio democrático, al considerar que no se puede “consultar algo que ya está en la Constitución”. El activista señaló que destinar recursos públicos a este mecanismo de participación implicaría desviar presupuesto que, afirmó, debería orientarse a atender otras necesidades prioritarias, como el abasto de medicamentos y servicios en hospitales. Asimismo, sostuvo que, aunque el proceso ya fue aprobado por el Poder Legislativo estatal, “esta batalla no está perdida”, por lo que reiteró que buscarán acudir ante instancias federales para frenar la realización de la consulta. “Finalmente, la decisión de generar una consulta no es constitucional; no se podría generar una consulta sobre algo que ya está establecido en nuestra Constitución”, declaró en entrevista con medios de comunicación. Fue el jueves pasado cuando el Congreso de Hidalgo aprobó la convocatoria para la consulta popular sobre corridas de toros, la cual se realizará el 6 de junio del próximo año, coincidiendo con la jornada electoral para renovar ayuntamientos y diputaciones locales.</t>
  </si>
  <si>
    <t>María Elena Carballal Ogando, presidenta de la Cámara Nacional de la Industria de Restaurantes y Alimentos Condimentados (Canirac) en Hidalgo, informó que 57 de los 87 establecimientos afiliados al organismo cuentan con contratos vigentes para transmitir los partidos del Mundial 2026. Añadió que el resto de los negocios de Hidalgo continúa en proceso de instalación debido a la saturación de las empresas proveedoras de televisión restringida y plataformas de streaming. No obstante, quienes ya tienen número de contrato fueron autorizados para iniciar las transmisiones desde este 11 de junio. La dirigente advirtió sobre posibles verificaciones apócrifas y señaló que se reunió con la directora general de la zona regional que incluye a Hidalgo para coordinar revisiones y confirmar que los inspectores que acudan a los establecimientos estén debidamente acreditados. Carballal Ogando indicó que, mediante la Canirac nacional, el sector obtuvo convenios con precios preferenciales para los paquetes oficiales del Mundial. El costo inicial fue de 4 mil pesos por toda la temporada, con variaciones según el aforo y el número de mesas de cada negocio. Estimó un incremento de 50 por ciento en las ventas y afluencia de comensales durante el torneo y mencionó que, para incentivar el consumo, restaurantes de Pachuca, Mineral de la Reforma, Real del Monte, Actopan y Tula prepararon promociones y paquetes temáticos, sin modificar los precios de sus menús. Precisó que el gasto promedio por cliente oscila entre 250 y mil pesos, dependiendo del tipo de establecimiento. Además, descartó la necesidad de solicitar ampliaciones de horario en Hidalgo, ya que las licencias de restaurante-bar permiten cubrir el periodo de los encuentros programados durante la competencia. Finalmente, destacó que la presencia de la selección de Sudáfrica en Hidalgo ya generó beneficios para el sector. Como ejemplo, dijo que el partido de exhibición Leyendas de México vs. Sudáfrica, realizado el domingo pasado, impulsó la movilidad entre municipios y favoreció directamente a los restaurantes.</t>
  </si>
  <si>
    <t>Locutor Jesús Riveros da lectura a comentario de radioescucha que, solicita que reparen la carretera Zototlán-Cebolletas se encuentra en muy malas condiciones, ya no se puede circular por ahí; Jesús Riveros responde que, si ha ido y que, si está ya muy complicado circular por esa zona y dice, recordemos que es parte también de un proceso de gestión, de liberación de recursos, licitación, así que esperemos que pronto llegue este reencarpetamiento.</t>
  </si>
  <si>
    <t>El gobernador ha destacado en el Plan Estatal de Desarrollo que se fue formando a través de peticiones de la ciudadanía, que, evidentemente son demasiadas, debido a los rezagos existentes en la entidad y en eso, tiene que ver el ir escuchando a todas las personas, para ir formando este Plan, que, ha tenido adecuaciones y que tiene una solo limitantes, misma que ha destacado el mandatario estatal, el presupuesto, por eso, se han llevado a cabo obras en favor de la población. Este gobierno se caracteriza por “obras grandotas” sino por “obras grandiosas”, en muchas ocasiones se han hecho obras que permanecen y que ahí están, pero que no tienen la utilidad ni para lo que fueron creadas ni para las que están ya en uso; por ello, es que las obras que se están realizando son en favor de la ciudadanía, comentó locutor David Cárdenas.</t>
  </si>
  <si>
    <t>El gobernador de Hidalgo, Julio Menchaca Salazar se encuentra en Mineral del Chico encabezando las “Rutas de la Transformación, Gobierno en Movimiento” en donde lleva a cabo la entrega de apoyos. Esto fue lo que destacó el gobernador Julio Menchaca en Mineral del Chico. (AUDIO JMS).</t>
  </si>
  <si>
    <t>En sesión ordinaria, diputadas y diputados integrantes de la LXVI Legislatura avalaron con 23 votos a favor, dos en contra y una abstención, el acuerdo de la Junta de Gobierno que propone la emisión de la convocatoria de consulta popular en materia de corridas de toros. La legisladora Mónica Leanett Reyes Martínez (Nueva Alianza) explicó que la organización, desarrollo, cómputo y declaración de resultados de la consulta popular estarán a cargo del Instituto Estatal Electoral (IEEH), conforme a la metodología que apruebe dicho órgano, el cual será la única instancia calificadora. También indicó que la difusión de esta actividad se llevará a cabo en los términos, plazos y formas que se determinen en la metodología aprobada por el IEEH; que la pregunta será la siguiente: “¿deben prohibirse las corridas de toros en el estado de Hidalgo?” y que las opciones de respuesta serán: “sí” y “no”. La diputada aseguró que la consulta popular no es una decisión discrecional del Congreso; es un mecanismo de participación ciudadana previsto en la Constitución local y regulado por la Ley de Participación Ciudadana. “El procedimiento ha cumplido todas las etapas legales: presentación de la solicitud, aprobación legislativa, revisión jurisdiccional y declaratoria de procedencia por parte del Tribunal Superior de Justicia”, detalló.</t>
  </si>
  <si>
    <t>Policía Estatal mantiene apoyo y monitoreo ante afectaciones por lluvias en Hidalgo</t>
  </si>
  <si>
    <t>La SIPDUS informa sobre las incidencias más recientes tras las lluvias acontecidas en las últimas horas: De acuerdo al último corte de información son 5 mil 270 metros cúbicos de derrumbes registrados en carreteras de toda la entidad. 33 caminos reportados con contingencias y siete cerrados en su totalidad, así como 12 abiertos, atendidos parcialmente y 14 liberados al 100%.</t>
  </si>
  <si>
    <t>Factible en Hidalgo adoptar modelo de Ciudades Esponja: Miguel Tello</t>
  </si>
  <si>
    <t>Ciudades esponja</t>
  </si>
  <si>
    <t>Encabeza Hidalgo el crecimiento anual de la actividad industrial estatal</t>
  </si>
  <si>
    <t>Índice De Actividad Industrial</t>
  </si>
  <si>
    <t>Hidalgo lidera tecnificación del campo en México</t>
  </si>
  <si>
    <t>Tecnificación De Riego</t>
  </si>
  <si>
    <t>Fortalece Huasca de Ocampo la protección de la infancia con la instalación de la Procuraduría Municipal de Protección de Niñas, Niños y Adolescentes</t>
  </si>
  <si>
    <t>IHM y UPMH instalan primera Red de Mujeres Universitarias</t>
  </si>
  <si>
    <t>Red de Mujeres</t>
  </si>
  <si>
    <t>Romper el tabú salva vidas: detección temprana, clave contra el cáncer de próstata</t>
  </si>
  <si>
    <t>Prevención De Enfermedades</t>
  </si>
  <si>
    <t>Autoridades de Tepeji del Río investigan el hallazgo sin vida de una joven de 19 años de edad en la comunidad de Santa Ana Azcapotzaltongo luego de que familiares reportaran su desaparición tras perder contacto con ella durante la noche anterior. Vamos a darle seguimiento a este tema y qué es lo que van arrojando las investigaciones preliminares.</t>
  </si>
  <si>
    <t>Y como parte de las acciones de combate al narcomenudeo en el Valle del Mezquital, autoridades estatales y federales ejecutaron un cateo en la colonia San Nicolás en el municipio de Ixmiquilpan donde fue desarticulado un presunto punto de distribución de drogas. El operativo realizado por la Secretaría de Seguridad Pública de Hidalgo en coordinación con la Procuraduría, el Ejército Mexicano y la Guardia Nacional permitió el aseguramiento de más de 1,600 dosis de presuntos narcóticos. Durante la intervención fueron localizadas 1,500 dosis de hierba seca con características similares a la marihuana, así como 123 dosis de sustancia granulada conocida como cristal. Además se aseguraron básculas de precisión y bolsas utilizadas presuntamente para la dosificación y distribución de las sustancias.</t>
  </si>
  <si>
    <t>Y la justa mundialista también representa una inversión adicional para bares y cantinas de Pachuca, cuyos propietarios han comenzado a contratar licencias para transmitir los partidos de manera pública dentro de sus establecimientos. Este tema fue recurrente durante esta semana al poner sobre la mesa que los establecimientos, los ayuntamientos o aquel que quisiera transmitir el partido de forma pública tendría que tener los derechos o al menos el permiso para poder hacerlo. De acuerdo con Javier Zavala Ramírez, presidente de la Asociación de Bares y Cantinas de la Zona Metropolitana de Pachuca, los costos de estos permisos oscilan entre los 5,000, 14,000 y hasta 24,000 pesos, esto dependiendo de la capacidad y número de mesas de cada negocio. Todo funciona al tamaño del establecimiento, muchas de las cantinas que tenemos en el Centro Histórico son muy pequeñas, conocemos varias de ellas que tienen 2 o 3 mesas nada más, quizás eso pueda ser un factor para que los propietarios puedan animarse a hacer la contratación de esos paquetes. Habría que ver si es todo el paquete de los 104 partidos, si solamente es un solo partido, estos precios cómo oscilan. El dirigente explicó que únicamente dos empresas cuentan con autorización para comercializar los paquetes de transmisión pública por lo que varios establecimientos ya realizaron la contratación correspondiente para evitar posibles sanciones derivadas del uso no autorizado de las señales deportivas. La medida forma parte de los preparativos del sector ante uno de los eventos deportivos con mayor expectativa de audiencia que se espera generar una mayor afluencia de clientes y una actividad económica en bares y cantinas de la capital hidalguense. AUDIO DE APOYO</t>
  </si>
  <si>
    <t>Y el Congreso de Hidalgo aprobó, por mayoría, la convocatoria para realizar una consulta popular sobre el futuro de las corridas de toros en la entidad. Ejercicio ciudadano que se llevará a cabo el próximo 6 de junio de 2027, de manera concurrente con la jornada electoral. La decisión se da un día después de que el Tribunal Superior de Justicia de Hidalgo validara la procedencia del mecanismo de participación ciudadana y avalara la modificación de la pregunta que será sometida a consideración de la población. Durante la sesión ordinaria de este jueves, la diputada Mónica Ríos Martínez informó al Pleno sobre la resolución emitida por los magistrados del Poder Judicial Estatal con la que se dio paso a la aprobación formal de la convocatoria. AUDIO DE APOYO</t>
  </si>
  <si>
    <t>Entre docentes en activo, jubilados y estudiantes normalistas, realizaron una marcha en las calles de Pachuca para expresar su respaldo a las movilizaciones nacionales convocadas por la Coordinadora Nacional de Trabajadores de la Educación. ¡Maestro consciente, no se rinde ni se vende! El contingente, conformado por alrededor de 80 participantes, recorrió algunas de las principales vialidades de la capital del Estado para visibilizar sus demandas relacionadas con el sistema de pensiones y las condiciones laborales de los trabajadores al servicio del Estado. Durante la movilización, los manifestantes reiteraron su exigencia de derogar la ley del Issste del 2007, al considerar que dicha reforma modificó de manera significativa el sistema de jubilación y seguridad social de los trabajadores del sector público. La protesta se desarrolló de manera pacífica y formó parte de las acciones que diversos sectores magisteriales mantienen en distintas entidades del país en torno a sus demandas laborales y de seguridad social. AUDIO DE APOYO</t>
  </si>
  <si>
    <t>Marcha CNTE</t>
  </si>
  <si>
    <t>La presidenta del Patronato del Sistema DIF Hidalgo, Edda Vite Ramos, consideró que no es necesaria una reforma legal para garantizar el acompañamiento de adolescentes bajo tutela del Estado al alcanzar la mayoría de edad, al señalar que este proceso ya forma parte de las acciones que se realizan en los centros asistenciales de la entidad. La funcionaria explicó que las y los jóvenes que permanecen bajo resguardo institucional reciben acompañamiento gradual para incorporarse a la vida independiente mediante esquemas orientados a su formación académica, capacitación y desarrollo personal con el propósito de facilitar su integración social una vez que cumplan los 18 años. Las declaraciones surgen en el contexto de una propuesta legislativa que busca establecer en la ley mecanismos específicos para apoyar a adolescentes que egresan de las casas de asistencia, un sector que enfrenta desafíos particulares al dejar el sistema de protección institucional. AUDIO DE APOYO</t>
  </si>
  <si>
    <t>Casa de tran­si­ción</t>
  </si>
  <si>
    <t>Poder nosotros tener una cultura de prevención es muy importante, sobre todo porque se están presentando algunas lluvias atípicas donde las condiciones climáticas cambian en minutos. Usted puede informarse a través de las páginas de Facebook de protección civil municipal o visitar la cuenta de Facebook de la Conagua donde diariamente se da el reporte del clima y se dan algunas recomendaciones y sugerencias, como revisar techumbres, revisar que estén bien seguras, también tener una acción preventiva en cuanto a si se presentan anegaciones o algunas inundaciones que se presenten. Usted conoce las condiciones del terreno donde vive, sabe dónde se encharca el agua y cómo esto le puede afectar o no. Es muy importante tener esa cultura de prevención en materia de protección civil porque lamentablemente las condiciones climáticas no son las de hace 30, 40 años; ahora las condiciones cambian drásticamente. Así es que hay que tomar muy en cuenta lo que dice el subsecretario y gracias por el tiempo del subsecretario de Protección Civil de Hidalgo, Román Bernal Díaz.</t>
  </si>
  <si>
    <t>Nota con apoyo de audios de Román Bernal Díaz , Subsecretario de Protección civil y Gestión de Riesgos ante las intensas lluvias registradas en Hidalgo y el cambio a semáforo amarillo en el Valle del Mezquital, la Sierra Alta y la Huasteca. Rl.- Tenemos una máxima de veinticinco y una probabilidad para este viernes del treinta por ciento de lluvias. Mañana hay una probabilidad del ochenta por ciento. Hay condiciones frescas y húmedas con probabilidad de lluvias moderadas y chubascos en diferentes regiones del Estado. Continúa la alerta por parte de autoridades. Seguimos en semáforo amarillo, al menos en la Huasteca y en la Sierra. ¿Por qué le digo esto? Las lluvias, pues, se mantienen durante este fin de semana y las autoridades están trabajando para, pues, prevenir cualquier situación. Nadime Ashane conversó con el Subsecretario: Ante el registro de intensas precipitaciones, la Subsecretaría de Protección Civil y Gestión de Riesgos de Hidalgo determinó activar el semáforo amarillo para las regiones de la Sierra Alta, la Huasteca y el Valle del Mezquital. Esta medida responde directamente a los pronósticos meteorológicos y a las afectaciones derivadas de la saturación de los suelos, tales como deslaves, desbordamientos de cuerpos de agua, derrumbes y rodamiento de piedras en las zonas serranas, así como el incremento en los niveles hídricos del Valle del Mezquital. El riesgo no es aislado, ya que entre el 80% y el 90% del territorio estatal, incluyendo la Sierra Gorda, la Sierra Baja y la región Otomí-Tepehua, debe mantenerse en alerta. Los modelos meteorológicos anticipan un fin de semana complejo: para los días 12 y 13 de junio se prevén tormentas fuertes e intensas con acumulaciones de 75 a 150 milímetros, concentradas principalmente en el norte y el este de la entidad, mientras que para el domingo 14 de junio se esperan lluvias muy fuertes de 50 a 75 milímetros en las mismas demarcaciones. Frente a este panorama, la dependencia estatal enfatizó la urgencia de que la ciudadanía asuma una corresponsabilidad activa en la prevención. La instrucción principal bajo el semáforo amarillo es contar de manera permanente con una mochila de emergencia que contenga documentos esenciales, medicamentos, lámparas y dinero en efectivo, asegurando así una evacuación ágil hacia los refugios temporales habilitados por el gobierno. Asimismo, se exhortó a la población a identificar con precisión las rutas de evacuación, puntos de reunión y zonas de riesgo de sus localidades para evitar decisiones equívocas durante las contingencias. Respecto a la vulnerabilidad histórica de la región de Tula y el recuerdo de los acontecimientos de 2021, la subsecretaría aclaró que actualmente operan mecanismos de prevención y monitoreo mucho más rigurosos. El río Tula se supervisa las 24 horas del año en coordinación estrecha con las delegaciones locales y centrales de la Comisión Nacional del Agua (Conagua), instancia encargada de regular los niveles de las presas y autorizar desfogues preventivos para absorber los caudales provenientes del Valle de México. Finalmente, la autoridad identificó como el principal error de la ciudadanía el desatender los avisos oficiales y carecer de un plan familiar de protección civil. Se reiteraron recomendaciones operativas estrictas para salvaguardar la integridad física y patrimonial: Ante cualquier situación de riesgo, la población debe recurrir exclusivamente a los canales oficiales y reportar las emergencias a través de las líneas 911 y 089, recordando que la protección civil es una responsabilidad compartida que mitiga de forma directa los peligros para la vida y la salud.</t>
  </si>
  <si>
    <t>Las presas de Hidalgo registran un almacenamiento global de alrededor del 101.6 por ciento y un derrame de 0.58 metros cúbicos, por lo que permanecen bajo vigilancia de la Comisión Nacional del Agua (Conagua), organismo que además prevé la continuidad de las lluvias, principalmente en las regiones de la Sierra y la Huasteca. El reporte indica que algunos embalses incluso superan su capacidad histórica. La presa Endhó almacena actualmente 182.9 millones de metros cúbicos y muestra la recuperación más importante respecto al año anterior. Su nivel de operación se ubica en 98.8 por ciento, muy por encima de los 105.9 millones de metros cúbicos que registraba en la misma fecha de 2025, cuando apenas alcanzaba el 57.9 por ciento de su capacidad. La diferencia equivale a 74 millones de metros cúbicos. En tanto, la presa Taxhimay reporta un almacenamiento de 39 millones de metros cúbicos, equivalente al cien por ciento de su capacidad. Hace un año almacenaba 22.7 millones de metros cúbicos, es decir, el 56.9 por ciento. La presa Requena presenta un comportamiento similar. Aunque su capacidad es de 36 millones de metros cúbicos, actualmente almacena 49.9 millones, lo que representa el 138.7 por ciento. Debido a ello se ha realizado una extracción acumulada de 56.1 millones de metros cúbicos y mantiene un gasto de mil 80 metros cúbicos. Por su parte, la Vicente Aguirre, considerada la de menor capacidad con 17.8 millones de metros cúbicos, registra 15.1 millones, equivalente al 84.8 por ciento, nivel que también representa una recuperación significativa frente al año pasado. La presa Rojo Gómez, con capacidad para 39 millones de metros cúbicos, almacena 35.9 millones y opera al 89.9 por ciento. El año anterior apenas acumulaba 10.9 millones de metros cúbicos. En el caso de La Esperanza, con capacidad de 3.9 millones de metros cúbicos, opera al cien por ciento y mantiene una extracción de 0.05 metros cúbicos. La hidroeléctrica de Zimapán, cuya capacidad es de mil 390 millones de metros cúbicos, registra actualmente un almacenamiento de mil 63.5 millones de metros cúbicos.</t>
  </si>
  <si>
    <t>Monitoreo De Presas</t>
  </si>
  <si>
    <t>SSPH desmantela punto de narcomenudeo en Ixmiquilpan</t>
  </si>
  <si>
    <t>Hidalgo vive la experiencia inmersiva de la justa mundialista 2026</t>
  </si>
  <si>
    <t>Video Mapping</t>
  </si>
  <si>
    <t>Restablece Gobierno de Hidalgo comunicación en 98 localidades</t>
  </si>
  <si>
    <t>Aunque la Ley establece el inicio de operativos de revisión, y en su caso sanción, a los vehículos que incumplen con la verificación vehicular desde el primero de enero de este año, las patrullas ambientales y el personal a cargo de esta tarea no están listos, reconoció la titular de la Secretaría de Medio Ambiente y Recursos Naturales de Hidalgo (Semarnath), Mónica Patricia Mixtega Trejo. La funcionaria estatal atribuyó el retraso nuevamente a complicaciones de carácter administrativo y falta de personal para operar estas unidades de supervisión, como declaró en entrevista el pasado mes de enero; cinco meses después persisten estas dificultades para hacer valer la norma vigente. "Estamos revisando cuestiones administrativas, que es el seguro de las patrullas; ya se hizo la contratación del personal porque la realidad es que dentro de la Semarnath no tenemos suficiencia de personal para que puedan salir a atender este tema; ya se hizo la contratación, de hecho ahorita a principios de junio ya salieron las nuevas contrataciones; nada más estamos esperando el tema de los seguros para las patrullas y ya estarían en funcionamiento, nosotros esperamos que para el segundo semestre de verificación de este año", manifestó. Mixtega Trejo detalló la disposición de cuatro patrullas ambientales que entrarán en funcionamiento, en caso de no haber más retrasos, en el mes de julio; igualmente, adelantó, se ubicarán en puntos estratégicos de la entidad para iniciar estas revisiones. "Es que nosotros nos vamos moviendo de acuerdo al cumplimiento de la verificación y de acuerdo a cómo va incrementando el padrón vehicular", refirió; por lo cual no habrá puntos fijos de revisión, sino que darán mayor importancia a la supervisión en zonas o regiones de la entidad que reflejen un menor índice de cumplimiento de esta obligación ambiental, pues además únicamente cuentan con cuatro patrullas ambientales, es decir, que cada una debería atender en promedio 21 municipios. Finalmente, la titular de la Semarnath reconoció la reducción de verificentros en todo el territorio estatal; pese a esto, apuntó, cuentan con más líneas de atención para los vehículos, lo cual compensa la menor cantidad de inmuebles para cumplir con esta obligación.</t>
  </si>
  <si>
    <t>Semarnath</t>
  </si>
  <si>
    <t>Multas por verificación vehicular</t>
  </si>
  <si>
    <t>Donación altruista de sangre fortalece la atención médica en Hidalgo</t>
  </si>
  <si>
    <t>Donación de sangre</t>
  </si>
  <si>
    <t>Con 23 votos a favor, dos en contra y una abstención, integrantes de la 66 Legislatura local aprobaron que sea el Instituto Estatal Electoral de Hidalgo (IEEH) el encargado de organizar la consulta popular sobre las corridas de toros en la entidad. Aunque todavía no existe una fecha definida para su realización, el ejercicio iniciará con una pregunta detonante: si deben prohibirse las corridas de toros en el estado de Hidalgo, con las opciones de respuesta sí o no.</t>
  </si>
  <si>
    <t>Gobierno del estado</t>
  </si>
  <si>
    <t>Presidencia de la República</t>
  </si>
  <si>
    <t>Alcaldías</t>
  </si>
  <si>
    <t>La Comisión Nacional del Agua (Conagua) tiene identificados 121 sitios vulnerables a inundaciones, los cuales son monitoreados de manera permanente durante la temporada de lluvias para prevenir riesgos a la población. Durante la presentación de las condiciones hidrometeorológicas en la entidad, el coordinador de Saneamiento y Calidad del Agua de la Conagua, Sergio Guzmán Morales, explicó que estos puntos son supervisados dos veces al día como parte de las acciones preventivas implementadas en coordinación con autoridades estatales y municipales.</t>
  </si>
  <si>
    <t>Prevención De Riesgos</t>
  </si>
  <si>
    <t>Con el objetivo de fortalecer las áreas verdes y garantizar una mayor supervivencia del arbolado urbano, el Gobierno Municipal de Tulancingo puso en marcha el Programa de Reforestación 2026, que contempla la plantación de especies adecuadas a las características de la ciudad. A través de la Dirección de Medio Ambiente, se informó que las actividades iniciaron en el jardín La Floresta con la plantación de ficus, acacias y cedros blancos, especies seleccionadas para evitar afectaciones futuras en banquetas, drenajes y otros servicios urbanos. El programa tendrá una duración inicial de tres meses, con posibilidad de extenderse de acuerdo con las condiciones climáticas. Entre las acciones previstas se encuentra la reposición de arbolado afectado durante 2025 y nuevas plantaciones en diversos puntos del municipio, como los bulevares Bicentenario y Tomás Alba Edison, la colonia Quebrachos, la Unidad Habitacional Fidel Velázquez, la Calzada 5 de mayo y los panteones San Miguel y Magisterio 1. Durante este año también se realizaron labores de reforestación en el Jardín de Niños Silvestre Revueltas, en Santa Ana Hueytlalpan, así como la plantación de 60 árboles de pera en el bulevar Nuevo San Nicolás. La Dirección de Medio Ambiente recordó que brinda asesoría gratuita para la correcta plantación de árboles y reiteró la invitación a colonias y localidades interesadas en sumarse a este programa, mediante solicitud presentada a través de sus enlaces vecinales. Las acciones podrán orientarse tanto al embellecimiento de espacios públicos como a la recuperación de áreas verdes en beneficio de la comunidad.</t>
  </si>
  <si>
    <t>Reforestación</t>
  </si>
  <si>
    <t>Una persona privada de la libertad perdió la vida este lunes al interior de los sanitarios del Centro de Reinserción Social (Cereso) de Tulancingo de Bravo, informó la Secretaría de Seguridad Pública de Hidalgo (SSPH). De acuerdo con una tarjeta informativa emitida por la dependencia estatal, los primeros indicios señalan que la causa del fallecimiento apunta a un probable suicidio. La SSPH indicó que el interno recibía atención psicológica especializada desde diciembre de 2025, luego de que en esa fecha intentara quitarse la vida. Asimismo, precisó que al momento de los hechos la persona se encontraba sujeta a un proceso penal por el delito de violación agravada.</t>
  </si>
  <si>
    <t>Muerte en Cereso</t>
  </si>
  <si>
    <t>El chile rayado, uno de los productos más característicos de la Sierra Gorda hidalguense, tendrá por primera vez una celebración dedicada a su historia, producción y valor económico. Del 18 al 20 de junio, el municipio de La Misión realizará el Primer Festival del Chile Rayado, un evento que reunirá actividades culturales, gastronómicas, deportivas y comerciales. El chile rayado se ha convertido en uno de los productos más representativos de la Sierra Gorda debido a sus características particulares de cultivo y elaboración.</t>
  </si>
  <si>
    <t>Indicación geográfica</t>
  </si>
  <si>
    <t>Donación móvil de sangre, ruta que salva vidas en Hidalgo</t>
  </si>
  <si>
    <t>SSPH y C5i recuperan auto robado y aseguran a un hombre en Tizayuca.</t>
  </si>
  <si>
    <t>Recuperación De Vehículos Robados</t>
  </si>
  <si>
    <t>Entregan terneras y vientres ovinos para 12 municipios</t>
  </si>
  <si>
    <t>Saderh</t>
  </si>
  <si>
    <t>Apoyo Al Agro</t>
  </si>
  <si>
    <t>Instalación de Procuradurías Municipales de Protección a NNyA, una reforma necesaria: Edda Vite</t>
  </si>
  <si>
    <t>Ante el incremento en los niveles y las fuertes corrientes de diversos cuerpos de agua, el sistema estatal de protección civil de Hidalgo ha decretado la activación del semáforo amarillo, en fase de prevención y alarma para las regiones del Valle del Mezquital, la Sierra Alta, la zona Otomí-Tepehua y la Huasteca. Al respecto, el gobernador de Hidalgo, Julio Menchaca Salazar, habló al respecto señalando que el pronóstico es que va a iniciar el examen, sigue siendo pronóstico, y que está desplegado a todos los funcionarios públicos, además de que no ha dejado de sesionar el comité de emergencia.</t>
  </si>
  <si>
    <t>SEPH fortalece coordinación con universidades particulares de Hidalgo</t>
  </si>
  <si>
    <t>SEPH</t>
  </si>
  <si>
    <t>Fortalecimiento educativo</t>
  </si>
  <si>
    <t>Entregan terneras y vientres ovinos para 12 municipios. (AUDIO NGP)</t>
  </si>
  <si>
    <t>TV Cable hidalguense Canal 6</t>
  </si>
  <si>
    <t>Contigo Noticias</t>
  </si>
  <si>
    <t>TV local</t>
  </si>
  <si>
    <t>Como parte de las acciones preventivas y de atención a la población derivadas de la Gestión Integral del Riesgo, la Subsecretaría de Protección Civil y Gestión de Riesgos del Estado de Hidalgo mantiene activos y preparados refugios temporales en distintos puntos de la entidad.</t>
  </si>
  <si>
    <t>Habilitación de albergues</t>
  </si>
  <si>
    <t>Hidalgo logra primer lugar nacional en apoyos del Programa para el Desarrollo Profesional Docente</t>
  </si>
  <si>
    <t>Prodep</t>
  </si>
  <si>
    <t>Hidalgo, destino atractivo para el turismo nacional e internacional</t>
  </si>
  <si>
    <t>Afluencia Turística</t>
  </si>
  <si>
    <t>La fachada de la parroquia de nuestra señora de la Asunción fue transformada en una gran pantalla para la proyección de un vídeo mapping que combina efectos visuales, animación digital, iluminación y sonido para mostrar algunos de los elementos más representativos de la identidad hidalguense. Durante la presentación, habitantes, visitantes y turistas presenciaron un recorrido visual por la historia minera de la región de Pachuca y Real del Monte, el legado de la comunidad inglesa, la riqueza gastronómica del estado y la tradición futbolística que caracteriza a Hidalgo. De acuerdo con la Secretaría de Turismo Estatal, esta estrategia forma parte de una serie de actividades que busca aprovechar la atención generada por la temporada mundialista para fortalecer la promoción turística de la entidad y atraer visitantes a distintos destinos hidalguenses. Autoridades informaron que este proyecto ya ha sido presentado en otros Pueblos Mágicos como Mineral del Chico, Huichapan y Acaxochitlán, donde miles de personas han asistido a las funciones realizadas en los últimos meses. Además del espectáculo audiovisual, la jornada incluyó presentaciones musicales, actividades culturales y la participación de comerciantes locales, quienes formaron parte de una verbena popular organizada en el primer cuadro del Real del Monte.</t>
  </si>
  <si>
    <t>Ultra 102.9 FM</t>
  </si>
  <si>
    <t>Ultra Noticias1</t>
  </si>
  <si>
    <t>Sebiso realiza visitas domiciliarias para selección de beneficiarios</t>
  </si>
  <si>
    <t>Bienestar</t>
  </si>
  <si>
    <t>Programas Del Pueblo</t>
  </si>
  <si>
    <t>Izza Hernández</t>
  </si>
  <si>
    <t>En los próximos días arranará la pavimentación asfáltica de Rincones de la Hacienda, así lo indicó que Secretario de Desarrollo Urbano de Tulancingo.</t>
  </si>
  <si>
    <t>Rehabilitación Vial</t>
  </si>
  <si>
    <t>Acompañados por militantes de todo el estado, Marco Antonio Mendoza y Jenny Márquez tomaron protesta como nuevos dirigentes del PRI Hidalgo. Con una marcha a la que asistieron cientos de personas, Mendoza Bustamante, en fórmula con Jenny Márquez, arribó hasta el icónico Cubo de Colosio, para registrarse como candidatos a la dirigencia estatal del tricolor. Al ser la única fórmula registrada como producto de un ejercicio de unidad en el PRI Hidalgo, Mendoza Bustamante y Márquez Méndez fueron declarados electos y rindieron la protesta estatutaria ante Jorge Meade Ocaranza, secretario de Organización del PRI Nacional.</t>
  </si>
  <si>
    <t>PRI</t>
  </si>
  <si>
    <t>Renovación De Dirigencia</t>
  </si>
  <si>
    <t>Partidos</t>
  </si>
  <si>
    <t>SSPH y C5i recuperan auto robado y aseguran a un hombre en Tizayuca</t>
  </si>
  <si>
    <t>Un microbús de pasajeros volcó sobre la Autopista México-Pachuca, a la altura de la Colonia Colinas de San José, en el municipio de Tlalnepantla, Estado de México; reportan al menos 15 heridos. El accidente fue atendido por elementos de la Guardia Nacional.</t>
  </si>
  <si>
    <t>Accidente Carretero</t>
  </si>
  <si>
    <t>La noche del viernes, tres jóvenes de entre 18 y 19 años de edad resultaron lesionados tras un accidente automovilístico registrado sobre la carretera Tepeji–Quelites. De acuerdo con los primeros reportes, automovilistas que circulaban por la zona se percataron del percance y alertaron a los cuerpos de emergencia, además de solicitar la presencia de elementos del cuerpo de Bomberos, debido a que el vehículo involucrado, un Toyota Corolla, comenzó a incendiarse tras el impacto. El sitio fue acordonado para que la PGJEH realice las investigaciones pertinentes.</t>
  </si>
  <si>
    <t>PGJEH</t>
  </si>
  <si>
    <t>El cuerpo sin vida de una persona fue localizado sobre un camino rústico que conecta a los municipios de Pachuca y San Agustín Tlaxiaca. Se trató del cuerpo de hombre, el cual fue localizado al costado del camino referido; fueron personas que pasaban por la zona quienes hicieron el reporte respectivo a corporaciones de seguridad pública. Al sitio acudieron elementos policiacos acompañados por oficiales de Protección Civil; estos últimos confirmaron que la persona referida ya no contaba con signos vitales. Hasta el momento no se conocen las causas del fallecimiento, por lo que se espera que a partir de las investigaciones por parte de la Procuraduría General de Justicia del Estado de Hidalgo, se establezcan dichas causas junto con las responsabilidades legales.</t>
  </si>
  <si>
    <t>Tres personas perdieron la vida durante un ataque con arma de fuego registrado al interior de un bar ubicado en el municipio de Zacualtipán. El atentado se registró durante la noche del viernes 12 de junio, cuando los hombres armados entraron al bar, y de inmediato comenzaron a disparar hacia los asistentes. Al sitio acudieron elementos policiacos, quienes de inmediato realizaron el aseguramiento del local comercial, al tiempo que se inició operativo de búsqueda de los agresores, con objetivo de detenerlos. En tanto, paramédicos confirmaron el fallecimiento de tres personas, quienes presentaban impactos por arma de fuego en sus cuerpos. Al sitio ya acordonado, arribó personal de la Procuraduría General de Justicia del Estado de Hidalgo para el levantamiento y pruebas y testimoniales, y con ello iniciar las investigaciones respectivas. Hasta el momento no se conoce de personas detenidas, relacionadas con el ataque armado, así como se desconoce el motivo del ataque armado.</t>
  </si>
  <si>
    <t>Ataque Armado</t>
  </si>
  <si>
    <t>Elementos de la Secretaría de Seguridad Pública de Tula localizaron sano y salvo a un joven con autismo, identificado como Christian Ángeles Hernández, originario de Tezontepec de Aldama, quien había sido reportado como extraviado la noche del viernes. El operativo se llevó a cabo después de que la madre del joven informara a las autoridades que desconocía su paradero y manifestara su preocupación debido a su condición. Como parte de las acciones, los recorridos se concentraron en zonas de alta afluencia de personas, entre ellas la Plaza Constitución y la Central de Autobuses de Tula, lugares a los que podría haberse desplazado el joven.</t>
  </si>
  <si>
    <t>Localización de persona</t>
  </si>
  <si>
    <t>Dos personas lesionadas en un accidente vial registrado la semana pasada en la vialidad que conecta con las grutas de Tolantongo, ubicadas en el Valle del Mezquital, fueron trasladadas vía aérea para continuar con sus respectivos tratamientos médicos. El primer traslado fue de una adolescente de 16 años, originaria de Arkansas, Estados Unidos, quien se encontraba internada desde el pasado sábado 6 de junio en el Hospital General del Valle del Mezquital, ubicado en el municipio de Ixmiquilpan. Debido a que la paciente presenta lesiones de gravedad y requiere cuidados intensivos de tercer nivel, el Centro Regulador de Urgencias Médicas de Hidalgo gestionó su traslado inmediato al Hospital General de León, en el estado de Guanajuato. Ello con objetivo de garantizarle un tratamiento altamente especializado y mantenerla cerca de su núcleo familiar. Unas horas después se realizó el traslado, también vía aérea, de un hombre de 52 años de edad, originario del municipio de Tarandacuao, Guanajuato, quien tambiém se encontraba internado en el Hospital General del Valle del Mezquital. El viaje incluyó también el traslado de un familiar acompañante y tuvo como destino el Hospital General Acámbaro “Miguel Hidalgo”, en el estado de Guanajuato, donde el paciente continuará recibiendo atención médica especializada. En ambos casos los traslados se realizaron de forma coordinada entre autoridades federales junto con los gobiernos estatales de Hidalgo y Guanajuato. El pasado sábado 6 de junio se registró el accidente citado en la vialidad de acceso a las Grutas de Tolantongo, dentro del municipio de Cardonal. De acuerdo a reporte inicial, la camioneta Urvan donde viajaban los fallecidos registró una falla mecánica en el sistema de frenado y terminó impactándose contra un autobús de turistas.</t>
  </si>
  <si>
    <t>Puente aéreo</t>
  </si>
  <si>
    <t>Al menos 46 habitantes de la comunidad de Chapula decidieron permanecer en la localidad a pesar de las afectaciones y las condiciones de riesgo causadas por las lluvias de la depresión tropical 2, informó el alcalde de Tianguistengo, Febronio Rodríguez Villegas. En la misma zona, las autoridades estatales y municipales rescataron el 9 de junio a 17 personas mediante el uso de maquinaria pesada para cruzar el cauce del río Tlacolula que cruza la localidad. "Se ha alertado a la comunidad de manera respetuosa porque la gente está con la idea de estar en su localidad (...) sabemos que salirse de su casa no es fácil, pero es necesario en estos tiempos en que el agua nos traiciona". De acuerdo con el alcalde, entre los daños principales se reporta la destrucción de dos puentes provisionales en las localidades de Zacatipán y Tenexco. Mientras que el camino Tianguistengo-Yatipán, ya fue desbloqueado. Rodríguez Villegas explicó que los constantes derrumbes impiden que exista una conectividad terrestre total y permanente; sin embargo, señaló que se trabaja para abrir los tramos afectados, aunque las precipitaciones nocturnas provocan nuevos deslaves que obstruyen las vías de manera recurrente. Para atender a la población damnificada, la autoridad local habilitó un refugio temporal en la cabecera municipal con una capacidad inicial de 40 a 50 personas, donde se proporcionará hospedaje y alimentación, con la opción de ampliar los espacios si la demanda lo requiere.</t>
  </si>
  <si>
    <t>Pese a las advertencias emitidas por Protección Civil, ante un posible riesgo de deslave e inundaciones en las mismas zonas donde dejó daños la vaguada monzónica, el gobernador de Hidalgo, Julio Menchaca Salazar, reconoció que persiste la negativa de las familias asentadas en zonas de riesgo para abandonar sus viviendas. El mandatario señaló que comunidades como Chapula continúan expuestas a inundaciones y desbordamientos debido a su ubicación en los márgenes de ríos, situación que volvió a evidenciarse con las recientes precipitaciones. Consideró que en el caso de Chapula puede ser que “el amor a su terruño es muy grande”; sin embargo, aseguró que el gobierno se ha esforzado en transmitirles el peligro que corren. “La decisión será de cada quien. A nosotros nos preocupa mucho su integridad, su vida y están en el margen de un río”, expresó. Menchaca explicó que el gobierno estatal no contempla desalojos forzosos, aunque mantiene las recomendaciones para que las familias se trasladen a sitios más seguros. Añadió que la federación determinó otorgar apoyos económicos directos a los damnificados registrados para que cada familia decida dónde establecer una nueva vivienda. De acuerdo con el gobernador, existen alrededor de tres mil familias censadas tras las afectaciones provocadas por las lluvias extraordinarias del año pasado. Los beneficiarios han recibido desde despensas y enseres domésticos hasta apoyos económicos para la reconstrucción de su patrimonio.</t>
  </si>
  <si>
    <t>Reubicación de viviendas</t>
  </si>
  <si>
    <t>Después de permanecer cerca de cuatro meses recluido en el Centro de Reinserción Social (Cereso) de Tulancingo, el taxista Víctor Aguilar recuperó su libertad el viernes 12 de junio, luego de que las autoridades determinaran su liberación. Víctor Aguilar fue detenido el pasado 19 de febrero, luego de brindar un servicio de transporte hacia el penal de la región. En aquel momento fue acusado de presuntamente entregar un paquete que contenía sustancias ilícitas, situación por la cual fue puesto a disposición de las autoridades y posteriormente ingresado al Cereso de Tulancingo, donde permaneció durante casi cuatro meses mientras se desarrollaba el proceso legal en su contra. La noticia de su liberación fue compartida por familiares a través de redes sociales, donde expresaron su satisfacción y agradecimiento tras meses de incertidumbre.</t>
  </si>
  <si>
    <t>TSJEH</t>
  </si>
  <si>
    <t>Liberación de detenido</t>
  </si>
  <si>
    <t>Continúa registro para acceder a uniformes, útiles y calzado escolar gratuitos</t>
  </si>
  <si>
    <t>Paquete de apoyos escolares</t>
  </si>
  <si>
    <t>Vía telefónica el reporte de Bombero y Protección Civil con Abner Yáñez informa de las diversas emergencias reportadas por la ciudadanía y que fueron atendidas.</t>
  </si>
  <si>
    <t>Atención a la ciudadanía</t>
  </si>
  <si>
    <t>Debido a las intensas lluvias y granizadas registradas recientemente, alrededor del 35 por ciento del sistema de alumbrado público de Tulancingo resultó afectado, dejando sin iluminación diversos sectores habitacionales y vialidades principales. Ante esta situación, la Dirección de Mantenimiento Urbano implementó acciones inmediatas priorizando la reparación de fotoceldas dañadas, la limpieza de registros y el mantenimiento correctivo del cableado afectado por la acumulación de agua y tierra. Entre las colonias con mayores afectaciones se encuentran Vicente Guerrero, Francisco I. Madero, Paraíso, Jardines del Sur, Los Sabinos y Huapalcalco. Asimismo, se han atendido diversos bulevares donde la acumulación de lodo comprometió el funcionamiento de las luminarias. Como parte de estas acciones, el pasado 11 de junio se realizaron trabajos en Ahuehuetitla, Francisco Villa, Lomas de San Ángel y Ejido Mimila, logrando la recuperación de al menos 60 luminarias. Actualmente, las brigadas continúan las labores de rehabilitación en las colonias Vicente Guerrero, Francisco I. Madero y Lomas de San Ángel, así como en el Bulevar Centenario.</t>
  </si>
  <si>
    <t>La Comisión Nacional del Agua (Conagua), a través de la Dirección Local Hidalgo, informó que el nivel actual de la presa Requena no representa riesgo para la población, durante la Reunión de Coordinación Regional para la Temporada de Lluvias y Ciclones Tropicales 2026. El organismo explicó a autoridades municipales que el almacenamiento de 111.6 por ciento que presenta actualmente el embalse responde a los ajustes que se realizan cada año en las normas de operación para la temporada de lluvias. De acuerdo con la Subgerencia de Hidrología Operativa, la presa cuenta con dos niveles de operación anuales: el Nivel de Aguas Máximo Ordinario (NAMO) de lluvias, vigente desde el 15 de mayo y equivalente a 36.03 millones de metros cúbicos, y el NAMO de estiaje, con una capacidad de 51.57 millones de metros cúbicos. En la reunión participaron representantes de los municipios de Tlahuelilpan, Tula de Allende, Tepeji del Río, Mixquiahuala de Juárez, Tezontepec de Aldama, Atitalaquia y Tlaxcoapan, además de autoridades estatales y federales.</t>
  </si>
  <si>
    <t>Las torrenciales lluvias registradas desde finales de la semana pasada, dejaron afectaciones en caminos e infraestructura de municipios de la Sierra Otomí Tepehua. En algunas zonas de la carretera estatal Tenango-Metepec, en algunos sectores, los desprendimientos llegaron a obstruir aproximadamente la mitad de un carril, por lo que personal de Protección Civil realizó trabajos de limpieza para liberar parcialmente el paso. Las vías de comunicación hacia las comunidades de San Francisco La Laguna, La Palizada, El Lindero, El Progreso, La Loma del Progreso y localidades cercanas se vieron afectados, así como interrupciones en el suministro de energía eléctrica. La noche del pasado jueves 11 de junio, se registró la crecida del río Pantepec, dentro del municipio de Huehuetla, por lo que personal de Protección Civil mantiene recorridos y monitoreo permanente en distintos puntos del municipio para dar seguimiento al comportamiento del afluente. Otros puntos donde existe atención prioritaria, son la Colonia Nueva, Barrio Aztlán, Plan del Recreo, Juntas Chicas, Colonia Arroyo Negro, Santa Inés, Acuautla, Chapingo, Dos Caminos y el Cerro de Chapingo. En el municipio de San Bartolo Tutotepec, un deslave se registró en la carretera estatal que comunica a la cabecera municipal, bloqueando por completo el acceso. Un alud de piedras y lodo cayó sobre la cinta asfáltica, obstruyendo la vía de comunicación a la altura del punto conocido como Puente Camarones. El acceso a la cabecera municipal también resultó afectado en La Plazuela, así como a la colonia Industrial, a Valle Verde y a la colonia Tutotapa. Las autoridades reiteraron el llamado a la ciudadanía para mantenerse informada a través de los canales oficiales y seguir las recomendaciones preventivas durante esta temporada de lluvias.</t>
  </si>
  <si>
    <t>La intensa lluvia registrada la tarde de este sábado 13 de junio, dejó importantes afectaciones sobre todo en los límites municipales de Tulancingo con Cuautepec y Santiago Tulantepec. La zona con mayores afectaciones por arrastre de material y tierra se localizó sobre la carretera Tulancingo–Cuautepec, desde el Circuito Chapultepec hasta el sitio conocido como La Curva. Escurrimientos provenientes de la zona norte del municipio, así como la gran cantidad de agua, provocaron también que se acumulara sobre la vía carretera. En los límites municipales de Tulancingo con Santiago Tulantepec, elementos de Bomberos y Protección Civil atendieron anegamientos en viviendas ubicadas en la zona de Medias Tierras. También fue atendida la caída de una barda en un taller localizado sobre la carretera a Cuautepec, a la altura de la entrada al Circuito Chapultepec. Debido a la gran cantidad de lluvia acumulada en las vialidades citadas provocó que en algunos tramos el agua cubriera buena parte de los vehículos automotores. También fue una importante cantidad de lodo el que se acumuló, debido a que la lluvia arrastró tierra y material hacia las zonas citadas. Protección Civil informó que se realizaron recorridos de supervisión en las colonias Jardines del Sur, Magisterio I y Paraíso Sur, sin que hasta el momento se reporten afectaciones de gravedad.</t>
  </si>
  <si>
    <t>Afectaciones Por Lluvias</t>
  </si>
  <si>
    <t>Canal del Pueblo</t>
  </si>
  <si>
    <t>Vocales Radio</t>
  </si>
  <si>
    <t>En cabina Alberto González comenta con Andrés Torres que de acuerdo a las última encuestas de Masive Caller Morena no está obteniendo buenos resultados en los municipios en cuanto a preferencias con miras a las próximas elecciones. Opina que esto de debe a la falta de buenos resultados. Comentan sobre las posibles alianzas con el PT.</t>
  </si>
  <si>
    <t>Morena</t>
  </si>
  <si>
    <t>Elecciones</t>
  </si>
  <si>
    <t>Andrés Torres</t>
  </si>
  <si>
    <t>En cabina Alberto González comenta que Marco Antonio Mendoza Bustamante rindió protesta como presidente del Comité Directivo Estatal del Partido Revolucionario Institucional (PRI) y viene un trabajo titánico para esta nueva dirigencia.</t>
  </si>
  <si>
    <t>Renovación dirigencia</t>
  </si>
  <si>
    <t>Marco Antonio Mendoza y Jenny Márquez tomaron protesta como nuevos dirigentes del PRI Hidalgo.</t>
  </si>
  <si>
    <t>Hidalgo impulsa con la ONU financiamiento para proyectos metropolitanos de agua</t>
  </si>
  <si>
    <t>ZMVM</t>
  </si>
  <si>
    <t>Fortalecen paz social en Singuilucan con atención y respuesta directa</t>
  </si>
  <si>
    <t>Mesas de acercamiento</t>
  </si>
  <si>
    <t>Hoy el gobernador Julio Menchaca en las instalaciones de la Feria de Pachuca a las 10:45 hará entrega de becas para la transformación estudiantes media superior.</t>
  </si>
  <si>
    <t>Becas Para La Transformación</t>
  </si>
  <si>
    <t>Con una inversión superior a los 156 millones de pesos en infraestructura pública, el gobernador Julio Menchaca Salazar continúa impulsando la transformación de Mineral</t>
  </si>
  <si>
    <t>Terminó la feria de Jacala y hubo muchas quejas por la nueva sede de esta feria y ayer en el baile del cierre de feria hubo "pelea de box, batalla campal" entre unas damas.</t>
  </si>
  <si>
    <t>Feria Patronal</t>
  </si>
  <si>
    <t>Dos policías municipales de Tizayuca fueron detenidos y vinculados a proceso por presunto robo de vehículos, Elementos de la Policía Estatal los aseguraron y fueron puestos a disposición del Ministerio Público.</t>
  </si>
  <si>
    <t>Detención de policía</t>
  </si>
  <si>
    <t>Este fin de semana en Singuilucan (sic) se presentó un ataque al interior del bar “Netos”, dejando como saldo a 3 personas sin vida y ya se realizan las indagatorias pertinentes para dar con los delincuentes.</t>
  </si>
  <si>
    <t>Andrés Torres señala que tienen ya dos meses fuera del aire en el 1010 AM El Vocero Huasteco por falta de diesel y debido a las pifias, al desconocimiento e ignorancia supina del área administrativa de Radio y Televisión de Hidalgo, que insisten en que es más importante todo lo demás que cumplir con nuestro trabajo que es transmitir en las estaciones de radio conforme las concesiones nos lo demandan. De por sí están en "veremos" las concesiones porque no cumplimos por este tipo de fallas, que más bien es un capricho y aquí seguimos hasta que lleguen las demandas, los problemas y entonces sí todo el mundo señalará culpas y dirán que alguien se equivocó, pero no dirán quién seguramente. Como pasó cuando perdimos 11 concesiones en el 2022. Hoy las 5 concesiones están en riesgo porque no transmitimos e internet, porque estamos constantemente saliendo del aire debido a esta falta de combustible y todo esto por ley debimos haberlo garantizado. nosotros cumplimos con nuestro trabajo todas las mañanas y no ponemos pretexto, no importa que nuestro carro no tenga llanta de refacción, no importa que no tengamos camioneta oficial, que usemos nuestro propio vehículo y nuestros propios recursos para venir a trabajar, lo que importa es cumplir con nuestro trabajo.</t>
  </si>
  <si>
    <t>Radiodifusoras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</si>
</sst>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91" tableType="queryTable" totalsRowShown="0">
  <autoFilter ref="A1:M91"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91"/>
  <sheetViews>
    <sheetView tabSelected="1" topLeftCell="A13" workbookViewId="0">
      <selection activeCell="C33" sqref="C33"/>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19</v>
      </c>
      <c r="C1" t="s">
        <v>20</v>
      </c>
      <c r="D1" t="s">
        <v>21</v>
      </c>
      <c r="E1" t="s">
        <v>1</v>
      </c>
      <c r="F1" t="s">
        <v>2</v>
      </c>
      <c r="G1" t="s">
        <v>4</v>
      </c>
      <c r="H1" t="s">
        <v>3</v>
      </c>
      <c r="I1" t="s">
        <v>5</v>
      </c>
      <c r="J1" t="s">
        <v>22</v>
      </c>
      <c r="K1" t="s">
        <v>23</v>
      </c>
      <c r="L1" t="s">
        <v>24</v>
      </c>
      <c r="M1" t="s">
        <v>28</v>
      </c>
    </row>
    <row r="2" spans="1:13" x14ac:dyDescent="0.25">
      <c r="A2" s="2">
        <v>46185</v>
      </c>
      <c r="B2" s="1" t="str">
        <f ca="1">IF(Información1[[#This Row],[Fecha]]='Ajuste de fechas'!$A$2,"Día actual","Día anterior")</f>
        <v>Día anterior</v>
      </c>
      <c r="C2" s="3" t="s">
        <v>32</v>
      </c>
      <c r="D2" t="s">
        <v>38</v>
      </c>
      <c r="E2" s="3" t="s">
        <v>62</v>
      </c>
      <c r="F2" s="3" t="s">
        <v>14</v>
      </c>
      <c r="G2" s="3" t="s">
        <v>56</v>
      </c>
      <c r="H2" s="3" t="s">
        <v>8</v>
      </c>
      <c r="I2" s="3" t="s">
        <v>7</v>
      </c>
      <c r="J2" s="3" t="s">
        <v>14</v>
      </c>
      <c r="K2" s="3" t="s">
        <v>33</v>
      </c>
      <c r="L2" s="3" t="s">
        <v>25</v>
      </c>
      <c r="M2">
        <v>1</v>
      </c>
    </row>
    <row r="3" spans="1:13" x14ac:dyDescent="0.25">
      <c r="A3" s="2">
        <v>46185</v>
      </c>
      <c r="B3" s="1" t="str">
        <f ca="1">IF(Información1[[#This Row],[Fecha]]='Ajuste de fechas'!$A$2,"Día actual","Día anterior")</f>
        <v>Día anterior</v>
      </c>
      <c r="C3" s="3" t="s">
        <v>32</v>
      </c>
      <c r="D3" t="s">
        <v>38</v>
      </c>
      <c r="E3" s="3" t="s">
        <v>63</v>
      </c>
      <c r="F3" s="3" t="s">
        <v>14</v>
      </c>
      <c r="G3" s="3" t="s">
        <v>35</v>
      </c>
      <c r="H3" s="3" t="s">
        <v>8</v>
      </c>
      <c r="I3" s="3" t="s">
        <v>7</v>
      </c>
      <c r="J3" s="3" t="s">
        <v>14</v>
      </c>
      <c r="K3" s="3" t="s">
        <v>33</v>
      </c>
      <c r="L3" s="3" t="s">
        <v>25</v>
      </c>
      <c r="M3">
        <v>1</v>
      </c>
    </row>
    <row r="4" spans="1:13" x14ac:dyDescent="0.25">
      <c r="A4" s="2">
        <v>46185</v>
      </c>
      <c r="B4" s="1" t="str">
        <f ca="1">IF(Información1[[#This Row],[Fecha]]='Ajuste de fechas'!$A$2,"Día actual","Día anterior")</f>
        <v>Día anterior</v>
      </c>
      <c r="C4" s="3" t="s">
        <v>32</v>
      </c>
      <c r="D4" t="s">
        <v>38</v>
      </c>
      <c r="E4" s="3" t="s">
        <v>64</v>
      </c>
      <c r="F4" s="3" t="s">
        <v>6</v>
      </c>
      <c r="G4" s="3" t="s">
        <v>53</v>
      </c>
      <c r="H4" s="3" t="s">
        <v>8</v>
      </c>
      <c r="I4" s="3" t="s">
        <v>15</v>
      </c>
      <c r="J4" s="3" t="s">
        <v>103</v>
      </c>
      <c r="K4" s="3" t="s">
        <v>33</v>
      </c>
      <c r="L4" s="3" t="s">
        <v>26</v>
      </c>
      <c r="M4">
        <v>1</v>
      </c>
    </row>
    <row r="5" spans="1:13" x14ac:dyDescent="0.25">
      <c r="A5" s="2">
        <v>46185</v>
      </c>
      <c r="B5" s="1" t="str">
        <f ca="1">IF(Información1[[#This Row],[Fecha]]='Ajuste de fechas'!$A$2,"Día actual","Día anterior")</f>
        <v>Día anterior</v>
      </c>
      <c r="C5" s="3" t="s">
        <v>40</v>
      </c>
      <c r="D5" t="s">
        <v>41</v>
      </c>
      <c r="E5" s="3" t="s">
        <v>65</v>
      </c>
      <c r="F5" s="3" t="s">
        <v>16</v>
      </c>
      <c r="G5" s="3" t="s">
        <v>54</v>
      </c>
      <c r="H5" s="3" t="s">
        <v>8</v>
      </c>
      <c r="I5" s="3" t="s">
        <v>9</v>
      </c>
      <c r="J5" s="3" t="s">
        <v>103</v>
      </c>
      <c r="K5" s="3" t="s">
        <v>42</v>
      </c>
      <c r="L5" s="3" t="s">
        <v>26</v>
      </c>
      <c r="M5">
        <v>1</v>
      </c>
    </row>
    <row r="6" spans="1:13" x14ac:dyDescent="0.25">
      <c r="A6" s="2">
        <v>46185</v>
      </c>
      <c r="B6" s="1" t="str">
        <f ca="1">IF(Información1[[#This Row],[Fecha]]='Ajuste de fechas'!$A$2,"Día actual","Día anterior")</f>
        <v>Día anterior</v>
      </c>
      <c r="C6" s="3" t="s">
        <v>40</v>
      </c>
      <c r="D6" t="s">
        <v>41</v>
      </c>
      <c r="E6" s="3" t="s">
        <v>66</v>
      </c>
      <c r="F6" s="3" t="s">
        <v>16</v>
      </c>
      <c r="G6" s="3" t="s">
        <v>54</v>
      </c>
      <c r="H6" s="3" t="s">
        <v>8</v>
      </c>
      <c r="I6" s="3" t="s">
        <v>7</v>
      </c>
      <c r="J6" s="3" t="s">
        <v>103</v>
      </c>
      <c r="K6" s="3" t="s">
        <v>42</v>
      </c>
      <c r="L6" s="3" t="s">
        <v>25</v>
      </c>
      <c r="M6">
        <v>1</v>
      </c>
    </row>
    <row r="7" spans="1:13" x14ac:dyDescent="0.25">
      <c r="A7" s="2">
        <v>46185</v>
      </c>
      <c r="B7" s="1" t="str">
        <f ca="1">IF(Información1[[#This Row],[Fecha]]='Ajuste de fechas'!$A$2,"Día actual","Día anterior")</f>
        <v>Día anterior</v>
      </c>
      <c r="C7" s="3" t="s">
        <v>40</v>
      </c>
      <c r="D7" t="s">
        <v>41</v>
      </c>
      <c r="E7" s="3" t="s">
        <v>67</v>
      </c>
      <c r="F7" s="3" t="s">
        <v>36</v>
      </c>
      <c r="G7" s="3" t="s">
        <v>56</v>
      </c>
      <c r="H7" s="3" t="s">
        <v>8</v>
      </c>
      <c r="I7" s="3" t="s">
        <v>7</v>
      </c>
      <c r="J7" s="3" t="s">
        <v>14</v>
      </c>
      <c r="K7" s="3" t="s">
        <v>42</v>
      </c>
      <c r="L7" s="3" t="s">
        <v>25</v>
      </c>
      <c r="M7">
        <v>1</v>
      </c>
    </row>
    <row r="8" spans="1:13" x14ac:dyDescent="0.25">
      <c r="A8" s="2">
        <v>46185</v>
      </c>
      <c r="B8" s="1" t="str">
        <f ca="1">IF(Información1[[#This Row],[Fecha]]='Ajuste de fechas'!$A$2,"Día actual","Día anterior")</f>
        <v>Día anterior</v>
      </c>
      <c r="C8" s="3" t="s">
        <v>40</v>
      </c>
      <c r="D8" t="s">
        <v>41</v>
      </c>
      <c r="E8" s="3" t="s">
        <v>68</v>
      </c>
      <c r="F8" s="3" t="s">
        <v>13</v>
      </c>
      <c r="G8" s="3" t="s">
        <v>51</v>
      </c>
      <c r="H8" s="3" t="s">
        <v>8</v>
      </c>
      <c r="I8" s="3" t="s">
        <v>7</v>
      </c>
      <c r="J8" s="3" t="s">
        <v>103</v>
      </c>
      <c r="K8" s="3" t="s">
        <v>42</v>
      </c>
      <c r="L8" s="3" t="s">
        <v>27</v>
      </c>
      <c r="M8">
        <v>1</v>
      </c>
    </row>
    <row r="9" spans="1:13" x14ac:dyDescent="0.25">
      <c r="A9" s="2">
        <v>46185</v>
      </c>
      <c r="B9" s="1" t="str">
        <f ca="1">IF(Información1[[#This Row],[Fecha]]='Ajuste de fechas'!$A$2,"Día actual","Día anterior")</f>
        <v>Día anterior</v>
      </c>
      <c r="C9" s="3" t="s">
        <v>40</v>
      </c>
      <c r="D9" t="s">
        <v>41</v>
      </c>
      <c r="E9" s="3" t="s">
        <v>69</v>
      </c>
      <c r="F9" s="3" t="s">
        <v>6</v>
      </c>
      <c r="G9" s="3" t="s">
        <v>51</v>
      </c>
      <c r="H9" s="3" t="s">
        <v>8</v>
      </c>
      <c r="I9" s="3" t="s">
        <v>7</v>
      </c>
      <c r="J9" s="3" t="s">
        <v>103</v>
      </c>
      <c r="K9" s="3" t="s">
        <v>42</v>
      </c>
      <c r="L9" s="3" t="s">
        <v>27</v>
      </c>
      <c r="M9">
        <v>1</v>
      </c>
    </row>
    <row r="10" spans="1:13" x14ac:dyDescent="0.25">
      <c r="A10" s="2">
        <v>46185</v>
      </c>
      <c r="B10" s="1" t="str">
        <f ca="1">IF(Información1[[#This Row],[Fecha]]='Ajuste de fechas'!$A$2,"Día actual","Día anterior")</f>
        <v>Día anterior</v>
      </c>
      <c r="C10" s="3" t="s">
        <v>40</v>
      </c>
      <c r="D10" t="s">
        <v>41</v>
      </c>
      <c r="E10" s="3" t="s">
        <v>70</v>
      </c>
      <c r="F10" s="3" t="s">
        <v>18</v>
      </c>
      <c r="G10" s="3" t="s">
        <v>71</v>
      </c>
      <c r="H10" s="3" t="s">
        <v>8</v>
      </c>
      <c r="I10" s="3" t="s">
        <v>7</v>
      </c>
      <c r="J10" s="3" t="s">
        <v>103</v>
      </c>
      <c r="K10" s="3" t="s">
        <v>42</v>
      </c>
      <c r="L10" s="3" t="s">
        <v>27</v>
      </c>
      <c r="M10">
        <v>1</v>
      </c>
    </row>
    <row r="11" spans="1:13" x14ac:dyDescent="0.25">
      <c r="A11" s="2">
        <v>46185</v>
      </c>
      <c r="B11" s="1" t="str">
        <f ca="1">IF(Información1[[#This Row],[Fecha]]='Ajuste de fechas'!$A$2,"Día actual","Día anterior")</f>
        <v>Día anterior</v>
      </c>
      <c r="C11" s="3" t="s">
        <v>40</v>
      </c>
      <c r="D11" t="s">
        <v>41</v>
      </c>
      <c r="E11" s="3" t="s">
        <v>72</v>
      </c>
      <c r="F11" s="3" t="s">
        <v>52</v>
      </c>
      <c r="G11" s="3" t="s">
        <v>73</v>
      </c>
      <c r="H11" s="3" t="s">
        <v>8</v>
      </c>
      <c r="I11" s="3" t="s">
        <v>7</v>
      </c>
      <c r="J11" s="3" t="s">
        <v>103</v>
      </c>
      <c r="K11" s="3" t="s">
        <v>42</v>
      </c>
      <c r="L11" s="3" t="s">
        <v>27</v>
      </c>
      <c r="M11">
        <v>1</v>
      </c>
    </row>
    <row r="12" spans="1:13" x14ac:dyDescent="0.25">
      <c r="A12" s="2">
        <v>46185</v>
      </c>
      <c r="B12" s="1" t="str">
        <f ca="1">IF(Información1[[#This Row],[Fecha]]='Ajuste de fechas'!$A$2,"Día actual","Día anterior")</f>
        <v>Día anterior</v>
      </c>
      <c r="C12" s="3" t="s">
        <v>40</v>
      </c>
      <c r="D12" t="s">
        <v>41</v>
      </c>
      <c r="E12" s="3" t="s">
        <v>74</v>
      </c>
      <c r="F12" s="3" t="s">
        <v>6</v>
      </c>
      <c r="G12" s="3" t="s">
        <v>75</v>
      </c>
      <c r="H12" s="3" t="s">
        <v>8</v>
      </c>
      <c r="I12" s="3" t="s">
        <v>7</v>
      </c>
      <c r="J12" s="3" t="s">
        <v>103</v>
      </c>
      <c r="K12" s="3" t="s">
        <v>42</v>
      </c>
      <c r="L12" s="3" t="s">
        <v>27</v>
      </c>
      <c r="M12">
        <v>1</v>
      </c>
    </row>
    <row r="13" spans="1:13" x14ac:dyDescent="0.25">
      <c r="A13" s="2">
        <v>46185</v>
      </c>
      <c r="B13" s="1" t="str">
        <f ca="1">IF(Información1[[#This Row],[Fecha]]='Ajuste de fechas'!$A$2,"Día actual","Día anterior")</f>
        <v>Día anterior</v>
      </c>
      <c r="C13" s="3" t="s">
        <v>57</v>
      </c>
      <c r="D13" t="s">
        <v>59</v>
      </c>
      <c r="E13" s="3" t="s">
        <v>76</v>
      </c>
      <c r="F13" s="3" t="s">
        <v>39</v>
      </c>
      <c r="G13" s="3" t="s">
        <v>44</v>
      </c>
      <c r="H13" s="3" t="s">
        <v>8</v>
      </c>
      <c r="I13" s="3" t="s">
        <v>7</v>
      </c>
      <c r="J13" s="3" t="s">
        <v>103</v>
      </c>
      <c r="K13" s="3" t="s">
        <v>58</v>
      </c>
      <c r="L13" s="3" t="s">
        <v>27</v>
      </c>
      <c r="M13">
        <v>1</v>
      </c>
    </row>
    <row r="14" spans="1:13" x14ac:dyDescent="0.25">
      <c r="A14" s="2">
        <v>46185</v>
      </c>
      <c r="B14" s="1" t="str">
        <f ca="1">IF(Información1[[#This Row],[Fecha]]='Ajuste de fechas'!$A$2,"Día actual","Día anterior")</f>
        <v>Día anterior</v>
      </c>
      <c r="C14" s="3" t="s">
        <v>48</v>
      </c>
      <c r="D14" t="s">
        <v>49</v>
      </c>
      <c r="E14" s="3" t="s">
        <v>77</v>
      </c>
      <c r="F14" s="3" t="s">
        <v>10</v>
      </c>
      <c r="G14" s="3" t="s">
        <v>78</v>
      </c>
      <c r="H14" s="3" t="s">
        <v>8</v>
      </c>
      <c r="I14" s="3" t="s">
        <v>7</v>
      </c>
      <c r="J14" s="3" t="s">
        <v>103</v>
      </c>
      <c r="K14" s="3" t="s">
        <v>50</v>
      </c>
      <c r="L14" s="3" t="s">
        <v>27</v>
      </c>
      <c r="M14">
        <v>1</v>
      </c>
    </row>
    <row r="15" spans="1:13" x14ac:dyDescent="0.25">
      <c r="A15" s="2">
        <v>46185</v>
      </c>
      <c r="B15" s="1" t="str">
        <f ca="1">IF(Información1[[#This Row],[Fecha]]='Ajuste de fechas'!$A$2,"Día actual","Día anterior")</f>
        <v>Día anterior</v>
      </c>
      <c r="C15" s="3" t="s">
        <v>48</v>
      </c>
      <c r="D15" t="s">
        <v>49</v>
      </c>
      <c r="E15" s="3" t="s">
        <v>76</v>
      </c>
      <c r="F15" s="3" t="s">
        <v>39</v>
      </c>
      <c r="G15" s="3" t="s">
        <v>44</v>
      </c>
      <c r="H15" s="3" t="s">
        <v>8</v>
      </c>
      <c r="I15" s="3" t="s">
        <v>7</v>
      </c>
      <c r="J15" s="3" t="s">
        <v>103</v>
      </c>
      <c r="K15" s="3" t="s">
        <v>50</v>
      </c>
      <c r="L15" s="3" t="s">
        <v>27</v>
      </c>
      <c r="M15">
        <v>1</v>
      </c>
    </row>
    <row r="16" spans="1:13" x14ac:dyDescent="0.25">
      <c r="A16" s="2">
        <v>46185</v>
      </c>
      <c r="B16" s="1" t="str">
        <f ca="1">IF(Información1[[#This Row],[Fecha]]='Ajuste de fechas'!$A$2,"Día actual","Día anterior")</f>
        <v>Día anterior</v>
      </c>
      <c r="C16" s="3" t="s">
        <v>48</v>
      </c>
      <c r="D16" t="s">
        <v>49</v>
      </c>
      <c r="E16" s="3" t="s">
        <v>79</v>
      </c>
      <c r="F16" s="3" t="s">
        <v>43</v>
      </c>
      <c r="G16" s="3" t="s">
        <v>80</v>
      </c>
      <c r="H16" s="3" t="s">
        <v>8</v>
      </c>
      <c r="I16" s="3" t="s">
        <v>7</v>
      </c>
      <c r="J16" s="3" t="s">
        <v>103</v>
      </c>
      <c r="K16" s="3" t="s">
        <v>50</v>
      </c>
      <c r="L16" s="3" t="s">
        <v>27</v>
      </c>
      <c r="M16">
        <v>1</v>
      </c>
    </row>
    <row r="17" spans="1:13" x14ac:dyDescent="0.25">
      <c r="A17" s="2">
        <v>46185</v>
      </c>
      <c r="B17" s="1" t="str">
        <f ca="1">IF(Información1[[#This Row],[Fecha]]='Ajuste de fechas'!$A$2,"Día actual","Día anterior")</f>
        <v>Día anterior</v>
      </c>
      <c r="C17" s="3" t="s">
        <v>17</v>
      </c>
      <c r="D17" t="s">
        <v>61</v>
      </c>
      <c r="E17" s="3" t="s">
        <v>81</v>
      </c>
      <c r="F17" s="3" t="s">
        <v>11</v>
      </c>
      <c r="G17" s="3" t="s">
        <v>45</v>
      </c>
      <c r="H17" s="3" t="s">
        <v>8</v>
      </c>
      <c r="I17" s="3" t="s">
        <v>7</v>
      </c>
      <c r="J17" s="3" t="s">
        <v>105</v>
      </c>
      <c r="K17" s="3" t="s">
        <v>60</v>
      </c>
      <c r="L17" s="3" t="s">
        <v>25</v>
      </c>
      <c r="M17">
        <v>1</v>
      </c>
    </row>
    <row r="18" spans="1:13" x14ac:dyDescent="0.25">
      <c r="A18" s="2">
        <v>46185</v>
      </c>
      <c r="B18" s="1" t="str">
        <f ca="1">IF(Información1[[#This Row],[Fecha]]='Ajuste de fechas'!$A$2,"Día actual","Día anterior")</f>
        <v>Día anterior</v>
      </c>
      <c r="C18" s="3" t="s">
        <v>17</v>
      </c>
      <c r="D18" t="s">
        <v>61</v>
      </c>
      <c r="E18" s="3" t="s">
        <v>82</v>
      </c>
      <c r="F18" s="3" t="s">
        <v>13</v>
      </c>
      <c r="G18" s="3" t="s">
        <v>55</v>
      </c>
      <c r="H18" s="3" t="s">
        <v>8</v>
      </c>
      <c r="I18" s="3" t="s">
        <v>7</v>
      </c>
      <c r="J18" s="3" t="s">
        <v>103</v>
      </c>
      <c r="K18" s="3" t="s">
        <v>60</v>
      </c>
      <c r="L18" s="3" t="s">
        <v>25</v>
      </c>
      <c r="M18">
        <v>1</v>
      </c>
    </row>
    <row r="19" spans="1:13" x14ac:dyDescent="0.25">
      <c r="A19" s="2">
        <v>46185</v>
      </c>
      <c r="B19" s="1" t="str">
        <f ca="1">IF(Información1[[#This Row],[Fecha]]='Ajuste de fechas'!$A$2,"Día actual","Día anterior")</f>
        <v>Día anterior</v>
      </c>
      <c r="C19" s="3" t="s">
        <v>17</v>
      </c>
      <c r="D19" t="s">
        <v>61</v>
      </c>
      <c r="E19" s="3" t="s">
        <v>83</v>
      </c>
      <c r="F19" s="3" t="s">
        <v>14</v>
      </c>
      <c r="G19" s="3" t="s">
        <v>35</v>
      </c>
      <c r="H19" s="3" t="s">
        <v>8</v>
      </c>
      <c r="I19" s="3" t="s">
        <v>7</v>
      </c>
      <c r="J19" s="3" t="s">
        <v>14</v>
      </c>
      <c r="K19" s="3" t="s">
        <v>60</v>
      </c>
      <c r="L19" s="3" t="s">
        <v>25</v>
      </c>
      <c r="M19">
        <v>1</v>
      </c>
    </row>
    <row r="20" spans="1:13" x14ac:dyDescent="0.25">
      <c r="A20" s="2">
        <v>46185</v>
      </c>
      <c r="B20" s="1" t="str">
        <f ca="1">IF(Información1[[#This Row],[Fecha]]='Ajuste de fechas'!$A$2,"Día actual","Día anterior")</f>
        <v>Día anterior</v>
      </c>
      <c r="C20" s="3" t="s">
        <v>17</v>
      </c>
      <c r="D20" t="s">
        <v>61</v>
      </c>
      <c r="E20" s="3" t="s">
        <v>84</v>
      </c>
      <c r="F20" s="3" t="s">
        <v>36</v>
      </c>
      <c r="G20" s="3" t="s">
        <v>56</v>
      </c>
      <c r="H20" s="3" t="s">
        <v>8</v>
      </c>
      <c r="I20" s="3" t="s">
        <v>7</v>
      </c>
      <c r="J20" s="3" t="s">
        <v>14</v>
      </c>
      <c r="K20" s="3" t="s">
        <v>60</v>
      </c>
      <c r="L20" s="3" t="s">
        <v>25</v>
      </c>
      <c r="M20">
        <v>1</v>
      </c>
    </row>
    <row r="21" spans="1:13" x14ac:dyDescent="0.25">
      <c r="A21" s="2">
        <v>46185</v>
      </c>
      <c r="B21" s="1" t="str">
        <f ca="1">IF(Información1[[#This Row],[Fecha]]='Ajuste de fechas'!$A$2,"Día actual","Día anterior")</f>
        <v>Día anterior</v>
      </c>
      <c r="C21" s="3" t="s">
        <v>17</v>
      </c>
      <c r="D21" t="s">
        <v>61</v>
      </c>
      <c r="E21" s="3" t="s">
        <v>85</v>
      </c>
      <c r="F21" s="3" t="s">
        <v>12</v>
      </c>
      <c r="G21" s="3" t="s">
        <v>86</v>
      </c>
      <c r="H21" s="3" t="s">
        <v>8</v>
      </c>
      <c r="I21" s="3" t="s">
        <v>7</v>
      </c>
      <c r="J21" s="3" t="s">
        <v>104</v>
      </c>
      <c r="K21" s="3" t="s">
        <v>60</v>
      </c>
      <c r="L21" s="3" t="s">
        <v>25</v>
      </c>
      <c r="M21">
        <v>1</v>
      </c>
    </row>
    <row r="22" spans="1:13" x14ac:dyDescent="0.25">
      <c r="A22" s="2">
        <v>46185</v>
      </c>
      <c r="B22" s="1" t="str">
        <f ca="1">IF(Información1[[#This Row],[Fecha]]='Ajuste de fechas'!$A$2,"Día actual","Día anterior")</f>
        <v>Día anterior</v>
      </c>
      <c r="C22" s="3" t="s">
        <v>17</v>
      </c>
      <c r="D22" t="s">
        <v>61</v>
      </c>
      <c r="E22" s="3" t="s">
        <v>87</v>
      </c>
      <c r="F22" s="3" t="s">
        <v>39</v>
      </c>
      <c r="G22" s="3" t="s">
        <v>88</v>
      </c>
      <c r="H22" s="3" t="s">
        <v>8</v>
      </c>
      <c r="I22" s="3" t="s">
        <v>7</v>
      </c>
      <c r="J22" s="3" t="s">
        <v>103</v>
      </c>
      <c r="K22" s="3" t="s">
        <v>60</v>
      </c>
      <c r="L22" s="3" t="s">
        <v>25</v>
      </c>
      <c r="M22">
        <v>1</v>
      </c>
    </row>
    <row r="23" spans="1:13" x14ac:dyDescent="0.25">
      <c r="A23" s="2">
        <v>46185</v>
      </c>
      <c r="B23" s="1" t="str">
        <f ca="1">IF(Información1[[#This Row],[Fecha]]='Ajuste de fechas'!$A$2,"Día actual","Día anterior")</f>
        <v>Día anterior</v>
      </c>
      <c r="C23" s="3" t="s">
        <v>17</v>
      </c>
      <c r="D23" t="s">
        <v>61</v>
      </c>
      <c r="E23" s="3" t="s">
        <v>89</v>
      </c>
      <c r="F23" s="3" t="s">
        <v>10</v>
      </c>
      <c r="G23" s="3" t="s">
        <v>46</v>
      </c>
      <c r="H23" s="3" t="s">
        <v>8</v>
      </c>
      <c r="I23" s="3" t="s">
        <v>7</v>
      </c>
      <c r="J23" s="3" t="s">
        <v>103</v>
      </c>
      <c r="K23" s="3" t="s">
        <v>60</v>
      </c>
      <c r="L23" s="3" t="s">
        <v>26</v>
      </c>
      <c r="M23">
        <v>1</v>
      </c>
    </row>
    <row r="24" spans="1:13" x14ac:dyDescent="0.25">
      <c r="A24" s="2">
        <v>46185</v>
      </c>
      <c r="B24" s="1" t="str">
        <f ca="1">IF(Información1[[#This Row],[Fecha]]='Ajuste de fechas'!$A$2,"Día actual","Día anterior")</f>
        <v>Día anterior</v>
      </c>
      <c r="C24" s="3" t="s">
        <v>17</v>
      </c>
      <c r="D24" t="s">
        <v>61</v>
      </c>
      <c r="E24" s="3" t="s">
        <v>90</v>
      </c>
      <c r="F24" s="3" t="s">
        <v>10</v>
      </c>
      <c r="G24" s="3" t="s">
        <v>46</v>
      </c>
      <c r="H24" s="3" t="s">
        <v>8</v>
      </c>
      <c r="I24" s="3" t="s">
        <v>7</v>
      </c>
      <c r="J24" s="3" t="s">
        <v>103</v>
      </c>
      <c r="K24" s="3" t="s">
        <v>60</v>
      </c>
      <c r="L24" s="3" t="s">
        <v>25</v>
      </c>
      <c r="M24">
        <v>1</v>
      </c>
    </row>
    <row r="25" spans="1:13" x14ac:dyDescent="0.25">
      <c r="A25" s="2">
        <v>46185</v>
      </c>
      <c r="B25" s="1" t="str">
        <f ca="1">IF(Información1[[#This Row],[Fecha]]='Ajuste de fechas'!$A$2,"Día actual","Día anterior")</f>
        <v>Día anterior</v>
      </c>
      <c r="C25" s="3" t="s">
        <v>32</v>
      </c>
      <c r="D25" t="s">
        <v>34</v>
      </c>
      <c r="E25" s="3" t="s">
        <v>91</v>
      </c>
      <c r="F25" s="3" t="s">
        <v>12</v>
      </c>
      <c r="G25" s="3" t="s">
        <v>92</v>
      </c>
      <c r="H25" s="3" t="s">
        <v>8</v>
      </c>
      <c r="I25" s="3" t="s">
        <v>7</v>
      </c>
      <c r="J25" s="3" t="s">
        <v>104</v>
      </c>
      <c r="K25" s="3" t="s">
        <v>33</v>
      </c>
      <c r="L25" s="3" t="s">
        <v>25</v>
      </c>
      <c r="M25">
        <v>1</v>
      </c>
    </row>
    <row r="26" spans="1:13" x14ac:dyDescent="0.25">
      <c r="A26" s="2">
        <v>46185</v>
      </c>
      <c r="B26" s="1" t="str">
        <f ca="1">IF(Información1[[#This Row],[Fecha]]='Ajuste de fechas'!$A$2,"Día actual","Día anterior")</f>
        <v>Día anterior</v>
      </c>
      <c r="C26" s="3" t="s">
        <v>32</v>
      </c>
      <c r="D26" t="s">
        <v>34</v>
      </c>
      <c r="E26" s="3" t="s">
        <v>68</v>
      </c>
      <c r="F26" s="3" t="s">
        <v>13</v>
      </c>
      <c r="G26" s="3" t="s">
        <v>51</v>
      </c>
      <c r="H26" s="3" t="s">
        <v>8</v>
      </c>
      <c r="I26" s="3" t="s">
        <v>7</v>
      </c>
      <c r="J26" s="3" t="s">
        <v>103</v>
      </c>
      <c r="K26" s="3" t="s">
        <v>31</v>
      </c>
      <c r="L26" s="3" t="s">
        <v>27</v>
      </c>
      <c r="M26">
        <v>1</v>
      </c>
    </row>
    <row r="27" spans="1:13" x14ac:dyDescent="0.25">
      <c r="A27" s="2">
        <v>46185</v>
      </c>
      <c r="B27" s="1" t="str">
        <f ca="1">IF(Información1[[#This Row],[Fecha]]='Ajuste de fechas'!$A$2,"Día actual","Día anterior")</f>
        <v>Día anterior</v>
      </c>
      <c r="C27" s="3" t="s">
        <v>32</v>
      </c>
      <c r="D27" t="s">
        <v>34</v>
      </c>
      <c r="E27" s="3" t="s">
        <v>93</v>
      </c>
      <c r="F27" s="3" t="s">
        <v>13</v>
      </c>
      <c r="G27" s="3" t="s">
        <v>55</v>
      </c>
      <c r="H27" s="3" t="s">
        <v>8</v>
      </c>
      <c r="I27" s="3" t="s">
        <v>7</v>
      </c>
      <c r="J27" s="3" t="s">
        <v>103</v>
      </c>
      <c r="K27" s="3" t="s">
        <v>31</v>
      </c>
      <c r="L27" s="3" t="s">
        <v>27</v>
      </c>
      <c r="M27">
        <v>1</v>
      </c>
    </row>
    <row r="28" spans="1:13" x14ac:dyDescent="0.25">
      <c r="A28" s="2">
        <v>46185</v>
      </c>
      <c r="B28" s="1" t="str">
        <f ca="1">IF(Información1[[#This Row],[Fecha]]='Ajuste de fechas'!$A$2,"Día actual","Día anterior")</f>
        <v>Día anterior</v>
      </c>
      <c r="C28" s="3" t="s">
        <v>32</v>
      </c>
      <c r="D28" t="s">
        <v>34</v>
      </c>
      <c r="E28" s="3" t="s">
        <v>94</v>
      </c>
      <c r="F28" s="3" t="s">
        <v>47</v>
      </c>
      <c r="G28" s="3" t="s">
        <v>95</v>
      </c>
      <c r="H28" s="3" t="s">
        <v>8</v>
      </c>
      <c r="I28" s="3" t="s">
        <v>7</v>
      </c>
      <c r="J28" s="3" t="s">
        <v>103</v>
      </c>
      <c r="K28" s="3" t="s">
        <v>31</v>
      </c>
      <c r="L28" s="3" t="s">
        <v>27</v>
      </c>
      <c r="M28">
        <v>1</v>
      </c>
    </row>
    <row r="29" spans="1:13" x14ac:dyDescent="0.25">
      <c r="A29" s="2">
        <v>46185</v>
      </c>
      <c r="B29" s="1" t="str">
        <f ca="1">IF(Información1[[#This Row],[Fecha]]='Ajuste de fechas'!$A$2,"Día actual","Día anterior")</f>
        <v>Día anterior</v>
      </c>
      <c r="C29" s="3" t="s">
        <v>32</v>
      </c>
      <c r="D29" t="s">
        <v>34</v>
      </c>
      <c r="E29" s="3" t="s">
        <v>96</v>
      </c>
      <c r="F29" s="3" t="s">
        <v>43</v>
      </c>
      <c r="G29" s="3" t="s">
        <v>51</v>
      </c>
      <c r="H29" s="3" t="s">
        <v>8</v>
      </c>
      <c r="I29" s="3" t="s">
        <v>7</v>
      </c>
      <c r="J29" s="3" t="s">
        <v>103</v>
      </c>
      <c r="K29" s="3" t="s">
        <v>31</v>
      </c>
      <c r="L29" s="3" t="s">
        <v>27</v>
      </c>
      <c r="M29">
        <v>1</v>
      </c>
    </row>
    <row r="30" spans="1:13" x14ac:dyDescent="0.25">
      <c r="A30" s="2">
        <v>46185</v>
      </c>
      <c r="B30" s="1" t="str">
        <f ca="1">IF(Información1[[#This Row],[Fecha]]='Ajuste de fechas'!$A$2,"Día actual","Día anterior")</f>
        <v>Día anterior</v>
      </c>
      <c r="C30" s="3" t="s">
        <v>32</v>
      </c>
      <c r="D30" t="s">
        <v>34</v>
      </c>
      <c r="E30" s="3" t="s">
        <v>97</v>
      </c>
      <c r="F30" s="3" t="s">
        <v>98</v>
      </c>
      <c r="G30" s="3" t="s">
        <v>99</v>
      </c>
      <c r="H30" s="3" t="s">
        <v>8</v>
      </c>
      <c r="I30" s="3" t="s">
        <v>7</v>
      </c>
      <c r="J30" s="3" t="s">
        <v>103</v>
      </c>
      <c r="K30" s="3" t="s">
        <v>33</v>
      </c>
      <c r="L30" s="3" t="s">
        <v>25</v>
      </c>
      <c r="M30">
        <v>1</v>
      </c>
    </row>
    <row r="31" spans="1:13" x14ac:dyDescent="0.25">
      <c r="A31" s="2">
        <v>46185</v>
      </c>
      <c r="B31" s="1" t="str">
        <f ca="1">IF(Información1[[#This Row],[Fecha]]='Ajuste de fechas'!$A$2,"Día actual","Día anterior")</f>
        <v>Día anterior</v>
      </c>
      <c r="C31" s="3" t="s">
        <v>32</v>
      </c>
      <c r="D31" t="s">
        <v>34</v>
      </c>
      <c r="E31" s="3" t="s">
        <v>72</v>
      </c>
      <c r="F31" s="3" t="s">
        <v>52</v>
      </c>
      <c r="G31" s="3" t="s">
        <v>73</v>
      </c>
      <c r="H31" s="3" t="s">
        <v>8</v>
      </c>
      <c r="I31" s="3" t="s">
        <v>7</v>
      </c>
      <c r="J31" s="3" t="s">
        <v>103</v>
      </c>
      <c r="K31" s="3" t="s">
        <v>31</v>
      </c>
      <c r="L31" s="3" t="s">
        <v>27</v>
      </c>
      <c r="M31">
        <v>1</v>
      </c>
    </row>
    <row r="32" spans="1:13" x14ac:dyDescent="0.25">
      <c r="A32" s="2">
        <v>46185</v>
      </c>
      <c r="B32" s="1" t="str">
        <f ca="1">IF(Información1[[#This Row],[Fecha]]='Ajuste de fechas'!$A$2,"Día actual","Día anterior")</f>
        <v>Día anterior</v>
      </c>
      <c r="C32" s="3" t="s">
        <v>32</v>
      </c>
      <c r="D32" t="s">
        <v>34</v>
      </c>
      <c r="E32" s="3" t="s">
        <v>100</v>
      </c>
      <c r="F32" s="3" t="s">
        <v>37</v>
      </c>
      <c r="G32" s="3" t="s">
        <v>101</v>
      </c>
      <c r="H32" s="3" t="s">
        <v>8</v>
      </c>
      <c r="I32" s="3" t="s">
        <v>7</v>
      </c>
      <c r="J32" s="3" t="s">
        <v>103</v>
      </c>
      <c r="K32" s="3" t="s">
        <v>31</v>
      </c>
      <c r="L32" s="3" t="s">
        <v>27</v>
      </c>
      <c r="M32">
        <v>1</v>
      </c>
    </row>
    <row r="33" spans="1:13" x14ac:dyDescent="0.25">
      <c r="A33" s="2">
        <v>46185</v>
      </c>
      <c r="B33" s="1" t="str">
        <f ca="1">IF(Información1[[#This Row],[Fecha]]='Ajuste de fechas'!$A$2,"Día actual","Día anterior")</f>
        <v>Día anterior</v>
      </c>
      <c r="C33" s="3" t="s">
        <v>32</v>
      </c>
      <c r="D33" t="s">
        <v>34</v>
      </c>
      <c r="E33" s="3" t="s">
        <v>102</v>
      </c>
      <c r="F33" s="3" t="s">
        <v>36</v>
      </c>
      <c r="G33" s="3" t="s">
        <v>56</v>
      </c>
      <c r="H33" s="3" t="s">
        <v>8</v>
      </c>
      <c r="I33" s="3" t="s">
        <v>7</v>
      </c>
      <c r="J33" s="3" t="s">
        <v>14</v>
      </c>
      <c r="K33" s="3" t="s">
        <v>33</v>
      </c>
      <c r="L33" s="3" t="s">
        <v>25</v>
      </c>
      <c r="M33">
        <v>1</v>
      </c>
    </row>
    <row r="34" spans="1:13" x14ac:dyDescent="0.25">
      <c r="A34" s="2">
        <v>46188</v>
      </c>
      <c r="B34" s="1" t="str">
        <f ca="1">IF(Información1[[#This Row],[Fecha]]='Ajuste de fechas'!$A$2,"Día actual","Día anterior")</f>
        <v>Día actual</v>
      </c>
      <c r="C34" s="3" t="s">
        <v>32</v>
      </c>
      <c r="D34" t="s">
        <v>38</v>
      </c>
      <c r="E34" s="3" t="s">
        <v>106</v>
      </c>
      <c r="F34" s="3" t="s">
        <v>12</v>
      </c>
      <c r="G34" s="3" t="s">
        <v>107</v>
      </c>
      <c r="H34" s="3" t="s">
        <v>8</v>
      </c>
      <c r="I34" s="3" t="s">
        <v>7</v>
      </c>
      <c r="J34" s="3" t="s">
        <v>104</v>
      </c>
      <c r="K34" s="3" t="s">
        <v>33</v>
      </c>
      <c r="L34" s="3" t="s">
        <v>25</v>
      </c>
      <c r="M34">
        <v>1</v>
      </c>
    </row>
    <row r="35" spans="1:13" x14ac:dyDescent="0.25">
      <c r="A35" s="2">
        <v>46188</v>
      </c>
      <c r="B35" s="1" t="str">
        <f ca="1">IF(Información1[[#This Row],[Fecha]]='Ajuste de fechas'!$A$2,"Día actual","Día anterior")</f>
        <v>Día actual</v>
      </c>
      <c r="C35" s="3" t="s">
        <v>32</v>
      </c>
      <c r="D35" t="s">
        <v>38</v>
      </c>
      <c r="E35" s="3" t="s">
        <v>108</v>
      </c>
      <c r="F35" s="3" t="s">
        <v>11</v>
      </c>
      <c r="G35" s="3" t="s">
        <v>109</v>
      </c>
      <c r="H35" s="3" t="s">
        <v>8</v>
      </c>
      <c r="I35" s="3" t="s">
        <v>7</v>
      </c>
      <c r="J35" s="3" t="s">
        <v>105</v>
      </c>
      <c r="K35" s="3" t="s">
        <v>33</v>
      </c>
      <c r="L35" s="3" t="s">
        <v>25</v>
      </c>
      <c r="M35">
        <v>1</v>
      </c>
    </row>
    <row r="36" spans="1:13" x14ac:dyDescent="0.25">
      <c r="A36" s="2">
        <v>46188</v>
      </c>
      <c r="B36" s="1" t="str">
        <f ca="1">IF(Información1[[#This Row],[Fecha]]='Ajuste de fechas'!$A$2,"Día actual","Día anterior")</f>
        <v>Día actual</v>
      </c>
      <c r="C36" s="3" t="s">
        <v>32</v>
      </c>
      <c r="D36" t="s">
        <v>38</v>
      </c>
      <c r="E36" s="3" t="s">
        <v>110</v>
      </c>
      <c r="F36" s="3" t="s">
        <v>13</v>
      </c>
      <c r="G36" s="3" t="s">
        <v>111</v>
      </c>
      <c r="H36" s="3" t="s">
        <v>8</v>
      </c>
      <c r="I36" s="3" t="s">
        <v>7</v>
      </c>
      <c r="J36" s="3" t="s">
        <v>103</v>
      </c>
      <c r="K36" s="3" t="s">
        <v>33</v>
      </c>
      <c r="L36" s="3" t="s">
        <v>25</v>
      </c>
      <c r="M36">
        <v>1</v>
      </c>
    </row>
    <row r="37" spans="1:13" x14ac:dyDescent="0.25">
      <c r="A37" s="2">
        <v>46188</v>
      </c>
      <c r="B37" s="1" t="str">
        <f ca="1">IF(Información1[[#This Row],[Fecha]]='Ajuste de fechas'!$A$2,"Día actual","Día anterior")</f>
        <v>Día actual</v>
      </c>
      <c r="C37" s="3" t="s">
        <v>40</v>
      </c>
      <c r="D37" t="s">
        <v>41</v>
      </c>
      <c r="E37" s="3" t="s">
        <v>112</v>
      </c>
      <c r="F37" s="3" t="s">
        <v>11</v>
      </c>
      <c r="G37" s="3" t="s">
        <v>113</v>
      </c>
      <c r="H37" s="3" t="s">
        <v>8</v>
      </c>
      <c r="I37" s="3" t="s">
        <v>7</v>
      </c>
      <c r="J37" s="3" t="s">
        <v>105</v>
      </c>
      <c r="K37" s="3" t="s">
        <v>42</v>
      </c>
      <c r="L37" s="3" t="s">
        <v>25</v>
      </c>
      <c r="M37">
        <v>1</v>
      </c>
    </row>
    <row r="38" spans="1:13" x14ac:dyDescent="0.25">
      <c r="A38" s="2">
        <v>46188</v>
      </c>
      <c r="B38" s="1" t="str">
        <f ca="1">IF(Información1[[#This Row],[Fecha]]='Ajuste de fechas'!$A$2,"Día actual","Día anterior")</f>
        <v>Día actual</v>
      </c>
      <c r="C38" s="3" t="s">
        <v>40</v>
      </c>
      <c r="D38" t="s">
        <v>41</v>
      </c>
      <c r="E38" s="3" t="s">
        <v>114</v>
      </c>
      <c r="F38" s="3" t="s">
        <v>43</v>
      </c>
      <c r="G38" s="3" t="s">
        <v>101</v>
      </c>
      <c r="H38" s="3" t="s">
        <v>8</v>
      </c>
      <c r="I38" s="3" t="s">
        <v>7</v>
      </c>
      <c r="J38" s="3" t="s">
        <v>103</v>
      </c>
      <c r="K38" s="3" t="s">
        <v>42</v>
      </c>
      <c r="L38" s="3" t="s">
        <v>27</v>
      </c>
      <c r="M38">
        <v>1</v>
      </c>
    </row>
    <row r="39" spans="1:13" x14ac:dyDescent="0.25">
      <c r="A39" s="2">
        <v>46188</v>
      </c>
      <c r="B39" s="1" t="str">
        <f ca="1">IF(Información1[[#This Row],[Fecha]]='Ajuste de fechas'!$A$2,"Día actual","Día anterior")</f>
        <v>Día actual</v>
      </c>
      <c r="C39" s="3" t="s">
        <v>40</v>
      </c>
      <c r="D39" t="s">
        <v>41</v>
      </c>
      <c r="E39" s="3" t="s">
        <v>115</v>
      </c>
      <c r="F39" s="3" t="s">
        <v>13</v>
      </c>
      <c r="G39" s="3" t="s">
        <v>116</v>
      </c>
      <c r="H39" s="3" t="s">
        <v>8</v>
      </c>
      <c r="I39" s="3" t="s">
        <v>7</v>
      </c>
      <c r="J39" s="3" t="s">
        <v>103</v>
      </c>
      <c r="K39" s="3" t="s">
        <v>42</v>
      </c>
      <c r="L39" s="3" t="s">
        <v>27</v>
      </c>
      <c r="M39">
        <v>1</v>
      </c>
    </row>
    <row r="40" spans="1:13" x14ac:dyDescent="0.25">
      <c r="A40" s="2">
        <v>46188</v>
      </c>
      <c r="B40" s="1" t="str">
        <f ca="1">IF(Información1[[#This Row],[Fecha]]='Ajuste de fechas'!$A$2,"Día actual","Día anterior")</f>
        <v>Día actual</v>
      </c>
      <c r="C40" s="3" t="s">
        <v>40</v>
      </c>
      <c r="D40" t="s">
        <v>41</v>
      </c>
      <c r="E40" s="3" t="s">
        <v>117</v>
      </c>
      <c r="F40" s="3" t="s">
        <v>118</v>
      </c>
      <c r="G40" s="3" t="s">
        <v>119</v>
      </c>
      <c r="H40" s="3" t="s">
        <v>8</v>
      </c>
      <c r="I40" s="3" t="s">
        <v>7</v>
      </c>
      <c r="J40" s="3" t="s">
        <v>103</v>
      </c>
      <c r="K40" s="3" t="s">
        <v>42</v>
      </c>
      <c r="L40" s="3" t="s">
        <v>27</v>
      </c>
      <c r="M40">
        <v>1</v>
      </c>
    </row>
    <row r="41" spans="1:13" x14ac:dyDescent="0.25">
      <c r="A41" s="2">
        <v>46188</v>
      </c>
      <c r="B41" s="1" t="str">
        <f ca="1">IF(Información1[[#This Row],[Fecha]]='Ajuste de fechas'!$A$2,"Día actual","Día anterior")</f>
        <v>Día actual</v>
      </c>
      <c r="C41" s="3" t="s">
        <v>40</v>
      </c>
      <c r="D41" t="s">
        <v>41</v>
      </c>
      <c r="E41" s="3" t="s">
        <v>120</v>
      </c>
      <c r="F41" s="3" t="s">
        <v>39</v>
      </c>
      <c r="G41" s="3" t="s">
        <v>44</v>
      </c>
      <c r="H41" s="3" t="s">
        <v>8</v>
      </c>
      <c r="I41" s="3" t="s">
        <v>7</v>
      </c>
      <c r="J41" s="3" t="s">
        <v>103</v>
      </c>
      <c r="K41" s="3" t="s">
        <v>42</v>
      </c>
      <c r="L41" s="3" t="s">
        <v>27</v>
      </c>
      <c r="M41">
        <v>1</v>
      </c>
    </row>
    <row r="42" spans="1:13" x14ac:dyDescent="0.25">
      <c r="A42" s="2">
        <v>46188</v>
      </c>
      <c r="B42" s="1" t="str">
        <f ca="1">IF(Información1[[#This Row],[Fecha]]='Ajuste de fechas'!$A$2,"Día actual","Día anterior")</f>
        <v>Día actual</v>
      </c>
      <c r="C42" s="3" t="s">
        <v>48</v>
      </c>
      <c r="D42" t="s">
        <v>49</v>
      </c>
      <c r="E42" s="3" t="s">
        <v>121</v>
      </c>
      <c r="F42" s="3" t="s">
        <v>10</v>
      </c>
      <c r="G42" s="3" t="s">
        <v>107</v>
      </c>
      <c r="H42" s="3" t="s">
        <v>8</v>
      </c>
      <c r="I42" s="3" t="s">
        <v>7</v>
      </c>
      <c r="J42" s="3" t="s">
        <v>103</v>
      </c>
      <c r="K42" s="3" t="s">
        <v>50</v>
      </c>
      <c r="L42" s="3" t="s">
        <v>25</v>
      </c>
      <c r="M42">
        <v>1</v>
      </c>
    </row>
    <row r="43" spans="1:13" x14ac:dyDescent="0.25">
      <c r="A43" s="2">
        <v>46188</v>
      </c>
      <c r="B43" s="1" t="str">
        <f ca="1">IF(Información1[[#This Row],[Fecha]]='Ajuste de fechas'!$A$2,"Día actual","Día anterior")</f>
        <v>Día actual</v>
      </c>
      <c r="C43" s="3" t="s">
        <v>48</v>
      </c>
      <c r="D43" t="s">
        <v>49</v>
      </c>
      <c r="E43" s="3" t="s">
        <v>122</v>
      </c>
      <c r="F43" s="3" t="s">
        <v>123</v>
      </c>
      <c r="G43" s="3" t="s">
        <v>124</v>
      </c>
      <c r="H43" s="3" t="s">
        <v>8</v>
      </c>
      <c r="I43" s="3" t="s">
        <v>7</v>
      </c>
      <c r="J43" s="3" t="s">
        <v>103</v>
      </c>
      <c r="K43" s="3" t="s">
        <v>50</v>
      </c>
      <c r="L43" s="3" t="s">
        <v>27</v>
      </c>
      <c r="M43">
        <v>1</v>
      </c>
    </row>
    <row r="44" spans="1:13" x14ac:dyDescent="0.25">
      <c r="A44" s="2">
        <v>46188</v>
      </c>
      <c r="B44" s="1" t="str">
        <f ca="1">IF(Información1[[#This Row],[Fecha]]='Ajuste de fechas'!$A$2,"Día actual","Día anterior")</f>
        <v>Día actual</v>
      </c>
      <c r="C44" s="3" t="s">
        <v>48</v>
      </c>
      <c r="D44" t="s">
        <v>49</v>
      </c>
      <c r="E44" s="3" t="s">
        <v>125</v>
      </c>
      <c r="F44" s="3" t="s">
        <v>118</v>
      </c>
      <c r="G44" s="3" t="s">
        <v>119</v>
      </c>
      <c r="H44" s="3" t="s">
        <v>8</v>
      </c>
      <c r="I44" s="3" t="s">
        <v>7</v>
      </c>
      <c r="J44" s="3" t="s">
        <v>103</v>
      </c>
      <c r="K44" s="3" t="s">
        <v>50</v>
      </c>
      <c r="L44" s="3" t="s">
        <v>27</v>
      </c>
      <c r="M44">
        <v>1</v>
      </c>
    </row>
    <row r="45" spans="1:13" x14ac:dyDescent="0.25">
      <c r="A45" s="2">
        <v>46188</v>
      </c>
      <c r="B45" s="1" t="str">
        <f ca="1">IF(Información1[[#This Row],[Fecha]]='Ajuste de fechas'!$A$2,"Día actual","Día anterior")</f>
        <v>Día actual</v>
      </c>
      <c r="C45" s="3" t="s">
        <v>57</v>
      </c>
      <c r="D45" t="s">
        <v>59</v>
      </c>
      <c r="E45" s="3" t="s">
        <v>122</v>
      </c>
      <c r="F45" s="3" t="s">
        <v>123</v>
      </c>
      <c r="G45" s="3" t="s">
        <v>124</v>
      </c>
      <c r="H45" s="3" t="s">
        <v>8</v>
      </c>
      <c r="I45" s="3" t="s">
        <v>7</v>
      </c>
      <c r="J45" s="3" t="s">
        <v>103</v>
      </c>
      <c r="K45" s="3" t="s">
        <v>58</v>
      </c>
      <c r="L45" s="3" t="s">
        <v>27</v>
      </c>
      <c r="M45">
        <v>1</v>
      </c>
    </row>
    <row r="46" spans="1:13" x14ac:dyDescent="0.25">
      <c r="A46" s="2">
        <v>46188</v>
      </c>
      <c r="B46" s="1" t="str">
        <f ca="1">IF(Información1[[#This Row],[Fecha]]='Ajuste de fechas'!$A$2,"Día actual","Día anterior")</f>
        <v>Día actual</v>
      </c>
      <c r="C46" s="3" t="s">
        <v>126</v>
      </c>
      <c r="D46" t="s">
        <v>127</v>
      </c>
      <c r="E46" s="3" t="s">
        <v>93</v>
      </c>
      <c r="F46" s="3" t="s">
        <v>13</v>
      </c>
      <c r="G46" s="3" t="s">
        <v>55</v>
      </c>
      <c r="H46" s="3" t="s">
        <v>128</v>
      </c>
      <c r="I46" s="3" t="s">
        <v>7</v>
      </c>
      <c r="J46" s="3" t="s">
        <v>103</v>
      </c>
      <c r="K46" s="3" t="s">
        <v>31</v>
      </c>
      <c r="L46" s="3" t="s">
        <v>27</v>
      </c>
      <c r="M46">
        <v>1</v>
      </c>
    </row>
    <row r="47" spans="1:13" x14ac:dyDescent="0.25">
      <c r="A47" s="2">
        <v>46188</v>
      </c>
      <c r="B47" s="1" t="str">
        <f ca="1">IF(Información1[[#This Row],[Fecha]]='Ajuste de fechas'!$A$2,"Día actual","Día anterior")</f>
        <v>Día actual</v>
      </c>
      <c r="C47" s="3" t="s">
        <v>126</v>
      </c>
      <c r="D47" t="s">
        <v>127</v>
      </c>
      <c r="E47" s="3" t="s">
        <v>68</v>
      </c>
      <c r="F47" s="3" t="s">
        <v>13</v>
      </c>
      <c r="G47" s="3" t="s">
        <v>51</v>
      </c>
      <c r="H47" s="3" t="s">
        <v>128</v>
      </c>
      <c r="I47" s="3" t="s">
        <v>7</v>
      </c>
      <c r="J47" s="3" t="s">
        <v>103</v>
      </c>
      <c r="K47" s="3" t="s">
        <v>31</v>
      </c>
      <c r="L47" s="3" t="s">
        <v>27</v>
      </c>
      <c r="M47">
        <v>1</v>
      </c>
    </row>
    <row r="48" spans="1:13" x14ac:dyDescent="0.25">
      <c r="A48" s="2">
        <v>46188</v>
      </c>
      <c r="B48" s="1" t="str">
        <f ca="1">IF(Información1[[#This Row],[Fecha]]='Ajuste de fechas'!$A$2,"Día actual","Día anterior")</f>
        <v>Día actual</v>
      </c>
      <c r="C48" s="3" t="s">
        <v>126</v>
      </c>
      <c r="D48" t="s">
        <v>127</v>
      </c>
      <c r="E48" s="3" t="s">
        <v>129</v>
      </c>
      <c r="F48" s="3" t="s">
        <v>10</v>
      </c>
      <c r="G48" s="3" t="s">
        <v>130</v>
      </c>
      <c r="H48" s="3" t="s">
        <v>128</v>
      </c>
      <c r="I48" s="3" t="s">
        <v>7</v>
      </c>
      <c r="J48" s="3" t="s">
        <v>103</v>
      </c>
      <c r="K48" s="3" t="s">
        <v>31</v>
      </c>
      <c r="L48" s="3" t="s">
        <v>27</v>
      </c>
      <c r="M48">
        <v>1</v>
      </c>
    </row>
    <row r="49" spans="1:13" x14ac:dyDescent="0.25">
      <c r="A49" s="2">
        <v>46188</v>
      </c>
      <c r="B49" s="1" t="str">
        <f ca="1">IF(Información1[[#This Row],[Fecha]]='Ajuste de fechas'!$A$2,"Día actual","Día anterior")</f>
        <v>Día actual</v>
      </c>
      <c r="C49" s="3" t="s">
        <v>126</v>
      </c>
      <c r="D49" t="s">
        <v>127</v>
      </c>
      <c r="E49" s="3" t="s">
        <v>69</v>
      </c>
      <c r="F49" s="3" t="s">
        <v>6</v>
      </c>
      <c r="G49" s="3" t="s">
        <v>51</v>
      </c>
      <c r="H49" s="3" t="s">
        <v>128</v>
      </c>
      <c r="I49" s="3" t="s">
        <v>7</v>
      </c>
      <c r="J49" s="3" t="s">
        <v>103</v>
      </c>
      <c r="K49" s="3" t="s">
        <v>31</v>
      </c>
      <c r="L49" s="3" t="s">
        <v>27</v>
      </c>
      <c r="M49">
        <v>1</v>
      </c>
    </row>
    <row r="50" spans="1:13" x14ac:dyDescent="0.25">
      <c r="A50" s="2">
        <v>46188</v>
      </c>
      <c r="B50" s="1" t="str">
        <f ca="1">IF(Información1[[#This Row],[Fecha]]='Ajuste de fechas'!$A$2,"Día actual","Día anterior")</f>
        <v>Día actual</v>
      </c>
      <c r="C50" s="3" t="s">
        <v>126</v>
      </c>
      <c r="D50" t="s">
        <v>127</v>
      </c>
      <c r="E50" s="3" t="s">
        <v>70</v>
      </c>
      <c r="F50" s="3" t="s">
        <v>18</v>
      </c>
      <c r="G50" s="3" t="s">
        <v>71</v>
      </c>
      <c r="H50" s="3" t="s">
        <v>128</v>
      </c>
      <c r="I50" s="3" t="s">
        <v>7</v>
      </c>
      <c r="J50" s="3" t="s">
        <v>103</v>
      </c>
      <c r="K50" s="3" t="s">
        <v>31</v>
      </c>
      <c r="L50" s="3" t="s">
        <v>27</v>
      </c>
      <c r="M50">
        <v>1</v>
      </c>
    </row>
    <row r="51" spans="1:13" x14ac:dyDescent="0.25">
      <c r="A51" s="2">
        <v>46188</v>
      </c>
      <c r="B51" s="1" t="str">
        <f ca="1">IF(Información1[[#This Row],[Fecha]]='Ajuste de fechas'!$A$2,"Día actual","Día anterior")</f>
        <v>Día actual</v>
      </c>
      <c r="C51" s="3" t="s">
        <v>126</v>
      </c>
      <c r="D51" t="s">
        <v>127</v>
      </c>
      <c r="E51" s="3" t="s">
        <v>131</v>
      </c>
      <c r="F51" s="3" t="s">
        <v>123</v>
      </c>
      <c r="G51" s="3" t="s">
        <v>132</v>
      </c>
      <c r="H51" s="3" t="s">
        <v>128</v>
      </c>
      <c r="I51" s="3" t="s">
        <v>7</v>
      </c>
      <c r="J51" s="3" t="s">
        <v>103</v>
      </c>
      <c r="K51" s="3" t="s">
        <v>31</v>
      </c>
      <c r="L51" s="3" t="s">
        <v>27</v>
      </c>
      <c r="M51">
        <v>1</v>
      </c>
    </row>
    <row r="52" spans="1:13" x14ac:dyDescent="0.25">
      <c r="A52" s="2">
        <v>46188</v>
      </c>
      <c r="B52" s="1" t="str">
        <f ca="1">IF(Información1[[#This Row],[Fecha]]='Ajuste de fechas'!$A$2,"Día actual","Día anterior")</f>
        <v>Día actual</v>
      </c>
      <c r="C52" s="3" t="s">
        <v>126</v>
      </c>
      <c r="D52" t="s">
        <v>127</v>
      </c>
      <c r="E52" s="3" t="s">
        <v>100</v>
      </c>
      <c r="F52" s="3" t="s">
        <v>37</v>
      </c>
      <c r="G52" s="3" t="s">
        <v>101</v>
      </c>
      <c r="H52" s="3" t="s">
        <v>128</v>
      </c>
      <c r="I52" s="3" t="s">
        <v>7</v>
      </c>
      <c r="J52" s="3" t="s">
        <v>103</v>
      </c>
      <c r="K52" s="3" t="s">
        <v>31</v>
      </c>
      <c r="L52" s="3" t="s">
        <v>27</v>
      </c>
      <c r="M52">
        <v>1</v>
      </c>
    </row>
    <row r="53" spans="1:13" x14ac:dyDescent="0.25">
      <c r="A53" s="2">
        <v>46188</v>
      </c>
      <c r="B53" s="1" t="str">
        <f ca="1">IF(Información1[[#This Row],[Fecha]]='Ajuste de fechas'!$A$2,"Día actual","Día anterior")</f>
        <v>Día actual</v>
      </c>
      <c r="C53" s="3" t="s">
        <v>126</v>
      </c>
      <c r="D53" t="s">
        <v>127</v>
      </c>
      <c r="E53" s="3" t="s">
        <v>79</v>
      </c>
      <c r="F53" s="3" t="s">
        <v>43</v>
      </c>
      <c r="G53" s="3" t="s">
        <v>80</v>
      </c>
      <c r="H53" s="3" t="s">
        <v>128</v>
      </c>
      <c r="I53" s="3" t="s">
        <v>7</v>
      </c>
      <c r="J53" s="3" t="s">
        <v>103</v>
      </c>
      <c r="K53" s="3" t="s">
        <v>31</v>
      </c>
      <c r="L53" s="3" t="s">
        <v>27</v>
      </c>
      <c r="M53">
        <v>1</v>
      </c>
    </row>
    <row r="54" spans="1:13" x14ac:dyDescent="0.25">
      <c r="A54" s="2">
        <v>46188</v>
      </c>
      <c r="B54" s="1" t="str">
        <f ca="1">IF(Información1[[#This Row],[Fecha]]='Ajuste de fechas'!$A$2,"Día actual","Día anterior")</f>
        <v>Día actual</v>
      </c>
      <c r="C54" s="3" t="s">
        <v>126</v>
      </c>
      <c r="D54" t="s">
        <v>127</v>
      </c>
      <c r="E54" s="3" t="s">
        <v>96</v>
      </c>
      <c r="F54" s="3" t="s">
        <v>43</v>
      </c>
      <c r="G54" s="3" t="s">
        <v>51</v>
      </c>
      <c r="H54" s="3" t="s">
        <v>128</v>
      </c>
      <c r="I54" s="3" t="s">
        <v>7</v>
      </c>
      <c r="J54" s="3" t="s">
        <v>103</v>
      </c>
      <c r="K54" s="3" t="s">
        <v>31</v>
      </c>
      <c r="L54" s="3" t="s">
        <v>27</v>
      </c>
      <c r="M54">
        <v>1</v>
      </c>
    </row>
    <row r="55" spans="1:13" x14ac:dyDescent="0.25">
      <c r="A55" s="2">
        <v>46188</v>
      </c>
      <c r="B55" s="1" t="str">
        <f ca="1">IF(Información1[[#This Row],[Fecha]]='Ajuste de fechas'!$A$2,"Día actual","Día anterior")</f>
        <v>Día actual</v>
      </c>
      <c r="C55" s="3" t="s">
        <v>126</v>
      </c>
      <c r="D55" t="s">
        <v>127</v>
      </c>
      <c r="E55" s="3" t="s">
        <v>74</v>
      </c>
      <c r="F55" s="3" t="s">
        <v>6</v>
      </c>
      <c r="G55" s="3" t="s">
        <v>75</v>
      </c>
      <c r="H55" s="3" t="s">
        <v>128</v>
      </c>
      <c r="I55" s="3" t="s">
        <v>7</v>
      </c>
      <c r="J55" s="3" t="s">
        <v>103</v>
      </c>
      <c r="K55" s="3" t="s">
        <v>31</v>
      </c>
      <c r="L55" s="3" t="s">
        <v>27</v>
      </c>
      <c r="M55">
        <v>1</v>
      </c>
    </row>
    <row r="56" spans="1:13" x14ac:dyDescent="0.25">
      <c r="A56" s="2">
        <v>46188</v>
      </c>
      <c r="B56" s="1" t="str">
        <f ca="1">IF(Información1[[#This Row],[Fecha]]='Ajuste de fechas'!$A$2,"Día actual","Día anterior")</f>
        <v>Día actual</v>
      </c>
      <c r="C56" s="3" t="s">
        <v>126</v>
      </c>
      <c r="D56" t="s">
        <v>127</v>
      </c>
      <c r="E56" s="3" t="s">
        <v>72</v>
      </c>
      <c r="F56" s="3" t="s">
        <v>52</v>
      </c>
      <c r="G56" s="3" t="s">
        <v>73</v>
      </c>
      <c r="H56" s="3" t="s">
        <v>128</v>
      </c>
      <c r="I56" s="3" t="s">
        <v>7</v>
      </c>
      <c r="J56" s="3" t="s">
        <v>103</v>
      </c>
      <c r="K56" s="3" t="s">
        <v>31</v>
      </c>
      <c r="L56" s="3" t="s">
        <v>27</v>
      </c>
      <c r="M56">
        <v>1</v>
      </c>
    </row>
    <row r="57" spans="1:13" x14ac:dyDescent="0.25">
      <c r="A57" s="2">
        <v>46188</v>
      </c>
      <c r="B57" s="1" t="str">
        <f ca="1">IF(Información1[[#This Row],[Fecha]]='Ajuste de fechas'!$A$2,"Día actual","Día anterior")</f>
        <v>Día actual</v>
      </c>
      <c r="C57" s="3" t="s">
        <v>126</v>
      </c>
      <c r="D57" t="s">
        <v>127</v>
      </c>
      <c r="E57" s="3" t="s">
        <v>133</v>
      </c>
      <c r="F57" s="3" t="s">
        <v>47</v>
      </c>
      <c r="G57" s="3" t="s">
        <v>134</v>
      </c>
      <c r="H57" s="3" t="s">
        <v>128</v>
      </c>
      <c r="I57" s="3" t="s">
        <v>7</v>
      </c>
      <c r="J57" s="3" t="s">
        <v>103</v>
      </c>
      <c r="K57" s="3" t="s">
        <v>31</v>
      </c>
      <c r="L57" s="3" t="s">
        <v>27</v>
      </c>
      <c r="M57">
        <v>1</v>
      </c>
    </row>
    <row r="58" spans="1:13" x14ac:dyDescent="0.25">
      <c r="A58" s="2">
        <v>46188</v>
      </c>
      <c r="B58" s="1" t="str">
        <f ca="1">IF(Información1[[#This Row],[Fecha]]='Ajuste de fechas'!$A$2,"Día actual","Día anterior")</f>
        <v>Día actual</v>
      </c>
      <c r="C58" s="3" t="s">
        <v>126</v>
      </c>
      <c r="D58" t="s">
        <v>127</v>
      </c>
      <c r="E58" s="3" t="s">
        <v>135</v>
      </c>
      <c r="F58" s="3" t="s">
        <v>47</v>
      </c>
      <c r="G58" s="3" t="s">
        <v>95</v>
      </c>
      <c r="H58" s="3" t="s">
        <v>128</v>
      </c>
      <c r="I58" s="3" t="s">
        <v>7</v>
      </c>
      <c r="J58" s="3" t="s">
        <v>103</v>
      </c>
      <c r="K58" s="3" t="s">
        <v>31</v>
      </c>
      <c r="L58" s="3" t="s">
        <v>25</v>
      </c>
      <c r="M58">
        <v>1</v>
      </c>
    </row>
    <row r="59" spans="1:13" x14ac:dyDescent="0.25">
      <c r="A59" s="2">
        <v>46188</v>
      </c>
      <c r="B59" s="1" t="str">
        <f ca="1">IF(Información1[[#This Row],[Fecha]]='Ajuste de fechas'!$A$2,"Día actual","Día anterior")</f>
        <v>Día actual</v>
      </c>
      <c r="C59" s="3" t="s">
        <v>136</v>
      </c>
      <c r="D59" t="s">
        <v>137</v>
      </c>
      <c r="E59" s="3" t="s">
        <v>138</v>
      </c>
      <c r="F59" s="3" t="s">
        <v>139</v>
      </c>
      <c r="G59" s="3" t="s">
        <v>140</v>
      </c>
      <c r="H59" s="3" t="s">
        <v>8</v>
      </c>
      <c r="I59" s="3" t="s">
        <v>7</v>
      </c>
      <c r="J59" s="3" t="s">
        <v>103</v>
      </c>
      <c r="K59" s="3" t="s">
        <v>141</v>
      </c>
      <c r="L59" s="3" t="s">
        <v>27</v>
      </c>
      <c r="M59">
        <v>1</v>
      </c>
    </row>
    <row r="60" spans="1:13" x14ac:dyDescent="0.25">
      <c r="A60" s="2">
        <v>46188</v>
      </c>
      <c r="B60" s="1" t="str">
        <f ca="1">IF(Información1[[#This Row],[Fecha]]='Ajuste de fechas'!$A$2,"Día actual","Día anterior")</f>
        <v>Día actual</v>
      </c>
      <c r="C60" s="3" t="s">
        <v>136</v>
      </c>
      <c r="D60" t="s">
        <v>137</v>
      </c>
      <c r="E60" s="3" t="s">
        <v>142</v>
      </c>
      <c r="F60" s="3" t="s">
        <v>11</v>
      </c>
      <c r="G60" s="3" t="s">
        <v>143</v>
      </c>
      <c r="H60" s="3" t="s">
        <v>8</v>
      </c>
      <c r="I60" s="3" t="s">
        <v>7</v>
      </c>
      <c r="J60" s="3" t="s">
        <v>105</v>
      </c>
      <c r="K60" s="3" t="s">
        <v>141</v>
      </c>
      <c r="L60" s="3" t="s">
        <v>25</v>
      </c>
      <c r="M60">
        <v>1</v>
      </c>
    </row>
    <row r="61" spans="1:13" x14ac:dyDescent="0.25">
      <c r="A61" s="2">
        <v>46188</v>
      </c>
      <c r="B61" s="1" t="str">
        <f ca="1">IF(Información1[[#This Row],[Fecha]]='Ajuste de fechas'!$A$2,"Día actual","Día anterior")</f>
        <v>Día actual</v>
      </c>
      <c r="C61" s="3" t="s">
        <v>136</v>
      </c>
      <c r="D61" t="s">
        <v>137</v>
      </c>
      <c r="E61" s="3" t="s">
        <v>144</v>
      </c>
      <c r="F61" s="3" t="s">
        <v>145</v>
      </c>
      <c r="G61" s="3" t="s">
        <v>146</v>
      </c>
      <c r="H61" s="3" t="s">
        <v>8</v>
      </c>
      <c r="I61" s="3" t="s">
        <v>7</v>
      </c>
      <c r="J61" s="3" t="s">
        <v>147</v>
      </c>
      <c r="K61" s="3" t="s">
        <v>141</v>
      </c>
      <c r="L61" s="3" t="s">
        <v>25</v>
      </c>
      <c r="M61">
        <v>1</v>
      </c>
    </row>
    <row r="62" spans="1:13" x14ac:dyDescent="0.25">
      <c r="A62" s="2">
        <v>46188</v>
      </c>
      <c r="B62" s="1" t="str">
        <f ca="1">IF(Información1[[#This Row],[Fecha]]='Ajuste de fechas'!$A$2,"Día actual","Día anterior")</f>
        <v>Día actual</v>
      </c>
      <c r="C62" s="3" t="s">
        <v>136</v>
      </c>
      <c r="D62" t="s">
        <v>137</v>
      </c>
      <c r="E62" s="3" t="s">
        <v>148</v>
      </c>
      <c r="F62" s="3" t="s">
        <v>13</v>
      </c>
      <c r="G62" s="3" t="s">
        <v>116</v>
      </c>
      <c r="H62" s="3" t="s">
        <v>8</v>
      </c>
      <c r="I62" s="3" t="s">
        <v>7</v>
      </c>
      <c r="J62" s="3" t="s">
        <v>103</v>
      </c>
      <c r="K62" s="3" t="s">
        <v>141</v>
      </c>
      <c r="L62" s="3" t="s">
        <v>27</v>
      </c>
      <c r="M62">
        <v>1</v>
      </c>
    </row>
    <row r="63" spans="1:13" x14ac:dyDescent="0.25">
      <c r="A63" s="2">
        <v>46188</v>
      </c>
      <c r="B63" s="1" t="str">
        <f ca="1">IF(Información1[[#This Row],[Fecha]]='Ajuste de fechas'!$A$2,"Día actual","Día anterior")</f>
        <v>Día actual</v>
      </c>
      <c r="C63" s="3" t="s">
        <v>136</v>
      </c>
      <c r="D63" t="s">
        <v>137</v>
      </c>
      <c r="E63" s="3" t="s">
        <v>149</v>
      </c>
      <c r="F63" s="3" t="s">
        <v>12</v>
      </c>
      <c r="G63" s="3" t="s">
        <v>150</v>
      </c>
      <c r="H63" s="3" t="s">
        <v>8</v>
      </c>
      <c r="I63" s="3" t="s">
        <v>7</v>
      </c>
      <c r="J63" s="3" t="s">
        <v>104</v>
      </c>
      <c r="K63" s="3" t="s">
        <v>141</v>
      </c>
      <c r="L63" s="3" t="s">
        <v>25</v>
      </c>
      <c r="M63">
        <v>1</v>
      </c>
    </row>
    <row r="64" spans="1:13" x14ac:dyDescent="0.25">
      <c r="A64" s="2">
        <v>46188</v>
      </c>
      <c r="B64" s="1" t="str">
        <f ca="1">IF(Información1[[#This Row],[Fecha]]='Ajuste de fechas'!$A$2,"Día actual","Día anterior")</f>
        <v>Día actual</v>
      </c>
      <c r="C64" s="3" t="s">
        <v>136</v>
      </c>
      <c r="D64" t="s">
        <v>137</v>
      </c>
      <c r="E64" s="3" t="s">
        <v>151</v>
      </c>
      <c r="F64" s="3" t="s">
        <v>152</v>
      </c>
      <c r="G64" s="3" t="s">
        <v>150</v>
      </c>
      <c r="H64" s="3" t="s">
        <v>8</v>
      </c>
      <c r="I64" s="3" t="s">
        <v>7</v>
      </c>
      <c r="J64" s="3" t="s">
        <v>103</v>
      </c>
      <c r="K64" s="3" t="s">
        <v>141</v>
      </c>
      <c r="L64" s="3" t="s">
        <v>25</v>
      </c>
      <c r="M64">
        <v>1</v>
      </c>
    </row>
    <row r="65" spans="1:13" x14ac:dyDescent="0.25">
      <c r="A65" s="2">
        <v>46188</v>
      </c>
      <c r="B65" s="1" t="str">
        <f ca="1">IF(Información1[[#This Row],[Fecha]]='Ajuste de fechas'!$A$2,"Día actual","Día anterior")</f>
        <v>Día actual</v>
      </c>
      <c r="C65" s="3" t="s">
        <v>136</v>
      </c>
      <c r="D65" t="s">
        <v>137</v>
      </c>
      <c r="E65" s="3" t="s">
        <v>153</v>
      </c>
      <c r="F65" s="3" t="s">
        <v>152</v>
      </c>
      <c r="G65" s="3" t="s">
        <v>45</v>
      </c>
      <c r="H65" s="3" t="s">
        <v>8</v>
      </c>
      <c r="I65" s="3" t="s">
        <v>7</v>
      </c>
      <c r="J65" s="3" t="s">
        <v>103</v>
      </c>
      <c r="K65" s="3" t="s">
        <v>141</v>
      </c>
      <c r="L65" s="3" t="s">
        <v>25</v>
      </c>
      <c r="M65">
        <v>1</v>
      </c>
    </row>
    <row r="66" spans="1:13" x14ac:dyDescent="0.25">
      <c r="A66" s="2">
        <v>46188</v>
      </c>
      <c r="B66" s="1" t="str">
        <f ca="1">IF(Información1[[#This Row],[Fecha]]='Ajuste de fechas'!$A$2,"Día actual","Día anterior")</f>
        <v>Día actual</v>
      </c>
      <c r="C66" s="3" t="s">
        <v>136</v>
      </c>
      <c r="D66" t="s">
        <v>137</v>
      </c>
      <c r="E66" s="3" t="s">
        <v>154</v>
      </c>
      <c r="F66" s="3" t="s">
        <v>152</v>
      </c>
      <c r="G66" s="3" t="s">
        <v>155</v>
      </c>
      <c r="H66" s="3" t="s">
        <v>8</v>
      </c>
      <c r="I66" s="3" t="s">
        <v>15</v>
      </c>
      <c r="J66" s="3" t="s">
        <v>103</v>
      </c>
      <c r="K66" s="3" t="s">
        <v>141</v>
      </c>
      <c r="L66" s="3" t="s">
        <v>25</v>
      </c>
      <c r="M66">
        <v>1</v>
      </c>
    </row>
    <row r="67" spans="1:13" x14ac:dyDescent="0.25">
      <c r="A67" s="2">
        <v>46188</v>
      </c>
      <c r="B67" s="1" t="str">
        <f ca="1">IF(Información1[[#This Row],[Fecha]]='Ajuste de fechas'!$A$2,"Día actual","Día anterior")</f>
        <v>Día actual</v>
      </c>
      <c r="C67" s="3" t="s">
        <v>136</v>
      </c>
      <c r="D67" t="s">
        <v>137</v>
      </c>
      <c r="E67" s="3" t="s">
        <v>156</v>
      </c>
      <c r="F67" s="3" t="s">
        <v>11</v>
      </c>
      <c r="G67" s="3" t="s">
        <v>157</v>
      </c>
      <c r="H67" s="3" t="s">
        <v>8</v>
      </c>
      <c r="I67" s="3" t="s">
        <v>7</v>
      </c>
      <c r="J67" s="3" t="s">
        <v>105</v>
      </c>
      <c r="K67" s="3" t="s">
        <v>141</v>
      </c>
      <c r="L67" s="3" t="s">
        <v>25</v>
      </c>
      <c r="M67">
        <v>1</v>
      </c>
    </row>
    <row r="68" spans="1:13" x14ac:dyDescent="0.25">
      <c r="A68" s="2">
        <v>46188</v>
      </c>
      <c r="B68" s="1" t="str">
        <f ca="1">IF(Información1[[#This Row],[Fecha]]='Ajuste de fechas'!$A$2,"Día actual","Día anterior")</f>
        <v>Día actual</v>
      </c>
      <c r="C68" s="3" t="s">
        <v>136</v>
      </c>
      <c r="D68" t="s">
        <v>137</v>
      </c>
      <c r="E68" s="3" t="s">
        <v>158</v>
      </c>
      <c r="F68" s="3" t="s">
        <v>43</v>
      </c>
      <c r="G68" s="3" t="s">
        <v>159</v>
      </c>
      <c r="H68" s="3" t="s">
        <v>8</v>
      </c>
      <c r="I68" s="3" t="s">
        <v>7</v>
      </c>
      <c r="J68" s="3" t="s">
        <v>103</v>
      </c>
      <c r="K68" s="3" t="s">
        <v>141</v>
      </c>
      <c r="L68" s="3" t="s">
        <v>25</v>
      </c>
      <c r="M68">
        <v>1</v>
      </c>
    </row>
    <row r="69" spans="1:13" x14ac:dyDescent="0.25">
      <c r="A69" s="2">
        <v>46188</v>
      </c>
      <c r="B69" s="1" t="str">
        <f ca="1">IF(Información1[[#This Row],[Fecha]]='Ajuste de fechas'!$A$2,"Día actual","Día anterior")</f>
        <v>Día actual</v>
      </c>
      <c r="C69" s="3" t="s">
        <v>136</v>
      </c>
      <c r="D69" t="s">
        <v>137</v>
      </c>
      <c r="E69" s="3" t="s">
        <v>160</v>
      </c>
      <c r="F69" s="3" t="s">
        <v>11</v>
      </c>
      <c r="G69" s="3" t="s">
        <v>51</v>
      </c>
      <c r="H69" s="3" t="s">
        <v>8</v>
      </c>
      <c r="I69" s="3" t="s">
        <v>7</v>
      </c>
      <c r="J69" s="3" t="s">
        <v>105</v>
      </c>
      <c r="K69" s="3" t="s">
        <v>141</v>
      </c>
      <c r="L69" s="3" t="s">
        <v>25</v>
      </c>
      <c r="M69">
        <v>1</v>
      </c>
    </row>
    <row r="70" spans="1:13" x14ac:dyDescent="0.25">
      <c r="A70" s="2">
        <v>46188</v>
      </c>
      <c r="B70" s="1" t="str">
        <f ca="1">IF(Información1[[#This Row],[Fecha]]='Ajuste de fechas'!$A$2,"Día actual","Día anterior")</f>
        <v>Día actual</v>
      </c>
      <c r="C70" s="3" t="s">
        <v>136</v>
      </c>
      <c r="D70" t="s">
        <v>137</v>
      </c>
      <c r="E70" s="3" t="s">
        <v>161</v>
      </c>
      <c r="F70" s="3" t="s">
        <v>16</v>
      </c>
      <c r="G70" s="3" t="s">
        <v>162</v>
      </c>
      <c r="H70" s="3" t="s">
        <v>8</v>
      </c>
      <c r="I70" s="3" t="s">
        <v>7</v>
      </c>
      <c r="J70" s="3" t="s">
        <v>103</v>
      </c>
      <c r="K70" s="3" t="s">
        <v>141</v>
      </c>
      <c r="L70" s="3" t="s">
        <v>25</v>
      </c>
      <c r="M70">
        <v>1</v>
      </c>
    </row>
    <row r="71" spans="1:13" x14ac:dyDescent="0.25">
      <c r="A71" s="2">
        <v>46188</v>
      </c>
      <c r="B71" s="1" t="str">
        <f ca="1">IF(Información1[[#This Row],[Fecha]]='Ajuste de fechas'!$A$2,"Día actual","Día anterior")</f>
        <v>Día actual</v>
      </c>
      <c r="C71" s="3" t="s">
        <v>136</v>
      </c>
      <c r="D71" t="s">
        <v>137</v>
      </c>
      <c r="E71" s="3" t="s">
        <v>163</v>
      </c>
      <c r="F71" s="3" t="s">
        <v>164</v>
      </c>
      <c r="G71" s="3" t="s">
        <v>165</v>
      </c>
      <c r="H71" s="3" t="s">
        <v>8</v>
      </c>
      <c r="I71" s="3" t="s">
        <v>7</v>
      </c>
      <c r="J71" s="3" t="s">
        <v>14</v>
      </c>
      <c r="K71" s="3" t="s">
        <v>141</v>
      </c>
      <c r="L71" s="3" t="s">
        <v>25</v>
      </c>
      <c r="M71">
        <v>1</v>
      </c>
    </row>
    <row r="72" spans="1:13" x14ac:dyDescent="0.25">
      <c r="A72" s="2">
        <v>46188</v>
      </c>
      <c r="B72" s="1" t="str">
        <f ca="1">IF(Información1[[#This Row],[Fecha]]='Ajuste de fechas'!$A$2,"Día actual","Día anterior")</f>
        <v>Día actual</v>
      </c>
      <c r="C72" s="3" t="s">
        <v>136</v>
      </c>
      <c r="D72" t="s">
        <v>137</v>
      </c>
      <c r="E72" s="3" t="s">
        <v>166</v>
      </c>
      <c r="F72" s="3" t="s">
        <v>123</v>
      </c>
      <c r="G72" s="3" t="s">
        <v>167</v>
      </c>
      <c r="H72" s="3" t="s">
        <v>8</v>
      </c>
      <c r="I72" s="3" t="s">
        <v>7</v>
      </c>
      <c r="J72" s="3" t="s">
        <v>103</v>
      </c>
      <c r="K72" s="3" t="s">
        <v>141</v>
      </c>
      <c r="L72" s="3" t="s">
        <v>27</v>
      </c>
      <c r="M72">
        <v>1</v>
      </c>
    </row>
    <row r="73" spans="1:13" x14ac:dyDescent="0.25">
      <c r="A73" s="2">
        <v>46188</v>
      </c>
      <c r="B73" s="1" t="str">
        <f ca="1">IF(Información1[[#This Row],[Fecha]]='Ajuste de fechas'!$A$2,"Día actual","Día anterior")</f>
        <v>Día actual</v>
      </c>
      <c r="C73" s="3" t="s">
        <v>136</v>
      </c>
      <c r="D73" t="s">
        <v>137</v>
      </c>
      <c r="E73" s="3" t="s">
        <v>168</v>
      </c>
      <c r="F73" s="3" t="s">
        <v>11</v>
      </c>
      <c r="G73" s="3" t="s">
        <v>169</v>
      </c>
      <c r="H73" s="3" t="s">
        <v>8</v>
      </c>
      <c r="I73" s="3" t="s">
        <v>7</v>
      </c>
      <c r="J73" s="3" t="s">
        <v>105</v>
      </c>
      <c r="K73" s="3" t="s">
        <v>141</v>
      </c>
      <c r="L73" s="3" t="s">
        <v>25</v>
      </c>
      <c r="M73">
        <v>1</v>
      </c>
    </row>
    <row r="74" spans="1:13" x14ac:dyDescent="0.25">
      <c r="A74" s="2">
        <v>46188</v>
      </c>
      <c r="B74" s="1" t="str">
        <f ca="1">IF(Información1[[#This Row],[Fecha]]='Ajuste de fechas'!$A$2,"Día actual","Día anterior")</f>
        <v>Día actual</v>
      </c>
      <c r="C74" s="3" t="s">
        <v>136</v>
      </c>
      <c r="D74" t="s">
        <v>137</v>
      </c>
      <c r="E74" s="3" t="s">
        <v>170</v>
      </c>
      <c r="F74" s="3" t="s">
        <v>11</v>
      </c>
      <c r="G74" s="3" t="s">
        <v>51</v>
      </c>
      <c r="H74" s="3" t="s">
        <v>8</v>
      </c>
      <c r="I74" s="3" t="s">
        <v>7</v>
      </c>
      <c r="J74" s="3" t="s">
        <v>105</v>
      </c>
      <c r="K74" s="3" t="s">
        <v>141</v>
      </c>
      <c r="L74" s="3" t="s">
        <v>25</v>
      </c>
      <c r="M74">
        <v>1</v>
      </c>
    </row>
    <row r="75" spans="1:13" x14ac:dyDescent="0.25">
      <c r="A75" s="2">
        <v>46188</v>
      </c>
      <c r="B75" s="1" t="str">
        <f ca="1">IF(Información1[[#This Row],[Fecha]]='Ajuste de fechas'!$A$2,"Día actual","Día anterior")</f>
        <v>Día actual</v>
      </c>
      <c r="C75" s="3" t="s">
        <v>136</v>
      </c>
      <c r="D75" t="s">
        <v>137</v>
      </c>
      <c r="E75" s="3" t="s">
        <v>171</v>
      </c>
      <c r="F75" s="3" t="s">
        <v>12</v>
      </c>
      <c r="G75" s="3" t="s">
        <v>92</v>
      </c>
      <c r="H75" s="3" t="s">
        <v>8</v>
      </c>
      <c r="I75" s="3" t="s">
        <v>7</v>
      </c>
      <c r="J75" s="3" t="s">
        <v>104</v>
      </c>
      <c r="K75" s="3" t="s">
        <v>141</v>
      </c>
      <c r="L75" s="3" t="s">
        <v>25</v>
      </c>
      <c r="M75">
        <v>1</v>
      </c>
    </row>
    <row r="76" spans="1:13" x14ac:dyDescent="0.25">
      <c r="A76" s="2">
        <v>46188</v>
      </c>
      <c r="B76" s="1" t="str">
        <f ca="1">IF(Información1[[#This Row],[Fecha]]='Ajuste de fechas'!$A$2,"Día actual","Día anterior")</f>
        <v>Día actual</v>
      </c>
      <c r="C76" s="3" t="s">
        <v>136</v>
      </c>
      <c r="D76" t="s">
        <v>137</v>
      </c>
      <c r="E76" s="3" t="s">
        <v>172</v>
      </c>
      <c r="F76" s="3" t="s">
        <v>10</v>
      </c>
      <c r="G76" s="3" t="s">
        <v>51</v>
      </c>
      <c r="H76" s="3" t="s">
        <v>8</v>
      </c>
      <c r="I76" s="3" t="s">
        <v>7</v>
      </c>
      <c r="J76" s="3" t="s">
        <v>103</v>
      </c>
      <c r="K76" s="3" t="s">
        <v>141</v>
      </c>
      <c r="L76" s="3" t="s">
        <v>25</v>
      </c>
      <c r="M76">
        <v>1</v>
      </c>
    </row>
    <row r="77" spans="1:13" x14ac:dyDescent="0.25">
      <c r="A77" s="2">
        <v>46188</v>
      </c>
      <c r="B77" s="1" t="str">
        <f ca="1">IF(Información1[[#This Row],[Fecha]]='Ajuste de fechas'!$A$2,"Día actual","Día anterior")</f>
        <v>Día actual</v>
      </c>
      <c r="C77" s="3" t="s">
        <v>136</v>
      </c>
      <c r="D77" t="s">
        <v>137</v>
      </c>
      <c r="E77" s="3" t="s">
        <v>173</v>
      </c>
      <c r="F77" s="3" t="s">
        <v>11</v>
      </c>
      <c r="G77" s="3" t="s">
        <v>174</v>
      </c>
      <c r="H77" s="3" t="s">
        <v>8</v>
      </c>
      <c r="I77" s="3" t="s">
        <v>7</v>
      </c>
      <c r="J77" s="3" t="s">
        <v>105</v>
      </c>
      <c r="K77" s="3" t="s">
        <v>141</v>
      </c>
      <c r="L77" s="3" t="s">
        <v>25</v>
      </c>
      <c r="M77">
        <v>1</v>
      </c>
    </row>
    <row r="78" spans="1:13" x14ac:dyDescent="0.25">
      <c r="A78" s="2">
        <v>46188</v>
      </c>
      <c r="B78" s="1" t="str">
        <f ca="1">IF(Información1[[#This Row],[Fecha]]='Ajuste de fechas'!$A$2,"Día actual","Día anterior")</f>
        <v>Día actual</v>
      </c>
      <c r="C78" s="3" t="s">
        <v>175</v>
      </c>
      <c r="D78" t="s">
        <v>176</v>
      </c>
      <c r="E78" s="3" t="s">
        <v>177</v>
      </c>
      <c r="F78" s="3" t="s">
        <v>178</v>
      </c>
      <c r="G78" s="3" t="s">
        <v>179</v>
      </c>
      <c r="H78" s="3" t="s">
        <v>128</v>
      </c>
      <c r="I78" s="3" t="s">
        <v>15</v>
      </c>
      <c r="J78" s="3" t="s">
        <v>147</v>
      </c>
      <c r="K78" s="3" t="s">
        <v>180</v>
      </c>
      <c r="L78" s="3" t="s">
        <v>26</v>
      </c>
      <c r="M78">
        <v>1</v>
      </c>
    </row>
    <row r="79" spans="1:13" x14ac:dyDescent="0.25">
      <c r="A79" s="2">
        <v>46188</v>
      </c>
      <c r="B79" s="1" t="str">
        <f ca="1">IF(Información1[[#This Row],[Fecha]]='Ajuste de fechas'!$A$2,"Día actual","Día anterior")</f>
        <v>Día actual</v>
      </c>
      <c r="C79" s="3" t="s">
        <v>175</v>
      </c>
      <c r="D79" t="s">
        <v>176</v>
      </c>
      <c r="E79" s="3" t="s">
        <v>181</v>
      </c>
      <c r="F79" s="3" t="s">
        <v>145</v>
      </c>
      <c r="G79" s="3" t="s">
        <v>182</v>
      </c>
      <c r="H79" s="3" t="s">
        <v>128</v>
      </c>
      <c r="I79" s="3" t="s">
        <v>7</v>
      </c>
      <c r="J79" s="3" t="s">
        <v>147</v>
      </c>
      <c r="K79" s="3" t="s">
        <v>180</v>
      </c>
      <c r="L79" s="3" t="s">
        <v>26</v>
      </c>
      <c r="M79">
        <v>1</v>
      </c>
    </row>
    <row r="80" spans="1:13" x14ac:dyDescent="0.25">
      <c r="A80" s="2">
        <v>46188</v>
      </c>
      <c r="B80" s="1" t="str">
        <f ca="1">IF(Información1[[#This Row],[Fecha]]='Ajuste de fechas'!$A$2,"Día actual","Día anterior")</f>
        <v>Día actual</v>
      </c>
      <c r="C80" s="3" t="s">
        <v>175</v>
      </c>
      <c r="D80" t="s">
        <v>176</v>
      </c>
      <c r="E80" s="3" t="s">
        <v>117</v>
      </c>
      <c r="F80" s="3" t="s">
        <v>118</v>
      </c>
      <c r="G80" s="3" t="s">
        <v>119</v>
      </c>
      <c r="H80" s="3" t="s">
        <v>128</v>
      </c>
      <c r="I80" s="3" t="s">
        <v>7</v>
      </c>
      <c r="J80" s="3" t="s">
        <v>103</v>
      </c>
      <c r="K80" s="3" t="s">
        <v>180</v>
      </c>
      <c r="L80" s="3" t="s">
        <v>27</v>
      </c>
      <c r="M80">
        <v>1</v>
      </c>
    </row>
    <row r="81" spans="1:13" x14ac:dyDescent="0.25">
      <c r="A81" s="2">
        <v>46188</v>
      </c>
      <c r="B81" s="1" t="str">
        <f ca="1">IF(Información1[[#This Row],[Fecha]]='Ajuste de fechas'!$A$2,"Día actual","Día anterior")</f>
        <v>Día actual</v>
      </c>
      <c r="C81" s="3" t="s">
        <v>175</v>
      </c>
      <c r="D81" t="s">
        <v>176</v>
      </c>
      <c r="E81" s="3" t="s">
        <v>120</v>
      </c>
      <c r="F81" s="3" t="s">
        <v>39</v>
      </c>
      <c r="G81" s="3" t="s">
        <v>44</v>
      </c>
      <c r="H81" s="3" t="s">
        <v>128</v>
      </c>
      <c r="I81" s="3" t="s">
        <v>7</v>
      </c>
      <c r="J81" s="3" t="s">
        <v>103</v>
      </c>
      <c r="K81" s="3" t="s">
        <v>180</v>
      </c>
      <c r="L81" s="3" t="s">
        <v>27</v>
      </c>
      <c r="M81">
        <v>1</v>
      </c>
    </row>
    <row r="82" spans="1:13" x14ac:dyDescent="0.25">
      <c r="A82" s="2">
        <v>46188</v>
      </c>
      <c r="B82" s="1" t="str">
        <f ca="1">IF(Información1[[#This Row],[Fecha]]='Ajuste de fechas'!$A$2,"Día actual","Día anterior")</f>
        <v>Día actual</v>
      </c>
      <c r="C82" s="3" t="s">
        <v>175</v>
      </c>
      <c r="D82" t="s">
        <v>176</v>
      </c>
      <c r="E82" s="3" t="s">
        <v>122</v>
      </c>
      <c r="F82" s="3" t="s">
        <v>123</v>
      </c>
      <c r="G82" s="3" t="s">
        <v>124</v>
      </c>
      <c r="H82" s="3" t="s">
        <v>128</v>
      </c>
      <c r="I82" s="3" t="s">
        <v>7</v>
      </c>
      <c r="J82" s="3" t="s">
        <v>103</v>
      </c>
      <c r="K82" s="3" t="s">
        <v>180</v>
      </c>
      <c r="L82" s="3" t="s">
        <v>27</v>
      </c>
      <c r="M82">
        <v>1</v>
      </c>
    </row>
    <row r="83" spans="1:13" x14ac:dyDescent="0.25">
      <c r="A83" s="2">
        <v>46188</v>
      </c>
      <c r="B83" s="1" t="str">
        <f ca="1">IF(Información1[[#This Row],[Fecha]]='Ajuste de fechas'!$A$2,"Día actual","Día anterior")</f>
        <v>Día actual</v>
      </c>
      <c r="C83" s="3" t="s">
        <v>175</v>
      </c>
      <c r="D83" t="s">
        <v>176</v>
      </c>
      <c r="E83" s="3" t="s">
        <v>183</v>
      </c>
      <c r="F83" s="3" t="s">
        <v>145</v>
      </c>
      <c r="G83" s="3" t="s">
        <v>146</v>
      </c>
      <c r="H83" s="3" t="s">
        <v>128</v>
      </c>
      <c r="I83" s="3" t="s">
        <v>7</v>
      </c>
      <c r="J83" s="3" t="s">
        <v>147</v>
      </c>
      <c r="K83" s="3" t="s">
        <v>180</v>
      </c>
      <c r="L83" s="3" t="s">
        <v>25</v>
      </c>
      <c r="M83">
        <v>1</v>
      </c>
    </row>
    <row r="84" spans="1:13" x14ac:dyDescent="0.25">
      <c r="A84" s="2">
        <v>46188</v>
      </c>
      <c r="B84" s="1" t="str">
        <f ca="1">IF(Información1[[#This Row],[Fecha]]='Ajuste de fechas'!$A$2,"Día actual","Día anterior")</f>
        <v>Día actual</v>
      </c>
      <c r="C84" s="3" t="s">
        <v>175</v>
      </c>
      <c r="D84" t="s">
        <v>176</v>
      </c>
      <c r="E84" s="3" t="s">
        <v>184</v>
      </c>
      <c r="F84" s="3" t="s">
        <v>18</v>
      </c>
      <c r="G84" s="3" t="s">
        <v>185</v>
      </c>
      <c r="H84" s="3" t="s">
        <v>128</v>
      </c>
      <c r="I84" s="3" t="s">
        <v>7</v>
      </c>
      <c r="J84" s="3" t="s">
        <v>103</v>
      </c>
      <c r="K84" s="3" t="s">
        <v>180</v>
      </c>
      <c r="L84" s="3" t="s">
        <v>27</v>
      </c>
      <c r="M84">
        <v>1</v>
      </c>
    </row>
    <row r="85" spans="1:13" x14ac:dyDescent="0.25">
      <c r="A85" s="2">
        <v>46188</v>
      </c>
      <c r="B85" s="1" t="str">
        <f ca="1">IF(Información1[[#This Row],[Fecha]]='Ajuste de fechas'!$A$2,"Día actual","Día anterior")</f>
        <v>Día actual</v>
      </c>
      <c r="C85" s="3" t="s">
        <v>175</v>
      </c>
      <c r="D85" t="s">
        <v>176</v>
      </c>
      <c r="E85" s="3" t="s">
        <v>186</v>
      </c>
      <c r="F85" s="3" t="s">
        <v>10</v>
      </c>
      <c r="G85" s="3" t="s">
        <v>187</v>
      </c>
      <c r="H85" s="3" t="s">
        <v>128</v>
      </c>
      <c r="I85" s="3" t="s">
        <v>7</v>
      </c>
      <c r="J85" s="3" t="s">
        <v>103</v>
      </c>
      <c r="K85" s="3" t="s">
        <v>180</v>
      </c>
      <c r="L85" s="3" t="s">
        <v>27</v>
      </c>
      <c r="M85">
        <v>1</v>
      </c>
    </row>
    <row r="86" spans="1:13" x14ac:dyDescent="0.25">
      <c r="A86" s="2">
        <v>46188</v>
      </c>
      <c r="B86" s="1" t="str">
        <f ca="1">IF(Información1[[#This Row],[Fecha]]='Ajuste de fechas'!$A$2,"Día actual","Día anterior")</f>
        <v>Día actual</v>
      </c>
      <c r="C86" s="3" t="s">
        <v>175</v>
      </c>
      <c r="D86" t="s">
        <v>176</v>
      </c>
      <c r="E86" s="3" t="s">
        <v>188</v>
      </c>
      <c r="F86" s="3" t="s">
        <v>16</v>
      </c>
      <c r="G86" s="3" t="s">
        <v>189</v>
      </c>
      <c r="H86" s="3" t="s">
        <v>128</v>
      </c>
      <c r="I86" s="3" t="s">
        <v>7</v>
      </c>
      <c r="J86" s="3" t="s">
        <v>103</v>
      </c>
      <c r="K86" s="3" t="s">
        <v>180</v>
      </c>
      <c r="L86" s="3" t="s">
        <v>25</v>
      </c>
      <c r="M86">
        <v>1</v>
      </c>
    </row>
    <row r="87" spans="1:13" x14ac:dyDescent="0.25">
      <c r="A87" s="2">
        <v>46188</v>
      </c>
      <c r="B87" s="1" t="str">
        <f ca="1">IF(Información1[[#This Row],[Fecha]]='Ajuste de fechas'!$A$2,"Día actual","Día anterior")</f>
        <v>Día actual</v>
      </c>
      <c r="C87" s="3" t="s">
        <v>175</v>
      </c>
      <c r="D87" t="s">
        <v>176</v>
      </c>
      <c r="E87" s="3" t="s">
        <v>190</v>
      </c>
      <c r="F87" s="3" t="s">
        <v>16</v>
      </c>
      <c r="G87" s="3" t="s">
        <v>54</v>
      </c>
      <c r="H87" s="3" t="s">
        <v>128</v>
      </c>
      <c r="I87" s="3" t="s">
        <v>7</v>
      </c>
      <c r="J87" s="3" t="s">
        <v>103</v>
      </c>
      <c r="K87" s="3" t="s">
        <v>180</v>
      </c>
      <c r="L87" s="3" t="s">
        <v>27</v>
      </c>
      <c r="M87">
        <v>1</v>
      </c>
    </row>
    <row r="88" spans="1:13" x14ac:dyDescent="0.25">
      <c r="A88" s="2">
        <v>46188</v>
      </c>
      <c r="B88" s="1" t="str">
        <f ca="1">IF(Información1[[#This Row],[Fecha]]='Ajuste de fechas'!$A$2,"Día actual","Día anterior")</f>
        <v>Día actual</v>
      </c>
      <c r="C88" s="3" t="s">
        <v>175</v>
      </c>
      <c r="D88" t="s">
        <v>176</v>
      </c>
      <c r="E88" s="3" t="s">
        <v>191</v>
      </c>
      <c r="F88" s="3" t="s">
        <v>11</v>
      </c>
      <c r="G88" s="3" t="s">
        <v>192</v>
      </c>
      <c r="H88" s="3" t="s">
        <v>128</v>
      </c>
      <c r="I88" s="3" t="s">
        <v>15</v>
      </c>
      <c r="J88" s="3" t="s">
        <v>105</v>
      </c>
      <c r="K88" s="3" t="s">
        <v>180</v>
      </c>
      <c r="L88" s="3" t="s">
        <v>25</v>
      </c>
      <c r="M88">
        <v>1</v>
      </c>
    </row>
    <row r="89" spans="1:13" x14ac:dyDescent="0.25">
      <c r="A89" s="2">
        <v>46188</v>
      </c>
      <c r="B89" s="1" t="str">
        <f ca="1">IF(Información1[[#This Row],[Fecha]]='Ajuste de fechas'!$A$2,"Día actual","Día anterior")</f>
        <v>Día actual</v>
      </c>
      <c r="C89" s="3" t="s">
        <v>175</v>
      </c>
      <c r="D89" t="s">
        <v>176</v>
      </c>
      <c r="E89" s="3" t="s">
        <v>193</v>
      </c>
      <c r="F89" s="3" t="s">
        <v>11</v>
      </c>
      <c r="G89" s="3" t="s">
        <v>194</v>
      </c>
      <c r="H89" s="3" t="s">
        <v>128</v>
      </c>
      <c r="I89" s="3" t="s">
        <v>7</v>
      </c>
      <c r="J89" s="3" t="s">
        <v>105</v>
      </c>
      <c r="K89" s="3" t="s">
        <v>180</v>
      </c>
      <c r="L89" s="3" t="s">
        <v>25</v>
      </c>
      <c r="M89">
        <v>1</v>
      </c>
    </row>
    <row r="90" spans="1:13" x14ac:dyDescent="0.25">
      <c r="A90" s="2">
        <v>46188</v>
      </c>
      <c r="B90" s="1" t="str">
        <f ca="1">IF(Información1[[#This Row],[Fecha]]='Ajuste de fechas'!$A$2,"Día actual","Día anterior")</f>
        <v>Día actual</v>
      </c>
      <c r="C90" s="3" t="s">
        <v>175</v>
      </c>
      <c r="D90" t="s">
        <v>176</v>
      </c>
      <c r="E90" s="3" t="s">
        <v>195</v>
      </c>
      <c r="F90" s="3" t="s">
        <v>152</v>
      </c>
      <c r="G90" s="3" t="s">
        <v>155</v>
      </c>
      <c r="H90" s="3" t="s">
        <v>128</v>
      </c>
      <c r="I90" s="3" t="s">
        <v>15</v>
      </c>
      <c r="J90" s="3" t="s">
        <v>103</v>
      </c>
      <c r="K90" s="3" t="s">
        <v>180</v>
      </c>
      <c r="L90" s="3" t="s">
        <v>25</v>
      </c>
      <c r="M90">
        <v>1</v>
      </c>
    </row>
    <row r="91" spans="1:13" x14ac:dyDescent="0.25">
      <c r="A91" s="2">
        <v>46188</v>
      </c>
      <c r="B91" s="1" t="str">
        <f ca="1">IF(Información1[[#This Row],[Fecha]]='Ajuste de fechas'!$A$2,"Día actual","Día anterior")</f>
        <v>Día actual</v>
      </c>
      <c r="C91" s="3" t="s">
        <v>175</v>
      </c>
      <c r="D91" t="s">
        <v>176</v>
      </c>
      <c r="E91" s="3" t="s">
        <v>196</v>
      </c>
      <c r="F91" s="3" t="s">
        <v>10</v>
      </c>
      <c r="G91" s="3" t="s">
        <v>197</v>
      </c>
      <c r="H91" s="3" t="s">
        <v>128</v>
      </c>
      <c r="I91" s="3" t="s">
        <v>15</v>
      </c>
      <c r="J91" s="3" t="s">
        <v>103</v>
      </c>
      <c r="K91" s="3" t="s">
        <v>180</v>
      </c>
      <c r="L91" s="3" t="s">
        <v>26</v>
      </c>
      <c r="M91">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29</v>
      </c>
      <c r="B1" t="s">
        <v>30</v>
      </c>
    </row>
    <row r="2" spans="1:2" x14ac:dyDescent="0.25">
      <c r="A2" s="2">
        <f ca="1">TODAY()</f>
        <v>46188</v>
      </c>
      <c r="B2" s="2">
        <f ca="1">A2-1</f>
        <v>46187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2026-06-16T00:36:53Z</dcterms:modified>
</cp:coreProperties>
</file>