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CE99B1F9-2148-489C-8C73-25BF38C327F7}"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Radio!$A$1:$M$166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81" i="2"/>
  <c r="B84" i="2"/>
  <c r="B126" i="2"/>
  <c r="B129" i="2"/>
  <c r="B132" i="2"/>
  <c r="B135" i="2"/>
  <c r="B138" i="2"/>
  <c r="B141" i="2"/>
  <c r="B143" i="2"/>
  <c r="B147" i="2"/>
  <c r="B150" i="2"/>
  <c r="B153" i="2"/>
  <c r="B156" i="2"/>
  <c r="B159" i="2"/>
  <c r="B162" i="2"/>
  <c r="B165"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2" i="2"/>
  <c r="B83" i="2"/>
  <c r="B125" i="2"/>
  <c r="B128" i="2"/>
  <c r="B131" i="2"/>
  <c r="B134" i="2"/>
  <c r="B136" i="2"/>
  <c r="B140" i="2"/>
  <c r="B144" i="2"/>
  <c r="B146" i="2"/>
  <c r="B149" i="2"/>
  <c r="B152" i="2"/>
  <c r="B154" i="2"/>
  <c r="B157" i="2"/>
  <c r="B160" i="2"/>
  <c r="B163" i="2"/>
  <c r="B166"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7" i="2"/>
  <c r="B130" i="2"/>
  <c r="B133" i="2"/>
  <c r="B137" i="2"/>
  <c r="B139" i="2"/>
  <c r="B142" i="2"/>
  <c r="B145" i="2"/>
  <c r="B148" i="2"/>
  <c r="B151" i="2"/>
  <c r="B155" i="2"/>
  <c r="B158" i="2"/>
  <c r="B161" i="2"/>
  <c r="B164"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<sst xmlns="http://schemas.openxmlformats.org/spreadsheetml/2006/main" count="1664" uniqueCount="311">
  <si>
    <t>Fecha</t>
  </si>
  <si>
    <t>Titular</t>
  </si>
  <si>
    <t>Dependencia</t>
  </si>
  <si>
    <t>Canal</t>
  </si>
  <si>
    <t>Tema</t>
  </si>
  <si>
    <t>Estatus</t>
  </si>
  <si>
    <t>Sipdus</t>
  </si>
  <si>
    <t>Informativa</t>
  </si>
  <si>
    <t>Acir 92.5 FM</t>
  </si>
  <si>
    <t>Panorama Informativo Pachuca</t>
  </si>
  <si>
    <t>Positiva</t>
  </si>
  <si>
    <t>Eulalio Larrieta</t>
  </si>
  <si>
    <t>Semot</t>
  </si>
  <si>
    <t>Ayuntamiento</t>
  </si>
  <si>
    <t>SEPH</t>
  </si>
  <si>
    <t>Presidencia</t>
  </si>
  <si>
    <t>Otros</t>
  </si>
  <si>
    <t>Negativa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</si>
  <si>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</si>
  <si>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</si>
  <si>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</si>
  <si>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</si>
  <si>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</si>
  <si>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</si>
  <si>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</si>
  <si>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</si>
  <si>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</si>
  <si>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</si>
  <si>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</si>
  <si>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</si>
  <si>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</si>
  <si>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</si>
  <si>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</si>
  <si>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Congreso</t>
  </si>
  <si>
    <t>Entrevista</t>
  </si>
  <si>
    <t>Segobh</t>
  </si>
  <si>
    <t>SSH</t>
  </si>
  <si>
    <t>RADIO LOCAL</t>
  </si>
  <si>
    <t>NQ 90.1 FM</t>
  </si>
  <si>
    <t>Enlace Hidalgo1</t>
  </si>
  <si>
    <t>Jesús Riveros</t>
  </si>
  <si>
    <t>Juan Carlos Santamaría</t>
  </si>
  <si>
    <t>PGJEH</t>
  </si>
  <si>
    <t>Enlace Hidalgo2</t>
  </si>
  <si>
    <t>Radioescucha</t>
  </si>
  <si>
    <t>Bienestar</t>
  </si>
  <si>
    <t>Planeación</t>
  </si>
  <si>
    <t>Ke Buena 106.7 FM</t>
  </si>
  <si>
    <t>Noticias 106.7</t>
  </si>
  <si>
    <t>David Cárdenas</t>
  </si>
  <si>
    <t>Detención</t>
  </si>
  <si>
    <t>Canal del Pueblo</t>
  </si>
  <si>
    <t>Vocales Radio</t>
  </si>
  <si>
    <t>Morena</t>
  </si>
  <si>
    <t>TV LOCAL</t>
  </si>
  <si>
    <t>Partidos</t>
  </si>
  <si>
    <t>Aldo Falcón</t>
  </si>
  <si>
    <t>Andrés Torres</t>
  </si>
  <si>
    <t>Candidaturas</t>
  </si>
  <si>
    <t>Ultra 102.9 FM</t>
  </si>
  <si>
    <t>Ultra Noticias1</t>
  </si>
  <si>
    <t>Daniel Martínez</t>
  </si>
  <si>
    <t>Auxilio a la ciudadanía</t>
  </si>
  <si>
    <t>Radio Lobo 96.7 FM</t>
  </si>
  <si>
    <t>Enlace Noticias</t>
  </si>
  <si>
    <t>Gina Lorenzo</t>
  </si>
  <si>
    <t>Abner Yáñez</t>
  </si>
  <si>
    <t>Participación</t>
  </si>
  <si>
    <t>Combate Al Narcomenudeo</t>
  </si>
  <si>
    <t>Afectaciones Por Lluvias</t>
  </si>
  <si>
    <t>Enfoque Regional Meridiano</t>
  </si>
  <si>
    <t>Jesús González</t>
  </si>
  <si>
    <t>DIFH</t>
  </si>
  <si>
    <t>Abasto de agua</t>
  </si>
  <si>
    <t>Eulalio Larrieta agradece Hans Islas del ayuntamiento de Mineral de la Reforma , por su apoyo en pasar los reportes.</t>
  </si>
  <si>
    <t>Atención Ciudadana</t>
  </si>
  <si>
    <t>Eulalio Larrieta informa que Jorge Hernández del ayuntamiento de Pachuca, esta al pendiente de todos los reportes de la ciudadania del Municipio de Pachuca</t>
  </si>
  <si>
    <t>Eulalio Larrieta agradece a Carlos Gamiño por estar al pendiente de temas.</t>
  </si>
  <si>
    <t>Eulalio Larrieta agradece Paola García y Lic. Sarahi Pineda, por estar atentas a los mensajes de la ciudadanía y por atenderlos.</t>
  </si>
  <si>
    <t>Vía telefónica el reporte de Bombero y Protección Civil con Abner Yáñez informa de las diversas emergencias reportadas por la ciudadanía y que fueron atendidas. Asimismo, señala que las fiestas patrias dejaron saldo blanco en el municipio.</t>
  </si>
  <si>
    <t>Prevención De Riesgos</t>
  </si>
  <si>
    <t>Plan Nacional De Vivienda</t>
  </si>
  <si>
    <t>Localización de cuerpo</t>
  </si>
  <si>
    <t>Equipamiento médico</t>
  </si>
  <si>
    <t>Capacitación</t>
  </si>
  <si>
    <t>Suspensión De Clases</t>
  </si>
  <si>
    <t>Salud Mental</t>
  </si>
  <si>
    <t>Atención Afectaciones Por Lluvias</t>
  </si>
  <si>
    <t>Alerta Meteorológica</t>
  </si>
  <si>
    <t>Jessenia Romero</t>
  </si>
  <si>
    <t>Control de incendio</t>
  </si>
  <si>
    <t>SSPH</t>
  </si>
  <si>
    <t>Resolución de investigaciones</t>
  </si>
  <si>
    <t>Bachillerato Nacional</t>
  </si>
  <si>
    <t>Gobernador</t>
  </si>
  <si>
    <t>Apps de transporte</t>
  </si>
  <si>
    <t>Regulación de dispositivos digitales</t>
  </si>
  <si>
    <t>Proceso electoral</t>
  </si>
  <si>
    <t>Súper Stéreo 100.5 FM</t>
  </si>
  <si>
    <t>Eulalio Larrieta agradece a Cristian Yahir Castañeda supervisor de la región Pachuca quien nos va atender los reportes que correspondan a la SEMOT</t>
  </si>
  <si>
    <t>Cruz Azul</t>
  </si>
  <si>
    <t>Limpieza Urbana</t>
  </si>
  <si>
    <t>Protesta de docentes</t>
  </si>
  <si>
    <t>Toma de protesta</t>
  </si>
  <si>
    <t>Radiodifusoras</t>
  </si>
  <si>
    <t>Queja padres de familia</t>
  </si>
  <si>
    <t>Conflicto por predio</t>
  </si>
  <si>
    <t>Mal Desempeño</t>
  </si>
  <si>
    <t>Se dieron a conocer los nombres de los aspirantes de Morena para encabezar los siete distritos federales en Hidalgo de cara a las próximas elecciones, figurando diversos exfuncionarios, alcaldes y legisladores que buscan contender u obtener la reelección en el Congreso de la Unión.</t>
  </si>
  <si>
    <t>Aspirantes</t>
  </si>
  <si>
    <t>El gobernador del estado de Hidalgo, Julio Menchaca, confirmó más renuncias de funcionarios estatales de cara a las elecciones de 2027. Aunque el mandatario no precisó los nombres, especificó que corresponden a subsecretarios. Hasta ahora, la única salida oficial es la de Miguel Tello Vargas tras su renuncia, y Onésimo Rodrigo Serrano Rivera será el encargado provisional de la Unidad de Planeación y Prospectiva, por lo que participará en la comparecencia ante el Congreso local. Asimismo, se compartió que Onésimo Rodrigo Serrano Rivera cuenta con experiencia previa en otras administraciones estatales.</t>
  </si>
  <si>
    <t>Cambios En El Gabinete</t>
  </si>
  <si>
    <t>La mañana de este miércoles, inspectores del Sistema Integrado de Transporte Masivo de Hidalgo (SITMA) fueron agredidos física y verbalmente —además de recibir un líquido hirviente— por el conductor de un vehículo particular en el exterior de la estación San Antonio, luego de que el personal interviniera a un motociclista por circular en el carril confinado. El organismo inició la carpeta de investigación correspondiente ante las autoridades competentes y exhortó a la ciudadanía a respetar el reglamento de tránsito y el carril exclusivo.</t>
  </si>
  <si>
    <t>Agresión a servidor público</t>
  </si>
  <si>
    <t>La Instancia Municipal para el Desarrollo de las Mujeres y la Dirección de Seguridad Pública de Cuautepec de Hinojosa llevaron a cabo la sesión de contención emocional "Cuidar a quien me cuida", dirigida a 18 elementos policiales para fortalecer su salud mental, autocuidado y manejo del estrés. La capacitación fue impartida por especialistas del Instituto Hidalguense de las Mujeres con el respaldo del alcalde Jorge Hernández Araus, buscando consolidar esquemas de apoyo psicológico permanente para los cuerpos de seguridad.</t>
  </si>
  <si>
    <t>Se emite una Alerta Amber por la desaparición del menor Pablo Alexander López Martínez, de 10 años de edad, visto por última vez el 5 de octubre de 2026 en Cuautepec, relacionándose con los casos de Guadalupe Yarel y Luz Yaretsi. El niño mide 1.20 metros, pesa 32 kg, tiene cabello corto y lacio de color castaño oscuro, y ojos cafés claro. Se proporciona el número telefónico 800 008 5400 para reportar cualquier información sobre su paradero.</t>
  </si>
  <si>
    <t>Alerta Amber</t>
  </si>
  <si>
    <t>Se emite una Alerta Amber por la desaparición de la menor Luz Yaretsi Hernández López, de 3 años de edad, vista por última vez el 5 de octubre de 2026 en Cuautepec de Hinojosa. La niña mide 90 cm, pesa 16 kg, tiene cabello largo ondulado y castaño claro, y ojos cafés claro; al momento de los hechos presuntamente iba acompañada por Guadalupe Yarel López Martínez. Se habilitó la línea telefónica 800 008 5400 para recibir cualquier información que ayude a dar con su paradero.</t>
  </si>
  <si>
    <t>Se comparte una ficha de búsqueda por el extravío de Guadalupe Yarel López Martínez, de 30 años de edad, vista por última vez el 5 de octubre en Cuautepec de Hinojosa. La persona desaparecida mide 1.55 metros, es de complexión delgada, cabello largo, lacio y negro, ojos café claro, y al momento de su desaparición vestía chamarra, mayón y tenis negros.</t>
  </si>
  <si>
    <t>Ficha De Búsqueda</t>
  </si>
  <si>
    <t>Una bodega ubicada en la colonia Rojo Gómez se incendió este miércoles, provocando una fuerte movilización de cuerpos de emergencia y una columna de humo visible desde diferentes puntos de Tulancingo. Los primeros reportes indican que dentro del inmueble habría llantas y materiales de desecho, mientras bomberos trabajan para sofocar las llamas y reducir el riesgo de que el fuego se extienda hacia propiedades cercanas. Por ahora no se reportan personas lesionadas y tampoco se ha determinado qué originó el siniestro. La recomendación es evitar la zona y mantener libres los accesos para facilitar el trabajo de los equipos de emergencia.</t>
  </si>
  <si>
    <t>Inició gobierno de Hidalgo entrega de cacao y azúcar en la Huasteca.</t>
  </si>
  <si>
    <t>Xantolo</t>
  </si>
  <si>
    <t>Registro del Estado Familiar expide actas certificadas del estado de Hidalgo y de otras entidades federativas</t>
  </si>
  <si>
    <t>Registro Familiar</t>
  </si>
  <si>
    <t>Julio Menchaca respalda llegada de Raúl Meneses, nuevo coordinador estatal de la GN</t>
  </si>
  <si>
    <t>IMSS Bienestar Hidalgo recibió cinco refrigeradores solares para fortalecer la red de frío del Programa de Vacunación Universal (PVU) y mantener las vacunas en condiciones adecuadas de conservación, incluso ante interrupciones del suministro eléctrico. Los equipos, donados por el Fondo de las Naciones Unidas para la Infancia (UNICEF) y garantizados por la Organización Panamericana de la Salud (OPS), fueron destinados a unidades de salud de las regiones del Valle del Mezquital, Huasteca, Altiplano y Otomí-Tepehua, con el objetivo de fortalecer la disponibilidad de biológicos en las comunidades. La jefa del Departamento de Epidemiología de IMSS Bienestar Hidalgo, Basilia Hernández Ramírez, explicó que los equipos mantienen las vacunas entre 2 y 8 grados Celsius, rango necesario para conservar su potencia, calidad, seguridad y eficacia. Los cinco refrigeradores solares ya se encuentran en funcionamiento en las unidades de salud de El Salto y Cardonal, región Ixmiquilpan; Hospital Básico Comunitario de Huehuetla, región Tulancingo; Rancho Viejo, región Huasteca; y Emiliano Zapata, región Apan. El 22 de octubre de 2025, el director general de IMSS Bienestar, Alejandro Svarch Pérez, supervisó la entrega del refrigerador destinado al Hospital Básico Comunitario de Huehuetla, tras las afectaciones provocadas por las lluvias torrenciales asociadas al huracán Priscilla. Con estas acciones, IMSS Bienestar fortalece el Programa de Vacunación Universal y la infraestructura de la red de frío en Hidalgo, para acercar servicios públicos de salud gratuitos y de calidad a las comunidades y garantizar el derecho a la vacunación.</t>
  </si>
  <si>
    <t>Núcleo Citnova abre convocatoria para su número 46</t>
  </si>
  <si>
    <t>Divulgación científica</t>
  </si>
  <si>
    <t>Gobierno de Hidalgo fortalece vigilancia sanitaria durante Feria San Francisco 2026.</t>
  </si>
  <si>
    <t>Feria Pachuca</t>
  </si>
  <si>
    <t>Hidalgo fortalece la protección de niñas, niños y adolescentes con el Modelo de Gestión de Casos.</t>
  </si>
  <si>
    <t>Protección del menor</t>
  </si>
  <si>
    <t>El gobierno municipal de Cuautepec de Hinojosa abrió inscripciones para una nueva oferta de talleres y actividades formativas durante octubre, con opciones enfocadas en el autoempleo, desarrollo de habilidades y bienestar integral. Entre los cursos disponibles se encuentran elaboración de mermeladas y conservas sin azúcar, velas temáticas, jabones terapéuticos, amigurumis y coctelería. También habrá actividades de calistenia y yoga para promover la activación física. Las inscripciones estarán abiertas del 6 al 9 de octubre. Los talleres se realizarán principalmente en el Centro de Desarrollo Comunitario, ubicado en calle Venustiano Carranza #1, colonia Puente de la Paz, Cuautepec Centro. Para inscribirse es necesario presentar copia de INE y CURP. Para mayores informes, está disponible el teléfono 775 150 4801, con Carmen Palacios.</t>
  </si>
  <si>
    <t>Un padre de familia expresó su preocupación ante la falta de cumplimiento de las normativas sobre el ingreso de celulares en las secundarias 1, 2 y 3, señalando la ausencia de filtros y el permiso para el uso de dispositivos en actividades escolares como viajes en la secundaria 2. Asimismo, advirtió sobre conductas agresivas y el impacto del uso descontrolado de redes sociales e internet, por lo que hizo un llamado urgente a las autoridades para atender esta problemática y evitar que se salga de control. Negativas:</t>
  </si>
  <si>
    <t>El gobernador Julio Menchaca informó sobre la posible visita de la presidenta Claudia Sheinbaum al estado de Hidalgo para el próximo fin de semana, la cual representaría su decimosexta visita a la entidad. Entre los puntos principales de la agenda se prevé la entrega de apoyos económicos únicos a más de 2,000 familias que perdieron sus viviendas a raíz de la vaguada monzónica ocurrida en octubre de 2025, a un año de cumplirse dicho fenómeno que afectó a 28 municipios. Asimismo, el mandatario estatal destacó que se mantiene la coordinación con los tres órdenes de gobierno para atender a cerca de 30 comunidades que continúan parcialmente incomunicadas por precipitaciones recientes.</t>
  </si>
  <si>
    <t>Visita Sheinbaum</t>
  </si>
  <si>
    <t>Los presidentes municipales de Hidalgo ya no requerirán una autorización general del Cabildo para celebrar determinados contratos con particulares e instituciones oficiales sobre asuntos de interés público, luego de que el Congreso estatal avalara una reforma a la Constitución local. Diputadas y diputados de la LXVI Legislatura aprobaron parcialmente el dictamen en materia de modernización de la gestión administrativa municipal, emitido por la Primera Comisión Permanente de Legislación y Puntos Constitucionales. Durante la discusión, el diputado Miguel Ángel Moreno Zamora explicó que uno de los principales cambios es eliminar la disposición de la fracción XV del artículo 141 que otorga al ayuntamiento la atribución de facultar al presidente municipal para celebrar este tipo de contratos. El legislador señaló que esta disposición se encuentra en la Constitución estatal desde 1920 y consideró que, después de más de 105 años, ya no responde a las necesidades administrativas actuales de los municipios.</t>
  </si>
  <si>
    <t>Reforma De Ley</t>
  </si>
  <si>
    <t>El Congreso del Estado de Hidalgo aprobó por unanimidad (26 votos a favor) el dictamen para declarar concluido el encargo de la fallecida diputada Juana Olivia Larrón Rivera y otorgar la posesión a Marlene Yareni Trejo Pérez como diputada en funciones de la LXVI Legislatura mediante el principio de representación proporcional. Durante la sesión ordinaria, la legisladora Mónica Reyes Martínez destacó la importancia de garantizar la continuidad de los trabajos legislativos. Asimismo, se detalló la trayectoria de más de tres décadas en el sector educativo de la nueva diputada.</t>
  </si>
  <si>
    <t>El Sitmah informa que se registró un hecho de tránsito sobre la avenida Benito Juárez, esquina con calle José María Iglesias, en el que estuvo involucrado un vehículo particular y la unidad número económico 38, correspondiente al servicio Exprés T-02 del Transporte Metropolitano.</t>
  </si>
  <si>
    <t>Accidente Tuzobús</t>
  </si>
  <si>
    <t>Andrés Torres despide su programa y comenta que ya lo sacaron del aire en Televisión y señala: Acoso, hostigamiento, demandas... este, todos los días somos víctimas de una política del terror de parte de un despotita, porque ni si- es un despotita. Pero bueno, pues aquí le seguimos, ¿no? Aquí nadie se raja.</t>
  </si>
  <si>
    <t>Hostigamiento Laboral</t>
  </si>
  <si>
    <t>Andrés Torres en respuesta a una radioescucha que envía un mensaje sobre la crítica del presidente de Ixmiquilpan hacia la diputada Yaminel, destacando su labor en el Mezquital. Menciona que este presidente es arrogante y se sugiere que no logrará su reelección. Andrés indica que el presidente necesita aprender más sobre política en Hidalgo, donde hay normas y expectativas que se deben seguir. Le aconseja a Emmanuel Hernández, el alcalde, que debe entender el entorno político y no pensar que su posición es fácil, a pesar de la inversión que hizo para obtenerla. Andrés enfatiza que ser alcalde requiere más que solo dinero; se necesita una estrategia y adaptación al contexto político. Además, menciona que si el alcalde realmente le interesa el servicio público, debe hacer cambios necesarios. Por último, se refiere al desgaste que implica ocupar un cargo público.</t>
  </si>
  <si>
    <t>El gobernador menciona que solo ha recibido la renuncia de Miguel Ángel Tello, a la Unidad de Planeación y no ha habido otros movimientos en su gabinete hasta el momento. Esto implica que la única acción será nombrar a un nuevo titular para esa unidad. Después de la renuncia de Tello, el gobernador designó a Onésimo Serrano Rivera como encargado de la Unidad de Planeación y Prospectiva. Onésimo se presentará ante el Congreso del Estado para detallar el trabajo de la unidad durante las comparecencias que seguirán al cuarto informe de actividades del gobierno. El gobernador elogió la trayectoria y las habilidades de Onésimo, destacando que es un joven talentoso que ha estado en el servicio público por varios años y forma parte de una nueva generación de funcionarios comprometidos. Además, el gobernador comentó que el nombramiento oficial del nuevo titular de la unidad se hará una vez que terminen todas las comparecencias. Por ahora, Onésimo se encargará de cumplir con sus responsabilidades y no hay urgencia por parte del gobernador para decidir sobre el nuevo puesto. En conclusión, hay un encargado que puede gestionar la unidad y se espera que se tomen decisiones sobre el titular más adelante, sin apuros.</t>
  </si>
  <si>
    <t>La Secretaría de Infraestructura y Obras Públicas dio a conocer que en el municipio de Tlanchinol personal de la residencia regional de Molango de Escamilla realiza los recorridos para verificación de las carreteras estatales en Tlanchinol, Tenango, Santa Lucía, también San Salvador, y donde se presentaron algunos derrumbes y retiraron el material caído en los tramos. En los municipios de Tepehuacán de Guerrero, el personal de la residencia regional también retiró piedras, árboles caídos sobre la carretera estatal en los tramos aislados. Y para lo que corresponde a Omitlán, también se presentaron algunos derrumbes, principalmente a la altura de la comunidad de Guerrero.</t>
  </si>
  <si>
    <t>En audiencia de procedimiento abreviado, la Fiscalía General de la República (FGR) obtuvo sentencia de ocho años de prisión contra Rodrigo “N”, al acreditar ante un juez que el imputado participó en la comisión del delito de posesión ilícita de hidrocarburo. En el municipio de Atotonilco de Tula, elementos de la Policía Estatal detuvieron a Rodrigo “N” en posesión de dos bidones con capacidad de mil litros cada uno, abastecidos al 50 por ciento de una mezcla de hidrocarburo, con un total de mil 80 litros, los cuales transportaba a bordo de una camioneta y de los que no pudo acreditar su legal posesión, por lo que los policías lo pusieron a disposición de la Fiscalía Especializada de Control Regional (FECOR) en el estado, para iniciar las investigaciones correspondientes. De la secuela procesal y una vez expuestos los medios de prueba contundentes, el agente del Ministerio Público de la Federación a cargo de la investigación obtuvo la sentencia referida y el pago de una multa de 10 mil Unidades de Medida de Actualización (UMAS), además de la suspensión de derechos civiles y políticos del sentenciado. Con estas acciones la FGR reafirma el compromiso con la sociedad para la investigación y persecución de los delitos en materia federal, por lo que se invita a la ciudadanía a que denuncie las 24 horas de los 365 días del año, al correo electrónico denunciafgr.hidalgo@fgr.org.mx, o al número 771 71 7 52 00 ext. 27 52 47, 27 52 50 ó 27 52 06; asimismo, en las instalaciones de la Fiscalía Federal en el estado de Hidalgo, ubicadas en la carretera México-Pachuca, km. 84.5, colonia Sector Primario, Ciudad Pachuca de Soto C.P. 42080</t>
  </si>
  <si>
    <t>Sentencia</t>
  </si>
  <si>
    <t>La Secretaría de Seguridad Ciudadana de Tizayuca informa que, derivado de un reporte recibido en calle Platino, colonia Esmeralda, elementos de esta corporación realizaron la detención de un masculino de 32 años, señalado por su presunta participación en el ingreso ilegal a un domicilio. Fue puesto a disposición de la Agencia del Ministerio Público para las investigaciones correspondientes.</t>
  </si>
  <si>
    <t>Una patrulla de la Policía Municipal de Mineral de la Reforma casi cae a un barranco, luego de que su conductor habría perdido el control de la unidad. La situación se registró en el Corredor Turístico de la Montaña; de acuerdo con los primeros reportes, el conductor de la camioneta perdió el control de la unidad, que terminó fuera de la carretera. Fueron los arbustos que están en la zona, evitaran que la patrulla cayera hasta el fondo del barranco; los policías que viajaban a bordo de la unidad resultaron ilesos tras el percance. Posteriormente, una grúa realizó las maniobras necesarias para rescatar y retirar la patrulla del sitio. Se abrió investigación respecto al caso, para determinar las responsabilidades legales sobre el caso. Podría interesarte...</t>
  </si>
  <si>
    <t>Accidente de patrulla</t>
  </si>
  <si>
    <t>Se reportó el hallazgo del cuerpo sin vida de un hombre, quien presuntamente fue arrollado por el ferrocarril en el municipio de Villa de Tezontepec. Tras el reporte, elementos de la Policía Municipal y servicios de emergencia acudieron al sitio y confirmaron el fallecimiento de la persona, cuyo cuerpo quedó sobre las vías. El área fue acordonada para permitir que personal de la Procuraduría General de Justicia del Estado de Hidalgo (PGJEH) realizara las diligencias correspondientes y el levantamiento de los restos. De acuerdo con los primeros reportes, la víctima era originaria del municipio de Villa de Tezontepec. Será la autoridad ministerial la encargada de determinar las circunstancias en las que ocurrió el hecho y confirmar oficialmente la identidad del fallecido.</t>
  </si>
  <si>
    <t>SSPH detiene en Huasca a dos personas con 45 billetes falsos</t>
  </si>
  <si>
    <t>Combate a la delincuencia</t>
  </si>
  <si>
    <t>El gobernador Julio Menchaca Salazar acompañó la toma de posesión al cargo y protesta de bandera del general brigadier de Estado Mayor, Raúl Meneses Castrejón, nuevo coordinador estatal de la Guardia Nacional en la entidad. Desde la 18/a. Zona Militar, en Pachuca, el titular del Poder Ejecutivo del Estado de Hidalgo, reconoció la aportación de la Guardia Nacional en materia de seguridad en el estado. Enfatizó que el nombramiento de Meneses Castrejón fortalecerá a la institución y el trabajo coordinado que existe con el Gobierno de Hidalgo. Con la toma de posesión, Meneses Castrejón queda al frente de la coordinación estatal de la corporación y de las tareas que corresponden a la institución dentro del territorio hidalguense. Reconoció además la participación que la corporación federal ha mantenido en las acciones de seguridad implementadas en diferentes regiones de la entidad.</t>
  </si>
  <si>
    <t>Trabajadores adscritos a la Zona Escolar 03 de Educación Especial, se manifestaron afuera de las instalaciones de la Secretaría de Educación Pública en la entidad, reprochando que se realizó una restructuración sin estudios técnicos, administrativos y normativos. La protesta se realizó la mañana del martes 6 de octubre, reprochando que los cambios se hicieron sin consulta alguna, lo que puede afectar las actividades en la zona. La reestructura consiste en que la supervisora, que previamente tenía a su cargo nueve servicios, ahora tendrá solamente cuatro y el resto desconocen qué pasará. Los manifestantes señalaron que desde hace aproximadamente un mes solicitaron información por las vías institucionales respecto al rumor de que la Zona 03 sería dividida. Aseguraron que hasta el momento no han recibido información sobre la eventual restructura de la Zona Escolar. “Al final una falta de recursos, división o reestructuración a ustedes como autoridades no les afecta, pero a los niños, las niñas y adolescentes sí. Estamos en desconocimiento total de lo que está sucediendo, no sabemos sobre los criterios utilizados para tomar la decisión”. Por su parte, la subsecretaria de Educación Básica, Nancy León, explicó que la situación ya fue revisada por las autoridades y sostuvo que las rezonificaciones tienen como objetivo mejorar la atención que reciben las escuelas. La funcionaria señaló que existen supervisiones que tienen bajo su responsabilidad hasta 27 escuelas, por lo que consideró necesario reducir el número de planteles atendidos por cada supervisor para permitir un acompañamiento más cercano. Tras un primer diálogo, una comitiva realiza una mesa de trabajo para llegar a acuerdos, mientras que un grupo de trabajadores de educación especial permanecieron en el acceso principal. Se acordó dar seguimiento a la situación, y por tanto, las demandas presentadas.</t>
  </si>
  <si>
    <t>En Cabina Alejandro Camacho, director del Ballet Magisterial el Estado de Hidalgo informó que del 8 al 10 de octubre de 2026, se llevará a cabo el XXVIII Festival Internacional del Folklor de Hidalgo, México, un encuentro que reúne las expresiones dancísticas y culturales de Guanajuato, Tamaulipas, Jalisco, Nayarit e Hidalgo. Serán tres días para celebrar nuestras raíces, compartir nuestras tradiciones y vivir la riqueza del folklore a través de la música, la danza y el encuentro entre culturas. Se contará con la participación de agrupaciones provenientes de Guanajuato, Tamaulipas, Jalisco, Nayarit e Hidalgo, además de actividades en distintos municipios del estado. Como parte del programa, el próximo 9 de octubre se llevará a cabo una gala especial en el auditorio Gota de Plata, en Pachuca, donde se reunirán cuatro compañías de danza folklórica destacadas y con trayectoria en escenarios nacionales e internacionales. Alejandro Camacho, explicó que en esta ocasión el festival estará dedicado completamente a México, por lo que no se contará con compañías extranjeras, como había ocurrido en ediciones anteriores.</t>
  </si>
  <si>
    <t>Festival Turístico</t>
  </si>
  <si>
    <t>Compartirles que luego de la exhumación de estos dos cuerpos, también uno de eh pues un adulto y otro de un menor, realizada en la localidad de La Cañada, del municipio de Atotonilco de Tula, el gobernador de Hidalgo, Julio Menchaca, señaló que las tumbas se encontraban en un predio que no era un panteón, por lo que se trataba de un espacio irregular e ilegal. Ante el conflicto que derivó en una manifestación en la presidencia municipal, el titular del Ejecutivo estatal informó que la Secretaría de Gobierno ya atiende el caso y mantiene diálogo con los inconformes, aunque señaló que es necesario poner orden en este tipo de situaciones, "pues los panteones son para depositar los restos", dijo. "Entiendo la afectación que puede tener una familia, pero no podemos estar enterrando a nuestros difuntos en donde queramos", declaró. Familiares y pobladores acusaron que la extracción se realizó sin notificación ni autorización y que los hechos supuestamente se ven relacionados para el uso del predio para un proyecto de Viviendas del Bienestar, por lo que el pasado 3 de octubre realizaron una manifestación en la Presidencia Municipal de Atotonilco de Tula y la protesta terminó con destrozos, presuntamente con actos de violencia en contra de la presidenta municipal, Yocelyn Tovar, sus dos hijas menores de edad, así como también otros servidores públicos. Derivado de ello, a través de un comunicado difundido en sus redes sociales, el Ayuntamiento de Atotonilco de Tula informó la suspensión temporal de la atención y los servicios al público en las instalaciones del Palacio Municipal; ello debido a que personal de la Agencia de Investigación Criminal y a través de las divisiones Científica y de Investigación de la Procuraduría General de Justicia del Estado de Hidalgo realizan diligencias ministeriales en el inmueble. Al respecto, el encargado del despacho de la Procuraduría General de Justicia, Francisco Fernández Hasbun, confirmó que se iniciaron dos carpetas de investigación relacionadas con los hechos. Explicó que una de las investigaciones corresponde a la ubicación de las tumbas en un área que no estaba permitida por ninguna autoridad, mientras que la segunda se deriva de la denuncia presentada por la presidenta municipal por los presuntos delitos de amenazas y daños. Fernández Hasbun indicó que por las diligencias ministeriales no era necesario suspender las actividades en Presidencia Municipal; sin embargo, señaló que se respetará la decisión tomada por la alcaldesa.</t>
  </si>
  <si>
    <t>Notarías</t>
  </si>
  <si>
    <t>Existen dos líneas de investigación respecto al asesinato del sacerdote Román de la Cruz Hernández, cuyo cuerpo sin vida fue localizado en el tramo carretero Tolago-Tetlapaya, al norte del Estado de Hidalgo. Así lo informó Francisco Fernández Hasbún, encargado del despacho de la Procuraduría General de Justicia del Estado de Hidalgo (PGJEH), aclarando que hasta el momento no existan órdenes de aprehensión por el homicidio. Cabe señalar que el cuerpo sin vida del sacerdote fue localizado junto a una cartulina que presuntamente contendría un mensaje intimidatorio. Fernández Hasbun señaló que las indagatorias presentan avances, pero evitó revelar detalles debido, señalando que se trata de un caso delicado, estableciendo que proporcionaría mayor información conforme las condiciones de la investigación lo permitan. Dijo que desde el inicio de las investigaciones, existe comunicación entre integrantes de la iglesia y autoridades ministeriales. Respecto a las condiciones de seguridad para los sacerdotes de la región, informó que, hasta el momento, ningún párroco ha requerido protección. El cuerpo del sacerdote fue localizado durante la mañana del martes 15 de septiembre, en el tramo carretero Tolago-Tetlapaya. Román de la Cruz Hernández era originario de la comunidad de Mazahuacán y ejercía como párroco en la iglesia de Santa Cruz, en Huejutla. Tras el asesinato del ministro religioso, se han manifestado representantes católicos, incluso a nivel nacional exigiendo que se esclarezca la situación. Podría interesarte...</t>
  </si>
  <si>
    <t>Homicidio de sacerdote</t>
  </si>
  <si>
    <t>Vía telefónica María del Refugio García López, vocal ejecutiva de la Junta local del INE en la entidad, informó el Instituto Nacional Electoral (INE) inició de manera formal los trabajos de organización del Proceso Electoral Federal 2026-2027 en el estado de Hidalgo. Tras la instalación del Consejo Local el pasado 30 de septiembre, la autoridad electoral habilitó una serie de convocatorias clave orientadas a la participación ciudadana en la entidad. Asimismo, habló sobre los avances, requisitos y trámites disponibles para la ciudadanía de cara a la jornada electoral programada para el 6 de junio de 2027. Señaló que el INE busca integrar sus siete Consejos Distritales Federales en Hidalgo (Huejutla, Ixmiquilpan, Actopan, Tulancingo, El Mezquital, Pachuca y Tepeapulco). Actualmente existen 48 vacantes disponibles (27 propietarias y 21 suplencias), concentrándose la mayor cantidad en los distritos de Tepeapulco e Ixmiquilpan. Periodo de registro del 16 al 31 de octubre a través del portal oficial `[https://consejos.ine.mx/](https://consejos.ine.mx/). Dudas o citas: Correo electrónico `hgo.aspirantes.pe2026@ine.mx`. Sobre las candidaturas Independientes a Diputaciones Federales, dijo que aquellas personas interesadas en contender por una diputación federal sin el respaldo de un partido político tienen hasta el 3 de diciembre para formalizar su intención. Quienes obtengan la constancia de aspirantes deberán recabar el 2% de firmas de la lista nominal correspondiente a su distrito entre la fecha de aprobación y el 12 de febrero, distribuidas en al menos el 1% de la mitad de las secciones electorales del distrito. La ciudadanía puede registrarse para vigilar todas las etapas del proceso electoral hasta el **10 de mayo de 2027** en la plataforma `[https://pe2027-observadores.ine.mx/](https://pe2027-observadores.ine.mx/)`. El único impedimento adicional es no operar o estar vinculado a programas sociales en ningún orden de gobierno. Finalmente dijo que través de la Campaña Anual Intensiva, los 24 Módulos de Atención Ciudadana en el estado (12 fijos y 12 móviles) atienden con o sin cita previa de 8:00 a 20:00 horas. El plazo límite para tramitar inscripciones, cambios de domicilio o corrección de datos es el 25 de enero. El tiempo promedio de entrega de la credencial es de 9 días hábiles.</t>
  </si>
  <si>
    <t>La Suprema Corte de Justicia de la Nación (SCJN) emitió una resolución favorable a la Cooperativa La Cruz Azul, al absolverla de pagar 1,584 millones de pesos (mdp) reclamados por Desarrolladora Táctica FA, S.C. Asimismo, el fallo del máximo tribunal establece que la contraparte deberá devolver a la organización 647.28 mdp que ya habían sido entregados de forma previa. El conflicto comenzó a raíz de un contrato de servicios jurídicos firmado durante la gestión de Guillermo “Billy” Álvarez Cuevas —expresidente de la cooperativa hasta 2020— con la firma Desarrolladora Táctica FA, S.C., vinculada al abogado Ángel Junquera Sepúlveda. La empresa demandante pretendía cobrar honorarios millonarios amparada en dicho acuerdo; sin embargo, la nueva directiva de La Cruz Azul se rehusó a aceptar dichas exigencias, al considerar que el referido contrato carecía de validez y que formaba parte de un esquema irregular para el desvío de recursos. La Cooperativa también argumentó que “Billy” Álvarez carecía de facultades para firmar dicho contrato.</t>
  </si>
  <si>
    <t>La planta de Cemento Cruz Azul Hidalgo reactivó sus operaciones ubicadas dentro del municipio de Tula de Allende, anunciaron que ya se cuenta con producción y se espera un aumento gradual. La planta de Cemento Cruz Azul Hidalgo retomó la operación de sus áreas productivas y departamentos, luego de un proceso de reactivación que permitirá recuperar gradualmente los volúmenes de producción. En un mensaje emitido este martes, Víctor Manuel Velázquez Rangel, presidente del Consejo de Administración de Cooperativa La Cruz Azul, informó que la fábrica ubicada en Tula de Allende opera de manera óptima y segura, bajo los estándares de calidad establecidos. Con esta reactivación, la planta comenzó nuevamente la producción de cemento Portland compuesto, mortero, cemento blanco, pegazulejo blanco y sacos de papel. La cooperativa señaló que el objetivo será incrementar los volúmenes de producción de manera paulatina y responsable, de acuerdo con las necesidades del mercado regional. Como parte del proceso de fortalecimiento de la infraestructura productiva, también continúa la construcción de la Unidad de Calcinación número 10, cuya entrada en funcionamiento está prevista para mediados de 2027. De acuerdo con lo informado, la reactivación representa también un movimiento relevante para la actividad económica y social de Tula de Allende y comunidades de la zona, al recuperar operaciones de una planta con una larga presencia en la región. Durante el anuncio, Víctor Velázquez agradeció el acompañamiento de la presidenta Claudia Sheinbaum Pardo y del gobernador de Hidalgo, Julio Menchaca Salazar, durante el proceso de reactivación. También reconoció la participación de trabajadores, técnicos, ingenieros y colaboradores que intervinieron en el regreso de las operaciones productivas. Finalmente, el presidente del Consejo de Administración hizo un llamado al diálogo y la reconciliación entre las familias cooperativistas, al considerar que la unidad será necesaria para avanzar en el proceso de refundación de La Cruz Azul.</t>
  </si>
  <si>
    <t>Hoy inicia el programa anual de mantenimiento de árboles, coordinado por la Dirección de Medio Ambiente junto con otras áreas del ayuntamiento y empresas de servicios. Comienza a las 9:00 de la mañana, con preparativos para los cortes de ramas en la avenida Gilberto Gómez Carbajal. Se realizarán cierres de calles desde varios metros antes para evitar accidentes. Se espera que los trabajos terminen alrededor del mediodía, lo que implica un cierre temporal de la circulación y la presencia de personal de Movilidad y Transporte para garantizar la seguridad. El programa, que se llevará a cabo de octubre hasta principios de marzo de 2027, incluye la eliminación de exceso de follaje, ramas muertas y heno motita. Estas acciones son necesarias para mantener los árboles en buen estado y reducir riesgos durante los vientos. Además, la lluvia puede hacer que las ramas sean más pesadas. En este trabajo participan el Heroico Cuerpo de Bomberos, la Jefatura de Parques y Jardines, el Departamento de Mantenimiento Urbano y la Dirección de Movilidad y Transporte, así como empresas que necesitan coordinar su intervención para evitar emergencias. Antes de este inicio formal, ya se realizaron podas preventivas en lugares considerados de riesgo, como la calzada 5 de Mayo, los bulevares Emiliano Zapata y Bicentenario, y el Jardín La Floresta. En total, se considera el mantenimiento de 132 árboles en la calzada 5 de Mayo, algunos de hasta 150 años, lo que también ayuda a conservar el patrimonio arbóreo de Tulancingo.</t>
  </si>
  <si>
    <t>Rehabilitación de espacios públicos</t>
  </si>
  <si>
    <t>Daniel Martínez menciona que el gobernador Menchaca Salazar ha indicado que podrían hacerse cambios a la legislación sobre tarifas de taxis en el Estado de Hidalgo. Aunque actualmente no es legal el uso de plataformas digitales, se deja abierta la posibilidad de su entrada en el futuro. Jessenia Romero añade que no hay legislación vigente para permitir plataformas digitales, aunque no se descarta su llegada por completo. Opina que hay opiniones divididas sobre la entrada de estas plataformas. Él piensa que el servicio de taxis debe evolucionar; los concesionarios no deben tratar de bloquear el acceso a aplicaciones como Uber o Didi, sino adaptarse a los cambios del mercado. Esto es importante para evitar problemas y asegurar que el servicio mejore.</t>
  </si>
  <si>
    <t>La plataforma digital Uber, para servicios de transporte de pasajeros, no puede operar en el Estado de Hidalgo, pues no existe legislación que lo permita, señaló el gobernador Julio Menchaca Salazar. La puntualización fue realizada luego de la publicación de una serie de avisos donde supuestamente se anuncia el presunto inicio de la operación en la capital estatal, Pachuca. Señaló que, aunque la publicación de la compañía puede ser cierta, actualmente la prestación del servicio mediante aplicación no está permitida por la legislación estatal. “No, no, no. Venga, la publicación puede ser que sea cierta, pero que es ilegal es absolutamente ilegal”, afirmó Menchaca Salazar al ser cuestionado sobre el tema. Respecto a la posible incorporación de nuevas alternativas de transporte, Menchaca señaló que existe una importante demanda de concesiones por parte de personas interesadas en prestar el servicio. Menchaca Salazar explicó que es el Estado quien otorga las concesiones para la prestación del servicio de transporte y, al mismo tiempo, establece las condiciones bajo las cuales deben operar los concesionarios. “El Estado otorga las concesiones y el Estado pone las condiciones para el ejercicio de esas concesiones”, sostuvo. El gobernador del Estado de Hidalgo reconoció que existen inconformidades entre algunos conductores y concesionarios respecto a las condiciones actuales del servicio, pero afirmó que la administración estatal busca mantener un equilibrio entre los intereses de quienes prestan el servicio y los usuarios. “Nosotros estaremos siempre en beneficio de la mayoría y la mayoría son los usuarios”, enfatizó sobre los servicios de transporte de pasajeros. Menchaca Salazar reconoció que los concesionarios deben obtener ganancias por la prestación del servicio, por lo que aseguró que su administración ha buscado generar condiciones que permitan equilibrar los distintos intereses.</t>
  </si>
  <si>
    <t>Con la plataforma digital Primero CPIMS+, que permitirá registrar y dar seguimiento a los casos que se denuncien y atiendan en las procuradurías municipales de atención a niñas, niños y adolescentes en el Estado de Hidalgo. Lo anterior fue explicado durante la inauguración del despliegue del Modelo de Gestión de Casos (MOGEC) en Hidalgo y Querétaro, estrategia que permitirá homologar procesos de atención y fortalecer las capacidades de las Procuradurías de Protección. La presidenta del Patronato del Sistema DIF Hidalgo, Edda Vite Ramos, quien encabezó el evento, señaló que el MOGEC es una herramienta que permitirá fortalecer y homologar los conocimientos de los equipos que intervienen en la restitución de derechos, con el objetivo de brindar una atención más articulada, especializada y cercana a sus necesidades. Al tener registrado y en seguimiento la plataforma digital Primero CPIMS+, se puede contar con información organizada y trazabilidad de las acciones realizadas para la restitución integral de derechos. El despliegue contempla, además, el fortalecimiento de las capacidades de los equipos multidisciplinarios de las Procuradurías de Protección de Hidalgo y Querétaro, con la participación de profesionales de trabajo social, psicología y derecho. Durante la jornada de capacitación se abordarán tres ejes principales: contexto y marco de intervención; Modelo de Gestión de Casos y herramienta digital, y flujo de atención del MOGEC. Este último comprende las etapas de detección y recepción de reportes, evaluación, determinación del interés superior de la niñez, diseño y seguimiento del Plan de Restitución Integral de Derechos (PRID) y cierre del caso. Asimismo, se analizarán criterios para la valoración de medidas de cuidados alternativos ante situaciones de pérdida del cuidado parental o separación familiar. En su mensaje, Edda Vite destacó que la protección de niñas, niños y adolescentes debe asumirse como una responsabilidad compartida entre instituciones y sociedad, y llamó a fortalecer las capacidades profesionales de quienes tienen contacto directo con casos de vulneración de derechos. Asimismo, reconoció la colaboración de la Procuraduría Federal de Protección de Niñas, Niños y Adolescentes, UNICEF México y los equipos de Hidalgo y Querétaro para compartir conocimientos, experiencias y construir nuevas formas de atención.</t>
  </si>
  <si>
    <t>Vía telefónica Milton Cortés informó que los vecinos de la zona sur de Mineral de la Reforma y Zempoala han expresado su preocupación por posibles inundaciones y encharcamientos, como ocurre cada temporada de lluvias. Aunque las autoridades han respondido adecuadamente con medidas preventivas, persisten problemas, especialmente relacionados con las aguas negras que se combinan con el agua de lluvia, generando grandes inconvenientes. Se llegó a un acuerdo con las autoridades para desviar las aguas negras en la parte trasera del fraccionamiento de Arboledas, pero este proyecto no se ha implementado por completo, lo que sigue generando inquietud entre los residentes. Las autoridades municipales de Mineral de la Reforma, Pachuca y Zempoala tienen comités de emergencia activos para monitorear la situación y evitar que afecte a los habitantes. Hasta ahora, aseguran que no hay riesgo para los ciudadanos, a pesar de las lluvias constantes, y los comités seguirán funcionando mientras persistan las lluvias. Se pide a la población que mantenga precaución y esté atenta a los canales oficiales de los ayuntamientos, especialmente en caso de lluvias intensas, para poder reaccionar rápidamente. Andrés Torres hace un llamado a que todas las presidencias municipales exijan a las constructoras culminar proyectos de forma completa, incluyendo el equipamiento adecuado para el drenaje y la gestión de aguas pluviales. Esto es fundamental para evitar situaciones como las que se viven en Villas de Pachuca, un fraccionamiento con muchos años de antigüedad que aún enfrenta problemas relacionados con terrenos baldíos. Milton Cortés está de acuerdo con la necesidad de que los municipios trabajen en estos aspectos, especialmente en la gestión de los espacios disponibles en los fraccionamientos. Explica que muchos problemas, como inundaciones y encharcamientos, están relacionados con la falta de municipalización de esos espacios. A medida que los diputados han dado más facultades a los municipios, Cortés subraya que es crucial que cumplan con su deber de garantizar infraestructura adecuada para que las familias que viven en esos lugares puedan tener un entorno seguro y funcional.</t>
  </si>
  <si>
    <t>Milton Cortés</t>
  </si>
  <si>
    <t>Ayer, el gobernador Julio Menchaca habló al finalizar un evento de la Guardia Nacional, en cuanto al tema de la llegada de Uber, afirmó que no hay permisos para su operación en el Estado. También advirtió a los concesionarios de taxis y servidores públicos que si no respetan las tarifas, pueden recibir sanciones severas, incluida la pérdida de la concesión.</t>
  </si>
  <si>
    <t>Allá en Jacala, parece ser que ya vamos a regresar al aire en unas horas más, en el 91.1 de frecuencia modulada La Voz de la Sierra Gorda.</t>
  </si>
  <si>
    <t>Tenemos brigadas de la Secretaría de Infraestructura trabajando en todas las regiones del estado: en Tianguistengo, en Atlapexco, en Jacala, en la zona de Molango también, por supuesto en la Otomí-Tepehua allá en Tenango de Doria, están trabajando intensamente equipos, maquinaria, brigadas de trabajadores para retirar los materiales que eh pues se han derrumbado, los materiales de o los taludes que se han movido en los diferentes caminos, carreteras, vías de comunicación de nuestro estado.</t>
  </si>
  <si>
    <t>Coca Orta nos escribe: "Muy buenos días para reportar dos fugas en, esto es en la colonia Piracantos. Hace un llamado a la Caasim que están reportando dos fugas de agua en la colonia Piracantos aquí en Pachuca".</t>
  </si>
  <si>
    <t>Fuga De Agua</t>
  </si>
  <si>
    <t>Vía telefónica Lilí Smith informa sobre la situación de lluvias en la región hidalguense. Las lluvias continúan en el estado y Protección Civil está monitoreando la situación. Se advierte sobre el riesgo de encharcamientos, aumento de ríos y deslaves, y se recomienda no cruzar ríos, arroyos o calles inundadas. También se debe mantener distancia de cauces y respetar los cierres de carreteras, además de usar rutas alternativas. Señala que en la comunidad de Adjuntas, en Pacula, se han registrado aumentos de agua en arroyos y barrancas que han dificultado la comunicación. Por ahora, solo hay reportes de daños menores. En Chapulhuacán, en la comunidad del Sótano, el 3 de octubre colapsó una barda de piedra de una vivienda a causa de las lluvias, resultando en lesiones para dos niños, quienes fueron llevados al Hospital del Niño DIF Hidalgo. Su estado de salud es estable, aunque se debe seguir su evolución. Para el 7 de octubre, Jacala amaneció con temperatura de 15 °C, cielos parcialmente nublados y 90% de humedad. Se espera una máxima de 24 °C y baja probabilidad de lluvia. Sin embargo, para el jueves se anticipan chubascos con un 40% de probabilidad. Andrés Torres comenta sobre las inundaciones en la localidad y recuerda a la audiencia que conduzca con precaución en la carretera 85 que atraviesa la Sierra Gorda. Lili confirma que aunque hay riesgo de deslizamientos, no hay reportes de bloqueos o derrumbes significativos en la zona hasta el momento.</t>
  </si>
  <si>
    <t>Se está generando mucha expectativa en el estado por el proceso de registro para aspirantes a coordinadores electorales distritales de Morena, que se llevó a cabo del 1 al 4 de octubre. Este proceso, realizado de manera remota a través de una plataforma digital del Comité Nacional de Elecciones de Morena, ha suscitado especulaciones sobre quiénes se inscribieron. A medida que pasan los días, algunos de los registrados han comenzado a confirmarlo públicamente. Miguel Tello renunció a su puesto en la Unidad de Planeación y Prospectiva para participar en la selección por Pachuca, y otros nombres mencionados incluyen a Lizeth Marcelino de Ixmiquilpan, Susana Ángeles por Tepeapulco, y el presidente municipal de Huejutla, José San Román Duval, quien también se registró. Daniel Andrade Zurutuza, actual diputado federal, también se inscribió en busca de reelección. Además, Armando Azpeitia Díaz, exalcalde de San Salvador, anunció su registro para el distrito de Ixmiquilpan, lo que es interesante porque pertenece a una corriente interna opositora dentro de Morena. A lo largo de los medios de comunicación, se ha generado una gran cantidad de rumores sobre los aspirantes, y se espera que en los próximos días se revelen más nombres. Se anticipa que Morena lanzará una nueva convocatoria para el registro de aspirantes a coordinadores electorales y defensores de la soberanía municipal en menos de una semana. Este proceso ya está bastante avanzado y se dice que Abraham Mendoza Zenteno tendrá un papel importante en las decisiones. La situación se está volviendo cada vez más interesante y mantiene la atención del público. Sobre Armando Azpeitia, se destacó que también tiene vínculos con la Coordinadora Nacional de Trabajadores de la Educación (CNTE). Las fuentes indican que la dirigencia nacional de Morena confirmará pronto la apertura de esta nueva convocatoria. La expectativa es alta y se cree que pronto habrá más noticias sobre los registros.</t>
  </si>
  <si>
    <t>Ayer el gobernador de nuestro estado, Julio Menchaca Salazar, asistió a la ceremonia para eh el relevo del encargado o del delegado o del nuevo titular de la coordinación estatal de la Guardia Nacional. Ahí el gobernador, bueno, pues fue el invitado de honor para eh este relevo que trajo al general brigadier de Estado Mayor, Raúl Meneses Castrejón, como nuevo coordinador estatal de la Guardia Nacional. Esto fue en las instalaciones de la 18a Zona Militar aquí en Pachuca, aquí por Venta Prieta. Desde esta zona militar, la 18a, el gobernador estatal reconoció, la aportación de la Guardia Nacional en materia de seguridad pública y también eh hizo un reconocimiento al General Meneses Castrejón, quien dijo fortalecerá la institución y el trabajo coordinado que ya existe con el Gobierno del Estado de Hidalgo. A este evento también asistió, por supuesto, el secretario de Gobierno, Guillermo Olivares Reyna; el secretario de Seguridad Pública, Salvador Cruz Neri, y el encargado de la oficina del despacho de la Procuraduría General de Justicia de nuestro estado, el señor Francisco Fernández Hasbun. Comento, el gobernador Julio Menchaca: "Reconocemos la responsabilidad que representa asumir este encargo. Refrendamos nuestra disposición para seguir trabajando de manera coordinada por la seguridad y tranquilidad de las familias hidalguenses".</t>
  </si>
  <si>
    <t>Vecinos de Villas de Pachuca y la zona de Camino Real de la Plata se reunieron para pedir ayuda a los medios de comunicación. Se oponen a la construcción de un telebachillerato en un terreno grande que ha estado vacío durante muchos años. Los vecinos han trabajado en estas áreas, plantando y cuidando plantas, y valoran mucho estos espacios verdes. La construcción de la nueva escuela destruiría estas áreas que aprecian. Hay una gran polémica al respecto. La Presidencia Municipal de Pachuca ya se pronunció sobre el asunto, mencionando que se donó el terreno a las autoridades educativas. Existe un organismo encargado de la construcción de escuelas, y esto ha generado mucho descontento entre los vecinos, especialmente en la zona sur de Pachuca y en Villas de Pachuca. Se menciona que el terreno está ubicado en la avenida Cisnes y Canarios.</t>
  </si>
  <si>
    <t>En Atotonilco de Tula las cosas ya se pusieron muy complicadas para el ayuntamiento porque eh pues resulta ser que en coordinación con el gobierno federal se iban a construir unas Casas del Bienestar. Iniciaron los trabajos para pues delimitar un predio, un predio de 2 hectáreas, iniciaron las excavaciones para colocar los cimientos, pero en las excavaciones pues se encontraron con que había varios entierros. Resulta ser que estaban excavando en un panteón, en un panteón que estaba dado de alta en el municipio, que tenía más de 10 años este activo, laborando, trabajando, activo, abierto. Y pues nadie se explica cómo es posible que topógrafos, ingenieros, personal del ayuntamiento, personal del gobierno federal pues no se dieran cuenta que estaban trabajando en un panteón. El asunto es que inhumaron de manera ilegal, ahora tuvieron que hacerlo de manera legal, varios cuerpos. La comunidad, por supuesto, allá en Atotonilco de Tula está molesta con su alcaldesa y pues todo el mundo se echa la bolita. El asunto es que ahora ni obra, ni panteón y hay una enorme polémica en Atotonilco de Tula.</t>
  </si>
  <si>
    <t>En sesión ordinaria, las diputadas y diputados integrantes del Congreso del Estado de Hidalgo avalaron con 26 votos a favor, cero en contra y cero abstenciones, el dictamen emitido por la primera Comisión Permanente de Legislación y Puntos Constitucionales, mediante el cual se declara concluido el encargo de la diputada Juana Olivia Alarcón Rivera, fallecida el pasado 16 de septiembre, y se otorga posesión a Marlen Yareni Trejo Pérez, como diputada en funciones de la LXVI Legislatura. La determinación da continuidad a la integración del Poder Legislativo estatal, conforme al procedimiento establecido para cubrir la vacante generada por el fallecimiento de la legisladora.</t>
  </si>
  <si>
    <t>La Secretaría de Educación Pública mantiene su llamado a todas las comunidades escolares de todas las instancias públicas de nuestro estado para que eh suspendan clases si las condiciones climáticas no permiten condiciones de seguridad para las niñas, niños, maestros y todo el personal de la.</t>
  </si>
  <si>
    <t>La Subsecretaría de Protección Civil del Estado informa a la población que para este 7 de octubre de 2026 se pronostican chubascos con lluvias puntuales y fuertes de 25 a 50 milímetros, principalmente en la zona norte y este del estado. Asimismo, se prevén vientos con dirección variable de 20 a 30 km/h. Las precipitaciones previstas podrían generar encharcamientos, incremento en los niveles de ríos, arroyos, escurrimientos, así como deslaves y derrumbes en zonas susceptibles.</t>
  </si>
  <si>
    <t>Olegario N. N., salió de su trabajo para ir a la localidad de San Miguel e intentando cruzar a bordo de su caballo, desafortunadamente la creciente del río lo arrastra. Por lo que las autoridades, bueno, te platico más adelante, ya ha sido... Andrés Torres: Varios días, fueron varios días de búsqueda para localizar su cuerpo, desafortunadamente.</t>
  </si>
  <si>
    <t>Rescate de cuerpo</t>
  </si>
  <si>
    <t>Radioescucha 9869 dice: «Reporte 178491 y 179668 en Pitahayas Loreto 219. Que tengan bonito día». ¡Ah, es de Caasim también, fugas! Aquí está, perfecto. Maribel, gracias, ya lo estamos pasando directamente a Caasim. ¡Y yo que estaba diciendo: «No, ahí la llevan los de Caasim, no tienen ningún reporte»! ¡Híjole! Cuando hablas bien de algo, siempre la Ley de Murphy te llega de momento,</t>
  </si>
  <si>
    <t>Radioescucha Señor Gama, ¿cómo está? Dice: «Por favor, licenciado, ¡agua en Lomas Residencial La Torón!». ¿Cómo no? Con mucho gusto, señor... eh... ¡ah, aquí se nos fue! Pero bueno, ahí está, pero bueno, enseguida, enseguida, señor Gama. Le envío un fuerte abrazo, señor Gama, perdón, es que se nos fue la... la imagen, pero aquí está. Aquí está, nos lo está pidiendo, enseguida ponemos el número telefónico para que no haya ningún problema, ¡ahí está!</t>
  </si>
  <si>
    <t>Vía telefonica Jorge Hernández, director de Comunicación Social del Ayuntamiento de Pachuca informó sobre la campaña “Colonia x Colonia” que se estará llevando el dia de hoy en la colonia Bugambilias</t>
  </si>
  <si>
    <t>Con una inversión de 907 mil 743 pesos, el Gobierno Municipal de Mineral de la Reforma, encabezado por Eduardo Medécigo Rubio, puso en marcha una obra de agua potable y drenaje en las privadas Guadalupe, La Palma y cerrada Guadalupe, en la localidad de Apepelco. Estas acciones permitirán mejorar los servicios básicos de 21 viviendas mediante la instalación de nuevas líneas de agua potable y drenaje, así como las conexiones correspondientes a cada domicilio.Durante el arranque de la obra, el secretario de Desarrollo Urbano Sostenible e Infraestructura Pública, Juan Carlos Zarco Cruz, informó que los trabajos se realizarán con recursos del Fondo de Aportaciones para la Infraestructura Social Municipal (FAISM), destinado a atender necesidades prioritarias en las comunidades.</t>
  </si>
  <si>
    <t>Infraestructura Hidráulica</t>
  </si>
  <si>
    <t>Diputadas y diputados integrantes de la LXVI Legislatura avalaron el dictamen que aprueba parcialmente la iniciativa que reforma la Constitución Política del Estado de Hidalgo, en materia de modernización de la gestión administrativa municipal, emitido por la primera Comisión Permanente de Legislación y Puntos Constitucionales. Durante la discusión, el diputado Miguel Ángel Moreno Zamora (Morena) destacó que la propuesta busca actualizar el marco constitucional estatal para dotar a los municipios de mayores herramientas que permitan agilizar su operación administrativa y atender con mayor prontitud las necesidades de la población. Uno de los principales cambios consiste en eliminar la disposición que otorga al ayuntamiento la atribución de facultar al presidente municipal para celebrar contratos con particulares e instituciones oficiales sobre asuntos de interés público.</t>
  </si>
  <si>
    <t>La Procuraduría General de Justicia del Estado de Hidalgo se coloca en los primeros lugares en la resolución de investigaciones y justicia alternativa.De acuerdo con los resultados del Censo Nacional de Procuración de Justicia Federal y Estatal 2026, publicados por el Instituto Nacional de Estadística y Geografía (INEGI), la Procuraduría General de Justicia del Estado de Hidalgo registró durante 2025 resultados relevantes en materia de investigación, judicialización y mecanismos alternativos de solución de controversias.</t>
  </si>
  <si>
    <t>Onésimo Serrano Rivera será el encargado de comparecer en el Congreso Estatal como encargado de la Oficina de la Unidad de Planeación y Prospectiva.</t>
  </si>
  <si>
    <t>Comparecencias</t>
  </si>
  <si>
    <t>Agentes de la Secretaría de Seguridad Pública de Hidalgo (SSPH) detuvieron a un hombre y una mujer, quienes presuntamente realizaron un pago con dinero falso en un establecimiento comercial del municipio de Huasca de Ocampo .</t>
  </si>
  <si>
    <t>Los cuerpos que fueron exhumados en una localidad allá en Cañada en Atotonilco de Tula se encontraban en un predio no apto para panteón.</t>
  </si>
  <si>
    <t>Exhumación</t>
  </si>
  <si>
    <t>El gobernador Julio Menchaca aseguró que es ilegal la entrada de Uber aquí a Hidalgo.</t>
  </si>
  <si>
    <t>Eulalio Larrieta agradece a Edith Balderas de la Secretaria de Educación Pública.</t>
  </si>
  <si>
    <t>La Comisión de Agua y Alcantarillado del Municipio de Tulancingo, informa la suspensión de agua por trabajado de cambio de válvula en un pozo de San Nicolás El Chico.</t>
  </si>
  <si>
    <t>Reparación De Tubería</t>
  </si>
  <si>
    <t>Una persona perdió la vida el 7 de octubre de 2026 tras la volcadura de un automóvil compacto en la carretera estatal Pachuca-Actopan, a la altura del barrio El Judío, en los límites de Pachuca y San Agustín Tlaxiaca. Cuerpos de emergencia y personal pericial acudieron al sitio para realizar las diligencias correspondientes, sin que las autoridades informaran inicialmente la identidad de la víctima.</t>
  </si>
  <si>
    <t>Un hombre sobrevivió a un ataque con arma de fuego, al ser atacado por los ocupantes de una moto, en calles del centro del municipio de Tlaxcoapan. La víctima, un hombre de entre 35 a 40 años de edad caminaba sobre la calle 20 de Noviembre cuando fue atacado por los ocupantes del vehículo ligero. El ataque armado fue sin mediar palabra y de manera prácticamente directa a centímetros de distancia; el hombre logró arrastrarse y refugiarse en un negocio cercano en un intento desesperado por salvar su vida. Los agresores huyeron del sitio, sin importar la situación del lesionado; al sitio acudieron elementos policiacos, tras recibir notificación sobre el ataque. Personal de la Procuraduría General de Justicia del Estado de Hidalgo acudieron para iniciar las investigaciones respectivas al caso. Hasta el momento no se reportan personas detenidas que pudieran estar relacionadas con el ataque con arma de fuego.</t>
  </si>
  <si>
    <t>Ataque Armado</t>
  </si>
  <si>
    <t>suspención de agua por cambio de cálvula caasim</t>
  </si>
  <si>
    <t>SSPH desmantela punto presuntamente utilizado para la venta y distribución de narcóticos en Tlaxcoapan</t>
  </si>
  <si>
    <t>Un incendio registrado en un predio de la colonia Ampliación Rojo Gómez, en Tulancingo, movilizó a elementos del H. Cuerpo de Bomberos, quienes acudieron para controlar la quema de material acumulado de recicljae y llantas en el lugar. La emergencia generó una densa columna de humo, además de preocupación entre habitantes de la zona debido a la cercanía del fuego con inmuebles aledaños. Ante estas condiciones y como medida preventiva, las autoridades determinaron la evacuación de alumnos y personal de la Telesecundaria 449 «Ignacio Manuel Altamirano», con el objetivo de evitar que estudiantes y trabajadores quedaran expuestos al humo o a algún posible avance de las llamas.</t>
  </si>
  <si>
    <t>Una mujer fue localizada sin vida al fondo de una barranca durante la tarde de este miércoles, en las inmediaciones de la zona conocida como la bajada de La Cruz, en la colonia La Peña, municipio de Mixquiahuala de Juárez.Unirse a causas El hallazgo fue realizado por personas que transitaban por el lugar, quienes alertaron a las autoridades tras observar el cuerpo. Al sitio arribaron elementos de la Policía Municipal, quienes acordonaron el área para preservar posibles indicios y permitir el desarrollo de las diligencias correspondientes. De manera preliminar, se informó que la víctima sería una mujer joven, quien vestía pantalón negro y presentaba ropa desgarrada. Hasta el momento, su identidad no ha sido confirmada oficialmente. Personal especializado realizó las labores correspondientes para recuperar el cuerpo y trasladarlo al Servicio Médico Forense (Semefo), donde se practicarán los estudios de ley. Las autoridades mantienen las investigaciones en curso para determinar las circunstancias y causas del deceso, así como establecer la identidad de la víctima.Superar el duelo</t>
  </si>
  <si>
    <t>La tarde de este miércoles se registró el hallazgo de un cuerpo al interior de una cisterna en la comunidad de Acayuca, municipio de Zapotlán de Juárez. El hecho ocurrió sobre avenida Revolución, sitio al que acudieron elementos de la Policía Municipal, Bomberos y una ambulancia para atender la emergencia. De manera preliminar, trascendió que la persona localizada podría corresponder a Héctor Hugo Palacios Pacheco, quien contaba con un reporte de desaparición desde el pasado 16 de septiembre; sin embargo, esta información no ha sido confirmada de manera oficial.</t>
  </si>
  <si>
    <t>Policías de la Dirección de Seguridad Pública de Tulancingo rescataron esta noche a un hombre señalado como probable ladrón, quien era golpeado por vecinos de la colonia Zapotlán de Allende. El incidente movilizó a por lo menos cinco patrullas y una veintena de uniformados, incluidos oficiales del área de Movilidad y Transporte, quienes intervinieron para evitar que los habitantes continuaran agrediendo al individuo. En videos difundidos a través de grupos de WhatsApp y redes sociales se observa cómo los policías rodean al hombre y lo trasladan para ponerlo a salvo, mientras varios vecinos los siguen e incluso consiguen golpearlo en repetidas ocasiones e intentan arrebatárselo a los agentes. Finalmente, el señalado fue subido a la batea de una patrulla y trasladado al área de retención del cuartel general de Seguridad Pública. De acuerdo con el procedimiento, permanecerá retenido mientras se define su situación.</t>
  </si>
  <si>
    <t>Justicia Por Propia Mano</t>
  </si>
  <si>
    <t>será emitida convocatoria para candidaturas a gobierno municipales morena ariatna montie</t>
  </si>
  <si>
    <t>El presidente de la Junta de la Mesa Directiva del Congreso local, este Juan Pablo Escalante, dio a conocer que el próximo jueves 22 de octubre a las 4 de la tarde va a comparecer el oficial mayor del Gobierno del Estado, Orlando Ángeles Pérez, como parte del cuarto informe de la glosa del cuarto informe de gobierno que encabeza Julio Menchaca Salazar en Hidalgo. Es la primera vez que va a comparecer el oficial mayor. Y por su parte, eh por su oficina pasan autorizaciones de presupuestos, de acciones, de obras, etcétera, etcétera. La comparecencia de Onésimo Serrano, actualmente encargado de la Unidad de Planeación y Prospectiva, será el martes 20 de octubre; o sea, van a hacer un ajuste en cuanto a las comparecencias. De acuerdo con la Ley Orgánica de la Administración Pública del Estado, es el área encargada de administrar los recursos humanos, materiales y administrativos del Poder Ejecutivo estatal, así como coordinar las compras, contrataciones y servicios necesarios para la operación del gobierno.</t>
  </si>
  <si>
    <t>Oficialía Mayor</t>
  </si>
  <si>
    <t>Luego de la última reforma al Código Electoral del Estado de Hidalgo, serán menos los cargos que los hidalguenses elegirán el próximo 6 de junio de 2027, ya que en los 84 ayuntamientos desaparecen 14 sindicaturas y 160 regidurías. Además del argumento de austeridad, los cambios responden al nuevo diseño constitucional y buscan racionalizar el tamaño de los cabildos, aunque mantienen espacios de representación proporcional para las fuerzas políticas distintas a la mayoritaria. El artículo 16 del Código Electoral establece que los ayuntamientos con menos de 20 mil habitantes tendrán una sindicatura de mayoría relativa, cuatro regidurías de mayoría relativa y tres de representación proporcional. Los municipios con población de 20 mil a 50 mil habitantes contarán con una sindicatura de mayoría relativa, cinco regidurías de mayoría y cuatro de representación proporcional; mientras que aquellos con más de 50 mil habitantes tendrán una sindicatura y 15 regidurías: ocho de mayoría relativa y siete de representación proporcional. En la legislación anterior estaban en disputa mil 94 cargos municipales: 84 presidencias, 98 sindicaturas y 912 regidurías. La nueva integración reduce la cifra a 920 cargos: 84 presidencias, 84 sindicaturas y 752 regidurías, es decir, 174 posiciones menos, una reducción de casi 16 por ciento. De acuerdo con la Encuesta Intercensal 2025 del Instituto Nacional de Estadística y Geografía (INEGI), 42 municipios tienen menos de 20 mil habitantes, por lo que sus ayuntamientos estarán integrados por un presidente, un síndico y siete regidores. Otros 28 municipios, con poblaciones de entre 20 mil y 50 mil habitantes, tendrán un presidente, un síndico y nueve regidores. En tanto, los 14 municipios con más de 50 mil habitantes —entre ellos Pachuca, Mineral de la Reforma, Tulancingo, Tizayuca, Tula de Allende, Huejutla y Tepeji del Río— tendrán un presidente, un síndico y 15 regidores. La reducción de espacios ocurre en un escenario donde aumenta el número de fuerzas políticas que podrían participar en la elección. Hasta ahora son 11: ocho partidos nacionales —PAN, PRI, PT, PVEM, MC, Morena, PAZ y Somos— y tres con registro local: Nueva Alianza Hidalgo, PRD Hidalgo y Encuentro Solidario Hidalgo. En el caso de Espacio Hidalgo, continúa la etapa impugnativa para recuperar su acreditación, luego de perderla por no alcanzar el número mínimo de afiliados. Así, mientras habrá menos posiciones disponibles en los cabildos, serán más las fuerzas políticas que buscarán ocuparlas. Sin coaliciones, el número de candidaturas municipales podría superar las 10 mil, aunque la cifra final dependerá de las alianzas y reglas de postulación que se definan para el proceso. Además de los ayuntamientos, en 2027 se renovarán en Hidalgo siete diputaciones federales y las 30 diputaciones del Congreso local, 18 de mayoría relativa y 12 de representación proporcional. A nivel nacional estarán en disputa más de 19 mil cargos de elección popular, incluida la renovación de las 500 diputaciones federales. Para Hidalgo, sin embargo, la elección municipal tendrá una particularidad: habrá menos cargos que repartir, pero más fuerzas políticas buscando un lugar dentro de los 84 cabildos.</t>
  </si>
  <si>
    <t>Reforma Electoral</t>
  </si>
  <si>
    <t>Danién Martínez respecto a que aprueba el Congreso de Hidalgo que municipios celebren contratos sin aprobación de Cabildo, que esto es muy malo porque se puede prestar para malos manejos. Le parece un retroceso y asevera que se parecen tanto a los que criticaban</t>
  </si>
  <si>
    <t>Con una discusión entre diputados del Congreso del Estado de Hidalgo, fue aprobada, con 23 votos a favor y siete en contra, la reforma constitucional en materia de modernización de la gestión administrativa municipal. Una de las modificaciones legales consiste en eliminar la disposición que otorga al Ayuntamiento la atribución de facultar al presidente municipal para celebrar contratos con particulares e instituciones oficiales sobre asuntos de interés público. De acuerdo con el diputado de Movimiento de Regeneración Nacional (Morena), Miguel Moreno, se elimina la autorización del Cabildo para celebrar contratos de interés público, con el objetivo de dar mayor agilidad a sus administraciones y facilitar el cumplimiento de sus responsabilidades frente a la ciudadanía. El dictamen contempla que el Ayuntamiento conserve la facultad de decidir sobre ciertos asuntos que pueden tener efectos importantes o durar más allá de la administración municipal actual, pero para aprobarlos necesita una mayoría especial: dos terceras partes de todos sus integrantes. La diputada del PRI, Johanna Montcerrat Hernández, se pronunció en contra al señalar que la reforma busca que los regidores no tengan facultad de votar los contratos y convenios que comprometan a los municipios; además, pone en riesgo la integridad jurídica de los alcaldes. Su compañero de bancada, Marco Mendoza, señaló que se perpetra la “muerte del municipio libre”, pues señaló que al romperse el equilibrio, se elimina el debate público. Por su parte, la diputada del PAN, Claudia Lilia Luna, al señalar que las leyes de ingresos se realizan de manera colegiada y que, para su aplicación, no se puede dejar todo en una sola persona. Además, afirmó que los regidores no tendrán voz ni voto. El diputado José María Alejandro, de Nueva Alianza, dijo que actualmente el proceso de adquisición pública es lento y burocrático, y que quitar el candado permite atender con prontitud las necesidades sociales. Por Movimiento Ciudadano, el diputado Alejandro Alcántara Carbajal asumió que se quitan contrapesos y aseguró que las decisiones deben tomarse de forma colegiada y que el poder no debe recaer sobre una sola persona. La legisladora Diana Rangel expresó que las autoridades municipales continuarán obligadas a actuar conforme a la ley, al presupuesto autorizado y a las disposiciones en materia de transparencia y fiscalización. Agregó que se busca confundir a la población, pues no se eliminan contrapesos, ya que se busca hacer una administración pública más ágil y cercana al pueblo. Los legisladores que votaron en contra fueron Tania Meza y Cinthia Citlali Delgado, de Morena; Marco Mendoza y Johanna Montcerrat, del PRI; así como Karla Perales y Alejandro Alcántara, de Movimiento Ciudadano. El dictamen debe ser aprobado por más de la mitad de los cabildos para que pueda ser avalada y con ello que entre en vigor.</t>
  </si>
  <si>
    <t>Habitantes de la comunidad de las Ánimas, municipio de Cuautepec de Hinojosa, Hidalgo reportaron el colapso de una coladera y de la red de drenaje que lleva más de siete semanas derramando desechos a cielo abierto, generando olores insoportables, proliferación de fauna nociva y un riesgo sanitario para quienes transitan diariamente por la zona.Consultar atlas De acuerdo con quejas ciudadanas, el problema afecta a todas las personas que utilizan este camino todos los días, debido al olor desagradable que emerge de forma permanente y que se vuelve insoportable.Filtros de agua Los vecinos señalaron que el problema no es nuevo y viene de administraciones pasadas, cuando el proyecto de drenaje no se ejecutó en forma correcta y únicamente se le dio salida provisional con unos tubos, lo que desde entonces perjudica a comunidades vecinas con el desagüe. La situación ha generado la propagación de plagas como moscos y ratas, además de cuadros de infección sanitaria, ya que los desechos son arrastrados por las llantas de vehículos y motocicletas que circulan por el lugar. Advirtieron que la problemática se agrava en temporada de lluvias, cuando las aguas negras se mezclan con el agua pluvial y son arrastradas hasta llegar a la Laguna de Tecocomulco, provocando contaminación ambiental en este cuerpo de agua. Ante ello, hacen un llamado urgente a las autoridades correspondientes, para que tomen cartas en el asunto y den una solución definitiva.</t>
  </si>
  <si>
    <t>Fuga De Drenaje</t>
  </si>
  <si>
    <t>Los cuernudos de Calnali llevarán el carnaval de la Huasteca al Festival Internacional Cervantino</t>
  </si>
  <si>
    <t>Cultura</t>
  </si>
  <si>
    <t>Carnavales</t>
  </si>
  <si>
    <t>El gobernador Julio Menchaca Salazar no descartó la posibilidad de implementar de manera permanente el servicio nocturno del Sistema de Transporte Metropolitano (Tuzobús), como se brindaba en la anterior administración. El titular del Ejecutivo estatal señaló que, con la reciente inversión para la adquisición de 140 nuevas unidades para el transporte masivo, ha aumentado considerablemente el número de personas que utilizan este servicio a diario. Además, se trabaja en la modernización de las estaciones, por lo que “Si el mercado, si la población requiere, deben de ampliarse los horarios”, señaló el mandatario, al considerar que se debe aprovechar la inversión realizada en el sistema de transporte. “Lo importante es que se utilice esta inversión, que le dé comodidad y que le dé seguridad a los usuarios”. Normalmente, el servicio del Tuzobús se brinda de lunes a viernes de 5:30 de la mañana a 10:30 de la noche; los sábados, de 6 de la mañana a diez de la noche, y los domingos, de 7 de la mañana a diez de la noche. Con motivo de la Feria San Francisco 2026, se implementó un operativo especial nocturno con unidades tipo vagoneta, que ofrecen servicio de las once de la noche a las tres de la madrugada, con un recorrido desde la Central de Téllez hasta el Centro Histórico de Pachuca. Mientras que el servicio troncal se extendió hasta las once de la noche, con ascenso y descenso de pasajeros en las estaciones Vicente Segura y Juan C. Doria por su cercanía al recinto.</t>
  </si>
  <si>
    <t>Ampliación de horario</t>
  </si>
  <si>
    <t>El Ayuntamiento de Pachuca informó que han retirado 292 anuncios irregulares, entre espectaculares colocados sobre viviendas, estructuras instaladas en camellones y publicidad que obstruía banquetas y espacios destinados al paso peatonal. El presidente municipal, Jorge Alberto Reyes Hernández, explicó que su administración mantiene un operativo permanente de inspección para identificar anuncios que incumplen con la normativa de imagen urbana, particularmente aquellos espectaculares instalados sobre techos de viviendas o edificios pequeños. Señaló que actualmente se realiza un censo y se han emitido diversas notificaciones, principalmente en zonas como el bulevar Felipe Ángeles, a la altura de Venta Prieta, donde se han detectado estructuras que, de acuerdo con el municipio, no cumplen con las características establecidas en la Ley de Imagen Urbana. Reyes Hernández indicó que algunos propietarios ya aceptaron retirar las estructuras, mientras que otros han recurrido a recursos legales para evitar su retiro. “Hay más de 10 notificaciones, incluso ya hay algunos que se han amparado para no retirarlos”, explicó el presidente municipal, quien agregó que hasta el momento se tienen identificados cuatro amparos relacionados con estos procedimientos. Jorge Reyes también informó que el municipio de Pachuca implementó un operativo para ordenar el tránsito y estacionamiento en los alrededores del Palacio de Gobierno de Hidalgo. Explicó que se retiraron vehículos y comerciantes de las laterales para evitar estacionamientos en doble fila y mejorar el ascenso y descenso del transporte público. Además, se habilitó y delimitó una bahía para que taxis, combis y unidades de transporte puedan realizar estas maniobras sin bloquear la circulación. El alcalde advirtió que los vehículos que se estacionen en doble fila serán sancionados, independientemente de si pertenecen a particulares, funcionarios públicos o dependencias gubernamentales. Las acciones de ordenamiento también comenzaron sobre la avenida Madero, donde se pretende delimitar los espacios de estacionamiento y evitar que los vehículos ocupen hasta dos o tres filas.</t>
  </si>
  <si>
    <t>Imagen Urbana</t>
  </si>
  <si>
    <t>El gobierno municipal de Pachuca analiza la posible reinstalación de parquímetros en distintos espacios, como la colonia Periodistas, algunos espacios del centro de la ciudad, así como la Zona Plateada. Lo anterior fue informado por el alcalde Jorge Reyes Hernández, señalando que se ha iniciado diálogo con comerciantes y habitantes de los sectores considerados para conocer su opinión sobre la reinstalación de los parquímetros. Puntualizó que la propuesta inicial es que los aparatos se instalen donde no han estado operando, quedando pendiente sugerencias sobre su ubicación. Lo anterior, debido a que proyecto no se ha podido avanzar en el proceso legal que mantiene el municipio con la empresa que anteriormente operaba los parquímetros. De acuerdo a lo señalado por el Tribunal Administrativo, dicha resolución podría tardar un buen lapso de tiempo, incluso años. La propuesta contempla un sistema digital que permita realizar pagos mediante aplicaciones o recargas en tiendas de conveniencia. Se trataría de una propuesta diferente a la forma en la que operaban los anteriores aparatos, los cuales fueron retirados durante la anterior administración municipal. Cabe señalar que el retiro se concretó luego de protestas y manifestaciones por parte de vecinos de las zonas donde se habían colocado originalmente los aparatos. Pero sobre todo, por el inicio de un proceso administrativo donde se exigían pagos a la empresa a cargo del funcionamiento de los parquímetros, reclamando pagos que se deberían realizar al gobierno municipal.</t>
  </si>
  <si>
    <t>Parquímetros</t>
  </si>
  <si>
    <t>Con el inicio de la temporada de frentes fríos 2026, el Gobierno Municipal de Tulancingo mantiene vigilancia permanente sobre las condiciones meteorológicas y fortalece las acciones preventivas para proteger a la población ante posibles descensos de temperatura, lluvias, fuertes vientos y otros efectos asociados a estos fenómenos. Jesús García Ávila, director de Protección Civil, informó que, de acuerdo con el Servicio Meteorológico Nacional (SMN), se prevé la presencia de 56 frentes fríos durante la temporada, que podría extenderse hasta mayo de 2027. Detalló que para octubre se pronostican siete sistemas frontales; ocho en noviembre, nueve en diciembre, ocho en enero de 2027, siete en febrero, seis en marzo, seis en abril y dos en mayo. Ante este escenario, señaló que por instrucciones de la presidenta municipal Lorena García Cázares, se mantiene un seguimiento puntual de la evolución de los fenómenos meteorológicos, con especial atención a las condiciones que pudieran representar algún riesgo para la población. Explicó que durante esta temporada las masas de aire frío provenientes de Canadá y Estados Unidos, al interactuar con humedad, pueden generar condiciones para la presencia de lluvias, fuertes vientos, tormentas eléctricas e incluso tormentas invernales en algunas regiones del país. Asimismo, se prevé que durante los próximos días continúe el descenso de temperaturas en regiones del norte y centro de México, debido a la interacción de sistemas frontales con zonas de baja presión y canales de humedad. Por ello, Protección Civil Municipal recomienda a la población vestirse en capas y cubrir adecuadamente rostro, cabeza, manos y oídos; consumir alimentos nutritivos y bebidas calientes; además de cubrir nariz y boca al salir de lugares templados, con el propósito de reducir los efectos de los cambios bruscos de temperatura. Finalmente, el funcionario exhortó a las familias a mantenerse atentas a los comunicados oficiales y evitar difundir información no confirmada, recordando que la prevención comienza en casa y que mantenerse informados permite tomar mejores decisiones ante cualquier eventualidad.</t>
  </si>
  <si>
    <t>Tras dos días de fuertes lluvias en buena parte del Estado de Hidalgo, lo que derivó que se estableciera semáforo rojo sobre todo para el norte de la entidad, a partir del miércoles 7 de octubre se activó el semáforo amarillo. La Subsecretaría de Protección Civil y Gestión de Riesgos estatal estableció bajar la alerta, al bajar la cantidad de descargas pluviales, así como de vientos que le acompañan. Sin embargo, aún existe presencia de encharcamientos, escurrimientos e incremento en los niveles de ríos y arroyos, además de favorecer deslaves y derrumbes en zonas susceptibles. Debido a la humedad acumulada en el terreno por las lluvias de los últimos días, las autoridades mantienen el llamado a la población a mantener las medidas preventivas, especialmente en zonas de ladera, cauces y caminos que han presentado afectaciones. Se pidió a la población a mantenerse alerta, consultar los canales oficiales y atender las indicaciones de Protección Civil, además de tener sus documentos a la mano, protegidos y listos para transporta. Así como ubicar los puntos de reunión y refugios temporales indicados por las autoridades. 169 escuelas públicas privadas de educación básica en Hidalgo suspendieron clases presenciales el día de ayer mi La subsecretaría de educación básica y de la Secretar de Educación Pública de Hidalgo reportó que las 169 escuelas activaron las clases a distancia como medida preventiva cifra que redujo en comparación con los 177 planteles que se suspendieron actividades el día martes 6 de octubre. Se mantuvo el semáforo rojo por las lluvias. Entre las escuelas con suspensión se encuentran 10 planteles de educación inicial y preescolar indígena, 53 de preescolar general, además de 64 primarias, 40 secundarias y dos secundarias generales, donde los alumnos continúan con actividades en línea. La SEP Hidalgo informó que continúa pendiente de la evolución de las condiciones climáticas y en comunicación permanente con las autoridades escolares con el fin de priorizar la seguridad y el bienestar de estudiantes, docentes y personal educativo. algunos municipios donde se suspendieron clases fueron en Molango, Tlanchinol, Mestitlán, Lolotla, Tepehuacán de Guerrero, Juárez, Juárez Hidalgo, Tlahuiltepa, Molango, Xochicuatlán y Calnali.</t>
  </si>
  <si>
    <t>Inspectores del Sistema de Transporte Masivo de Hidalgo (Sitmah), fueron agredidos por un automovilista particular, quien luego de insultarlos verbalmente, les arrojó un líquido caliente. La situación se registró la mañana del miércoles 7 de octubre al exterior de la estación San Antonio, en sentido sur. El hecho sucedió mientras el personal del organismo realizaba labores de supervisión y vigilancia, durante las cuales se intervino a una persona motociclista por hacer uso indebido del carril confinado. Mientras se desarrollaba esta intervención, una persona totalmente ajena al asunto a bordo de un vehículo particular que circulaba por los carriles centrales se aproximó al lugar y agredió de manera física y verbal a personal del Sitmah. Ante esta situación, uno de los inspectores realizó una intervención para contener la agresión por parte del automovilista. Posteriormente, la persona señalada como agresora se retiró del lugar, pero regresó para arrojar líquido hirviente en contra del personal de inspección. Derivado de estos hechos, se procedió el inicio de una carpeta de investigación ante la autoridad competente, a fin de que se determine la posible responsabilidad de la persona involucrada conforme a derecho. Hasta el momento no se ha dado a conocer el estado de salud de los inspectores agredidos; tampoco se conoce de alguna persona detenida, como responsable de la situación.</t>
  </si>
  <si>
    <t>61 niñas, niños y adolescentes han encontrado un nuevo hogar durante la actual administración del Sistema DIF Hidalgo, sumados tres menores de edad más, quienes fueron integrados a sus nuevas familias en ceremonia realizada el pasado 1 de octubre. La presidenta del Patronato del organismo asistencial estatal, Edda Vite Ramos, informó que actualmente el DIF Hidalgo tiene a 16 adolescentes susceptibles de adopción. Sin embargo, no hay familias interesadas en incluirlas a sus hogares, debido a que presentan alguna condición de discapacidad física, motriz o intelectual leve. “Generalmente han estado al cuidado del Sistema DIF Hidalgo a lo largo de su vida, principalmente porque no encontramos familias que tengan la disposición o la apertura de incorporar a su núcleo familiar a un niño o niña con estas características”. Entre los niños que en esta ocasión se integraron a sus nuevas familias bajo el programa denominado “Puente de Amor”, se encuentra Elías Gabriel, de dos años y dos meses, quien encontró un hogar después de dos años de espera y procedimientos. Él pequeño, quien tiene acondroplasia, un trastorno genético que afecta el crecimiento óseo; fue recibido con cariño por su padre, Elías, y su madre, Juana Elena. La titular de la Procuraduría de Protección de Niñas, Niños, Adolescentes y la Familia del Sistema DIF Hidalgo, Laura Karina Ramírez Jiménez, explicó que el proceso certificado para determinar la viabilidad de las familias solicitantes tiene una duración desde seis meses, siempre que cumplan con los requisitos establecidos por la ley. Entre los procedimientos se encuentran las valoraciones psicométricas y socioeconómicas, así como la integración de los documentos que deben presentarse ante el juzgado para acreditar que las personas solicitantes cuentan con las condiciones necesarias para adoptar. “La espera radica principalmente en encontrar las habilidades en la familia de acuerdo con las necesidades en particular que tienen las niñas y niños susceptibles de adopción”. Entre los principales factores que pueden determinar que una solicitud no sea viable se encuentran los duelos no resueltos, los problemas de violencia o los conflictos en la pareja, así como los casos en los que las personas buscan resolver expectativas personales mediante la adopción. “Lo que buscamos en la adopción es restituir el derecho de niñas y niños a vivir en familia, y buscamos aquellas familias que auténticamente quieran ejercer una paternidad y maternidad responsables respecto de niñas y niños que tienen derecho a vivir en familia”, señaló la funcionaria.</t>
  </si>
  <si>
    <t>Adopción De Menores</t>
  </si>
  <si>
    <t>Dos de cada diez casos de violencia vicaria registrados en la región Tulancingo son atendidos por la Instancia Municipal de las Mujeres, ofreciendo apoyo sicológico, así como asesoría jurídica. Abigail de la Cruz Morales, titular del espacio de atención social, recordó que se considera violencia vicaria cuando niñas, niños o adolescentes son utilizados como medio para provocar daño a la madre. Ello se presenta desde amenazas relacionadas con los hijos hasta la obstaculización de la convivencia, la retención o sustracción de menores y la manipulación para generar rechazo hacia la madre. En ocasiones, no es tan evidente la violencia vicaria, como en los casos donde se utiliza a los hijos para obtener información sobre la madre o involucrarlos en los conflictos entre los progenitores. También puede ocurrir que se hace participar a los hijos en procesos o situaciones familiares y legales como mecanismos de presión. De la Cruz Morales señaló que estas situaciones requieren de apoyo sicológico tanto para hijas e hijos involucrados, como para las madres de estos. Luego de realizar la estabilización emocional, se otorga asesoría jurídica en los casos que la madre acepte, y de acuerdo al conflicto que deba enfrentar, con acompañamiento en todos los casos. Los servicios que otorga la Instancia Municipal de la Mujer, como los señalados y otros más que otorgan, son de forma completamente gratuita. La funcionaria municipal reconoció que este tipo de casos son complicados que sean denunciados por la madre afectada, por lo que señaló que es fundamental que exista una red de apoyo, conformada por amigos, vecinos o familiares cercanos. A través de ellos se puede lograr la canalización de la mujer a atender, así como dar seguimiento a las etapas de acompañamiento y atención. La oficina de la Instancia Municipal de las Mujeres se encuentra en calle Tolteca esquina Azteca, en la colonia Guadalupe.</t>
  </si>
  <si>
    <t>Violencia Vicaria</t>
  </si>
  <si>
    <t>Hidalgo alcanza 93.26% de efectividad en localización de personas</t>
  </si>
  <si>
    <t>Búsqueda de personas</t>
  </si>
  <si>
    <t>Elementos de la Secretaría de Seguridad Pública de Pachuca intervinieron ante un reporte ciudadano relacionado con la posible comercialización de sustancias ilícitas en inmediaciones de una tienda ubicada en la calle Gómez Farías, en el barrio de Santiago y Arizpe, colonia La Surtidora. Durante recorridos de vigilancia sobre la calle Bartolomé de Medina, un ciudadano informó a los agentes sobre la presencia de una persona que presuntamente ofrecía pequeñas dosis de una sustancia. En atención al reporte, los elementos se trasladaron al sitio, donde localizaron a un hombre cuyas características coincidían con las proporcionadas. Al realizar una inspección preventiva, le fue localizada en una cartera de color café, que llevaba en la bolsa frontal izquierda de su pantalón, ocho bolsas tipo ziploc transparentes que contenían un material blanco granulado, con un peso aproximado de 5.66 gramos. El hombre fue detenido y puesto a disposición del Ministerio Público de la Procuraduría General de Justicia del Estado de Hidalgo, junto con el material asegurado, para las investigaciones correspondientes y el deslinde de responsabilidades.</t>
  </si>
  <si>
    <t>La SIPDUS informa sobre las siguientes acciones realizadas en las últimas horas, a fin de retirar material de derrumbes y habilitar la circulación en caminos y carreteras que resultaron afectadas a causa de las recientes lluvias.</t>
  </si>
  <si>
    <t>Como parte de la estrategia de cercanía impulsada por el presidente municipal Jorge Reyes, el Gobierno de Pachuca llevó la jornada Colonia x Colonia al fraccionamiento Bugambilias, donde se realizaron 564 acciones en beneficio de las y los vecinos. En estas jornadas, la ciudadanía puede encontrar en su propia colonia personal de las distintas áreas del Ayuntamiento, realizar trámites, plantear solicitudes y recibir orientación sobre los servicios municipales, sin necesidad de trasladarse hasta las oficinas. La presencia de las dependencias en Bugambilias permitió que las familias expusieran inquietudes relacionadas con su entorno y conocieran de primera mano las alternativas y procedimientos disponibles para resolver distintos planteamientos. “Queremos que las familias sepan que el Ayuntamiento está cerca y que pueden encontrar en su propia colonia a las áreas que pueden ayudarles a resolver sus necesidades”, señaló Jorge Reyes. La estrategia Colonia x Colonia continuará en diferentes puntos de Pachuca, con el propósito de mantener una presencia constante del Ayuntamiento en la ciudad.</t>
  </si>
  <si>
    <t>Invierten 20.4 mdp a nuevo Bachillerato Nacional en Tezontepec de Aldama</t>
  </si>
  <si>
    <t>Ayer los diputados de la LXVI Legislatura del Congreso, en uso de sus facultades, la Junta de Gobierno y como parte de los ejercicios de análisis y rendición de cuentas, bueno pues, acordaron la comparecencia del titular de la Oficialía Mayor del Gobierno del Estado, Edgar Orlando Ángeles Pérez, quien acudirá ante ese pleno el próximo 22 de octubre a las 4 de la tarde, con el objetivo de abonar, de impulsar, de enraizar la cultura de la transparencia. En las comparecencias anteriores, no solamente del gobernador Julio Menchaca sino de todas las que se llevaron anteriormente, los oficiales mayores no comparecían. El propósito de este llamado, de esta invitación a al oficial mayor es abonar a la transparencia y explicarle a los diputados y por supuesto a todos los hidalguenses cómo, cuándo y en qué, pero también por qué se gasta el dinero público.</t>
  </si>
  <si>
    <t>La madrugada de este día se presentó un incendio de un vehículo en la carretera Pachuca-Ciudad Sahagún, en su tramo correspondiente a Zempoala. Personal de Bomberos acudió al lugar, aparentemente este incidente esta conflagración se presentó por una falla mecánica, no se reportan personas lesionadas, solamente daños materiales.</t>
  </si>
  <si>
    <t>En Zempoala sigue el problema entre esta regidora, esta integrante del cabildo que fue separada de su cargo y el presidente municipal de Zempoala, Don Sinyué Ramírez. Este, la regidora pues sube videos, hace denuncias públicas. Ya le clausuraron su oficina, ya no la dejan entrar ni dejan que saque cosas. Bueno, la cosa se está poniendo muy complicada allá en Zempoala en términos de pues este quién tiene la razón y quién no la tiene. El asunto es que eh pues hay una crisis de, yo diría, credibilidad en el Ayuntamiento de Zempoala.</t>
  </si>
  <si>
    <t>Desavenencias</t>
  </si>
  <si>
    <t>El gobernador Julio Menchaca Salazar asistió a los festejos conmemorativos realizados en el Auditorio Nacional en la Ciudad de México. Comenta en sus redes: "La fuerza de la Cuarta Transformación en México y su gente en estos 15 años ha dejado su lucha por un país más justo. Seguimos trabajando sin descanso, siempre con el pueblo y para el pueblo". El gobernador se tomó una fotografía ahí tras bambalinas, tras backstage en el Auditorio Nacional con los gobernadores de Morena que asistieron de todo el país, que asistieron a este evento.</t>
  </si>
  <si>
    <t>Conmemoración Aniversario</t>
  </si>
  <si>
    <t>Mañana la presidenta Claudia Sheinbaum Pardo visitará el municipio de Metztitlán para supervisar la clínica del IMSS.</t>
  </si>
  <si>
    <t>Hoy viene Martí Batres, Director General del ISSSTE para realizar una supervisión médica en la Unidad de Medicina Familiar de Actopan.</t>
  </si>
  <si>
    <t>Reocorrido por instalaciones</t>
  </si>
  <si>
    <t>Se anunció que en próximos días se publicará la convocatoria para el registro de aspirantes a las coordinaciones municipales en Hidalgo. Entre los registros recientes a coordinaciones distritales se mencionaron al Dr. Norberto Martínez y Areli Beltrán por Ixmiquilpan.</t>
  </si>
  <si>
    <t>En el Viaducto Río de las Avenidas de Pachuca, una persona se arrojó al vacío y fue impactada por un vehículo que transitaba en el paso a desnivel, falleciendo en el sitio. El túnel permaneció cerrado durante varias horas para los peritajes de la PGJH.</t>
  </si>
  <si>
    <t>Suicidio</t>
  </si>
  <si>
    <t>Ayer el gobernador del estado de Hidalgo en sus redes sociales, sus condolencias, dice el gobernador Julio Menchaca Salazar: "Mis condolencias a mi amigo y compañero, el secretario Guillermo Olivares Reina, y a toda su familia por la lamentable partida de su hermano Cupertino Olivares Reina". Todos los trabajadores de Las Voces Radio nos unimos a este sentimiento, enviamos un abrazo muy cariñoso a nuestro jefe y amigo Guillermo Olivares Reina por esta situación y bueno pues, nos unimos a la pena que embarga a la familia Olivares Reina por esta situación, murió el señor Cuauhtémoc Olivares Reina, hermano del secretario de Gobierno de nuestro estado.</t>
  </si>
  <si>
    <t>Condolencias</t>
  </si>
  <si>
    <t>Las brigadas de empleados, trabajadores, los especialistas en estos temas pertenecientes al sistema de Protección Civil, a la Secretaría de Infraestructura, pues trabajan en las diferentes zonas para restablecer la comunicación en aquellas carreteras donde hubo deslizamiento de materiales, donde hubo derrumbes y bueno, pues prácticamente tenemos en este momento todas las carreteras ya libres, en algunas zonas hay el espacio está limitado, pero la circulación ya se restableció en todas las carreteras, en todas las vías que fueron afectadas.</t>
  </si>
  <si>
    <t>La Subsecretaría de Protección Civil y el Gobierno del Estado mantienen monitoreo permanente en ríos, arroyos, presas y presas de gavión por el temporal de lluvias reciente. Se prevé que las precipitaciones continúen de manera más ligera en la mayor parte de la entidad.</t>
  </si>
  <si>
    <t>Durante la emisión, el especialista deportivo Gustavo Rosales, inició la sección informando sobre el lamentable fallecimiento de "El Búho", un réferi de 70 años en la Arena 11 de Julio de la capital hidalguense. La defunción ocurrió a causa de un martinete, un castigo prohibido por la comisión de box y lucha debido a su alto riesgo. La situación generó una intensa polémica, la clausura del recinto por falta de permisos y la detención del luchador involucrado (hijo de Fishman) mientras avanzan las investigaciones correspondientes.</t>
  </si>
  <si>
    <t>Homicidios</t>
  </si>
  <si>
    <t>Locutor Jesús Riveros da lectura a comentario de radioescucha que señala: "Buenas tardes, ¿por qué diario hay reportes de las colectivas y las autoridades no hacen nada?" Por lo mismo, mire, aquí el reporte, sí, es obviamente que se canalizan, pero es más importante que usted también, que usted también la haga a través de las líneas que le estoy compartiendo. Es bien importante que lo haga, eh, a la Secretaría de Movilidad y Transporte. Recuerde que, en alguna ocasión, solo lo compartimos a a a, perdón, entrevistamos a la titular de la Secretaría de Movilidad y Transporte, quien nos decía que no quede nada más en un reporte, digamos, al aire, sino que también se tiene que hacer de manera, de manera oficial al 800 503 2002, 800 503 2002 o bien al 771 526 1284, 771 526 1284.</t>
  </si>
  <si>
    <t>Queja transporte público</t>
  </si>
  <si>
    <t>Locutor Jesús Riveros da lectura a comentario de radioescucha, que emite una queja ciudadana acompañada de una fotografía en la que se observa a una unidad colectiva de la ruta San José pasarse la luz roja del semáforo sobre la carretera México-Tuxpan. El locutor señaló que esta situación es frecuente en la bajada de San José, provocando accidentes viales que llegan a reportarse al menos una vez al día.</t>
  </si>
  <si>
    <t>El municipio de Tulancingo recuperó un espacio en el parque Nicolás Bravo para establecer un nuevo punto de encuentro cívico y cultural, donde se izará una nueva asta bandera a partir del próximo 19 de octubre. La ceremonia inaugural iniciará a las 9:00 horas con la participación de la Secretaría de la Defensa Nacional, la telesecundaria Nicolás Bravo y el ensamble veranda. De acuerdo con Guadalupe Rodríguez Uribe, secretaria de Cultura, Educación, Deporte y Juventud, se espera la asistencia de unas 300 personas como parte de las acciones para fortalecer la identidad y la memoria colectiva en el municipio.</t>
  </si>
  <si>
    <t>Jesús Riveros envió sus más sinceras condolencias al licenciado Guillermo Olivares Reyna y a la maestra Teresa Olivares Reyna por el sensible fallecimiento de su hermano, don Cupertino Olivares Reyna. El mensaje de solidaridad y apoyo fue externado a nombre de la familia Wong Martínez y del medio NQ La Radio Sin Límites.</t>
  </si>
  <si>
    <t>La Secretaría de Seguridad Pública de Hidalgo, en coordinación con la Procuraduría General de Justicia y la Secretaría de la Defensa Nacional, llevó a cabo operativos en Pachuca y Huasca (en la colonia El Jilotillo y La Palma), logrando el aseguramiento de un total de 3,790 dosis de sustancias ilícitas (entre cristal, marihuana y pastillas), además de equipo de pesaje, comunicaciones y una motocicleta sin placas. Como resultado de estas acciones contra la venta y distribución de droga, tres personas fueron detenidas y puestas a disposición de la autoridad competente.</t>
  </si>
  <si>
    <t>Artesanas y artesanos del Valle del Mezquital suman nuevas técnicas a su trabajo.</t>
  </si>
  <si>
    <t>Capacitación a artesanos</t>
  </si>
  <si>
    <t>Hidalgo alcanza 93.26 % de efectividad en localización de personas</t>
  </si>
  <si>
    <t>El alumno Raúl Emiliano León García, del Colegio de Bachilleres del Estado de Hidalgo (Plantel Tizayuca), participará en la Paranacional CONADE 2026 representando al estado en Guadalajara, Jalisco, del 7 al 10 de octubre. El evento reúne a 2500 atletas juveniles de deporte adaptado en disciplinas como baloncesto en silla de ruedas, atletismo y natación, bajo la organización de la CONADE y la SEP. El director general de COBAE, Rubén López Valdés, reconoció la disciplina y el esfuerzo del estudiante.</t>
  </si>
  <si>
    <t>Paranacionales Conade</t>
  </si>
  <si>
    <t>La Contraloría informó ayer que nace "Transparencia para el Pueblo de Hidalgo", al operar con 12 servidores públicos, Hidalgo da un paso a un nuevo modelo de fiscalización y acceso a la información con la creación del organismo desconcentrado Transferencia Transparencia para el Pueblo de Hidalgo, adscrito a la Secretaría de Contraloría, con una estructura inicial de 12 servidores públicos; la institución va a operar sin comisionados y con salarios homologados al Poder Ejecutivo, logrando un ahorro superior al 50% en el gasto corriente al aprovechar la infraestructura del complejo Hidalgo Honesto. El nuevo organismo tendrá la rectoría para dirigir y vigilar el cumplimiento de las disposiciones de transparencia, apoyándose directamente en las contralorías internas de municipios, dependencias y organismos autónomos. Este modelo de simplificación orgánica se fundamenta en la aprobación unánime emitida por el pleno del Congreso estatal sobre las nuevas leyes de transparencia y de protección de datos personales, alineado al estado de Hidalgo con la estrategia nacional de austeridad.</t>
  </si>
  <si>
    <t>Contraloría</t>
  </si>
  <si>
    <t>Transparencia para el Pueblo</t>
  </si>
  <si>
    <t>Las tradicionales comparsas del carnaval de Calnali llamarán la atención y formarán parte de la gran fiesta de cultura y arte en Guanajuato durante la 54ª edición del Festival Internacional Cervantino. Esta participación destaca con orgullo la trascendencia de la cultura hidalguense a nivel interestatal e internacional, comentó locutor Juan Carlos Santamaría, posterior a dar lectura al Boletín de Cultura.</t>
  </si>
  <si>
    <t>La Junta de Gobierno del Congreso del Estado de Hidalgo acordó la comparecencia del titular de la Oficialía Mayor del Gobierno estatal, Edgar Orlando Ángeles Pérez, quien acudirá ante el Pleno el próximo jueves 22 de octubre a las 16:00 horas. El acuerdo fue establecido de común acuerdo entre el Poder Legislativo y el Poder Ejecutivo, como parte de los ejercicios de análisis y rendición de cuentas, bajo principios de diálogo, coordinación y respeto institucional.</t>
  </si>
  <si>
    <t>La Subsecretaría de Protección Civil y Gestión de Riesgos pronosticó para hoy chubascos, temperaturas mínimas de cero a cinco grados y rachas de viento en el estado de Hidalgo. Se advirtió que el riesgo de deslaves, derrumbes y desprendimientos persiste debido a la humedad acumulada en zonas previamente afectadas. Las autoridades recomendaron extremar precauciones, evitar cruzar corrientes de agua o zonas de riesgo, respetar los cierres carreteros y abrigarse adecuadamente ante las bajas temperaturas.</t>
  </si>
  <si>
    <t>SSPH mantiene apoyo y vigilancia ante afectaciones por lluvias</t>
  </si>
  <si>
    <t>Jesús Riveros lamentó profundamente el fallecimiento de Gerardo Germán Pineda, conocido como "El Búho", un réferi de la lucha libre de más de 70 años originario de la capital hidalguense. El caso se encuentra bajo la investigación de la Procuraduría General de Justicia del Estado de Hidalgo, lo que ha reabierto el debate sobre los límites y los riesgos que enfrentan los involucrados en este deporte.</t>
  </si>
  <si>
    <t>Padres de familia de la escuela telesecundaria número 750, en el barrio de San Miguel, en Ixmiquilpan, se manifestaron la mañana de hoy, jueves, frente a las instalaciones del plantel para acusar sobre cupo de alumnos dentro de los grupos de primer grado, por lo que solicitan la creación de un nuevo grupo de ese año. AUDIO PADRES DE FAMILIA “ La mayoría somos padres del primer año, exigiendo una apertura de un aula, de un aula y de un maestro que asignen para que esa aula tenga un dirigente. Hemos ido a Pachuca en varias ocasiones, hemos tenido algunas respuestas nulas, algunas hasta con burla, que no van a hacer nada, sino si, aunque sea lo que sea Ixniquilpan, no van a hacer nada para vernos un año más o un año más. Y esta es una de las causas que estamos aquí. Exigimos que, por favor, nos den un aula más y un profesor más. El aula ya la hicimos los papás, ni siquiera necesitamos de que SEP o ellos nos las entreguen, ya está hecha por nosotros. Se hizo una cooperación, se hizo varias cosas y el aula ya está hecha. Solamente también necesitamos la aprobación de ellos y algún maestro que nos puedan asignar”</t>
  </si>
  <si>
    <t>Muy negativo</t>
  </si>
  <si>
    <t>La mujer localizada ayer sin vida al fondo de una barranca en la zona conocida como la Bajada de la Cruz, en La Peña, en Mixquiahuala, ya fue reconocida. Según información extraoficial, se trata de una mujer de iniciales NTP, quien era originaria de la colonia La Reforma, en Mixquiahuala de Juárez. La necropsia practicada al cuerpo determinó como causa de fallecimiento asfixia por broncoaspiración, al encontrarse restos de alimentos en las vías respiratorias. Además, se determinó que no habrían identificado huellas visibles de violencia física. Las investigaciones continúan ante la posible participación de terceras personas en este hecho, quienes presuntamente habrían arrojado el cuerpo de la mujer al fondo del barranco para ocultarlo, versiones que deben confirmar las autoridades. El hallazgo fue realizado ayer por ciudadanos que transitaban por la zona, quienes dieron aviso, lo que permitió la intervención de corporaciones de seguridad y personal especializado.</t>
  </si>
  <si>
    <t>Ayer le informé sobre la muerte de un referee allá en Mineral de la Reforma, esto ha puesto sobre la mesa el tema de que el martinete volvió al centro de la conversación sobre la lucha libre tras la muerte del referee Gerardo Germán Pineda, conocido como el búho, durante una función en Mineral de la Reforma. Los reportes señalan que habría recibido este castigo antes de desvanecer sobre el cuadrilátero.La maniobra se caracteriza por colocar al oponente en posición invertida y dirigirlo hacia la lona. Su peligrosidad radica en el impacto que pueden recibir la cabeza y el cuello, por lo que se identifica como un movimiento prohibido en la lucha libre mexicana. El fallecimiento del búho derivó en la detención del hijo de Fishman, el luchador, y en una investigación para esclarecer los hechos. Las investigaciones deberán determinar las responsabilidades correspondientes. Los señalamientos difundidos sobre el martinete no sustituyen los resultados periciales ni permiten establecer por sí solos la causa médica de su fallecimiento.</t>
  </si>
  <si>
    <t>En el Congreso del Estado de Hidalgo, el diputado José Luis Rodríguez Sigarera, habló sobre los trabajos que se llevan a cabo en la presa Endó, destacando que una de las máquinas está descompuesta, así como el retraso de la llegada de nuevas máquinas trituradoras.</t>
  </si>
  <si>
    <t>Presa Endhó</t>
  </si>
  <si>
    <t>Todo parece indicar que el próximo domingo, a temprana hora, alrededor de las ocho de la mañana, se va, se van a inaugurar las canchas de tenis de la unidad deportiva de Tula, unas canchas remodeladas al cien por ciento, van a tener gradas, van a tener luz, van a estar muy bonitas estas gradas, vamos a tratar de confirmar esa información, pero todo parece indicar que serán echadas a andar el próximo domingo.</t>
  </si>
  <si>
    <t>Entrega de obra</t>
  </si>
  <si>
    <t>Enlace clima Luis García de la Conagua en la Republica Mexicana e Hidalgo, zona huasteca máxima de 29 mínima de 20, para la Sierra 25 máxima mínima de 16, Altiplano máxima de 20 mínima de 9, para Pachuca y Tizayuca 19 mínima de 9, en la Zona Tepehua máxima de 25 mínima de 16, Valle de Tulancingo máxima de 19 mínima de 8 en el Valle del Mezquital máxima 21 mínimas de 11 , Huichapan y Tecozayutla máxima 20 y mínima de 11. El nivel de las presas en el estado de Hidalgo es el siguiente: la presa Taxhimay se encuentra al 85.8%; presa Requena al 70.5%; presa Endhó al 101.5%; presa Rojo Gómez al 102.7%; presa Vicente Aguirre al 100.9%; presa La Esperanza al 100% y presa Zimapán al 86.3%.</t>
  </si>
  <si>
    <t>La Subsecretaría de Protección Civil y Gestión de Riesgos alertó por las condiciones meteorológicas previstas para hoy jueves aquí en Hidalgo, donde se esperan intervalos de chubascos de entre 5 y 25 milímetros, además de temperaturas mínimas de 0 a 5 °C. Las autoridades señalaron que las lluvias podrían generar encharcamientos, escurrimientos e incrementos en los niveles de ríos y arroyos, así como deslaves y derrumbes en zonas susceptibles. A estos riesgos se suma la saturación de humedad en el terreno debido a las lluvias registradas durante los últimos días, porque sí que ha llovido, por lo que persisten condiciones de riesgo en zonas de laderas, cauces, caminos y comunidades que ya han presentado algunas afectaciones.</t>
  </si>
  <si>
    <t>Con 346 personas localizadas de 371 reportes iniciados entre enero y septiembre de este año, Hidalgo alcanzó una efectividad del 93.26 por ciento en la localización de personas, informó la Comisión de Búsqueda de Personas del Estado de Hidalgo (CBPEH) durante la Tercera Sesión Ordinaria del Sistema de Búsqueda de Personas 2026.Como parte de la política de cercanía y atención que impulsa el gobernador Julio Menchaca Salazar, se mantiene como prioridad el fortalecimiento de la coordinación institucional, las acciones de búsqueda y, de manera especial, la prevención de situaciones que puedan poner en riesgo a niñas, niños, adolescentes y sus familias.</t>
  </si>
  <si>
    <t>Vía telefonica secretaria de Turismo del Estado de Hidalgo, Elizabeth Quintanar con el tema : 18 Festival del Paste en Real del Monte e Invitación a Feria Pachuca. Por su parte, la secretaria de Turismo de Hidalgo, Liz Quintanar, invitó al Festival del Paste en Real del Monte, destacando la variedad gastronómica de pastes y la oferta cultural. Asimismo, resaltó la cercanía del municipio con la capital, sugirió precauciones al conducir por la neblina o lluvia, y promovió las atracciones de la Feria San Francisco en Pachuca, como el Circo Atayde y el show sobre hielo.</t>
  </si>
  <si>
    <t>Turismo</t>
  </si>
  <si>
    <t>Festival Del Paste</t>
  </si>
  <si>
    <t>Invierten 20.4 millones de pesos a nuevo bachillerato nacional de Tezontepet de Aldama. Natividad Castrejón destacó que el nuevo plantel permitirá ampliar las oportunidades educativas para jóvenes de la región, como parte de las acciones para fortalecer y ampliar la cobertura educativa en Hidalgo. El secretario de Educación Pública del Estado, Natividad Castrejón Valdés, encabezó la colocación de la primera piedra de bachillerato nacional, Margarita Maza, en Tezontepet de Aldama, obra que contará con una inversión de 20.4 millones de pesos.</t>
  </si>
  <si>
    <t>Radioescucha reporta la calle de Cuesco y casi toda la avenida tiene muchos baches nuevamente, piden arreglarla</t>
  </si>
  <si>
    <t>Vialidad En Mal Estado</t>
  </si>
  <si>
    <t>Radioescucha comenta que ya se tardaron en arreglar en Venta Prieta, habían dicho que eran solo 45 dias y ya se pasaron del tiempo</t>
  </si>
  <si>
    <t>Rehabilitación Vial</t>
  </si>
  <si>
    <t>La SIPDUS realiza labores para habilitar caminos y carreteras por las lluvias que han afectado en los ultimos días y en las ultimas horas al estado de Hidalgo</t>
  </si>
  <si>
    <t>El réferi Gerardo Germán Pineda, también conocido como el Búho, murió durante una función de lucha libre realizada la noche del pasado martes en el Deportivo 11 de Julio. Durante la función, el luchador identificado como el hijo de Fishman le dio varios golpes al réferi y le aplicó una llave conocida como el martinete, lo que derivó en un desvanecimiento sobre el ring. Al lugar acudieron paramédicos para brindarle atención, sin embargo, el réferi falleció. De acuerdo con la Procuraduría General de Justicia del Estado de Hidalgo, el hijo de Fishman identificado con las iniciales J.A.N.L., quien participaba como luchador, fue detenido por la autoridad municipal y puesto a disposición del Ministerio Público por hechos posiblemente constitutivos de delito de homicidio culposo, toda vez que los hechos ocurrieron en el desarrollo de un espectáculo deportivo de lucha libre.</t>
  </si>
  <si>
    <t>Radioescucha Sr. Fidel pide apoyo para limpieza de calle primera cerrada de Ferrocarril Centra delante de la calle 14l; está muy sucia y ya hasta personas encontraron serpientes</t>
  </si>
  <si>
    <t>Vía telefonica diputada Claudia Lilia Luna Islas con el tema: Reformas aprobadas para grupos prioritarios y el trabajo legislativo que se a realizado.</t>
  </si>
  <si>
    <t>Trabajo legislativo</t>
  </si>
  <si>
    <t>Fíjese que en el Congreso del Estado de Hidalgo, se confirmó que el titular de la Oficina Mayor del Gobierno del Estado de Hidalgo, Orlando Ángeles Pérez, acudirá a comparecer el próximo jueves 22 de octubre. Adelante Jacky, La Junta de Gobierno del Congreso del Estado de Hidalgo, en uso de sus facultades y como parte de los ejercicios de análisis y rendición de cuentas del Poder Legislativo, acordó la comparecencia del titular de la Oficina Mayor del Gobierno del Estado, Edgar Orlando Ángeles Pérez, quien acudirá ante el Pleno el próximo jueves 22 de octubre, a las 16 horas.La determinación se realizó de común acuerdo entre el Congreso del Estado y el Poder Ejecutivo, privilegiando el diálogo, la coordinación y el respeto institucional entre poderes. La Junta de Gobierno, presidida por el diputado Andrés Velázquez Vázquez, estableció que este ejercicio permitirá a las y los legisladores ampliar la información y plantear los castigamientos correspondientes sobre los asuntos relacionados con esta dependencia. Asimismo, quedó abierta la posibilidad de emplear estos ejercicios de rendición de cuentas con titulares de otras dependencias y organismos del Gobierno del Estado, en caso de que así se determine.</t>
  </si>
  <si>
    <t>Actas certificadas de nacimiento, matrimonio, defunción y otros actos del estado civil pueden solicitarse directamente en el Registro del Estado Familiar de Hidalgo, como parte de la política del gobernador Julio Menchaca Salazar de acercar los servicios a la población y facilitar el acceso a trámites que brindan certeza jurídica.A través de la Secretaría de Gobierno, se fortalecen las acciones del Registro del Estado Familiar para que, de manera ágil, la ciudadanía acceda a documentos oficiales que acreditan su identidad o estado civil, y que son necesarios para realizar trámites personales, escolares, laborales, administrativos y legales. Celia Ramírez Godínez, directora general del organismo, informó que en sus instalaciones pueden solicitarse actas correspondientes a registros realizados en Hidalgo, así como documentos de otras entidades federativas, siempre que la información se encuentre disponible en el Sistema Nacional SIDEA.</t>
  </si>
  <si>
    <t>Derivado de las precipitaciones pluviales, elementos de la Secretaría de Seguridad Pública de Hidalgo (SSPH) participan en acciones de auxilio, abanderamiento y vigilancia en carreteras y caminos de comunidades pertenecientes a los municipios de Tlanchinol, Yahualica, Xochiatipan, Huejutla de Reyes y Tenango de Doria, entre otras localidades</t>
  </si>
  <si>
    <t>Particular agrede violentamente a servidores públicos del Sitmah cuando estos se encontraban desempeñando las labores que les señala la ley, estos hechos acontecieron aproximadamente a las 8:25 horas de este día, en el exterior de la estación San Antonio, en sentido sur. Por estos hechos se ha iniciado ante las autoridades competentes la carpeta de investigación respectiva para el deslinde y fincamiento de lo que resulte.</t>
  </si>
  <si>
    <t>Eulalio Larrieta agradece a Jair Martínez de la SEGOBH, porque esta al pendiente de lo que se necesite y los reportes.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</si>
</sst>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66" tableType="queryTable" totalsRowShown="0">
  <autoFilter ref="A1:M166"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66"/>
  <sheetViews>
    <sheetView tabSelected="1" topLeftCell="A131" workbookViewId="0">
      <selection activeCell="A166" sqref="A166"/>
    </sheetView>
  </sheetViews>
  <sheetFormatPr baseColWidth="10" defaultRowHeight="15" x14ac:dyDescent="0.25"/>
  <cols>
    <col min="1" max="1" width="8.5703125" bestFit="1" customWidth="1"/>
    <col min="2" max="2" width="11.42578125" bestFit="1" customWidth="1"/>
    <col min="3" max="3" width="20" bestFit="1" customWidth="1"/>
    <col min="4" max="4" width="29.42578125" bestFit="1" customWidth="1"/>
    <col min="5" max="5" width="81.140625" bestFit="1" customWidth="1"/>
    <col min="6" max="6" width="15.28515625" bestFit="1" customWidth="1"/>
    <col min="7" max="7" width="33.5703125" bestFit="1" customWidth="1"/>
    <col min="8" max="9" width="12.42578125" bestFit="1" customWidth="1"/>
    <col min="10" max="10" width="25.7109375" bestFit="1" customWidth="1"/>
    <col min="11" max="11" width="22.28515625" bestFit="1" customWidth="1"/>
    <col min="12" max="12" width="12.8554687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18</v>
      </c>
      <c r="C1" t="s">
        <v>19</v>
      </c>
      <c r="D1" t="s">
        <v>20</v>
      </c>
      <c r="E1" t="s">
        <v>1</v>
      </c>
      <c r="F1" t="s">
        <v>2</v>
      </c>
      <c r="G1" t="s">
        <v>4</v>
      </c>
      <c r="H1" t="s">
        <v>3</v>
      </c>
      <c r="I1" t="s">
        <v>5</v>
      </c>
      <c r="J1" t="s">
        <v>21</v>
      </c>
      <c r="K1" t="s">
        <v>22</v>
      </c>
      <c r="L1" t="s">
        <v>23</v>
      </c>
      <c r="M1" t="s">
        <v>30</v>
      </c>
    </row>
    <row r="2" spans="1:13" x14ac:dyDescent="0.25">
      <c r="A2" s="2">
        <v>46302</v>
      </c>
      <c r="B2" s="1" t="str">
        <f ca="1">IF(Información1[[#This Row],[Fecha]]='Ajuste de fechas'!$A$2,"Día actual","Día anterior")</f>
        <v>Día anterior</v>
      </c>
      <c r="C2" s="3" t="s">
        <v>8</v>
      </c>
      <c r="D2" t="s">
        <v>9</v>
      </c>
      <c r="E2" s="3" t="s">
        <v>190</v>
      </c>
      <c r="F2" s="3" t="s">
        <v>13</v>
      </c>
      <c r="G2" s="3" t="s">
        <v>75</v>
      </c>
      <c r="H2" s="3" t="s">
        <v>37</v>
      </c>
      <c r="I2" s="3" t="s">
        <v>7</v>
      </c>
      <c r="J2" s="3" t="s">
        <v>28</v>
      </c>
      <c r="K2" s="3" t="s">
        <v>11</v>
      </c>
      <c r="L2" s="3" t="s">
        <v>34</v>
      </c>
      <c r="M2">
        <v>1</v>
      </c>
    </row>
    <row r="3" spans="1:13" x14ac:dyDescent="0.25">
      <c r="A3" s="2">
        <v>46302</v>
      </c>
      <c r="B3" s="1" t="str">
        <f ca="1">IF(Información1[[#This Row],[Fecha]]='Ajuste de fechas'!$A$2,"Día actual","Día anterior")</f>
        <v>Día anterior</v>
      </c>
      <c r="C3" s="3" t="s">
        <v>8</v>
      </c>
      <c r="D3" t="s">
        <v>9</v>
      </c>
      <c r="E3" s="3" t="s">
        <v>77</v>
      </c>
      <c r="F3" s="3" t="s">
        <v>33</v>
      </c>
      <c r="G3" s="3" t="s">
        <v>75</v>
      </c>
      <c r="H3" s="3" t="s">
        <v>37</v>
      </c>
      <c r="I3" s="3" t="s">
        <v>10</v>
      </c>
      <c r="J3" s="3" t="s">
        <v>16</v>
      </c>
      <c r="K3" s="3" t="s">
        <v>11</v>
      </c>
      <c r="L3" s="3" t="s">
        <v>26</v>
      </c>
      <c r="M3">
        <v>1</v>
      </c>
    </row>
    <row r="4" spans="1:13" x14ac:dyDescent="0.25">
      <c r="A4" s="2">
        <v>46302</v>
      </c>
      <c r="B4" s="1" t="str">
        <f ca="1">IF(Información1[[#This Row],[Fecha]]='Ajuste de fechas'!$A$2,"Día actual","Día anterior")</f>
        <v>Día anterior</v>
      </c>
      <c r="C4" s="3" t="s">
        <v>8</v>
      </c>
      <c r="D4" t="s">
        <v>9</v>
      </c>
      <c r="E4" s="3" t="s">
        <v>74</v>
      </c>
      <c r="F4" s="3" t="s">
        <v>13</v>
      </c>
      <c r="G4" s="3" t="s">
        <v>75</v>
      </c>
      <c r="H4" s="3" t="s">
        <v>37</v>
      </c>
      <c r="I4" s="3" t="s">
        <v>10</v>
      </c>
      <c r="J4" s="3" t="s">
        <v>28</v>
      </c>
      <c r="K4" s="3" t="s">
        <v>11</v>
      </c>
      <c r="L4" s="3" t="s">
        <v>26</v>
      </c>
      <c r="M4">
        <v>1</v>
      </c>
    </row>
    <row r="5" spans="1:13" x14ac:dyDescent="0.25">
      <c r="A5" s="2">
        <v>46302</v>
      </c>
      <c r="B5" s="1" t="str">
        <f ca="1">IF(Información1[[#This Row],[Fecha]]='Ajuste de fechas'!$A$2,"Día actual","Día anterior")</f>
        <v>Día anterior</v>
      </c>
      <c r="C5" s="3" t="s">
        <v>8</v>
      </c>
      <c r="D5" t="s">
        <v>9</v>
      </c>
      <c r="E5" s="3" t="s">
        <v>76</v>
      </c>
      <c r="F5" s="3" t="s">
        <v>13</v>
      </c>
      <c r="G5" s="3" t="s">
        <v>75</v>
      </c>
      <c r="H5" s="3" t="s">
        <v>37</v>
      </c>
      <c r="I5" s="3" t="s">
        <v>10</v>
      </c>
      <c r="J5" s="3" t="s">
        <v>28</v>
      </c>
      <c r="K5" s="3" t="s">
        <v>11</v>
      </c>
      <c r="L5" s="3" t="s">
        <v>26</v>
      </c>
      <c r="M5">
        <v>1</v>
      </c>
    </row>
    <row r="6" spans="1:13" x14ac:dyDescent="0.25">
      <c r="A6" s="2">
        <v>46302</v>
      </c>
      <c r="B6" s="1" t="str">
        <f ca="1">IF(Información1[[#This Row],[Fecha]]='Ajuste de fechas'!$A$2,"Día actual","Día anterior")</f>
        <v>Día anterior</v>
      </c>
      <c r="C6" s="3" t="s">
        <v>8</v>
      </c>
      <c r="D6" t="s">
        <v>9</v>
      </c>
      <c r="E6" s="3" t="s">
        <v>201</v>
      </c>
      <c r="F6" s="3" t="s">
        <v>14</v>
      </c>
      <c r="G6" s="3" t="s">
        <v>75</v>
      </c>
      <c r="H6" s="3" t="s">
        <v>37</v>
      </c>
      <c r="I6" s="3" t="s">
        <v>10</v>
      </c>
      <c r="J6" s="3" t="s">
        <v>24</v>
      </c>
      <c r="K6" s="3" t="s">
        <v>11</v>
      </c>
      <c r="L6" s="3" t="s">
        <v>26</v>
      </c>
      <c r="M6">
        <v>1</v>
      </c>
    </row>
    <row r="7" spans="1:13" x14ac:dyDescent="0.25">
      <c r="A7" s="2">
        <v>46302</v>
      </c>
      <c r="B7" s="1" t="str">
        <f ca="1">IF(Información1[[#This Row],[Fecha]]='Ajuste de fechas'!$A$2,"Día actual","Día anterior")</f>
        <v>Día anterior</v>
      </c>
      <c r="C7" s="3" t="s">
        <v>8</v>
      </c>
      <c r="D7" t="s">
        <v>9</v>
      </c>
      <c r="E7" s="3" t="s">
        <v>99</v>
      </c>
      <c r="F7" s="3" t="s">
        <v>12</v>
      </c>
      <c r="G7" s="3" t="s">
        <v>75</v>
      </c>
      <c r="H7" s="3" t="s">
        <v>37</v>
      </c>
      <c r="I7" s="3" t="s">
        <v>10</v>
      </c>
      <c r="J7" s="3" t="s">
        <v>24</v>
      </c>
      <c r="K7" s="3" t="s">
        <v>11</v>
      </c>
      <c r="L7" s="3" t="s">
        <v>26</v>
      </c>
      <c r="M7">
        <v>1</v>
      </c>
    </row>
    <row r="8" spans="1:13" x14ac:dyDescent="0.25">
      <c r="A8" s="2">
        <v>46302</v>
      </c>
      <c r="B8" s="1" t="str">
        <f ca="1">IF(Información1[[#This Row],[Fecha]]='Ajuste de fechas'!$A$2,"Día actual","Día anterior")</f>
        <v>Día anterior</v>
      </c>
      <c r="C8" s="3" t="s">
        <v>8</v>
      </c>
      <c r="D8" t="s">
        <v>9</v>
      </c>
      <c r="E8" s="3" t="s">
        <v>78</v>
      </c>
      <c r="F8" s="3" t="s">
        <v>6</v>
      </c>
      <c r="G8" s="3" t="s">
        <v>75</v>
      </c>
      <c r="H8" s="3" t="s">
        <v>37</v>
      </c>
      <c r="I8" s="3" t="s">
        <v>10</v>
      </c>
      <c r="J8" s="3" t="s">
        <v>24</v>
      </c>
      <c r="K8" s="3" t="s">
        <v>11</v>
      </c>
      <c r="L8" s="3" t="s">
        <v>26</v>
      </c>
      <c r="M8">
        <v>1</v>
      </c>
    </row>
    <row r="9" spans="1:13" x14ac:dyDescent="0.25">
      <c r="A9" s="2">
        <v>46302</v>
      </c>
      <c r="B9" s="1" t="str">
        <f ca="1">IF(Información1[[#This Row],[Fecha]]='Ajuste de fechas'!$A$2,"Día actual","Día anterior")</f>
        <v>Día anterior</v>
      </c>
      <c r="C9" s="3" t="s">
        <v>38</v>
      </c>
      <c r="D9" t="s">
        <v>43</v>
      </c>
      <c r="E9" s="3" t="s">
        <v>108</v>
      </c>
      <c r="F9" s="3" t="s">
        <v>53</v>
      </c>
      <c r="G9" s="3" t="s">
        <v>109</v>
      </c>
      <c r="H9" s="3" t="s">
        <v>37</v>
      </c>
      <c r="I9" s="3" t="s">
        <v>7</v>
      </c>
      <c r="J9" s="3" t="s">
        <v>55</v>
      </c>
      <c r="K9" s="3" t="s">
        <v>40</v>
      </c>
      <c r="L9" s="3" t="s">
        <v>25</v>
      </c>
      <c r="M9">
        <v>1</v>
      </c>
    </row>
    <row r="10" spans="1:13" x14ac:dyDescent="0.25">
      <c r="A10" s="2">
        <v>46302</v>
      </c>
      <c r="B10" s="1" t="str">
        <f ca="1">IF(Información1[[#This Row],[Fecha]]='Ajuste de fechas'!$A$2,"Día actual","Día anterior")</f>
        <v>Día anterior</v>
      </c>
      <c r="C10" s="3" t="s">
        <v>38</v>
      </c>
      <c r="D10" t="s">
        <v>43</v>
      </c>
      <c r="E10" s="3" t="s">
        <v>110</v>
      </c>
      <c r="F10" s="3" t="s">
        <v>94</v>
      </c>
      <c r="G10" s="3" t="s">
        <v>111</v>
      </c>
      <c r="H10" s="3" t="s">
        <v>37</v>
      </c>
      <c r="I10" s="3" t="s">
        <v>7</v>
      </c>
      <c r="J10" s="3" t="s">
        <v>24</v>
      </c>
      <c r="K10" s="3" t="s">
        <v>40</v>
      </c>
      <c r="L10" s="3" t="s">
        <v>25</v>
      </c>
      <c r="M10">
        <v>1</v>
      </c>
    </row>
    <row r="11" spans="1:13" x14ac:dyDescent="0.25">
      <c r="A11" s="2">
        <v>46302</v>
      </c>
      <c r="B11" s="1" t="str">
        <f ca="1">IF(Información1[[#This Row],[Fecha]]='Ajuste de fechas'!$A$2,"Día actual","Día anterior")</f>
        <v>Día anterior</v>
      </c>
      <c r="C11" s="3" t="s">
        <v>38</v>
      </c>
      <c r="D11" t="s">
        <v>43</v>
      </c>
      <c r="E11" s="3" t="s">
        <v>112</v>
      </c>
      <c r="F11" s="3" t="s">
        <v>12</v>
      </c>
      <c r="G11" s="3" t="s">
        <v>113</v>
      </c>
      <c r="H11" s="3" t="s">
        <v>37</v>
      </c>
      <c r="I11" s="3" t="s">
        <v>7</v>
      </c>
      <c r="J11" s="3" t="s">
        <v>24</v>
      </c>
      <c r="K11" s="3" t="s">
        <v>40</v>
      </c>
      <c r="L11" s="3" t="s">
        <v>25</v>
      </c>
      <c r="M11">
        <v>1</v>
      </c>
    </row>
    <row r="12" spans="1:13" x14ac:dyDescent="0.25">
      <c r="A12" s="2">
        <v>46302</v>
      </c>
      <c r="B12" s="1" t="str">
        <f ca="1">IF(Información1[[#This Row],[Fecha]]='Ajuste de fechas'!$A$2,"Día actual","Día anterior")</f>
        <v>Día anterior</v>
      </c>
      <c r="C12" s="3" t="s">
        <v>38</v>
      </c>
      <c r="D12" t="s">
        <v>43</v>
      </c>
      <c r="E12" s="3" t="s">
        <v>114</v>
      </c>
      <c r="F12" s="3" t="s">
        <v>13</v>
      </c>
      <c r="G12" s="3" t="s">
        <v>86</v>
      </c>
      <c r="H12" s="3" t="s">
        <v>37</v>
      </c>
      <c r="I12" s="3" t="s">
        <v>7</v>
      </c>
      <c r="J12" s="3" t="s">
        <v>28</v>
      </c>
      <c r="K12" s="3" t="s">
        <v>40</v>
      </c>
      <c r="L12" s="3" t="s">
        <v>25</v>
      </c>
      <c r="M12">
        <v>1</v>
      </c>
    </row>
    <row r="13" spans="1:13" x14ac:dyDescent="0.25">
      <c r="A13" s="2">
        <v>46302</v>
      </c>
      <c r="B13" s="1" t="str">
        <f ca="1">IF(Información1[[#This Row],[Fecha]]='Ajuste de fechas'!$A$2,"Día actual","Día anterior")</f>
        <v>Día anterior</v>
      </c>
      <c r="C13" s="3" t="s">
        <v>38</v>
      </c>
      <c r="D13" t="s">
        <v>43</v>
      </c>
      <c r="E13" s="3" t="s">
        <v>115</v>
      </c>
      <c r="F13" s="3" t="s">
        <v>42</v>
      </c>
      <c r="G13" s="3" t="s">
        <v>116</v>
      </c>
      <c r="H13" s="3" t="s">
        <v>37</v>
      </c>
      <c r="I13" s="3" t="s">
        <v>7</v>
      </c>
      <c r="J13" s="3" t="s">
        <v>24</v>
      </c>
      <c r="K13" s="3" t="s">
        <v>40</v>
      </c>
      <c r="L13" s="3" t="s">
        <v>25</v>
      </c>
      <c r="M13">
        <v>1</v>
      </c>
    </row>
    <row r="14" spans="1:13" x14ac:dyDescent="0.25">
      <c r="A14" s="2">
        <v>46302</v>
      </c>
      <c r="B14" s="1" t="str">
        <f ca="1">IF(Información1[[#This Row],[Fecha]]='Ajuste de fechas'!$A$2,"Día actual","Día anterior")</f>
        <v>Día anterior</v>
      </c>
      <c r="C14" s="3" t="s">
        <v>38</v>
      </c>
      <c r="D14" t="s">
        <v>43</v>
      </c>
      <c r="E14" s="3" t="s">
        <v>117</v>
      </c>
      <c r="F14" s="3" t="s">
        <v>42</v>
      </c>
      <c r="G14" s="3" t="s">
        <v>116</v>
      </c>
      <c r="H14" s="3" t="s">
        <v>37</v>
      </c>
      <c r="I14" s="3" t="s">
        <v>7</v>
      </c>
      <c r="J14" s="3" t="s">
        <v>24</v>
      </c>
      <c r="K14" s="3" t="s">
        <v>40</v>
      </c>
      <c r="L14" s="3" t="s">
        <v>25</v>
      </c>
      <c r="M14">
        <v>1</v>
      </c>
    </row>
    <row r="15" spans="1:13" x14ac:dyDescent="0.25">
      <c r="A15" s="2">
        <v>46302</v>
      </c>
      <c r="B15" s="1" t="str">
        <f ca="1">IF(Información1[[#This Row],[Fecha]]='Ajuste de fechas'!$A$2,"Día actual","Día anterior")</f>
        <v>Día anterior</v>
      </c>
      <c r="C15" s="3" t="s">
        <v>38</v>
      </c>
      <c r="D15" t="s">
        <v>43</v>
      </c>
      <c r="E15" s="3" t="s">
        <v>118</v>
      </c>
      <c r="F15" s="3" t="s">
        <v>42</v>
      </c>
      <c r="G15" s="3" t="s">
        <v>119</v>
      </c>
      <c r="H15" s="3" t="s">
        <v>37</v>
      </c>
      <c r="I15" s="3" t="s">
        <v>7</v>
      </c>
      <c r="J15" s="3" t="s">
        <v>24</v>
      </c>
      <c r="K15" s="3" t="s">
        <v>40</v>
      </c>
      <c r="L15" s="3" t="s">
        <v>25</v>
      </c>
      <c r="M15">
        <v>1</v>
      </c>
    </row>
    <row r="16" spans="1:13" x14ac:dyDescent="0.25">
      <c r="A16" s="2">
        <v>46302</v>
      </c>
      <c r="B16" s="1" t="str">
        <f ca="1">IF(Información1[[#This Row],[Fecha]]='Ajuste de fechas'!$A$2,"Día actual","Día anterior")</f>
        <v>Día anterior</v>
      </c>
      <c r="C16" s="3" t="s">
        <v>38</v>
      </c>
      <c r="D16" t="s">
        <v>43</v>
      </c>
      <c r="E16" s="3" t="s">
        <v>120</v>
      </c>
      <c r="F16" s="3" t="s">
        <v>13</v>
      </c>
      <c r="G16" s="3" t="s">
        <v>90</v>
      </c>
      <c r="H16" s="3" t="s">
        <v>37</v>
      </c>
      <c r="I16" s="3" t="s">
        <v>7</v>
      </c>
      <c r="J16" s="3" t="s">
        <v>28</v>
      </c>
      <c r="K16" s="3" t="s">
        <v>40</v>
      </c>
      <c r="L16" s="3" t="s">
        <v>25</v>
      </c>
      <c r="M16">
        <v>1</v>
      </c>
    </row>
    <row r="17" spans="1:13" x14ac:dyDescent="0.25">
      <c r="A17" s="2">
        <v>46302</v>
      </c>
      <c r="B17" s="1" t="str">
        <f ca="1">IF(Información1[[#This Row],[Fecha]]='Ajuste de fechas'!$A$2,"Día actual","Día anterior")</f>
        <v>Día anterior</v>
      </c>
      <c r="C17" s="3" t="s">
        <v>47</v>
      </c>
      <c r="D17" t="s">
        <v>48</v>
      </c>
      <c r="E17" s="3" t="s">
        <v>121</v>
      </c>
      <c r="F17" s="3" t="s">
        <v>45</v>
      </c>
      <c r="G17" s="3" t="s">
        <v>122</v>
      </c>
      <c r="H17" s="3" t="s">
        <v>37</v>
      </c>
      <c r="I17" s="3" t="s">
        <v>7</v>
      </c>
      <c r="J17" s="3" t="s">
        <v>24</v>
      </c>
      <c r="K17" s="3" t="s">
        <v>49</v>
      </c>
      <c r="L17" s="3" t="s">
        <v>27</v>
      </c>
      <c r="M17">
        <v>1</v>
      </c>
    </row>
    <row r="18" spans="1:13" x14ac:dyDescent="0.25">
      <c r="A18" s="2">
        <v>46302</v>
      </c>
      <c r="B18" s="1" t="str">
        <f ca="1">IF(Información1[[#This Row],[Fecha]]='Ajuste de fechas'!$A$2,"Día actual","Día anterior")</f>
        <v>Día anterior</v>
      </c>
      <c r="C18" s="3" t="s">
        <v>47</v>
      </c>
      <c r="D18" t="s">
        <v>48</v>
      </c>
      <c r="E18" s="3" t="s">
        <v>123</v>
      </c>
      <c r="F18" s="3" t="s">
        <v>35</v>
      </c>
      <c r="G18" s="3" t="s">
        <v>124</v>
      </c>
      <c r="H18" s="3" t="s">
        <v>37</v>
      </c>
      <c r="I18" s="3" t="s">
        <v>10</v>
      </c>
      <c r="J18" s="3" t="s">
        <v>24</v>
      </c>
      <c r="K18" s="3" t="s">
        <v>49</v>
      </c>
      <c r="L18" s="3" t="s">
        <v>27</v>
      </c>
      <c r="M18">
        <v>1</v>
      </c>
    </row>
    <row r="19" spans="1:13" x14ac:dyDescent="0.25">
      <c r="A19" s="2">
        <v>46302</v>
      </c>
      <c r="B19" s="1" t="str">
        <f ca="1">IF(Información1[[#This Row],[Fecha]]='Ajuste de fechas'!$A$2,"Día actual","Día anterior")</f>
        <v>Día anterior</v>
      </c>
      <c r="C19" s="3" t="s">
        <v>47</v>
      </c>
      <c r="D19" t="s">
        <v>48</v>
      </c>
      <c r="E19" s="3" t="s">
        <v>125</v>
      </c>
      <c r="F19" s="3" t="s">
        <v>94</v>
      </c>
      <c r="G19" s="3" t="s">
        <v>103</v>
      </c>
      <c r="H19" s="3" t="s">
        <v>37</v>
      </c>
      <c r="I19" s="3" t="s">
        <v>7</v>
      </c>
      <c r="J19" s="3" t="s">
        <v>24</v>
      </c>
      <c r="K19" s="3" t="s">
        <v>49</v>
      </c>
      <c r="L19" s="3" t="s">
        <v>27</v>
      </c>
      <c r="M19">
        <v>1</v>
      </c>
    </row>
    <row r="20" spans="1:13" x14ac:dyDescent="0.25">
      <c r="A20" s="2">
        <v>46302</v>
      </c>
      <c r="B20" s="1" t="str">
        <f ca="1">IF(Información1[[#This Row],[Fecha]]='Ajuste de fechas'!$A$2,"Día actual","Día anterior")</f>
        <v>Día anterior</v>
      </c>
      <c r="C20" s="3" t="s">
        <v>47</v>
      </c>
      <c r="D20" t="s">
        <v>48</v>
      </c>
      <c r="E20" s="3" t="s">
        <v>126</v>
      </c>
      <c r="F20" s="3" t="s">
        <v>15</v>
      </c>
      <c r="G20" s="3" t="s">
        <v>83</v>
      </c>
      <c r="H20" s="3" t="s">
        <v>37</v>
      </c>
      <c r="I20" s="3" t="s">
        <v>7</v>
      </c>
      <c r="J20" s="3" t="s">
        <v>29</v>
      </c>
      <c r="K20" s="3" t="s">
        <v>49</v>
      </c>
      <c r="L20" s="3" t="s">
        <v>25</v>
      </c>
      <c r="M20">
        <v>1</v>
      </c>
    </row>
    <row r="21" spans="1:13" x14ac:dyDescent="0.25">
      <c r="A21" s="2">
        <v>46302</v>
      </c>
      <c r="B21" s="1" t="str">
        <f ca="1">IF(Información1[[#This Row],[Fecha]]='Ajuste de fechas'!$A$2,"Día actual","Día anterior")</f>
        <v>Día anterior</v>
      </c>
      <c r="C21" s="3" t="s">
        <v>38</v>
      </c>
      <c r="D21" t="s">
        <v>39</v>
      </c>
      <c r="E21" s="3" t="s">
        <v>127</v>
      </c>
      <c r="F21" s="3" t="s">
        <v>46</v>
      </c>
      <c r="G21" s="3" t="s">
        <v>128</v>
      </c>
      <c r="H21" s="3" t="s">
        <v>37</v>
      </c>
      <c r="I21" s="3" t="s">
        <v>7</v>
      </c>
      <c r="J21" s="3" t="s">
        <v>24</v>
      </c>
      <c r="K21" s="3" t="s">
        <v>41</v>
      </c>
      <c r="L21" s="3" t="s">
        <v>27</v>
      </c>
      <c r="M21">
        <v>1</v>
      </c>
    </row>
    <row r="22" spans="1:13" x14ac:dyDescent="0.25">
      <c r="A22" s="2">
        <v>46302</v>
      </c>
      <c r="B22" s="1" t="str">
        <f ca="1">IF(Información1[[#This Row],[Fecha]]='Ajuste de fechas'!$A$2,"Día actual","Día anterior")</f>
        <v>Día anterior</v>
      </c>
      <c r="C22" s="3" t="s">
        <v>38</v>
      </c>
      <c r="D22" t="s">
        <v>39</v>
      </c>
      <c r="E22" s="3" t="s">
        <v>129</v>
      </c>
      <c r="F22" s="3" t="s">
        <v>36</v>
      </c>
      <c r="G22" s="3" t="s">
        <v>130</v>
      </c>
      <c r="H22" s="3" t="s">
        <v>37</v>
      </c>
      <c r="I22" s="3" t="s">
        <v>7</v>
      </c>
      <c r="J22" s="3" t="s">
        <v>24</v>
      </c>
      <c r="K22" s="3" t="s">
        <v>41</v>
      </c>
      <c r="L22" s="3" t="s">
        <v>27</v>
      </c>
      <c r="M22">
        <v>1</v>
      </c>
    </row>
    <row r="23" spans="1:13" x14ac:dyDescent="0.25">
      <c r="A23" s="2">
        <v>46302</v>
      </c>
      <c r="B23" s="1" t="str">
        <f ca="1">IF(Información1[[#This Row],[Fecha]]='Ajuste de fechas'!$A$2,"Día actual","Día anterior")</f>
        <v>Día anterior</v>
      </c>
      <c r="C23" s="3" t="s">
        <v>38</v>
      </c>
      <c r="D23" t="s">
        <v>39</v>
      </c>
      <c r="E23" s="3" t="s">
        <v>121</v>
      </c>
      <c r="F23" s="3" t="s">
        <v>45</v>
      </c>
      <c r="G23" s="3" t="s">
        <v>122</v>
      </c>
      <c r="H23" s="3" t="s">
        <v>37</v>
      </c>
      <c r="I23" s="3" t="s">
        <v>7</v>
      </c>
      <c r="J23" s="3" t="s">
        <v>24</v>
      </c>
      <c r="K23" s="3" t="s">
        <v>41</v>
      </c>
      <c r="L23" s="3" t="s">
        <v>27</v>
      </c>
      <c r="M23">
        <v>1</v>
      </c>
    </row>
    <row r="24" spans="1:13" x14ac:dyDescent="0.25">
      <c r="A24" s="2">
        <v>46302</v>
      </c>
      <c r="B24" s="1" t="str">
        <f ca="1">IF(Información1[[#This Row],[Fecha]]='Ajuste de fechas'!$A$2,"Día actual","Día anterior")</f>
        <v>Día anterior</v>
      </c>
      <c r="C24" s="3" t="s">
        <v>38</v>
      </c>
      <c r="D24" t="s">
        <v>39</v>
      </c>
      <c r="E24" s="3" t="s">
        <v>131</v>
      </c>
      <c r="F24" s="3" t="s">
        <v>72</v>
      </c>
      <c r="G24" s="3" t="s">
        <v>132</v>
      </c>
      <c r="H24" s="3" t="s">
        <v>37</v>
      </c>
      <c r="I24" s="3" t="s">
        <v>7</v>
      </c>
      <c r="J24" s="3" t="s">
        <v>24</v>
      </c>
      <c r="K24" s="3" t="s">
        <v>41</v>
      </c>
      <c r="L24" s="3" t="s">
        <v>27</v>
      </c>
      <c r="M24">
        <v>1</v>
      </c>
    </row>
    <row r="25" spans="1:13" x14ac:dyDescent="0.25">
      <c r="A25" s="2">
        <v>46302</v>
      </c>
      <c r="B25" s="1" t="str">
        <f ca="1">IF(Información1[[#This Row],[Fecha]]='Ajuste de fechas'!$A$2,"Día actual","Día anterior")</f>
        <v>Día anterior</v>
      </c>
      <c r="C25" s="3" t="s">
        <v>38</v>
      </c>
      <c r="D25" t="s">
        <v>39</v>
      </c>
      <c r="E25" s="3" t="s">
        <v>133</v>
      </c>
      <c r="F25" s="3" t="s">
        <v>13</v>
      </c>
      <c r="G25" s="3" t="s">
        <v>84</v>
      </c>
      <c r="H25" s="3" t="s">
        <v>37</v>
      </c>
      <c r="I25" s="3" t="s">
        <v>7</v>
      </c>
      <c r="J25" s="3" t="s">
        <v>28</v>
      </c>
      <c r="K25" s="3" t="s">
        <v>40</v>
      </c>
      <c r="L25" s="3" t="s">
        <v>25</v>
      </c>
      <c r="M25">
        <v>1</v>
      </c>
    </row>
    <row r="26" spans="1:13" x14ac:dyDescent="0.25">
      <c r="A26" s="2">
        <v>46302</v>
      </c>
      <c r="B26" s="1" t="str">
        <f ca="1">IF(Información1[[#This Row],[Fecha]]='Ajuste de fechas'!$A$2,"Día actual","Día anterior")</f>
        <v>Día anterior</v>
      </c>
      <c r="C26" s="3" t="s">
        <v>38</v>
      </c>
      <c r="D26" t="s">
        <v>39</v>
      </c>
      <c r="E26" s="3" t="s">
        <v>134</v>
      </c>
      <c r="F26" s="3" t="s">
        <v>14</v>
      </c>
      <c r="G26" s="3" t="s">
        <v>96</v>
      </c>
      <c r="H26" s="3" t="s">
        <v>37</v>
      </c>
      <c r="I26" s="3" t="s">
        <v>7</v>
      </c>
      <c r="J26" s="3" t="s">
        <v>24</v>
      </c>
      <c r="K26" s="3" t="s">
        <v>44</v>
      </c>
      <c r="L26" s="3" t="s">
        <v>26</v>
      </c>
      <c r="M26">
        <v>1</v>
      </c>
    </row>
    <row r="27" spans="1:13" x14ac:dyDescent="0.25">
      <c r="A27" s="2">
        <v>46302</v>
      </c>
      <c r="B27" s="1" t="str">
        <f ca="1">IF(Información1[[#This Row],[Fecha]]='Ajuste de fechas'!$A$2,"Día actual","Día anterior")</f>
        <v>Día anterior</v>
      </c>
      <c r="C27" s="3" t="s">
        <v>38</v>
      </c>
      <c r="D27" t="s">
        <v>39</v>
      </c>
      <c r="E27" s="3" t="s">
        <v>135</v>
      </c>
      <c r="F27" s="3" t="s">
        <v>94</v>
      </c>
      <c r="G27" s="3" t="s">
        <v>136</v>
      </c>
      <c r="H27" s="3" t="s">
        <v>37</v>
      </c>
      <c r="I27" s="3" t="s">
        <v>7</v>
      </c>
      <c r="J27" s="3" t="s">
        <v>24</v>
      </c>
      <c r="K27" s="3" t="s">
        <v>40</v>
      </c>
      <c r="L27" s="3" t="s">
        <v>25</v>
      </c>
      <c r="M27">
        <v>1</v>
      </c>
    </row>
    <row r="28" spans="1:13" x14ac:dyDescent="0.25">
      <c r="A28" s="2">
        <v>46302</v>
      </c>
      <c r="B28" s="1" t="str">
        <f ca="1">IF(Información1[[#This Row],[Fecha]]='Ajuste de fechas'!$A$2,"Día actual","Día anterior")</f>
        <v>Día anterior</v>
      </c>
      <c r="C28" s="3" t="s">
        <v>38</v>
      </c>
      <c r="D28" t="s">
        <v>39</v>
      </c>
      <c r="E28" s="3" t="s">
        <v>137</v>
      </c>
      <c r="F28" s="3" t="s">
        <v>33</v>
      </c>
      <c r="G28" s="3" t="s">
        <v>138</v>
      </c>
      <c r="H28" s="3" t="s">
        <v>37</v>
      </c>
      <c r="I28" s="3" t="s">
        <v>7</v>
      </c>
      <c r="J28" s="3" t="s">
        <v>16</v>
      </c>
      <c r="K28" s="3" t="s">
        <v>40</v>
      </c>
      <c r="L28" s="3" t="s">
        <v>25</v>
      </c>
      <c r="M28">
        <v>1</v>
      </c>
    </row>
    <row r="29" spans="1:13" x14ac:dyDescent="0.25">
      <c r="A29" s="2">
        <v>46302</v>
      </c>
      <c r="B29" s="1" t="str">
        <f ca="1">IF(Información1[[#This Row],[Fecha]]='Ajuste de fechas'!$A$2,"Día actual","Día anterior")</f>
        <v>Día anterior</v>
      </c>
      <c r="C29" s="3" t="s">
        <v>38</v>
      </c>
      <c r="D29" t="s">
        <v>39</v>
      </c>
      <c r="E29" s="3" t="s">
        <v>139</v>
      </c>
      <c r="F29" s="3" t="s">
        <v>33</v>
      </c>
      <c r="G29" s="3" t="s">
        <v>103</v>
      </c>
      <c r="H29" s="3" t="s">
        <v>37</v>
      </c>
      <c r="I29" s="3" t="s">
        <v>7</v>
      </c>
      <c r="J29" s="3" t="s">
        <v>16</v>
      </c>
      <c r="K29" s="3" t="s">
        <v>41</v>
      </c>
      <c r="L29" s="3" t="s">
        <v>25</v>
      </c>
      <c r="M29">
        <v>1</v>
      </c>
    </row>
    <row r="30" spans="1:13" x14ac:dyDescent="0.25">
      <c r="A30" s="2">
        <v>46302</v>
      </c>
      <c r="B30" s="1" t="str">
        <f ca="1">IF(Información1[[#This Row],[Fecha]]='Ajuste de fechas'!$A$2,"Día actual","Día anterior")</f>
        <v>Día anterior</v>
      </c>
      <c r="C30" s="3" t="s">
        <v>38</v>
      </c>
      <c r="D30" t="s">
        <v>39</v>
      </c>
      <c r="E30" s="3" t="s">
        <v>140</v>
      </c>
      <c r="F30" s="3" t="s">
        <v>12</v>
      </c>
      <c r="G30" s="3" t="s">
        <v>141</v>
      </c>
      <c r="H30" s="3" t="s">
        <v>37</v>
      </c>
      <c r="I30" s="3" t="s">
        <v>7</v>
      </c>
      <c r="J30" s="3" t="s">
        <v>24</v>
      </c>
      <c r="K30" s="3" t="s">
        <v>41</v>
      </c>
      <c r="L30" s="3" t="s">
        <v>27</v>
      </c>
      <c r="M30">
        <v>1</v>
      </c>
    </row>
    <row r="31" spans="1:13" x14ac:dyDescent="0.25">
      <c r="A31" s="2">
        <v>46302</v>
      </c>
      <c r="B31" s="1" t="str">
        <f ca="1">IF(Información1[[#This Row],[Fecha]]='Ajuste de fechas'!$A$2,"Día actual","Día anterior")</f>
        <v>Día anterior</v>
      </c>
      <c r="C31" s="3" t="s">
        <v>51</v>
      </c>
      <c r="D31" t="s">
        <v>52</v>
      </c>
      <c r="E31" s="3" t="s">
        <v>142</v>
      </c>
      <c r="F31" s="3" t="s">
        <v>35</v>
      </c>
      <c r="G31" s="3" t="s">
        <v>143</v>
      </c>
      <c r="H31" s="3" t="s">
        <v>54</v>
      </c>
      <c r="I31" s="3" t="s">
        <v>17</v>
      </c>
      <c r="J31" s="3" t="s">
        <v>24</v>
      </c>
      <c r="K31" s="3" t="s">
        <v>57</v>
      </c>
      <c r="L31" s="3" t="s">
        <v>26</v>
      </c>
      <c r="M31">
        <v>1</v>
      </c>
    </row>
    <row r="32" spans="1:13" x14ac:dyDescent="0.25">
      <c r="A32" s="2">
        <v>46302</v>
      </c>
      <c r="B32" s="1" t="str">
        <f ca="1">IF(Información1[[#This Row],[Fecha]]='Ajuste de fechas'!$A$2,"Día actual","Día anterior")</f>
        <v>Día anterior</v>
      </c>
      <c r="C32" s="3" t="s">
        <v>51</v>
      </c>
      <c r="D32" t="s">
        <v>52</v>
      </c>
      <c r="E32" s="3" t="s">
        <v>144</v>
      </c>
      <c r="F32" s="3" t="s">
        <v>13</v>
      </c>
      <c r="G32" s="3" t="s">
        <v>107</v>
      </c>
      <c r="H32" s="3" t="s">
        <v>54</v>
      </c>
      <c r="I32" s="3" t="s">
        <v>17</v>
      </c>
      <c r="J32" s="3" t="s">
        <v>28</v>
      </c>
      <c r="K32" s="3" t="s">
        <v>57</v>
      </c>
      <c r="L32" s="3" t="s">
        <v>26</v>
      </c>
      <c r="M32">
        <v>1</v>
      </c>
    </row>
    <row r="33" spans="1:13" x14ac:dyDescent="0.25">
      <c r="A33" s="2">
        <v>46302</v>
      </c>
      <c r="B33" s="1" t="str">
        <f ca="1">IF(Información1[[#This Row],[Fecha]]='Ajuste de fechas'!$A$2,"Día actual","Día anterior")</f>
        <v>Día anterior</v>
      </c>
      <c r="C33" s="3" t="s">
        <v>51</v>
      </c>
      <c r="D33" t="s">
        <v>52</v>
      </c>
      <c r="E33" s="3" t="s">
        <v>145</v>
      </c>
      <c r="F33" s="3" t="s">
        <v>94</v>
      </c>
      <c r="G33" s="3" t="s">
        <v>111</v>
      </c>
      <c r="H33" s="3" t="s">
        <v>54</v>
      </c>
      <c r="I33" s="3" t="s">
        <v>7</v>
      </c>
      <c r="J33" s="3" t="s">
        <v>24</v>
      </c>
      <c r="K33" s="3" t="s">
        <v>57</v>
      </c>
      <c r="L33" s="3" t="s">
        <v>25</v>
      </c>
      <c r="M33">
        <v>1</v>
      </c>
    </row>
    <row r="34" spans="1:13" x14ac:dyDescent="0.25">
      <c r="A34" s="2">
        <v>46302</v>
      </c>
      <c r="B34" s="1" t="str">
        <f ca="1">IF(Información1[[#This Row],[Fecha]]='Ajuste de fechas'!$A$2,"Día actual","Día anterior")</f>
        <v>Día anterior</v>
      </c>
      <c r="C34" s="3" t="s">
        <v>51</v>
      </c>
      <c r="D34" t="s">
        <v>52</v>
      </c>
      <c r="E34" s="3" t="s">
        <v>146</v>
      </c>
      <c r="F34" s="3" t="s">
        <v>6</v>
      </c>
      <c r="G34" s="3" t="s">
        <v>87</v>
      </c>
      <c r="H34" s="3" t="s">
        <v>54</v>
      </c>
      <c r="I34" s="3" t="s">
        <v>7</v>
      </c>
      <c r="J34" s="3" t="s">
        <v>24</v>
      </c>
      <c r="K34" s="3" t="s">
        <v>56</v>
      </c>
      <c r="L34" s="3" t="s">
        <v>25</v>
      </c>
      <c r="M34">
        <v>1</v>
      </c>
    </row>
    <row r="35" spans="1:13" x14ac:dyDescent="0.25">
      <c r="A35" s="2">
        <v>46302</v>
      </c>
      <c r="B35" s="1" t="str">
        <f ca="1">IF(Información1[[#This Row],[Fecha]]='Ajuste de fechas'!$A$2,"Día actual","Día anterior")</f>
        <v>Día anterior</v>
      </c>
      <c r="C35" s="3" t="s">
        <v>59</v>
      </c>
      <c r="D35" t="s">
        <v>60</v>
      </c>
      <c r="E35" s="3" t="s">
        <v>147</v>
      </c>
      <c r="F35" s="3" t="s">
        <v>15</v>
      </c>
      <c r="G35" s="3" t="s">
        <v>148</v>
      </c>
      <c r="H35" s="3" t="s">
        <v>37</v>
      </c>
      <c r="I35" s="3" t="s">
        <v>7</v>
      </c>
      <c r="J35" s="3" t="s">
        <v>29</v>
      </c>
      <c r="K35" s="3" t="s">
        <v>89</v>
      </c>
      <c r="L35" s="3" t="s">
        <v>25</v>
      </c>
      <c r="M35">
        <v>1</v>
      </c>
    </row>
    <row r="36" spans="1:13" x14ac:dyDescent="0.25">
      <c r="A36" s="2">
        <v>46302</v>
      </c>
      <c r="B36" s="1" t="str">
        <f ca="1">IF(Información1[[#This Row],[Fecha]]='Ajuste de fechas'!$A$2,"Día actual","Día anterior")</f>
        <v>Día anterior</v>
      </c>
      <c r="C36" s="3" t="s">
        <v>59</v>
      </c>
      <c r="D36" t="s">
        <v>60</v>
      </c>
      <c r="E36" s="3" t="s">
        <v>149</v>
      </c>
      <c r="F36" s="3" t="s">
        <v>13</v>
      </c>
      <c r="G36" s="3" t="s">
        <v>50</v>
      </c>
      <c r="H36" s="3" t="s">
        <v>37</v>
      </c>
      <c r="I36" s="3" t="s">
        <v>7</v>
      </c>
      <c r="J36" s="3" t="s">
        <v>28</v>
      </c>
      <c r="K36" s="3" t="s">
        <v>89</v>
      </c>
      <c r="L36" s="3" t="s">
        <v>25</v>
      </c>
      <c r="M36">
        <v>1</v>
      </c>
    </row>
    <row r="37" spans="1:13" x14ac:dyDescent="0.25">
      <c r="A37" s="2">
        <v>46302</v>
      </c>
      <c r="B37" s="1" t="str">
        <f ca="1">IF(Información1[[#This Row],[Fecha]]='Ajuste de fechas'!$A$2,"Día actual","Día anterior")</f>
        <v>Día anterior</v>
      </c>
      <c r="C37" s="3" t="s">
        <v>59</v>
      </c>
      <c r="D37" t="s">
        <v>60</v>
      </c>
      <c r="E37" s="3" t="s">
        <v>150</v>
      </c>
      <c r="F37" s="3" t="s">
        <v>13</v>
      </c>
      <c r="G37" s="3" t="s">
        <v>151</v>
      </c>
      <c r="H37" s="3" t="s">
        <v>37</v>
      </c>
      <c r="I37" s="3" t="s">
        <v>7</v>
      </c>
      <c r="J37" s="3" t="s">
        <v>28</v>
      </c>
      <c r="K37" s="3" t="s">
        <v>61</v>
      </c>
      <c r="L37" s="3" t="s">
        <v>25</v>
      </c>
      <c r="M37">
        <v>1</v>
      </c>
    </row>
    <row r="38" spans="1:13" x14ac:dyDescent="0.25">
      <c r="A38" s="2">
        <v>46302</v>
      </c>
      <c r="B38" s="1" t="str">
        <f ca="1">IF(Información1[[#This Row],[Fecha]]='Ajuste de fechas'!$A$2,"Día actual","Día anterior")</f>
        <v>Día anterior</v>
      </c>
      <c r="C38" s="3" t="s">
        <v>59</v>
      </c>
      <c r="D38" t="s">
        <v>60</v>
      </c>
      <c r="E38" s="3" t="s">
        <v>152</v>
      </c>
      <c r="F38" s="3" t="s">
        <v>42</v>
      </c>
      <c r="G38" s="3" t="s">
        <v>82</v>
      </c>
      <c r="H38" s="3" t="s">
        <v>37</v>
      </c>
      <c r="I38" s="3" t="s">
        <v>7</v>
      </c>
      <c r="J38" s="3" t="s">
        <v>24</v>
      </c>
      <c r="K38" s="3" t="s">
        <v>89</v>
      </c>
      <c r="L38" s="3" t="s">
        <v>25</v>
      </c>
      <c r="M38">
        <v>1</v>
      </c>
    </row>
    <row r="39" spans="1:13" x14ac:dyDescent="0.25">
      <c r="A39" s="2">
        <v>46302</v>
      </c>
      <c r="B39" s="1" t="str">
        <f ca="1">IF(Información1[[#This Row],[Fecha]]='Ajuste de fechas'!$A$2,"Día actual","Día anterior")</f>
        <v>Día anterior</v>
      </c>
      <c r="C39" s="3" t="s">
        <v>59</v>
      </c>
      <c r="D39" t="s">
        <v>60</v>
      </c>
      <c r="E39" s="3" t="s">
        <v>153</v>
      </c>
      <c r="F39" s="3" t="s">
        <v>91</v>
      </c>
      <c r="G39" s="3" t="s">
        <v>154</v>
      </c>
      <c r="H39" s="3" t="s">
        <v>37</v>
      </c>
      <c r="I39" s="3" t="s">
        <v>7</v>
      </c>
      <c r="J39" s="3" t="s">
        <v>24</v>
      </c>
      <c r="K39" s="3" t="s">
        <v>89</v>
      </c>
      <c r="L39" s="3" t="s">
        <v>27</v>
      </c>
      <c r="M39">
        <v>1</v>
      </c>
    </row>
    <row r="40" spans="1:13" x14ac:dyDescent="0.25">
      <c r="A40" s="2">
        <v>46302</v>
      </c>
      <c r="B40" s="1" t="str">
        <f ca="1">IF(Información1[[#This Row],[Fecha]]='Ajuste de fechas'!$A$2,"Día actual","Día anterior")</f>
        <v>Día anterior</v>
      </c>
      <c r="C40" s="3" t="s">
        <v>59</v>
      </c>
      <c r="D40" t="s">
        <v>60</v>
      </c>
      <c r="E40" s="3" t="s">
        <v>155</v>
      </c>
      <c r="F40" s="3" t="s">
        <v>94</v>
      </c>
      <c r="G40" s="3" t="s">
        <v>103</v>
      </c>
      <c r="H40" s="3" t="s">
        <v>37</v>
      </c>
      <c r="I40" s="3" t="s">
        <v>7</v>
      </c>
      <c r="J40" s="3" t="s">
        <v>24</v>
      </c>
      <c r="K40" s="3" t="s">
        <v>61</v>
      </c>
      <c r="L40" s="3" t="s">
        <v>25</v>
      </c>
      <c r="M40">
        <v>1</v>
      </c>
    </row>
    <row r="41" spans="1:13" x14ac:dyDescent="0.25">
      <c r="A41" s="2">
        <v>46302</v>
      </c>
      <c r="B41" s="1" t="str">
        <f ca="1">IF(Información1[[#This Row],[Fecha]]='Ajuste de fechas'!$A$2,"Día actual","Día anterior")</f>
        <v>Día anterior</v>
      </c>
      <c r="C41" s="3" t="s">
        <v>59</v>
      </c>
      <c r="D41" t="s">
        <v>60</v>
      </c>
      <c r="E41" s="3" t="s">
        <v>156</v>
      </c>
      <c r="F41" s="3" t="s">
        <v>14</v>
      </c>
      <c r="G41" s="3" t="s">
        <v>102</v>
      </c>
      <c r="H41" s="3" t="s">
        <v>37</v>
      </c>
      <c r="I41" s="3" t="s">
        <v>7</v>
      </c>
      <c r="J41" s="3" t="s">
        <v>24</v>
      </c>
      <c r="K41" s="3" t="s">
        <v>89</v>
      </c>
      <c r="L41" s="3" t="s">
        <v>25</v>
      </c>
      <c r="M41">
        <v>1</v>
      </c>
    </row>
    <row r="42" spans="1:13" x14ac:dyDescent="0.25">
      <c r="A42" s="2">
        <v>46302</v>
      </c>
      <c r="B42" s="1" t="str">
        <f ca="1">IF(Información1[[#This Row],[Fecha]]='Ajuste de fechas'!$A$2,"Día actual","Día anterior")</f>
        <v>Día anterior</v>
      </c>
      <c r="C42" s="3" t="s">
        <v>59</v>
      </c>
      <c r="D42" t="s">
        <v>60</v>
      </c>
      <c r="E42" s="3" t="s">
        <v>157</v>
      </c>
      <c r="F42" s="3" t="s">
        <v>16</v>
      </c>
      <c r="G42" s="3" t="s">
        <v>158</v>
      </c>
      <c r="H42" s="3" t="s">
        <v>37</v>
      </c>
      <c r="I42" s="3" t="s">
        <v>7</v>
      </c>
      <c r="J42" s="3" t="s">
        <v>16</v>
      </c>
      <c r="K42" s="3" t="s">
        <v>61</v>
      </c>
      <c r="L42" s="3" t="s">
        <v>34</v>
      </c>
      <c r="M42">
        <v>1</v>
      </c>
    </row>
    <row r="43" spans="1:13" x14ac:dyDescent="0.25">
      <c r="A43" s="2">
        <v>46302</v>
      </c>
      <c r="B43" s="1" t="str">
        <f ca="1">IF(Información1[[#This Row],[Fecha]]='Ajuste de fechas'!$A$2,"Día actual","Día anterior")</f>
        <v>Día anterior</v>
      </c>
      <c r="C43" s="3" t="s">
        <v>59</v>
      </c>
      <c r="D43" t="s">
        <v>60</v>
      </c>
      <c r="E43" s="3" t="s">
        <v>159</v>
      </c>
      <c r="F43" s="3" t="s">
        <v>94</v>
      </c>
      <c r="G43" s="3" t="s">
        <v>160</v>
      </c>
      <c r="H43" s="3" t="s">
        <v>37</v>
      </c>
      <c r="I43" s="3" t="s">
        <v>7</v>
      </c>
      <c r="J43" s="3" t="s">
        <v>24</v>
      </c>
      <c r="K43" s="3" t="s">
        <v>89</v>
      </c>
      <c r="L43" s="3" t="s">
        <v>25</v>
      </c>
      <c r="M43">
        <v>1</v>
      </c>
    </row>
    <row r="44" spans="1:13" x14ac:dyDescent="0.25">
      <c r="A44" s="2">
        <v>46302</v>
      </c>
      <c r="B44" s="1" t="str">
        <f ca="1">IF(Información1[[#This Row],[Fecha]]='Ajuste de fechas'!$A$2,"Día actual","Día anterior")</f>
        <v>Día anterior</v>
      </c>
      <c r="C44" s="3" t="s">
        <v>59</v>
      </c>
      <c r="D44" t="s">
        <v>60</v>
      </c>
      <c r="E44" s="3" t="s">
        <v>161</v>
      </c>
      <c r="F44" s="3" t="s">
        <v>42</v>
      </c>
      <c r="G44" s="3" t="s">
        <v>162</v>
      </c>
      <c r="H44" s="3" t="s">
        <v>37</v>
      </c>
      <c r="I44" s="3" t="s">
        <v>7</v>
      </c>
      <c r="J44" s="3" t="s">
        <v>24</v>
      </c>
      <c r="K44" s="3" t="s">
        <v>61</v>
      </c>
      <c r="L44" s="3" t="s">
        <v>25</v>
      </c>
      <c r="M44">
        <v>1</v>
      </c>
    </row>
    <row r="45" spans="1:13" x14ac:dyDescent="0.25">
      <c r="A45" s="2">
        <v>46302</v>
      </c>
      <c r="B45" s="1" t="str">
        <f ca="1">IF(Información1[[#This Row],[Fecha]]='Ajuste de fechas'!$A$2,"Día actual","Día anterior")</f>
        <v>Día anterior</v>
      </c>
      <c r="C45" s="3" t="s">
        <v>59</v>
      </c>
      <c r="D45" t="s">
        <v>60</v>
      </c>
      <c r="E45" s="3" t="s">
        <v>163</v>
      </c>
      <c r="F45" s="3" t="s">
        <v>16</v>
      </c>
      <c r="G45" s="3" t="s">
        <v>97</v>
      </c>
      <c r="H45" s="3" t="s">
        <v>37</v>
      </c>
      <c r="I45" s="3" t="s">
        <v>7</v>
      </c>
      <c r="J45" s="3" t="s">
        <v>16</v>
      </c>
      <c r="K45" s="3" t="s">
        <v>61</v>
      </c>
      <c r="L45" s="3" t="s">
        <v>34</v>
      </c>
      <c r="M45">
        <v>1</v>
      </c>
    </row>
    <row r="46" spans="1:13" x14ac:dyDescent="0.25">
      <c r="A46" s="2">
        <v>46302</v>
      </c>
      <c r="B46" s="1" t="str">
        <f ca="1">IF(Información1[[#This Row],[Fecha]]='Ajuste de fechas'!$A$2,"Día actual","Día anterior")</f>
        <v>Día anterior</v>
      </c>
      <c r="C46" s="3" t="s">
        <v>59</v>
      </c>
      <c r="D46" t="s">
        <v>60</v>
      </c>
      <c r="E46" s="3" t="s">
        <v>164</v>
      </c>
      <c r="F46" s="3" t="s">
        <v>16</v>
      </c>
      <c r="G46" s="3" t="s">
        <v>100</v>
      </c>
      <c r="H46" s="3" t="s">
        <v>37</v>
      </c>
      <c r="I46" s="3" t="s">
        <v>7</v>
      </c>
      <c r="J46" s="3" t="s">
        <v>16</v>
      </c>
      <c r="K46" s="3" t="s">
        <v>61</v>
      </c>
      <c r="L46" s="3" t="s">
        <v>25</v>
      </c>
      <c r="M46">
        <v>1</v>
      </c>
    </row>
    <row r="47" spans="1:13" x14ac:dyDescent="0.25">
      <c r="A47" s="2">
        <v>46302</v>
      </c>
      <c r="B47" s="1" t="str">
        <f ca="1">IF(Información1[[#This Row],[Fecha]]='Ajuste de fechas'!$A$2,"Día actual","Día anterior")</f>
        <v>Día anterior</v>
      </c>
      <c r="C47" s="3" t="s">
        <v>59</v>
      </c>
      <c r="D47" t="s">
        <v>60</v>
      </c>
      <c r="E47" s="3" t="s">
        <v>165</v>
      </c>
      <c r="F47" s="3" t="s">
        <v>16</v>
      </c>
      <c r="G47" s="3" t="s">
        <v>100</v>
      </c>
      <c r="H47" s="3" t="s">
        <v>37</v>
      </c>
      <c r="I47" s="3" t="s">
        <v>7</v>
      </c>
      <c r="J47" s="3" t="s">
        <v>16</v>
      </c>
      <c r="K47" s="3" t="s">
        <v>89</v>
      </c>
      <c r="L47" s="3" t="s">
        <v>25</v>
      </c>
      <c r="M47">
        <v>1</v>
      </c>
    </row>
    <row r="48" spans="1:13" x14ac:dyDescent="0.25">
      <c r="A48" s="2">
        <v>46302</v>
      </c>
      <c r="B48" s="1" t="str">
        <f ca="1">IF(Información1[[#This Row],[Fecha]]='Ajuste de fechas'!$A$2,"Día actual","Día anterior")</f>
        <v>Día anterior</v>
      </c>
      <c r="C48" s="3" t="s">
        <v>59</v>
      </c>
      <c r="D48" t="s">
        <v>60</v>
      </c>
      <c r="E48" s="3" t="s">
        <v>123</v>
      </c>
      <c r="F48" s="3" t="s">
        <v>35</v>
      </c>
      <c r="G48" s="3" t="s">
        <v>124</v>
      </c>
      <c r="H48" s="3" t="s">
        <v>37</v>
      </c>
      <c r="I48" s="3" t="s">
        <v>7</v>
      </c>
      <c r="J48" s="3" t="s">
        <v>24</v>
      </c>
      <c r="K48" s="3" t="s">
        <v>89</v>
      </c>
      <c r="L48" s="3" t="s">
        <v>27</v>
      </c>
      <c r="M48">
        <v>1</v>
      </c>
    </row>
    <row r="49" spans="1:13" x14ac:dyDescent="0.25">
      <c r="A49" s="2">
        <v>46302</v>
      </c>
      <c r="B49" s="1" t="str">
        <f ca="1">IF(Información1[[#This Row],[Fecha]]='Ajuste de fechas'!$A$2,"Día actual","Día anterior")</f>
        <v>Día anterior</v>
      </c>
      <c r="C49" s="3" t="s">
        <v>59</v>
      </c>
      <c r="D49" t="s">
        <v>60</v>
      </c>
      <c r="E49" s="3" t="s">
        <v>166</v>
      </c>
      <c r="F49" s="3" t="s">
        <v>13</v>
      </c>
      <c r="G49" s="3" t="s">
        <v>167</v>
      </c>
      <c r="H49" s="3" t="s">
        <v>37</v>
      </c>
      <c r="I49" s="3" t="s">
        <v>7</v>
      </c>
      <c r="J49" s="3" t="s">
        <v>28</v>
      </c>
      <c r="K49" s="3" t="s">
        <v>61</v>
      </c>
      <c r="L49" s="3" t="s">
        <v>25</v>
      </c>
      <c r="M49">
        <v>1</v>
      </c>
    </row>
    <row r="50" spans="1:13" x14ac:dyDescent="0.25">
      <c r="A50" s="2">
        <v>46302</v>
      </c>
      <c r="B50" s="1" t="str">
        <f ca="1">IF(Información1[[#This Row],[Fecha]]='Ajuste de fechas'!$A$2,"Día actual","Día anterior")</f>
        <v>Día anterior</v>
      </c>
      <c r="C50" s="3" t="s">
        <v>59</v>
      </c>
      <c r="D50" t="s">
        <v>60</v>
      </c>
      <c r="E50" s="3" t="s">
        <v>168</v>
      </c>
      <c r="F50" s="3" t="s">
        <v>94</v>
      </c>
      <c r="G50" s="3" t="s">
        <v>95</v>
      </c>
      <c r="H50" s="3" t="s">
        <v>37</v>
      </c>
      <c r="I50" s="3" t="s">
        <v>7</v>
      </c>
      <c r="J50" s="3" t="s">
        <v>24</v>
      </c>
      <c r="K50" s="3" t="s">
        <v>61</v>
      </c>
      <c r="L50" s="3" t="s">
        <v>26</v>
      </c>
      <c r="M50">
        <v>1</v>
      </c>
    </row>
    <row r="51" spans="1:13" x14ac:dyDescent="0.25">
      <c r="A51" s="2">
        <v>46302</v>
      </c>
      <c r="B51" s="1" t="str">
        <f ca="1">IF(Información1[[#This Row],[Fecha]]='Ajuste de fechas'!$A$2,"Día actual","Día anterior")</f>
        <v>Día anterior</v>
      </c>
      <c r="C51" s="3" t="s">
        <v>59</v>
      </c>
      <c r="D51" t="s">
        <v>60</v>
      </c>
      <c r="E51" s="3" t="s">
        <v>169</v>
      </c>
      <c r="F51" s="3" t="s">
        <v>94</v>
      </c>
      <c r="G51" s="3" t="s">
        <v>95</v>
      </c>
      <c r="H51" s="3" t="s">
        <v>37</v>
      </c>
      <c r="I51" s="3" t="s">
        <v>7</v>
      </c>
      <c r="J51" s="3" t="s">
        <v>24</v>
      </c>
      <c r="K51" s="3" t="s">
        <v>89</v>
      </c>
      <c r="L51" s="3" t="s">
        <v>25</v>
      </c>
      <c r="M51">
        <v>1</v>
      </c>
    </row>
    <row r="52" spans="1:13" x14ac:dyDescent="0.25">
      <c r="A52" s="2">
        <v>46302</v>
      </c>
      <c r="B52" s="1" t="str">
        <f ca="1">IF(Información1[[#This Row],[Fecha]]='Ajuste de fechas'!$A$2,"Día actual","Día anterior")</f>
        <v>Día anterior</v>
      </c>
      <c r="C52" s="3" t="s">
        <v>59</v>
      </c>
      <c r="D52" t="s">
        <v>60</v>
      </c>
      <c r="E52" s="3" t="s">
        <v>170</v>
      </c>
      <c r="F52" s="3" t="s">
        <v>72</v>
      </c>
      <c r="G52" s="3" t="s">
        <v>132</v>
      </c>
      <c r="H52" s="3" t="s">
        <v>37</v>
      </c>
      <c r="I52" s="3" t="s">
        <v>7</v>
      </c>
      <c r="J52" s="3" t="s">
        <v>24</v>
      </c>
      <c r="K52" s="3" t="s">
        <v>61</v>
      </c>
      <c r="L52" s="3" t="s">
        <v>25</v>
      </c>
      <c r="M52">
        <v>1</v>
      </c>
    </row>
    <row r="53" spans="1:13" x14ac:dyDescent="0.25">
      <c r="A53" s="2">
        <v>46302</v>
      </c>
      <c r="B53" s="1" t="str">
        <f ca="1">IF(Información1[[#This Row],[Fecha]]='Ajuste de fechas'!$A$2,"Día actual","Día anterior")</f>
        <v>Día anterior</v>
      </c>
      <c r="C53" s="3" t="s">
        <v>51</v>
      </c>
      <c r="D53" t="s">
        <v>52</v>
      </c>
      <c r="E53" s="3" t="s">
        <v>171</v>
      </c>
      <c r="F53" s="3" t="s">
        <v>13</v>
      </c>
      <c r="G53" s="3" t="s">
        <v>69</v>
      </c>
      <c r="H53" s="3" t="s">
        <v>54</v>
      </c>
      <c r="I53" s="3" t="s">
        <v>7</v>
      </c>
      <c r="J53" s="3" t="s">
        <v>28</v>
      </c>
      <c r="K53" s="3" t="s">
        <v>172</v>
      </c>
      <c r="L53" s="3" t="s">
        <v>67</v>
      </c>
      <c r="M53">
        <v>1</v>
      </c>
    </row>
    <row r="54" spans="1:13" x14ac:dyDescent="0.25">
      <c r="A54" s="2">
        <v>46302</v>
      </c>
      <c r="B54" s="1" t="str">
        <f ca="1">IF(Información1[[#This Row],[Fecha]]='Ajuste de fechas'!$A$2,"Día actual","Día anterior")</f>
        <v>Día anterior</v>
      </c>
      <c r="C54" s="3" t="s">
        <v>51</v>
      </c>
      <c r="D54" t="s">
        <v>52</v>
      </c>
      <c r="E54" s="3" t="s">
        <v>173</v>
      </c>
      <c r="F54" s="3" t="s">
        <v>94</v>
      </c>
      <c r="G54" s="3" t="s">
        <v>95</v>
      </c>
      <c r="H54" s="3" t="s">
        <v>54</v>
      </c>
      <c r="I54" s="3" t="s">
        <v>7</v>
      </c>
      <c r="J54" s="3" t="s">
        <v>24</v>
      </c>
      <c r="K54" s="3" t="s">
        <v>57</v>
      </c>
      <c r="L54" s="3" t="s">
        <v>25</v>
      </c>
      <c r="M54">
        <v>1</v>
      </c>
    </row>
    <row r="55" spans="1:13" x14ac:dyDescent="0.25">
      <c r="A55" s="2">
        <v>46302</v>
      </c>
      <c r="B55" s="1" t="str">
        <f ca="1">IF(Información1[[#This Row],[Fecha]]='Ajuste de fechas'!$A$2,"Día actual","Día anterior")</f>
        <v>Día anterior</v>
      </c>
      <c r="C55" s="3" t="s">
        <v>51</v>
      </c>
      <c r="D55" t="s">
        <v>52</v>
      </c>
      <c r="E55" s="3" t="s">
        <v>174</v>
      </c>
      <c r="F55" s="3" t="s">
        <v>35</v>
      </c>
      <c r="G55" s="3" t="s">
        <v>104</v>
      </c>
      <c r="H55" s="3" t="s">
        <v>54</v>
      </c>
      <c r="I55" s="3" t="s">
        <v>7</v>
      </c>
      <c r="J55" s="3" t="s">
        <v>24</v>
      </c>
      <c r="K55" s="3" t="s">
        <v>57</v>
      </c>
      <c r="L55" s="3" t="s">
        <v>25</v>
      </c>
      <c r="M55">
        <v>1</v>
      </c>
    </row>
    <row r="56" spans="1:13" x14ac:dyDescent="0.25">
      <c r="A56" s="2">
        <v>46302</v>
      </c>
      <c r="B56" s="1" t="str">
        <f ca="1">IF(Información1[[#This Row],[Fecha]]='Ajuste de fechas'!$A$2,"Día actual","Día anterior")</f>
        <v>Día anterior</v>
      </c>
      <c r="C56" s="3" t="s">
        <v>51</v>
      </c>
      <c r="D56" t="s">
        <v>52</v>
      </c>
      <c r="E56" s="3" t="s">
        <v>175</v>
      </c>
      <c r="F56" s="3" t="s">
        <v>6</v>
      </c>
      <c r="G56" s="3" t="s">
        <v>87</v>
      </c>
      <c r="H56" s="3" t="s">
        <v>54</v>
      </c>
      <c r="I56" s="3" t="s">
        <v>7</v>
      </c>
      <c r="J56" s="3" t="s">
        <v>24</v>
      </c>
      <c r="K56" s="3" t="s">
        <v>57</v>
      </c>
      <c r="L56" s="3" t="s">
        <v>25</v>
      </c>
      <c r="M56">
        <v>1</v>
      </c>
    </row>
    <row r="57" spans="1:13" x14ac:dyDescent="0.25">
      <c r="A57" s="2">
        <v>46302</v>
      </c>
      <c r="B57" s="1" t="str">
        <f ca="1">IF(Información1[[#This Row],[Fecha]]='Ajuste de fechas'!$A$2,"Día actual","Día anterior")</f>
        <v>Día anterior</v>
      </c>
      <c r="C57" s="3" t="s">
        <v>51</v>
      </c>
      <c r="D57" t="s">
        <v>52</v>
      </c>
      <c r="E57" s="3" t="s">
        <v>176</v>
      </c>
      <c r="F57" s="3" t="s">
        <v>6</v>
      </c>
      <c r="G57" s="3" t="s">
        <v>177</v>
      </c>
      <c r="H57" s="3" t="s">
        <v>54</v>
      </c>
      <c r="I57" s="3" t="s">
        <v>7</v>
      </c>
      <c r="J57" s="3" t="s">
        <v>24</v>
      </c>
      <c r="K57" s="3" t="s">
        <v>44</v>
      </c>
      <c r="L57" s="3" t="s">
        <v>26</v>
      </c>
      <c r="M57">
        <v>1</v>
      </c>
    </row>
    <row r="58" spans="1:13" x14ac:dyDescent="0.25">
      <c r="A58" s="2">
        <v>46302</v>
      </c>
      <c r="B58" s="1" t="str">
        <f ca="1">IF(Información1[[#This Row],[Fecha]]='Ajuste de fechas'!$A$2,"Día actual","Día anterior")</f>
        <v>Día anterior</v>
      </c>
      <c r="C58" s="3" t="s">
        <v>51</v>
      </c>
      <c r="D58" t="s">
        <v>52</v>
      </c>
      <c r="E58" s="3" t="s">
        <v>178</v>
      </c>
      <c r="F58" s="3" t="s">
        <v>13</v>
      </c>
      <c r="G58" s="3" t="s">
        <v>69</v>
      </c>
      <c r="H58" s="3" t="s">
        <v>54</v>
      </c>
      <c r="I58" s="3" t="s">
        <v>7</v>
      </c>
      <c r="J58" s="3" t="s">
        <v>28</v>
      </c>
      <c r="K58" s="3" t="s">
        <v>57</v>
      </c>
      <c r="L58" s="3" t="s">
        <v>67</v>
      </c>
      <c r="M58">
        <v>1</v>
      </c>
    </row>
    <row r="59" spans="1:13" x14ac:dyDescent="0.25">
      <c r="A59" s="2">
        <v>46302</v>
      </c>
      <c r="B59" s="1" t="str">
        <f ca="1">IF(Información1[[#This Row],[Fecha]]='Ajuste de fechas'!$A$2,"Día actual","Día anterior")</f>
        <v>Día anterior</v>
      </c>
      <c r="C59" s="3" t="s">
        <v>51</v>
      </c>
      <c r="D59" t="s">
        <v>52</v>
      </c>
      <c r="E59" s="3" t="s">
        <v>179</v>
      </c>
      <c r="F59" s="3" t="s">
        <v>53</v>
      </c>
      <c r="G59" s="3" t="s">
        <v>58</v>
      </c>
      <c r="H59" s="3" t="s">
        <v>54</v>
      </c>
      <c r="I59" s="3" t="s">
        <v>7</v>
      </c>
      <c r="J59" s="3" t="s">
        <v>55</v>
      </c>
      <c r="K59" s="3" t="s">
        <v>57</v>
      </c>
      <c r="L59" s="3" t="s">
        <v>25</v>
      </c>
      <c r="M59">
        <v>1</v>
      </c>
    </row>
    <row r="60" spans="1:13" x14ac:dyDescent="0.25">
      <c r="A60" s="2">
        <v>46302</v>
      </c>
      <c r="B60" s="1" t="str">
        <f ca="1">IF(Información1[[#This Row],[Fecha]]='Ajuste de fechas'!$A$2,"Día actual","Día anterior")</f>
        <v>Día anterior</v>
      </c>
      <c r="C60" s="3" t="s">
        <v>51</v>
      </c>
      <c r="D60" t="s">
        <v>52</v>
      </c>
      <c r="E60" s="3" t="s">
        <v>180</v>
      </c>
      <c r="F60" s="3" t="s">
        <v>94</v>
      </c>
      <c r="G60" s="3" t="s">
        <v>103</v>
      </c>
      <c r="H60" s="3" t="s">
        <v>54</v>
      </c>
      <c r="I60" s="3" t="s">
        <v>7</v>
      </c>
      <c r="J60" s="3" t="s">
        <v>24</v>
      </c>
      <c r="K60" s="3" t="s">
        <v>57</v>
      </c>
      <c r="L60" s="3" t="s">
        <v>25</v>
      </c>
      <c r="M60">
        <v>1</v>
      </c>
    </row>
    <row r="61" spans="1:13" x14ac:dyDescent="0.25">
      <c r="A61" s="2">
        <v>46302</v>
      </c>
      <c r="B61" s="1" t="str">
        <f ca="1">IF(Información1[[#This Row],[Fecha]]='Ajuste de fechas'!$A$2,"Día actual","Día anterior")</f>
        <v>Día anterior</v>
      </c>
      <c r="C61" s="3" t="s">
        <v>51</v>
      </c>
      <c r="D61" t="s">
        <v>52</v>
      </c>
      <c r="E61" s="3" t="s">
        <v>181</v>
      </c>
      <c r="F61" s="3" t="s">
        <v>14</v>
      </c>
      <c r="G61" s="3" t="s">
        <v>106</v>
      </c>
      <c r="H61" s="3" t="s">
        <v>54</v>
      </c>
      <c r="I61" s="3" t="s">
        <v>7</v>
      </c>
      <c r="J61" s="3" t="s">
        <v>24</v>
      </c>
      <c r="K61" s="3" t="s">
        <v>57</v>
      </c>
      <c r="L61" s="3" t="s">
        <v>25</v>
      </c>
      <c r="M61">
        <v>1</v>
      </c>
    </row>
    <row r="62" spans="1:13" x14ac:dyDescent="0.25">
      <c r="A62" s="2">
        <v>46302</v>
      </c>
      <c r="B62" s="1" t="str">
        <f ca="1">IF(Información1[[#This Row],[Fecha]]='Ajuste de fechas'!$A$2,"Día actual","Día anterior")</f>
        <v>Día anterior</v>
      </c>
      <c r="C62" s="3" t="s">
        <v>51</v>
      </c>
      <c r="D62" t="s">
        <v>52</v>
      </c>
      <c r="E62" s="3" t="s">
        <v>182</v>
      </c>
      <c r="F62" s="3" t="s">
        <v>15</v>
      </c>
      <c r="G62" s="3" t="s">
        <v>81</v>
      </c>
      <c r="H62" s="3" t="s">
        <v>54</v>
      </c>
      <c r="I62" s="3" t="s">
        <v>17</v>
      </c>
      <c r="J62" s="3" t="s">
        <v>29</v>
      </c>
      <c r="K62" s="3" t="s">
        <v>57</v>
      </c>
      <c r="L62" s="3" t="s">
        <v>25</v>
      </c>
      <c r="M62">
        <v>1</v>
      </c>
    </row>
    <row r="63" spans="1:13" x14ac:dyDescent="0.25">
      <c r="A63" s="2">
        <v>46302</v>
      </c>
      <c r="B63" s="1" t="str">
        <f ca="1">IF(Información1[[#This Row],[Fecha]]='Ajuste de fechas'!$A$2,"Día actual","Día anterior")</f>
        <v>Día anterior</v>
      </c>
      <c r="C63" s="3" t="s">
        <v>51</v>
      </c>
      <c r="D63" t="s">
        <v>52</v>
      </c>
      <c r="E63" s="3" t="s">
        <v>183</v>
      </c>
      <c r="F63" s="3" t="s">
        <v>33</v>
      </c>
      <c r="G63" s="3" t="s">
        <v>103</v>
      </c>
      <c r="H63" s="3" t="s">
        <v>54</v>
      </c>
      <c r="I63" s="3" t="s">
        <v>7</v>
      </c>
      <c r="J63" s="3" t="s">
        <v>16</v>
      </c>
      <c r="K63" s="3" t="s">
        <v>57</v>
      </c>
      <c r="L63" s="3" t="s">
        <v>25</v>
      </c>
      <c r="M63">
        <v>1</v>
      </c>
    </row>
    <row r="64" spans="1:13" x14ac:dyDescent="0.25">
      <c r="A64" s="2">
        <v>46302</v>
      </c>
      <c r="B64" s="1" t="str">
        <f ca="1">IF(Información1[[#This Row],[Fecha]]='Ajuste de fechas'!$A$2,"Día actual","Día anterior")</f>
        <v>Día anterior</v>
      </c>
      <c r="C64" s="3" t="s">
        <v>51</v>
      </c>
      <c r="D64" t="s">
        <v>52</v>
      </c>
      <c r="E64" s="3" t="s">
        <v>184</v>
      </c>
      <c r="F64" s="3" t="s">
        <v>14</v>
      </c>
      <c r="G64" s="3" t="s">
        <v>85</v>
      </c>
      <c r="H64" s="3" t="s">
        <v>54</v>
      </c>
      <c r="I64" s="3" t="s">
        <v>7</v>
      </c>
      <c r="J64" s="3" t="s">
        <v>24</v>
      </c>
      <c r="K64" s="3" t="s">
        <v>57</v>
      </c>
      <c r="L64" s="3" t="s">
        <v>25</v>
      </c>
      <c r="M64">
        <v>1</v>
      </c>
    </row>
    <row r="65" spans="1:13" x14ac:dyDescent="0.25">
      <c r="A65" s="2">
        <v>46302</v>
      </c>
      <c r="B65" s="1" t="str">
        <f ca="1">IF(Información1[[#This Row],[Fecha]]='Ajuste de fechas'!$A$2,"Día actual","Día anterior")</f>
        <v>Día anterior</v>
      </c>
      <c r="C65" s="3" t="s">
        <v>51</v>
      </c>
      <c r="D65" t="s">
        <v>52</v>
      </c>
      <c r="E65" s="3" t="s">
        <v>185</v>
      </c>
      <c r="F65" s="3" t="s">
        <v>35</v>
      </c>
      <c r="G65" s="3" t="s">
        <v>88</v>
      </c>
      <c r="H65" s="3" t="s">
        <v>54</v>
      </c>
      <c r="I65" s="3" t="s">
        <v>7</v>
      </c>
      <c r="J65" s="3" t="s">
        <v>24</v>
      </c>
      <c r="K65" s="3" t="s">
        <v>56</v>
      </c>
      <c r="L65" s="3" t="s">
        <v>25</v>
      </c>
      <c r="M65">
        <v>1</v>
      </c>
    </row>
    <row r="66" spans="1:13" x14ac:dyDescent="0.25">
      <c r="A66" s="2">
        <v>46302</v>
      </c>
      <c r="B66" s="1" t="str">
        <f ca="1">IF(Información1[[#This Row],[Fecha]]='Ajuste de fechas'!$A$2,"Día actual","Día anterior")</f>
        <v>Día anterior</v>
      </c>
      <c r="C66" s="3" t="s">
        <v>51</v>
      </c>
      <c r="D66" t="s">
        <v>52</v>
      </c>
      <c r="E66" s="3" t="s">
        <v>186</v>
      </c>
      <c r="F66" s="3" t="s">
        <v>13</v>
      </c>
      <c r="G66" s="3" t="s">
        <v>187</v>
      </c>
      <c r="H66" s="3" t="s">
        <v>54</v>
      </c>
      <c r="I66" s="3" t="s">
        <v>7</v>
      </c>
      <c r="J66" s="3" t="s">
        <v>28</v>
      </c>
      <c r="K66" s="3" t="s">
        <v>57</v>
      </c>
      <c r="L66" s="3" t="s">
        <v>25</v>
      </c>
      <c r="M66">
        <v>1</v>
      </c>
    </row>
    <row r="67" spans="1:13" x14ac:dyDescent="0.25">
      <c r="A67" s="2">
        <v>46302</v>
      </c>
      <c r="B67" s="1" t="str">
        <f ca="1">IF(Información1[[#This Row],[Fecha]]='Ajuste de fechas'!$A$2,"Día actual","Día anterior")</f>
        <v>Día anterior</v>
      </c>
      <c r="C67" s="3" t="s">
        <v>8</v>
      </c>
      <c r="D67" t="s">
        <v>9</v>
      </c>
      <c r="E67" s="3" t="s">
        <v>188</v>
      </c>
      <c r="F67" s="3" t="s">
        <v>6</v>
      </c>
      <c r="G67" s="3" t="s">
        <v>177</v>
      </c>
      <c r="H67" s="3" t="s">
        <v>37</v>
      </c>
      <c r="I67" s="3" t="s">
        <v>17</v>
      </c>
      <c r="J67" s="3" t="s">
        <v>24</v>
      </c>
      <c r="K67" s="3" t="s">
        <v>44</v>
      </c>
      <c r="L67" s="3" t="s">
        <v>26</v>
      </c>
      <c r="M67">
        <v>1</v>
      </c>
    </row>
    <row r="68" spans="1:13" x14ac:dyDescent="0.25">
      <c r="A68" s="2">
        <v>46302</v>
      </c>
      <c r="B68" s="1" t="str">
        <f ca="1">IF(Información1[[#This Row],[Fecha]]='Ajuste de fechas'!$A$2,"Día actual","Día anterior")</f>
        <v>Día anterior</v>
      </c>
      <c r="C68" s="3" t="s">
        <v>8</v>
      </c>
      <c r="D68" t="s">
        <v>9</v>
      </c>
      <c r="E68" s="3" t="s">
        <v>189</v>
      </c>
      <c r="F68" s="3" t="s">
        <v>6</v>
      </c>
      <c r="G68" s="3" t="s">
        <v>73</v>
      </c>
      <c r="H68" s="3" t="s">
        <v>37</v>
      </c>
      <c r="I68" s="3" t="s">
        <v>17</v>
      </c>
      <c r="J68" s="3" t="s">
        <v>24</v>
      </c>
      <c r="K68" s="3" t="s">
        <v>44</v>
      </c>
      <c r="L68" s="3" t="s">
        <v>26</v>
      </c>
      <c r="M68">
        <v>1</v>
      </c>
    </row>
    <row r="69" spans="1:13" x14ac:dyDescent="0.25">
      <c r="A69" s="2">
        <v>46302</v>
      </c>
      <c r="B69" s="1" t="str">
        <f ca="1">IF(Información1[[#This Row],[Fecha]]='Ajuste de fechas'!$A$2,"Día actual","Día anterior")</f>
        <v>Día anterior</v>
      </c>
      <c r="C69" s="3" t="s">
        <v>8</v>
      </c>
      <c r="D69" t="s">
        <v>9</v>
      </c>
      <c r="E69" s="3" t="s">
        <v>191</v>
      </c>
      <c r="F69" s="3" t="s">
        <v>13</v>
      </c>
      <c r="G69" s="3" t="s">
        <v>192</v>
      </c>
      <c r="H69" s="3" t="s">
        <v>37</v>
      </c>
      <c r="I69" s="3" t="s">
        <v>7</v>
      </c>
      <c r="J69" s="3" t="s">
        <v>28</v>
      </c>
      <c r="K69" s="3" t="s">
        <v>11</v>
      </c>
      <c r="L69" s="3" t="s">
        <v>25</v>
      </c>
      <c r="M69">
        <v>1</v>
      </c>
    </row>
    <row r="70" spans="1:13" x14ac:dyDescent="0.25">
      <c r="A70" s="2">
        <v>46302</v>
      </c>
      <c r="B70" s="1" t="str">
        <f ca="1">IF(Información1[[#This Row],[Fecha]]='Ajuste de fechas'!$A$2,"Día actual","Día anterior")</f>
        <v>Día anterior</v>
      </c>
      <c r="C70" s="3" t="s">
        <v>8</v>
      </c>
      <c r="D70" t="s">
        <v>9</v>
      </c>
      <c r="E70" s="3" t="s">
        <v>193</v>
      </c>
      <c r="F70" s="3" t="s">
        <v>33</v>
      </c>
      <c r="G70" s="3" t="s">
        <v>138</v>
      </c>
      <c r="H70" s="3" t="s">
        <v>37</v>
      </c>
      <c r="I70" s="3" t="s">
        <v>7</v>
      </c>
      <c r="J70" s="3" t="s">
        <v>16</v>
      </c>
      <c r="K70" s="3" t="s">
        <v>11</v>
      </c>
      <c r="L70" s="3" t="s">
        <v>25</v>
      </c>
      <c r="M70">
        <v>1</v>
      </c>
    </row>
    <row r="71" spans="1:13" x14ac:dyDescent="0.25">
      <c r="A71" s="2">
        <v>46302</v>
      </c>
      <c r="B71" s="1" t="str">
        <f ca="1">IF(Información1[[#This Row],[Fecha]]='Ajuste de fechas'!$A$2,"Día actual","Día anterior")</f>
        <v>Día anterior</v>
      </c>
      <c r="C71" s="3" t="s">
        <v>8</v>
      </c>
      <c r="D71" t="s">
        <v>9</v>
      </c>
      <c r="E71" s="3" t="s">
        <v>194</v>
      </c>
      <c r="F71" s="3" t="s">
        <v>42</v>
      </c>
      <c r="G71" s="3" t="s">
        <v>92</v>
      </c>
      <c r="H71" s="3" t="s">
        <v>37</v>
      </c>
      <c r="I71" s="3" t="s">
        <v>7</v>
      </c>
      <c r="J71" s="3" t="s">
        <v>24</v>
      </c>
      <c r="K71" s="3" t="s">
        <v>11</v>
      </c>
      <c r="L71" s="3" t="s">
        <v>25</v>
      </c>
      <c r="M71">
        <v>1</v>
      </c>
    </row>
    <row r="72" spans="1:13" x14ac:dyDescent="0.25">
      <c r="A72" s="2">
        <v>46302</v>
      </c>
      <c r="B72" s="1" t="str">
        <f ca="1">IF(Información1[[#This Row],[Fecha]]='Ajuste de fechas'!$A$2,"Día actual","Día anterior")</f>
        <v>Día anterior</v>
      </c>
      <c r="C72" s="3" t="s">
        <v>8</v>
      </c>
      <c r="D72" t="s">
        <v>9</v>
      </c>
      <c r="E72" s="3" t="s">
        <v>195</v>
      </c>
      <c r="F72" s="3" t="s">
        <v>46</v>
      </c>
      <c r="G72" s="3" t="s">
        <v>196</v>
      </c>
      <c r="H72" s="3" t="s">
        <v>37</v>
      </c>
      <c r="I72" s="3" t="s">
        <v>7</v>
      </c>
      <c r="J72" s="3" t="s">
        <v>24</v>
      </c>
      <c r="K72" s="3" t="s">
        <v>11</v>
      </c>
      <c r="L72" s="3" t="s">
        <v>25</v>
      </c>
      <c r="M72">
        <v>1</v>
      </c>
    </row>
    <row r="73" spans="1:13" x14ac:dyDescent="0.25">
      <c r="A73" s="2">
        <v>46302</v>
      </c>
      <c r="B73" s="1" t="str">
        <f ca="1">IF(Información1[[#This Row],[Fecha]]='Ajuste de fechas'!$A$2,"Día actual","Día anterior")</f>
        <v>Día anterior</v>
      </c>
      <c r="C73" s="3" t="s">
        <v>8</v>
      </c>
      <c r="D73" t="s">
        <v>9</v>
      </c>
      <c r="E73" s="3" t="s">
        <v>197</v>
      </c>
      <c r="F73" s="3" t="s">
        <v>91</v>
      </c>
      <c r="G73" s="3" t="s">
        <v>154</v>
      </c>
      <c r="H73" s="3" t="s">
        <v>37</v>
      </c>
      <c r="I73" s="3" t="s">
        <v>7</v>
      </c>
      <c r="J73" s="3" t="s">
        <v>24</v>
      </c>
      <c r="K73" s="3" t="s">
        <v>11</v>
      </c>
      <c r="L73" s="3" t="s">
        <v>27</v>
      </c>
      <c r="M73">
        <v>1</v>
      </c>
    </row>
    <row r="74" spans="1:13" x14ac:dyDescent="0.25">
      <c r="A74" s="2">
        <v>46302</v>
      </c>
      <c r="B74" s="1" t="str">
        <f ca="1">IF(Información1[[#This Row],[Fecha]]='Ajuste de fechas'!$A$2,"Día actual","Día anterior")</f>
        <v>Día anterior</v>
      </c>
      <c r="C74" s="3" t="s">
        <v>8</v>
      </c>
      <c r="D74" t="s">
        <v>9</v>
      </c>
      <c r="E74" s="3" t="s">
        <v>198</v>
      </c>
      <c r="F74" s="3" t="s">
        <v>94</v>
      </c>
      <c r="G74" s="3" t="s">
        <v>199</v>
      </c>
      <c r="H74" s="3" t="s">
        <v>37</v>
      </c>
      <c r="I74" s="3" t="s">
        <v>7</v>
      </c>
      <c r="J74" s="3" t="s">
        <v>24</v>
      </c>
      <c r="K74" s="3" t="s">
        <v>11</v>
      </c>
      <c r="L74" s="3" t="s">
        <v>25</v>
      </c>
      <c r="M74">
        <v>1</v>
      </c>
    </row>
    <row r="75" spans="1:13" x14ac:dyDescent="0.25">
      <c r="A75" s="2">
        <v>46302</v>
      </c>
      <c r="B75" s="1" t="str">
        <f ca="1">IF(Información1[[#This Row],[Fecha]]='Ajuste de fechas'!$A$2,"Día actual","Día anterior")</f>
        <v>Día anterior</v>
      </c>
      <c r="C75" s="3" t="s">
        <v>8</v>
      </c>
      <c r="D75" t="s">
        <v>9</v>
      </c>
      <c r="E75" s="3" t="s">
        <v>200</v>
      </c>
      <c r="F75" s="3" t="s">
        <v>94</v>
      </c>
      <c r="G75" s="3" t="s">
        <v>95</v>
      </c>
      <c r="H75" s="3" t="s">
        <v>37</v>
      </c>
      <c r="I75" s="3" t="s">
        <v>7</v>
      </c>
      <c r="J75" s="3" t="s">
        <v>24</v>
      </c>
      <c r="K75" s="3" t="s">
        <v>11</v>
      </c>
      <c r="L75" s="3" t="s">
        <v>25</v>
      </c>
      <c r="M75">
        <v>1</v>
      </c>
    </row>
    <row r="76" spans="1:13" x14ac:dyDescent="0.25">
      <c r="A76" s="2">
        <v>46302</v>
      </c>
      <c r="B76" s="1" t="str">
        <f ca="1">IF(Información1[[#This Row],[Fecha]]='Ajuste de fechas'!$A$2,"Día actual","Día anterior")</f>
        <v>Día anterior</v>
      </c>
      <c r="C76" s="3" t="s">
        <v>59</v>
      </c>
      <c r="D76" t="s">
        <v>60</v>
      </c>
      <c r="E76" s="3" t="s">
        <v>79</v>
      </c>
      <c r="F76" s="3" t="s">
        <v>13</v>
      </c>
      <c r="G76" s="3" t="s">
        <v>62</v>
      </c>
      <c r="H76" s="3" t="s">
        <v>37</v>
      </c>
      <c r="I76" s="3" t="s">
        <v>7</v>
      </c>
      <c r="J76" s="3" t="s">
        <v>28</v>
      </c>
      <c r="K76" s="3" t="s">
        <v>66</v>
      </c>
      <c r="L76" s="3" t="s">
        <v>67</v>
      </c>
      <c r="M76">
        <v>1</v>
      </c>
    </row>
    <row r="77" spans="1:13" x14ac:dyDescent="0.25">
      <c r="A77" s="2">
        <v>46303</v>
      </c>
      <c r="B77" s="1" t="str">
        <f ca="1">IF(Información1[[#This Row],[Fecha]]='Ajuste de fechas'!$A$2,"Día actual","Día anterior")</f>
        <v>Día actual</v>
      </c>
      <c r="C77" s="3" t="s">
        <v>59</v>
      </c>
      <c r="D77" t="s">
        <v>60</v>
      </c>
      <c r="E77" s="3" t="s">
        <v>202</v>
      </c>
      <c r="F77" s="3" t="s">
        <v>13</v>
      </c>
      <c r="G77" s="3" t="s">
        <v>203</v>
      </c>
      <c r="H77" s="3" t="s">
        <v>37</v>
      </c>
      <c r="I77" s="3" t="s">
        <v>7</v>
      </c>
      <c r="J77" s="3" t="s">
        <v>28</v>
      </c>
      <c r="K77" s="3" t="s">
        <v>61</v>
      </c>
      <c r="L77" s="3" t="s">
        <v>25</v>
      </c>
      <c r="M77">
        <v>1</v>
      </c>
    </row>
    <row r="78" spans="1:13" x14ac:dyDescent="0.25">
      <c r="A78" s="2">
        <v>46303</v>
      </c>
      <c r="B78" s="1" t="str">
        <f ca="1">IF(Información1[[#This Row],[Fecha]]='Ajuste de fechas'!$A$2,"Día actual","Día anterior")</f>
        <v>Día actual</v>
      </c>
      <c r="C78" s="3" t="s">
        <v>59</v>
      </c>
      <c r="D78" t="s">
        <v>60</v>
      </c>
      <c r="E78" s="3" t="s">
        <v>204</v>
      </c>
      <c r="F78" s="3" t="s">
        <v>13</v>
      </c>
      <c r="G78" s="3" t="s">
        <v>62</v>
      </c>
      <c r="H78" s="3" t="s">
        <v>37</v>
      </c>
      <c r="I78" s="3" t="s">
        <v>7</v>
      </c>
      <c r="J78" s="3" t="s">
        <v>28</v>
      </c>
      <c r="K78" s="3" t="s">
        <v>89</v>
      </c>
      <c r="L78" s="3" t="s">
        <v>25</v>
      </c>
      <c r="M78">
        <v>1</v>
      </c>
    </row>
    <row r="79" spans="1:13" x14ac:dyDescent="0.25">
      <c r="A79" s="2">
        <v>46303</v>
      </c>
      <c r="B79" s="1" t="str">
        <f ca="1">IF(Información1[[#This Row],[Fecha]]='Ajuste de fechas'!$A$2,"Día actual","Día anterior")</f>
        <v>Día actual</v>
      </c>
      <c r="C79" s="3" t="s">
        <v>59</v>
      </c>
      <c r="D79" t="s">
        <v>60</v>
      </c>
      <c r="E79" s="3" t="s">
        <v>205</v>
      </c>
      <c r="F79" s="3" t="s">
        <v>42</v>
      </c>
      <c r="G79" s="3" t="s">
        <v>206</v>
      </c>
      <c r="H79" s="3" t="s">
        <v>37</v>
      </c>
      <c r="I79" s="3" t="s">
        <v>7</v>
      </c>
      <c r="J79" s="3" t="s">
        <v>24</v>
      </c>
      <c r="K79" s="3" t="s">
        <v>61</v>
      </c>
      <c r="L79" s="3" t="s">
        <v>25</v>
      </c>
      <c r="M79">
        <v>1</v>
      </c>
    </row>
    <row r="80" spans="1:13" x14ac:dyDescent="0.25">
      <c r="A80" s="2">
        <v>46303</v>
      </c>
      <c r="B80" s="1" t="str">
        <f ca="1">IF(Información1[[#This Row],[Fecha]]='Ajuste de fechas'!$A$2,"Día actual","Día anterior")</f>
        <v>Día actual</v>
      </c>
      <c r="C80" s="3" t="s">
        <v>59</v>
      </c>
      <c r="D80" t="s">
        <v>60</v>
      </c>
      <c r="E80" s="3" t="s">
        <v>207</v>
      </c>
      <c r="F80" s="3" t="s">
        <v>6</v>
      </c>
      <c r="G80" s="3" t="s">
        <v>203</v>
      </c>
      <c r="H80" s="3" t="s">
        <v>37</v>
      </c>
      <c r="I80" s="3" t="s">
        <v>7</v>
      </c>
      <c r="J80" s="3" t="s">
        <v>24</v>
      </c>
      <c r="K80" s="3" t="s">
        <v>61</v>
      </c>
      <c r="L80" s="3" t="s">
        <v>25</v>
      </c>
      <c r="M80">
        <v>1</v>
      </c>
    </row>
    <row r="81" spans="1:13" x14ac:dyDescent="0.25">
      <c r="A81" s="2">
        <v>46303</v>
      </c>
      <c r="B81" s="1" t="str">
        <f ca="1">IF(Información1[[#This Row],[Fecha]]='Ajuste de fechas'!$A$2,"Día actual","Día anterior")</f>
        <v>Día actual</v>
      </c>
      <c r="C81" s="3" t="s">
        <v>59</v>
      </c>
      <c r="D81" t="s">
        <v>60</v>
      </c>
      <c r="E81" s="3" t="s">
        <v>208</v>
      </c>
      <c r="F81" s="3" t="s">
        <v>91</v>
      </c>
      <c r="G81" s="3" t="s">
        <v>68</v>
      </c>
      <c r="H81" s="3" t="s">
        <v>37</v>
      </c>
      <c r="I81" s="3" t="s">
        <v>7</v>
      </c>
      <c r="J81" s="3" t="s">
        <v>24</v>
      </c>
      <c r="K81" s="3" t="s">
        <v>61</v>
      </c>
      <c r="L81" s="3" t="s">
        <v>27</v>
      </c>
      <c r="M81">
        <v>1</v>
      </c>
    </row>
    <row r="82" spans="1:13" x14ac:dyDescent="0.25">
      <c r="A82" s="2">
        <v>46303</v>
      </c>
      <c r="B82" s="1" t="str">
        <f ca="1">IF(Información1[[#This Row],[Fecha]]='Ajuste de fechas'!$A$2,"Día actual","Día anterior")</f>
        <v>Día actual</v>
      </c>
      <c r="C82" s="3" t="s">
        <v>59</v>
      </c>
      <c r="D82" t="s">
        <v>60</v>
      </c>
      <c r="E82" s="3" t="s">
        <v>209</v>
      </c>
      <c r="F82" s="3" t="s">
        <v>13</v>
      </c>
      <c r="G82" s="3" t="s">
        <v>90</v>
      </c>
      <c r="H82" s="3" t="s">
        <v>37</v>
      </c>
      <c r="I82" s="3" t="s">
        <v>7</v>
      </c>
      <c r="J82" s="3" t="s">
        <v>28</v>
      </c>
      <c r="K82" s="3" t="s">
        <v>61</v>
      </c>
      <c r="L82" s="3" t="s">
        <v>25</v>
      </c>
      <c r="M82">
        <v>1</v>
      </c>
    </row>
    <row r="83" spans="1:13" x14ac:dyDescent="0.25">
      <c r="A83" s="2">
        <v>46303</v>
      </c>
      <c r="B83" s="1" t="str">
        <f ca="1">IF(Información1[[#This Row],[Fecha]]='Ajuste de fechas'!$A$2,"Día actual","Día anterior")</f>
        <v>Día actual</v>
      </c>
      <c r="C83" s="3" t="s">
        <v>59</v>
      </c>
      <c r="D83" t="s">
        <v>60</v>
      </c>
      <c r="E83" s="3" t="s">
        <v>210</v>
      </c>
      <c r="F83" s="3" t="s">
        <v>13</v>
      </c>
      <c r="G83" s="3" t="s">
        <v>82</v>
      </c>
      <c r="H83" s="3" t="s">
        <v>37</v>
      </c>
      <c r="I83" s="3" t="s">
        <v>7</v>
      </c>
      <c r="J83" s="3" t="s">
        <v>28</v>
      </c>
      <c r="K83" s="3" t="s">
        <v>61</v>
      </c>
      <c r="L83" s="3" t="s">
        <v>25</v>
      </c>
      <c r="M83">
        <v>1</v>
      </c>
    </row>
    <row r="84" spans="1:13" x14ac:dyDescent="0.25">
      <c r="A84" s="2">
        <v>46303</v>
      </c>
      <c r="B84" s="1" t="str">
        <f ca="1">IF(Información1[[#This Row],[Fecha]]='Ajuste de fechas'!$A$2,"Día actual","Día anterior")</f>
        <v>Día actual</v>
      </c>
      <c r="C84" s="3" t="s">
        <v>59</v>
      </c>
      <c r="D84" t="s">
        <v>60</v>
      </c>
      <c r="E84" s="3" t="s">
        <v>211</v>
      </c>
      <c r="F84" s="3" t="s">
        <v>13</v>
      </c>
      <c r="G84" s="3" t="s">
        <v>82</v>
      </c>
      <c r="H84" s="3" t="s">
        <v>37</v>
      </c>
      <c r="I84" s="3" t="s">
        <v>7</v>
      </c>
      <c r="J84" s="3" t="s">
        <v>28</v>
      </c>
      <c r="K84" s="3" t="s">
        <v>89</v>
      </c>
      <c r="L84" s="3" t="s">
        <v>25</v>
      </c>
      <c r="M84">
        <v>1</v>
      </c>
    </row>
    <row r="85" spans="1:13" x14ac:dyDescent="0.25">
      <c r="A85" s="2">
        <v>46303</v>
      </c>
      <c r="B85" s="1" t="str">
        <f ca="1">IF(Información1[[#This Row],[Fecha]]='Ajuste de fechas'!$A$2,"Día actual","Día anterior")</f>
        <v>Día actual</v>
      </c>
      <c r="C85" s="3" t="s">
        <v>59</v>
      </c>
      <c r="D85" t="s">
        <v>60</v>
      </c>
      <c r="E85" s="3" t="s">
        <v>212</v>
      </c>
      <c r="F85" s="3" t="s">
        <v>13</v>
      </c>
      <c r="G85" s="3" t="s">
        <v>213</v>
      </c>
      <c r="H85" s="3" t="s">
        <v>37</v>
      </c>
      <c r="I85" s="3" t="s">
        <v>7</v>
      </c>
      <c r="J85" s="3" t="s">
        <v>28</v>
      </c>
      <c r="K85" s="3" t="s">
        <v>61</v>
      </c>
      <c r="L85" s="3" t="s">
        <v>25</v>
      </c>
      <c r="M85">
        <v>1</v>
      </c>
    </row>
    <row r="86" spans="1:13" x14ac:dyDescent="0.25">
      <c r="A86" s="2">
        <v>46303</v>
      </c>
      <c r="B86" s="1" t="str">
        <f ca="1">IF(Información1[[#This Row],[Fecha]]='Ajuste de fechas'!$A$2,"Día actual","Día anterior")</f>
        <v>Día actual</v>
      </c>
      <c r="C86" s="3" t="s">
        <v>59</v>
      </c>
      <c r="D86" t="s">
        <v>60</v>
      </c>
      <c r="E86" s="3" t="s">
        <v>214</v>
      </c>
      <c r="F86" s="3" t="s">
        <v>53</v>
      </c>
      <c r="G86" s="3" t="s">
        <v>58</v>
      </c>
      <c r="H86" s="3" t="s">
        <v>37</v>
      </c>
      <c r="I86" s="3" t="s">
        <v>7</v>
      </c>
      <c r="J86" s="3" t="s">
        <v>55</v>
      </c>
      <c r="K86" s="3" t="s">
        <v>89</v>
      </c>
      <c r="L86" s="3" t="s">
        <v>25</v>
      </c>
      <c r="M86">
        <v>1</v>
      </c>
    </row>
    <row r="87" spans="1:13" x14ac:dyDescent="0.25">
      <c r="A87" s="2">
        <v>46303</v>
      </c>
      <c r="B87" s="1" t="str">
        <f ca="1">IF(Información1[[#This Row],[Fecha]]='Ajuste de fechas'!$A$2,"Día actual","Día anterior")</f>
        <v>Día actual</v>
      </c>
      <c r="C87" s="3" t="s">
        <v>59</v>
      </c>
      <c r="D87" t="s">
        <v>60</v>
      </c>
      <c r="E87" s="3" t="s">
        <v>215</v>
      </c>
      <c r="F87" s="3" t="s">
        <v>216</v>
      </c>
      <c r="G87" s="3" t="s">
        <v>196</v>
      </c>
      <c r="H87" s="3" t="s">
        <v>37</v>
      </c>
      <c r="I87" s="3" t="s">
        <v>7</v>
      </c>
      <c r="J87" s="3" t="s">
        <v>24</v>
      </c>
      <c r="K87" s="3" t="s">
        <v>61</v>
      </c>
      <c r="L87" s="3" t="s">
        <v>25</v>
      </c>
      <c r="M87">
        <v>1</v>
      </c>
    </row>
    <row r="88" spans="1:13" x14ac:dyDescent="0.25">
      <c r="A88" s="2">
        <v>46303</v>
      </c>
      <c r="B88" s="1" t="str">
        <f ca="1">IF(Información1[[#This Row],[Fecha]]='Ajuste de fechas'!$A$2,"Día actual","Día anterior")</f>
        <v>Día actual</v>
      </c>
      <c r="C88" s="3" t="s">
        <v>59</v>
      </c>
      <c r="D88" t="s">
        <v>60</v>
      </c>
      <c r="E88" s="3" t="s">
        <v>217</v>
      </c>
      <c r="F88" s="3" t="s">
        <v>33</v>
      </c>
      <c r="G88" s="3" t="s">
        <v>218</v>
      </c>
      <c r="H88" s="3" t="s">
        <v>37</v>
      </c>
      <c r="I88" s="3" t="s">
        <v>7</v>
      </c>
      <c r="J88" s="3" t="s">
        <v>16</v>
      </c>
      <c r="K88" s="3" t="s">
        <v>89</v>
      </c>
      <c r="L88" s="3" t="s">
        <v>25</v>
      </c>
      <c r="M88">
        <v>1</v>
      </c>
    </row>
    <row r="89" spans="1:13" x14ac:dyDescent="0.25">
      <c r="A89" s="2">
        <v>46303</v>
      </c>
      <c r="B89" s="1" t="str">
        <f ca="1">IF(Información1[[#This Row],[Fecha]]='Ajuste de fechas'!$A$2,"Día actual","Día anterior")</f>
        <v>Día actual</v>
      </c>
      <c r="C89" s="3" t="s">
        <v>59</v>
      </c>
      <c r="D89" t="s">
        <v>60</v>
      </c>
      <c r="E89" s="3" t="s">
        <v>219</v>
      </c>
      <c r="F89" s="3" t="s">
        <v>33</v>
      </c>
      <c r="G89" s="3" t="s">
        <v>218</v>
      </c>
      <c r="H89" s="3" t="s">
        <v>37</v>
      </c>
      <c r="I89" s="3" t="s">
        <v>17</v>
      </c>
      <c r="J89" s="3" t="s">
        <v>16</v>
      </c>
      <c r="K89" s="3" t="s">
        <v>61</v>
      </c>
      <c r="L89" s="3" t="s">
        <v>26</v>
      </c>
      <c r="M89">
        <v>1</v>
      </c>
    </row>
    <row r="90" spans="1:13" x14ac:dyDescent="0.25">
      <c r="A90" s="2">
        <v>46303</v>
      </c>
      <c r="B90" s="1" t="str">
        <f ca="1">IF(Información1[[#This Row],[Fecha]]='Ajuste de fechas'!$A$2,"Día actual","Día anterior")</f>
        <v>Día actual</v>
      </c>
      <c r="C90" s="3" t="s">
        <v>59</v>
      </c>
      <c r="D90" t="s">
        <v>60</v>
      </c>
      <c r="E90" s="3" t="s">
        <v>220</v>
      </c>
      <c r="F90" s="3" t="s">
        <v>33</v>
      </c>
      <c r="G90" s="3" t="s">
        <v>138</v>
      </c>
      <c r="H90" s="3" t="s">
        <v>37</v>
      </c>
      <c r="I90" s="3" t="s">
        <v>7</v>
      </c>
      <c r="J90" s="3" t="s">
        <v>16</v>
      </c>
      <c r="K90" s="3" t="s">
        <v>61</v>
      </c>
      <c r="L90" s="3" t="s">
        <v>25</v>
      </c>
      <c r="M90">
        <v>1</v>
      </c>
    </row>
    <row r="91" spans="1:13" x14ac:dyDescent="0.25">
      <c r="A91" s="2">
        <v>46303</v>
      </c>
      <c r="B91" s="1" t="str">
        <f ca="1">IF(Información1[[#This Row],[Fecha]]='Ajuste de fechas'!$A$2,"Día actual","Día anterior")</f>
        <v>Día actual</v>
      </c>
      <c r="C91" s="3" t="s">
        <v>59</v>
      </c>
      <c r="D91" t="s">
        <v>60</v>
      </c>
      <c r="E91" s="3" t="s">
        <v>221</v>
      </c>
      <c r="F91" s="3" t="s">
        <v>13</v>
      </c>
      <c r="G91" s="3" t="s">
        <v>222</v>
      </c>
      <c r="H91" s="3" t="s">
        <v>37</v>
      </c>
      <c r="I91" s="3" t="s">
        <v>17</v>
      </c>
      <c r="J91" s="3" t="s">
        <v>28</v>
      </c>
      <c r="K91" s="3" t="s">
        <v>89</v>
      </c>
      <c r="L91" s="3" t="s">
        <v>25</v>
      </c>
      <c r="M91">
        <v>1</v>
      </c>
    </row>
    <row r="92" spans="1:13" x14ac:dyDescent="0.25">
      <c r="A92" s="2">
        <v>46303</v>
      </c>
      <c r="B92" s="1" t="str">
        <f ca="1">IF(Información1[[#This Row],[Fecha]]='Ajuste de fechas'!$A$2,"Día actual","Día anterior")</f>
        <v>Día actual</v>
      </c>
      <c r="C92" s="3" t="s">
        <v>59</v>
      </c>
      <c r="D92" t="s">
        <v>60</v>
      </c>
      <c r="E92" s="3" t="s">
        <v>223</v>
      </c>
      <c r="F92" s="3" t="s">
        <v>224</v>
      </c>
      <c r="G92" s="3" t="s">
        <v>225</v>
      </c>
      <c r="H92" s="3" t="s">
        <v>37</v>
      </c>
      <c r="I92" s="3" t="s">
        <v>7</v>
      </c>
      <c r="J92" s="3" t="s">
        <v>24</v>
      </c>
      <c r="K92" s="3" t="s">
        <v>61</v>
      </c>
      <c r="L92" s="3" t="s">
        <v>27</v>
      </c>
      <c r="M92">
        <v>1</v>
      </c>
    </row>
    <row r="93" spans="1:13" x14ac:dyDescent="0.25">
      <c r="A93" s="2">
        <v>46303</v>
      </c>
      <c r="B93" s="1" t="str">
        <f ca="1">IF(Información1[[#This Row],[Fecha]]='Ajuste de fechas'!$A$2,"Día actual","Día anterior")</f>
        <v>Día actual</v>
      </c>
      <c r="C93" s="3" t="s">
        <v>59</v>
      </c>
      <c r="D93" t="s">
        <v>60</v>
      </c>
      <c r="E93" s="3" t="s">
        <v>226</v>
      </c>
      <c r="F93" s="3" t="s">
        <v>94</v>
      </c>
      <c r="G93" s="3" t="s">
        <v>227</v>
      </c>
      <c r="H93" s="3" t="s">
        <v>37</v>
      </c>
      <c r="I93" s="3" t="s">
        <v>7</v>
      </c>
      <c r="J93" s="3" t="s">
        <v>24</v>
      </c>
      <c r="K93" s="3" t="s">
        <v>61</v>
      </c>
      <c r="L93" s="3" t="s">
        <v>25</v>
      </c>
      <c r="M93">
        <v>1</v>
      </c>
    </row>
    <row r="94" spans="1:13" x14ac:dyDescent="0.25">
      <c r="A94" s="2">
        <v>46303</v>
      </c>
      <c r="B94" s="1" t="str">
        <f ca="1">IF(Información1[[#This Row],[Fecha]]='Ajuste de fechas'!$A$2,"Día actual","Día anterior")</f>
        <v>Día actual</v>
      </c>
      <c r="C94" s="3" t="s">
        <v>59</v>
      </c>
      <c r="D94" t="s">
        <v>60</v>
      </c>
      <c r="E94" s="3" t="s">
        <v>228</v>
      </c>
      <c r="F94" s="3" t="s">
        <v>13</v>
      </c>
      <c r="G94" s="3" t="s">
        <v>229</v>
      </c>
      <c r="H94" s="3" t="s">
        <v>37</v>
      </c>
      <c r="I94" s="3" t="s">
        <v>7</v>
      </c>
      <c r="J94" s="3" t="s">
        <v>28</v>
      </c>
      <c r="K94" s="3" t="s">
        <v>61</v>
      </c>
      <c r="L94" s="3" t="s">
        <v>25</v>
      </c>
      <c r="M94">
        <v>1</v>
      </c>
    </row>
    <row r="95" spans="1:13" x14ac:dyDescent="0.25">
      <c r="A95" s="2">
        <v>46303</v>
      </c>
      <c r="B95" s="1" t="str">
        <f ca="1">IF(Información1[[#This Row],[Fecha]]='Ajuste de fechas'!$A$2,"Día actual","Día anterior")</f>
        <v>Día actual</v>
      </c>
      <c r="C95" s="3" t="s">
        <v>59</v>
      </c>
      <c r="D95" t="s">
        <v>60</v>
      </c>
      <c r="E95" s="3" t="s">
        <v>230</v>
      </c>
      <c r="F95" s="3" t="s">
        <v>13</v>
      </c>
      <c r="G95" s="3" t="s">
        <v>231</v>
      </c>
      <c r="H95" s="3" t="s">
        <v>37</v>
      </c>
      <c r="I95" s="3" t="s">
        <v>7</v>
      </c>
      <c r="J95" s="3" t="s">
        <v>28</v>
      </c>
      <c r="K95" s="3" t="s">
        <v>89</v>
      </c>
      <c r="L95" s="3" t="s">
        <v>25</v>
      </c>
      <c r="M95">
        <v>1</v>
      </c>
    </row>
    <row r="96" spans="1:13" x14ac:dyDescent="0.25">
      <c r="A96" s="2">
        <v>46303</v>
      </c>
      <c r="B96" s="1" t="str">
        <f ca="1">IF(Información1[[#This Row],[Fecha]]='Ajuste de fechas'!$A$2,"Día actual","Día anterior")</f>
        <v>Día actual</v>
      </c>
      <c r="C96" s="3" t="s">
        <v>59</v>
      </c>
      <c r="D96" t="s">
        <v>60</v>
      </c>
      <c r="E96" s="3" t="s">
        <v>79</v>
      </c>
      <c r="F96" s="3" t="s">
        <v>13</v>
      </c>
      <c r="G96" s="3" t="s">
        <v>62</v>
      </c>
      <c r="H96" s="3" t="s">
        <v>37</v>
      </c>
      <c r="I96" s="3" t="s">
        <v>7</v>
      </c>
      <c r="J96" s="3" t="s">
        <v>28</v>
      </c>
      <c r="K96" s="3" t="s">
        <v>66</v>
      </c>
      <c r="L96" s="3" t="s">
        <v>67</v>
      </c>
      <c r="M96">
        <v>1</v>
      </c>
    </row>
    <row r="97" spans="1:13" x14ac:dyDescent="0.25">
      <c r="A97" s="2">
        <v>46303</v>
      </c>
      <c r="B97" s="1" t="str">
        <f ca="1">IF(Información1[[#This Row],[Fecha]]='Ajuste de fechas'!$A$2,"Día actual","Día anterior")</f>
        <v>Día actual</v>
      </c>
      <c r="C97" s="3" t="s">
        <v>59</v>
      </c>
      <c r="D97" t="s">
        <v>60</v>
      </c>
      <c r="E97" s="3" t="s">
        <v>232</v>
      </c>
      <c r="F97" s="3" t="s">
        <v>13</v>
      </c>
      <c r="G97" s="3" t="s">
        <v>80</v>
      </c>
      <c r="H97" s="3" t="s">
        <v>37</v>
      </c>
      <c r="I97" s="3" t="s">
        <v>7</v>
      </c>
      <c r="J97" s="3" t="s">
        <v>28</v>
      </c>
      <c r="K97" s="3" t="s">
        <v>61</v>
      </c>
      <c r="L97" s="3" t="s">
        <v>25</v>
      </c>
      <c r="M97">
        <v>1</v>
      </c>
    </row>
    <row r="98" spans="1:13" x14ac:dyDescent="0.25">
      <c r="A98" s="2">
        <v>46303</v>
      </c>
      <c r="B98" s="1" t="str">
        <f ca="1">IF(Información1[[#This Row],[Fecha]]='Ajuste de fechas'!$A$2,"Día actual","Día anterior")</f>
        <v>Día actual</v>
      </c>
      <c r="C98" s="3" t="s">
        <v>59</v>
      </c>
      <c r="D98" t="s">
        <v>60</v>
      </c>
      <c r="E98" s="3" t="s">
        <v>233</v>
      </c>
      <c r="F98" s="3" t="s">
        <v>35</v>
      </c>
      <c r="G98" s="3" t="s">
        <v>88</v>
      </c>
      <c r="H98" s="3" t="s">
        <v>37</v>
      </c>
      <c r="I98" s="3" t="s">
        <v>7</v>
      </c>
      <c r="J98" s="3" t="s">
        <v>24</v>
      </c>
      <c r="K98" s="3" t="s">
        <v>89</v>
      </c>
      <c r="L98" s="3" t="s">
        <v>25</v>
      </c>
      <c r="M98">
        <v>1</v>
      </c>
    </row>
    <row r="99" spans="1:13" x14ac:dyDescent="0.25">
      <c r="A99" s="2">
        <v>46303</v>
      </c>
      <c r="B99" s="1" t="str">
        <f ca="1">IF(Información1[[#This Row],[Fecha]]='Ajuste de fechas'!$A$2,"Día actual","Día anterior")</f>
        <v>Día actual</v>
      </c>
      <c r="C99" s="3" t="s">
        <v>59</v>
      </c>
      <c r="D99" t="s">
        <v>60</v>
      </c>
      <c r="E99" s="3" t="s">
        <v>234</v>
      </c>
      <c r="F99" s="3" t="s">
        <v>12</v>
      </c>
      <c r="G99" s="3" t="s">
        <v>113</v>
      </c>
      <c r="H99" s="3" t="s">
        <v>37</v>
      </c>
      <c r="I99" s="3" t="s">
        <v>7</v>
      </c>
      <c r="J99" s="3" t="s">
        <v>24</v>
      </c>
      <c r="K99" s="3" t="s">
        <v>89</v>
      </c>
      <c r="L99" s="3" t="s">
        <v>25</v>
      </c>
      <c r="M99">
        <v>1</v>
      </c>
    </row>
    <row r="100" spans="1:13" x14ac:dyDescent="0.25">
      <c r="A100" s="2">
        <v>46303</v>
      </c>
      <c r="B100" s="1" t="str">
        <f ca="1">IF(Información1[[#This Row],[Fecha]]='Ajuste de fechas'!$A$2,"Día actual","Día anterior")</f>
        <v>Día actual</v>
      </c>
      <c r="C100" s="3" t="s">
        <v>59</v>
      </c>
      <c r="D100" t="s">
        <v>60</v>
      </c>
      <c r="E100" s="3" t="s">
        <v>235</v>
      </c>
      <c r="F100" s="3" t="s">
        <v>72</v>
      </c>
      <c r="G100" s="3" t="s">
        <v>236</v>
      </c>
      <c r="H100" s="3" t="s">
        <v>37</v>
      </c>
      <c r="I100" s="3" t="s">
        <v>7</v>
      </c>
      <c r="J100" s="3" t="s">
        <v>24</v>
      </c>
      <c r="K100" s="3" t="s">
        <v>61</v>
      </c>
      <c r="L100" s="3" t="s">
        <v>25</v>
      </c>
      <c r="M100">
        <v>1</v>
      </c>
    </row>
    <row r="101" spans="1:13" x14ac:dyDescent="0.25">
      <c r="A101" s="2">
        <v>46303</v>
      </c>
      <c r="B101" s="1" t="str">
        <f ca="1">IF(Información1[[#This Row],[Fecha]]='Ajuste de fechas'!$A$2,"Día actual","Día anterior")</f>
        <v>Día actual</v>
      </c>
      <c r="C101" s="3" t="s">
        <v>59</v>
      </c>
      <c r="D101" t="s">
        <v>60</v>
      </c>
      <c r="E101" s="3" t="s">
        <v>237</v>
      </c>
      <c r="F101" s="3" t="s">
        <v>13</v>
      </c>
      <c r="G101" s="3" t="s">
        <v>238</v>
      </c>
      <c r="H101" s="3" t="s">
        <v>37</v>
      </c>
      <c r="I101" s="3" t="s">
        <v>7</v>
      </c>
      <c r="J101" s="3" t="s">
        <v>28</v>
      </c>
      <c r="K101" s="3" t="s">
        <v>89</v>
      </c>
      <c r="L101" s="3" t="s">
        <v>25</v>
      </c>
      <c r="M101">
        <v>1</v>
      </c>
    </row>
    <row r="102" spans="1:13" x14ac:dyDescent="0.25">
      <c r="A102" s="2">
        <v>46303</v>
      </c>
      <c r="B102" s="1" t="str">
        <f ca="1">IF(Información1[[#This Row],[Fecha]]='Ajuste de fechas'!$A$2,"Día actual","Día anterior")</f>
        <v>Día actual</v>
      </c>
      <c r="C102" s="3" t="s">
        <v>51</v>
      </c>
      <c r="D102" t="s">
        <v>52</v>
      </c>
      <c r="E102" s="3" t="s">
        <v>239</v>
      </c>
      <c r="F102" s="3" t="s">
        <v>35</v>
      </c>
      <c r="G102" s="3" t="s">
        <v>240</v>
      </c>
      <c r="H102" s="3" t="s">
        <v>54</v>
      </c>
      <c r="I102" s="3" t="s">
        <v>7</v>
      </c>
      <c r="J102" s="3" t="s">
        <v>24</v>
      </c>
      <c r="K102" s="3" t="s">
        <v>57</v>
      </c>
      <c r="L102" s="3" t="s">
        <v>27</v>
      </c>
      <c r="M102">
        <v>1</v>
      </c>
    </row>
    <row r="103" spans="1:13" x14ac:dyDescent="0.25">
      <c r="A103" s="2">
        <v>46303</v>
      </c>
      <c r="B103" s="1" t="str">
        <f ca="1">IF(Información1[[#This Row],[Fecha]]='Ajuste de fechas'!$A$2,"Día actual","Día anterior")</f>
        <v>Día actual</v>
      </c>
      <c r="C103" s="3" t="s">
        <v>51</v>
      </c>
      <c r="D103" t="s">
        <v>52</v>
      </c>
      <c r="E103" s="3" t="s">
        <v>208</v>
      </c>
      <c r="F103" s="3" t="s">
        <v>91</v>
      </c>
      <c r="G103" s="3" t="s">
        <v>68</v>
      </c>
      <c r="H103" s="3" t="s">
        <v>54</v>
      </c>
      <c r="I103" s="3" t="s">
        <v>7</v>
      </c>
      <c r="J103" s="3" t="s">
        <v>24</v>
      </c>
      <c r="K103" s="3" t="s">
        <v>57</v>
      </c>
      <c r="L103" s="3" t="s">
        <v>27</v>
      </c>
      <c r="M103">
        <v>1</v>
      </c>
    </row>
    <row r="104" spans="1:13" x14ac:dyDescent="0.25">
      <c r="A104" s="2">
        <v>46303</v>
      </c>
      <c r="B104" s="1" t="str">
        <f ca="1">IF(Información1[[#This Row],[Fecha]]='Ajuste de fechas'!$A$2,"Día actual","Día anterior")</f>
        <v>Día actual</v>
      </c>
      <c r="C104" s="3" t="s">
        <v>51</v>
      </c>
      <c r="D104" t="s">
        <v>52</v>
      </c>
      <c r="E104" s="3" t="s">
        <v>241</v>
      </c>
      <c r="F104" s="3" t="s">
        <v>13</v>
      </c>
      <c r="G104" s="3" t="s">
        <v>68</v>
      </c>
      <c r="H104" s="3" t="s">
        <v>54</v>
      </c>
      <c r="I104" s="3" t="s">
        <v>7</v>
      </c>
      <c r="J104" s="3" t="s">
        <v>28</v>
      </c>
      <c r="K104" s="3" t="s">
        <v>57</v>
      </c>
      <c r="L104" s="3" t="s">
        <v>25</v>
      </c>
      <c r="M104">
        <v>1</v>
      </c>
    </row>
    <row r="105" spans="1:13" x14ac:dyDescent="0.25">
      <c r="A105" s="2">
        <v>46303</v>
      </c>
      <c r="B105" s="1" t="str">
        <f ca="1">IF(Información1[[#This Row],[Fecha]]='Ajuste de fechas'!$A$2,"Día actual","Día anterior")</f>
        <v>Día actual</v>
      </c>
      <c r="C105" s="3" t="s">
        <v>51</v>
      </c>
      <c r="D105" t="s">
        <v>52</v>
      </c>
      <c r="E105" s="3" t="s">
        <v>242</v>
      </c>
      <c r="F105" s="3" t="s">
        <v>6</v>
      </c>
      <c r="G105" s="3" t="s">
        <v>87</v>
      </c>
      <c r="H105" s="3" t="s">
        <v>54</v>
      </c>
      <c r="I105" s="3" t="s">
        <v>7</v>
      </c>
      <c r="J105" s="3" t="s">
        <v>24</v>
      </c>
      <c r="K105" s="3" t="s">
        <v>56</v>
      </c>
      <c r="L105" s="3" t="s">
        <v>27</v>
      </c>
      <c r="M105">
        <v>1</v>
      </c>
    </row>
    <row r="106" spans="1:13" x14ac:dyDescent="0.25">
      <c r="A106" s="2">
        <v>46303</v>
      </c>
      <c r="B106" s="1" t="str">
        <f ca="1">IF(Información1[[#This Row],[Fecha]]='Ajuste de fechas'!$A$2,"Día actual","Día anterior")</f>
        <v>Día actual</v>
      </c>
      <c r="C106" s="3" t="s">
        <v>51</v>
      </c>
      <c r="D106" t="s">
        <v>52</v>
      </c>
      <c r="E106" s="3" t="s">
        <v>243</v>
      </c>
      <c r="F106" s="3" t="s">
        <v>13</v>
      </c>
      <c r="G106" s="3" t="s">
        <v>75</v>
      </c>
      <c r="H106" s="3" t="s">
        <v>54</v>
      </c>
      <c r="I106" s="3" t="s">
        <v>7</v>
      </c>
      <c r="J106" s="3" t="s">
        <v>28</v>
      </c>
      <c r="K106" s="3" t="s">
        <v>57</v>
      </c>
      <c r="L106" s="3" t="s">
        <v>25</v>
      </c>
      <c r="M106">
        <v>1</v>
      </c>
    </row>
    <row r="107" spans="1:13" x14ac:dyDescent="0.25">
      <c r="A107" s="2">
        <v>46303</v>
      </c>
      <c r="B107" s="1" t="str">
        <f ca="1">IF(Información1[[#This Row],[Fecha]]='Ajuste de fechas'!$A$2,"Día actual","Día anterior")</f>
        <v>Día actual</v>
      </c>
      <c r="C107" s="3" t="s">
        <v>51</v>
      </c>
      <c r="D107" t="s">
        <v>52</v>
      </c>
      <c r="E107" s="3" t="s">
        <v>244</v>
      </c>
      <c r="F107" s="3" t="s">
        <v>14</v>
      </c>
      <c r="G107" s="3" t="s">
        <v>93</v>
      </c>
      <c r="H107" s="3" t="s">
        <v>54</v>
      </c>
      <c r="I107" s="3" t="s">
        <v>7</v>
      </c>
      <c r="J107" s="3" t="s">
        <v>24</v>
      </c>
      <c r="K107" s="3" t="s">
        <v>56</v>
      </c>
      <c r="L107" s="3" t="s">
        <v>27</v>
      </c>
      <c r="M107">
        <v>1</v>
      </c>
    </row>
    <row r="108" spans="1:13" x14ac:dyDescent="0.25">
      <c r="A108" s="2">
        <v>46303</v>
      </c>
      <c r="B108" s="1" t="str">
        <f ca="1">IF(Información1[[#This Row],[Fecha]]='Ajuste de fechas'!$A$2,"Día actual","Día anterior")</f>
        <v>Día actual</v>
      </c>
      <c r="C108" s="3" t="s">
        <v>51</v>
      </c>
      <c r="D108" t="s">
        <v>52</v>
      </c>
      <c r="E108" s="3" t="s">
        <v>245</v>
      </c>
      <c r="F108" s="3" t="s">
        <v>33</v>
      </c>
      <c r="G108" s="3" t="s">
        <v>196</v>
      </c>
      <c r="H108" s="3" t="s">
        <v>54</v>
      </c>
      <c r="I108" s="3" t="s">
        <v>7</v>
      </c>
      <c r="J108" s="3" t="s">
        <v>16</v>
      </c>
      <c r="K108" s="3" t="s">
        <v>57</v>
      </c>
      <c r="L108" s="3" t="s">
        <v>25</v>
      </c>
      <c r="M108">
        <v>1</v>
      </c>
    </row>
    <row r="109" spans="1:13" x14ac:dyDescent="0.25">
      <c r="A109" s="2">
        <v>46303</v>
      </c>
      <c r="B109" s="1" t="str">
        <f ca="1">IF(Información1[[#This Row],[Fecha]]='Ajuste de fechas'!$A$2,"Día actual","Día anterior")</f>
        <v>Día actual</v>
      </c>
      <c r="C109" s="3" t="s">
        <v>51</v>
      </c>
      <c r="D109" t="s">
        <v>52</v>
      </c>
      <c r="E109" s="3" t="s">
        <v>246</v>
      </c>
      <c r="F109" s="3" t="s">
        <v>13</v>
      </c>
      <c r="G109" s="3" t="s">
        <v>62</v>
      </c>
      <c r="H109" s="3" t="s">
        <v>54</v>
      </c>
      <c r="I109" s="3" t="s">
        <v>7</v>
      </c>
      <c r="J109" s="3" t="s">
        <v>28</v>
      </c>
      <c r="K109" s="3" t="s">
        <v>57</v>
      </c>
      <c r="L109" s="3" t="s">
        <v>25</v>
      </c>
      <c r="M109">
        <v>1</v>
      </c>
    </row>
    <row r="110" spans="1:13" x14ac:dyDescent="0.25">
      <c r="A110" s="2">
        <v>46303</v>
      </c>
      <c r="B110" s="1" t="str">
        <f ca="1">IF(Información1[[#This Row],[Fecha]]='Ajuste de fechas'!$A$2,"Día actual","Día anterior")</f>
        <v>Día actual</v>
      </c>
      <c r="C110" s="3" t="s">
        <v>51</v>
      </c>
      <c r="D110" t="s">
        <v>52</v>
      </c>
      <c r="E110" s="3" t="s">
        <v>247</v>
      </c>
      <c r="F110" s="3" t="s">
        <v>13</v>
      </c>
      <c r="G110" s="3" t="s">
        <v>248</v>
      </c>
      <c r="H110" s="3" t="s">
        <v>54</v>
      </c>
      <c r="I110" s="3" t="s">
        <v>7</v>
      </c>
      <c r="J110" s="3" t="s">
        <v>28</v>
      </c>
      <c r="K110" s="3" t="s">
        <v>57</v>
      </c>
      <c r="L110" s="3" t="s">
        <v>25</v>
      </c>
      <c r="M110">
        <v>1</v>
      </c>
    </row>
    <row r="111" spans="1:13" x14ac:dyDescent="0.25">
      <c r="A111" s="2">
        <v>46303</v>
      </c>
      <c r="B111" s="1" t="str">
        <f ca="1">IF(Información1[[#This Row],[Fecha]]='Ajuste de fechas'!$A$2,"Día actual","Día anterior")</f>
        <v>Día actual</v>
      </c>
      <c r="C111" s="3" t="s">
        <v>51</v>
      </c>
      <c r="D111" t="s">
        <v>52</v>
      </c>
      <c r="E111" s="3" t="s">
        <v>249</v>
      </c>
      <c r="F111" s="3" t="s">
        <v>94</v>
      </c>
      <c r="G111" s="3" t="s">
        <v>250</v>
      </c>
      <c r="H111" s="3" t="s">
        <v>54</v>
      </c>
      <c r="I111" s="3" t="s">
        <v>7</v>
      </c>
      <c r="J111" s="3" t="s">
        <v>24</v>
      </c>
      <c r="K111" s="3" t="s">
        <v>57</v>
      </c>
      <c r="L111" s="3" t="s">
        <v>25</v>
      </c>
      <c r="M111">
        <v>1</v>
      </c>
    </row>
    <row r="112" spans="1:13" x14ac:dyDescent="0.25">
      <c r="A112" s="2">
        <v>46303</v>
      </c>
      <c r="B112" s="1" t="str">
        <f ca="1">IF(Información1[[#This Row],[Fecha]]='Ajuste de fechas'!$A$2,"Día actual","Día anterior")</f>
        <v>Día actual</v>
      </c>
      <c r="C112" s="3" t="s">
        <v>51</v>
      </c>
      <c r="D112" t="s">
        <v>52</v>
      </c>
      <c r="E112" s="3" t="s">
        <v>251</v>
      </c>
      <c r="F112" s="3" t="s">
        <v>15</v>
      </c>
      <c r="G112" s="3" t="s">
        <v>136</v>
      </c>
      <c r="H112" s="3" t="s">
        <v>54</v>
      </c>
      <c r="I112" s="3" t="s">
        <v>7</v>
      </c>
      <c r="J112" s="3" t="s">
        <v>29</v>
      </c>
      <c r="K112" s="3" t="s">
        <v>57</v>
      </c>
      <c r="L112" s="3" t="s">
        <v>25</v>
      </c>
      <c r="M112">
        <v>1</v>
      </c>
    </row>
    <row r="113" spans="1:13" x14ac:dyDescent="0.25">
      <c r="A113" s="2">
        <v>46303</v>
      </c>
      <c r="B113" s="1" t="str">
        <f ca="1">IF(Información1[[#This Row],[Fecha]]='Ajuste de fechas'!$A$2,"Día actual","Día anterior")</f>
        <v>Día actual</v>
      </c>
      <c r="C113" s="3" t="s">
        <v>51</v>
      </c>
      <c r="D113" t="s">
        <v>52</v>
      </c>
      <c r="E113" s="3" t="s">
        <v>252</v>
      </c>
      <c r="F113" s="3" t="s">
        <v>15</v>
      </c>
      <c r="G113" s="3" t="s">
        <v>253</v>
      </c>
      <c r="H113" s="3" t="s">
        <v>54</v>
      </c>
      <c r="I113" s="3" t="s">
        <v>7</v>
      </c>
      <c r="J113" s="3" t="s">
        <v>29</v>
      </c>
      <c r="K113" s="3" t="s">
        <v>57</v>
      </c>
      <c r="L113" s="3" t="s">
        <v>25</v>
      </c>
      <c r="M113">
        <v>1</v>
      </c>
    </row>
    <row r="114" spans="1:13" x14ac:dyDescent="0.25">
      <c r="A114" s="2">
        <v>46303</v>
      </c>
      <c r="B114" s="1" t="str">
        <f ca="1">IF(Información1[[#This Row],[Fecha]]='Ajuste de fechas'!$A$2,"Día actual","Día anterior")</f>
        <v>Día actual</v>
      </c>
      <c r="C114" s="3" t="s">
        <v>51</v>
      </c>
      <c r="D114" t="s">
        <v>52</v>
      </c>
      <c r="E114" s="3" t="s">
        <v>254</v>
      </c>
      <c r="F114" s="3" t="s">
        <v>53</v>
      </c>
      <c r="G114" s="3" t="s">
        <v>58</v>
      </c>
      <c r="H114" s="3" t="s">
        <v>54</v>
      </c>
      <c r="I114" s="3" t="s">
        <v>7</v>
      </c>
      <c r="J114" s="3" t="s">
        <v>55</v>
      </c>
      <c r="K114" s="3" t="s">
        <v>57</v>
      </c>
      <c r="L114" s="3" t="s">
        <v>25</v>
      </c>
      <c r="M114">
        <v>1</v>
      </c>
    </row>
    <row r="115" spans="1:13" x14ac:dyDescent="0.25">
      <c r="A115" s="2">
        <v>46303</v>
      </c>
      <c r="B115" s="1" t="str">
        <f ca="1">IF(Información1[[#This Row],[Fecha]]='Ajuste de fechas'!$A$2,"Día actual","Día anterior")</f>
        <v>Día actual</v>
      </c>
      <c r="C115" s="3" t="s">
        <v>51</v>
      </c>
      <c r="D115" t="s">
        <v>52</v>
      </c>
      <c r="E115" s="3" t="s">
        <v>255</v>
      </c>
      <c r="F115" s="3" t="s">
        <v>36</v>
      </c>
      <c r="G115" s="3" t="s">
        <v>256</v>
      </c>
      <c r="H115" s="3" t="s">
        <v>54</v>
      </c>
      <c r="I115" s="3" t="s">
        <v>7</v>
      </c>
      <c r="J115" s="3" t="s">
        <v>24</v>
      </c>
      <c r="K115" s="3" t="s">
        <v>57</v>
      </c>
      <c r="L115" s="3" t="s">
        <v>25</v>
      </c>
      <c r="M115">
        <v>1</v>
      </c>
    </row>
    <row r="116" spans="1:13" x14ac:dyDescent="0.25">
      <c r="A116" s="2">
        <v>46303</v>
      </c>
      <c r="B116" s="1" t="str">
        <f ca="1">IF(Información1[[#This Row],[Fecha]]='Ajuste de fechas'!$A$2,"Día actual","Día anterior")</f>
        <v>Día actual</v>
      </c>
      <c r="C116" s="3" t="s">
        <v>51</v>
      </c>
      <c r="D116" t="s">
        <v>52</v>
      </c>
      <c r="E116" s="3" t="s">
        <v>257</v>
      </c>
      <c r="F116" s="3" t="s">
        <v>94</v>
      </c>
      <c r="G116" s="3" t="s">
        <v>258</v>
      </c>
      <c r="H116" s="3" t="s">
        <v>54</v>
      </c>
      <c r="I116" s="3" t="s">
        <v>7</v>
      </c>
      <c r="J116" s="3" t="s">
        <v>24</v>
      </c>
      <c r="K116" s="3" t="s">
        <v>57</v>
      </c>
      <c r="L116" s="3" t="s">
        <v>25</v>
      </c>
      <c r="M116">
        <v>1</v>
      </c>
    </row>
    <row r="117" spans="1:13" x14ac:dyDescent="0.25">
      <c r="A117" s="2">
        <v>46303</v>
      </c>
      <c r="B117" s="1" t="str">
        <f ca="1">IF(Información1[[#This Row],[Fecha]]='Ajuste de fechas'!$A$2,"Día actual","Día anterior")</f>
        <v>Día actual</v>
      </c>
      <c r="C117" s="3" t="s">
        <v>51</v>
      </c>
      <c r="D117" t="s">
        <v>52</v>
      </c>
      <c r="E117" s="3" t="s">
        <v>259</v>
      </c>
      <c r="F117" s="3" t="s">
        <v>6</v>
      </c>
      <c r="G117" s="3" t="s">
        <v>87</v>
      </c>
      <c r="H117" s="3" t="s">
        <v>54</v>
      </c>
      <c r="I117" s="3" t="s">
        <v>7</v>
      </c>
      <c r="J117" s="3" t="s">
        <v>24</v>
      </c>
      <c r="K117" s="3" t="s">
        <v>57</v>
      </c>
      <c r="L117" s="3" t="s">
        <v>25</v>
      </c>
      <c r="M117">
        <v>1</v>
      </c>
    </row>
    <row r="118" spans="1:13" x14ac:dyDescent="0.25">
      <c r="A118" s="2">
        <v>46303</v>
      </c>
      <c r="B118" s="1" t="str">
        <f ca="1">IF(Información1[[#This Row],[Fecha]]='Ajuste de fechas'!$A$2,"Día actual","Día anterior")</f>
        <v>Día actual</v>
      </c>
      <c r="C118" s="3" t="s">
        <v>51</v>
      </c>
      <c r="D118" t="s">
        <v>52</v>
      </c>
      <c r="E118" s="3" t="s">
        <v>260</v>
      </c>
      <c r="F118" s="3" t="s">
        <v>35</v>
      </c>
      <c r="G118" s="3" t="s">
        <v>80</v>
      </c>
      <c r="H118" s="3" t="s">
        <v>54</v>
      </c>
      <c r="I118" s="3" t="s">
        <v>7</v>
      </c>
      <c r="J118" s="3" t="s">
        <v>24</v>
      </c>
      <c r="K118" s="3" t="s">
        <v>57</v>
      </c>
      <c r="L118" s="3" t="s">
        <v>25</v>
      </c>
      <c r="M118">
        <v>1</v>
      </c>
    </row>
    <row r="119" spans="1:13" x14ac:dyDescent="0.25">
      <c r="A119" s="2">
        <v>46303</v>
      </c>
      <c r="B119" s="1" t="str">
        <f ca="1">IF(Información1[[#This Row],[Fecha]]='Ajuste de fechas'!$A$2,"Día actual","Día anterior")</f>
        <v>Día actual</v>
      </c>
      <c r="C119" s="3" t="s">
        <v>38</v>
      </c>
      <c r="D119" t="s">
        <v>39</v>
      </c>
      <c r="E119" s="3" t="s">
        <v>261</v>
      </c>
      <c r="F119" s="3" t="s">
        <v>42</v>
      </c>
      <c r="G119" s="3" t="s">
        <v>262</v>
      </c>
      <c r="H119" s="3" t="s">
        <v>37</v>
      </c>
      <c r="I119" s="3" t="s">
        <v>7</v>
      </c>
      <c r="J119" s="3" t="s">
        <v>24</v>
      </c>
      <c r="K119" s="3" t="s">
        <v>41</v>
      </c>
      <c r="L119" s="3" t="s">
        <v>25</v>
      </c>
      <c r="M119">
        <v>1</v>
      </c>
    </row>
    <row r="120" spans="1:13" x14ac:dyDescent="0.25">
      <c r="A120" s="2">
        <v>46303</v>
      </c>
      <c r="B120" s="1" t="str">
        <f ca="1">IF(Información1[[#This Row],[Fecha]]='Ajuste de fechas'!$A$2,"Día actual","Día anterior")</f>
        <v>Día actual</v>
      </c>
      <c r="C120" s="3" t="s">
        <v>38</v>
      </c>
      <c r="D120" t="s">
        <v>43</v>
      </c>
      <c r="E120" s="3" t="s">
        <v>263</v>
      </c>
      <c r="F120" s="3" t="s">
        <v>12</v>
      </c>
      <c r="G120" s="3" t="s">
        <v>264</v>
      </c>
      <c r="H120" s="3" t="s">
        <v>37</v>
      </c>
      <c r="I120" s="3" t="s">
        <v>17</v>
      </c>
      <c r="J120" s="3" t="s">
        <v>24</v>
      </c>
      <c r="K120" s="3" t="s">
        <v>44</v>
      </c>
      <c r="L120" s="3" t="s">
        <v>26</v>
      </c>
      <c r="M120">
        <v>1</v>
      </c>
    </row>
    <row r="121" spans="1:13" x14ac:dyDescent="0.25">
      <c r="A121" s="2">
        <v>46303</v>
      </c>
      <c r="B121" s="1" t="str">
        <f ca="1">IF(Información1[[#This Row],[Fecha]]='Ajuste de fechas'!$A$2,"Día actual","Día anterior")</f>
        <v>Día actual</v>
      </c>
      <c r="C121" s="3" t="s">
        <v>38</v>
      </c>
      <c r="D121" t="s">
        <v>43</v>
      </c>
      <c r="E121" s="3" t="s">
        <v>265</v>
      </c>
      <c r="F121" s="3" t="s">
        <v>12</v>
      </c>
      <c r="G121" s="3" t="s">
        <v>264</v>
      </c>
      <c r="H121" s="3" t="s">
        <v>37</v>
      </c>
      <c r="I121" s="3" t="s">
        <v>17</v>
      </c>
      <c r="J121" s="3" t="s">
        <v>24</v>
      </c>
      <c r="K121" s="3" t="s">
        <v>44</v>
      </c>
      <c r="L121" s="3" t="s">
        <v>26</v>
      </c>
      <c r="M121">
        <v>1</v>
      </c>
    </row>
    <row r="122" spans="1:13" x14ac:dyDescent="0.25">
      <c r="A122" s="2">
        <v>46303</v>
      </c>
      <c r="B122" s="1" t="str">
        <f ca="1">IF(Información1[[#This Row],[Fecha]]='Ajuste de fechas'!$A$2,"Día actual","Día anterior")</f>
        <v>Día actual</v>
      </c>
      <c r="C122" s="3" t="s">
        <v>38</v>
      </c>
      <c r="D122" t="s">
        <v>43</v>
      </c>
      <c r="E122" s="3" t="s">
        <v>266</v>
      </c>
      <c r="F122" s="3" t="s">
        <v>13</v>
      </c>
      <c r="G122" s="3"/>
      <c r="H122" s="3" t="s">
        <v>37</v>
      </c>
      <c r="I122" s="3" t="s">
        <v>7</v>
      </c>
      <c r="J122" s="3" t="s">
        <v>28</v>
      </c>
      <c r="K122" s="3" t="s">
        <v>40</v>
      </c>
      <c r="L122" s="3" t="s">
        <v>25</v>
      </c>
      <c r="M122">
        <v>1</v>
      </c>
    </row>
    <row r="123" spans="1:13" x14ac:dyDescent="0.25">
      <c r="A123" s="2">
        <v>46303</v>
      </c>
      <c r="B123" s="1" t="str">
        <f ca="1">IF(Información1[[#This Row],[Fecha]]='Ajuste de fechas'!$A$2,"Día actual","Día anterior")</f>
        <v>Día actual</v>
      </c>
      <c r="C123" s="3" t="s">
        <v>38</v>
      </c>
      <c r="D123" t="s">
        <v>43</v>
      </c>
      <c r="E123" s="3" t="s">
        <v>267</v>
      </c>
      <c r="F123" s="3" t="s">
        <v>35</v>
      </c>
      <c r="G123" s="3" t="s">
        <v>258</v>
      </c>
      <c r="H123" s="3" t="s">
        <v>37</v>
      </c>
      <c r="I123" s="3" t="s">
        <v>7</v>
      </c>
      <c r="J123" s="3" t="s">
        <v>24</v>
      </c>
      <c r="K123" s="3" t="s">
        <v>40</v>
      </c>
      <c r="L123" s="3" t="s">
        <v>26</v>
      </c>
      <c r="M123">
        <v>1</v>
      </c>
    </row>
    <row r="124" spans="1:13" x14ac:dyDescent="0.25">
      <c r="A124" s="2">
        <v>46303</v>
      </c>
      <c r="B124" s="1" t="str">
        <f ca="1">IF(Información1[[#This Row],[Fecha]]='Ajuste de fechas'!$A$2,"Día actual","Día anterior")</f>
        <v>Día actual</v>
      </c>
      <c r="C124" s="3" t="s">
        <v>38</v>
      </c>
      <c r="D124" t="s">
        <v>43</v>
      </c>
      <c r="E124" s="3" t="s">
        <v>268</v>
      </c>
      <c r="F124" s="3" t="s">
        <v>91</v>
      </c>
      <c r="G124" s="3" t="s">
        <v>68</v>
      </c>
      <c r="H124" s="3" t="s">
        <v>37</v>
      </c>
      <c r="I124" s="3" t="s">
        <v>7</v>
      </c>
      <c r="J124" s="3" t="s">
        <v>24</v>
      </c>
      <c r="K124" s="3" t="s">
        <v>40</v>
      </c>
      <c r="L124" s="3" t="s">
        <v>25</v>
      </c>
      <c r="M124">
        <v>1</v>
      </c>
    </row>
    <row r="125" spans="1:13" x14ac:dyDescent="0.25">
      <c r="A125" s="2">
        <v>46303</v>
      </c>
      <c r="B125" s="1" t="str">
        <f ca="1">IF(Información1[[#This Row],[Fecha]]='Ajuste de fechas'!$A$2,"Día actual","Día anterior")</f>
        <v>Día actual</v>
      </c>
      <c r="C125" s="3" t="s">
        <v>47</v>
      </c>
      <c r="D125" t="s">
        <v>48</v>
      </c>
      <c r="E125" s="3" t="s">
        <v>244</v>
      </c>
      <c r="F125" s="3" t="s">
        <v>14</v>
      </c>
      <c r="G125" s="3" t="s">
        <v>93</v>
      </c>
      <c r="H125" s="3" t="s">
        <v>37</v>
      </c>
      <c r="I125" s="3" t="s">
        <v>7</v>
      </c>
      <c r="J125" s="3" t="s">
        <v>24</v>
      </c>
      <c r="K125" s="3" t="s">
        <v>49</v>
      </c>
      <c r="L125" s="3" t="s">
        <v>27</v>
      </c>
      <c r="M125">
        <v>1</v>
      </c>
    </row>
    <row r="126" spans="1:13" x14ac:dyDescent="0.25">
      <c r="A126" s="2">
        <v>46303</v>
      </c>
      <c r="B126" s="1" t="str">
        <f ca="1">IF(Información1[[#This Row],[Fecha]]='Ajuste de fechas'!$A$2,"Día actual","Día anterior")</f>
        <v>Día actual</v>
      </c>
      <c r="C126" s="3" t="s">
        <v>47</v>
      </c>
      <c r="D126" t="s">
        <v>48</v>
      </c>
      <c r="E126" s="3" t="s">
        <v>269</v>
      </c>
      <c r="F126" s="3" t="s">
        <v>45</v>
      </c>
      <c r="G126" s="3" t="s">
        <v>270</v>
      </c>
      <c r="H126" s="3" t="s">
        <v>37</v>
      </c>
      <c r="I126" s="3" t="s">
        <v>7</v>
      </c>
      <c r="J126" s="3" t="s">
        <v>24</v>
      </c>
      <c r="K126" s="3" t="s">
        <v>49</v>
      </c>
      <c r="L126" s="3" t="s">
        <v>27</v>
      </c>
      <c r="M126">
        <v>1</v>
      </c>
    </row>
    <row r="127" spans="1:13" x14ac:dyDescent="0.25">
      <c r="A127" s="2">
        <v>46303</v>
      </c>
      <c r="B127" s="1" t="str">
        <f ca="1">IF(Información1[[#This Row],[Fecha]]='Ajuste de fechas'!$A$2,"Día actual","Día anterior")</f>
        <v>Día actual</v>
      </c>
      <c r="C127" s="3" t="s">
        <v>47</v>
      </c>
      <c r="D127" t="s">
        <v>48</v>
      </c>
      <c r="E127" s="3" t="s">
        <v>271</v>
      </c>
      <c r="F127" s="3" t="s">
        <v>35</v>
      </c>
      <c r="G127" s="3" t="s">
        <v>119</v>
      </c>
      <c r="H127" s="3" t="s">
        <v>37</v>
      </c>
      <c r="I127" s="3" t="s">
        <v>7</v>
      </c>
      <c r="J127" s="3" t="s">
        <v>24</v>
      </c>
      <c r="K127" s="3" t="s">
        <v>49</v>
      </c>
      <c r="L127" s="3" t="s">
        <v>25</v>
      </c>
      <c r="M127">
        <v>1</v>
      </c>
    </row>
    <row r="128" spans="1:13" x14ac:dyDescent="0.25">
      <c r="A128" s="2">
        <v>46303</v>
      </c>
      <c r="B128" s="1" t="str">
        <f ca="1">IF(Información1[[#This Row],[Fecha]]='Ajuste de fechas'!$A$2,"Día actual","Día anterior")</f>
        <v>Día actual</v>
      </c>
      <c r="C128" s="3" t="s">
        <v>47</v>
      </c>
      <c r="D128" t="s">
        <v>48</v>
      </c>
      <c r="E128" s="3" t="s">
        <v>272</v>
      </c>
      <c r="F128" s="3" t="s">
        <v>14</v>
      </c>
      <c r="G128" s="3" t="s">
        <v>273</v>
      </c>
      <c r="H128" s="3" t="s">
        <v>37</v>
      </c>
      <c r="I128" s="3" t="s">
        <v>10</v>
      </c>
      <c r="J128" s="3" t="s">
        <v>24</v>
      </c>
      <c r="K128" s="3" t="s">
        <v>49</v>
      </c>
      <c r="L128" s="3" t="s">
        <v>25</v>
      </c>
      <c r="M128">
        <v>1</v>
      </c>
    </row>
    <row r="129" spans="1:13" x14ac:dyDescent="0.25">
      <c r="A129" s="2">
        <v>46303</v>
      </c>
      <c r="B129" s="1" t="str">
        <f ca="1">IF(Información1[[#This Row],[Fecha]]='Ajuste de fechas'!$A$2,"Día actual","Día anterior")</f>
        <v>Día actual</v>
      </c>
      <c r="C129" s="3" t="s">
        <v>47</v>
      </c>
      <c r="D129" t="s">
        <v>48</v>
      </c>
      <c r="E129" s="3" t="s">
        <v>274</v>
      </c>
      <c r="F129" s="3" t="s">
        <v>275</v>
      </c>
      <c r="G129" s="3" t="s">
        <v>276</v>
      </c>
      <c r="H129" s="3" t="s">
        <v>37</v>
      </c>
      <c r="I129" s="3" t="s">
        <v>7</v>
      </c>
      <c r="J129" s="3" t="s">
        <v>24</v>
      </c>
      <c r="K129" s="3" t="s">
        <v>49</v>
      </c>
      <c r="L129" s="3" t="s">
        <v>25</v>
      </c>
      <c r="M129">
        <v>1</v>
      </c>
    </row>
    <row r="130" spans="1:13" x14ac:dyDescent="0.25">
      <c r="A130" s="2">
        <v>46303</v>
      </c>
      <c r="B130" s="1" t="str">
        <f ca="1">IF(Información1[[#This Row],[Fecha]]='Ajuste de fechas'!$A$2,"Día actual","Día anterior")</f>
        <v>Día actual</v>
      </c>
      <c r="C130" s="3" t="s">
        <v>47</v>
      </c>
      <c r="D130" t="s">
        <v>48</v>
      </c>
      <c r="E130" s="3" t="s">
        <v>208</v>
      </c>
      <c r="F130" s="3" t="s">
        <v>91</v>
      </c>
      <c r="G130" s="3" t="s">
        <v>68</v>
      </c>
      <c r="H130" s="3" t="s">
        <v>37</v>
      </c>
      <c r="I130" s="3" t="s">
        <v>7</v>
      </c>
      <c r="J130" s="3" t="s">
        <v>24</v>
      </c>
      <c r="K130" s="3" t="s">
        <v>49</v>
      </c>
      <c r="L130" s="3" t="s">
        <v>27</v>
      </c>
      <c r="M130">
        <v>1</v>
      </c>
    </row>
    <row r="131" spans="1:13" x14ac:dyDescent="0.25">
      <c r="A131" s="2">
        <v>46303</v>
      </c>
      <c r="B131" s="1" t="str">
        <f ca="1">IF(Información1[[#This Row],[Fecha]]='Ajuste de fechas'!$A$2,"Día actual","Día anterior")</f>
        <v>Día actual</v>
      </c>
      <c r="C131" s="3" t="s">
        <v>38</v>
      </c>
      <c r="D131" t="s">
        <v>39</v>
      </c>
      <c r="E131" s="3" t="s">
        <v>277</v>
      </c>
      <c r="F131" s="3" t="s">
        <v>224</v>
      </c>
      <c r="G131" s="3" t="s">
        <v>225</v>
      </c>
      <c r="H131" s="3" t="s">
        <v>37</v>
      </c>
      <c r="I131" s="3" t="s">
        <v>10</v>
      </c>
      <c r="J131" s="3" t="s">
        <v>24</v>
      </c>
      <c r="K131" s="3" t="s">
        <v>41</v>
      </c>
      <c r="L131" s="3" t="s">
        <v>26</v>
      </c>
      <c r="M131">
        <v>1</v>
      </c>
    </row>
    <row r="132" spans="1:13" x14ac:dyDescent="0.25">
      <c r="A132" s="2">
        <v>46303</v>
      </c>
      <c r="B132" s="1" t="str">
        <f ca="1">IF(Información1[[#This Row],[Fecha]]='Ajuste de fechas'!$A$2,"Día actual","Día anterior")</f>
        <v>Día actual</v>
      </c>
      <c r="C132" s="3" t="s">
        <v>38</v>
      </c>
      <c r="D132" t="s">
        <v>39</v>
      </c>
      <c r="E132" s="3" t="s">
        <v>223</v>
      </c>
      <c r="F132" s="3" t="s">
        <v>224</v>
      </c>
      <c r="G132" s="3" t="s">
        <v>225</v>
      </c>
      <c r="H132" s="3" t="s">
        <v>37</v>
      </c>
      <c r="I132" s="3" t="s">
        <v>7</v>
      </c>
      <c r="J132" s="3" t="s">
        <v>24</v>
      </c>
      <c r="K132" s="3" t="s">
        <v>41</v>
      </c>
      <c r="L132" s="3" t="s">
        <v>27</v>
      </c>
      <c r="M132">
        <v>1</v>
      </c>
    </row>
    <row r="133" spans="1:13" x14ac:dyDescent="0.25">
      <c r="A133" s="2">
        <v>46303</v>
      </c>
      <c r="B133" s="1" t="str">
        <f ca="1">IF(Información1[[#This Row],[Fecha]]='Ajuste de fechas'!$A$2,"Día actual","Día anterior")</f>
        <v>Día actual</v>
      </c>
      <c r="C133" s="3" t="s">
        <v>38</v>
      </c>
      <c r="D133" t="s">
        <v>39</v>
      </c>
      <c r="E133" s="3" t="s">
        <v>269</v>
      </c>
      <c r="F133" s="3" t="s">
        <v>45</v>
      </c>
      <c r="G133" s="3" t="s">
        <v>270</v>
      </c>
      <c r="H133" s="3" t="s">
        <v>37</v>
      </c>
      <c r="I133" s="3" t="s">
        <v>7</v>
      </c>
      <c r="J133" s="3" t="s">
        <v>24</v>
      </c>
      <c r="K133" s="3" t="s">
        <v>41</v>
      </c>
      <c r="L133" s="3" t="s">
        <v>27</v>
      </c>
      <c r="M133">
        <v>1</v>
      </c>
    </row>
    <row r="134" spans="1:13" x14ac:dyDescent="0.25">
      <c r="A134" s="2">
        <v>46303</v>
      </c>
      <c r="B134" s="1" t="str">
        <f ca="1">IF(Información1[[#This Row],[Fecha]]='Ajuste de fechas'!$A$2,"Día actual","Día anterior")</f>
        <v>Día actual</v>
      </c>
      <c r="C134" s="3" t="s">
        <v>38</v>
      </c>
      <c r="D134" t="s">
        <v>39</v>
      </c>
      <c r="E134" s="3" t="s">
        <v>278</v>
      </c>
      <c r="F134" s="3" t="s">
        <v>33</v>
      </c>
      <c r="G134" s="3" t="s">
        <v>196</v>
      </c>
      <c r="H134" s="3" t="s">
        <v>37</v>
      </c>
      <c r="I134" s="3" t="s">
        <v>7</v>
      </c>
      <c r="J134" s="3" t="s">
        <v>16</v>
      </c>
      <c r="K134" s="3" t="s">
        <v>41</v>
      </c>
      <c r="L134" s="3" t="s">
        <v>25</v>
      </c>
      <c r="M134">
        <v>1</v>
      </c>
    </row>
    <row r="135" spans="1:13" x14ac:dyDescent="0.25">
      <c r="A135" s="2">
        <v>46303</v>
      </c>
      <c r="B135" s="1" t="str">
        <f ca="1">IF(Información1[[#This Row],[Fecha]]='Ajuste de fechas'!$A$2,"Día actual","Día anterior")</f>
        <v>Día actual</v>
      </c>
      <c r="C135" s="3" t="s">
        <v>38</v>
      </c>
      <c r="D135" t="s">
        <v>39</v>
      </c>
      <c r="E135" s="3" t="s">
        <v>271</v>
      </c>
      <c r="F135" s="3" t="s">
        <v>35</v>
      </c>
      <c r="G135" s="3" t="s">
        <v>240</v>
      </c>
      <c r="H135" s="3" t="s">
        <v>37</v>
      </c>
      <c r="I135" s="3" t="s">
        <v>7</v>
      </c>
      <c r="J135" s="3" t="s">
        <v>24</v>
      </c>
      <c r="K135" s="3" t="s">
        <v>41</v>
      </c>
      <c r="L135" s="3" t="s">
        <v>27</v>
      </c>
      <c r="M135">
        <v>1</v>
      </c>
    </row>
    <row r="136" spans="1:13" x14ac:dyDescent="0.25">
      <c r="A136" s="2">
        <v>46303</v>
      </c>
      <c r="B136" s="1" t="str">
        <f ca="1">IF(Información1[[#This Row],[Fecha]]='Ajuste de fechas'!$A$2,"Día actual","Día anterior")</f>
        <v>Día actual</v>
      </c>
      <c r="C136" s="3" t="s">
        <v>38</v>
      </c>
      <c r="D136" t="s">
        <v>39</v>
      </c>
      <c r="E136" s="3" t="s">
        <v>279</v>
      </c>
      <c r="F136" s="3" t="s">
        <v>35</v>
      </c>
      <c r="G136" s="3" t="s">
        <v>88</v>
      </c>
      <c r="H136" s="3" t="s">
        <v>37</v>
      </c>
      <c r="I136" s="3" t="s">
        <v>7</v>
      </c>
      <c r="J136" s="3" t="s">
        <v>24</v>
      </c>
      <c r="K136" s="3" t="s">
        <v>40</v>
      </c>
      <c r="L136" s="3" t="s">
        <v>25</v>
      </c>
      <c r="M136">
        <v>1</v>
      </c>
    </row>
    <row r="137" spans="1:13" x14ac:dyDescent="0.25">
      <c r="A137" s="2">
        <v>46303</v>
      </c>
      <c r="B137" s="1" t="str">
        <f ca="1">IF(Información1[[#This Row],[Fecha]]='Ajuste de fechas'!$A$2,"Día actual","Día anterior")</f>
        <v>Día actual</v>
      </c>
      <c r="C137" s="3" t="s">
        <v>38</v>
      </c>
      <c r="D137" t="s">
        <v>39</v>
      </c>
      <c r="E137" s="3" t="s">
        <v>242</v>
      </c>
      <c r="F137" s="3" t="s">
        <v>6</v>
      </c>
      <c r="G137" s="3" t="s">
        <v>87</v>
      </c>
      <c r="H137" s="3" t="s">
        <v>37</v>
      </c>
      <c r="I137" s="3" t="s">
        <v>7</v>
      </c>
      <c r="J137" s="3" t="s">
        <v>24</v>
      </c>
      <c r="K137" s="3" t="s">
        <v>41</v>
      </c>
      <c r="L137" s="3" t="s">
        <v>27</v>
      </c>
      <c r="M137">
        <v>1</v>
      </c>
    </row>
    <row r="138" spans="1:13" x14ac:dyDescent="0.25">
      <c r="A138" s="2">
        <v>46303</v>
      </c>
      <c r="B138" s="1" t="str">
        <f ca="1">IF(Información1[[#This Row],[Fecha]]='Ajuste de fechas'!$A$2,"Día actual","Día anterior")</f>
        <v>Día actual</v>
      </c>
      <c r="C138" s="3" t="s">
        <v>38</v>
      </c>
      <c r="D138" t="s">
        <v>39</v>
      </c>
      <c r="E138" s="3" t="s">
        <v>280</v>
      </c>
      <c r="F138" s="3" t="s">
        <v>91</v>
      </c>
      <c r="G138" s="3" t="s">
        <v>87</v>
      </c>
      <c r="H138" s="3" t="s">
        <v>37</v>
      </c>
      <c r="I138" s="3" t="s">
        <v>7</v>
      </c>
      <c r="J138" s="3" t="s">
        <v>24</v>
      </c>
      <c r="K138" s="3" t="s">
        <v>41</v>
      </c>
      <c r="L138" s="3" t="s">
        <v>27</v>
      </c>
      <c r="M138">
        <v>1</v>
      </c>
    </row>
    <row r="139" spans="1:13" x14ac:dyDescent="0.25">
      <c r="A139" s="2">
        <v>46303</v>
      </c>
      <c r="B139" s="1" t="str">
        <f ca="1">IF(Información1[[#This Row],[Fecha]]='Ajuste de fechas'!$A$2,"Día actual","Día anterior")</f>
        <v>Día actual</v>
      </c>
      <c r="C139" s="3" t="s">
        <v>38</v>
      </c>
      <c r="D139" t="s">
        <v>39</v>
      </c>
      <c r="E139" s="3" t="s">
        <v>281</v>
      </c>
      <c r="F139" s="3" t="s">
        <v>42</v>
      </c>
      <c r="G139" s="3" t="s">
        <v>262</v>
      </c>
      <c r="H139" s="3" t="s">
        <v>37</v>
      </c>
      <c r="I139" s="3" t="s">
        <v>7</v>
      </c>
      <c r="J139" s="3" t="s">
        <v>24</v>
      </c>
      <c r="K139" s="3" t="s">
        <v>40</v>
      </c>
      <c r="L139" s="3" t="s">
        <v>25</v>
      </c>
      <c r="M139">
        <v>1</v>
      </c>
    </row>
    <row r="140" spans="1:13" x14ac:dyDescent="0.25">
      <c r="A140" s="2">
        <v>46303</v>
      </c>
      <c r="B140" s="1" t="str">
        <f ca="1">IF(Información1[[#This Row],[Fecha]]='Ajuste de fechas'!$A$2,"Día actual","Día anterior")</f>
        <v>Día actual</v>
      </c>
      <c r="C140" s="3" t="s">
        <v>98</v>
      </c>
      <c r="D140" t="s">
        <v>70</v>
      </c>
      <c r="E140" s="3" t="s">
        <v>282</v>
      </c>
      <c r="F140" s="3" t="s">
        <v>14</v>
      </c>
      <c r="G140" s="3" t="s">
        <v>105</v>
      </c>
      <c r="H140" s="3" t="s">
        <v>37</v>
      </c>
      <c r="I140" s="3" t="s">
        <v>283</v>
      </c>
      <c r="J140" s="3" t="s">
        <v>24</v>
      </c>
      <c r="K140" s="3" t="s">
        <v>71</v>
      </c>
      <c r="L140" s="3" t="s">
        <v>25</v>
      </c>
      <c r="M140">
        <v>1</v>
      </c>
    </row>
    <row r="141" spans="1:13" x14ac:dyDescent="0.25">
      <c r="A141" s="2">
        <v>46303</v>
      </c>
      <c r="B141" s="1" t="str">
        <f ca="1">IF(Información1[[#This Row],[Fecha]]='Ajuste de fechas'!$A$2,"Día actual","Día anterior")</f>
        <v>Día actual</v>
      </c>
      <c r="C141" s="3" t="s">
        <v>98</v>
      </c>
      <c r="D141" t="s">
        <v>70</v>
      </c>
      <c r="E141" s="3" t="s">
        <v>284</v>
      </c>
      <c r="F141" s="3" t="s">
        <v>16</v>
      </c>
      <c r="G141" s="3" t="s">
        <v>82</v>
      </c>
      <c r="H141" s="3" t="s">
        <v>37</v>
      </c>
      <c r="I141" s="3" t="s">
        <v>7</v>
      </c>
      <c r="J141" s="3" t="s">
        <v>16</v>
      </c>
      <c r="K141" s="3" t="s">
        <v>71</v>
      </c>
      <c r="L141" s="3" t="s">
        <v>25</v>
      </c>
      <c r="M141">
        <v>1</v>
      </c>
    </row>
    <row r="142" spans="1:13" x14ac:dyDescent="0.25">
      <c r="A142" s="2">
        <v>46303</v>
      </c>
      <c r="B142" s="1" t="str">
        <f ca="1">IF(Información1[[#This Row],[Fecha]]='Ajuste de fechas'!$A$2,"Día actual","Día anterior")</f>
        <v>Día actual</v>
      </c>
      <c r="C142" s="3" t="s">
        <v>98</v>
      </c>
      <c r="D142" t="s">
        <v>70</v>
      </c>
      <c r="E142" s="3" t="s">
        <v>285</v>
      </c>
      <c r="F142" s="3" t="s">
        <v>16</v>
      </c>
      <c r="G142" s="3" t="s">
        <v>262</v>
      </c>
      <c r="H142" s="3" t="s">
        <v>37</v>
      </c>
      <c r="I142" s="3" t="s">
        <v>7</v>
      </c>
      <c r="J142" s="3" t="s">
        <v>16</v>
      </c>
      <c r="K142" s="3" t="s">
        <v>71</v>
      </c>
      <c r="L142" s="3" t="s">
        <v>25</v>
      </c>
      <c r="M142">
        <v>1</v>
      </c>
    </row>
    <row r="143" spans="1:13" x14ac:dyDescent="0.25">
      <c r="A143" s="2">
        <v>46303</v>
      </c>
      <c r="B143" s="1" t="str">
        <f ca="1">IF(Información1[[#This Row],[Fecha]]='Ajuste de fechas'!$A$2,"Día actual","Día anterior")</f>
        <v>Día actual</v>
      </c>
      <c r="C143" s="3" t="s">
        <v>98</v>
      </c>
      <c r="D143" t="s">
        <v>70</v>
      </c>
      <c r="E143" s="3" t="s">
        <v>286</v>
      </c>
      <c r="F143" s="3" t="s">
        <v>33</v>
      </c>
      <c r="G143" s="3" t="s">
        <v>287</v>
      </c>
      <c r="H143" s="3" t="s">
        <v>37</v>
      </c>
      <c r="I143" s="3" t="s">
        <v>7</v>
      </c>
      <c r="J143" s="3" t="s">
        <v>16</v>
      </c>
      <c r="K143" s="3" t="s">
        <v>71</v>
      </c>
      <c r="L143" s="3" t="s">
        <v>25</v>
      </c>
      <c r="M143">
        <v>1</v>
      </c>
    </row>
    <row r="144" spans="1:13" x14ac:dyDescent="0.25">
      <c r="A144" s="2">
        <v>46303</v>
      </c>
      <c r="B144" s="1" t="str">
        <f ca="1">IF(Información1[[#This Row],[Fecha]]='Ajuste de fechas'!$A$2,"Día actual","Día anterior")</f>
        <v>Día actual</v>
      </c>
      <c r="C144" s="3" t="s">
        <v>98</v>
      </c>
      <c r="D144" t="s">
        <v>70</v>
      </c>
      <c r="E144" s="3" t="s">
        <v>288</v>
      </c>
      <c r="F144" s="3" t="s">
        <v>13</v>
      </c>
      <c r="G144" s="3" t="s">
        <v>289</v>
      </c>
      <c r="H144" s="3" t="s">
        <v>37</v>
      </c>
      <c r="I144" s="3" t="s">
        <v>7</v>
      </c>
      <c r="J144" s="3" t="s">
        <v>28</v>
      </c>
      <c r="K144" s="3" t="s">
        <v>71</v>
      </c>
      <c r="L144" s="3" t="s">
        <v>25</v>
      </c>
      <c r="M144">
        <v>1</v>
      </c>
    </row>
    <row r="145" spans="1:13" x14ac:dyDescent="0.25">
      <c r="A145" s="2">
        <v>46303</v>
      </c>
      <c r="B145" s="1" t="str">
        <f ca="1">IF(Información1[[#This Row],[Fecha]]='Ajuste de fechas'!$A$2,"Día actual","Día anterior")</f>
        <v>Día actual</v>
      </c>
      <c r="C145" s="3" t="s">
        <v>98</v>
      </c>
      <c r="D145" t="s">
        <v>70</v>
      </c>
      <c r="E145" s="3" t="s">
        <v>290</v>
      </c>
      <c r="F145" s="3" t="s">
        <v>15</v>
      </c>
      <c r="G145" s="3" t="s">
        <v>88</v>
      </c>
      <c r="H145" s="3" t="s">
        <v>37</v>
      </c>
      <c r="I145" s="3" t="s">
        <v>7</v>
      </c>
      <c r="J145" s="3" t="s">
        <v>29</v>
      </c>
      <c r="K145" s="3" t="s">
        <v>71</v>
      </c>
      <c r="L145" s="3" t="s">
        <v>25</v>
      </c>
      <c r="M145">
        <v>1</v>
      </c>
    </row>
    <row r="146" spans="1:13" x14ac:dyDescent="0.25">
      <c r="A146" s="2">
        <v>46303</v>
      </c>
      <c r="B146" s="1" t="str">
        <f ca="1">IF(Información1[[#This Row],[Fecha]]='Ajuste de fechas'!$A$2,"Día actual","Día anterior")</f>
        <v>Día actual</v>
      </c>
      <c r="C146" s="3" t="s">
        <v>98</v>
      </c>
      <c r="D146" t="s">
        <v>70</v>
      </c>
      <c r="E146" s="3" t="s">
        <v>291</v>
      </c>
      <c r="F146" s="3" t="s">
        <v>35</v>
      </c>
      <c r="G146" s="3" t="s">
        <v>88</v>
      </c>
      <c r="H146" s="3" t="s">
        <v>37</v>
      </c>
      <c r="I146" s="3" t="s">
        <v>7</v>
      </c>
      <c r="J146" s="3" t="s">
        <v>24</v>
      </c>
      <c r="K146" s="3" t="s">
        <v>71</v>
      </c>
      <c r="L146" s="3" t="s">
        <v>25</v>
      </c>
      <c r="M146">
        <v>1</v>
      </c>
    </row>
    <row r="147" spans="1:13" x14ac:dyDescent="0.25">
      <c r="A147" s="2">
        <v>46303</v>
      </c>
      <c r="B147" s="1" t="str">
        <f ca="1">IF(Información1[[#This Row],[Fecha]]='Ajuste de fechas'!$A$2,"Día actual","Día anterior")</f>
        <v>Día actual</v>
      </c>
      <c r="C147" s="3" t="s">
        <v>98</v>
      </c>
      <c r="D147" t="s">
        <v>70</v>
      </c>
      <c r="E147" s="3" t="s">
        <v>292</v>
      </c>
      <c r="F147" s="3" t="s">
        <v>35</v>
      </c>
      <c r="G147" s="3" t="s">
        <v>240</v>
      </c>
      <c r="H147" s="3" t="s">
        <v>37</v>
      </c>
      <c r="I147" s="3" t="s">
        <v>7</v>
      </c>
      <c r="J147" s="3" t="s">
        <v>24</v>
      </c>
      <c r="K147" s="3" t="s">
        <v>71</v>
      </c>
      <c r="L147" s="3" t="s">
        <v>27</v>
      </c>
      <c r="M147">
        <v>1</v>
      </c>
    </row>
    <row r="148" spans="1:13" x14ac:dyDescent="0.25">
      <c r="A148" s="2">
        <v>46303</v>
      </c>
      <c r="B148" s="1" t="str">
        <f ca="1">IF(Información1[[#This Row],[Fecha]]='Ajuste de fechas'!$A$2,"Día actual","Día anterior")</f>
        <v>Día actual</v>
      </c>
      <c r="C148" s="3" t="s">
        <v>98</v>
      </c>
      <c r="D148" t="s">
        <v>70</v>
      </c>
      <c r="E148" s="3" t="s">
        <v>293</v>
      </c>
      <c r="F148" s="3" t="s">
        <v>294</v>
      </c>
      <c r="G148" s="3" t="s">
        <v>130</v>
      </c>
      <c r="H148" s="3" t="s">
        <v>37</v>
      </c>
      <c r="I148" s="3" t="s">
        <v>7</v>
      </c>
      <c r="J148" s="3" t="s">
        <v>24</v>
      </c>
      <c r="K148" s="3" t="s">
        <v>71</v>
      </c>
      <c r="L148" s="3" t="s">
        <v>34</v>
      </c>
      <c r="M148">
        <v>1</v>
      </c>
    </row>
    <row r="149" spans="1:13" x14ac:dyDescent="0.25">
      <c r="A149" s="2">
        <v>46303</v>
      </c>
      <c r="B149" s="1" t="str">
        <f ca="1">IF(Información1[[#This Row],[Fecha]]='Ajuste de fechas'!$A$2,"Día actual","Día anterior")</f>
        <v>Día actual</v>
      </c>
      <c r="C149" s="3" t="s">
        <v>98</v>
      </c>
      <c r="D149" t="s">
        <v>70</v>
      </c>
      <c r="E149" s="3" t="s">
        <v>293</v>
      </c>
      <c r="F149" s="3" t="s">
        <v>294</v>
      </c>
      <c r="G149" s="3" t="s">
        <v>295</v>
      </c>
      <c r="H149" s="3" t="s">
        <v>37</v>
      </c>
      <c r="I149" s="3" t="s">
        <v>7</v>
      </c>
      <c r="J149" s="3" t="s">
        <v>24</v>
      </c>
      <c r="K149" s="3" t="s">
        <v>71</v>
      </c>
      <c r="L149" s="3" t="s">
        <v>34</v>
      </c>
      <c r="M149">
        <v>1</v>
      </c>
    </row>
    <row r="150" spans="1:13" x14ac:dyDescent="0.25">
      <c r="A150" s="2">
        <v>46303</v>
      </c>
      <c r="B150" s="1" t="str">
        <f ca="1">IF(Información1[[#This Row],[Fecha]]='Ajuste de fechas'!$A$2,"Día actual","Día anterior")</f>
        <v>Día actual</v>
      </c>
      <c r="C150" s="3" t="s">
        <v>63</v>
      </c>
      <c r="D150" t="s">
        <v>64</v>
      </c>
      <c r="E150" s="3" t="s">
        <v>296</v>
      </c>
      <c r="F150" s="3" t="s">
        <v>14</v>
      </c>
      <c r="G150" s="3" t="s">
        <v>93</v>
      </c>
      <c r="H150" s="3" t="s">
        <v>37</v>
      </c>
      <c r="I150" s="3" t="s">
        <v>7</v>
      </c>
      <c r="J150" s="3" t="s">
        <v>24</v>
      </c>
      <c r="K150" s="3" t="s">
        <v>65</v>
      </c>
      <c r="L150" s="3" t="s">
        <v>27</v>
      </c>
      <c r="M150">
        <v>1</v>
      </c>
    </row>
    <row r="151" spans="1:13" x14ac:dyDescent="0.25">
      <c r="A151" s="2">
        <v>46303</v>
      </c>
      <c r="B151" s="1" t="str">
        <f ca="1">IF(Información1[[#This Row],[Fecha]]='Ajuste de fechas'!$A$2,"Día actual","Día anterior")</f>
        <v>Día actual</v>
      </c>
      <c r="C151" s="3" t="s">
        <v>8</v>
      </c>
      <c r="D151" t="s">
        <v>9</v>
      </c>
      <c r="E151" s="3" t="s">
        <v>297</v>
      </c>
      <c r="F151" s="3" t="s">
        <v>13</v>
      </c>
      <c r="G151" s="3" t="s">
        <v>298</v>
      </c>
      <c r="H151" s="3" t="s">
        <v>37</v>
      </c>
      <c r="I151" s="3" t="s">
        <v>17</v>
      </c>
      <c r="J151" s="3" t="s">
        <v>28</v>
      </c>
      <c r="K151" s="3" t="s">
        <v>44</v>
      </c>
      <c r="L151" s="3" t="s">
        <v>26</v>
      </c>
      <c r="M151">
        <v>1</v>
      </c>
    </row>
    <row r="152" spans="1:13" x14ac:dyDescent="0.25">
      <c r="A152" s="2">
        <v>46303</v>
      </c>
      <c r="B152" s="1" t="str">
        <f ca="1">IF(Información1[[#This Row],[Fecha]]='Ajuste de fechas'!$A$2,"Día actual","Día anterior")</f>
        <v>Día actual</v>
      </c>
      <c r="C152" s="3" t="s">
        <v>8</v>
      </c>
      <c r="D152" t="s">
        <v>9</v>
      </c>
      <c r="E152" s="3" t="s">
        <v>299</v>
      </c>
      <c r="F152" s="3" t="s">
        <v>6</v>
      </c>
      <c r="G152" s="3" t="s">
        <v>300</v>
      </c>
      <c r="H152" s="3" t="s">
        <v>37</v>
      </c>
      <c r="I152" s="3" t="s">
        <v>17</v>
      </c>
      <c r="J152" s="3" t="s">
        <v>24</v>
      </c>
      <c r="K152" s="3" t="s">
        <v>44</v>
      </c>
      <c r="L152" s="3" t="s">
        <v>26</v>
      </c>
      <c r="M152">
        <v>1</v>
      </c>
    </row>
    <row r="153" spans="1:13" x14ac:dyDescent="0.25">
      <c r="A153" s="2">
        <v>46303</v>
      </c>
      <c r="B153" s="1" t="str">
        <f ca="1">IF(Información1[[#This Row],[Fecha]]='Ajuste de fechas'!$A$2,"Día actual","Día anterior")</f>
        <v>Día actual</v>
      </c>
      <c r="C153" s="3" t="s">
        <v>8</v>
      </c>
      <c r="D153" t="s">
        <v>9</v>
      </c>
      <c r="E153" s="3" t="s">
        <v>301</v>
      </c>
      <c r="F153" s="3" t="s">
        <v>6</v>
      </c>
      <c r="G153" s="3" t="s">
        <v>87</v>
      </c>
      <c r="H153" s="3" t="s">
        <v>37</v>
      </c>
      <c r="I153" s="3" t="s">
        <v>7</v>
      </c>
      <c r="J153" s="3" t="s">
        <v>24</v>
      </c>
      <c r="K153" s="3" t="s">
        <v>11</v>
      </c>
      <c r="L153" s="3" t="s">
        <v>25</v>
      </c>
      <c r="M153">
        <v>1</v>
      </c>
    </row>
    <row r="154" spans="1:13" x14ac:dyDescent="0.25">
      <c r="A154" s="2">
        <v>46303</v>
      </c>
      <c r="B154" s="1" t="str">
        <f ca="1">IF(Información1[[#This Row],[Fecha]]='Ajuste de fechas'!$A$2,"Día actual","Día anterior")</f>
        <v>Día actual</v>
      </c>
      <c r="C154" s="3" t="s">
        <v>8</v>
      </c>
      <c r="D154" t="s">
        <v>9</v>
      </c>
      <c r="E154" s="3" t="s">
        <v>302</v>
      </c>
      <c r="F154" s="3" t="s">
        <v>42</v>
      </c>
      <c r="G154" s="3" t="s">
        <v>262</v>
      </c>
      <c r="H154" s="3" t="s">
        <v>37</v>
      </c>
      <c r="I154" s="3" t="s">
        <v>7</v>
      </c>
      <c r="J154" s="3" t="s">
        <v>24</v>
      </c>
      <c r="K154" s="3" t="s">
        <v>11</v>
      </c>
      <c r="L154" s="3" t="s">
        <v>25</v>
      </c>
      <c r="M154">
        <v>1</v>
      </c>
    </row>
    <row r="155" spans="1:13" x14ac:dyDescent="0.25">
      <c r="A155" s="2">
        <v>46303</v>
      </c>
      <c r="B155" s="1" t="str">
        <f ca="1">IF(Información1[[#This Row],[Fecha]]='Ajuste de fechas'!$A$2,"Día actual","Día anterior")</f>
        <v>Día actual</v>
      </c>
      <c r="C155" s="3" t="s">
        <v>8</v>
      </c>
      <c r="D155" t="s">
        <v>9</v>
      </c>
      <c r="E155" s="3" t="s">
        <v>303</v>
      </c>
      <c r="F155" s="3" t="s">
        <v>13</v>
      </c>
      <c r="G155" s="3" t="s">
        <v>101</v>
      </c>
      <c r="H155" s="3" t="s">
        <v>37</v>
      </c>
      <c r="I155" s="3" t="s">
        <v>7</v>
      </c>
      <c r="J155" s="3" t="s">
        <v>28</v>
      </c>
      <c r="K155" s="3" t="s">
        <v>44</v>
      </c>
      <c r="L155" s="3" t="s">
        <v>26</v>
      </c>
      <c r="M155">
        <v>1</v>
      </c>
    </row>
    <row r="156" spans="1:13" x14ac:dyDescent="0.25">
      <c r="A156" s="2">
        <v>46303</v>
      </c>
      <c r="B156" s="1" t="str">
        <f ca="1">IF(Información1[[#This Row],[Fecha]]='Ajuste de fechas'!$A$2,"Día actual","Día anterior")</f>
        <v>Día actual</v>
      </c>
      <c r="C156" s="3" t="s">
        <v>8</v>
      </c>
      <c r="D156" t="s">
        <v>9</v>
      </c>
      <c r="E156" s="3" t="s">
        <v>304</v>
      </c>
      <c r="F156" s="3" t="s">
        <v>33</v>
      </c>
      <c r="G156" s="3" t="s">
        <v>305</v>
      </c>
      <c r="H156" s="3" t="s">
        <v>37</v>
      </c>
      <c r="I156" s="3" t="s">
        <v>7</v>
      </c>
      <c r="J156" s="3" t="s">
        <v>16</v>
      </c>
      <c r="K156" s="3" t="s">
        <v>11</v>
      </c>
      <c r="L156" s="3" t="s">
        <v>34</v>
      </c>
      <c r="M156">
        <v>1</v>
      </c>
    </row>
    <row r="157" spans="1:13" x14ac:dyDescent="0.25">
      <c r="A157" s="2">
        <v>46303</v>
      </c>
      <c r="B157" s="1" t="str">
        <f ca="1">IF(Información1[[#This Row],[Fecha]]='Ajuste de fechas'!$A$2,"Día actual","Día anterior")</f>
        <v>Día actual</v>
      </c>
      <c r="C157" s="3" t="s">
        <v>8</v>
      </c>
      <c r="D157" t="s">
        <v>9</v>
      </c>
      <c r="E157" s="3" t="s">
        <v>306</v>
      </c>
      <c r="F157" s="3" t="s">
        <v>33</v>
      </c>
      <c r="G157" s="3" t="s">
        <v>196</v>
      </c>
      <c r="H157" s="3" t="s">
        <v>37</v>
      </c>
      <c r="I157" s="3" t="s">
        <v>7</v>
      </c>
      <c r="J157" s="3" t="s">
        <v>16</v>
      </c>
      <c r="K157" s="3" t="s">
        <v>11</v>
      </c>
      <c r="L157" s="3" t="s">
        <v>25</v>
      </c>
      <c r="M157">
        <v>1</v>
      </c>
    </row>
    <row r="158" spans="1:13" x14ac:dyDescent="0.25">
      <c r="A158" s="2">
        <v>46303</v>
      </c>
      <c r="B158" s="1" t="str">
        <f ca="1">IF(Información1[[#This Row],[Fecha]]='Ajuste de fechas'!$A$2,"Día actual","Día anterior")</f>
        <v>Día actual</v>
      </c>
      <c r="C158" s="3" t="s">
        <v>8</v>
      </c>
      <c r="D158" t="s">
        <v>9</v>
      </c>
      <c r="E158" s="3" t="s">
        <v>307</v>
      </c>
      <c r="F158" s="3" t="s">
        <v>35</v>
      </c>
      <c r="G158" s="3" t="s">
        <v>124</v>
      </c>
      <c r="H158" s="3" t="s">
        <v>37</v>
      </c>
      <c r="I158" s="3" t="s">
        <v>7</v>
      </c>
      <c r="J158" s="3" t="s">
        <v>24</v>
      </c>
      <c r="K158" s="3" t="s">
        <v>11</v>
      </c>
      <c r="L158" s="3" t="s">
        <v>27</v>
      </c>
      <c r="M158">
        <v>1</v>
      </c>
    </row>
    <row r="159" spans="1:13" x14ac:dyDescent="0.25">
      <c r="A159" s="2">
        <v>46303</v>
      </c>
      <c r="B159" s="1" t="str">
        <f ca="1">IF(Información1[[#This Row],[Fecha]]='Ajuste de fechas'!$A$2,"Día actual","Día anterior")</f>
        <v>Día actual</v>
      </c>
      <c r="C159" s="3" t="s">
        <v>8</v>
      </c>
      <c r="D159" t="s">
        <v>9</v>
      </c>
      <c r="E159" s="3" t="s">
        <v>308</v>
      </c>
      <c r="F159" s="3" t="s">
        <v>91</v>
      </c>
      <c r="G159" s="3" t="s">
        <v>87</v>
      </c>
      <c r="H159" s="3" t="s">
        <v>37</v>
      </c>
      <c r="I159" s="3" t="s">
        <v>7</v>
      </c>
      <c r="J159" s="3" t="s">
        <v>24</v>
      </c>
      <c r="K159" s="3" t="s">
        <v>11</v>
      </c>
      <c r="L159" s="3" t="s">
        <v>27</v>
      </c>
      <c r="M159">
        <v>1</v>
      </c>
    </row>
    <row r="160" spans="1:13" x14ac:dyDescent="0.25">
      <c r="A160" s="2">
        <v>46303</v>
      </c>
      <c r="B160" s="1" t="str">
        <f ca="1">IF(Información1[[#This Row],[Fecha]]='Ajuste de fechas'!$A$2,"Día actual","Día anterior")</f>
        <v>Día actual</v>
      </c>
      <c r="C160" s="3" t="s">
        <v>8</v>
      </c>
      <c r="D160" t="s">
        <v>9</v>
      </c>
      <c r="E160" s="3" t="s">
        <v>309</v>
      </c>
      <c r="F160" s="3" t="s">
        <v>12</v>
      </c>
      <c r="G160" s="3" t="s">
        <v>113</v>
      </c>
      <c r="H160" s="3" t="s">
        <v>37</v>
      </c>
      <c r="I160" s="3" t="s">
        <v>7</v>
      </c>
      <c r="J160" s="3" t="s">
        <v>24</v>
      </c>
      <c r="K160" s="3" t="s">
        <v>11</v>
      </c>
      <c r="L160" s="3" t="s">
        <v>27</v>
      </c>
      <c r="M160">
        <v>1</v>
      </c>
    </row>
    <row r="161" spans="1:13" x14ac:dyDescent="0.25">
      <c r="A161" s="2">
        <v>46303</v>
      </c>
      <c r="B161" s="1" t="str">
        <f ca="1">IF(Información1[[#This Row],[Fecha]]='Ajuste de fechas'!$A$2,"Día actual","Día anterior")</f>
        <v>Día actual</v>
      </c>
      <c r="C161" s="3" t="s">
        <v>8</v>
      </c>
      <c r="D161" t="s">
        <v>9</v>
      </c>
      <c r="E161" s="3" t="s">
        <v>74</v>
      </c>
      <c r="F161" s="3" t="s">
        <v>13</v>
      </c>
      <c r="G161" s="3" t="s">
        <v>75</v>
      </c>
      <c r="H161" s="3" t="s">
        <v>37</v>
      </c>
      <c r="I161" s="3" t="s">
        <v>10</v>
      </c>
      <c r="J161" s="3" t="s">
        <v>28</v>
      </c>
      <c r="K161" s="3" t="s">
        <v>11</v>
      </c>
      <c r="L161" s="3" t="s">
        <v>26</v>
      </c>
      <c r="M161">
        <v>1</v>
      </c>
    </row>
    <row r="162" spans="1:13" x14ac:dyDescent="0.25">
      <c r="A162" s="2">
        <v>46303</v>
      </c>
      <c r="B162" s="1" t="str">
        <f ca="1">IF(Información1[[#This Row],[Fecha]]='Ajuste de fechas'!$A$2,"Día actual","Día anterior")</f>
        <v>Día actual</v>
      </c>
      <c r="C162" s="3" t="s">
        <v>8</v>
      </c>
      <c r="D162" t="s">
        <v>9</v>
      </c>
      <c r="E162" s="3" t="s">
        <v>76</v>
      </c>
      <c r="F162" s="3" t="s">
        <v>13</v>
      </c>
      <c r="G162" s="3" t="s">
        <v>75</v>
      </c>
      <c r="H162" s="3" t="s">
        <v>37</v>
      </c>
      <c r="I162" s="3" t="s">
        <v>10</v>
      </c>
      <c r="J162" s="3" t="s">
        <v>28</v>
      </c>
      <c r="K162" s="3" t="s">
        <v>11</v>
      </c>
      <c r="L162" s="3" t="s">
        <v>26</v>
      </c>
      <c r="M162">
        <v>1</v>
      </c>
    </row>
    <row r="163" spans="1:13" x14ac:dyDescent="0.25">
      <c r="A163" s="2">
        <v>46303</v>
      </c>
      <c r="B163" s="1" t="str">
        <f ca="1">IF(Información1[[#This Row],[Fecha]]='Ajuste de fechas'!$A$2,"Día actual","Día anterior")</f>
        <v>Día actual</v>
      </c>
      <c r="C163" s="3" t="s">
        <v>8</v>
      </c>
      <c r="D163" t="s">
        <v>9</v>
      </c>
      <c r="E163" s="3" t="s">
        <v>77</v>
      </c>
      <c r="F163" s="3" t="s">
        <v>33</v>
      </c>
      <c r="G163" s="3" t="s">
        <v>75</v>
      </c>
      <c r="H163" s="3" t="s">
        <v>37</v>
      </c>
      <c r="I163" s="3" t="s">
        <v>10</v>
      </c>
      <c r="J163" s="3" t="s">
        <v>16</v>
      </c>
      <c r="K163" s="3" t="s">
        <v>11</v>
      </c>
      <c r="L163" s="3" t="s">
        <v>26</v>
      </c>
      <c r="M163">
        <v>1</v>
      </c>
    </row>
    <row r="164" spans="1:13" x14ac:dyDescent="0.25">
      <c r="A164" s="2">
        <v>46303</v>
      </c>
      <c r="B164" s="1" t="str">
        <f ca="1">IF(Información1[[#This Row],[Fecha]]='Ajuste de fechas'!$A$2,"Día actual","Día anterior")</f>
        <v>Día actual</v>
      </c>
      <c r="C164" s="3" t="s">
        <v>8</v>
      </c>
      <c r="D164" t="s">
        <v>9</v>
      </c>
      <c r="E164" s="3" t="s">
        <v>310</v>
      </c>
      <c r="F164" s="3" t="s">
        <v>35</v>
      </c>
      <c r="G164" s="3" t="s">
        <v>75</v>
      </c>
      <c r="H164" s="3" t="s">
        <v>37</v>
      </c>
      <c r="I164" s="3" t="s">
        <v>10</v>
      </c>
      <c r="J164" s="3" t="s">
        <v>24</v>
      </c>
      <c r="K164" s="3" t="s">
        <v>11</v>
      </c>
      <c r="L164" s="3" t="s">
        <v>26</v>
      </c>
      <c r="M164">
        <v>1</v>
      </c>
    </row>
    <row r="165" spans="1:13" x14ac:dyDescent="0.25">
      <c r="A165" s="2">
        <v>46303</v>
      </c>
      <c r="B165" s="1" t="str">
        <f ca="1">IF(Información1[[#This Row],[Fecha]]='Ajuste de fechas'!$A$2,"Día actual","Día anterior")</f>
        <v>Día actual</v>
      </c>
      <c r="C165" s="3" t="s">
        <v>8</v>
      </c>
      <c r="D165" t="s">
        <v>9</v>
      </c>
      <c r="E165" s="3" t="s">
        <v>99</v>
      </c>
      <c r="F165" s="3" t="s">
        <v>12</v>
      </c>
      <c r="G165" s="3" t="s">
        <v>75</v>
      </c>
      <c r="H165" s="3" t="s">
        <v>37</v>
      </c>
      <c r="I165" s="3" t="s">
        <v>10</v>
      </c>
      <c r="J165" s="3" t="s">
        <v>24</v>
      </c>
      <c r="K165" s="3" t="s">
        <v>11</v>
      </c>
      <c r="L165" s="3" t="s">
        <v>26</v>
      </c>
      <c r="M165">
        <v>1</v>
      </c>
    </row>
    <row r="166" spans="1:13" x14ac:dyDescent="0.25">
      <c r="A166" s="2">
        <v>46303</v>
      </c>
      <c r="B166" s="1" t="str">
        <f ca="1">IF(Información1[[#This Row],[Fecha]]='Ajuste de fechas'!$A$2,"Día actual","Día anterior")</f>
        <v>Día actual</v>
      </c>
      <c r="C166" s="3" t="s">
        <v>8</v>
      </c>
      <c r="D166" t="s">
        <v>9</v>
      </c>
      <c r="E166" s="3" t="s">
        <v>78</v>
      </c>
      <c r="F166" s="3" t="s">
        <v>6</v>
      </c>
      <c r="G166" s="3" t="s">
        <v>75</v>
      </c>
      <c r="H166" s="3" t="s">
        <v>37</v>
      </c>
      <c r="I166" s="3" t="s">
        <v>10</v>
      </c>
      <c r="J166" s="3" t="s">
        <v>24</v>
      </c>
      <c r="K166" s="3" t="s">
        <v>11</v>
      </c>
      <c r="L166" s="3" t="s">
        <v>26</v>
      </c>
      <c r="M166">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31</v>
      </c>
      <c r="B1" t="s">
        <v>32</v>
      </c>
    </row>
    <row r="2" spans="1:2" x14ac:dyDescent="0.25">
      <c r="A2" s="2">
        <f ca="1">TODAY()</f>
        <v>46303</v>
      </c>
      <c r="B2" s="2">
        <f ca="1">A2-1</f>
        <v>46302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2026-10-09T00:17:14Z</dcterms:modified>
</cp:coreProperties>
</file>