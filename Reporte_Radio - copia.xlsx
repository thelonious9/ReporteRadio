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3CA9F79C-F947-4440-A333-1B2740B9F0F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8" i="2"/>
  <c r="B50" i="2"/>
  <c r="B52" i="2"/>
  <c r="B54" i="2"/>
  <c r="B56" i="2"/>
  <c r="B58" i="2"/>
  <c r="B60" i="2"/>
  <c r="B62" i="2"/>
  <c r="B64" i="2"/>
  <c r="B66" i="2"/>
  <c r="B68" i="2"/>
  <c r="B70" i="2"/>
  <c r="B92" i="2"/>
  <c r="B94" i="2"/>
  <c r="B96" i="2"/>
  <c r="B98" i="2"/>
  <c r="B100" i="2"/>
  <c r="B102" i="2"/>
  <c r="B104" i="2"/>
  <c r="B106" i="2"/>
  <c r="B108" i="2"/>
  <c r="B110" i="2"/>
  <c r="B112" i="2"/>
  <c r="B114" i="2"/>
  <c r="B116" i="2"/>
  <c r="B118" i="2"/>
  <c r="B120" i="2"/>
  <c r="B121" i="2"/>
  <c r="B123" i="2"/>
  <c r="B125" i="2"/>
  <c r="B127" i="2"/>
  <c r="B129" i="2"/>
  <c r="B131" i="2"/>
  <c r="B133" i="2"/>
  <c r="B136" i="2"/>
  <c r="B138" i="2"/>
  <c r="B140" i="2"/>
  <c r="B142" i="2"/>
  <c r="B144" i="2"/>
  <c r="B146" i="2"/>
  <c r="B148" i="2"/>
  <c r="B150" i="2"/>
  <c r="B152" i="2"/>
  <c r="B154" i="2"/>
  <c r="B44" i="2"/>
  <c r="B45" i="2"/>
  <c r="B46" i="2"/>
  <c r="B47" i="2"/>
  <c r="B49" i="2"/>
  <c r="B51" i="2"/>
  <c r="B53" i="2"/>
  <c r="B55" i="2"/>
  <c r="B57" i="2"/>
  <c r="B59" i="2"/>
  <c r="B61" i="2"/>
  <c r="B63" i="2"/>
  <c r="B65" i="2"/>
  <c r="B67" i="2"/>
  <c r="B69" i="2"/>
  <c r="B71" i="2"/>
  <c r="B72" i="2"/>
  <c r="B73" i="2"/>
  <c r="B74" i="2"/>
  <c r="B75" i="2"/>
  <c r="B76" i="2"/>
  <c r="B77" i="2"/>
  <c r="B78" i="2"/>
  <c r="B79" i="2"/>
  <c r="B80" i="2"/>
  <c r="B81" i="2"/>
  <c r="B82" i="2"/>
  <c r="B83" i="2"/>
  <c r="B84" i="2"/>
  <c r="B85" i="2"/>
  <c r="B86" i="2"/>
  <c r="B87" i="2"/>
  <c r="B88" i="2"/>
  <c r="B89" i="2"/>
  <c r="B90" i="2"/>
  <c r="B91" i="2"/>
  <c r="B93" i="2"/>
  <c r="B95" i="2"/>
  <c r="B97" i="2"/>
  <c r="B99" i="2"/>
  <c r="B101" i="2"/>
  <c r="B103" i="2"/>
  <c r="B105" i="2"/>
  <c r="B107" i="2"/>
  <c r="B109" i="2"/>
  <c r="B111" i="2"/>
  <c r="B113" i="2"/>
  <c r="B115" i="2"/>
  <c r="B117" i="2"/>
  <c r="B119" i="2"/>
  <c r="B122" i="2"/>
  <c r="B124" i="2"/>
  <c r="B126" i="2"/>
  <c r="B128" i="2"/>
  <c r="B130" i="2"/>
  <c r="B132" i="2"/>
  <c r="B134" i="2"/>
  <c r="B135" i="2"/>
  <c r="B137" i="2"/>
  <c r="B139" i="2"/>
  <c r="B141" i="2"/>
  <c r="B143" i="2"/>
  <c r="B145" i="2"/>
  <c r="B147" i="2"/>
  <c r="B149" i="2"/>
  <c r="B151" i="2"/>
  <c r="B153" i="2"/>
  <c r="B155" i="2"/>
  <c r="B156" i="2"/>
  <c r="B157" i="2"/>
  <c r="B158" i="2"/>
  <c r="B159" i="2"/>
  <c r="B160" i="2"/>
  <c r="B161" i="2"/>
  <c r="B162" i="2"/>
  <c r="B163" i="2"/>
  <c r="B164" i="2"/>
  <c r="B165" i="2"/>
  <c r="B166" i="2"/>
  <c r="B167" i="2"/>
  <c r="B168" i="2"/>
  <c r="B16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<sst xmlns="http://schemas.openxmlformats.org/spreadsheetml/2006/main" count="1693" uniqueCount="311">
  <si>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</si>
  <si>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</si>
  <si>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</si>
  <si>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</si>
  <si>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</si>
  <si>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</si>
  <si>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</si>
  <si>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</si>
  <si>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</si>
  <si>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</si>
  <si>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</si>
  <si>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</si>
  <si>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</si>
  <si>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</si>
  <si>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</si>
  <si>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</si>
  <si>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</si>
  <si>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</si>
  <si>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</si>
  <si>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</si>
  <si>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</si>
  <si>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</si>
  <si>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</si>
  <si>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</si>
  <si>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</si>
  <si>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</si>
  <si>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</si>
  <si>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</si>
  <si>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</si>
  <si>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</si>
  <si>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</si>
  <si>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</si>
  <si>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</si>
  <si>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</si>
  <si>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</si>
  <si>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</si>
  <si>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</si>
  <si>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</si>
  <si>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</si>
  <si>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</si>
  <si>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</si>
  <si>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</si>
  <si>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</si>
  <si>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</si>
  <si>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</si>
  <si>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</si>
  <si>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</si>
  <si>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</si>
  <si>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</si>
  <si>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</si>
  <si>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</si>
  <si>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</si>
  <si>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</si>
  <si>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Monitoreo De Presas</t>
  </si>
  <si>
    <t>Donación de sangre</t>
  </si>
  <si>
    <t>Gobierno del estado</t>
  </si>
  <si>
    <t>Presidencia de la República</t>
  </si>
  <si>
    <t>Alcaldías</t>
  </si>
  <si>
    <t>Prevención De Riesgos</t>
  </si>
  <si>
    <t>Saderh</t>
  </si>
  <si>
    <t>Apoyo Al Agro</t>
  </si>
  <si>
    <t>SEPH</t>
  </si>
  <si>
    <t>TV Cable hidalguense Canal 6</t>
  </si>
  <si>
    <t>Contigo Noticias</t>
  </si>
  <si>
    <t>TV local</t>
  </si>
  <si>
    <t>Ultra 102.9 FM</t>
  </si>
  <si>
    <t>Ultra Noticias1</t>
  </si>
  <si>
    <t>Izza Hernández</t>
  </si>
  <si>
    <t>Partidos</t>
  </si>
  <si>
    <t>PGJEH</t>
  </si>
  <si>
    <t>Vía telefónica el reporte de Bombero y Protección Civil con Abner Yáñez informa de las diversas emergencias reportadas por la ciudadanía y que fueron atendidas.</t>
  </si>
  <si>
    <t>Canal del Pueblo</t>
  </si>
  <si>
    <t>Vocales Radio</t>
  </si>
  <si>
    <t>Morena</t>
  </si>
  <si>
    <t>Andrés Torres</t>
  </si>
  <si>
    <t>Becas Para La Transformación</t>
  </si>
  <si>
    <t>Radiodifusoras</t>
  </si>
  <si>
    <t>Auxilio a la ciudadanía</t>
  </si>
  <si>
    <t>Infraestructura escolar</t>
  </si>
  <si>
    <t>Entrevista</t>
  </si>
  <si>
    <t>Desazolve</t>
  </si>
  <si>
    <t>Radioescucha</t>
  </si>
  <si>
    <t>Semot</t>
  </si>
  <si>
    <t>Iniciativa</t>
  </si>
  <si>
    <t>Combate Al Huachicol</t>
  </si>
  <si>
    <t>Impulsa Hidalgo el desarrollo agropecuario con entrega de apoyos por más de 3.3 mdp en Cuautepec de Hinojosa</t>
  </si>
  <si>
    <t>Capacitación</t>
  </si>
  <si>
    <t>Gobierno de Hidalgo destinará más de 415 mdp para infraestructura educativa</t>
  </si>
  <si>
    <t>Combate a la delincuencia</t>
  </si>
  <si>
    <t>Semarnath</t>
  </si>
  <si>
    <t>Control lirio acuático</t>
  </si>
  <si>
    <t>Hidalgo recibirá siete montajes del XXI Festival de Monólogos Teatro a Una Sola Voz</t>
  </si>
  <si>
    <t>Cultura</t>
  </si>
  <si>
    <t>Festival Cultural</t>
  </si>
  <si>
    <t>El diputado Marco Mendoza presentó una iniciativa ante el Congreso local, que busca que el servicio social sea pagado a estudiantes de todo Hidalgo. «El trabajo no se regala, se valoriza. El servicio social aporta valor real a las instituciones y debe ser justamente remunerado», indicó el legislador priista. Además, dijo que pagar el servicio social es invertir en el futuro profesional de los jóvenes y en la economía del país. Esta iniciativa busca reformar el artículo octavo de la ley del ejercicio profesional para el estado, y establecer que debe entenderse cómo servicio social estudiantil a la actividad relacionada directamente con el perfil académico del prestador, temporal, obligatoria, formativa, remunerada y realizada en beneficio de la sociedad y el estado.</t>
  </si>
  <si>
    <t>La Subsecretaría de Protección Civil y Gestión de Riesgos informó que el sismo de magnitud 3.8 registrado la madrugada de este jueves, con epicentro al este de Ixmiquilpan, fue perceptible en algunas zonas del Valle del Mezquital. Hasta el momento, las autoridades reportan saldo blanco, sin afectaciones a la población ni daños en infraestructura. Se mantiene el monitoreo permanente y se exhorta a la ciudadanía a informarse únicamente a través de medios oficiales.</t>
  </si>
  <si>
    <t>Sismo</t>
  </si>
  <si>
    <t>Julio Menchaca apuesta por modernización catastral en Hidalgo</t>
  </si>
  <si>
    <t>Modernización catastral</t>
  </si>
  <si>
    <t>La dirigencia del PRI en Hidalgo, advirtió que no habrá segundas oportunidades ni retorno para quienes abandonaron el partido para unirse a otros proyectos políticos.</t>
  </si>
  <si>
    <t>PRI</t>
  </si>
  <si>
    <t>Afiliación partidista</t>
  </si>
  <si>
    <t>Un sismo de magnitud 4.0 tomó por sorpresa a los habitantes de la región del Valle del Mezquital durante la madrugada de este jueves, sin que hasta el momento se reporten personas lesionadas o pérdidas materiales que lamentar. El Servicio Sismológico Nacional (SSN) detalló que el movimiento telúrico ocurrió exactamente a las 03:19 horas, con un epicentro localizado a 7 kilómetros al noreste de Progreso de Obregón, Hidalgo, y a una profundidad de apenas 5 kilómetros. Debido a su escasa profundidad, el sismo fue ampliamente perceptible en las demarcaciones colindantes. A través de las redes sociales, pobladores de municipios como Progreso de Obregón, Ixmiquilpan, Actopan y Mixquiahuala manifestaron haber sido despertados por el temblor. Los usuarios describieron que el fenómeno provocó que se cimbraran puertas y ventanas de manera repentina, además de causar el movimiento de cuadros y diversos artículos decorativos al interior de los hogares. Tras el susto generalizado, el área de Protección Civil del municipio de Mixquiahuala emitió un comunicado oficial donde descartó de manera definitiva afectaciones estructurales o daños en su territorio. Por su parte, las autoridades de las demarcaciones vecinas tampoco han notificado incidencias, aunque mantienen el exhorto a la ciudadanía para permanecer atentos a los canales oficiales ante posibles réplicas.</t>
  </si>
  <si>
    <t>Intensifica SIPDUS limpieza de drenes en Pachuca para evitar anegamientos</t>
  </si>
  <si>
    <t>Becas para la Transformación llegan a estudiantes de Chapulhuacán y Jacala</t>
  </si>
  <si>
    <t>Julio Menchaca apuesta por modernización catastral en Hidalgo. (AUDIO JMS); (AUDIO MERV).</t>
  </si>
  <si>
    <t>SSPH decomisa 26,100 litros de hidrocarburo ilegal en Emiliano Zapata</t>
  </si>
  <si>
    <t>Y derivado del accidente donde el conductor de un vehículo atropelló a dos jóvenes estudiantes de la Universidad Tecnológica de la Sierra Hidalguense, y una de ellas perdió la vida, los pobladores de Zacualtipán decidieron cerrar la carretera a México Tampico. Exigen tres cosas, la construcción de un puente peatonal, la rehabilitación de la carretera y mayores señalamientos sobre esta vía federal. AUDIOS DE APOYO.</t>
  </si>
  <si>
    <t>Exigencia de obra</t>
  </si>
  <si>
    <t>El temporal en el Valle de México saturó las presas de Hidalgo. Vecinos están bajo aviso por el desfogue de algunas presas que elevó el nivel en los ríos. AUDIO APOYO.</t>
  </si>
  <si>
    <t>En otros temas, la donación altruista de sangre y órganos aún es muy baja, pero falta, pues, información. Y esta situación, sin duda, pues limita a los habitantes, a los ciudadanos, a crear conciencia sobre esta práctica. ¿Cuánto nos cuesta, cuando tenemos un familiar en el hospital, encontrar donadores de sangre? Imagínese usted ahora, pues, la donación de órganos. La información nos la presenta Claudia Alcántara. Gracias, buenos días. 14 de junio se conmemoró el Día Mundial del Donante de Sangre. La donación de sangre y órganos es una forma solidaria. Sin embargo, la falta de información limita a los habitantes a crear conciencia sobre esta práctica. En Hidalgo, la Secretaría de Salud Estatal, a través del Centro Estatal de Transfusión Sanguínea, invita a sumarse a la donación voluntaria. La donación altruista es aún muy baja. Preguntamos a algunas personas si donaría y conocer la posición respecto al tema. No, no he donado sangre. No. Sí. No, nunca. Ojalá que podamos acercarnos, hay mucha información en internet sobre estos procedimientos y que podamos, pues, ayudar a los ciudadanos que lo necesitan. AUDIOS APOYO</t>
  </si>
  <si>
    <t>Reportaje</t>
  </si>
  <si>
    <t>Y el problema de los moscos ya no es solo exclusivo de la región Tula-Tepeji. Escuche usted, habitantes de Ixmiquilpan, en el Valle del Mezquital, advirtieron que también enfrentan un incremento considerable de estos insectos, lo que ha generado preocupación entre la población por las molestias y posibles riesgos a la salud. La situación ocurre en plena temporada de lluvias, por lo que se solicita reforzar las acciones de fumigación, saneamiento y eliminación de criaderos para evitar que este problema se agrave. En Tula se quejan del fuerte problema de los mosquitos, pero aquí en Ixmiquilpan, en la ribera del río Tula, tenemos nuestros propios problemas. AUDIO DE APOYO.</t>
  </si>
  <si>
    <t>Mosco Culex</t>
  </si>
  <si>
    <t>Tula de Allende retomó después de casi diez años la entrega de registros nacionales de turismo a prestadores de servicios de la región como parte de las acciones para fortalecer la actividad turística y económica del municipio. El acto fue encabezado por la secretaria de Turismo de Hidalgo, Elizabeth Quintanar, y autoridades municipales quienes destacaron que esta medida permitirá avanzar en la formalización y competitividad de las empresas del sector. Durante el evento también se entregaron certificados a participantes del programa federal Moderniza orientado a mejorar la calidad en la atención y operación de negocios turísticos. Además, fue presentado el catálogo de destinos y productos turísticos de Tula, elaborado en coordinación con la Universidad Tecnológica Tula-Tepeji con el objetivo de impulsar la promoción del municipio y atraer un mayor número de visitantes. Las autoridades señalaron que estas acciones buscan consolidar a Tula de Allende como un destino con identidad, historia y potencial de desarrollo.</t>
  </si>
  <si>
    <t>Certificación turística</t>
  </si>
  <si>
    <t>Durante la temporada de lluvias la Secretaría de Infraestructura Pública y Desarrollo Urbano Sostenible mantiene un operativo permanente de limpieza en drenes pluviales y cinturones de seguridad de la zona metropolitana de Pachuca con el objetivo de prevenir inundaciones y encharcamientos. La dependencia informó que en lo que va de este 2026 se han retirado más de 3,169 toneladas de basura y cerca de 5,000 metros cúbicos de azolve en drenes, arroyos y canales de protección. El titular de la SIPDUS Alejandro Sánchez García hizo un llamado a la ciudadanía a evitar tirar la basura en la calle. Muebles, llantas, mire usted se sorprendería cuando hacen este tipo de trabajos que es lo que se encuentran, sillas, juguetes, ropa y hay que señalar que estos desechos provocan taponamientos que aumentan el riesgo de anegamientos y afectan a miles de personas. El titular de la SIPDUS Alejandro Sánchez García hizo un llamado a la ciudadanía a evitar tirar la basura en la calle. Muebles, llantas, mire usted se sorprendería cuando hacen este tipo de trabajos que es lo que se encuentran, sillas, juguetes, ropa y hay que señalar que estos desechos provocan taponamientos que aumentan el riesgo de anegamientos que aumentan el riesgo de anegamientos</t>
  </si>
  <si>
    <t>Y la Subsecretaría de Protección Civil y Gestión de Riesgos alertó que se prevén lluvias fuertes de entre 25 y 50 milímetros en la región sureste de Hidalgo, además de temperaturas de hasta 45 grados en la zona norte y rachas de viento de 50 a 70 kilómetros por hora. Esto es importante, las rachas de viento porque en gran medida pues generan muchas afectaciones sobre todo en techumbres, en techos instalados de manera provisional y por eso es importante tomar previsiones ante estas condiciones que señala la Subsecretaría de Protección Civil. Las autoridades exhortaron a la población a evitar cruzar zonas inundadas, reducir traslados innecesarios durante las lluvias, conducir con precaución y mantener limpios desagües y coladeras. También recomendaron mantenerse bien hidratados y extremar cuidados ante el calor extremo.</t>
  </si>
  <si>
    <t>Algunos ciudadanos de Tezontepec de Aldama han manifestado su inquiertud sobre los permisos y la operación de un relleno sanitario aquí en Tula. Bueno, ya la Secretaría de Medio Ambiente y Recursos Naturales de Hidalgo habló de este tema. Mónica Mixtega Trejo aseguró que el relleno sanitario proyectado en la región de Tula cumple con los requisitos legales y ambientales necesarios para su operación. Luego de estas inconformidades expresadas por habitantes de Tezontepec, que fueron también hasta la capital hidalguense, pues a preguntar cómo estaba la situación del relleno. La funcionaria informó que sostendrá una reunión con pobladores que han manifestado el rechazo al proyecto principalmente por considerar que no fueron consultados antes de la autorización de la obra. Como resultado del encuentro con pobladores se acordó realizar una revisión técnica y documental de la información disponible, así como una visita al sitio para mantener un diálogo abierto con las comunidades involucradas. AUDIO DE APOYO.</t>
  </si>
  <si>
    <t>Relleno Sanitario</t>
  </si>
  <si>
    <t>En la dinámica de las rutas, digamos que la mayoría de las rutas están afectadas por las lluvias tras concluir las rutas de la transformación. Autoridades estatales han desplegado maquinaria, brigadas y personal de protección civil en distintas regiones para atender derrumbes, afectaciones provocadas por las lluvias, todo lo que ha ocasionado en las últimas semanas, que sobre todo se ha presentado en la zona norte, en la Huasteca y la Sierra. AUDIO DE APOYO</t>
  </si>
  <si>
    <t>Algunas voces hace unos días criticaban un poco el actuar del director del deporte en Hidalgo, Oscar Conejo Pérez, porque estaba participando en transmisiones de televisoras para el Mundial 2026. Ya salió el gobernador a hablar de este tema, avaló al titular del deporte y dijo que está en todo su derecho. Además, hay que reconocer que Oscar el Conejo Pérez es un histórico en el fútbol mexicano. AUDIO DE APOYO</t>
  </si>
  <si>
    <t>Solicitud De Licencia</t>
  </si>
  <si>
    <t>Respecto a este tema, la presidenta municipal de Tepetitlán, Ana Elsa Castillo, participó en esta primera sesión ordinaria del Consejo Catastral del Estado, donde recibió equipamiento y cartografía especializada para fortalecer la actualización y modernización de la información territorial del municipio. Acompañada por la titular de Catastro Municipal, la alcaldesa destacó que estas herramientas permitirán mejorar la planeación urbana, la gestión del territorio y la presentación de estos servicios a la población. Las autoridades municipales reconocieron el respaldo del gobierno estatal encabezado por Julio Menchaca Salazar y reiteraron su compromiso de mantener el trabajo coordinado con los distintos órdenes de gobierno para impulsar un municipio mejor planeado y con mayores oportunidades de desarrollo. Vamos a otros temas.</t>
  </si>
  <si>
    <t>El gobernador Julio Menchaca Salazar encabezó la entrega de equipo y cartografía catastral a municipios hidalguenses. Esto como parte de la estrategia para fortalecer el ordenamiento territorial, la certeza jurídica y las finanzas locales. Durante la primera sesión ordinaria del Consejo Catastral 2026, el mandatario destacó que su administración ha destinado más de 28.9 millones de pesos a la modernización catastral y aseguró que un mejor manejo de los recursos públicos ha permitido incrementar el presupuesto estatal y reducir la deuda en un 42%. Por su parte, la Secretaría de Hacienda informó que ya se cuenta con más de 1.200 kilómetros cuadrados de cartografía actualizada. Autoridades federales señalaron que Hidalgo ocupa el segundo lugar nacional en el Índice de Modernización Catastral. AUDIOS DE APOYO</t>
  </si>
  <si>
    <t>El gobernador Julio Menchaca se posicionó en sus redes sociales ante el sismo registrado en Ixmiquilpan, informó que no reportan afectaciones a la población ni daños materiales.</t>
  </si>
  <si>
    <t>Gobierno de Hidalgo entrega dos paradores del Corredor Artesanal de la Huasteca en Huautla y Yahualica</t>
  </si>
  <si>
    <t>Corredor artesanal</t>
  </si>
  <si>
    <t>Derivado de las afectaciones registradas en la colonia Javier Rojo Gómez, en el municipio de Pachuca, la Caasim, informa lo siguiente: Desde el pasado 12 de junio, personal operativo mantiene labores de limpieza y desazolve mediante el uso de equipo especializado tipo Vactor, tras identificar una obstrucción en la línea de alcantarillado sanitario ocasionada por el arrastre de material, derivado de una obra ajena al organismo, correspondiente a la intervención de un dren pluvial, la sustitución de drenaje sanitario y trabajos de pavimentación en la zona.</t>
  </si>
  <si>
    <t>Sustitución de tubería</t>
  </si>
  <si>
    <t>La Subsecretaría de Protección Civil y Gestión de Riesgos de Hidalgo informó que no se registran afectaciones a la población ni a la infraestructura derivado del sismo magnitud 3.8 ocurrido a las 3:47 horas, con epicentro 18 kilómetros al este de Ixmiquilpan. El sismo fue perceptible en la región del Valle del Mezquital, detalló la dependencia a través de comunicado de prensa la mañana de este jueves.</t>
  </si>
  <si>
    <t>Radioescucha: en el Hospital General de Tulancingo si no van a acudir los doctores que nos avisen, tienen los teléfonos de los pacientes porque nos hacen ir, esperar y a la era hora no nos atienden. Algunos pacientes son adultos mayores, haya que ser empáticos.</t>
  </si>
  <si>
    <t>Atención médica</t>
  </si>
  <si>
    <t>En cabina Mirna Galloso, Secretaria de Fomento Económico de Tulancingo informó que con el objetivo de fortalecer la competitividad de emprendedores, microempresarios y productores de la región, el Gobierno Municipal de Tulancingo invita a la conferencia magistral que impartirá José Antonio Rodríguez Tarango, fundador y director general del Instituto Mexicano de Profesionales de Envase y Embalaje. La capacitación se llevará a cabo el próximo viernes 19 de junio, a las 12:00 horas, en las instalaciones de la Presidencia Municipal. El acceso será gratuito y estará abierto al público en general.</t>
  </si>
  <si>
    <t>En distintas comunidades rurales de Hidalgo, muchos estudiantes se trasladan diariamente a sus escuelas en camiones de redilas, exponiéndose a riesgos en cada trayecto. Ante esta situación, el diputado Julián Nochebuena presentó una iniciativa para fortalecer y mejorar el transporte público, principalmente en las zonas rurales de la Huasteca, buscando traslados más seguros y dignos para la población.</t>
  </si>
  <si>
    <t>La transformación digital en Hidalgo no solo se refleja en el aumento de usuarios de internet, sino también en la llegada de nuevas tecnologías a los hogares. Datos de la Encuesta Nacional sobre Disponibilidad y Uso de Tecnologías de la Información en los Hogares (ENDUTIH) 2025 revelan que el 27.6 por ciento de las viviendas de la entidad dispone de algún dispositivo inteligente conectado a internet, como televisores inteligentes, asistentes virtuales o equipos automatizados para el hogar. Este crecimiento ocurre en un contexto donde el acceso a internet se ha vuelto cada vez más común entre la población hidalguense. Actualmente, el 85.3 por ciento de las personas mayores de seis años utiliza la red, lo que significa que más de ocho de cada diez habitantes ya forman parte del entorno digital. Aunque la entidad registra avances importantes, los indicadores muestran que Hidalgo aún se encuentra ligeramente por debajo de los promedios nacionales. En el país, el 86.1 por ciento de la población usa internet y el 78.3 por ciento de los hogares cuenta con conexión, mientras que en el estado la cobertura domiciliaria alcanza el 73.3 por ciento. El reporte del Inegi señala que los teléfonos inteligentes continúan siendo la principal puerta de acceso al mundo digital. A través de ellos, millones de personas realizan actividades relacionadas con la comunicación, las redes sociales, el entretenimiento, la educación y el trabajo. La expansión tecnológica también ha comenzado a reducir las diferencias históricas entre zonas urbanas y rurales, aunque persisten retos importantes para llevar conectividad y equipamiento a comunidades donde el acceso sigue siendo limitado.</t>
  </si>
  <si>
    <t>Conectividad a internet</t>
  </si>
  <si>
    <t>Tres viviendas ubicadas en distintos municipios de Hidalgo fueron puestas a la venta mediante un proceso de subasta pública, ofreciendo una alternativa para quienes buscan adquirir una propiedad por debajo de los precios que suelen encontrarse en el mercado inmobiliario tradicional. Las casas forman parte de los bienes administrados por el Instituto Hidalguense para Devolver al Pueblo lo Robado, organismo encargado de gestionar inmuebles que pasan a propiedad del Estado y que posteriormente son comercializados a través de mecanismos públicos y transparentes. La oferta incluye inmuebles localizados en Tepetitlán, Tizayuca y Tepeapulco, cuyos precios base van desde poco más de 716 mil pesos hasta más de 1.5 millones de pesos, dependiendo de sus características y dimensiones. La propiedad con el costo inicial más bajo se encuentra en la comunidad General Pedro María Anaya, en Tepetitlán. Se trata de una vivienda de un nivel construida sobre un terreno de 400 metros cuadrados, cuyo precio de salida fue fijado en poco más de 716 mil pesos. Por otra parte, la casa con el valor más alto está ubicada en la Unidad Habitacional Tizayuca. El inmueble cuenta con dos niveles y una construcción de 120 metros cuadrados, por lo que su precio base supera el millón y medio de pesos. La tercera opción corresponde a una vivienda localizada en Tepeapulco, también de dos niveles, que destaca por tener la mayor superficie de construcción entre las propiedades incluidas en esta convocatoria. El proceso de venta se realiza a través de una plataforma digital especializada en subastas, donde las personas interesadas pueden consultar fotografías, documentos y características técnicas de cada inmueble antes de presentar una propuesta económica. Las autoridades informaron que el periodo para registrarse y participar permanecerá abierto hasta el 26 de junio, fecha límite para que los interesados entreguen la documentación requerida y acrediten la garantía de seriedad correspondiente. Con este esquema, el gobierno estatal busca dar destino a bienes recuperados por la administración pública, al tiempo que abre oportunidades para que particulares y empresas puedan adquirir propiedades mediante un procedimiento competitivo y abierto.</t>
  </si>
  <si>
    <t>Hacienda</t>
  </si>
  <si>
    <t>Extinción de dominio</t>
  </si>
  <si>
    <t>La recuperación de la presa Endhó entrará en una nueva etapa durante los próximos meses con la incorporación de tecnología especializada para combatir una de las principales problemáticas que afectan al embalse: la proliferación del lirio acuático. Autoridades federales anunciaron la llegada de una embarcación automatizada diseñada para recolectar, triturar y procesar esta planta invasora, con capacidad para retirar hasta 80 metros cúbicos por hora y almacenar decenas de toneladas de material durante cada jornada de trabajo. La estrategia busca aumentar la velocidad de extracción y, al mismo tiempo, aprovechar el lirio retirado mediante su transformación en composta o biomasa, reduciendo así el impacto ambiental generado por su acumulación. El anuncio se realizó durante una reunión con representantes de municipios y comunidades de la región de Tula, donde también se presentaron los avances alcanzados hasta ahora dentro del programa de recuperación del cuerpo de agua. Según los datos expuestos, las labores han permitido retirar cerca de 99 mil metros cúbicos de lirio acuático, una cifra que refleja la magnitud del problema que enfrenta la presa y la necesidad de reforzar las acciones de control. Paralelamente, las autoridades acordaron ampliar la cobertura de fumigación para combatir la presencia del mosquito Culex en localidades cercanas al embalse. Lo que inició como una intervención en 22 comunidades crecerá hasta abarcar 46 localidades de Tepetitlán, Tezontepec de Aldama y Tula de Allende. Las tareas incluyen aplicaciones mediante drones, equipos de termonebulización y sistemas de aspersión terrestre, apoyados por brigadas especializadas que mantienen presencia permanente en la zona.</t>
  </si>
  <si>
    <t>Las intensas precipitaciones registradas durante las últimas semanas han complicado los trabajos de recuperación en varios municipios de Hidalgo que todavía enfrentaban las consecuencias de los daños ocasionados por fenómenos meteorológicos anteriores. Autoridades estatales reconocieron que algunas obras de reconstrucción han tenido que detenerse temporalmente debido a las condiciones climáticas, mientras que otras han registrado nuevas afectaciones derivadas de las lluvias recientes. La situación mantiene en alerta a dependencias de emergencia y protección civil, particularmente en regiones donde el suelo presenta reblandecimientos y existe riesgo de deslaves, desbordamientos o inundaciones. De acuerdo con el gobierno estatal, el monitoreo se mantiene de forma permanente en todo el territorio hidalguense, con especial atención en los municipios considerados más vulnerables ante el exceso de agua. Uno de los principales desafíos es evitar que los daños acumulados durante los últimos meses se agraven con la actual temporada de lluvias, que ha mostrado comportamientos atípicos y pronósticos de precipitaciones intensas para las próximas semanas. Además de las acciones de vigilancia, continúan los proyectos de infraestructura destinados a reducir riesgos por inundaciones en distintas zonas del estado. Entre ellos destacan trabajos en áreas habitualmente afectadas por anegamientos, donde se han reforzado sistemas de bombeo y desalojo de agua. Las autoridades también insistieron en la necesidad de que la población evite arrojar basura en calles, alcantarillas y drenes, ya que durante las labores de limpieza se han encontrado desde muebles hasta electrodomésticos que obstruyen el flujo del agua y aumentan el riesgo de inundaciones. Como parte de la atención a las familias afectadas por eventos climáticos anteriores, el gobierno estatal informó que más de 2 mil 800 viviendas fueron censadas por daños relacionados con las lluvias. Ante la imposibilidad de encontrar terrenos seguros para una reubicación masiva, se optó por entregar apoyos económicos a las familias damnificadas, acompañados de notificaciones sobre los riesgos de permanecer en zonas consideradas vulnerables. Mientras continúan las precipitaciones, la prioridad de las autoridades se centra en prevenir pérdidas humanas y atender de manera oportuna cualquier emergencia que pueda presentarse en los municipios afectados.</t>
  </si>
  <si>
    <t>Gobierno</t>
  </si>
  <si>
    <t>Acaxochitlán ha registrado un total de 20 incendios en lo que va de 2026, de acuerdo con información proporcionada por personal de emergencias del municipio. Del total de incidentes atendidos, ocho correspondieron a incendios de pastizales y cinco fueron forestales, convirtiéndose en los siniestros más frecuentes durante los primeros meses del año. Además, se reportaron cinco incendios en casas habitación y dos más relacionados con vehículos. Aunque los incendios en áreas con vegetación continúan representando el principal reto para los cuerpos de auxilio, la incidencia en Acaxochitlán se mantiene considerablemente menor en comparación con otros municipios de la región. Por ejemplo, Tulancingo reportó 669 incendios entre enero y principios de junio, mientras que Santiago Tulantepec acumuló 247 casos durante los primeros cinco meses del año, ambos con predominio de siniestros en pastizales y vegetación seca. La diferencia en las cifras refleja realidades distintas entre los municipios, aunque en todos los casos los incendios en terrenos baldíos y zonas con vegetación continúan siendo una de las emergencias más recurrentes para las corporaciones de Protección Civil y Bomberos. Hasta el momento no se han reportado cifras oficiales sobre personas lesionadas derivadas de los incendios registrados en Acaxochitlán.</t>
  </si>
  <si>
    <t>Incendios forestales</t>
  </si>
  <si>
    <t>Radioescucha: una colectiva que va para la Indeco (sic) iba muy rápido y al dar vuelta en la calle 18 de Marzo casi se voltea y como dos personas se golpearon la cabeza.</t>
  </si>
  <si>
    <t>Quejas transporte público</t>
  </si>
  <si>
    <t>Radioescucha: el drenaje de la colonia Ventoquipa en Santiago Tulantepec, se tapó y el agua se está yendo al río. La presidenta ya sabe, pero no nos ha apoyado. Los vecinos por nuestra parte estamos tratado de hacer algo, pero es complicado.</t>
  </si>
  <si>
    <t>Drenaje tapado</t>
  </si>
  <si>
    <t>En cumplimiento de las recomendaciones emitidas por la Dirección de Protección Civil de Tulancingo, se llevó a cabo el retiro y reemplazo de tanques estacionarios de gas LP caducos o en desuso ubicados en la techumbre del Mercado Municipal Gilberto Gómez Carbajal. Estos trabajos fueron posibles gracias a la coordinación entre el Gobierno Municipal, la Dirección de Mercados y los locatarios, quienes participaron activamente en las labores realizadas para mejorar las condiciones de seguridad y funcionamiento de este importante centro de abasto. Aprovechando las maniobras de retiro de los recipientes, también se efectuaron acciones de limpieza en la techumbre, así como la remoción de escombros y diversos materiales acumulados. De igual manera, se brindó mantenimiento a las redes hidráulicas con el objetivo de prevenir fugas de agua y contribuir a una mejor conservación de las instalaciones. De acuerdo con un diagnóstico reciente, el Mercado Gilberto Gómez Carbajal cuenta con 33 tanques de gas LP y 84 tinacos de agua, por lo que estas acciones representan una medida importante para fortalecer la cultura de la prevención y la gestión integral de riesgos.</t>
  </si>
  <si>
    <t>Las lluvias registradas en Tulancingo obligaron a corporaciones municipales a intervenir en diversos puntos de la ciudad para prevenir mayores afectaciones y garantizar la seguridad de peatones y automovilistas. Personal de Bomberos y Protección Civil llevó a cabo labores de limpieza en coladeras del bulevar Emiliano Zapata y de las calles San Luis y 21 de Marzo, donde se retiraron residuos que obstaculizaban el flujo del agua pluvial. Además, brigadas municipales realizaron el retiro de piedras y material acumulado sobre el Circuito Centenario, con el fin de evitar riesgos para quienes circulan por esta vialidad. Entre las incidencias atendidas también se encuentran encharcamientos registrados en la colonia Los Cedros, donde personal de emergencia efectuó acciones para facilitar el desalojo del agua y reducir molestias a vecinos y transeúntes. Por otra parte, elementos de Seguridad Pública brindaron apoyo a peatones en zonas con acumulación de agua, principalmente sobre la carretera Tulancingo-Cuautepec, a la altura del Circuito Chapultepec, donde se implementaron medidas para favorecer cruces seguros. Las autoridades municipales informaron que se mantiene vigilancia permanente en vialidades, drenes y puntos susceptibles a inundaciones, mientras continúan las precipitaciones en la región.</t>
  </si>
  <si>
    <t>Un nuevo caso de fraude relacionado con la supuesta renta de viviendas fue reportado en Tulancingo, donde una mujer perdió mil pesos tras caer en un engaño difundido a través de redes sociales. De acuerdo con el testimonio de la afectada, la víctima buscaba una casa en renta cuando encontró una publicación que aparentaba ser legítima. La persona que ofrecía el inmueble le envió fotografías de la vivienda y diversos documentos para generar confianza, además de utilizar un perfil que aparentemente pertenecía a una doctora y que mostraba imágenes familiares. Tras intercambiar mensajes, la supuesta arrendadora solicitó un depósito de mil pesos con el argumento de que posteriormente enviaría el contrato de arrendamiento. Sin embargo, una vez realizado el pago, la víctima fue bloqueada y perdió todo contacto con la persona responsable del anuncio.♣Aunque la afectada reconoce que difícilmente recuperará el dinero, manifestó su preocupación porque la publicación fraudulenta continúa activa en redes sociales, lo que podría provocar que más personas sean engañadas bajo el mismo esquema.</t>
  </si>
  <si>
    <t>Alerta De Fraude</t>
  </si>
  <si>
    <t>Lo que comenzó como una intervención para retirar un objeto que obstruía el flujo del agua en el dren Mimila terminó con la movilización de corporaciones de seguridad y personal ministerial en Tulancingo. Durante trabajos realizados en las inmediaciones del llamado Puente Verde, entre la colonia Alamoxtitla y el fraccionamiento Minera Sección 200, trabajadores detectaron una bolsa plástica atorada en el cauce. Al retirarla e inspeccionarla, observaron en su interior lo que podrían ser restos humanos. El hallazgo provocó el acordonamiento inmediato de la zona y la presencia de elementos de la Policía Estatal y de Seguridad Pública municipal, quienes resguardaron el sitio en espera de la intervención de especialistas de la Procuraduría General de Justicia del Estado de Hidalgo. De acuerdo con información obtenida en el lugar, el contenido de la bolsa se encontraba en avanzado estado de descomposición, situación que dificultó una identificación preliminar. Hasta el momento, ninguna autoridad ha emitido información oficial sobre la naturaleza de los restos ni sobre la posible identidad de la víctima, por lo que será el resultado de los peritajes el que permita confirmar estos aspectos. Entre las líneas que se analizan de manera inicial se encuentra la posibilidad de que la bolsa no haya sido depositada en el sitio donde fue localizada y que las corrientes de agua la hayan arrastrado desde otro punto del dren o de la red hidráulica. Las investigaciones quedaron a cargo de las autoridades ministeriales, que deberán determinar el origen de los restos y las circunstancias en que llegaron al lugar donde fueron encontrados.</t>
  </si>
  <si>
    <t>Localización De Restos</t>
  </si>
  <si>
    <t>Mara Olvera y su columna Ajedrez Político habla de cómo el gobernador ha revolucionado la educación pública, con su proyecto de alternancia, haciendo que la educación sea igualitaria y no un privilegio generando una revolución de los entorno financieros, tecnológicos, financieros y de investigación en la educación pública. De igual forma, los programas educativos de la SEPH está generando respuestas adaptativas para las niñas y niños, y, hacia los estratos de la educación media superior y superior bajo el esquema de protección a la diversidad cultural, lo mismo de nuestros pueblos originarios que e nuestros sectores rurales en armonía con los cambios de la comunidad científica. Hidalgo da un salto cualitativo en educación pública con una expansión de Becas par la Transformación y programas sociales que fortalecen la inserción de oportunidades para las y los hidalguenses.</t>
  </si>
  <si>
    <t>Positiva</t>
  </si>
  <si>
    <t>Mara Olvera</t>
  </si>
  <si>
    <t>En sesión ordinaria, diputadas y diputados integrantes de la LXVI Legislatura avalaron con 25 votos a favor, cero en contra y cero abstenciones, el acuerdo económico que exhorta a la Secretaría de Educación Pública del Estado de Hidalgo a fortalecer las estrategias de inclusión, accesibilidad y aprovechamiento de las tecnologías de la información y la comunicación en los niveles de educación básica y media superior, promovido por la diputada Paloma Barragán Santos (Morena), emitido por la primera Comisión Permanente de Educación. El legislador José María Alejandro Pérez Ramírez (Nueva Alianza) recordó que también se le solicita a la dependencia impulsar acciones de capacitación y actualización dirigidas al personal docente sobre herramientas digitales educativas, accesibilidad tecnológica y uso seguro de plataformas digitales.</t>
  </si>
  <si>
    <t>Exhorto</t>
  </si>
  <si>
    <t>El Ayuntamiento de Pachuca, a través del Instituto Municipal para la Prevención de Adicciones (IMPA), llevó a cabo con éxito el 2º Congreso Internacional de Prevención de Adicciones, un espacio de intercambio de conocimientos y buenas prácticas que reunió a especialistas nacionales e internacionales para abordar uno de los principales desafíos en materia de salud pública. Durante la inauguración, el presidente municipal Jorge Reyes refrendó el compromiso de su administración con la implementación de políticas públicas enfocadas en la prevención, la salud y la reconstrucción del tejido social, destacando la importancia de sumar esfuerzos entre los distintos órdenes de gobierno, instituciones y sociedad. El acto inaugural contó también con la participación del diputado Andrés Velázquez, así como del titular del Sistema DIF Hidalgo, Ricardo Alvizo, quienes respaldaron la importancia de fortalecer las acciones preventivas desde una visión integral.</t>
  </si>
  <si>
    <t>Prevención De Adicciones</t>
  </si>
  <si>
    <t>Radioescucha: En la carretera Pachuca- Tulancingo a la altura de Pachuquilla del lado derecho se volvió a abrir un bache que han tapado como 5 veces. En un lapso de 30 minutos por lo menso 7 vehículos cayeron en el causando afectaciones.</t>
  </si>
  <si>
    <t>Vialidad En Mal Estado</t>
  </si>
  <si>
    <t>Entregan paradores del Corredor Artesanal de la Huasteca en Huautla y Yahualica</t>
  </si>
  <si>
    <t>Andrés Torres comenta que la noticia de la llegada de Julio Valera a Morena, causó in quietud y que lo que él sabe es que Valera Piedras formará parte de este partido no como presidente, no en la directiva, no tendrá ningún cargo dentro de Morena, pero sí estará dentro. Hace unos días Julio Valera, director de la Sedatu, tuvo una reunión con el gobernador, hubo fotografías y generó especulaciones. Asevera que personalmente Julio alera le dijo que continuará con sus actividades en la Sedatu. Les movió el tapete a muchos de Morena, sobre todo al sector de Morena que se les conoce como "los puros o fundadores".</t>
  </si>
  <si>
    <t>Operador político</t>
  </si>
  <si>
    <t>Hoy empieza el Primer Festival del Chile rayado en La Misión, un evento que reunirá actividades culturales, gastronómicas, deportivas y comerciales. Agradece al alcalde Israel Villeda por la invitación.</t>
  </si>
  <si>
    <t>Indicación geográfica</t>
  </si>
  <si>
    <t>Andrés Torres recuerda que el 1010 AM El Vocero Huasteco sigue fuera del aire esto desde hace más de dos meses.</t>
  </si>
  <si>
    <t>La mañana de este miércoles se registró la explosión de un polvorín en la comunidad de La Blanca, Santiago de Anaya hecho que generó alarma entre los vecinos tras escucharse un fuerte estruendo en la zona. De acuerdo con información de la policía municipal, la explosión ocurrió en dos barriles donde se almacenaba pólvora, lo que provocó únicamente daños materiales, sin que se reportaran personas lesionadas. Tras el incidente, elementos de la Secretaría de la Defensa Nacional (Sedena) y personal de Protección Civil municipal acudieron al lugar para realizar las labores de verificación, control de riesgos e indagatorias correspondientes para determinar las causas del siniestro.</t>
  </si>
  <si>
    <t>Explosión Pirotecnia</t>
  </si>
  <si>
    <t>La presidencia municipal de Mixquiahuala emitió un comunicado en el que informa que luego de los reportes acerca de la percepción de un sismo, por indicaciones del alcalde Miguel Ángel Peña se realizaron recorridos y hasta el momento no se reportan afectaciones.</t>
  </si>
  <si>
    <t>La madrugada de este jueves se presentó un sismo de 3.8 grados en Ixmiquilpan y en Progreso de Obregón de 4 grados de acuerdo al Sismológico Nacional. De acuerdo a Protección Civil del Estado no se reportan daños.</t>
  </si>
  <si>
    <t>SSPH y C5i recuperan auto robado y aseguran a un hombre en Tizayuca</t>
  </si>
  <si>
    <t>Recuperación De Vehículos Robados</t>
  </si>
  <si>
    <t>Mediante cateos, SSPH asegura a dos presuntos integrantes de banda dedicada al robo de motocicletas en Pachuca</t>
  </si>
  <si>
    <t>Fortalece Saderh vinculación para impulsar la enseñanza de las juventudes hidalguenses</t>
  </si>
  <si>
    <t>Firma De Convenio</t>
  </si>
  <si>
    <t>Imparte Secturh capacitación enfocada al turismo LGBTQ+</t>
  </si>
  <si>
    <t>Turismo inclusivo</t>
  </si>
  <si>
    <t>Edson Vélez</t>
  </si>
  <si>
    <t>Un nuevo conflicto se aproxima en la región de Tula tras el anuncio que hizo hace un mes el Presidente municipal, Cristian Martínez Reséndiz, sobre la construcción de un nuevo sitio de disposición de residuos sólidos urbanos en los límites con Tezontepec de Aldama. Y es que, a 300 metros del predio de 2.4 hectáreas del nuevo relleno sanitario que la empresa Marsacot compró, se encuentra un nacimiento de agua limpia que abastece a varios municipios de la región, entre ellos de Tezontepec Aldama y río abajo pasa por los municipios de Mixquiahuala de Juárez y Progreso de Obregón. El relleno sanitario regional que se construyen y que tiene el objetivo de aliviar parte del problema del confinamiento de las más de 2100 toneladas de basura que se generan al mes solamente en Tula de Allende, se ubica muy cerca la autopista Arco Norte, en un paraje conocido como 7 Mezquites, en la comunidad de Teocalco, perteneciente a Tula de Allende, pero que colinda con Tezontepec de Aldama y amenaza con contaminar el manantial de Cerro Colorado, un afluente de agua cristalina que los campesinos de Tezontepec de Aldama están defendiendo. El día de ayer, estos campesinos se manifestaron en las oficinas de la Semarnat de Hidalgo, allá en la capital del estado, donde les dijeron que la construcción del relleno sanitario cumplía con todas las normas legales y especificaciones técnicas para ello. Sin embargo, los inconformes mantienen su postura de rechazo al relleno sanitario de Tula, que por el momento suspendieron sus trabajos de construcción, aunque la obra lleva más del 90% de avance.</t>
  </si>
  <si>
    <t>En el marco del Día Naranja, el Congreso del Estado de Hidalgo albergó la presentación de la Red de Mujeres Electas 2024-2027, un espacio de acompañamiento sororo e interinstitucional que busca garantizar el ejercicio pleno de los cargos públicos en condiciones de igualdad y seguridad. El diputado Andrés Velázquez Vázquez, presidente de la Junta de Gobierno, reconoció el avance histórico de la representación femenina, tanto en el Congreso local, donde actualmente hay mayoría de diputadas, como a nivel nacional con la llegada de una mujer a la Presidencia de la República. También aseguró que la paridad debe traducirse en un ejercicio pleno y seguro de los derechos políticos de las mujeres, mediante políticas públicas, reformas y mecanismos de acompañamiento que erradiquen prácticas discriminatorias y fortalezcan sus liderazgos</t>
  </si>
  <si>
    <t>Paridad de género</t>
  </si>
  <si>
    <t>Más de 2.8 mdp para escuelas de cinco municipios de la Sierra Gorda</t>
  </si>
  <si>
    <t>Entrega De Equipo Escolar</t>
  </si>
  <si>
    <t>La tarde de este jueves, un autobús de pasajeros de la línea Tizayuca estuvo involucrado en un percance vial, donde chocó contra la parte trasera de una camioneta, lo que dejó el saldo preliminar de dos personas lesionadas. De acuerdo a primeros reportes, el incidente ocurrió a la altura del crucero del Libramiento Club Rotario y la Avenida Ejército Mexicano, donde el percance ocurrió por alcance cuando la unidad de pasajeros intentó cruzar el semáforo sin que pudiera lograr evadir la camioneta particular que circulaba sobre la misma zona, quedando ambas unidades averiadas sobre el camino, con el peligro de impactarse con otros automóviles. Tras el choque, dos personas resultaron lesionadas, por lo que al lugar asistieron paramédicos de Protección Civil en una ambulancia, y personal de la Dirección de Tránsito Municipal, con el fin de realizar las diligencias correspondientes y salvaguardar la integridad de los afectados.</t>
  </si>
  <si>
    <t>Accidente autobús</t>
  </si>
  <si>
    <t>Un automóvil particular terminó al interior de un canal de aguas pluviales luego de que su conductor perdiera el control de la unidad sobre el Libramiento de Tizayuca, a la altura de Planta 2. Al lugar acudieron elementos de la Secretaría de Seguridad Ciudadana, en coordinación con personal de Gestión Integral de Riesgos, Protección Civil y Bomberos, quienes verificaron que no había personas lesionadas. El incidente dejó únicamente daños materiales. Las autoridades aseguraron la zona y realizaron las maniobras necesarias para retirar el vehículo y evitar riesgos para otros automovilistas.</t>
  </si>
  <si>
    <t>Una travesía cotidiana para llegar al trabajo terminó en tragedia la mañana de este jueves, luego de que una lancha que transportaba jornaleros se volcara en la presa Fernando Hiriart Balderrama, conocida como presa Zimapán, dejando una mujer fallecida y cuatro personas desaparecidas. El accidente ocurrió a la altura de la comunidad La Sabina, en el municipio de Tecozautla. De acuerdo con los primeros reportes, los ocupantes de la embarcación se dirigían a labores de cosecha de jitomate cuando, por causas aún no determinadas, la lancha sufrió un percance y sus tripulantes cayeron al agua. Las autoridades fueron alertadas alrededor de las 09:00 horas y, al arribar al sitio, tomaron declaración a una de las sobrevivientes, identificada como Sandra G.M., de 33 años de edad, quien informó que el grupo había partido de la comunidad de La Presita, en el estado de Querétaro, con destino a territorio hidalguense. Durante las primeras acciones de búsqueda fue localizada una embarcación blanca con azul y, en su interior, el cuerpo sin vida de Rosalinda M.C., de aproximadamente 24 años. Mientras tanto, continúan desaparecidos Julio M.R., de 33 años; María Eugenia M.R., de 43; Rosa Guadalupe M.R., también de 43 años; y Carlos M.M., de 32 años, todos originarios de Querétaro. La emergencia movilizó a corporaciones de Hidalgo y Querétaro. En el operativo participan elementos de Seguridad Pública de Tecozautla, Policía Estatal, autoridades de Cadereyta y personal de Protección Civil, quienes mantienen recorridos y labores de búsqueda en distintos puntos de la presa. Hasta el cierre de esta edición, las autoridades no habían informado las causas que originaron la volcadura, mientras las tareas para localizar a los desaparecidos continuaban en la zona.</t>
  </si>
  <si>
    <t>Búsqueda de personas</t>
  </si>
  <si>
    <t>La rehabilitación de la imagen urbana del bulevar Luis Donaldo Colosio arrancará en julio con una inversión de 20 millones de pesos como parte de un proyecto que con templa mejoras en la infraestructura peatonal, áreas verdes y la superficie de rodamiento. De acuerdo con el fallo a la licitación pública, emitida por la Secretaría de Infraestructura Pública y Desarrollo Urbano Sostenible (SIPDUS), Grupo Constructor Vadonne SA de CV será el encargado de llevar a cabo los trabajos. Las obras se llevarán a cabo desde la Glorieta 24 Horas hasta el monumento al Bombero, e iniciarán el 2 de julio por lo que se estima que concluyan en noviembre próximo. Entre los trabajos a realizar se encuentra el trazo y nivelación de plazas, andadores, banquetas y pavimentos de más de 20 mil metros cuadrados.</t>
  </si>
  <si>
    <t>Rehabilitación vial</t>
  </si>
  <si>
    <t>La Fiscalía Especializada en Delitos Electorales de Hidalgo informó que durante 2026 mantiene abiertas alrededor de 15 carpetas de investigación por violencia política digital contra mujeres, principalmente presidentas municipales, regidoras y síndicas. La fiscal especializada en Delitos Electorales de Hidalgo, Diana Jeanethe Rodríguez López, informó que la violencia digital se mantiene como una de las principales modalidades de violencia política contra las mujeres en razón de género, al registrar alrededor de 15 carpetas de investigación abiertas durante 2026. La funcionaria recordó que, tras la reforma electoral de 2020, la violencia política contra las mujeres en razón de género quedó tipificada como delito, independientemente de las sanciones que puedan imponerse por la vía administrativa o jurisdiccional. Explicó que este tipo de conductas han mostrado un crecimiento constante, particularmente durante los procesos electorales. Rodríguez López señaló que durante el proceso electoral 2023-2024 se registró un incremento considerable de casos relacionados con violencia política digital. Detalló que gran parte de estas agresiones se manifestaron mediante publicaciones y comentarios en redes sociales dirigidos a desacreditar, intimidar o limitar el ejercicio de los derechos político-electorales de mujeres candidatas. Actualmente, indicó, las principales víctimas son mujeres que ya ocupan cargos públicos, entre ellas presidentas municipales, regidoras y síndicas, quienes continúan siendo objeto de ataques incluso después de asumir funciones. La fiscal explicó que uno de los principales desafíos para las autoridades es identificar a las personas responsables, ya que con frecuencia operan mediante perfiles falsos, cuentas anónimas o páginas vinculadas a determinados municipios. Precisó que el modus operandi más recurrente consiste en difundir contenido ofensivo o desinformación a través de redes sociales para afectar la imagen pública y el desempeño político de las mujeres. Ante esta situación, la Fiscalía realiza patrullajes cibernéticos, análisis digitales y peritajes especializados para rastrear la identidad de quienes se encuentran detrás de estas cuentas.</t>
  </si>
  <si>
    <t>Violencia Política De Género</t>
  </si>
  <si>
    <t>El conductor señalado como presunto responsable del accidente ocurrido el pasado 20 de mayo en el bulevar Minero obtuvo este jueves una modificación en sus medidas cautelares, por lo que podrá continuar su proceso penal en libertad mientras avanzan las investigaciones y los acuerdos de reparación del daño. La determinación fue emitida por un juez durante una audiencia en la que se informó que Julio M.H. ha logrado concretar convenios con algunas de las personas afectadas por el percance, incluido al menos un acuerdo con familiares de una de las víctimas mortales. El caso generó amplia atención pública debido a que el accidente, registrado en la colonia Campo de Tiro, dejó un saldo de dos personas fallecidas y 12 lesionadas. Aunque el imputado dejó la prisión preventiva, la autoridad judicial estableció diversas condiciones para mantener su libertad. Entre ellas se encuentra la obligación de presentarse periódicamente ante las autoridades y cumplir con los compromisos económicos derivados de la reparación del daño. Durante la audiencia también se dio a conocer que aún existen personas lesionadas con las que no se han concluido los acuerdos correspondientes, por lo que el proceso legal permanece en curso.</t>
  </si>
  <si>
    <t>TSJEH</t>
  </si>
  <si>
    <t>Accidente transporte público</t>
  </si>
  <si>
    <t>Habitantes del municipio de Tezontepec de Aldama se manifestaron este miércoles en las oficinas de la Secretaría de Medio Ambiente y Recursos Naturales de Hidalgo (Semarnath) en la capital del estado, para exigir la cancelación definitiva del nuevo basurero regional que se pretende instalar en Tula de Allende. Los inconformes rechazan el proyecto al considerar que su funcionamiento podría contaminar los mantos acuíferos y comprometer la calidad del agua que se extrae del manantial de Cerro Colorado.</t>
  </si>
  <si>
    <t>Ante la importante afluencia de personas que cada semana se concentra en el tradicional tianguis de Tulancingo, autoridades estatales y municipales mantienen un esquema de seguridad coordinado para reforzar la vigilancia en la zona y sus alrededores. El operativo se lleva a cabo los días jueves mediante la participación conjunta de corporaciones policiales de varios municipios de la región, con el objetivo de inhibir conductas delictivas, mantener el orden y brindar condiciones de seguridad tanto a comerciantes como a visitantes. En estas labores intervienen elementos de la Policía Estatal y efectivos de los mandos coordinados de Tulancingo, Acaxochitlán, Agua Blanca, Cuautepec, Metepec y Santiago Tulantepec, quienes realizan patrullajes preventivos y mantienen presencia en puntos de mayor movilidad. De forma paralela, personal del Grupo Táctico de la Secretaría de Seguridad Pública de Hidalgo desarrolla recorridos de supervisión e instala filtros de revisión en distintos sectores regionales, como parte de las estrategias implementadas para fortalecer la prevención del delito. Según lo informado por las autoridades, la colaboración entre las distintas corporaciones permite ampliar el alcance de las acciones de vigilancia y responder con mayor rapidez ante cualquier eventualidad que pudiera registrarse durante el desarrollo de esta actividad comercial, una de las más concurridas del municipio.</t>
  </si>
  <si>
    <t>Prevención del delito</t>
  </si>
  <si>
    <t>Un total de hospitales y clínicas del ISSSTE en Hidalgo fortalecieron sus servicios con la incorporación de nuevos médicos especialistas, como parte de una estrategia para ampliar la cobertura de atención y responder a la creciente demanda de consultas y procedimientos médicos. La medida beneficia a unidades de salud ubicadas en Pachuca, Tulancingo, Huejutla, Ixmiquilpan y Mixquiahuala, donde ya se encuentran laborando profesionales en distintas ramas de la medicina. Entre las especialidades incorporadas destacan cardiología, neumología, angiología, cirugía de tórax, neonatología, oncología quirúrgica, anestesiología, medicina interna, urgencias, geriatría, traumatología y ortopedia, además de ginecología y obstetricia. El mayor número de incorporaciones se registró en el Hospital General “Dra. Columba Rivera Osorio”, considerado una de las principales unidades médicas del instituto en la entidad. Por su parte, la Clínica de Medicina Familiar con Especialidades de Pachuca amplió su capacidad en áreas diagnósticas y de atención para adultos mayores. En las clínicas hospitales de Huejutla e Ixmiquilpan se reforzaron principalmente los servicios de cirugía general, medicina interna y urgencias, mientras que en Tulancingo y Mixquiahuala se integró personal para atender consultas de medicina interna, urgencias y salud de la mujer. Según informó el ISSSTE, la llegada de especialistas permitirá aumentar el número de consultas de alta especialidad y fortalecer la atención en servicios donde habitualmente se concentra una alta demanda de pacientes.</t>
  </si>
  <si>
    <t>Médicos especialistas</t>
  </si>
  <si>
    <t>Con el propósito de reconocer la importancia de los padres dentro del núcleo familiar y destacar su contribución en la formación de valores, el bienestar y el desarrollo de sus hijas e hijos, el Gobierno Municipal de Tulancingo llevará a cabo un festejo especial para los papás del municipio. La administración encabezada por la presidenta municipal Lorena García Cázares invita a los padres de familia a participar en esta celebración, que tendrá lugar el próximo 28 de junio en las instalaciones de la Unidad Deportiva Javier Rojo Gómez. Durante la jornada se desarrollarán diversas actividades deportivas y recreativas, entre ellas encuentros de fútbol soccer, basquetbol y voleibol, diseñados para fomentar la convivencia, la integración y el sano esparcimiento entre las familias tulancinguenses.</t>
  </si>
  <si>
    <t>Día del Padre</t>
  </si>
  <si>
    <t>Gobierno de Hidalgo respalda a migrantes repatriados</t>
  </si>
  <si>
    <t>Bienestar</t>
  </si>
  <si>
    <t>Apoyo A Migrantes</t>
  </si>
  <si>
    <t>Las lluvias registrada de ayer por la tarde llevaron a las autoridades estatales a implementar actividades de monitoreo u vigilancia sobre distintos tramos de la carretera México-Pachuca, particularmente en la zona de Zapotlán con la finalidad de prevenir accidentes y atender cualquier eventualidad provocada por las condiciones climáticas. elementos de la Policía Estatal realizaron recorridos de supervisión apoyados por sistemas de videovigilancia para vigilar el flujo vehicular y detectar de manera oportuna incidentes que pudieran afectar la circulación.</t>
  </si>
  <si>
    <t>Prevención de accidentes</t>
  </si>
  <si>
    <t>La próxima llegada del tren AIFA-Pachuca podría convertirse en un factor clave para el crecimiento económico del sur de Hidalgo, particularmente para el Parque Industrial, Logístico, Comercial y de Servicios PLATAH, considerado uno de los principales polos de desarrollo proyectados en la entidad. De acuerdo con estimaciones de la Unidad de Planeación y Prospectiva de Hidalgo (Uplaph), la nueva infraestructura ferroviaria fortalecerá la conectividad de esta zona industrial ubicada en Villa de Tezontepec, una condición que durante años fue identificada como uno de los principales retos para atraer más empresas e inversiones. Además del impacto en PLATAH, las autoridades prevén beneficios para municipios como Tolcayuca, Zapotlán de Juárez, Villa de Tezontepec y Zempoala, donde se espera una mejora en la movilidad de trabajadores y en la dinámica económica regional. Uno de los argumentos que impulsaron la gestión del proyecto fue la necesidad de ofrecer alternativas de transporte a miles de hidalguenses que diariamente se trasladan hacia la Ciudad de México. Según datos oficiales, más de 150 mil personas realizan estos recorridos de manera constante, enfrentando largos tiempos de traslado. El titular de la Uplaph, Miguel Ángel Tello Vargas, señaló que el tren podría convertirse en el elemento que permita consolidar el potencial logístico de PLATAH, al mejorar las condiciones de conectividad con mercados estratégicos del centro del país. La expectativa también se sustenta en la llegada de nuevas inversiones al estado. Entre ellas destaca el anuncio de una inversión de 2 mil millones de dólares por parte de la empresa canadiense Solar International Core Canada (SICC), proyecto que se suma a la estrategia de atracción de capital impulsada por el gobierno estatal.</t>
  </si>
  <si>
    <t>Tren AIFA</t>
  </si>
  <si>
    <t>La autopista México-Pachuca podría ser objeto de una importante ampliación como parte de los proyectos de infraestructura que buscan mejorar la movilidad entre Hidalgo y el Valle de México, una región que en los últimos años ha registrado un crecimiento sostenido en población, actividad industrial y desarrollo habitacional. El gobernador de Hidalgo, Julio Menchaca Salazar, informó que se encuentra en análisis una propuesta para incrementar la capacidad de esta vía de comunicación, considerada una de las más transitadas del centro del país por el constante flujo de vehículos particulares, transporte público y unidades de carga. De acuerdo con lo adelantado por el mandatario, el proyecto contempla extender los carriles existentes hasta la conexión con el Arco Norte, lo que permitiría mejorar la circulación en uno de los corredores carreteros más importantes para quienes se desplazan diariamente entre Hidalgo y la zona metropolitana de la Ciudad de México. Aunque la obra aún no ha sido anunciada de manera oficial, actualmente se trabaja en la elaboración de los estudios y expedientes técnicos necesarios para determinar su viabilidad, alcances y costos. Una vez concluida esta etapa, podría darse a conocer el proyecto de forma detallada. La propuesta surge en un contexto de crecimiento urbano en municipios del sur de Hidalgo, donde el aumento de fraccionamientos habitacionales, parques industriales y centros logísticos ha generado una mayor demanda de infraestructura vial para reducir tiempos de traslado y mejorar la conectividad regional. Además de la posible ampliación de la autopista, el gobierno estatal continúa impulsando otros proyectos estratégicos vinculados a la movilidad. Entre ellos destaca la extensión del corredor vial Río de las Avenidas, una obra que busca fortalecer el acceso al futuro tren México-Pachuca y facilitar la conexión con zonas de desarrollo industrial. Según lo planteado, esta vialidad se prolongaría desde las inmediaciones del fraccionamiento Los Tuzos hasta el Parque Industrial Platah, en el municipio de Villa de Tezontepec. La ampliación abarcaría entre 20 y 25 kilómetros adicionales, ya que actualmente el corredor concluye en el bulevar Las Torres y hacia el sur únicamente existe un camino de terracería. Ambos proyectos permanecen en fase de planeación técnica; sin embargo, forman parte de las obras que buscan preparar la infraestructura de Hidalgo ante el crecimiento demográfico, la llegada de nuevas inversiones y la futura operación del tren de pasajeros que conectará a Pachuca con la capital del país.</t>
  </si>
  <si>
    <t>Ampliación vial</t>
  </si>
  <si>
    <t>Activistas participarán en una marcha pacífica para defender la protección ambiental del Cerro de Cubitos. Debido a ello, se realizará una marcha pacífica el próximo 19 de junio a las 8:30 horas, partiendo de la entrada principal del Parque Ecológico Cubitos, instalaciones de la Secretaría del Medio Ambiente. De nos ser atendidos amenazan con cerrar el bulevar Colosio.</t>
  </si>
  <si>
    <t>Por cierto que fue sepultada bajo miles de toneladas de silencio mediático, la penosa exposición de directivos y elementos de la unidad antisecuestros , quienes hicieron una fiesta con evidente ingesta de alcohol dentro de instalaciones públicas. ¿No hubo ni siquiera una llamada de atención?</t>
  </si>
  <si>
    <t>Fiesta en oficina pública</t>
  </si>
  <si>
    <t>Hidalgo es una de las últimas entidades en consolidar su Fiscalía General autónoma debido a la complejidad de su transición administrativa, presupuestaria y tecnológica. Más allá de las declaraciones, vertidas por actual encargado del despacho de la Procuraduría General de Justicia, Francisco Fernández Hasbum, respecto a que ya le prometieron que será el primer fiscal de Hidalgo, el proceso requirió múltiples prórrogas legislativas y millonarias inversiones estatales para lograr la independencia plena del Poder Ejecutivo, estimándose su conclusión para julio de 2028. Sumado a la supuesta tenencia de una patente de corso sobre el organismo, Fernández Hasbum es en parte, responsable del retraso administrativo. La transición exige reestructurar la nómina, el servicio profesional de carrera y los reglamentos internos para que la institución deje de depender del gobierno estatal. El Congreso local salió al rescate en ese tema y aprobó prórrogas sucesivas para evitar un colapso operativo en la transición. La transición de Procuraduría a Fiscalía, requiere una modernización profunda de los sistemas de bases de datos para integrar la información histórica de las carpetas de investigación y agilizar la labor de los agentes del Ministerio Público. El cambio necesita una fuerte inyección de recursos—ya fueron invertidos cientos de millones de pesos desde 2023— para habilitar órganos administrativos independientes y una nueva sede, pero, evidentemente, no fue suficiente. Hasta que culmine este proceso, la Procuraduría General de Justicia del Estado de Hidalgo (PGJEH),sigue siendo la encargada oficial de la procuración de justicia en el estado.</t>
  </si>
  <si>
    <t>Transición a Fiscalía</t>
  </si>
  <si>
    <t>Se reporta un accidente en el puente de Las Palomas, por lo que se encuentra cerrado este paso. Tomen precauciones.</t>
  </si>
  <si>
    <t>Accidente Vial</t>
  </si>
  <si>
    <t>Dialoga Segobh con habitantes de El Arenal en mesas de bienestar y paz</t>
  </si>
  <si>
    <t>Mesas de acercamiento</t>
  </si>
  <si>
    <t>Una embarcación volcó en la presa de Zimapán en los límites de Querétaro e Hidalgo y dejó un saldo preliminar de una personas fallecida, una sobreviviente y cuatro trabajadores desaparecidos. La embarcación que transportaba a varios trabajadores se volteó mientras se desplazaba por el cuerpo de agua.</t>
  </si>
  <si>
    <t>Una elemento de la Secretaría de Seguridad Ciudadana (SSC) de Tizayuca, Hidalgo, resultó lesionada luego de ser atacada con un arma blanca mientras realizaba labores de vigilancia en la zona centro del municipio. Fue trasladada a una unidad médica especializada, donde recibió valoración y tratamiento por las lesiones presentadas. Su estado de salud es grave.</t>
  </si>
  <si>
    <t>Agresión A Policía</t>
  </si>
  <si>
    <t>Luego de un reporte, en un lote baldío en una colonia de Tulancingo fueron encontradas varias bolsas plásticas que presuntamente contiene restos humanos, hecho que generó la movilización de elementos de la Policía. al lugar llegó el servicio médico Forense y hasta al momento no se ha confirmado que sean restos humanos. Por estos hechos la Procuraduría General de Justicia abrió la carpeta de investigación correspondiente.</t>
  </si>
  <si>
    <t>Andrés torres comenta que ve difícil que el Vocero Huasteco regrese pronto al aire y que siguen a la espera de que alguien les haga caso y puedan regresar.</t>
  </si>
  <si>
    <t>Ante reportes por olor a hidrocarburo perceptible en algunos municipios del Valle del Mezquital, se informa que unidades municipales de Protección Civil realizan recorridos de verificación en la región. Asimismo, personal de PEMEX se encuentra en ruta para acompañar dichas labores. Hasta el momento, no se tienen indicios de fuga o derrame de hidrocarburo. Se exhorta a la población a mantener la calma, informarse únicamente por medios oficiales y reportar cualquier situación inusual al 911.</t>
  </si>
  <si>
    <t>Llama Edda Vite a combatir desde el hogar la violencia contra la niñez y adolescencia</t>
  </si>
  <si>
    <t>Procuraduría municipal del menor</t>
  </si>
  <si>
    <t>Prevén crecimiento del parque industrial PLATAH con el tren AIFA-Pachuca</t>
  </si>
  <si>
    <t>El día de hoy el gobernador Julio Menchaca estará en Mineral de la Reforma a donde llevara la Ruta de la Transformación e inaugurará un mural a las 11 de la mañana en a Plaza de la Justicia de este municipio.</t>
  </si>
  <si>
    <t>Ruta de la Transformación</t>
  </si>
  <si>
    <t>Locutor Irving Sánchez comentó sobre un video que les comparten a través de redes sociales, en donde un policía de Tulancingo ayuda a una persona de la tercera edad a cruzar la calle, para evitar que se mojara debido al alto nivel de agua que alcanzó el municipio derivado de la tromba que se registró el día de hoy; Irving Sánchez comentó que pocas veces se habla de la policía, aunque estén trabajando, aunque estén apoyando a la ciudadanía, aunque nos den vigilancia y seguridad, muchas veces decimos que es su trabajo y que para esos les pagan, pero en esta ocasión, aunque le estén pagando, de una manera humana y ciudadana, ahí está el policía.</t>
  </si>
  <si>
    <t>Irving Sánchez</t>
  </si>
  <si>
    <t>Locutor Irving Sánchez da lectura a comentario de radioescucha que envía mensaje al presidente de Cuautepec, ya que dijo, prometió a los vecinos de la colonia La Esperanza que les haría la calle Benito Juárez, es una de las calles principales y está muy afectada por las lluvias, ojalá no se le olviden sus promesas.</t>
  </si>
  <si>
    <t>Incumplimiento de obra</t>
  </si>
  <si>
    <t>Con el objetivo de ampliar el acceso a la educación superior en la región, la Universidad para el Bienestar Benito Juárez García (UBBJ) mantiene abierta la convocatoria para ingresar a la Licenciatura en Medicina Integral y Salud Comunitaria en su nueva sede de San Andrés Daboxtha, municipio de Cardonal, Hidalgo, donde se espera la incorporación de al menos 80 estudiantes. El programa educativo invita a quienes cuenten con bachillerato concluido a formar parte de este nuevo proyecto, el cual ofrecerá educación gratuita y de calidad como parte de una iniciativa orientada a impulsar el desarrollo y la transformación social de la región. El periodo de registro permanece abierto desde el pasado 10 de junio y concluirá el próximo 30 de junio, a través de la liga https://ubbj.gob.mx/convocatoria?type_call=AES. La recepción de documentos se llevará a cabo de manera presencial del 6 al 10 de julio. Para ello, las y los aspirantes deberán presentar acta de nacimiento, CURP, certificado de bachillerato, INE o credencial de estudiante, así como una carta de intención en formato libre. Asimismo, la UBBJ exhortó a la población a compartir esta información para que el programa educativo llegue a un mayor número de personas interesadas en continuar sus estudios profesionales.</t>
  </si>
  <si>
    <t>Universidad del Bienestar</t>
  </si>
  <si>
    <t>Entrevista vía telefónica Cmte. Jesús García, director de Protección Civil de Tulancingo - Habló sobre las condiciones en las que se encuentra el municipio de Tulancingo posterior a la tromba presentada el día de hoy, 19 de junio, dijo, el nivel del agua alcanzó a cubrir banquetas de calles del Centro, por lo que ya se trabaja en el retiro de basura de alcantarillas. Pide comprensión y paciencia por parte de la ciudadanía mientras realizan los trabajos de desagüe en el municipio.</t>
  </si>
  <si>
    <t>La mañana de este viernes fueron reanudadas las labores de búsqueda para localizar a tres de las cuatro víctimas desaparecidas ayer dentro de la presa Zimapán, tras haber sufrido un accidente en la lancha en la que viajaban. La tarde de este jueves luego de varias horas de intensas maniobras dentro del embalse, el titular de la Dirección General de la Coordinación Estatal de Protección Civil de Querétaro, Javier Amaya Torres, confirmó la muerte de cuatro personas, indicando que solo uno de los cuerpos había podido ser recuperado. Indicó que sería hasta este día cuando el equipo de brigadistas de corporaciones como Seguridad Pública, Protección Civil y Bomberos de los estados de Hidalgo y Querétaro, retomarían las labores debido a lo complicado de la zona en la que se reportan profundidades de hasta 80 metros. Amaya Torres añadió que cinco tripulantes más lograron salvarse y salir a la superficie luego de que su lancha se hundiera cuando se dirigían a trabajar a unos campos agrícolas en el municipio de Tecozautla. La presa Zimapán se ubica entre los límites de los estados de Hidalgo y Querétaro, con una profundidad promedio de 45 metros, con valores máximos que alcanzan entre 154 y 200 metros en las zonas más ondas de los cañones.</t>
  </si>
  <si>
    <t>Rescate de cuerpo</t>
  </si>
  <si>
    <t>Hidalgo lleva su riqueza artesanal y gastronómica al Estado de México</t>
  </si>
  <si>
    <t>Festival Turístico</t>
  </si>
  <si>
    <t>Entrevista vía telefónica Karla Monserrat Hernández Cerroblanco, presidenta Municipal de Cardonal - Universidad del Bienestar en Cardonal - Habló sobre la Universidad para el Bienestar Benito Juárez García con sede en el Cardonal, la cual ofrece la licenciatura en Medicina Integral y Salud Comunitaria. El campus, formalizado por el Gobierno de Hidalgo y las autoridades federales, se localiza en la comunidad de San Andrés Daboxtha. Informó que el ingreso a la Universidad del Bienestar en Cardonal no requiere examen de admisión, pero exige un registro formal en las fechas establecidas, es decir, del 10 al 30 junio del presente, hasta el momento dijo, se tiene un total del 76 registro. Finalmente, agradeció a las autoridades federales, al gobernador y a los habitantes del municipio, y por el apoyo para que fuera posible la construcción de esta sede. “Invitó a todos los que nos escucha a estudiar, nunca es tarde, a los jóvenes que están por egresar el bachillerato, anímense a estudiar una licenciatura que puede cambiar vidas, familias y comunidades, en Cardonal todos son bienvenidos”, expresó.</t>
  </si>
  <si>
    <t>Entrevista pautada</t>
  </si>
  <si>
    <t>Llama Edda Vite a combatir desde el hogar la violencia contra la niñez y adolescencia.</t>
  </si>
  <si>
    <t>Procuraduría Municipal del Menor</t>
  </si>
  <si>
    <t>Habitantes de Huehuetla esperan que en menos de un mes entre en funcionamiento un puente colgante que construyen con recursos y mano de obra de las propias comunidades. La obra se impulsa mientras continúa el proceso para edificar el puente vehicular a cargo del Gobierno Federal, luego de que la estructura anterior fuera arrastrada por la corriente en octubre pasado a consecuencia de la vaguada monzónica. El dirigente de la Coordinadora Nacional Plan de Ayala, Erasto Tolentino Castro, informó que el miércoles se realizó una reunión con habitantes de la región y diversas autoridades, entre ellas la alcaldesa Yaralen Cortés Mendoza. Durante el encuentro, encabezado junto con vecinos de Zicatlán, San Antonio, Cuautla, San Gregorio y La Esperanza, se presentó la propuesta para construir un puente colgante que permita el paso de las comunidades que suelen quedar incomunicadas en temporada de lluvias. Explicó que, tras las precipitaciones de octubre del año pasado, se construyó un puente provisional en Zicatlán. Sin embargo, cada vez que se registran lluvias intensas la estructura es arrastrada por la corriente. Las precipitaciones más recientes dejaron a varias comunidades incomunicadas durante al menos once días. Ante este panorama y debido a que la construcción del puente vehicular tardará alrededor de siete meses, los habitantes acordaron impulsar un puente colgante peatonal como alternativa temporal. Para ello ya existe un proyecto que se desarrolla de manera coordinada con las áreas de Planeación y Obras Públicas. La primera etapa contempla la construcción de los pilares, mientras que los habitantes aportarán madera, otros materiales y mano de obra para agilizar los trabajos. La expectativa es que la obra quede concluida y en operación en aproximadamente un mes. Con ello se descartaría el uso de lanchas, una opción que también había sido planteada. Actualmente, ante la falta de acceso, algunas personas deben cruzar el río sujetándose de cuerdas. Tolentino Castro añadió que durante la reunión se establecieron los acuerdos necesarios para concretar el puente colgante peatonal, considerado por los habitantes como la mejor alternativa mientras concluye la obra definitiva. El inicio de ese proyecto se retrasó durante varios meses debido a que el gobierno sostuvo que se encontraba en proceso de licitación.</t>
  </si>
  <si>
    <t>Falta de puente</t>
  </si>
  <si>
    <t>Un total de 4 personas que perdieron la vida ahogados y 5 más que fueron rescatados fue el saldo de la volcadura de una lancha taxi en la presa de Zimapán en la comunidad de Loma Bonita, municipio de Cadereyta de Montes en el semi desierto queretano y los límites con el Estado de Hidalgo.</t>
  </si>
  <si>
    <t>Estudiantes de la secundaria federal “Tierra y Libertad”, fueron evacuados por la grave contaminación que genera una planta productora de asfalto, instalada a unos 300 metros de distancia del plantel donde asisten 580 alumnos. La determinación que tomaron los directivos del plantel, fue debido a que los gases y demás contaminantes que estaban llegando a las instalaciones de esta escuela, estaban ocasionando a los cientos de estudiantes, signos de intoxicación e irritación en los ojos. El director de la escuela secundaria, al tener contacto con personal de la alcaldía de Emiliano Zapata, les había solicitado que esta planta productora de asfalto, no efectuara sus trabajos durante las horas que los alumnos asisten a clases, lo cual fue ignorado por quienes operan esta planta. Por su parte personal de presidencia municipal de Emiliano Zapata, encabezados por el director de Reglamentos y Espectáculos, así como de Ecología del municipio, señalaron que en días pasados ya había llegado a un acuerdo con los encargados de esta empresa la cual realiza mezcla de asfalto y demás componentes, los cuales supuestamente iban a trabajar después de las 14:00 horas, cuando los alumnos ya hubieran salido de clases, lo cual no fue respetado. Ambos funcionarios municipales, al tener conocimiento de esta situación, acudieron a la citada empresa, para levantar una sanción por no respetar un acuerdo entre la alcaldía y esta empresa, y que pone en riesgo la vida y la salud de cientos de estudiantes que acuden a este colegio.</t>
  </si>
  <si>
    <t>Evacuación de escuela</t>
  </si>
  <si>
    <t>A tres años de su declaratoria como Zona de Monumentos Arqueológicos, Huapalcalco entra en una nueva etapa de fortalecimiento cultural en la que deja de ser solo un sitio histórico para consolidarse como un espacio activo de aprendizaje, identidad y participación comunitaria. En Tulancingo, el sitio arqueológico se ha convertido en el eje de un programa permanente impulsado por el Gobierno Municipal a través de la Secretaría de Cultura, Educación, Deporte y Juventud, con el objetivo de acercar el patrimonio a la población y fomentar su apropiación social. Las acciones se desarrollan en coordinación con el Instituto Nacional de Antropología e Historia (INAH), delegación Hidalgo, así como con la Dirección General de Patrimonio Cultural de la Secretaría de Cultura estatal, lo que ha permitido reforzar una estrategia conjunta de conservación y difusión. Más allá de su valor turístico, Huapalcalco se trabaja como un espacio educativo. Entre las actividades destacan visitas guiadas, recorridos escolares y programas de concientización dirigidos principalmente a niñas, niños y jóvenes, con dinámicas que buscan explicar el valor del patrimonio cultural desde una experiencia directa. Las escuelas pueden acceder a estas actividades de manera gratuita, incluso dentro de sus propios planteles, además de recorridos organizados mediante el Tulanbús, que facilita el traslado al sitio. Durante las jornadas formativas, los estudiantes conocen elementos clave del sitio como el basamento principal, las pinturas rupestres y actividades complementarias como rallies culturales en la Biblioteca de Huapalcalco, que buscan hacer más interactivo el aprendizaje.</t>
  </si>
  <si>
    <t>Zona Arqueológica</t>
  </si>
  <si>
    <t>En la agenda del día de hoy, se tienen previstas las rutas de la transformación en el municipio de Mineral de la Reforma, junto con la inauguración de un mural en la Plaza de la Justicia en Pachuca con la presencia del gobernador Julio Menchaca.</t>
  </si>
  <si>
    <t>El gobernador Julio Menchaca invitó a través de sus redes sociales a la inauguración de Ciudad Deportiva que se realizará el día de mañana. (AUDIO JMS).</t>
  </si>
  <si>
    <t>Ciudad Deportiva</t>
  </si>
  <si>
    <t>En su colaboración semanal, Gustavo Rosales informó que, el día de mañana, 20 de junio, se dará la apertura de la Ciudad Deportiva, las actividades arrancan con la carrera atlética de 10 kilómetros, además de las más de 40 actividades deportivas que se podrán realizar. “Celebro que hay deporte en Hidalgo y más una exhibición como la que habrá el día de mañana”, expresó.</t>
  </si>
  <si>
    <t>Ciudad deportiva</t>
  </si>
  <si>
    <t>Inversión al deporte rompe récord en Hidalgo (AUDIO OPR).</t>
  </si>
  <si>
    <t>Impulso al deporte</t>
  </si>
  <si>
    <t>Enfoque Regional Meridiano</t>
  </si>
  <si>
    <t>Jesús González</t>
  </si>
  <si>
    <t>El presidente municipal de Tula, Cristhian Martínez Reséndiz, habló sobre la situación que se vive en torno al nuevo relleno sanitario de Tula, después de algunas solicitudes que realizaron ejidatarios del municipio de Tezontepec de Aldama, AUDIO APOYO</t>
  </si>
  <si>
    <t>Hidalgo lleva su riqueza artesanal y gastronómica al Estado de México, AUDIO APOYO</t>
  </si>
  <si>
    <t>El gobernador de Hidalgo, Julio Menchaca Salazar, a través de sus redes sociales, acompañado del oficial mayor Orlando Ángeles Pérez, hizo una invitación para actividades que se van a llevar a cabo mañana sábado 20 de junio , entre ellas la carrera Activa Tu Potencial, Ciudad Deportiva de Alto Rendimiento AUDIO VIDEO</t>
  </si>
  <si>
    <t>Oficialía Mayor</t>
  </si>
  <si>
    <t>Inversión al deporte rompe récord en Hidalgo, AUDIO APOYO</t>
  </si>
  <si>
    <t>Vía telefónica Karla Monserrat Hernández Cerroblanco, presidenta Municipal de Cardonal - Universidad del Bienestar en Cardonal. Comentó que esta muy agradecida con el gobernador Julio Menchaca Salazar y sobre todo a la presidenta Claudia Sheinbaum Pardo, gracias a la vinculación que hay entre las autoridades federales, estatales y municipales, tenemos el honor de invitarles a que se inscriban en la nueva Universidad del Bienestar Benito Juárez en la comunidad de San Andrés Daboxtha , municipio de Cardonal.Las inscripciones están abiertas desde el día 10 de junio al 30 de junio para recibir los documentos, es una universidad que tiene muchos beneficios en derrama economica, educativos, todos lo jovenes contaran con un apoyo economico por parte de Gobierno Federal.</t>
  </si>
  <si>
    <t>Pobladores de San Cristóbal, perteneciente al municipio de Cardonal, tomaron las instalaciones de la Comisión Federal de Electricidad en Ixmiquilpan. Los usuarios denunciaron cobros excesivos en el servicio eléctrico. Durante la protesta exigieron borrón y cuenta nueva y una tarifa social justa. AUDIO APOYO</t>
  </si>
  <si>
    <t>Cobros excesivos</t>
  </si>
  <si>
    <t>La Unidad de Planeación y Prospectiva de Hidalgo inició en Zapotlán de Juárez la actualización del Plan Municipal de Desarrollo 26-27 con el objetivo de ordenar el crecimiento del municipio y atender de manera anticipada las necesidades de la población. Durante la cuarta sesión del COPLADEM, el secretario de Planeación, Miguel Ángel Tello Vargas, destacó que Zapotlán es uno de los municipios con mayor potencial de crecimiento en Hidalgo rumbo al 2040, al recordar que en poco más de una década su población pasó de 12 mil a 24 mil habitantes.Además, resaltó que el apoyo de desarrollo económico para el bienestar en reserva a Zapotlán representa una oportunidad para consolidar a la región como un punto estratégico para la industria médica y farmacéutica. AUDIO DE APOYO.</t>
  </si>
  <si>
    <t>COPLADEM</t>
  </si>
  <si>
    <t>El gobierno de Hidalgo destinará un millón doscientos cincuenta mil pesos para apoyar a cien personas deportadas y repatriadas de veintidós municipios a través del programa Apoyo a Personas Deportadas y Repatriadas de la SEBISO. El apoyo económico es hasta doce mil quinientos pesos por beneficiario, con el propósito de facilitar su reintegración social y económica, ya sea mediante el impulso de un emprendimiento o como respaldo mientras encuentran una fuente de ingresos. El director de atención al migrante, Manuel Aranda Montero, informó que los municipios con mayor número de beneficiarios son Pisaflores, La Misión, Chapulhuacán, Tecozautla y Tasquillo, localidades con alta tradición migratoria hacia Estados Unidos.Con esta estrategia, el gobierno estatal busca disminuir los efectos de la migración forzada y fortalecer las oportunidades de desarrollo para quienes regresen a sus comunidades de origen.</t>
  </si>
  <si>
    <t>En Hidalgo se fortalece la protección de la niñez. La presidenta del patronato del DIF estatal, Edda Vite Ramos, tomó protesta a los equipos multidisciplinarios que integran la Red de Protección de Niñas, Niños y Adolescentes en Zacualtipán de Ángeles, San Agustín, Mezquititlán y Atotonilco “El Grande”. Durante el acto advirtió que los casos de violencia contra menores han aumentado en un ochenta y cinco por ciento, por lo que llamó a autoridades y sociedad a construir entornos seguros desde el hogar. En Zacualtipán, destacó que los centros de asistencia social deben ser la última alternativa y reiteró que el DIF Hidalgo mantendrá la capacitación permanente a las procuradurías municipales para brindar atención oportuna, evitar revictimización y garantizar la restitución de derechos de la niñez hidalguense. Durante una gira de trabajo por Chapulhuacán, Pisaflores, La Misión, Jacala, y Nicolás Flores.</t>
  </si>
  <si>
    <t>La administración estatal ha destinado más de 515 millones de pesos al fortalecimiento de la infraestructura deportiva en Hidalgo. También se fortalecen escuelas de iniciación deportiva para niñas, niños y jóvenes. Mientras que para 2026 se prevé la participación de hasta 600 atletas hidalguenses en la Olimpiada Nacional. Asimismo anunció la rehabilitación del gimnasio Miguel Alemán, el Estadio Revolución y la Casa del Deportista en Pachuca. AUDIO DE APOYO</t>
  </si>
  <si>
    <t>La Secretaría de Turismo y el municipio de Acaxochitlán, presentaron Turcomuni, la primera plataforma digital internacional especializada en turismo comunitario. Esta herramienta fue dada a conocer como una alternativa para impulsar la promoción de experiencias turísticas gestionadas por las propias comunidades y ampliar su alcance hacia nuevos mercados nacionales e internacionales.</t>
  </si>
  <si>
    <t>Turismo Comunitario</t>
  </si>
  <si>
    <t>Este fin de semana, se llevará a cabo el primer festival del Chile Rayado en el municipio de la Misión Hidalgo del 18 al 20 de junio, donde se unirá su gastronomía, tradiciones y cultura para impulsar su economía local. El Chile Rayado requiere condiciones específicas de siembra, altura, suelo, clima y un proceso de ahumado que le da sabor único como un producto representativo de la región de la Sierra Gorda en Hidalgo. Imagínense este fin de semana comerse una carnita de puerco con chile rayado y tomate. AUDIO DE APOYO.</t>
  </si>
  <si>
    <t>Hidalgo lleva su riqueza cultural y gastronómica al Festival Turístico Nacional Ecatepec, Tierra de Encuentro y Raíces dos mil veintiséis, que se realiza este fin de semana del 18 al 21 de junio en el Estado de México. Como parte de la estrategia del gobernador Julio Menchaca Salazar para fortalecer el turismo y la identidad estatal, nueve artesanas y artesanos de municipios como Pachuca, Tenango de Doria, Actopan, Tula y Tulancingo exhiben y comercializan sus productos. Además, la gastronomía hidalguense está representada por seis municipios.La secretaria de Turismo, Elizabeth Quintanar Gómez, destacó que este encuentro permite promover las tradiciones, impulsar las ventas de las familias artesanas y fortalecer los lazos culturales y turísticos entre Hidalgo y el Estado de México. AUDIO DE APOYO</t>
  </si>
  <si>
    <t>Si su acta de nacimiento tiene errores, ya no será necesario acudir al lugar donde fue registrada, el trámite podrá realizarse en línea a partir del próximo 22 de junio, de lunes, así le informó José Antonio Peña Merino, Secretario de la Agencia de Transformación Digital y Telecomunicaciones. AUDIO DE APOYO</t>
  </si>
  <si>
    <t>Registro Familiar</t>
  </si>
  <si>
    <t>La llegada del tren AIFA Pachuca perfilará un nuevo impulso para el desarrollo industrial de Hidalgo. La Unidad de Planeación y Prospectiva del Estado prevé que el Parque Industrial Plata en Villa de Tezontepec registre un mayor crecimiento gracias a la conectividad que ofrecerán este sistema ferroviario.La dependencia estima que municipios como Tolcayuca, Zapotlán, Zempoala y la zona metropolitana de Pachuca también se va a ver beneficiada con mayor dinamismo económico y social. Su titular, Miguel Ángel Tello, afirmó que Plata requería un modelo de conectividad que garantizara su rentabilidad, condición que dijo será cubierta con el tren. Además destacó que nuevas inversiones, como la anunciada por la empresa canadiense SICC por dos mil millones de dólares, fortalecen la expectativa de consolidar a Hidalgo como un polo industrial estratégico a nivel nacional.La Secretaría de Medio Ambiente y Recursos Naturales de Hidalgo informó que sigue vigente la estrategia de acopio de prendas de mezclilla y algodón. Bajo el lema “Hidalgo juega limpio”, la cual culminará el próximo 8 de agosto. AUDIO DE APOYO.</t>
  </si>
  <si>
    <t>El Sistema Especial de Vigilancia Epidemiológica confirmó que el estado de Hidalgo acumula un total de 14 casos de gusano barrenador en humanos, detectado recientemente el contagio de un adolescente de 15 años originario del municipio de Tepehuacán de Guerrero. Las autoridades sanitarias precisaron que cuatro pacientes originarios de Santiago de Anaya, Huichapan, Chapantongo y Tepehuacán se encuentran bajo estricta observación y seguimiento médico continuo. Afortunadamente nueve personas ya recibieron el alta médica tras superar con éxito el tratamiento en municipios como Tlaxcoapan, Tenango de Doria y Zapotlán, mientras que un deceso notificado fue por causas ajenas a la infección. Las brigadas médicas mantienen el monitoreo en territorio para frenar la propagación de esta larva.</t>
  </si>
  <si>
    <t>Gusano barrenador</t>
  </si>
  <si>
    <t>Ayer los grupos de WhatsApp empezaron pues a llenarse de información sobre un olor a hidrocarburo en la región del Valle del Mezquital. Hubo preocupación, varios ciudadanos expresaron su preocupación, sobre todo las autoridades municipales de cada municipio, por este olor a hidrocarburo. Las autoridades de Protección Civil pues mantienen acciones de verificación ante estos reportes de olor a combustible percibidos la noche de ayer jueves en la región del Valle del Mezquital.Protección civil de Mixquiahuala informó que el olor fue detectado en diversas comunidades de ese municipio y algunas localidades vecinas, mientras que el Ayuntamiento de El Arenal señaló que la Subsecretaría de Protección Civil y Gestión de Riesgos del Estado realiza recorridos e investigaciones para determinar el origen de este fenómeno. Hasta el momento, las autoridades precisaron que no existe información oficial que indique riesgos para la población, pero como medida preventiva, recomendaron mantener puertas y ventanas cerradas, permanecer atentos a los comunicados oficiales y evitar difundir información no verificada. Se espera que en las próximas horas, en estos recorridos que hace la Subsecretaría de Protección Civil con personal de Pemex, pues se puedan emitir nuevos reportes sobre esta situación.</t>
  </si>
  <si>
    <t>Acir 92.5 FM</t>
  </si>
  <si>
    <t>Panorama Informativo Pachuca</t>
  </si>
  <si>
    <t>Radioescucha Sr. Juan reporta que los semáforos de Prismas y Nuevo Hidalgo con dirección a Tulipanes, ya que no funcionan bien</t>
  </si>
  <si>
    <t>Radioescucha reportando nuevamente que en Fraccionamiento Virreyes muchos baches y son un peligro, que el señor Medecigo nos ponga tantita atención</t>
  </si>
  <si>
    <t>Radioescucha reporta que en la calle de Jaime Nunó, entre Av. Revolución y Vicente Segura, tiene muchos baches; ya se reportó varias ocasiones y no arreglan nada.</t>
  </si>
  <si>
    <t>Radioescucha reporta fuga de agua en Fraccionamiento Valle del Palmar</t>
  </si>
  <si>
    <t>Fuga De Agua</t>
  </si>
  <si>
    <t>Radioescucha comenta: “Disculpe mi ignorancia, pero quisiéramos saber por qué se llevará a cabo la manifestación pacífica en defensa de la protección ambiental del Cerro de Cubitos”. Comentó el conductor que es porque quieren hacer desarrollos urbanos y ellos se oponen a eso para proteger esta zona importante.</t>
  </si>
  <si>
    <t>Proyecto de urbanización</t>
  </si>
  <si>
    <t>Hoy viernes se llevara acabo una manifestación pacifica marcha en defensa a la protección ambiental del Cerro de Cubitos</t>
  </si>
  <si>
    <t>Eulalio Larrieta</t>
  </si>
  <si>
    <t>Vía telefónica Subdelegada Médica Consuelo Cabrera,con el tema campañas solidarias de recolección de pulpitos tejidos a crochet para los bebés prematuros de la Unidad de Cuidados Intensivos Neonatales (UCIN).</t>
  </si>
  <si>
    <t>Terapia neonatal</t>
  </si>
  <si>
    <t>La diputada Guadalupe Cruz Montaño presentó una iniciativa para reformar el Código Penal del Estado de Hidalgo e incorporar el delito de abandono de personas adultas mayores, con el propósito de sancionar a quienes incumplan con su obligación de cuidado hacia este sector de la población.La legisladora argumentó que las personas adultas mayores enfrentan diversas formas de violencia, entre ellas fraude, extorsión, despojo patrimonial, abandono y omisión de cuidados, por lo que consideró necesario fortalecer el marco legal para garantizar la protección efectiva de sus derechos humanos.La propuesta plantea reformar el artículo 160 y adicionar el artículo 160 Bis al Código Penal estatal para crear un tipo penal especializado que atienda las condiciones de vulnerabilidad que enfrentan las personas adultas mayores.</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</si>
  <si>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</si>
  <si>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</si>
  <si>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</si>
  <si>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</si>
  <si>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Atención a la ciudadanía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</si>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</sst>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9" tableType="queryTable" totalsRowShown="0">
  <autoFilter ref="A1:M16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9"/>
  <sheetViews>
    <sheetView tabSelected="1" topLeftCell="A111" workbookViewId="0">
      <selection activeCell="C137" sqref="C137"/>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46191</v>
      </c>
      <c r="B2" s="1" t="str">
        <f ca="1">IF(Información1[[#This Row],[Fecha]]='Ajuste de fechas'!$A$2,"Día actual","Día anterior")</f>
        <v>Día anterior</v>
      </c>
      <c r="C2" s="3" t="s">
        <v>48</v>
      </c>
      <c r="D2" t="s">
        <v>50</v>
      </c>
      <c r="E2" s="3" t="s">
        <v>91</v>
      </c>
      <c r="F2" s="3" t="s">
        <v>92</v>
      </c>
      <c r="G2" s="3" t="s">
        <v>93</v>
      </c>
      <c r="H2" s="3" t="s">
        <v>8</v>
      </c>
      <c r="I2" s="3" t="s">
        <v>7</v>
      </c>
      <c r="J2" s="3" t="s">
        <v>55</v>
      </c>
      <c r="K2" s="3" t="s">
        <v>49</v>
      </c>
      <c r="L2" s="3" t="s">
        <v>26</v>
      </c>
      <c r="M2">
        <v>1</v>
      </c>
    </row>
    <row r="3" spans="1:13" x14ac:dyDescent="0.25">
      <c r="A3" s="2">
        <v>46191</v>
      </c>
      <c r="B3" s="1" t="str">
        <f ca="1">IF(Información1[[#This Row],[Fecha]]='Ajuste de fechas'!$A$2,"Día actual","Día anterior")</f>
        <v>Día anterior</v>
      </c>
      <c r="C3" s="3" t="s">
        <v>31</v>
      </c>
      <c r="D3" t="s">
        <v>36</v>
      </c>
      <c r="E3" s="3" t="s">
        <v>94</v>
      </c>
      <c r="F3" s="3" t="s">
        <v>34</v>
      </c>
      <c r="G3" s="3" t="s">
        <v>83</v>
      </c>
      <c r="H3" s="3" t="s">
        <v>8</v>
      </c>
      <c r="I3" s="3" t="s">
        <v>7</v>
      </c>
      <c r="J3" s="3" t="s">
        <v>13</v>
      </c>
      <c r="K3" s="3" t="s">
        <v>32</v>
      </c>
      <c r="L3" s="3" t="s">
        <v>24</v>
      </c>
      <c r="M3">
        <v>1</v>
      </c>
    </row>
    <row r="4" spans="1:13" x14ac:dyDescent="0.25">
      <c r="A4" s="2">
        <v>46191</v>
      </c>
      <c r="B4" s="1" t="str">
        <f ca="1">IF(Información1[[#This Row],[Fecha]]='Ajuste de fechas'!$A$2,"Día actual","Día anterior")</f>
        <v>Día anterior</v>
      </c>
      <c r="C4" s="3" t="s">
        <v>31</v>
      </c>
      <c r="D4" t="s">
        <v>36</v>
      </c>
      <c r="E4" s="3" t="s">
        <v>95</v>
      </c>
      <c r="F4" s="3" t="s">
        <v>9</v>
      </c>
      <c r="G4" s="3" t="s">
        <v>96</v>
      </c>
      <c r="H4" s="3" t="s">
        <v>8</v>
      </c>
      <c r="I4" s="3" t="s">
        <v>7</v>
      </c>
      <c r="J4" s="3" t="s">
        <v>55</v>
      </c>
      <c r="K4" s="3" t="s">
        <v>32</v>
      </c>
      <c r="L4" s="3" t="s">
        <v>24</v>
      </c>
      <c r="M4">
        <v>1</v>
      </c>
    </row>
    <row r="5" spans="1:13" x14ac:dyDescent="0.25">
      <c r="A5" s="2">
        <v>46191</v>
      </c>
      <c r="B5" s="1" t="str">
        <f ca="1">IF(Información1[[#This Row],[Fecha]]='Ajuste de fechas'!$A$2,"Día actual","Día anterior")</f>
        <v>Día anterior</v>
      </c>
      <c r="C5" s="3" t="s">
        <v>44</v>
      </c>
      <c r="D5" t="s">
        <v>45</v>
      </c>
      <c r="E5" s="3" t="s">
        <v>87</v>
      </c>
      <c r="F5" s="3" t="s">
        <v>61</v>
      </c>
      <c r="G5" s="3" t="s">
        <v>78</v>
      </c>
      <c r="H5" s="3" t="s">
        <v>8</v>
      </c>
      <c r="I5" s="3" t="s">
        <v>7</v>
      </c>
      <c r="J5" s="3" t="s">
        <v>55</v>
      </c>
      <c r="K5" s="3" t="s">
        <v>46</v>
      </c>
      <c r="L5" s="3" t="s">
        <v>26</v>
      </c>
      <c r="M5">
        <v>1</v>
      </c>
    </row>
    <row r="6" spans="1:13" x14ac:dyDescent="0.25">
      <c r="A6" s="2">
        <v>46191</v>
      </c>
      <c r="B6" s="1" t="str">
        <f ca="1">IF(Información1[[#This Row],[Fecha]]='Ajuste de fechas'!$A$2,"Día actual","Día anterior")</f>
        <v>Día anterior</v>
      </c>
      <c r="C6" s="3" t="s">
        <v>44</v>
      </c>
      <c r="D6" t="s">
        <v>45</v>
      </c>
      <c r="E6" s="3" t="s">
        <v>97</v>
      </c>
      <c r="F6" s="3" t="s">
        <v>15</v>
      </c>
      <c r="G6" s="3" t="s">
        <v>98</v>
      </c>
      <c r="H6" s="3" t="s">
        <v>8</v>
      </c>
      <c r="I6" s="3" t="s">
        <v>7</v>
      </c>
      <c r="J6" s="3" t="s">
        <v>55</v>
      </c>
      <c r="K6" s="3" t="s">
        <v>46</v>
      </c>
      <c r="L6" s="3" t="s">
        <v>26</v>
      </c>
      <c r="M6">
        <v>1</v>
      </c>
    </row>
    <row r="7" spans="1:13" x14ac:dyDescent="0.25">
      <c r="A7" s="2">
        <v>46191</v>
      </c>
      <c r="B7" s="1" t="str">
        <f ca="1">IF(Información1[[#This Row],[Fecha]]='Ajuste de fechas'!$A$2,"Día actual","Día anterior")</f>
        <v>Día anterior</v>
      </c>
      <c r="C7" s="3" t="s">
        <v>38</v>
      </c>
      <c r="D7" t="s">
        <v>39</v>
      </c>
      <c r="E7" s="3" t="s">
        <v>99</v>
      </c>
      <c r="F7" s="3" t="s">
        <v>100</v>
      </c>
      <c r="G7" s="3" t="s">
        <v>101</v>
      </c>
      <c r="H7" s="3" t="s">
        <v>8</v>
      </c>
      <c r="I7" s="3" t="s">
        <v>7</v>
      </c>
      <c r="J7" s="3" t="s">
        <v>68</v>
      </c>
      <c r="K7" s="3" t="s">
        <v>40</v>
      </c>
      <c r="L7" s="3" t="s">
        <v>24</v>
      </c>
      <c r="M7">
        <v>1</v>
      </c>
    </row>
    <row r="8" spans="1:13" x14ac:dyDescent="0.25">
      <c r="A8" s="2">
        <v>46191</v>
      </c>
      <c r="B8" s="1" t="str">
        <f ca="1">IF(Información1[[#This Row],[Fecha]]='Ajuste de fechas'!$A$2,"Día actual","Día anterior")</f>
        <v>Día anterior</v>
      </c>
      <c r="C8" s="3" t="s">
        <v>38</v>
      </c>
      <c r="D8" t="s">
        <v>39</v>
      </c>
      <c r="E8" s="3" t="s">
        <v>102</v>
      </c>
      <c r="F8" s="3" t="s">
        <v>10</v>
      </c>
      <c r="G8" s="3" t="s">
        <v>96</v>
      </c>
      <c r="H8" s="3" t="s">
        <v>8</v>
      </c>
      <c r="I8" s="3" t="s">
        <v>7</v>
      </c>
      <c r="J8" s="3" t="s">
        <v>57</v>
      </c>
      <c r="K8" s="3" t="s">
        <v>40</v>
      </c>
      <c r="L8" s="3" t="s">
        <v>24</v>
      </c>
      <c r="M8">
        <v>1</v>
      </c>
    </row>
    <row r="9" spans="1:13" x14ac:dyDescent="0.25">
      <c r="A9" s="2">
        <v>46191</v>
      </c>
      <c r="B9" s="1" t="str">
        <f ca="1">IF(Información1[[#This Row],[Fecha]]='Ajuste de fechas'!$A$2,"Día actual","Día anterior")</f>
        <v>Día anterior</v>
      </c>
      <c r="C9" s="3" t="s">
        <v>38</v>
      </c>
      <c r="D9" t="s">
        <v>39</v>
      </c>
      <c r="E9" s="3" t="s">
        <v>103</v>
      </c>
      <c r="F9" s="3" t="s">
        <v>6</v>
      </c>
      <c r="G9" s="3" t="s">
        <v>80</v>
      </c>
      <c r="H9" s="3" t="s">
        <v>8</v>
      </c>
      <c r="I9" s="3" t="s">
        <v>7</v>
      </c>
      <c r="J9" s="3" t="s">
        <v>55</v>
      </c>
      <c r="K9" s="3" t="s">
        <v>40</v>
      </c>
      <c r="L9" s="3" t="s">
        <v>26</v>
      </c>
      <c r="M9">
        <v>1</v>
      </c>
    </row>
    <row r="10" spans="1:13" x14ac:dyDescent="0.25">
      <c r="A10" s="2">
        <v>46191</v>
      </c>
      <c r="B10" s="1" t="str">
        <f ca="1">IF(Información1[[#This Row],[Fecha]]='Ajuste de fechas'!$A$2,"Día actual","Día anterior")</f>
        <v>Día anterior</v>
      </c>
      <c r="C10" s="3" t="s">
        <v>38</v>
      </c>
      <c r="D10" t="s">
        <v>39</v>
      </c>
      <c r="E10" s="3" t="s">
        <v>104</v>
      </c>
      <c r="F10" s="3" t="s">
        <v>61</v>
      </c>
      <c r="G10" s="3" t="s">
        <v>75</v>
      </c>
      <c r="H10" s="3" t="s">
        <v>8</v>
      </c>
      <c r="I10" s="3" t="s">
        <v>7</v>
      </c>
      <c r="J10" s="3" t="s">
        <v>55</v>
      </c>
      <c r="K10" s="3" t="s">
        <v>40</v>
      </c>
      <c r="L10" s="3" t="s">
        <v>26</v>
      </c>
      <c r="M10">
        <v>1</v>
      </c>
    </row>
    <row r="11" spans="1:13" x14ac:dyDescent="0.25">
      <c r="A11" s="2">
        <v>46191</v>
      </c>
      <c r="B11" s="1" t="str">
        <f ca="1">IF(Información1[[#This Row],[Fecha]]='Ajuste de fechas'!$A$2,"Día actual","Día anterior")</f>
        <v>Día anterior</v>
      </c>
      <c r="C11" s="3" t="s">
        <v>38</v>
      </c>
      <c r="D11" t="s">
        <v>39</v>
      </c>
      <c r="E11" s="3" t="s">
        <v>105</v>
      </c>
      <c r="F11" s="3" t="s">
        <v>15</v>
      </c>
      <c r="G11" s="3" t="s">
        <v>98</v>
      </c>
      <c r="H11" s="3" t="s">
        <v>8</v>
      </c>
      <c r="I11" s="3" t="s">
        <v>7</v>
      </c>
      <c r="J11" s="3" t="s">
        <v>55</v>
      </c>
      <c r="K11" s="3" t="s">
        <v>40</v>
      </c>
      <c r="L11" s="3" t="s">
        <v>26</v>
      </c>
      <c r="M11">
        <v>1</v>
      </c>
    </row>
    <row r="12" spans="1:13" x14ac:dyDescent="0.25">
      <c r="A12" s="2">
        <v>46191</v>
      </c>
      <c r="B12" s="1" t="str">
        <f ca="1">IF(Información1[[#This Row],[Fecha]]='Ajuste de fechas'!$A$2,"Día actual","Día anterior")</f>
        <v>Día anterior</v>
      </c>
      <c r="C12" s="3" t="s">
        <v>38</v>
      </c>
      <c r="D12" t="s">
        <v>39</v>
      </c>
      <c r="E12" s="3" t="s">
        <v>106</v>
      </c>
      <c r="F12" s="3" t="s">
        <v>12</v>
      </c>
      <c r="G12" s="3" t="s">
        <v>84</v>
      </c>
      <c r="H12" s="3" t="s">
        <v>8</v>
      </c>
      <c r="I12" s="3" t="s">
        <v>7</v>
      </c>
      <c r="J12" s="3" t="s">
        <v>55</v>
      </c>
      <c r="K12" s="3" t="s">
        <v>40</v>
      </c>
      <c r="L12" s="3" t="s">
        <v>26</v>
      </c>
      <c r="M12">
        <v>1</v>
      </c>
    </row>
    <row r="13" spans="1:13" x14ac:dyDescent="0.25">
      <c r="A13" s="2">
        <v>46191</v>
      </c>
      <c r="B13" s="1" t="str">
        <f ca="1">IF(Información1[[#This Row],[Fecha]]='Ajuste de fechas'!$A$2,"Día actual","Día anterior")</f>
        <v>Día anterior</v>
      </c>
      <c r="C13" s="3" t="s">
        <v>16</v>
      </c>
      <c r="D13" t="s">
        <v>52</v>
      </c>
      <c r="E13" s="3" t="s">
        <v>107</v>
      </c>
      <c r="F13" s="3" t="s">
        <v>10</v>
      </c>
      <c r="G13" s="3" t="s">
        <v>108</v>
      </c>
      <c r="H13" s="3" t="s">
        <v>8</v>
      </c>
      <c r="I13" s="3" t="s">
        <v>14</v>
      </c>
      <c r="J13" s="3" t="s">
        <v>57</v>
      </c>
      <c r="K13" s="3" t="s">
        <v>51</v>
      </c>
      <c r="L13" s="3" t="s">
        <v>24</v>
      </c>
      <c r="M13">
        <v>1</v>
      </c>
    </row>
    <row r="14" spans="1:13" x14ac:dyDescent="0.25">
      <c r="A14" s="2">
        <v>46191</v>
      </c>
      <c r="B14" s="1" t="str">
        <f ca="1">IF(Información1[[#This Row],[Fecha]]='Ajuste de fechas'!$A$2,"Día actual","Día anterior")</f>
        <v>Día anterior</v>
      </c>
      <c r="C14" s="3" t="s">
        <v>16</v>
      </c>
      <c r="D14" t="s">
        <v>52</v>
      </c>
      <c r="E14" s="3" t="s">
        <v>109</v>
      </c>
      <c r="F14" s="3" t="s">
        <v>11</v>
      </c>
      <c r="G14" s="3" t="s">
        <v>53</v>
      </c>
      <c r="H14" s="3" t="s">
        <v>8</v>
      </c>
      <c r="I14" s="3" t="s">
        <v>7</v>
      </c>
      <c r="J14" s="3" t="s">
        <v>56</v>
      </c>
      <c r="K14" s="3" t="s">
        <v>51</v>
      </c>
      <c r="L14" s="3" t="s">
        <v>24</v>
      </c>
      <c r="M14">
        <v>1</v>
      </c>
    </row>
    <row r="15" spans="1:13" x14ac:dyDescent="0.25">
      <c r="A15" s="2">
        <v>46191</v>
      </c>
      <c r="B15" s="1" t="str">
        <f ca="1">IF(Información1[[#This Row],[Fecha]]='Ajuste de fechas'!$A$2,"Día actual","Día anterior")</f>
        <v>Día anterior</v>
      </c>
      <c r="C15" s="3" t="s">
        <v>16</v>
      </c>
      <c r="D15" t="s">
        <v>52</v>
      </c>
      <c r="E15" s="3" t="s">
        <v>110</v>
      </c>
      <c r="F15" s="3" t="s">
        <v>35</v>
      </c>
      <c r="G15" s="3" t="s">
        <v>54</v>
      </c>
      <c r="H15" s="3" t="s">
        <v>8</v>
      </c>
      <c r="I15" s="3" t="s">
        <v>7</v>
      </c>
      <c r="J15" s="3" t="s">
        <v>55</v>
      </c>
      <c r="K15" s="3" t="s">
        <v>51</v>
      </c>
      <c r="L15" s="3" t="s">
        <v>111</v>
      </c>
      <c r="M15">
        <v>1</v>
      </c>
    </row>
    <row r="16" spans="1:13" x14ac:dyDescent="0.25">
      <c r="A16" s="2">
        <v>46191</v>
      </c>
      <c r="B16" s="1" t="str">
        <f ca="1">IF(Información1[[#This Row],[Fecha]]='Ajuste de fechas'!$A$2,"Día actual","Día anterior")</f>
        <v>Día anterior</v>
      </c>
      <c r="C16" s="3" t="s">
        <v>16</v>
      </c>
      <c r="D16" t="s">
        <v>52</v>
      </c>
      <c r="E16" s="3" t="s">
        <v>112</v>
      </c>
      <c r="F16" s="3" t="s">
        <v>89</v>
      </c>
      <c r="G16" s="3" t="s">
        <v>113</v>
      </c>
      <c r="H16" s="3" t="s">
        <v>8</v>
      </c>
      <c r="I16" s="3" t="s">
        <v>7</v>
      </c>
      <c r="J16" s="3" t="s">
        <v>55</v>
      </c>
      <c r="K16" s="3" t="s">
        <v>51</v>
      </c>
      <c r="L16" s="3" t="s">
        <v>24</v>
      </c>
      <c r="M16">
        <v>1</v>
      </c>
    </row>
    <row r="17" spans="1:13" x14ac:dyDescent="0.25">
      <c r="A17" s="2">
        <v>46191</v>
      </c>
      <c r="B17" s="1" t="str">
        <f ca="1">IF(Información1[[#This Row],[Fecha]]='Ajuste de fechas'!$A$2,"Día actual","Día anterior")</f>
        <v>Día anterior</v>
      </c>
      <c r="C17" s="3" t="s">
        <v>16</v>
      </c>
      <c r="D17" t="s">
        <v>52</v>
      </c>
      <c r="E17" s="3" t="s">
        <v>114</v>
      </c>
      <c r="F17" s="3" t="s">
        <v>43</v>
      </c>
      <c r="G17" s="3" t="s">
        <v>115</v>
      </c>
      <c r="H17" s="3" t="s">
        <v>8</v>
      </c>
      <c r="I17" s="3" t="s">
        <v>7</v>
      </c>
      <c r="J17" s="3" t="s">
        <v>55</v>
      </c>
      <c r="K17" s="3" t="s">
        <v>51</v>
      </c>
      <c r="L17" s="3" t="s">
        <v>24</v>
      </c>
      <c r="M17">
        <v>1</v>
      </c>
    </row>
    <row r="18" spans="1:13" x14ac:dyDescent="0.25">
      <c r="A18" s="2">
        <v>46191</v>
      </c>
      <c r="B18" s="1" t="str">
        <f ca="1">IF(Información1[[#This Row],[Fecha]]='Ajuste de fechas'!$A$2,"Día actual","Día anterior")</f>
        <v>Día anterior</v>
      </c>
      <c r="C18" s="3" t="s">
        <v>16</v>
      </c>
      <c r="D18" t="s">
        <v>52</v>
      </c>
      <c r="E18" s="3" t="s">
        <v>116</v>
      </c>
      <c r="F18" s="3" t="s">
        <v>6</v>
      </c>
      <c r="G18" s="3" t="s">
        <v>80</v>
      </c>
      <c r="H18" s="3" t="s">
        <v>8</v>
      </c>
      <c r="I18" s="3" t="s">
        <v>7</v>
      </c>
      <c r="J18" s="3" t="s">
        <v>55</v>
      </c>
      <c r="K18" s="3" t="s">
        <v>51</v>
      </c>
      <c r="L18" s="3" t="s">
        <v>24</v>
      </c>
      <c r="M18">
        <v>1</v>
      </c>
    </row>
    <row r="19" spans="1:13" x14ac:dyDescent="0.25">
      <c r="A19" s="2">
        <v>46191</v>
      </c>
      <c r="B19" s="1" t="str">
        <f ca="1">IF(Información1[[#This Row],[Fecha]]='Ajuste de fechas'!$A$2,"Día actual","Día anterior")</f>
        <v>Día anterior</v>
      </c>
      <c r="C19" s="3" t="s">
        <v>16</v>
      </c>
      <c r="D19" t="s">
        <v>52</v>
      </c>
      <c r="E19" s="3" t="s">
        <v>117</v>
      </c>
      <c r="F19" s="3" t="s">
        <v>9</v>
      </c>
      <c r="G19" s="3" t="s">
        <v>42</v>
      </c>
      <c r="H19" s="3" t="s">
        <v>8</v>
      </c>
      <c r="I19" s="3" t="s">
        <v>7</v>
      </c>
      <c r="J19" s="3" t="s">
        <v>55</v>
      </c>
      <c r="K19" s="3" t="s">
        <v>51</v>
      </c>
      <c r="L19" s="3" t="s">
        <v>24</v>
      </c>
      <c r="M19">
        <v>1</v>
      </c>
    </row>
    <row r="20" spans="1:13" x14ac:dyDescent="0.25">
      <c r="A20" s="2">
        <v>46191</v>
      </c>
      <c r="B20" s="1" t="str">
        <f ca="1">IF(Información1[[#This Row],[Fecha]]='Ajuste de fechas'!$A$2,"Día actual","Día anterior")</f>
        <v>Día anterior</v>
      </c>
      <c r="C20" s="3" t="s">
        <v>16</v>
      </c>
      <c r="D20" t="s">
        <v>52</v>
      </c>
      <c r="E20" s="3" t="s">
        <v>118</v>
      </c>
      <c r="F20" s="3" t="s">
        <v>89</v>
      </c>
      <c r="G20" s="3" t="s">
        <v>119</v>
      </c>
      <c r="H20" s="3" t="s">
        <v>8</v>
      </c>
      <c r="I20" s="3" t="s">
        <v>7</v>
      </c>
      <c r="J20" s="3" t="s">
        <v>55</v>
      </c>
      <c r="K20" s="3" t="s">
        <v>51</v>
      </c>
      <c r="L20" s="3" t="s">
        <v>24</v>
      </c>
      <c r="M20">
        <v>1</v>
      </c>
    </row>
    <row r="21" spans="1:13" x14ac:dyDescent="0.25">
      <c r="A21" s="2">
        <v>46191</v>
      </c>
      <c r="B21" s="1" t="str">
        <f ca="1">IF(Información1[[#This Row],[Fecha]]='Ajuste de fechas'!$A$2,"Día actual","Día anterior")</f>
        <v>Día anterior</v>
      </c>
      <c r="C21" s="3" t="s">
        <v>16</v>
      </c>
      <c r="D21" t="s">
        <v>52</v>
      </c>
      <c r="E21" s="3" t="s">
        <v>120</v>
      </c>
      <c r="F21" s="3" t="s">
        <v>15</v>
      </c>
      <c r="G21" s="3" t="s">
        <v>47</v>
      </c>
      <c r="H21" s="3" t="s">
        <v>8</v>
      </c>
      <c r="I21" s="3" t="s">
        <v>7</v>
      </c>
      <c r="J21" s="3" t="s">
        <v>55</v>
      </c>
      <c r="K21" s="3" t="s">
        <v>51</v>
      </c>
      <c r="L21" s="3" t="s">
        <v>24</v>
      </c>
      <c r="M21">
        <v>1</v>
      </c>
    </row>
    <row r="22" spans="1:13" x14ac:dyDescent="0.25">
      <c r="A22" s="2">
        <v>46191</v>
      </c>
      <c r="B22" s="1" t="str">
        <f ca="1">IF(Información1[[#This Row],[Fecha]]='Ajuste de fechas'!$A$2,"Día actual","Día anterior")</f>
        <v>Día anterior</v>
      </c>
      <c r="C22" s="3" t="s">
        <v>16</v>
      </c>
      <c r="D22" t="s">
        <v>52</v>
      </c>
      <c r="E22" s="3" t="s">
        <v>121</v>
      </c>
      <c r="F22" s="3" t="s">
        <v>15</v>
      </c>
      <c r="G22" s="3" t="s">
        <v>122</v>
      </c>
      <c r="H22" s="3" t="s">
        <v>8</v>
      </c>
      <c r="I22" s="3" t="s">
        <v>7</v>
      </c>
      <c r="J22" s="3" t="s">
        <v>55</v>
      </c>
      <c r="K22" s="3" t="s">
        <v>51</v>
      </c>
      <c r="L22" s="3" t="s">
        <v>24</v>
      </c>
      <c r="M22">
        <v>1</v>
      </c>
    </row>
    <row r="23" spans="1:13" x14ac:dyDescent="0.25">
      <c r="A23" s="2">
        <v>46191</v>
      </c>
      <c r="B23" s="1" t="str">
        <f ca="1">IF(Información1[[#This Row],[Fecha]]='Ajuste de fechas'!$A$2,"Día actual","Día anterior")</f>
        <v>Día anterior</v>
      </c>
      <c r="C23" s="3" t="s">
        <v>16</v>
      </c>
      <c r="D23" t="s">
        <v>52</v>
      </c>
      <c r="E23" s="3" t="s">
        <v>123</v>
      </c>
      <c r="F23" s="3" t="s">
        <v>10</v>
      </c>
      <c r="G23" s="3" t="s">
        <v>98</v>
      </c>
      <c r="H23" s="3" t="s">
        <v>8</v>
      </c>
      <c r="I23" s="3" t="s">
        <v>7</v>
      </c>
      <c r="J23" s="3" t="s">
        <v>57</v>
      </c>
      <c r="K23" s="3" t="s">
        <v>51</v>
      </c>
      <c r="L23" s="3" t="s">
        <v>24</v>
      </c>
      <c r="M23">
        <v>1</v>
      </c>
    </row>
    <row r="24" spans="1:13" x14ac:dyDescent="0.25">
      <c r="A24" s="2">
        <v>46191</v>
      </c>
      <c r="B24" s="1" t="str">
        <f ca="1">IF(Información1[[#This Row],[Fecha]]='Ajuste de fechas'!$A$2,"Día actual","Día anterior")</f>
        <v>Día anterior</v>
      </c>
      <c r="C24" s="3" t="s">
        <v>16</v>
      </c>
      <c r="D24" t="s">
        <v>52</v>
      </c>
      <c r="E24" s="3" t="s">
        <v>124</v>
      </c>
      <c r="F24" s="3" t="s">
        <v>15</v>
      </c>
      <c r="G24" s="3" t="s">
        <v>98</v>
      </c>
      <c r="H24" s="3" t="s">
        <v>8</v>
      </c>
      <c r="I24" s="3" t="s">
        <v>7</v>
      </c>
      <c r="J24" s="3" t="s">
        <v>55</v>
      </c>
      <c r="K24" s="3" t="s">
        <v>51</v>
      </c>
      <c r="L24" s="3" t="s">
        <v>24</v>
      </c>
      <c r="M24">
        <v>1</v>
      </c>
    </row>
    <row r="25" spans="1:13" x14ac:dyDescent="0.25">
      <c r="A25" s="2">
        <v>46191</v>
      </c>
      <c r="B25" s="1" t="str">
        <f ca="1">IF(Información1[[#This Row],[Fecha]]='Ajuste de fechas'!$A$2,"Día actual","Día anterior")</f>
        <v>Día anterior</v>
      </c>
      <c r="C25" s="3" t="s">
        <v>31</v>
      </c>
      <c r="D25" t="s">
        <v>33</v>
      </c>
      <c r="E25" s="3" t="s">
        <v>125</v>
      </c>
      <c r="F25" s="3" t="s">
        <v>15</v>
      </c>
      <c r="G25" s="3" t="s">
        <v>96</v>
      </c>
      <c r="H25" s="3" t="s">
        <v>8</v>
      </c>
      <c r="I25" s="3" t="s">
        <v>7</v>
      </c>
      <c r="J25" s="3" t="s">
        <v>55</v>
      </c>
      <c r="K25" s="3" t="s">
        <v>30</v>
      </c>
      <c r="L25" s="3" t="s">
        <v>24</v>
      </c>
      <c r="M25">
        <v>1</v>
      </c>
    </row>
    <row r="26" spans="1:13" x14ac:dyDescent="0.25">
      <c r="A26" s="2">
        <v>46191</v>
      </c>
      <c r="B26" s="1" t="str">
        <f ca="1">IF(Información1[[#This Row],[Fecha]]='Ajuste de fechas'!$A$2,"Día actual","Día anterior")</f>
        <v>Día anterior</v>
      </c>
      <c r="C26" s="3" t="s">
        <v>31</v>
      </c>
      <c r="D26" t="s">
        <v>33</v>
      </c>
      <c r="E26" s="3" t="s">
        <v>91</v>
      </c>
      <c r="F26" s="3" t="s">
        <v>92</v>
      </c>
      <c r="G26" s="3" t="s">
        <v>93</v>
      </c>
      <c r="H26" s="3" t="s">
        <v>8</v>
      </c>
      <c r="I26" s="3" t="s">
        <v>7</v>
      </c>
      <c r="J26" s="3" t="s">
        <v>55</v>
      </c>
      <c r="K26" s="3" t="s">
        <v>30</v>
      </c>
      <c r="L26" s="3" t="s">
        <v>26</v>
      </c>
      <c r="M26">
        <v>1</v>
      </c>
    </row>
    <row r="27" spans="1:13" x14ac:dyDescent="0.25">
      <c r="A27" s="2">
        <v>46191</v>
      </c>
      <c r="B27" s="1" t="str">
        <f ca="1">IF(Información1[[#This Row],[Fecha]]='Ajuste de fechas'!$A$2,"Día actual","Día anterior")</f>
        <v>Día anterior</v>
      </c>
      <c r="C27" s="3" t="s">
        <v>31</v>
      </c>
      <c r="D27" t="s">
        <v>33</v>
      </c>
      <c r="E27" s="3" t="s">
        <v>126</v>
      </c>
      <c r="F27" s="3" t="s">
        <v>17</v>
      </c>
      <c r="G27" s="3" t="s">
        <v>127</v>
      </c>
      <c r="H27" s="3" t="s">
        <v>8</v>
      </c>
      <c r="I27" s="3" t="s">
        <v>7</v>
      </c>
      <c r="J27" s="3" t="s">
        <v>55</v>
      </c>
      <c r="K27" s="3" t="s">
        <v>30</v>
      </c>
      <c r="L27" s="3" t="s">
        <v>26</v>
      </c>
      <c r="M27">
        <v>1</v>
      </c>
    </row>
    <row r="28" spans="1:13" x14ac:dyDescent="0.25">
      <c r="A28" s="2">
        <v>46191</v>
      </c>
      <c r="B28" s="1" t="str">
        <f ca="1">IF(Información1[[#This Row],[Fecha]]='Ajuste de fechas'!$A$2,"Día actual","Día anterior")</f>
        <v>Día anterior</v>
      </c>
      <c r="C28" s="3" t="s">
        <v>31</v>
      </c>
      <c r="D28" t="s">
        <v>33</v>
      </c>
      <c r="E28" s="3" t="s">
        <v>104</v>
      </c>
      <c r="F28" s="3" t="s">
        <v>61</v>
      </c>
      <c r="G28" s="3" t="s">
        <v>75</v>
      </c>
      <c r="H28" s="3" t="s">
        <v>8</v>
      </c>
      <c r="I28" s="3" t="s">
        <v>7</v>
      </c>
      <c r="J28" s="3" t="s">
        <v>55</v>
      </c>
      <c r="K28" s="3" t="s">
        <v>30</v>
      </c>
      <c r="L28" s="3" t="s">
        <v>26</v>
      </c>
      <c r="M28">
        <v>1</v>
      </c>
    </row>
    <row r="29" spans="1:13" x14ac:dyDescent="0.25">
      <c r="A29" s="2">
        <v>46191</v>
      </c>
      <c r="B29" s="1" t="str">
        <f ca="1">IF(Información1[[#This Row],[Fecha]]='Ajuste de fechas'!$A$2,"Día actual","Día anterior")</f>
        <v>Día anterior</v>
      </c>
      <c r="C29" s="3" t="s">
        <v>31</v>
      </c>
      <c r="D29" t="s">
        <v>33</v>
      </c>
      <c r="E29" s="3" t="s">
        <v>97</v>
      </c>
      <c r="F29" s="3" t="s">
        <v>15</v>
      </c>
      <c r="G29" s="3" t="s">
        <v>98</v>
      </c>
      <c r="H29" s="3" t="s">
        <v>8</v>
      </c>
      <c r="I29" s="3" t="s">
        <v>7</v>
      </c>
      <c r="J29" s="3" t="s">
        <v>55</v>
      </c>
      <c r="K29" s="3" t="s">
        <v>30</v>
      </c>
      <c r="L29" s="3" t="s">
        <v>26</v>
      </c>
      <c r="M29">
        <v>1</v>
      </c>
    </row>
    <row r="30" spans="1:13" x14ac:dyDescent="0.25">
      <c r="A30" s="2">
        <v>46191</v>
      </c>
      <c r="B30" s="1" t="str">
        <f ca="1">IF(Información1[[#This Row],[Fecha]]='Ajuste de fechas'!$A$2,"Día actual","Día anterior")</f>
        <v>Día anterior</v>
      </c>
      <c r="C30" s="3" t="s">
        <v>31</v>
      </c>
      <c r="D30" t="s">
        <v>33</v>
      </c>
      <c r="E30" s="3" t="s">
        <v>128</v>
      </c>
      <c r="F30" s="3" t="s">
        <v>6</v>
      </c>
      <c r="G30" s="3" t="s">
        <v>129</v>
      </c>
      <c r="H30" s="3" t="s">
        <v>8</v>
      </c>
      <c r="I30" s="3" t="s">
        <v>7</v>
      </c>
      <c r="J30" s="3" t="s">
        <v>55</v>
      </c>
      <c r="K30" s="3" t="s">
        <v>30</v>
      </c>
      <c r="L30" s="3" t="s">
        <v>26</v>
      </c>
      <c r="M30">
        <v>1</v>
      </c>
    </row>
    <row r="31" spans="1:13" x14ac:dyDescent="0.25">
      <c r="A31" s="2">
        <v>46191</v>
      </c>
      <c r="B31" s="1" t="str">
        <f ca="1">IF(Información1[[#This Row],[Fecha]]='Ajuste de fechas'!$A$2,"Día actual","Día anterior")</f>
        <v>Día anterior</v>
      </c>
      <c r="C31" s="3" t="s">
        <v>31</v>
      </c>
      <c r="D31" t="s">
        <v>33</v>
      </c>
      <c r="E31" s="3" t="s">
        <v>103</v>
      </c>
      <c r="F31" s="3" t="s">
        <v>6</v>
      </c>
      <c r="G31" s="3" t="s">
        <v>80</v>
      </c>
      <c r="H31" s="3" t="s">
        <v>8</v>
      </c>
      <c r="I31" s="3" t="s">
        <v>7</v>
      </c>
      <c r="J31" s="3" t="s">
        <v>55</v>
      </c>
      <c r="K31" s="3" t="s">
        <v>30</v>
      </c>
      <c r="L31" s="3" t="s">
        <v>26</v>
      </c>
      <c r="M31">
        <v>1</v>
      </c>
    </row>
    <row r="32" spans="1:13" x14ac:dyDescent="0.25">
      <c r="A32" s="2">
        <v>46191</v>
      </c>
      <c r="B32" s="1" t="str">
        <f ca="1">IF(Información1[[#This Row],[Fecha]]='Ajuste de fechas'!$A$2,"Día actual","Día anterior")</f>
        <v>Día anterior</v>
      </c>
      <c r="C32" s="3" t="s">
        <v>31</v>
      </c>
      <c r="D32" t="s">
        <v>33</v>
      </c>
      <c r="E32" s="3" t="s">
        <v>130</v>
      </c>
      <c r="F32" s="3" t="s">
        <v>9</v>
      </c>
      <c r="G32" s="3" t="s">
        <v>96</v>
      </c>
      <c r="H32" s="3" t="s">
        <v>8</v>
      </c>
      <c r="I32" s="3" t="s">
        <v>7</v>
      </c>
      <c r="J32" s="3" t="s">
        <v>55</v>
      </c>
      <c r="K32" s="3" t="s">
        <v>30</v>
      </c>
      <c r="L32" s="3" t="s">
        <v>24</v>
      </c>
      <c r="M32">
        <v>1</v>
      </c>
    </row>
    <row r="33" spans="1:13" x14ac:dyDescent="0.25">
      <c r="A33" s="2">
        <v>46191</v>
      </c>
      <c r="B33" s="1" t="str">
        <f ca="1">IF(Información1[[#This Row],[Fecha]]='Ajuste de fechas'!$A$2,"Día actual","Día anterior")</f>
        <v>Día anterior</v>
      </c>
      <c r="C33" s="3" t="s">
        <v>65</v>
      </c>
      <c r="D33" t="s">
        <v>66</v>
      </c>
      <c r="E33" s="3" t="s">
        <v>131</v>
      </c>
      <c r="F33" s="3" t="s">
        <v>11</v>
      </c>
      <c r="G33" s="3" t="s">
        <v>132</v>
      </c>
      <c r="H33" s="3" t="s">
        <v>8</v>
      </c>
      <c r="I33" s="3" t="s">
        <v>14</v>
      </c>
      <c r="J33" s="3" t="s">
        <v>56</v>
      </c>
      <c r="K33" s="3" t="s">
        <v>81</v>
      </c>
      <c r="L33" s="3" t="s">
        <v>25</v>
      </c>
      <c r="M33">
        <v>1</v>
      </c>
    </row>
    <row r="34" spans="1:13" x14ac:dyDescent="0.25">
      <c r="A34" s="2">
        <v>46191</v>
      </c>
      <c r="B34" s="1" t="str">
        <f ca="1">IF(Información1[[#This Row],[Fecha]]='Ajuste de fechas'!$A$2,"Día actual","Día anterior")</f>
        <v>Día anterior</v>
      </c>
      <c r="C34" s="3" t="s">
        <v>65</v>
      </c>
      <c r="D34" t="s">
        <v>66</v>
      </c>
      <c r="E34" s="3" t="s">
        <v>104</v>
      </c>
      <c r="F34" s="3" t="s">
        <v>61</v>
      </c>
      <c r="G34" s="3" t="s">
        <v>75</v>
      </c>
      <c r="H34" s="3" t="s">
        <v>8</v>
      </c>
      <c r="I34" s="3" t="s">
        <v>7</v>
      </c>
      <c r="J34" s="3" t="s">
        <v>55</v>
      </c>
      <c r="K34" s="3" t="s">
        <v>67</v>
      </c>
      <c r="L34" s="3" t="s">
        <v>26</v>
      </c>
      <c r="M34">
        <v>1</v>
      </c>
    </row>
    <row r="35" spans="1:13" x14ac:dyDescent="0.25">
      <c r="A35" s="2">
        <v>46191</v>
      </c>
      <c r="B35" s="1" t="str">
        <f ca="1">IF(Información1[[#This Row],[Fecha]]='Ajuste de fechas'!$A$2,"Día actual","Día anterior")</f>
        <v>Día anterior</v>
      </c>
      <c r="C35" s="3" t="s">
        <v>65</v>
      </c>
      <c r="D35" t="s">
        <v>66</v>
      </c>
      <c r="E35" s="3" t="s">
        <v>133</v>
      </c>
      <c r="F35" s="3" t="s">
        <v>10</v>
      </c>
      <c r="G35" s="3" t="s">
        <v>86</v>
      </c>
      <c r="H35" s="3" t="s">
        <v>8</v>
      </c>
      <c r="I35" s="3" t="s">
        <v>7</v>
      </c>
      <c r="J35" s="3" t="s">
        <v>57</v>
      </c>
      <c r="K35" s="3" t="s">
        <v>67</v>
      </c>
      <c r="L35" s="3" t="s">
        <v>79</v>
      </c>
      <c r="M35">
        <v>1</v>
      </c>
    </row>
    <row r="36" spans="1:13" x14ac:dyDescent="0.25">
      <c r="A36" s="2">
        <v>46191</v>
      </c>
      <c r="B36" s="1" t="str">
        <f ca="1">IF(Información1[[#This Row],[Fecha]]='Ajuste de fechas'!$A$2,"Día actual","Día anterior")</f>
        <v>Día anterior</v>
      </c>
      <c r="C36" s="3" t="s">
        <v>65</v>
      </c>
      <c r="D36" t="s">
        <v>66</v>
      </c>
      <c r="E36" s="3" t="s">
        <v>134</v>
      </c>
      <c r="F36" s="3" t="s">
        <v>34</v>
      </c>
      <c r="G36" s="3" t="s">
        <v>83</v>
      </c>
      <c r="H36" s="3" t="s">
        <v>8</v>
      </c>
      <c r="I36" s="3" t="s">
        <v>7</v>
      </c>
      <c r="J36" s="3" t="s">
        <v>13</v>
      </c>
      <c r="K36" s="3" t="s">
        <v>67</v>
      </c>
      <c r="L36" s="3" t="s">
        <v>24</v>
      </c>
      <c r="M36">
        <v>1</v>
      </c>
    </row>
    <row r="37" spans="1:13" x14ac:dyDescent="0.25">
      <c r="A37" s="2">
        <v>46191</v>
      </c>
      <c r="B37" s="1" t="str">
        <f ca="1">IF(Información1[[#This Row],[Fecha]]='Ajuste de fechas'!$A$2,"Día actual","Día anterior")</f>
        <v>Día anterior</v>
      </c>
      <c r="C37" s="3" t="s">
        <v>65</v>
      </c>
      <c r="D37" t="s">
        <v>66</v>
      </c>
      <c r="E37" s="3" t="s">
        <v>135</v>
      </c>
      <c r="F37" s="3" t="s">
        <v>11</v>
      </c>
      <c r="G37" s="3" t="s">
        <v>136</v>
      </c>
      <c r="H37" s="3" t="s">
        <v>8</v>
      </c>
      <c r="I37" s="3" t="s">
        <v>7</v>
      </c>
      <c r="J37" s="3" t="s">
        <v>56</v>
      </c>
      <c r="K37" s="3" t="s">
        <v>67</v>
      </c>
      <c r="L37" s="3" t="s">
        <v>24</v>
      </c>
      <c r="M37">
        <v>1</v>
      </c>
    </row>
    <row r="38" spans="1:13" x14ac:dyDescent="0.25">
      <c r="A38" s="2">
        <v>46191</v>
      </c>
      <c r="B38" s="1" t="str">
        <f ca="1">IF(Información1[[#This Row],[Fecha]]='Ajuste de fechas'!$A$2,"Día actual","Día anterior")</f>
        <v>Día anterior</v>
      </c>
      <c r="C38" s="3" t="s">
        <v>65</v>
      </c>
      <c r="D38" t="s">
        <v>66</v>
      </c>
      <c r="E38" s="3" t="s">
        <v>137</v>
      </c>
      <c r="F38" s="3" t="s">
        <v>138</v>
      </c>
      <c r="G38" s="3" t="s">
        <v>139</v>
      </c>
      <c r="H38" s="3" t="s">
        <v>8</v>
      </c>
      <c r="I38" s="3" t="s">
        <v>7</v>
      </c>
      <c r="J38" s="3" t="s">
        <v>55</v>
      </c>
      <c r="K38" s="3" t="s">
        <v>67</v>
      </c>
      <c r="L38" s="3" t="s">
        <v>24</v>
      </c>
      <c r="M38">
        <v>1</v>
      </c>
    </row>
    <row r="39" spans="1:13" x14ac:dyDescent="0.25">
      <c r="A39" s="2">
        <v>46191</v>
      </c>
      <c r="B39" s="1" t="str">
        <f ca="1">IF(Información1[[#This Row],[Fecha]]='Ajuste de fechas'!$A$2,"Día actual","Día anterior")</f>
        <v>Día anterior</v>
      </c>
      <c r="C39" s="3" t="s">
        <v>65</v>
      </c>
      <c r="D39" t="s">
        <v>66</v>
      </c>
      <c r="E39" s="3" t="s">
        <v>140</v>
      </c>
      <c r="F39" s="3" t="s">
        <v>11</v>
      </c>
      <c r="G39" s="3" t="s">
        <v>90</v>
      </c>
      <c r="H39" s="3" t="s">
        <v>8</v>
      </c>
      <c r="I39" s="3" t="s">
        <v>7</v>
      </c>
      <c r="J39" s="3" t="s">
        <v>56</v>
      </c>
      <c r="K39" s="3" t="s">
        <v>67</v>
      </c>
      <c r="L39" s="3" t="s">
        <v>24</v>
      </c>
      <c r="M39">
        <v>1</v>
      </c>
    </row>
    <row r="40" spans="1:13" x14ac:dyDescent="0.25">
      <c r="A40" s="2">
        <v>46191</v>
      </c>
      <c r="B40" s="1" t="str">
        <f ca="1">IF(Información1[[#This Row],[Fecha]]='Ajuste de fechas'!$A$2,"Día actual","Día anterior")</f>
        <v>Día anterior</v>
      </c>
      <c r="C40" s="3" t="s">
        <v>65</v>
      </c>
      <c r="D40" t="s">
        <v>66</v>
      </c>
      <c r="E40" s="3" t="s">
        <v>141</v>
      </c>
      <c r="F40" s="3" t="s">
        <v>142</v>
      </c>
      <c r="G40" s="3" t="s">
        <v>47</v>
      </c>
      <c r="H40" s="3" t="s">
        <v>8</v>
      </c>
      <c r="I40" s="3" t="s">
        <v>7</v>
      </c>
      <c r="J40" s="3" t="s">
        <v>55</v>
      </c>
      <c r="K40" s="3" t="s">
        <v>67</v>
      </c>
      <c r="L40" s="3" t="s">
        <v>24</v>
      </c>
      <c r="M40">
        <v>1</v>
      </c>
    </row>
    <row r="41" spans="1:13" x14ac:dyDescent="0.25">
      <c r="A41" s="2">
        <v>46191</v>
      </c>
      <c r="B41" s="1" t="str">
        <f ca="1">IF(Información1[[#This Row],[Fecha]]='Ajuste de fechas'!$A$2,"Día actual","Día anterior")</f>
        <v>Día anterior</v>
      </c>
      <c r="C41" s="3" t="s">
        <v>65</v>
      </c>
      <c r="D41" t="s">
        <v>66</v>
      </c>
      <c r="E41" s="3" t="s">
        <v>143</v>
      </c>
      <c r="F41" s="3" t="s">
        <v>10</v>
      </c>
      <c r="G41" s="3" t="s">
        <v>144</v>
      </c>
      <c r="H41" s="3" t="s">
        <v>8</v>
      </c>
      <c r="I41" s="3" t="s">
        <v>7</v>
      </c>
      <c r="J41" s="3" t="s">
        <v>57</v>
      </c>
      <c r="K41" s="3" t="s">
        <v>67</v>
      </c>
      <c r="L41" s="3" t="s">
        <v>24</v>
      </c>
      <c r="M41">
        <v>1</v>
      </c>
    </row>
    <row r="42" spans="1:13" x14ac:dyDescent="0.25">
      <c r="A42" s="2">
        <v>46191</v>
      </c>
      <c r="B42" s="1" t="str">
        <f ca="1">IF(Información1[[#This Row],[Fecha]]='Ajuste de fechas'!$A$2,"Día actual","Día anterior")</f>
        <v>Día anterior</v>
      </c>
      <c r="C42" s="3" t="s">
        <v>65</v>
      </c>
      <c r="D42" t="s">
        <v>66</v>
      </c>
      <c r="E42" s="3" t="s">
        <v>145</v>
      </c>
      <c r="F42" s="3" t="s">
        <v>82</v>
      </c>
      <c r="G42" s="3" t="s">
        <v>146</v>
      </c>
      <c r="H42" s="3" t="s">
        <v>8</v>
      </c>
      <c r="I42" s="3" t="s">
        <v>14</v>
      </c>
      <c r="J42" s="3" t="s">
        <v>55</v>
      </c>
      <c r="K42" s="3" t="s">
        <v>81</v>
      </c>
      <c r="L42" s="3" t="s">
        <v>25</v>
      </c>
      <c r="M42">
        <v>1</v>
      </c>
    </row>
    <row r="43" spans="1:13" x14ac:dyDescent="0.25">
      <c r="A43" s="2">
        <v>46191</v>
      </c>
      <c r="B43" s="1" t="str">
        <f ca="1">IF(Información1[[#This Row],[Fecha]]='Ajuste de fechas'!$A$2,"Día actual","Día anterior")</f>
        <v>Día anterior</v>
      </c>
      <c r="C43" s="3" t="s">
        <v>65</v>
      </c>
      <c r="D43" t="s">
        <v>66</v>
      </c>
      <c r="E43" s="3" t="s">
        <v>147</v>
      </c>
      <c r="F43" s="3" t="s">
        <v>10</v>
      </c>
      <c r="G43" s="3" t="s">
        <v>148</v>
      </c>
      <c r="H43" s="3" t="s">
        <v>8</v>
      </c>
      <c r="I43" s="3" t="s">
        <v>14</v>
      </c>
      <c r="J43" s="3" t="s">
        <v>57</v>
      </c>
      <c r="K43" s="3" t="s">
        <v>81</v>
      </c>
      <c r="L43" s="3" t="s">
        <v>25</v>
      </c>
      <c r="M43">
        <v>1</v>
      </c>
    </row>
    <row r="44" spans="1:13" x14ac:dyDescent="0.25">
      <c r="A44" s="2">
        <v>46191</v>
      </c>
      <c r="B44" s="1" t="str">
        <f ca="1">IF(Información1[[#This Row],[Fecha]]='Ajuste de fechas'!$A$2,"Día actual","Día anterior")</f>
        <v>Día anterior</v>
      </c>
      <c r="C44" s="3" t="s">
        <v>65</v>
      </c>
      <c r="D44" t="s">
        <v>66</v>
      </c>
      <c r="E44" s="3" t="s">
        <v>149</v>
      </c>
      <c r="F44" s="3" t="s">
        <v>10</v>
      </c>
      <c r="G44" s="3" t="s">
        <v>58</v>
      </c>
      <c r="H44" s="3" t="s">
        <v>8</v>
      </c>
      <c r="I44" s="3" t="s">
        <v>7</v>
      </c>
      <c r="J44" s="3" t="s">
        <v>57</v>
      </c>
      <c r="K44" s="3" t="s">
        <v>67</v>
      </c>
      <c r="L44" s="3" t="s">
        <v>24</v>
      </c>
      <c r="M44">
        <v>1</v>
      </c>
    </row>
    <row r="45" spans="1:13" x14ac:dyDescent="0.25">
      <c r="A45" s="2">
        <v>46191</v>
      </c>
      <c r="B45" s="1" t="str">
        <f ca="1">IF(Información1[[#This Row],[Fecha]]='Ajuste de fechas'!$A$2,"Día actual","Día anterior")</f>
        <v>Día anterior</v>
      </c>
      <c r="C45" s="3" t="s">
        <v>65</v>
      </c>
      <c r="D45" t="s">
        <v>66</v>
      </c>
      <c r="E45" s="3" t="s">
        <v>70</v>
      </c>
      <c r="F45" s="3" t="s">
        <v>10</v>
      </c>
      <c r="G45" s="3" t="s">
        <v>77</v>
      </c>
      <c r="H45" s="3" t="s">
        <v>8</v>
      </c>
      <c r="I45" s="3" t="s">
        <v>7</v>
      </c>
      <c r="J45" s="3" t="s">
        <v>57</v>
      </c>
      <c r="K45" s="3" t="s">
        <v>67</v>
      </c>
      <c r="L45" s="3" t="s">
        <v>24</v>
      </c>
      <c r="M45">
        <v>1</v>
      </c>
    </row>
    <row r="46" spans="1:13" x14ac:dyDescent="0.25">
      <c r="A46" s="2">
        <v>46191</v>
      </c>
      <c r="B46" s="1" t="str">
        <f ca="1">IF(Información1[[#This Row],[Fecha]]='Ajuste de fechas'!$A$2,"Día actual","Día anterior")</f>
        <v>Día anterior</v>
      </c>
      <c r="C46" s="3" t="s">
        <v>65</v>
      </c>
      <c r="D46" t="s">
        <v>66</v>
      </c>
      <c r="E46" s="3" t="s">
        <v>150</v>
      </c>
      <c r="F46" s="3" t="s">
        <v>10</v>
      </c>
      <c r="G46" s="3" t="s">
        <v>47</v>
      </c>
      <c r="H46" s="3" t="s">
        <v>8</v>
      </c>
      <c r="I46" s="3" t="s">
        <v>7</v>
      </c>
      <c r="J46" s="3" t="s">
        <v>57</v>
      </c>
      <c r="K46" s="3" t="s">
        <v>67</v>
      </c>
      <c r="L46" s="3" t="s">
        <v>24</v>
      </c>
      <c r="M46">
        <v>1</v>
      </c>
    </row>
    <row r="47" spans="1:13" x14ac:dyDescent="0.25">
      <c r="A47" s="2">
        <v>46191</v>
      </c>
      <c r="B47" s="1" t="str">
        <f ca="1">IF(Información1[[#This Row],[Fecha]]='Ajuste de fechas'!$A$2,"Día actual","Día anterior")</f>
        <v>Día anterior</v>
      </c>
      <c r="C47" s="3" t="s">
        <v>65</v>
      </c>
      <c r="D47" t="s">
        <v>66</v>
      </c>
      <c r="E47" s="3" t="s">
        <v>151</v>
      </c>
      <c r="F47" s="3" t="s">
        <v>13</v>
      </c>
      <c r="G47" s="3" t="s">
        <v>152</v>
      </c>
      <c r="H47" s="3" t="s">
        <v>8</v>
      </c>
      <c r="I47" s="3" t="s">
        <v>7</v>
      </c>
      <c r="J47" s="3" t="s">
        <v>13</v>
      </c>
      <c r="K47" s="3" t="s">
        <v>67</v>
      </c>
      <c r="L47" s="3" t="s">
        <v>24</v>
      </c>
      <c r="M47">
        <v>1</v>
      </c>
    </row>
    <row r="48" spans="1:13" x14ac:dyDescent="0.25">
      <c r="A48" s="2">
        <v>46191</v>
      </c>
      <c r="B48" s="1" t="str">
        <f ca="1">IF(Información1[[#This Row],[Fecha]]='Ajuste de fechas'!$A$2,"Día actual","Día anterior")</f>
        <v>Día anterior</v>
      </c>
      <c r="C48" s="3" t="s">
        <v>65</v>
      </c>
      <c r="D48" t="s">
        <v>66</v>
      </c>
      <c r="E48" s="3" t="s">
        <v>153</v>
      </c>
      <c r="F48" s="3" t="s">
        <v>69</v>
      </c>
      <c r="G48" s="3" t="s">
        <v>154</v>
      </c>
      <c r="H48" s="3" t="s">
        <v>8</v>
      </c>
      <c r="I48" s="3" t="s">
        <v>7</v>
      </c>
      <c r="J48" s="3" t="s">
        <v>55</v>
      </c>
      <c r="K48" s="3" t="s">
        <v>67</v>
      </c>
      <c r="L48" s="3" t="s">
        <v>24</v>
      </c>
      <c r="M48">
        <v>1</v>
      </c>
    </row>
    <row r="49" spans="1:13" x14ac:dyDescent="0.25">
      <c r="A49" s="2">
        <v>46191</v>
      </c>
      <c r="B49" s="1" t="str">
        <f ca="1">IF(Información1[[#This Row],[Fecha]]='Ajuste de fechas'!$A$2,"Día actual","Día anterior")</f>
        <v>Día anterior</v>
      </c>
      <c r="C49" s="3" t="s">
        <v>71</v>
      </c>
      <c r="D49" t="s">
        <v>72</v>
      </c>
      <c r="E49" s="3" t="s">
        <v>155</v>
      </c>
      <c r="F49" s="3" t="s">
        <v>15</v>
      </c>
      <c r="G49" s="3" t="s">
        <v>75</v>
      </c>
      <c r="H49" s="3" t="s">
        <v>64</v>
      </c>
      <c r="I49" s="3" t="s">
        <v>156</v>
      </c>
      <c r="J49" s="3" t="s">
        <v>55</v>
      </c>
      <c r="K49" s="3" t="s">
        <v>157</v>
      </c>
      <c r="L49" s="3" t="s">
        <v>25</v>
      </c>
      <c r="M49">
        <v>1</v>
      </c>
    </row>
    <row r="50" spans="1:13" x14ac:dyDescent="0.25">
      <c r="A50" s="2">
        <v>46191</v>
      </c>
      <c r="B50" s="1" t="str">
        <f ca="1">IF(Información1[[#This Row],[Fecha]]='Ajuste de fechas'!$A$2,"Día actual","Día anterior")</f>
        <v>Día anterior</v>
      </c>
      <c r="C50" s="3" t="s">
        <v>71</v>
      </c>
      <c r="D50" t="s">
        <v>72</v>
      </c>
      <c r="E50" s="3" t="s">
        <v>158</v>
      </c>
      <c r="F50" s="3" t="s">
        <v>34</v>
      </c>
      <c r="G50" s="3" t="s">
        <v>159</v>
      </c>
      <c r="H50" s="3" t="s">
        <v>64</v>
      </c>
      <c r="I50" s="3" t="s">
        <v>7</v>
      </c>
      <c r="J50" s="3" t="s">
        <v>13</v>
      </c>
      <c r="K50" s="3" t="s">
        <v>74</v>
      </c>
      <c r="L50" s="3" t="s">
        <v>24</v>
      </c>
      <c r="M50">
        <v>1</v>
      </c>
    </row>
    <row r="51" spans="1:13" x14ac:dyDescent="0.25">
      <c r="A51" s="2">
        <v>46191</v>
      </c>
      <c r="B51" s="1" t="str">
        <f ca="1">IF(Información1[[#This Row],[Fecha]]='Ajuste de fechas'!$A$2,"Día actual","Día anterior")</f>
        <v>Día anterior</v>
      </c>
      <c r="C51" s="3" t="s">
        <v>71</v>
      </c>
      <c r="D51" t="s">
        <v>72</v>
      </c>
      <c r="E51" s="3" t="s">
        <v>103</v>
      </c>
      <c r="F51" s="3" t="s">
        <v>6</v>
      </c>
      <c r="G51" s="3" t="s">
        <v>80</v>
      </c>
      <c r="H51" s="3" t="s">
        <v>64</v>
      </c>
      <c r="I51" s="3" t="s">
        <v>7</v>
      </c>
      <c r="J51" s="3" t="s">
        <v>55</v>
      </c>
      <c r="K51" s="3" t="s">
        <v>74</v>
      </c>
      <c r="L51" s="3" t="s">
        <v>26</v>
      </c>
      <c r="M51">
        <v>1</v>
      </c>
    </row>
    <row r="52" spans="1:13" x14ac:dyDescent="0.25">
      <c r="A52" s="2">
        <v>46191</v>
      </c>
      <c r="B52" s="1" t="str">
        <f ca="1">IF(Información1[[#This Row],[Fecha]]='Ajuste de fechas'!$A$2,"Día actual","Día anterior")</f>
        <v>Día anterior</v>
      </c>
      <c r="C52" s="3" t="s">
        <v>71</v>
      </c>
      <c r="D52" t="s">
        <v>72</v>
      </c>
      <c r="E52" s="3" t="s">
        <v>160</v>
      </c>
      <c r="F52" s="3" t="s">
        <v>10</v>
      </c>
      <c r="G52" s="3" t="s">
        <v>161</v>
      </c>
      <c r="H52" s="3" t="s">
        <v>64</v>
      </c>
      <c r="I52" s="3" t="s">
        <v>7</v>
      </c>
      <c r="J52" s="3" t="s">
        <v>57</v>
      </c>
      <c r="K52" s="3" t="s">
        <v>74</v>
      </c>
      <c r="L52" s="3" t="s">
        <v>24</v>
      </c>
      <c r="M52">
        <v>1</v>
      </c>
    </row>
    <row r="53" spans="1:13" x14ac:dyDescent="0.25">
      <c r="A53" s="2">
        <v>46191</v>
      </c>
      <c r="B53" s="1" t="str">
        <f ca="1">IF(Información1[[#This Row],[Fecha]]='Ajuste de fechas'!$A$2,"Día actual","Día anterior")</f>
        <v>Día anterior</v>
      </c>
      <c r="C53" s="3" t="s">
        <v>71</v>
      </c>
      <c r="D53" t="s">
        <v>72</v>
      </c>
      <c r="E53" s="3" t="s">
        <v>162</v>
      </c>
      <c r="F53" s="3" t="s">
        <v>6</v>
      </c>
      <c r="G53" s="3" t="s">
        <v>163</v>
      </c>
      <c r="H53" s="3" t="s">
        <v>64</v>
      </c>
      <c r="I53" s="3" t="s">
        <v>14</v>
      </c>
      <c r="J53" s="3" t="s">
        <v>55</v>
      </c>
      <c r="K53" s="3" t="s">
        <v>81</v>
      </c>
      <c r="L53" s="3" t="s">
        <v>25</v>
      </c>
      <c r="M53">
        <v>1</v>
      </c>
    </row>
    <row r="54" spans="1:13" x14ac:dyDescent="0.25">
      <c r="A54" s="2">
        <v>46191</v>
      </c>
      <c r="B54" s="1" t="str">
        <f ca="1">IF(Información1[[#This Row],[Fecha]]='Ajuste de fechas'!$A$2,"Día actual","Día anterior")</f>
        <v>Día anterior</v>
      </c>
      <c r="C54" s="3" t="s">
        <v>71</v>
      </c>
      <c r="D54" t="s">
        <v>72</v>
      </c>
      <c r="E54" s="3" t="s">
        <v>164</v>
      </c>
      <c r="F54" s="3" t="s">
        <v>17</v>
      </c>
      <c r="G54" s="3" t="s">
        <v>127</v>
      </c>
      <c r="H54" s="3" t="s">
        <v>64</v>
      </c>
      <c r="I54" s="3" t="s">
        <v>7</v>
      </c>
      <c r="J54" s="3" t="s">
        <v>55</v>
      </c>
      <c r="K54" s="3" t="s">
        <v>74</v>
      </c>
      <c r="L54" s="3" t="s">
        <v>26</v>
      </c>
      <c r="M54">
        <v>1</v>
      </c>
    </row>
    <row r="55" spans="1:13" x14ac:dyDescent="0.25">
      <c r="A55" s="2">
        <v>46191</v>
      </c>
      <c r="B55" s="1" t="str">
        <f ca="1">IF(Información1[[#This Row],[Fecha]]='Ajuste de fechas'!$A$2,"Día actual","Día anterior")</f>
        <v>Día anterior</v>
      </c>
      <c r="C55" s="3" t="s">
        <v>71</v>
      </c>
      <c r="D55" t="s">
        <v>72</v>
      </c>
      <c r="E55" s="3" t="s">
        <v>104</v>
      </c>
      <c r="F55" s="3" t="s">
        <v>61</v>
      </c>
      <c r="G55" s="3" t="s">
        <v>75</v>
      </c>
      <c r="H55" s="3" t="s">
        <v>64</v>
      </c>
      <c r="I55" s="3" t="s">
        <v>7</v>
      </c>
      <c r="J55" s="3" t="s">
        <v>55</v>
      </c>
      <c r="K55" s="3" t="s">
        <v>74</v>
      </c>
      <c r="L55" s="3" t="s">
        <v>26</v>
      </c>
      <c r="M55">
        <v>1</v>
      </c>
    </row>
    <row r="56" spans="1:13" x14ac:dyDescent="0.25">
      <c r="A56" s="2">
        <v>46191</v>
      </c>
      <c r="B56" s="1" t="str">
        <f ca="1">IF(Información1[[#This Row],[Fecha]]='Ajuste de fechas'!$A$2,"Día actual","Día anterior")</f>
        <v>Día anterior</v>
      </c>
      <c r="C56" s="3" t="s">
        <v>71</v>
      </c>
      <c r="D56" t="s">
        <v>72</v>
      </c>
      <c r="E56" s="3" t="s">
        <v>165</v>
      </c>
      <c r="F56" s="3" t="s">
        <v>73</v>
      </c>
      <c r="G56" s="3" t="s">
        <v>166</v>
      </c>
      <c r="H56" s="3" t="s">
        <v>64</v>
      </c>
      <c r="I56" s="3" t="s">
        <v>7</v>
      </c>
      <c r="J56" s="3" t="s">
        <v>68</v>
      </c>
      <c r="K56" s="3" t="s">
        <v>74</v>
      </c>
      <c r="L56" s="3" t="s">
        <v>24</v>
      </c>
      <c r="M56">
        <v>1</v>
      </c>
    </row>
    <row r="57" spans="1:13" x14ac:dyDescent="0.25">
      <c r="A57" s="2">
        <v>46191</v>
      </c>
      <c r="B57" s="1" t="str">
        <f ca="1">IF(Información1[[#This Row],[Fecha]]='Ajuste de fechas'!$A$2,"Día actual","Día anterior")</f>
        <v>Día anterior</v>
      </c>
      <c r="C57" s="3" t="s">
        <v>71</v>
      </c>
      <c r="D57" t="s">
        <v>72</v>
      </c>
      <c r="E57" s="3" t="s">
        <v>97</v>
      </c>
      <c r="F57" s="3" t="s">
        <v>15</v>
      </c>
      <c r="G57" s="3" t="s">
        <v>98</v>
      </c>
      <c r="H57" s="3" t="s">
        <v>64</v>
      </c>
      <c r="I57" s="3" t="s">
        <v>7</v>
      </c>
      <c r="J57" s="3" t="s">
        <v>55</v>
      </c>
      <c r="K57" s="3" t="s">
        <v>74</v>
      </c>
      <c r="L57" s="3" t="s">
        <v>26</v>
      </c>
      <c r="M57">
        <v>1</v>
      </c>
    </row>
    <row r="58" spans="1:13" x14ac:dyDescent="0.25">
      <c r="A58" s="2">
        <v>46191</v>
      </c>
      <c r="B58" s="1" t="str">
        <f ca="1">IF(Información1[[#This Row],[Fecha]]='Ajuste de fechas'!$A$2,"Día actual","Día anterior")</f>
        <v>Día anterior</v>
      </c>
      <c r="C58" s="3" t="s">
        <v>71</v>
      </c>
      <c r="D58" t="s">
        <v>72</v>
      </c>
      <c r="E58" s="3" t="s">
        <v>167</v>
      </c>
      <c r="F58" s="3" t="s">
        <v>10</v>
      </c>
      <c r="G58" s="3" t="s">
        <v>168</v>
      </c>
      <c r="H58" s="3" t="s">
        <v>64</v>
      </c>
      <c r="I58" s="3" t="s">
        <v>7</v>
      </c>
      <c r="J58" s="3" t="s">
        <v>57</v>
      </c>
      <c r="K58" s="3" t="s">
        <v>74</v>
      </c>
      <c r="L58" s="3" t="s">
        <v>24</v>
      </c>
      <c r="M58">
        <v>1</v>
      </c>
    </row>
    <row r="59" spans="1:13" x14ac:dyDescent="0.25">
      <c r="A59" s="2">
        <v>46191</v>
      </c>
      <c r="B59" s="1" t="str">
        <f ca="1">IF(Información1[[#This Row],[Fecha]]='Ajuste de fechas'!$A$2,"Día actual","Día anterior")</f>
        <v>Día anterior</v>
      </c>
      <c r="C59" s="3" t="s">
        <v>71</v>
      </c>
      <c r="D59" t="s">
        <v>72</v>
      </c>
      <c r="E59" s="3" t="s">
        <v>169</v>
      </c>
      <c r="F59" s="3" t="s">
        <v>9</v>
      </c>
      <c r="G59" s="3" t="s">
        <v>76</v>
      </c>
      <c r="H59" s="3" t="s">
        <v>64</v>
      </c>
      <c r="I59" s="3" t="s">
        <v>7</v>
      </c>
      <c r="J59" s="3" t="s">
        <v>55</v>
      </c>
      <c r="K59" s="3" t="s">
        <v>74</v>
      </c>
      <c r="L59" s="3" t="s">
        <v>24</v>
      </c>
      <c r="M59">
        <v>1</v>
      </c>
    </row>
    <row r="60" spans="1:13" x14ac:dyDescent="0.25">
      <c r="A60" s="2">
        <v>46191</v>
      </c>
      <c r="B60" s="1" t="str">
        <f ca="1">IF(Información1[[#This Row],[Fecha]]='Ajuste de fechas'!$A$2,"Día actual","Día anterior")</f>
        <v>Día anterior</v>
      </c>
      <c r="C60" s="3" t="s">
        <v>71</v>
      </c>
      <c r="D60" t="s">
        <v>72</v>
      </c>
      <c r="E60" s="3" t="s">
        <v>170</v>
      </c>
      <c r="F60" s="3" t="s">
        <v>10</v>
      </c>
      <c r="G60" s="3" t="s">
        <v>171</v>
      </c>
      <c r="H60" s="3" t="s">
        <v>64</v>
      </c>
      <c r="I60" s="3" t="s">
        <v>7</v>
      </c>
      <c r="J60" s="3" t="s">
        <v>57</v>
      </c>
      <c r="K60" s="3" t="s">
        <v>74</v>
      </c>
      <c r="L60" s="3" t="s">
        <v>24</v>
      </c>
      <c r="M60">
        <v>1</v>
      </c>
    </row>
    <row r="61" spans="1:13" x14ac:dyDescent="0.25">
      <c r="A61" s="2">
        <v>46191</v>
      </c>
      <c r="B61" s="1" t="str">
        <f ca="1">IF(Información1[[#This Row],[Fecha]]='Ajuste de fechas'!$A$2,"Día actual","Día anterior")</f>
        <v>Día anterior</v>
      </c>
      <c r="C61" s="3" t="s">
        <v>71</v>
      </c>
      <c r="D61" t="s">
        <v>72</v>
      </c>
      <c r="E61" s="3" t="s">
        <v>172</v>
      </c>
      <c r="F61" s="3" t="s">
        <v>10</v>
      </c>
      <c r="G61" s="3" t="s">
        <v>96</v>
      </c>
      <c r="H61" s="3" t="s">
        <v>64</v>
      </c>
      <c r="I61" s="3" t="s">
        <v>7</v>
      </c>
      <c r="J61" s="3" t="s">
        <v>57</v>
      </c>
      <c r="K61" s="3" t="s">
        <v>74</v>
      </c>
      <c r="L61" s="3" t="s">
        <v>24</v>
      </c>
      <c r="M61">
        <v>1</v>
      </c>
    </row>
    <row r="62" spans="1:13" x14ac:dyDescent="0.25">
      <c r="A62" s="2">
        <v>46191</v>
      </c>
      <c r="B62" s="1" t="str">
        <f ca="1">IF(Información1[[#This Row],[Fecha]]='Ajuste de fechas'!$A$2,"Día actual","Día anterior")</f>
        <v>Día anterior</v>
      </c>
      <c r="C62" s="3" t="s">
        <v>71</v>
      </c>
      <c r="D62" t="s">
        <v>72</v>
      </c>
      <c r="E62" s="3" t="s">
        <v>173</v>
      </c>
      <c r="F62" s="3" t="s">
        <v>9</v>
      </c>
      <c r="G62" s="3" t="s">
        <v>96</v>
      </c>
      <c r="H62" s="3" t="s">
        <v>64</v>
      </c>
      <c r="I62" s="3" t="s">
        <v>7</v>
      </c>
      <c r="J62" s="3" t="s">
        <v>55</v>
      </c>
      <c r="K62" s="3" t="s">
        <v>74</v>
      </c>
      <c r="L62" s="3" t="s">
        <v>24</v>
      </c>
      <c r="M62">
        <v>1</v>
      </c>
    </row>
    <row r="63" spans="1:13" x14ac:dyDescent="0.25">
      <c r="A63" s="2">
        <v>46191</v>
      </c>
      <c r="B63" s="1" t="str">
        <f ca="1">IF(Información1[[#This Row],[Fecha]]='Ajuste de fechas'!$A$2,"Día actual","Día anterior")</f>
        <v>Día anterior</v>
      </c>
      <c r="C63" s="3" t="s">
        <v>62</v>
      </c>
      <c r="D63" t="s">
        <v>63</v>
      </c>
      <c r="E63" s="3" t="s">
        <v>106</v>
      </c>
      <c r="F63" s="3" t="s">
        <v>12</v>
      </c>
      <c r="G63" s="3" t="s">
        <v>84</v>
      </c>
      <c r="H63" s="3" t="s">
        <v>64</v>
      </c>
      <c r="I63" s="3" t="s">
        <v>7</v>
      </c>
      <c r="J63" s="3" t="s">
        <v>55</v>
      </c>
      <c r="K63" s="3" t="s">
        <v>30</v>
      </c>
      <c r="L63" s="3" t="s">
        <v>26</v>
      </c>
      <c r="M63">
        <v>1</v>
      </c>
    </row>
    <row r="64" spans="1:13" x14ac:dyDescent="0.25">
      <c r="A64" s="2">
        <v>46191</v>
      </c>
      <c r="B64" s="1" t="str">
        <f ca="1">IF(Información1[[#This Row],[Fecha]]='Ajuste de fechas'!$A$2,"Día actual","Día anterior")</f>
        <v>Día anterior</v>
      </c>
      <c r="C64" s="3" t="s">
        <v>62</v>
      </c>
      <c r="D64" t="s">
        <v>63</v>
      </c>
      <c r="E64" s="3" t="s">
        <v>174</v>
      </c>
      <c r="F64" s="3" t="s">
        <v>12</v>
      </c>
      <c r="G64" s="3" t="s">
        <v>175</v>
      </c>
      <c r="H64" s="3" t="s">
        <v>64</v>
      </c>
      <c r="I64" s="3" t="s">
        <v>7</v>
      </c>
      <c r="J64" s="3" t="s">
        <v>55</v>
      </c>
      <c r="K64" s="3" t="s">
        <v>30</v>
      </c>
      <c r="L64" s="3" t="s">
        <v>26</v>
      </c>
      <c r="M64">
        <v>1</v>
      </c>
    </row>
    <row r="65" spans="1:13" x14ac:dyDescent="0.25">
      <c r="A65" s="2">
        <v>46191</v>
      </c>
      <c r="B65" s="1" t="str">
        <f ca="1">IF(Información1[[#This Row],[Fecha]]='Ajuste de fechas'!$A$2,"Día actual","Día anterior")</f>
        <v>Día anterior</v>
      </c>
      <c r="C65" s="3" t="s">
        <v>62</v>
      </c>
      <c r="D65" t="s">
        <v>63</v>
      </c>
      <c r="E65" s="3" t="s">
        <v>176</v>
      </c>
      <c r="F65" s="3" t="s">
        <v>12</v>
      </c>
      <c r="G65" s="3" t="s">
        <v>88</v>
      </c>
      <c r="H65" s="3" t="s">
        <v>64</v>
      </c>
      <c r="I65" s="3" t="s">
        <v>7</v>
      </c>
      <c r="J65" s="3" t="s">
        <v>55</v>
      </c>
      <c r="K65" s="3" t="s">
        <v>30</v>
      </c>
      <c r="L65" s="3" t="s">
        <v>26</v>
      </c>
      <c r="M65">
        <v>1</v>
      </c>
    </row>
    <row r="66" spans="1:13" x14ac:dyDescent="0.25">
      <c r="A66" s="2">
        <v>46191</v>
      </c>
      <c r="B66" s="1" t="str">
        <f ca="1">IF(Información1[[#This Row],[Fecha]]='Ajuste de fechas'!$A$2,"Día actual","Día anterior")</f>
        <v>Día anterior</v>
      </c>
      <c r="C66" s="3" t="s">
        <v>62</v>
      </c>
      <c r="D66" t="s">
        <v>63</v>
      </c>
      <c r="E66" s="3" t="s">
        <v>177</v>
      </c>
      <c r="F66" s="3" t="s">
        <v>59</v>
      </c>
      <c r="G66" s="3" t="s">
        <v>178</v>
      </c>
      <c r="H66" s="3" t="s">
        <v>64</v>
      </c>
      <c r="I66" s="3" t="s">
        <v>7</v>
      </c>
      <c r="J66" s="3" t="s">
        <v>55</v>
      </c>
      <c r="K66" s="3" t="s">
        <v>30</v>
      </c>
      <c r="L66" s="3" t="s">
        <v>26</v>
      </c>
      <c r="M66">
        <v>1</v>
      </c>
    </row>
    <row r="67" spans="1:13" x14ac:dyDescent="0.25">
      <c r="A67" s="2">
        <v>46191</v>
      </c>
      <c r="B67" s="1" t="str">
        <f ca="1">IF(Información1[[#This Row],[Fecha]]='Ajuste de fechas'!$A$2,"Día actual","Día anterior")</f>
        <v>Día anterior</v>
      </c>
      <c r="C67" s="3" t="s">
        <v>62</v>
      </c>
      <c r="D67" t="s">
        <v>63</v>
      </c>
      <c r="E67" s="3" t="s">
        <v>104</v>
      </c>
      <c r="F67" s="3" t="s">
        <v>61</v>
      </c>
      <c r="G67" s="3" t="s">
        <v>75</v>
      </c>
      <c r="H67" s="3" t="s">
        <v>64</v>
      </c>
      <c r="I67" s="3" t="s">
        <v>7</v>
      </c>
      <c r="J67" s="3" t="s">
        <v>55</v>
      </c>
      <c r="K67" s="3" t="s">
        <v>30</v>
      </c>
      <c r="L67" s="3" t="s">
        <v>26</v>
      </c>
      <c r="M67">
        <v>1</v>
      </c>
    </row>
    <row r="68" spans="1:13" x14ac:dyDescent="0.25">
      <c r="A68" s="2">
        <v>46191</v>
      </c>
      <c r="B68" s="1" t="str">
        <f ca="1">IF(Información1[[#This Row],[Fecha]]='Ajuste de fechas'!$A$2,"Día actual","Día anterior")</f>
        <v>Día anterior</v>
      </c>
      <c r="C68" s="3" t="s">
        <v>62</v>
      </c>
      <c r="D68" t="s">
        <v>63</v>
      </c>
      <c r="E68" s="3" t="s">
        <v>179</v>
      </c>
      <c r="F68" s="3" t="s">
        <v>43</v>
      </c>
      <c r="G68" s="3" t="s">
        <v>180</v>
      </c>
      <c r="H68" s="3" t="s">
        <v>64</v>
      </c>
      <c r="I68" s="3" t="s">
        <v>7</v>
      </c>
      <c r="J68" s="3" t="s">
        <v>55</v>
      </c>
      <c r="K68" s="3" t="s">
        <v>30</v>
      </c>
      <c r="L68" s="3" t="s">
        <v>26</v>
      </c>
      <c r="M68">
        <v>1</v>
      </c>
    </row>
    <row r="69" spans="1:13" x14ac:dyDescent="0.25">
      <c r="A69" s="2">
        <v>46191</v>
      </c>
      <c r="B69" s="1" t="str">
        <f ca="1">IF(Información1[[#This Row],[Fecha]]='Ajuste de fechas'!$A$2,"Día actual","Día anterior")</f>
        <v>Día anterior</v>
      </c>
      <c r="C69" s="3" t="s">
        <v>62</v>
      </c>
      <c r="D69" t="s">
        <v>63</v>
      </c>
      <c r="E69" s="3" t="s">
        <v>103</v>
      </c>
      <c r="F69" s="3" t="s">
        <v>6</v>
      </c>
      <c r="G69" s="3" t="s">
        <v>80</v>
      </c>
      <c r="H69" s="3" t="s">
        <v>64</v>
      </c>
      <c r="I69" s="3" t="s">
        <v>7</v>
      </c>
      <c r="J69" s="3" t="s">
        <v>55</v>
      </c>
      <c r="K69" s="3" t="s">
        <v>181</v>
      </c>
      <c r="L69" s="3" t="s">
        <v>26</v>
      </c>
      <c r="M69">
        <v>1</v>
      </c>
    </row>
    <row r="70" spans="1:13" x14ac:dyDescent="0.25">
      <c r="A70" s="2">
        <v>46191</v>
      </c>
      <c r="B70" s="1" t="str">
        <f ca="1">IF(Información1[[#This Row],[Fecha]]='Ajuste de fechas'!$A$2,"Día actual","Día anterior")</f>
        <v>Día anterior</v>
      </c>
      <c r="C70" s="3" t="s">
        <v>62</v>
      </c>
      <c r="D70" t="s">
        <v>63</v>
      </c>
      <c r="E70" s="3" t="s">
        <v>128</v>
      </c>
      <c r="F70" s="3" t="s">
        <v>6</v>
      </c>
      <c r="G70" s="3" t="s">
        <v>129</v>
      </c>
      <c r="H70" s="3" t="s">
        <v>64</v>
      </c>
      <c r="I70" s="3" t="s">
        <v>7</v>
      </c>
      <c r="J70" s="3" t="s">
        <v>55</v>
      </c>
      <c r="K70" s="3" t="s">
        <v>181</v>
      </c>
      <c r="L70" s="3" t="s">
        <v>26</v>
      </c>
      <c r="M70">
        <v>1</v>
      </c>
    </row>
    <row r="71" spans="1:13" x14ac:dyDescent="0.25">
      <c r="A71" s="2">
        <v>46191</v>
      </c>
      <c r="B71" s="1" t="str">
        <f ca="1">IF(Información1[[#This Row],[Fecha]]='Ajuste de fechas'!$A$2,"Día actual","Día anterior")</f>
        <v>Día anterior</v>
      </c>
      <c r="C71" s="3" t="s">
        <v>62</v>
      </c>
      <c r="D71" t="s">
        <v>63</v>
      </c>
      <c r="E71" s="3" t="s">
        <v>182</v>
      </c>
      <c r="F71" s="3" t="s">
        <v>89</v>
      </c>
      <c r="G71" s="3" t="s">
        <v>119</v>
      </c>
      <c r="H71" s="3" t="s">
        <v>64</v>
      </c>
      <c r="I71" s="3" t="s">
        <v>14</v>
      </c>
      <c r="J71" s="3" t="s">
        <v>55</v>
      </c>
      <c r="K71" s="3" t="s">
        <v>181</v>
      </c>
      <c r="L71" s="3" t="s">
        <v>24</v>
      </c>
      <c r="M71">
        <v>1</v>
      </c>
    </row>
    <row r="72" spans="1:13" x14ac:dyDescent="0.25">
      <c r="A72" s="2">
        <v>46191</v>
      </c>
      <c r="B72" s="1" t="str">
        <f ca="1">IF(Información1[[#This Row],[Fecha]]='Ajuste de fechas'!$A$2,"Día actual","Día anterior")</f>
        <v>Día anterior</v>
      </c>
      <c r="C72" s="3" t="s">
        <v>62</v>
      </c>
      <c r="D72" t="s">
        <v>63</v>
      </c>
      <c r="E72" s="3" t="s">
        <v>160</v>
      </c>
      <c r="F72" s="3" t="s">
        <v>10</v>
      </c>
      <c r="G72" s="3" t="s">
        <v>161</v>
      </c>
      <c r="H72" s="3" t="s">
        <v>64</v>
      </c>
      <c r="I72" s="3" t="s">
        <v>7</v>
      </c>
      <c r="J72" s="3" t="s">
        <v>57</v>
      </c>
      <c r="K72" s="3" t="s">
        <v>30</v>
      </c>
      <c r="L72" s="3" t="s">
        <v>24</v>
      </c>
      <c r="M72">
        <v>1</v>
      </c>
    </row>
    <row r="73" spans="1:13" x14ac:dyDescent="0.25">
      <c r="A73" s="2">
        <v>46191</v>
      </c>
      <c r="B73" s="1" t="str">
        <f ca="1">IF(Información1[[#This Row],[Fecha]]='Ajuste de fechas'!$A$2,"Día actual","Día anterior")</f>
        <v>Día anterior</v>
      </c>
      <c r="C73" s="3" t="s">
        <v>62</v>
      </c>
      <c r="D73" t="s">
        <v>63</v>
      </c>
      <c r="E73" s="3" t="s">
        <v>91</v>
      </c>
      <c r="F73" s="3" t="s">
        <v>92</v>
      </c>
      <c r="G73" s="3" t="s">
        <v>93</v>
      </c>
      <c r="H73" s="3" t="s">
        <v>64</v>
      </c>
      <c r="I73" s="3" t="s">
        <v>7</v>
      </c>
      <c r="J73" s="3" t="s">
        <v>55</v>
      </c>
      <c r="K73" s="3" t="s">
        <v>30</v>
      </c>
      <c r="L73" s="3" t="s">
        <v>26</v>
      </c>
      <c r="M73">
        <v>1</v>
      </c>
    </row>
    <row r="74" spans="1:13" x14ac:dyDescent="0.25">
      <c r="A74" s="2">
        <v>46191</v>
      </c>
      <c r="B74" s="1" t="str">
        <f ca="1">IF(Información1[[#This Row],[Fecha]]='Ajuste de fechas'!$A$2,"Día actual","Día anterior")</f>
        <v>Día anterior</v>
      </c>
      <c r="C74" s="3" t="s">
        <v>62</v>
      </c>
      <c r="D74" t="s">
        <v>63</v>
      </c>
      <c r="E74" s="3" t="s">
        <v>126</v>
      </c>
      <c r="F74" s="3" t="s">
        <v>17</v>
      </c>
      <c r="G74" s="3" t="s">
        <v>127</v>
      </c>
      <c r="H74" s="3" t="s">
        <v>64</v>
      </c>
      <c r="I74" s="3" t="s">
        <v>7</v>
      </c>
      <c r="J74" s="3" t="s">
        <v>55</v>
      </c>
      <c r="K74" s="3" t="s">
        <v>30</v>
      </c>
      <c r="L74" s="3" t="s">
        <v>26</v>
      </c>
      <c r="M74">
        <v>1</v>
      </c>
    </row>
    <row r="75" spans="1:13" x14ac:dyDescent="0.25">
      <c r="A75" s="2">
        <v>46191</v>
      </c>
      <c r="B75" s="1" t="str">
        <f ca="1">IF(Información1[[#This Row],[Fecha]]='Ajuste de fechas'!$A$2,"Día actual","Día anterior")</f>
        <v>Día anterior</v>
      </c>
      <c r="C75" s="3" t="s">
        <v>62</v>
      </c>
      <c r="D75" t="s">
        <v>63</v>
      </c>
      <c r="E75" s="3" t="s">
        <v>158</v>
      </c>
      <c r="F75" s="3" t="s">
        <v>34</v>
      </c>
      <c r="G75" s="3" t="s">
        <v>159</v>
      </c>
      <c r="H75" s="3" t="s">
        <v>64</v>
      </c>
      <c r="I75" s="3" t="s">
        <v>7</v>
      </c>
      <c r="J75" s="3" t="s">
        <v>13</v>
      </c>
      <c r="K75" s="3" t="s">
        <v>30</v>
      </c>
      <c r="L75" s="3" t="s">
        <v>24</v>
      </c>
      <c r="M75">
        <v>1</v>
      </c>
    </row>
    <row r="76" spans="1:13" x14ac:dyDescent="0.25">
      <c r="A76" s="2">
        <v>46191</v>
      </c>
      <c r="B76" s="1" t="str">
        <f ca="1">IF(Información1[[#This Row],[Fecha]]='Ajuste de fechas'!$A$2,"Día actual","Día anterior")</f>
        <v>Día anterior</v>
      </c>
      <c r="C76" s="3" t="s">
        <v>62</v>
      </c>
      <c r="D76" t="s">
        <v>63</v>
      </c>
      <c r="E76" s="3" t="s">
        <v>183</v>
      </c>
      <c r="F76" s="3" t="s">
        <v>34</v>
      </c>
      <c r="G76" s="3" t="s">
        <v>184</v>
      </c>
      <c r="H76" s="3" t="s">
        <v>64</v>
      </c>
      <c r="I76" s="3" t="s">
        <v>7</v>
      </c>
      <c r="J76" s="3" t="s">
        <v>13</v>
      </c>
      <c r="K76" s="3" t="s">
        <v>30</v>
      </c>
      <c r="L76" s="3" t="s">
        <v>24</v>
      </c>
      <c r="M76">
        <v>1</v>
      </c>
    </row>
    <row r="77" spans="1:13" x14ac:dyDescent="0.25">
      <c r="A77" s="2">
        <v>46192</v>
      </c>
      <c r="B77" s="1" t="str">
        <f ca="1">IF(Información1[[#This Row],[Fecha]]='Ajuste de fechas'!$A$2,"Día actual","Día anterior")</f>
        <v>Día actual</v>
      </c>
      <c r="C77" s="3" t="s">
        <v>65</v>
      </c>
      <c r="D77" t="s">
        <v>66</v>
      </c>
      <c r="E77" s="3" t="s">
        <v>185</v>
      </c>
      <c r="F77" s="3" t="s">
        <v>61</v>
      </c>
      <c r="G77" s="3" t="s">
        <v>186</v>
      </c>
      <c r="H77" s="3" t="s">
        <v>8</v>
      </c>
      <c r="I77" s="3" t="s">
        <v>7</v>
      </c>
      <c r="J77" s="3" t="s">
        <v>55</v>
      </c>
      <c r="K77" s="3" t="s">
        <v>67</v>
      </c>
      <c r="L77" s="3" t="s">
        <v>26</v>
      </c>
      <c r="M77">
        <v>1</v>
      </c>
    </row>
    <row r="78" spans="1:13" x14ac:dyDescent="0.25">
      <c r="A78" s="2">
        <v>46192</v>
      </c>
      <c r="B78" s="1" t="str">
        <f ca="1">IF(Información1[[#This Row],[Fecha]]='Ajuste de fechas'!$A$2,"Día actual","Día anterior")</f>
        <v>Día actual</v>
      </c>
      <c r="C78" s="3" t="s">
        <v>65</v>
      </c>
      <c r="D78" t="s">
        <v>66</v>
      </c>
      <c r="E78" s="3" t="s">
        <v>187</v>
      </c>
      <c r="F78" s="3" t="s">
        <v>10</v>
      </c>
      <c r="G78" s="3" t="s">
        <v>188</v>
      </c>
      <c r="H78" s="3" t="s">
        <v>8</v>
      </c>
      <c r="I78" s="3" t="s">
        <v>7</v>
      </c>
      <c r="J78" s="3" t="s">
        <v>57</v>
      </c>
      <c r="K78" s="3" t="s">
        <v>67</v>
      </c>
      <c r="L78" s="3" t="s">
        <v>24</v>
      </c>
      <c r="M78">
        <v>1</v>
      </c>
    </row>
    <row r="79" spans="1:13" x14ac:dyDescent="0.25">
      <c r="A79" s="2">
        <v>46192</v>
      </c>
      <c r="B79" s="1" t="str">
        <f ca="1">IF(Información1[[#This Row],[Fecha]]='Ajuste de fechas'!$A$2,"Día actual","Día anterior")</f>
        <v>Día actual</v>
      </c>
      <c r="C79" s="3" t="s">
        <v>65</v>
      </c>
      <c r="D79" t="s">
        <v>66</v>
      </c>
      <c r="E79" s="3" t="s">
        <v>189</v>
      </c>
      <c r="F79" s="3" t="s">
        <v>10</v>
      </c>
      <c r="G79" s="3" t="s">
        <v>77</v>
      </c>
      <c r="H79" s="3" t="s">
        <v>8</v>
      </c>
      <c r="I79" s="3" t="s">
        <v>7</v>
      </c>
      <c r="J79" s="3" t="s">
        <v>57</v>
      </c>
      <c r="K79" s="3" t="s">
        <v>67</v>
      </c>
      <c r="L79" s="3" t="s">
        <v>24</v>
      </c>
      <c r="M79">
        <v>1</v>
      </c>
    </row>
    <row r="80" spans="1:13" x14ac:dyDescent="0.25">
      <c r="A80" s="2">
        <v>46192</v>
      </c>
      <c r="B80" s="1" t="str">
        <f ca="1">IF(Información1[[#This Row],[Fecha]]='Ajuste de fechas'!$A$2,"Día actual","Día anterior")</f>
        <v>Día actual</v>
      </c>
      <c r="C80" s="3" t="s">
        <v>65</v>
      </c>
      <c r="D80" t="s">
        <v>66</v>
      </c>
      <c r="E80" s="3" t="s">
        <v>190</v>
      </c>
      <c r="F80" s="3" t="s">
        <v>10</v>
      </c>
      <c r="G80" s="3" t="s">
        <v>191</v>
      </c>
      <c r="H80" s="3" t="s">
        <v>8</v>
      </c>
      <c r="I80" s="3" t="s">
        <v>7</v>
      </c>
      <c r="J80" s="3" t="s">
        <v>57</v>
      </c>
      <c r="K80" s="3" t="s">
        <v>67</v>
      </c>
      <c r="L80" s="3" t="s">
        <v>24</v>
      </c>
      <c r="M80">
        <v>1</v>
      </c>
    </row>
    <row r="81" spans="1:13" x14ac:dyDescent="0.25">
      <c r="A81" s="2">
        <v>46192</v>
      </c>
      <c r="B81" s="1" t="str">
        <f ca="1">IF(Información1[[#This Row],[Fecha]]='Ajuste de fechas'!$A$2,"Día actual","Día anterior")</f>
        <v>Día actual</v>
      </c>
      <c r="C81" s="3" t="s">
        <v>65</v>
      </c>
      <c r="D81" t="s">
        <v>66</v>
      </c>
      <c r="E81" s="3" t="s">
        <v>192</v>
      </c>
      <c r="F81" s="3" t="s">
        <v>6</v>
      </c>
      <c r="G81" s="3" t="s">
        <v>193</v>
      </c>
      <c r="H81" s="3" t="s">
        <v>8</v>
      </c>
      <c r="I81" s="3" t="s">
        <v>7</v>
      </c>
      <c r="J81" s="3" t="s">
        <v>55</v>
      </c>
      <c r="K81" s="3" t="s">
        <v>67</v>
      </c>
      <c r="L81" s="3" t="s">
        <v>24</v>
      </c>
      <c r="M81">
        <v>1</v>
      </c>
    </row>
    <row r="82" spans="1:13" x14ac:dyDescent="0.25">
      <c r="A82" s="2">
        <v>46192</v>
      </c>
      <c r="B82" s="1" t="str">
        <f ca="1">IF(Información1[[#This Row],[Fecha]]='Ajuste de fechas'!$A$2,"Día actual","Día anterior")</f>
        <v>Día actual</v>
      </c>
      <c r="C82" s="3" t="s">
        <v>65</v>
      </c>
      <c r="D82" t="s">
        <v>66</v>
      </c>
      <c r="E82" s="3" t="s">
        <v>194</v>
      </c>
      <c r="F82" s="3" t="s">
        <v>69</v>
      </c>
      <c r="G82" s="3" t="s">
        <v>195</v>
      </c>
      <c r="H82" s="3" t="s">
        <v>8</v>
      </c>
      <c r="I82" s="3" t="s">
        <v>7</v>
      </c>
      <c r="J82" s="3" t="s">
        <v>55</v>
      </c>
      <c r="K82" s="3" t="s">
        <v>67</v>
      </c>
      <c r="L82" s="3" t="s">
        <v>24</v>
      </c>
      <c r="M82">
        <v>1</v>
      </c>
    </row>
    <row r="83" spans="1:13" x14ac:dyDescent="0.25">
      <c r="A83" s="2">
        <v>46192</v>
      </c>
      <c r="B83" s="1" t="str">
        <f ca="1">IF(Información1[[#This Row],[Fecha]]='Ajuste de fechas'!$A$2,"Día actual","Día anterior")</f>
        <v>Día actual</v>
      </c>
      <c r="C83" s="3" t="s">
        <v>65</v>
      </c>
      <c r="D83" t="s">
        <v>66</v>
      </c>
      <c r="E83" s="3" t="s">
        <v>196</v>
      </c>
      <c r="F83" s="3" t="s">
        <v>197</v>
      </c>
      <c r="G83" s="3" t="s">
        <v>198</v>
      </c>
      <c r="H83" s="3" t="s">
        <v>8</v>
      </c>
      <c r="I83" s="3" t="s">
        <v>7</v>
      </c>
      <c r="J83" s="3" t="s">
        <v>13</v>
      </c>
      <c r="K83" s="3" t="s">
        <v>67</v>
      </c>
      <c r="L83" s="3" t="s">
        <v>24</v>
      </c>
      <c r="M83">
        <v>1</v>
      </c>
    </row>
    <row r="84" spans="1:13" x14ac:dyDescent="0.25">
      <c r="A84" s="2">
        <v>46192</v>
      </c>
      <c r="B84" s="1" t="str">
        <f ca="1">IF(Información1[[#This Row],[Fecha]]='Ajuste de fechas'!$A$2,"Día actual","Día anterior")</f>
        <v>Día actual</v>
      </c>
      <c r="C84" s="3" t="s">
        <v>65</v>
      </c>
      <c r="D84" t="s">
        <v>66</v>
      </c>
      <c r="E84" s="3" t="s">
        <v>199</v>
      </c>
      <c r="F84" s="3" t="s">
        <v>89</v>
      </c>
      <c r="G84" s="3" t="s">
        <v>119</v>
      </c>
      <c r="H84" s="3" t="s">
        <v>8</v>
      </c>
      <c r="I84" s="3" t="s">
        <v>14</v>
      </c>
      <c r="J84" s="3" t="s">
        <v>55</v>
      </c>
      <c r="K84" s="3" t="s">
        <v>67</v>
      </c>
      <c r="L84" s="3" t="s">
        <v>24</v>
      </c>
      <c r="M84">
        <v>1</v>
      </c>
    </row>
    <row r="85" spans="1:13" x14ac:dyDescent="0.25">
      <c r="A85" s="2">
        <v>46192</v>
      </c>
      <c r="B85" s="1" t="str">
        <f ca="1">IF(Información1[[#This Row],[Fecha]]='Ajuste de fechas'!$A$2,"Día actual","Día anterior")</f>
        <v>Día actual</v>
      </c>
      <c r="C85" s="3" t="s">
        <v>65</v>
      </c>
      <c r="D85" t="s">
        <v>66</v>
      </c>
      <c r="E85" s="3" t="s">
        <v>200</v>
      </c>
      <c r="F85" s="3" t="s">
        <v>12</v>
      </c>
      <c r="G85" s="3" t="s">
        <v>201</v>
      </c>
      <c r="H85" s="3" t="s">
        <v>8</v>
      </c>
      <c r="I85" s="3" t="s">
        <v>7</v>
      </c>
      <c r="J85" s="3" t="s">
        <v>55</v>
      </c>
      <c r="K85" s="3" t="s">
        <v>67</v>
      </c>
      <c r="L85" s="3" t="s">
        <v>24</v>
      </c>
      <c r="M85">
        <v>1</v>
      </c>
    </row>
    <row r="86" spans="1:13" x14ac:dyDescent="0.25">
      <c r="A86" s="2">
        <v>46192</v>
      </c>
      <c r="B86" s="1" t="str">
        <f ca="1">IF(Información1[[#This Row],[Fecha]]='Ajuste de fechas'!$A$2,"Día actual","Día anterior")</f>
        <v>Día actual</v>
      </c>
      <c r="C86" s="3" t="s">
        <v>65</v>
      </c>
      <c r="D86" t="s">
        <v>66</v>
      </c>
      <c r="E86" s="3" t="s">
        <v>202</v>
      </c>
      <c r="F86" s="3" t="s">
        <v>11</v>
      </c>
      <c r="G86" s="3" t="s">
        <v>203</v>
      </c>
      <c r="H86" s="3" t="s">
        <v>8</v>
      </c>
      <c r="I86" s="3" t="s">
        <v>7</v>
      </c>
      <c r="J86" s="3" t="s">
        <v>56</v>
      </c>
      <c r="K86" s="3" t="s">
        <v>67</v>
      </c>
      <c r="L86" s="3" t="s">
        <v>24</v>
      </c>
      <c r="M86">
        <v>1</v>
      </c>
    </row>
    <row r="87" spans="1:13" x14ac:dyDescent="0.25">
      <c r="A87" s="2">
        <v>46192</v>
      </c>
      <c r="B87" s="1" t="str">
        <f ca="1">IF(Información1[[#This Row],[Fecha]]='Ajuste de fechas'!$A$2,"Día actual","Día anterior")</f>
        <v>Día actual</v>
      </c>
      <c r="C87" s="3" t="s">
        <v>65</v>
      </c>
      <c r="D87" t="s">
        <v>66</v>
      </c>
      <c r="E87" s="3" t="s">
        <v>204</v>
      </c>
      <c r="F87" s="3" t="s">
        <v>10</v>
      </c>
      <c r="G87" s="3" t="s">
        <v>205</v>
      </c>
      <c r="H87" s="3" t="s">
        <v>8</v>
      </c>
      <c r="I87" s="3" t="s">
        <v>7</v>
      </c>
      <c r="J87" s="3" t="s">
        <v>57</v>
      </c>
      <c r="K87" s="3" t="s">
        <v>67</v>
      </c>
      <c r="L87" s="3" t="s">
        <v>24</v>
      </c>
      <c r="M87">
        <v>1</v>
      </c>
    </row>
    <row r="88" spans="1:13" x14ac:dyDescent="0.25">
      <c r="A88" s="2">
        <v>46192</v>
      </c>
      <c r="B88" s="1" t="str">
        <f ca="1">IF(Información1[[#This Row],[Fecha]]='Ajuste de fechas'!$A$2,"Día actual","Día anterior")</f>
        <v>Día actual</v>
      </c>
      <c r="C88" s="3" t="s">
        <v>65</v>
      </c>
      <c r="D88" t="s">
        <v>66</v>
      </c>
      <c r="E88" s="3" t="s">
        <v>206</v>
      </c>
      <c r="F88" s="3" t="s">
        <v>207</v>
      </c>
      <c r="G88" s="3" t="s">
        <v>208</v>
      </c>
      <c r="H88" s="3" t="s">
        <v>8</v>
      </c>
      <c r="I88" s="3" t="s">
        <v>7</v>
      </c>
      <c r="J88" s="3" t="s">
        <v>55</v>
      </c>
      <c r="K88" s="3" t="s">
        <v>67</v>
      </c>
      <c r="L88" s="3" t="s">
        <v>26</v>
      </c>
      <c r="M88">
        <v>1</v>
      </c>
    </row>
    <row r="89" spans="1:13" x14ac:dyDescent="0.25">
      <c r="A89" s="2">
        <v>46192</v>
      </c>
      <c r="B89" s="1" t="str">
        <f ca="1">IF(Información1[[#This Row],[Fecha]]='Ajuste de fechas'!$A$2,"Día actual","Día anterior")</f>
        <v>Día actual</v>
      </c>
      <c r="C89" s="3" t="s">
        <v>65</v>
      </c>
      <c r="D89" t="s">
        <v>66</v>
      </c>
      <c r="E89" s="3" t="s">
        <v>209</v>
      </c>
      <c r="F89" s="3" t="s">
        <v>12</v>
      </c>
      <c r="G89" s="3" t="s">
        <v>210</v>
      </c>
      <c r="H89" s="3" t="s">
        <v>8</v>
      </c>
      <c r="I89" s="3" t="s">
        <v>7</v>
      </c>
      <c r="J89" s="3" t="s">
        <v>55</v>
      </c>
      <c r="K89" s="3" t="s">
        <v>67</v>
      </c>
      <c r="L89" s="3" t="s">
        <v>24</v>
      </c>
      <c r="M89">
        <v>1</v>
      </c>
    </row>
    <row r="90" spans="1:13" x14ac:dyDescent="0.25">
      <c r="A90" s="2">
        <v>46192</v>
      </c>
      <c r="B90" s="1" t="str">
        <f ca="1">IF(Información1[[#This Row],[Fecha]]='Ajuste de fechas'!$A$2,"Día actual","Día anterior")</f>
        <v>Día actual</v>
      </c>
      <c r="C90" s="3" t="s">
        <v>65</v>
      </c>
      <c r="D90" t="s">
        <v>66</v>
      </c>
      <c r="E90" s="3" t="s">
        <v>211</v>
      </c>
      <c r="F90" s="3" t="s">
        <v>17</v>
      </c>
      <c r="G90" s="3" t="s">
        <v>212</v>
      </c>
      <c r="H90" s="3" t="s">
        <v>8</v>
      </c>
      <c r="I90" s="3" t="s">
        <v>7</v>
      </c>
      <c r="J90" s="3" t="s">
        <v>55</v>
      </c>
      <c r="K90" s="3" t="s">
        <v>67</v>
      </c>
      <c r="L90" s="3" t="s">
        <v>24</v>
      </c>
      <c r="M90">
        <v>1</v>
      </c>
    </row>
    <row r="91" spans="1:13" x14ac:dyDescent="0.25">
      <c r="A91" s="2">
        <v>46192</v>
      </c>
      <c r="B91" s="1" t="str">
        <f ca="1">IF(Información1[[#This Row],[Fecha]]='Ajuste de fechas'!$A$2,"Día actual","Día anterior")</f>
        <v>Día actual</v>
      </c>
      <c r="C91" s="3" t="s">
        <v>65</v>
      </c>
      <c r="D91" t="s">
        <v>66</v>
      </c>
      <c r="E91" s="3" t="s">
        <v>213</v>
      </c>
      <c r="F91" s="3" t="s">
        <v>15</v>
      </c>
      <c r="G91" s="3" t="s">
        <v>214</v>
      </c>
      <c r="H91" s="3" t="s">
        <v>8</v>
      </c>
      <c r="I91" s="3" t="s">
        <v>7</v>
      </c>
      <c r="J91" s="3" t="s">
        <v>55</v>
      </c>
      <c r="K91" s="3" t="s">
        <v>67</v>
      </c>
      <c r="L91" s="3" t="s">
        <v>24</v>
      </c>
      <c r="M91">
        <v>1</v>
      </c>
    </row>
    <row r="92" spans="1:13" x14ac:dyDescent="0.25">
      <c r="A92" s="2">
        <v>46192</v>
      </c>
      <c r="B92" s="1" t="str">
        <f ca="1">IF(Información1[[#This Row],[Fecha]]='Ajuste de fechas'!$A$2,"Día actual","Día anterior")</f>
        <v>Día actual</v>
      </c>
      <c r="C92" s="3" t="s">
        <v>71</v>
      </c>
      <c r="D92" t="s">
        <v>72</v>
      </c>
      <c r="E92" s="3" t="s">
        <v>215</v>
      </c>
      <c r="F92" s="3" t="s">
        <v>89</v>
      </c>
      <c r="G92" s="3"/>
      <c r="H92" s="3" t="s">
        <v>64</v>
      </c>
      <c r="I92" s="3" t="s">
        <v>7</v>
      </c>
      <c r="J92" s="3" t="s">
        <v>55</v>
      </c>
      <c r="K92" s="3" t="s">
        <v>74</v>
      </c>
      <c r="L92" s="3" t="s">
        <v>24</v>
      </c>
      <c r="M92">
        <v>1</v>
      </c>
    </row>
    <row r="93" spans="1:13" x14ac:dyDescent="0.25">
      <c r="A93" s="2">
        <v>46192</v>
      </c>
      <c r="B93" s="1" t="str">
        <f ca="1">IF(Información1[[#This Row],[Fecha]]='Ajuste de fechas'!$A$2,"Día actual","Día anterior")</f>
        <v>Día actual</v>
      </c>
      <c r="C93" s="3" t="s">
        <v>71</v>
      </c>
      <c r="D93" t="s">
        <v>72</v>
      </c>
      <c r="E93" s="3" t="s">
        <v>216</v>
      </c>
      <c r="F93" s="3" t="s">
        <v>69</v>
      </c>
      <c r="G93" s="3" t="s">
        <v>217</v>
      </c>
      <c r="H93" s="3" t="s">
        <v>64</v>
      </c>
      <c r="I93" s="3" t="s">
        <v>14</v>
      </c>
      <c r="J93" s="3" t="s">
        <v>55</v>
      </c>
      <c r="K93" s="3" t="s">
        <v>74</v>
      </c>
      <c r="L93" s="3" t="s">
        <v>25</v>
      </c>
      <c r="M93">
        <v>1</v>
      </c>
    </row>
    <row r="94" spans="1:13" x14ac:dyDescent="0.25">
      <c r="A94" s="2">
        <v>46192</v>
      </c>
      <c r="B94" s="1" t="str">
        <f ca="1">IF(Información1[[#This Row],[Fecha]]='Ajuste de fechas'!$A$2,"Día actual","Día anterior")</f>
        <v>Día actual</v>
      </c>
      <c r="C94" s="3" t="s">
        <v>71</v>
      </c>
      <c r="D94" t="s">
        <v>72</v>
      </c>
      <c r="E94" s="3" t="s">
        <v>218</v>
      </c>
      <c r="F94" s="3" t="s">
        <v>69</v>
      </c>
      <c r="G94" s="3" t="s">
        <v>219</v>
      </c>
      <c r="H94" s="3" t="s">
        <v>64</v>
      </c>
      <c r="I94" s="3" t="s">
        <v>14</v>
      </c>
      <c r="J94" s="3" t="s">
        <v>55</v>
      </c>
      <c r="K94" s="3" t="s">
        <v>74</v>
      </c>
      <c r="L94" s="3" t="s">
        <v>25</v>
      </c>
      <c r="M94">
        <v>1</v>
      </c>
    </row>
    <row r="95" spans="1:13" x14ac:dyDescent="0.25">
      <c r="A95" s="2">
        <v>46192</v>
      </c>
      <c r="B95" s="1" t="str">
        <f ca="1">IF(Información1[[#This Row],[Fecha]]='Ajuste de fechas'!$A$2,"Día actual","Día anterior")</f>
        <v>Día actual</v>
      </c>
      <c r="C95" s="3" t="s">
        <v>71</v>
      </c>
      <c r="D95" t="s">
        <v>72</v>
      </c>
      <c r="E95" s="3" t="s">
        <v>220</v>
      </c>
      <c r="F95" s="3" t="s">
        <v>10</v>
      </c>
      <c r="G95" s="3" t="s">
        <v>221</v>
      </c>
      <c r="H95" s="3" t="s">
        <v>64</v>
      </c>
      <c r="I95" s="3" t="s">
        <v>7</v>
      </c>
      <c r="J95" s="3" t="s">
        <v>57</v>
      </c>
      <c r="K95" s="3" t="s">
        <v>74</v>
      </c>
      <c r="L95" s="3" t="s">
        <v>24</v>
      </c>
      <c r="M95">
        <v>1</v>
      </c>
    </row>
    <row r="96" spans="1:13" x14ac:dyDescent="0.25">
      <c r="A96" s="2">
        <v>46192</v>
      </c>
      <c r="B96" s="1" t="str">
        <f ca="1">IF(Información1[[#This Row],[Fecha]]='Ajuste de fechas'!$A$2,"Día actual","Día anterior")</f>
        <v>Día actual</v>
      </c>
      <c r="C96" s="3" t="s">
        <v>71</v>
      </c>
      <c r="D96" t="s">
        <v>72</v>
      </c>
      <c r="E96" s="3" t="s">
        <v>222</v>
      </c>
      <c r="F96" s="3" t="s">
        <v>9</v>
      </c>
      <c r="G96" s="3" t="s">
        <v>223</v>
      </c>
      <c r="H96" s="3" t="s">
        <v>64</v>
      </c>
      <c r="I96" s="3" t="s">
        <v>7</v>
      </c>
      <c r="J96" s="3" t="s">
        <v>55</v>
      </c>
      <c r="K96" s="3" t="s">
        <v>74</v>
      </c>
      <c r="L96" s="3" t="s">
        <v>26</v>
      </c>
      <c r="M96">
        <v>1</v>
      </c>
    </row>
    <row r="97" spans="1:13" x14ac:dyDescent="0.25">
      <c r="A97" s="2">
        <v>46192</v>
      </c>
      <c r="B97" s="1" t="str">
        <f ca="1">IF(Información1[[#This Row],[Fecha]]='Ajuste de fechas'!$A$2,"Día actual","Día anterior")</f>
        <v>Día actual</v>
      </c>
      <c r="C97" s="3" t="s">
        <v>71</v>
      </c>
      <c r="D97" t="s">
        <v>72</v>
      </c>
      <c r="E97" s="3" t="s">
        <v>224</v>
      </c>
      <c r="F97" s="3" t="s">
        <v>10</v>
      </c>
      <c r="G97" s="3" t="s">
        <v>191</v>
      </c>
      <c r="H97" s="3" t="s">
        <v>64</v>
      </c>
      <c r="I97" s="3" t="s">
        <v>7</v>
      </c>
      <c r="J97" s="3" t="s">
        <v>57</v>
      </c>
      <c r="K97" s="3" t="s">
        <v>74</v>
      </c>
      <c r="L97" s="3" t="s">
        <v>24</v>
      </c>
      <c r="M97">
        <v>1</v>
      </c>
    </row>
    <row r="98" spans="1:13" x14ac:dyDescent="0.25">
      <c r="A98" s="2">
        <v>46192</v>
      </c>
      <c r="B98" s="1" t="str">
        <f ca="1">IF(Información1[[#This Row],[Fecha]]='Ajuste de fechas'!$A$2,"Día actual","Día anterior")</f>
        <v>Día actual</v>
      </c>
      <c r="C98" s="3" t="s">
        <v>71</v>
      </c>
      <c r="D98" t="s">
        <v>72</v>
      </c>
      <c r="E98" s="3" t="s">
        <v>225</v>
      </c>
      <c r="F98" s="3" t="s">
        <v>10</v>
      </c>
      <c r="G98" s="3" t="s">
        <v>226</v>
      </c>
      <c r="H98" s="3" t="s">
        <v>64</v>
      </c>
      <c r="I98" s="3" t="s">
        <v>7</v>
      </c>
      <c r="J98" s="3" t="s">
        <v>57</v>
      </c>
      <c r="K98" s="3" t="s">
        <v>74</v>
      </c>
      <c r="L98" s="3" t="s">
        <v>24</v>
      </c>
      <c r="M98">
        <v>1</v>
      </c>
    </row>
    <row r="99" spans="1:13" x14ac:dyDescent="0.25">
      <c r="A99" s="2">
        <v>46192</v>
      </c>
      <c r="B99" s="1" t="str">
        <f ca="1">IF(Información1[[#This Row],[Fecha]]='Ajuste de fechas'!$A$2,"Día actual","Día anterior")</f>
        <v>Día actual</v>
      </c>
      <c r="C99" s="3" t="s">
        <v>71</v>
      </c>
      <c r="D99" t="s">
        <v>72</v>
      </c>
      <c r="E99" s="3" t="s">
        <v>227</v>
      </c>
      <c r="F99" s="3" t="s">
        <v>69</v>
      </c>
      <c r="G99" s="3" t="s">
        <v>154</v>
      </c>
      <c r="H99" s="3" t="s">
        <v>64</v>
      </c>
      <c r="I99" s="3" t="s">
        <v>7</v>
      </c>
      <c r="J99" s="3" t="s">
        <v>55</v>
      </c>
      <c r="K99" s="3" t="s">
        <v>74</v>
      </c>
      <c r="L99" s="3" t="s">
        <v>24</v>
      </c>
      <c r="M99">
        <v>1</v>
      </c>
    </row>
    <row r="100" spans="1:13" x14ac:dyDescent="0.25">
      <c r="A100" s="2">
        <v>46192</v>
      </c>
      <c r="B100" s="1" t="str">
        <f ca="1">IF(Información1[[#This Row],[Fecha]]='Ajuste de fechas'!$A$2,"Día actual","Día anterior")</f>
        <v>Día actual</v>
      </c>
      <c r="C100" s="3" t="s">
        <v>71</v>
      </c>
      <c r="D100" t="s">
        <v>72</v>
      </c>
      <c r="E100" s="3" t="s">
        <v>228</v>
      </c>
      <c r="F100" s="3" t="s">
        <v>9</v>
      </c>
      <c r="G100" s="3" t="s">
        <v>76</v>
      </c>
      <c r="H100" s="3" t="s">
        <v>64</v>
      </c>
      <c r="I100" s="3" t="s">
        <v>7</v>
      </c>
      <c r="J100" s="3" t="s">
        <v>55</v>
      </c>
      <c r="K100" s="3" t="s">
        <v>74</v>
      </c>
      <c r="L100" s="3" t="s">
        <v>25</v>
      </c>
      <c r="M100">
        <v>1</v>
      </c>
    </row>
    <row r="101" spans="1:13" x14ac:dyDescent="0.25">
      <c r="A101" s="2">
        <v>46192</v>
      </c>
      <c r="B101" s="1" t="str">
        <f ca="1">IF(Información1[[#This Row],[Fecha]]='Ajuste de fechas'!$A$2,"Día actual","Día anterior")</f>
        <v>Día actual</v>
      </c>
      <c r="C101" s="3" t="s">
        <v>71</v>
      </c>
      <c r="D101" t="s">
        <v>72</v>
      </c>
      <c r="E101" s="3" t="s">
        <v>229</v>
      </c>
      <c r="F101" s="3" t="s">
        <v>9</v>
      </c>
      <c r="G101" s="3" t="s">
        <v>58</v>
      </c>
      <c r="H101" s="3" t="s">
        <v>64</v>
      </c>
      <c r="I101" s="3" t="s">
        <v>7</v>
      </c>
      <c r="J101" s="3" t="s">
        <v>55</v>
      </c>
      <c r="K101" s="3" t="s">
        <v>74</v>
      </c>
      <c r="L101" s="3" t="s">
        <v>24</v>
      </c>
      <c r="M101">
        <v>1</v>
      </c>
    </row>
    <row r="102" spans="1:13" x14ac:dyDescent="0.25">
      <c r="A102" s="2">
        <v>46192</v>
      </c>
      <c r="B102" s="1" t="str">
        <f ca="1">IF(Información1[[#This Row],[Fecha]]='Ajuste de fechas'!$A$2,"Día actual","Día anterior")</f>
        <v>Día actual</v>
      </c>
      <c r="C102" s="3" t="s">
        <v>71</v>
      </c>
      <c r="D102" t="s">
        <v>72</v>
      </c>
      <c r="E102" s="3" t="s">
        <v>230</v>
      </c>
      <c r="F102" s="3" t="s">
        <v>37</v>
      </c>
      <c r="G102" s="3" t="s">
        <v>231</v>
      </c>
      <c r="H102" s="3" t="s">
        <v>64</v>
      </c>
      <c r="I102" s="3" t="s">
        <v>7</v>
      </c>
      <c r="J102" s="3" t="s">
        <v>55</v>
      </c>
      <c r="K102" s="3" t="s">
        <v>74</v>
      </c>
      <c r="L102" s="3" t="s">
        <v>26</v>
      </c>
      <c r="M102">
        <v>1</v>
      </c>
    </row>
    <row r="103" spans="1:13" x14ac:dyDescent="0.25">
      <c r="A103" s="2">
        <v>46192</v>
      </c>
      <c r="B103" s="1" t="str">
        <f ca="1">IF(Información1[[#This Row],[Fecha]]='Ajuste de fechas'!$A$2,"Día actual","Día anterior")</f>
        <v>Día actual</v>
      </c>
      <c r="C103" s="3" t="s">
        <v>71</v>
      </c>
      <c r="D103" t="s">
        <v>72</v>
      </c>
      <c r="E103" s="3" t="s">
        <v>206</v>
      </c>
      <c r="F103" s="3" t="s">
        <v>207</v>
      </c>
      <c r="G103" s="3" t="s">
        <v>208</v>
      </c>
      <c r="H103" s="3" t="s">
        <v>64</v>
      </c>
      <c r="I103" s="3" t="s">
        <v>7</v>
      </c>
      <c r="J103" s="3" t="s">
        <v>55</v>
      </c>
      <c r="K103" s="3" t="s">
        <v>74</v>
      </c>
      <c r="L103" s="3" t="s">
        <v>26</v>
      </c>
      <c r="M103">
        <v>1</v>
      </c>
    </row>
    <row r="104" spans="1:13" x14ac:dyDescent="0.25">
      <c r="A104" s="2">
        <v>46192</v>
      </c>
      <c r="B104" s="1" t="str">
        <f ca="1">IF(Información1[[#This Row],[Fecha]]='Ajuste de fechas'!$A$2,"Día actual","Día anterior")</f>
        <v>Día actual</v>
      </c>
      <c r="C104" s="3" t="s">
        <v>71</v>
      </c>
      <c r="D104" t="s">
        <v>72</v>
      </c>
      <c r="E104" s="3" t="s">
        <v>185</v>
      </c>
      <c r="F104" s="3" t="s">
        <v>61</v>
      </c>
      <c r="G104" s="3" t="s">
        <v>186</v>
      </c>
      <c r="H104" s="3" t="s">
        <v>64</v>
      </c>
      <c r="I104" s="3" t="s">
        <v>7</v>
      </c>
      <c r="J104" s="3" t="s">
        <v>55</v>
      </c>
      <c r="K104" s="3" t="s">
        <v>74</v>
      </c>
      <c r="L104" s="3" t="s">
        <v>26</v>
      </c>
      <c r="M104">
        <v>1</v>
      </c>
    </row>
    <row r="105" spans="1:13" x14ac:dyDescent="0.25">
      <c r="A105" s="2">
        <v>46192</v>
      </c>
      <c r="B105" s="1" t="str">
        <f ca="1">IF(Información1[[#This Row],[Fecha]]='Ajuste de fechas'!$A$2,"Día actual","Día anterior")</f>
        <v>Día actual</v>
      </c>
      <c r="C105" s="3" t="s">
        <v>71</v>
      </c>
      <c r="D105" t="s">
        <v>72</v>
      </c>
      <c r="E105" s="3" t="s">
        <v>232</v>
      </c>
      <c r="F105" s="3" t="s">
        <v>17</v>
      </c>
      <c r="G105" s="3" t="s">
        <v>212</v>
      </c>
      <c r="H105" s="3" t="s">
        <v>64</v>
      </c>
      <c r="I105" s="3" t="s">
        <v>7</v>
      </c>
      <c r="J105" s="3" t="s">
        <v>55</v>
      </c>
      <c r="K105" s="3" t="s">
        <v>74</v>
      </c>
      <c r="L105" s="3" t="s">
        <v>26</v>
      </c>
      <c r="M105">
        <v>1</v>
      </c>
    </row>
    <row r="106" spans="1:13" x14ac:dyDescent="0.25">
      <c r="A106" s="2">
        <v>46192</v>
      </c>
      <c r="B106" s="1" t="str">
        <f ca="1">IF(Información1[[#This Row],[Fecha]]='Ajuste de fechas'!$A$2,"Día actual","Día anterior")</f>
        <v>Día actual</v>
      </c>
      <c r="C106" s="3" t="s">
        <v>71</v>
      </c>
      <c r="D106" t="s">
        <v>72</v>
      </c>
      <c r="E106" s="3" t="s">
        <v>233</v>
      </c>
      <c r="F106" s="3" t="s">
        <v>15</v>
      </c>
      <c r="G106" s="3" t="s">
        <v>234</v>
      </c>
      <c r="H106" s="3" t="s">
        <v>64</v>
      </c>
      <c r="I106" s="3" t="s">
        <v>7</v>
      </c>
      <c r="J106" s="3" t="s">
        <v>55</v>
      </c>
      <c r="K106" s="3" t="s">
        <v>74</v>
      </c>
      <c r="L106" s="3" t="s">
        <v>24</v>
      </c>
      <c r="M106">
        <v>1</v>
      </c>
    </row>
    <row r="107" spans="1:13" x14ac:dyDescent="0.25">
      <c r="A107" s="2">
        <v>46192</v>
      </c>
      <c r="B107" s="1" t="str">
        <f ca="1">IF(Información1[[#This Row],[Fecha]]='Ajuste de fechas'!$A$2,"Día actual","Día anterior")</f>
        <v>Día actual</v>
      </c>
      <c r="C107" s="3" t="s">
        <v>31</v>
      </c>
      <c r="D107" t="s">
        <v>36</v>
      </c>
      <c r="E107" s="3" t="s">
        <v>235</v>
      </c>
      <c r="F107" s="3" t="s">
        <v>10</v>
      </c>
      <c r="G107" s="3" t="s">
        <v>77</v>
      </c>
      <c r="H107" s="3" t="s">
        <v>8</v>
      </c>
      <c r="I107" s="3" t="s">
        <v>156</v>
      </c>
      <c r="J107" s="3" t="s">
        <v>57</v>
      </c>
      <c r="K107" s="3" t="s">
        <v>236</v>
      </c>
      <c r="L107" s="3" t="s">
        <v>25</v>
      </c>
      <c r="M107">
        <v>1</v>
      </c>
    </row>
    <row r="108" spans="1:13" x14ac:dyDescent="0.25">
      <c r="A108" s="2">
        <v>46192</v>
      </c>
      <c r="B108" s="1" t="str">
        <f ca="1">IF(Información1[[#This Row],[Fecha]]='Ajuste de fechas'!$A$2,"Día actual","Día anterior")</f>
        <v>Día actual</v>
      </c>
      <c r="C108" s="3" t="s">
        <v>31</v>
      </c>
      <c r="D108" t="s">
        <v>36</v>
      </c>
      <c r="E108" s="3" t="s">
        <v>237</v>
      </c>
      <c r="F108" s="3" t="s">
        <v>10</v>
      </c>
      <c r="G108" s="3" t="s">
        <v>238</v>
      </c>
      <c r="H108" s="3" t="s">
        <v>8</v>
      </c>
      <c r="I108" s="3" t="s">
        <v>14</v>
      </c>
      <c r="J108" s="3" t="s">
        <v>57</v>
      </c>
      <c r="K108" s="3" t="s">
        <v>32</v>
      </c>
      <c r="L108" s="3" t="s">
        <v>25</v>
      </c>
      <c r="M108">
        <v>1</v>
      </c>
    </row>
    <row r="109" spans="1:13" x14ac:dyDescent="0.25">
      <c r="A109" s="2">
        <v>46192</v>
      </c>
      <c r="B109" s="1" t="str">
        <f ca="1">IF(Información1[[#This Row],[Fecha]]='Ajuste de fechas'!$A$2,"Día actual","Día anterior")</f>
        <v>Día actual</v>
      </c>
      <c r="C109" s="3" t="s">
        <v>31</v>
      </c>
      <c r="D109" t="s">
        <v>36</v>
      </c>
      <c r="E109" s="3" t="s">
        <v>239</v>
      </c>
      <c r="F109" s="3" t="s">
        <v>11</v>
      </c>
      <c r="G109" s="3" t="s">
        <v>240</v>
      </c>
      <c r="H109" s="3" t="s">
        <v>8</v>
      </c>
      <c r="I109" s="3" t="s">
        <v>7</v>
      </c>
      <c r="J109" s="3" t="s">
        <v>56</v>
      </c>
      <c r="K109" s="3" t="s">
        <v>32</v>
      </c>
      <c r="L109" s="3" t="s">
        <v>24</v>
      </c>
      <c r="M109">
        <v>1</v>
      </c>
    </row>
    <row r="110" spans="1:13" x14ac:dyDescent="0.25">
      <c r="A110" s="2">
        <v>46192</v>
      </c>
      <c r="B110" s="1" t="str">
        <f ca="1">IF(Información1[[#This Row],[Fecha]]='Ajuste de fechas'!$A$2,"Día actual","Día anterior")</f>
        <v>Día actual</v>
      </c>
      <c r="C110" s="3" t="s">
        <v>31</v>
      </c>
      <c r="D110" t="s">
        <v>36</v>
      </c>
      <c r="E110" s="3" t="s">
        <v>241</v>
      </c>
      <c r="F110" s="3" t="s">
        <v>10</v>
      </c>
      <c r="G110" s="3" t="s">
        <v>47</v>
      </c>
      <c r="H110" s="3" t="s">
        <v>8</v>
      </c>
      <c r="I110" s="3" t="s">
        <v>7</v>
      </c>
      <c r="J110" s="3" t="s">
        <v>57</v>
      </c>
      <c r="K110" s="3" t="s">
        <v>32</v>
      </c>
      <c r="L110" s="3" t="s">
        <v>79</v>
      </c>
      <c r="M110">
        <v>1</v>
      </c>
    </row>
    <row r="111" spans="1:13" x14ac:dyDescent="0.25">
      <c r="A111" s="2">
        <v>46192</v>
      </c>
      <c r="B111" s="1" t="str">
        <f ca="1">IF(Información1[[#This Row],[Fecha]]='Ajuste de fechas'!$A$2,"Día actual","Día anterior")</f>
        <v>Día actual</v>
      </c>
      <c r="C111" s="3" t="s">
        <v>38</v>
      </c>
      <c r="D111" t="s">
        <v>39</v>
      </c>
      <c r="E111" s="3" t="s">
        <v>242</v>
      </c>
      <c r="F111" s="3" t="s">
        <v>10</v>
      </c>
      <c r="G111" s="3" t="s">
        <v>243</v>
      </c>
      <c r="H111" s="3" t="s">
        <v>8</v>
      </c>
      <c r="I111" s="3" t="s">
        <v>7</v>
      </c>
      <c r="J111" s="3" t="s">
        <v>57</v>
      </c>
      <c r="K111" s="3" t="s">
        <v>40</v>
      </c>
      <c r="L111" s="3" t="s">
        <v>24</v>
      </c>
      <c r="M111">
        <v>1</v>
      </c>
    </row>
    <row r="112" spans="1:13" x14ac:dyDescent="0.25">
      <c r="A112" s="2">
        <v>46192</v>
      </c>
      <c r="B112" s="1" t="str">
        <f ca="1">IF(Información1[[#This Row],[Fecha]]='Ajuste de fechas'!$A$2,"Día actual","Día anterior")</f>
        <v>Día actual</v>
      </c>
      <c r="C112" s="3" t="s">
        <v>38</v>
      </c>
      <c r="D112" t="s">
        <v>39</v>
      </c>
      <c r="E112" s="3" t="s">
        <v>244</v>
      </c>
      <c r="F112" s="3" t="s">
        <v>43</v>
      </c>
      <c r="G112" s="3" t="s">
        <v>245</v>
      </c>
      <c r="H112" s="3" t="s">
        <v>8</v>
      </c>
      <c r="I112" s="3" t="s">
        <v>7</v>
      </c>
      <c r="J112" s="3" t="s">
        <v>55</v>
      </c>
      <c r="K112" s="3" t="s">
        <v>40</v>
      </c>
      <c r="L112" s="3" t="s">
        <v>26</v>
      </c>
      <c r="M112">
        <v>1</v>
      </c>
    </row>
    <row r="113" spans="1:13" x14ac:dyDescent="0.25">
      <c r="A113" s="2">
        <v>46192</v>
      </c>
      <c r="B113" s="1" t="str">
        <f ca="1">IF(Información1[[#This Row],[Fecha]]='Ajuste de fechas'!$A$2,"Día actual","Día anterior")</f>
        <v>Día actual</v>
      </c>
      <c r="C113" s="3" t="s">
        <v>38</v>
      </c>
      <c r="D113" t="s">
        <v>39</v>
      </c>
      <c r="E113" s="3" t="s">
        <v>246</v>
      </c>
      <c r="F113" s="3" t="s">
        <v>10</v>
      </c>
      <c r="G113" s="3" t="s">
        <v>240</v>
      </c>
      <c r="H113" s="3" t="s">
        <v>8</v>
      </c>
      <c r="I113" s="3" t="s">
        <v>156</v>
      </c>
      <c r="J113" s="3" t="s">
        <v>57</v>
      </c>
      <c r="K113" s="3" t="s">
        <v>40</v>
      </c>
      <c r="L113" s="3" t="s">
        <v>247</v>
      </c>
      <c r="M113">
        <v>1</v>
      </c>
    </row>
    <row r="114" spans="1:13" x14ac:dyDescent="0.25">
      <c r="A114" s="2">
        <v>46192</v>
      </c>
      <c r="B114" s="1" t="str">
        <f ca="1">IF(Información1[[#This Row],[Fecha]]='Ajuste de fechas'!$A$2,"Día actual","Día anterior")</f>
        <v>Día actual</v>
      </c>
      <c r="C114" s="3" t="s">
        <v>38</v>
      </c>
      <c r="D114" t="s">
        <v>39</v>
      </c>
      <c r="E114" s="3" t="s">
        <v>248</v>
      </c>
      <c r="F114" s="3" t="s">
        <v>37</v>
      </c>
      <c r="G114" s="3" t="s">
        <v>249</v>
      </c>
      <c r="H114" s="3" t="s">
        <v>8</v>
      </c>
      <c r="I114" s="3" t="s">
        <v>7</v>
      </c>
      <c r="J114" s="3" t="s">
        <v>55</v>
      </c>
      <c r="K114" s="3" t="s">
        <v>40</v>
      </c>
      <c r="L114" s="3" t="s">
        <v>26</v>
      </c>
      <c r="M114">
        <v>1</v>
      </c>
    </row>
    <row r="115" spans="1:13" x14ac:dyDescent="0.25">
      <c r="A115" s="2">
        <v>46192</v>
      </c>
      <c r="B115" s="1" t="str">
        <f ca="1">IF(Información1[[#This Row],[Fecha]]='Ajuste de fechas'!$A$2,"Día actual","Día anterior")</f>
        <v>Día actual</v>
      </c>
      <c r="C115" s="3" t="s">
        <v>38</v>
      </c>
      <c r="D115" t="s">
        <v>39</v>
      </c>
      <c r="E115" s="3" t="s">
        <v>222</v>
      </c>
      <c r="F115" s="3" t="s">
        <v>9</v>
      </c>
      <c r="G115" s="3" t="s">
        <v>223</v>
      </c>
      <c r="H115" s="3" t="s">
        <v>8</v>
      </c>
      <c r="I115" s="3" t="s">
        <v>7</v>
      </c>
      <c r="J115" s="3" t="s">
        <v>55</v>
      </c>
      <c r="K115" s="3" t="s">
        <v>40</v>
      </c>
      <c r="L115" s="3" t="s">
        <v>26</v>
      </c>
      <c r="M115">
        <v>1</v>
      </c>
    </row>
    <row r="116" spans="1:13" x14ac:dyDescent="0.25">
      <c r="A116" s="2">
        <v>46192</v>
      </c>
      <c r="B116" s="1" t="str">
        <f ca="1">IF(Información1[[#This Row],[Fecha]]='Ajuste de fechas'!$A$2,"Día actual","Día anterior")</f>
        <v>Día actual</v>
      </c>
      <c r="C116" s="3" t="s">
        <v>38</v>
      </c>
      <c r="D116" t="s">
        <v>39</v>
      </c>
      <c r="E116" s="3" t="s">
        <v>91</v>
      </c>
      <c r="F116" s="3" t="s">
        <v>92</v>
      </c>
      <c r="G116" s="3" t="s">
        <v>93</v>
      </c>
      <c r="H116" s="3" t="s">
        <v>8</v>
      </c>
      <c r="I116" s="3" t="s">
        <v>7</v>
      </c>
      <c r="J116" s="3" t="s">
        <v>55</v>
      </c>
      <c r="K116" s="3" t="s">
        <v>40</v>
      </c>
      <c r="L116" s="3" t="s">
        <v>26</v>
      </c>
      <c r="M116">
        <v>1</v>
      </c>
    </row>
    <row r="117" spans="1:13" x14ac:dyDescent="0.25">
      <c r="A117" s="2">
        <v>46192</v>
      </c>
      <c r="B117" s="1" t="str">
        <f ca="1">IF(Información1[[#This Row],[Fecha]]='Ajuste de fechas'!$A$2,"Día actual","Día anterior")</f>
        <v>Día actual</v>
      </c>
      <c r="C117" s="3" t="s">
        <v>38</v>
      </c>
      <c r="D117" t="s">
        <v>39</v>
      </c>
      <c r="E117" s="3" t="s">
        <v>206</v>
      </c>
      <c r="F117" s="3" t="s">
        <v>207</v>
      </c>
      <c r="G117" s="3" t="s">
        <v>208</v>
      </c>
      <c r="H117" s="3" t="s">
        <v>8</v>
      </c>
      <c r="I117" s="3" t="s">
        <v>7</v>
      </c>
      <c r="J117" s="3" t="s">
        <v>55</v>
      </c>
      <c r="K117" s="3" t="s">
        <v>40</v>
      </c>
      <c r="L117" s="3" t="s">
        <v>26</v>
      </c>
      <c r="M117">
        <v>1</v>
      </c>
    </row>
    <row r="118" spans="1:13" x14ac:dyDescent="0.25">
      <c r="A118" s="2">
        <v>46192</v>
      </c>
      <c r="B118" s="1" t="str">
        <f ca="1">IF(Información1[[#This Row],[Fecha]]='Ajuste de fechas'!$A$2,"Día actual","Día anterior")</f>
        <v>Día actual</v>
      </c>
      <c r="C118" s="3" t="s">
        <v>38</v>
      </c>
      <c r="D118" t="s">
        <v>39</v>
      </c>
      <c r="E118" s="3" t="s">
        <v>232</v>
      </c>
      <c r="F118" s="3" t="s">
        <v>17</v>
      </c>
      <c r="G118" s="3" t="s">
        <v>212</v>
      </c>
      <c r="H118" s="3" t="s">
        <v>8</v>
      </c>
      <c r="I118" s="3" t="s">
        <v>7</v>
      </c>
      <c r="J118" s="3" t="s">
        <v>55</v>
      </c>
      <c r="K118" s="3" t="s">
        <v>40</v>
      </c>
      <c r="L118" s="3" t="s">
        <v>26</v>
      </c>
      <c r="M118">
        <v>1</v>
      </c>
    </row>
    <row r="119" spans="1:13" x14ac:dyDescent="0.25">
      <c r="A119" s="2">
        <v>46192</v>
      </c>
      <c r="B119" s="1" t="str">
        <f ca="1">IF(Información1[[#This Row],[Fecha]]='Ajuste de fechas'!$A$2,"Día actual","Día anterior")</f>
        <v>Día actual</v>
      </c>
      <c r="C119" s="3" t="s">
        <v>38</v>
      </c>
      <c r="D119" t="s">
        <v>39</v>
      </c>
      <c r="E119" s="3" t="s">
        <v>185</v>
      </c>
      <c r="F119" s="3" t="s">
        <v>61</v>
      </c>
      <c r="G119" s="3" t="s">
        <v>186</v>
      </c>
      <c r="H119" s="3" t="s">
        <v>8</v>
      </c>
      <c r="I119" s="3" t="s">
        <v>7</v>
      </c>
      <c r="J119" s="3" t="s">
        <v>55</v>
      </c>
      <c r="K119" s="3" t="s">
        <v>40</v>
      </c>
      <c r="L119" s="3" t="s">
        <v>26</v>
      </c>
      <c r="M119">
        <v>1</v>
      </c>
    </row>
    <row r="120" spans="1:13" x14ac:dyDescent="0.25">
      <c r="A120" s="2">
        <v>46192</v>
      </c>
      <c r="B120" s="1" t="str">
        <f ca="1">IF(Información1[[#This Row],[Fecha]]='Ajuste de fechas'!$A$2,"Día actual","Día anterior")</f>
        <v>Día actual</v>
      </c>
      <c r="C120" s="3" t="s">
        <v>31</v>
      </c>
      <c r="D120" t="s">
        <v>33</v>
      </c>
      <c r="E120" s="3" t="s">
        <v>250</v>
      </c>
      <c r="F120" s="3" t="s">
        <v>10</v>
      </c>
      <c r="G120" s="3" t="s">
        <v>251</v>
      </c>
      <c r="H120" s="3" t="s">
        <v>8</v>
      </c>
      <c r="I120" s="3" t="s">
        <v>7</v>
      </c>
      <c r="J120" s="3" t="s">
        <v>57</v>
      </c>
      <c r="K120" s="3" t="s">
        <v>32</v>
      </c>
      <c r="L120" s="3" t="s">
        <v>24</v>
      </c>
      <c r="M120">
        <v>1</v>
      </c>
    </row>
    <row r="121" spans="1:13" x14ac:dyDescent="0.25">
      <c r="A121" s="2">
        <v>46192</v>
      </c>
      <c r="B121" s="1" t="str">
        <f ca="1">IF(Información1[[#This Row],[Fecha]]='Ajuste de fechas'!$A$2,"Día actual","Día anterior")</f>
        <v>Día actual</v>
      </c>
      <c r="C121" s="3" t="s">
        <v>31</v>
      </c>
      <c r="D121" t="s">
        <v>33</v>
      </c>
      <c r="E121" s="3" t="s">
        <v>252</v>
      </c>
      <c r="F121" s="3" t="s">
        <v>10</v>
      </c>
      <c r="G121" s="3" t="s">
        <v>191</v>
      </c>
      <c r="H121" s="3" t="s">
        <v>8</v>
      </c>
      <c r="I121" s="3" t="s">
        <v>7</v>
      </c>
      <c r="J121" s="3" t="s">
        <v>57</v>
      </c>
      <c r="K121" s="3" t="s">
        <v>32</v>
      </c>
      <c r="L121" s="3" t="s">
        <v>24</v>
      </c>
      <c r="M121">
        <v>1</v>
      </c>
    </row>
    <row r="122" spans="1:13" x14ac:dyDescent="0.25">
      <c r="A122" s="2">
        <v>46192</v>
      </c>
      <c r="B122" s="1" t="str">
        <f ca="1">IF(Información1[[#This Row],[Fecha]]='Ajuste de fechas'!$A$2,"Día actual","Día anterior")</f>
        <v>Día actual</v>
      </c>
      <c r="C122" s="3" t="s">
        <v>31</v>
      </c>
      <c r="D122" t="s">
        <v>33</v>
      </c>
      <c r="E122" s="3" t="s">
        <v>253</v>
      </c>
      <c r="F122" s="3" t="s">
        <v>10</v>
      </c>
      <c r="G122" s="3" t="s">
        <v>254</v>
      </c>
      <c r="H122" s="3" t="s">
        <v>8</v>
      </c>
      <c r="I122" s="3" t="s">
        <v>14</v>
      </c>
      <c r="J122" s="3" t="s">
        <v>57</v>
      </c>
      <c r="K122" s="3" t="s">
        <v>32</v>
      </c>
      <c r="L122" s="3" t="s">
        <v>24</v>
      </c>
      <c r="M122">
        <v>1</v>
      </c>
    </row>
    <row r="123" spans="1:13" x14ac:dyDescent="0.25">
      <c r="A123" s="2">
        <v>46192</v>
      </c>
      <c r="B123" s="1" t="str">
        <f ca="1">IF(Información1[[#This Row],[Fecha]]='Ajuste de fechas'!$A$2,"Día actual","Día anterior")</f>
        <v>Día actual</v>
      </c>
      <c r="C123" s="3" t="s">
        <v>31</v>
      </c>
      <c r="D123" t="s">
        <v>33</v>
      </c>
      <c r="E123" s="3" t="s">
        <v>255</v>
      </c>
      <c r="F123" s="3" t="s">
        <v>10</v>
      </c>
      <c r="G123" s="3" t="s">
        <v>256</v>
      </c>
      <c r="H123" s="3" t="s">
        <v>8</v>
      </c>
      <c r="I123" s="3" t="s">
        <v>7</v>
      </c>
      <c r="J123" s="3" t="s">
        <v>57</v>
      </c>
      <c r="K123" s="3" t="s">
        <v>32</v>
      </c>
      <c r="L123" s="3" t="s">
        <v>24</v>
      </c>
      <c r="M123">
        <v>1</v>
      </c>
    </row>
    <row r="124" spans="1:13" x14ac:dyDescent="0.25">
      <c r="A124" s="2">
        <v>46192</v>
      </c>
      <c r="B124" s="1" t="str">
        <f ca="1">IF(Información1[[#This Row],[Fecha]]='Ajuste de fechas'!$A$2,"Día actual","Día anterior")</f>
        <v>Día actual</v>
      </c>
      <c r="C124" s="3" t="s">
        <v>31</v>
      </c>
      <c r="D124" t="s">
        <v>33</v>
      </c>
      <c r="E124" s="3" t="s">
        <v>257</v>
      </c>
      <c r="F124" s="3" t="s">
        <v>15</v>
      </c>
      <c r="G124" s="3" t="s">
        <v>234</v>
      </c>
      <c r="H124" s="3" t="s">
        <v>8</v>
      </c>
      <c r="I124" s="3" t="s">
        <v>7</v>
      </c>
      <c r="J124" s="3" t="s">
        <v>55</v>
      </c>
      <c r="K124" s="3" t="s">
        <v>30</v>
      </c>
      <c r="L124" s="3" t="s">
        <v>24</v>
      </c>
      <c r="M124">
        <v>1</v>
      </c>
    </row>
    <row r="125" spans="1:13" x14ac:dyDescent="0.25">
      <c r="A125" s="2">
        <v>46192</v>
      </c>
      <c r="B125" s="1" t="str">
        <f ca="1">IF(Información1[[#This Row],[Fecha]]='Ajuste de fechas'!$A$2,"Día actual","Día anterior")</f>
        <v>Día actual</v>
      </c>
      <c r="C125" s="3" t="s">
        <v>31</v>
      </c>
      <c r="D125" t="s">
        <v>33</v>
      </c>
      <c r="E125" s="3" t="s">
        <v>258</v>
      </c>
      <c r="F125" s="3" t="s">
        <v>15</v>
      </c>
      <c r="G125" s="3" t="s">
        <v>259</v>
      </c>
      <c r="H125" s="3" t="s">
        <v>8</v>
      </c>
      <c r="I125" s="3" t="s">
        <v>7</v>
      </c>
      <c r="J125" s="3" t="s">
        <v>55</v>
      </c>
      <c r="K125" s="3" t="s">
        <v>30</v>
      </c>
      <c r="L125" s="3" t="s">
        <v>24</v>
      </c>
      <c r="M125">
        <v>1</v>
      </c>
    </row>
    <row r="126" spans="1:13" x14ac:dyDescent="0.25">
      <c r="A126" s="2">
        <v>46192</v>
      </c>
      <c r="B126" s="1" t="str">
        <f ca="1">IF(Información1[[#This Row],[Fecha]]='Ajuste de fechas'!$A$2,"Día actual","Día anterior")</f>
        <v>Día actual</v>
      </c>
      <c r="C126" s="3" t="s">
        <v>31</v>
      </c>
      <c r="D126" t="s">
        <v>33</v>
      </c>
      <c r="E126" s="3" t="s">
        <v>260</v>
      </c>
      <c r="F126" s="3" t="s">
        <v>61</v>
      </c>
      <c r="G126" s="3" t="s">
        <v>261</v>
      </c>
      <c r="H126" s="3" t="s">
        <v>8</v>
      </c>
      <c r="I126" s="3" t="s">
        <v>156</v>
      </c>
      <c r="J126" s="3" t="s">
        <v>55</v>
      </c>
      <c r="K126" s="3" t="s">
        <v>30</v>
      </c>
      <c r="L126" s="3" t="s">
        <v>25</v>
      </c>
      <c r="M126">
        <v>1</v>
      </c>
    </row>
    <row r="127" spans="1:13" x14ac:dyDescent="0.25">
      <c r="A127" s="2">
        <v>46192</v>
      </c>
      <c r="B127" s="1" t="str">
        <f ca="1">IF(Información1[[#This Row],[Fecha]]='Ajuste de fechas'!$A$2,"Día actual","Día anterior")</f>
        <v>Día actual</v>
      </c>
      <c r="C127" s="3" t="s">
        <v>31</v>
      </c>
      <c r="D127" t="s">
        <v>33</v>
      </c>
      <c r="E127" s="3" t="s">
        <v>248</v>
      </c>
      <c r="F127" s="3" t="s">
        <v>37</v>
      </c>
      <c r="G127" s="3" t="s">
        <v>249</v>
      </c>
      <c r="H127" s="3" t="s">
        <v>8</v>
      </c>
      <c r="I127" s="3" t="s">
        <v>7</v>
      </c>
      <c r="J127" s="3" t="s">
        <v>55</v>
      </c>
      <c r="K127" s="3" t="s">
        <v>30</v>
      </c>
      <c r="L127" s="3" t="s">
        <v>26</v>
      </c>
      <c r="M127">
        <v>1</v>
      </c>
    </row>
    <row r="128" spans="1:13" x14ac:dyDescent="0.25">
      <c r="A128" s="2">
        <v>46192</v>
      </c>
      <c r="B128" s="1" t="str">
        <f ca="1">IF(Información1[[#This Row],[Fecha]]='Ajuste de fechas'!$A$2,"Día actual","Día anterior")</f>
        <v>Día actual</v>
      </c>
      <c r="C128" s="3" t="s">
        <v>31</v>
      </c>
      <c r="D128" t="s">
        <v>33</v>
      </c>
      <c r="E128" s="3" t="s">
        <v>244</v>
      </c>
      <c r="F128" s="3" t="s">
        <v>43</v>
      </c>
      <c r="G128" s="3" t="s">
        <v>245</v>
      </c>
      <c r="H128" s="3" t="s">
        <v>8</v>
      </c>
      <c r="I128" s="3" t="s">
        <v>7</v>
      </c>
      <c r="J128" s="3" t="s">
        <v>55</v>
      </c>
      <c r="K128" s="3" t="s">
        <v>30</v>
      </c>
      <c r="L128" s="3" t="s">
        <v>26</v>
      </c>
      <c r="M128">
        <v>1</v>
      </c>
    </row>
    <row r="129" spans="1:13" x14ac:dyDescent="0.25">
      <c r="A129" s="2">
        <v>46192</v>
      </c>
      <c r="B129" s="1" t="str">
        <f ca="1">IF(Información1[[#This Row],[Fecha]]='Ajuste de fechas'!$A$2,"Día actual","Día anterior")</f>
        <v>Día actual</v>
      </c>
      <c r="C129" s="3" t="s">
        <v>31</v>
      </c>
      <c r="D129" t="s">
        <v>33</v>
      </c>
      <c r="E129" s="3" t="s">
        <v>94</v>
      </c>
      <c r="F129" s="3" t="s">
        <v>34</v>
      </c>
      <c r="G129" s="3" t="s">
        <v>83</v>
      </c>
      <c r="H129" s="3" t="s">
        <v>8</v>
      </c>
      <c r="I129" s="3" t="s">
        <v>7</v>
      </c>
      <c r="J129" s="3" t="s">
        <v>13</v>
      </c>
      <c r="K129" s="3" t="s">
        <v>30</v>
      </c>
      <c r="L129" s="3" t="s">
        <v>24</v>
      </c>
      <c r="M129">
        <v>1</v>
      </c>
    </row>
    <row r="130" spans="1:13" x14ac:dyDescent="0.25">
      <c r="A130" s="2">
        <v>46192</v>
      </c>
      <c r="B130" s="1" t="str">
        <f ca="1">IF(Información1[[#This Row],[Fecha]]='Ajuste de fechas'!$A$2,"Día actual","Día anterior")</f>
        <v>Día actual</v>
      </c>
      <c r="C130" s="3" t="s">
        <v>31</v>
      </c>
      <c r="D130" t="s">
        <v>33</v>
      </c>
      <c r="E130" s="3" t="s">
        <v>262</v>
      </c>
      <c r="F130" s="3" t="s">
        <v>41</v>
      </c>
      <c r="G130" s="3" t="s">
        <v>263</v>
      </c>
      <c r="H130" s="3" t="s">
        <v>8</v>
      </c>
      <c r="I130" s="3" t="s">
        <v>7</v>
      </c>
      <c r="J130" s="3" t="s">
        <v>55</v>
      </c>
      <c r="K130" s="3" t="s">
        <v>30</v>
      </c>
      <c r="L130" s="3" t="s">
        <v>26</v>
      </c>
      <c r="M130">
        <v>1</v>
      </c>
    </row>
    <row r="131" spans="1:13" x14ac:dyDescent="0.25">
      <c r="A131" s="2">
        <v>46192</v>
      </c>
      <c r="B131" s="1" t="str">
        <f ca="1">IF(Información1[[#This Row],[Fecha]]='Ajuste de fechas'!$A$2,"Día actual","Día anterior")</f>
        <v>Día actual</v>
      </c>
      <c r="C131" s="3" t="s">
        <v>16</v>
      </c>
      <c r="D131" t="s">
        <v>264</v>
      </c>
      <c r="E131" s="3" t="s">
        <v>85</v>
      </c>
      <c r="F131" s="3" t="s">
        <v>59</v>
      </c>
      <c r="G131" s="3" t="s">
        <v>60</v>
      </c>
      <c r="H131" s="3" t="s">
        <v>8</v>
      </c>
      <c r="I131" s="3" t="s">
        <v>7</v>
      </c>
      <c r="J131" s="3" t="s">
        <v>55</v>
      </c>
      <c r="K131" s="3" t="s">
        <v>265</v>
      </c>
      <c r="L131" s="3" t="s">
        <v>26</v>
      </c>
      <c r="M131">
        <v>1</v>
      </c>
    </row>
    <row r="132" spans="1:13" x14ac:dyDescent="0.25">
      <c r="A132" s="2">
        <v>46192</v>
      </c>
      <c r="B132" s="1" t="str">
        <f ca="1">IF(Información1[[#This Row],[Fecha]]='Ajuste de fechas'!$A$2,"Día actual","Día anterior")</f>
        <v>Día actual</v>
      </c>
      <c r="C132" s="3" t="s">
        <v>16</v>
      </c>
      <c r="D132" t="s">
        <v>264</v>
      </c>
      <c r="E132" s="3" t="s">
        <v>266</v>
      </c>
      <c r="F132" s="3" t="s">
        <v>10</v>
      </c>
      <c r="G132" s="3" t="s">
        <v>119</v>
      </c>
      <c r="H132" s="3" t="s">
        <v>8</v>
      </c>
      <c r="I132" s="3" t="s">
        <v>7</v>
      </c>
      <c r="J132" s="3" t="s">
        <v>57</v>
      </c>
      <c r="K132" s="3" t="s">
        <v>265</v>
      </c>
      <c r="L132" s="3" t="s">
        <v>24</v>
      </c>
      <c r="M132">
        <v>1</v>
      </c>
    </row>
    <row r="133" spans="1:13" x14ac:dyDescent="0.25">
      <c r="A133" s="2">
        <v>46192</v>
      </c>
      <c r="B133" s="1" t="str">
        <f ca="1">IF(Información1[[#This Row],[Fecha]]='Ajuste de fechas'!$A$2,"Día actual","Día anterior")</f>
        <v>Día actual</v>
      </c>
      <c r="C133" s="3" t="s">
        <v>16</v>
      </c>
      <c r="D133" t="s">
        <v>264</v>
      </c>
      <c r="E133" s="3" t="s">
        <v>267</v>
      </c>
      <c r="F133" s="3" t="s">
        <v>43</v>
      </c>
      <c r="G133" s="3" t="s">
        <v>245</v>
      </c>
      <c r="H133" s="3" t="s">
        <v>8</v>
      </c>
      <c r="I133" s="3" t="s">
        <v>7</v>
      </c>
      <c r="J133" s="3" t="s">
        <v>55</v>
      </c>
      <c r="K133" s="3" t="s">
        <v>265</v>
      </c>
      <c r="L133" s="3" t="s">
        <v>26</v>
      </c>
      <c r="M133">
        <v>1</v>
      </c>
    </row>
    <row r="134" spans="1:13" x14ac:dyDescent="0.25">
      <c r="A134" s="2">
        <v>46192</v>
      </c>
      <c r="B134" s="1" t="str">
        <f ca="1">IF(Información1[[#This Row],[Fecha]]='Ajuste de fechas'!$A$2,"Día actual","Día anterior")</f>
        <v>Día actual</v>
      </c>
      <c r="C134" s="3" t="s">
        <v>16</v>
      </c>
      <c r="D134" t="s">
        <v>264</v>
      </c>
      <c r="E134" s="3" t="s">
        <v>230</v>
      </c>
      <c r="F134" s="3" t="s">
        <v>37</v>
      </c>
      <c r="G134" s="3" t="s">
        <v>231</v>
      </c>
      <c r="H134" s="3" t="s">
        <v>8</v>
      </c>
      <c r="I134" s="3" t="s">
        <v>7</v>
      </c>
      <c r="J134" s="3" t="s">
        <v>55</v>
      </c>
      <c r="K134" s="3" t="s">
        <v>265</v>
      </c>
      <c r="L134" s="3" t="s">
        <v>26</v>
      </c>
      <c r="M134">
        <v>1</v>
      </c>
    </row>
    <row r="135" spans="1:13" x14ac:dyDescent="0.25">
      <c r="A135" s="2">
        <v>46192</v>
      </c>
      <c r="B135" s="1" t="str">
        <f ca="1">IF(Información1[[#This Row],[Fecha]]='Ajuste de fechas'!$A$2,"Día actual","Día anterior")</f>
        <v>Día actual</v>
      </c>
      <c r="C135" s="3" t="s">
        <v>16</v>
      </c>
      <c r="D135" t="s">
        <v>264</v>
      </c>
      <c r="E135" s="3" t="s">
        <v>268</v>
      </c>
      <c r="F135" s="3" t="s">
        <v>269</v>
      </c>
      <c r="G135" s="3" t="s">
        <v>259</v>
      </c>
      <c r="H135" s="3" t="s">
        <v>8</v>
      </c>
      <c r="I135" s="3" t="s">
        <v>7</v>
      </c>
      <c r="J135" s="3" t="s">
        <v>55</v>
      </c>
      <c r="K135" s="3" t="s">
        <v>265</v>
      </c>
      <c r="L135" s="3" t="s">
        <v>24</v>
      </c>
      <c r="M135">
        <v>1</v>
      </c>
    </row>
    <row r="136" spans="1:13" x14ac:dyDescent="0.25">
      <c r="A136" s="2">
        <v>46192</v>
      </c>
      <c r="B136" s="1" t="str">
        <f ca="1">IF(Información1[[#This Row],[Fecha]]='Ajuste de fechas'!$A$2,"Día actual","Día anterior")</f>
        <v>Día actual</v>
      </c>
      <c r="C136" s="3" t="s">
        <v>16</v>
      </c>
      <c r="D136" t="s">
        <v>264</v>
      </c>
      <c r="E136" s="3" t="s">
        <v>268</v>
      </c>
      <c r="F136" s="3" t="s">
        <v>15</v>
      </c>
      <c r="G136" s="3" t="s">
        <v>259</v>
      </c>
      <c r="H136" s="3" t="s">
        <v>8</v>
      </c>
      <c r="I136" s="3" t="s">
        <v>7</v>
      </c>
      <c r="J136" s="3" t="s">
        <v>55</v>
      </c>
      <c r="K136" s="3" t="s">
        <v>265</v>
      </c>
      <c r="L136" s="3" t="s">
        <v>24</v>
      </c>
      <c r="M136">
        <v>1</v>
      </c>
    </row>
    <row r="137" spans="1:13" x14ac:dyDescent="0.25">
      <c r="A137" s="2">
        <v>46192</v>
      </c>
      <c r="B137" s="1" t="str">
        <f ca="1">IF(Información1[[#This Row],[Fecha]]='Ajuste de fechas'!$A$2,"Día actual","Día anterior")</f>
        <v>Día actual</v>
      </c>
      <c r="C137" s="3" t="s">
        <v>16</v>
      </c>
      <c r="D137" t="s">
        <v>264</v>
      </c>
      <c r="E137" s="3" t="s">
        <v>270</v>
      </c>
      <c r="F137" s="3" t="s">
        <v>41</v>
      </c>
      <c r="G137" s="3" t="s">
        <v>263</v>
      </c>
      <c r="H137" s="3" t="s">
        <v>8</v>
      </c>
      <c r="I137" s="3" t="s">
        <v>7</v>
      </c>
      <c r="J137" s="3" t="s">
        <v>55</v>
      </c>
      <c r="K137" s="3" t="s">
        <v>265</v>
      </c>
      <c r="L137" s="3" t="s">
        <v>26</v>
      </c>
      <c r="M137">
        <v>1</v>
      </c>
    </row>
    <row r="138" spans="1:13" x14ac:dyDescent="0.25">
      <c r="A138" s="2">
        <v>46192</v>
      </c>
      <c r="B138" s="1" t="str">
        <f ca="1">IF(Información1[[#This Row],[Fecha]]='Ajuste de fechas'!$A$2,"Día actual","Día anterior")</f>
        <v>Día actual</v>
      </c>
      <c r="C138" s="3" t="s">
        <v>16</v>
      </c>
      <c r="D138" t="s">
        <v>264</v>
      </c>
      <c r="E138" s="3" t="s">
        <v>271</v>
      </c>
      <c r="F138" s="3" t="s">
        <v>10</v>
      </c>
      <c r="G138" s="3" t="s">
        <v>240</v>
      </c>
      <c r="H138" s="3" t="s">
        <v>8</v>
      </c>
      <c r="I138" s="3" t="s">
        <v>156</v>
      </c>
      <c r="J138" s="3" t="s">
        <v>57</v>
      </c>
      <c r="K138" s="3" t="s">
        <v>265</v>
      </c>
      <c r="L138" s="3" t="s">
        <v>247</v>
      </c>
      <c r="M138">
        <v>1</v>
      </c>
    </row>
    <row r="139" spans="1:13" x14ac:dyDescent="0.25">
      <c r="A139" s="2">
        <v>46192</v>
      </c>
      <c r="B139" s="1" t="str">
        <f ca="1">IF(Información1[[#This Row],[Fecha]]='Ajuste de fechas'!$A$2,"Día actual","Día anterior")</f>
        <v>Día actual</v>
      </c>
      <c r="C139" s="3" t="s">
        <v>48</v>
      </c>
      <c r="D139" t="s">
        <v>50</v>
      </c>
      <c r="E139" s="3" t="s">
        <v>230</v>
      </c>
      <c r="F139" s="3" t="s">
        <v>37</v>
      </c>
      <c r="G139" s="3" t="s">
        <v>231</v>
      </c>
      <c r="H139" s="3" t="s">
        <v>8</v>
      </c>
      <c r="I139" s="3" t="s">
        <v>7</v>
      </c>
      <c r="J139" s="3" t="s">
        <v>55</v>
      </c>
      <c r="K139" s="3" t="s">
        <v>49</v>
      </c>
      <c r="L139" s="3" t="s">
        <v>26</v>
      </c>
      <c r="M139">
        <v>1</v>
      </c>
    </row>
    <row r="140" spans="1:13" x14ac:dyDescent="0.25">
      <c r="A140" s="2">
        <v>46192</v>
      </c>
      <c r="B140" s="1" t="str">
        <f ca="1">IF(Información1[[#This Row],[Fecha]]='Ajuste de fechas'!$A$2,"Día actual","Día anterior")</f>
        <v>Día actual</v>
      </c>
      <c r="C140" s="3" t="s">
        <v>44</v>
      </c>
      <c r="D140" t="s">
        <v>45</v>
      </c>
      <c r="E140" s="3" t="s">
        <v>230</v>
      </c>
      <c r="F140" s="3" t="s">
        <v>37</v>
      </c>
      <c r="G140" s="3" t="s">
        <v>231</v>
      </c>
      <c r="H140" s="3" t="s">
        <v>8</v>
      </c>
      <c r="I140" s="3" t="s">
        <v>7</v>
      </c>
      <c r="J140" s="3" t="s">
        <v>55</v>
      </c>
      <c r="K140" s="3" t="s">
        <v>46</v>
      </c>
      <c r="L140" s="3" t="s">
        <v>26</v>
      </c>
      <c r="M140">
        <v>1</v>
      </c>
    </row>
    <row r="141" spans="1:13" x14ac:dyDescent="0.25">
      <c r="A141" s="2">
        <v>46192</v>
      </c>
      <c r="B141" s="1" t="str">
        <f ca="1">IF(Información1[[#This Row],[Fecha]]='Ajuste de fechas'!$A$2,"Día actual","Día anterior")</f>
        <v>Día actual</v>
      </c>
      <c r="C141" s="3" t="s">
        <v>16</v>
      </c>
      <c r="D141" t="s">
        <v>52</v>
      </c>
      <c r="E141" s="3" t="s">
        <v>272</v>
      </c>
      <c r="F141" s="3" t="s">
        <v>11</v>
      </c>
      <c r="G141" s="3" t="s">
        <v>273</v>
      </c>
      <c r="H141" s="3" t="s">
        <v>8</v>
      </c>
      <c r="I141" s="3" t="s">
        <v>14</v>
      </c>
      <c r="J141" s="3" t="s">
        <v>56</v>
      </c>
      <c r="K141" s="3" t="s">
        <v>51</v>
      </c>
      <c r="L141" s="3" t="s">
        <v>24</v>
      </c>
      <c r="M141">
        <v>1</v>
      </c>
    </row>
    <row r="142" spans="1:13" x14ac:dyDescent="0.25">
      <c r="A142" s="2">
        <v>46192</v>
      </c>
      <c r="B142" s="1" t="str">
        <f ca="1">IF(Información1[[#This Row],[Fecha]]='Ajuste de fechas'!$A$2,"Día actual","Día anterior")</f>
        <v>Día actual</v>
      </c>
      <c r="C142" s="3" t="s">
        <v>16</v>
      </c>
      <c r="D142" t="s">
        <v>52</v>
      </c>
      <c r="E142" s="3" t="s">
        <v>274</v>
      </c>
      <c r="F142" s="3" t="s">
        <v>17</v>
      </c>
      <c r="G142" s="3" t="s">
        <v>275</v>
      </c>
      <c r="H142" s="3" t="s">
        <v>8</v>
      </c>
      <c r="I142" s="3" t="s">
        <v>7</v>
      </c>
      <c r="J142" s="3" t="s">
        <v>55</v>
      </c>
      <c r="K142" s="3" t="s">
        <v>51</v>
      </c>
      <c r="L142" s="3" t="s">
        <v>24</v>
      </c>
      <c r="M142">
        <v>1</v>
      </c>
    </row>
    <row r="143" spans="1:13" x14ac:dyDescent="0.25">
      <c r="A143" s="2">
        <v>46192</v>
      </c>
      <c r="B143" s="1" t="str">
        <f ca="1">IF(Información1[[#This Row],[Fecha]]='Ajuste de fechas'!$A$2,"Día actual","Día anterior")</f>
        <v>Día actual</v>
      </c>
      <c r="C143" s="3" t="s">
        <v>16</v>
      </c>
      <c r="D143" t="s">
        <v>52</v>
      </c>
      <c r="E143" s="3" t="s">
        <v>276</v>
      </c>
      <c r="F143" s="3" t="s">
        <v>207</v>
      </c>
      <c r="G143" s="3" t="s">
        <v>208</v>
      </c>
      <c r="H143" s="3" t="s">
        <v>8</v>
      </c>
      <c r="I143" s="3" t="s">
        <v>7</v>
      </c>
      <c r="J143" s="3" t="s">
        <v>55</v>
      </c>
      <c r="K143" s="3" t="s">
        <v>51</v>
      </c>
      <c r="L143" s="3" t="s">
        <v>24</v>
      </c>
      <c r="M143">
        <v>1</v>
      </c>
    </row>
    <row r="144" spans="1:13" x14ac:dyDescent="0.25">
      <c r="A144" s="2">
        <v>46192</v>
      </c>
      <c r="B144" s="1" t="str">
        <f ca="1">IF(Información1[[#This Row],[Fecha]]='Ajuste de fechas'!$A$2,"Día actual","Día anterior")</f>
        <v>Día actual</v>
      </c>
      <c r="C144" s="3" t="s">
        <v>16</v>
      </c>
      <c r="D144" t="s">
        <v>52</v>
      </c>
      <c r="E144" s="3" t="s">
        <v>277</v>
      </c>
      <c r="F144" s="3" t="s">
        <v>37</v>
      </c>
      <c r="G144" s="3" t="s">
        <v>231</v>
      </c>
      <c r="H144" s="3" t="s">
        <v>8</v>
      </c>
      <c r="I144" s="3" t="s">
        <v>7</v>
      </c>
      <c r="J144" s="3" t="s">
        <v>55</v>
      </c>
      <c r="K144" s="3" t="s">
        <v>51</v>
      </c>
      <c r="L144" s="3" t="s">
        <v>24</v>
      </c>
      <c r="M144">
        <v>1</v>
      </c>
    </row>
    <row r="145" spans="1:13" x14ac:dyDescent="0.25">
      <c r="A145" s="2">
        <v>46192</v>
      </c>
      <c r="B145" s="1" t="str">
        <f ca="1">IF(Información1[[#This Row],[Fecha]]='Ajuste de fechas'!$A$2,"Día actual","Día anterior")</f>
        <v>Día actual</v>
      </c>
      <c r="C145" s="3" t="s">
        <v>16</v>
      </c>
      <c r="D145" t="s">
        <v>52</v>
      </c>
      <c r="E145" s="3" t="s">
        <v>278</v>
      </c>
      <c r="F145" s="3" t="s">
        <v>41</v>
      </c>
      <c r="G145" s="3" t="s">
        <v>263</v>
      </c>
      <c r="H145" s="3" t="s">
        <v>8</v>
      </c>
      <c r="I145" s="3" t="s">
        <v>7</v>
      </c>
      <c r="J145" s="3" t="s">
        <v>55</v>
      </c>
      <c r="K145" s="3" t="s">
        <v>51</v>
      </c>
      <c r="L145" s="3" t="s">
        <v>24</v>
      </c>
      <c r="M145">
        <v>1</v>
      </c>
    </row>
    <row r="146" spans="1:13" x14ac:dyDescent="0.25">
      <c r="A146" s="2">
        <v>46192</v>
      </c>
      <c r="B146" s="1" t="str">
        <f ca="1">IF(Información1[[#This Row],[Fecha]]='Ajuste de fechas'!$A$2,"Día actual","Día anterior")</f>
        <v>Día actual</v>
      </c>
      <c r="C146" s="3" t="s">
        <v>16</v>
      </c>
      <c r="D146" t="s">
        <v>52</v>
      </c>
      <c r="E146" s="3" t="s">
        <v>279</v>
      </c>
      <c r="F146" s="3" t="s">
        <v>10</v>
      </c>
      <c r="G146" s="3" t="s">
        <v>280</v>
      </c>
      <c r="H146" s="3" t="s">
        <v>8</v>
      </c>
      <c r="I146" s="3" t="s">
        <v>7</v>
      </c>
      <c r="J146" s="3" t="s">
        <v>57</v>
      </c>
      <c r="K146" s="3" t="s">
        <v>51</v>
      </c>
      <c r="L146" s="3" t="s">
        <v>24</v>
      </c>
      <c r="M146">
        <v>1</v>
      </c>
    </row>
    <row r="147" spans="1:13" x14ac:dyDescent="0.25">
      <c r="A147" s="2">
        <v>46192</v>
      </c>
      <c r="B147" s="1" t="str">
        <f ca="1">IF(Información1[[#This Row],[Fecha]]='Ajuste de fechas'!$A$2,"Día actual","Día anterior")</f>
        <v>Día actual</v>
      </c>
      <c r="C147" s="3" t="s">
        <v>16</v>
      </c>
      <c r="D147" t="s">
        <v>52</v>
      </c>
      <c r="E147" s="3" t="s">
        <v>281</v>
      </c>
      <c r="F147" s="3" t="s">
        <v>10</v>
      </c>
      <c r="G147" s="3"/>
      <c r="H147" s="3" t="s">
        <v>8</v>
      </c>
      <c r="I147" s="3" t="s">
        <v>7</v>
      </c>
      <c r="J147" s="3" t="s">
        <v>57</v>
      </c>
      <c r="K147" s="3" t="s">
        <v>51</v>
      </c>
      <c r="L147" s="3" t="s">
        <v>24</v>
      </c>
      <c r="M147">
        <v>1</v>
      </c>
    </row>
    <row r="148" spans="1:13" x14ac:dyDescent="0.25">
      <c r="A148" s="2">
        <v>46192</v>
      </c>
      <c r="B148" s="1" t="str">
        <f ca="1">IF(Información1[[#This Row],[Fecha]]='Ajuste de fechas'!$A$2,"Día actual","Día anterior")</f>
        <v>Día actual</v>
      </c>
      <c r="C148" s="3" t="s">
        <v>16</v>
      </c>
      <c r="D148" t="s">
        <v>52</v>
      </c>
      <c r="E148" s="3" t="s">
        <v>282</v>
      </c>
      <c r="F148" s="3" t="s">
        <v>43</v>
      </c>
      <c r="G148" s="3" t="s">
        <v>245</v>
      </c>
      <c r="H148" s="3" t="s">
        <v>8</v>
      </c>
      <c r="I148" s="3" t="s">
        <v>7</v>
      </c>
      <c r="J148" s="3" t="s">
        <v>55</v>
      </c>
      <c r="K148" s="3" t="s">
        <v>51</v>
      </c>
      <c r="L148" s="3" t="s">
        <v>24</v>
      </c>
      <c r="M148">
        <v>1</v>
      </c>
    </row>
    <row r="149" spans="1:13" x14ac:dyDescent="0.25">
      <c r="A149" s="2">
        <v>46192</v>
      </c>
      <c r="B149" s="1" t="str">
        <f ca="1">IF(Información1[[#This Row],[Fecha]]='Ajuste de fechas'!$A$2,"Día actual","Día anterior")</f>
        <v>Día actual</v>
      </c>
      <c r="C149" s="3" t="s">
        <v>16</v>
      </c>
      <c r="D149" t="s">
        <v>52</v>
      </c>
      <c r="E149" s="3" t="s">
        <v>283</v>
      </c>
      <c r="F149" s="3" t="s">
        <v>11</v>
      </c>
      <c r="G149" s="3" t="s">
        <v>284</v>
      </c>
      <c r="H149" s="3" t="s">
        <v>8</v>
      </c>
      <c r="I149" s="3" t="s">
        <v>7</v>
      </c>
      <c r="J149" s="3" t="s">
        <v>56</v>
      </c>
      <c r="K149" s="3" t="s">
        <v>51</v>
      </c>
      <c r="L149" s="3" t="s">
        <v>24</v>
      </c>
      <c r="M149">
        <v>1</v>
      </c>
    </row>
    <row r="150" spans="1:13" x14ac:dyDescent="0.25">
      <c r="A150" s="2">
        <v>46192</v>
      </c>
      <c r="B150" s="1" t="str">
        <f ca="1">IF(Información1[[#This Row],[Fecha]]='Ajuste de fechas'!$A$2,"Día actual","Día anterior")</f>
        <v>Día actual</v>
      </c>
      <c r="C150" s="3" t="s">
        <v>16</v>
      </c>
      <c r="D150" t="s">
        <v>52</v>
      </c>
      <c r="E150" s="3" t="s">
        <v>285</v>
      </c>
      <c r="F150" s="3" t="s">
        <v>17</v>
      </c>
      <c r="G150" s="3" t="s">
        <v>212</v>
      </c>
      <c r="H150" s="3" t="s">
        <v>8</v>
      </c>
      <c r="I150" s="3" t="s">
        <v>7</v>
      </c>
      <c r="J150" s="3" t="s">
        <v>55</v>
      </c>
      <c r="K150" s="3" t="s">
        <v>51</v>
      </c>
      <c r="L150" s="3" t="s">
        <v>24</v>
      </c>
      <c r="M150">
        <v>1</v>
      </c>
    </row>
    <row r="151" spans="1:13" x14ac:dyDescent="0.25">
      <c r="A151" s="2">
        <v>46192</v>
      </c>
      <c r="B151" s="1" t="str">
        <f ca="1">IF(Información1[[#This Row],[Fecha]]='Ajuste de fechas'!$A$2,"Día actual","Día anterior")</f>
        <v>Día actual</v>
      </c>
      <c r="C151" s="3" t="s">
        <v>16</v>
      </c>
      <c r="D151" t="s">
        <v>52</v>
      </c>
      <c r="E151" s="3" t="s">
        <v>286</v>
      </c>
      <c r="F151" s="3" t="s">
        <v>35</v>
      </c>
      <c r="G151" s="3" t="s">
        <v>287</v>
      </c>
      <c r="H151" s="3" t="s">
        <v>8</v>
      </c>
      <c r="I151" s="3" t="s">
        <v>7</v>
      </c>
      <c r="J151" s="3" t="s">
        <v>55</v>
      </c>
      <c r="K151" s="3" t="s">
        <v>51</v>
      </c>
      <c r="L151" s="3" t="s">
        <v>24</v>
      </c>
      <c r="M151">
        <v>1</v>
      </c>
    </row>
    <row r="152" spans="1:13" x14ac:dyDescent="0.25">
      <c r="A152" s="2">
        <v>46192</v>
      </c>
      <c r="B152" s="1" t="str">
        <f ca="1">IF(Información1[[#This Row],[Fecha]]='Ajuste de fechas'!$A$2,"Día actual","Día anterior")</f>
        <v>Día actual</v>
      </c>
      <c r="C152" s="3" t="s">
        <v>16</v>
      </c>
      <c r="D152" t="s">
        <v>52</v>
      </c>
      <c r="E152" s="3" t="s">
        <v>288</v>
      </c>
      <c r="F152" s="3" t="s">
        <v>10</v>
      </c>
      <c r="G152" s="3" t="s">
        <v>58</v>
      </c>
      <c r="H152" s="3" t="s">
        <v>8</v>
      </c>
      <c r="I152" s="3" t="s">
        <v>7</v>
      </c>
      <c r="J152" s="3" t="s">
        <v>57</v>
      </c>
      <c r="K152" s="3" t="s">
        <v>51</v>
      </c>
      <c r="L152" s="3" t="s">
        <v>24</v>
      </c>
      <c r="M152">
        <v>1</v>
      </c>
    </row>
    <row r="153" spans="1:13" x14ac:dyDescent="0.25">
      <c r="A153" s="2">
        <v>46192</v>
      </c>
      <c r="B153" s="1" t="str">
        <f ca="1">IF(Información1[[#This Row],[Fecha]]='Ajuste de fechas'!$A$2,"Día actual","Día anterior")</f>
        <v>Día actual</v>
      </c>
      <c r="C153" s="3" t="s">
        <v>289</v>
      </c>
      <c r="D153" t="s">
        <v>290</v>
      </c>
      <c r="E153" s="3" t="s">
        <v>291</v>
      </c>
      <c r="F153" s="3" t="s">
        <v>10</v>
      </c>
      <c r="G153" s="3" t="s">
        <v>163</v>
      </c>
      <c r="H153" s="3" t="s">
        <v>8</v>
      </c>
      <c r="I153" s="3" t="s">
        <v>14</v>
      </c>
      <c r="J153" s="3" t="s">
        <v>57</v>
      </c>
      <c r="K153" s="3" t="s">
        <v>81</v>
      </c>
      <c r="L153" s="3" t="s">
        <v>25</v>
      </c>
      <c r="M153">
        <v>1</v>
      </c>
    </row>
    <row r="154" spans="1:13" x14ac:dyDescent="0.25">
      <c r="A154" s="2">
        <v>46192</v>
      </c>
      <c r="B154" s="1" t="str">
        <f ca="1">IF(Información1[[#This Row],[Fecha]]='Ajuste de fechas'!$A$2,"Día actual","Día anterior")</f>
        <v>Día actual</v>
      </c>
      <c r="C154" s="3" t="s">
        <v>289</v>
      </c>
      <c r="D154" t="s">
        <v>290</v>
      </c>
      <c r="E154" s="3" t="s">
        <v>292</v>
      </c>
      <c r="F154" s="3" t="s">
        <v>10</v>
      </c>
      <c r="G154" s="3" t="s">
        <v>163</v>
      </c>
      <c r="H154" s="3" t="s">
        <v>8</v>
      </c>
      <c r="I154" s="3" t="s">
        <v>14</v>
      </c>
      <c r="J154" s="3" t="s">
        <v>57</v>
      </c>
      <c r="K154" s="3" t="s">
        <v>81</v>
      </c>
      <c r="L154" s="3" t="s">
        <v>25</v>
      </c>
      <c r="M154">
        <v>1</v>
      </c>
    </row>
    <row r="155" spans="1:13" x14ac:dyDescent="0.25">
      <c r="A155" s="2">
        <v>46192</v>
      </c>
      <c r="B155" s="1" t="str">
        <f ca="1">IF(Información1[[#This Row],[Fecha]]='Ajuste de fechas'!$A$2,"Día actual","Día anterior")</f>
        <v>Día actual</v>
      </c>
      <c r="C155" s="3" t="s">
        <v>289</v>
      </c>
      <c r="D155" t="s">
        <v>290</v>
      </c>
      <c r="E155" s="3" t="s">
        <v>293</v>
      </c>
      <c r="F155" s="3" t="s">
        <v>10</v>
      </c>
      <c r="G155" s="3" t="s">
        <v>163</v>
      </c>
      <c r="H155" s="3" t="s">
        <v>8</v>
      </c>
      <c r="I155" s="3" t="s">
        <v>14</v>
      </c>
      <c r="J155" s="3" t="s">
        <v>57</v>
      </c>
      <c r="K155" s="3" t="s">
        <v>81</v>
      </c>
      <c r="L155" s="3" t="s">
        <v>25</v>
      </c>
      <c r="M155">
        <v>1</v>
      </c>
    </row>
    <row r="156" spans="1:13" x14ac:dyDescent="0.25">
      <c r="A156" s="2">
        <v>46192</v>
      </c>
      <c r="B156" s="1" t="str">
        <f ca="1">IF(Información1[[#This Row],[Fecha]]='Ajuste de fechas'!$A$2,"Día actual","Día anterior")</f>
        <v>Día actual</v>
      </c>
      <c r="C156" s="3" t="s">
        <v>289</v>
      </c>
      <c r="D156" t="s">
        <v>290</v>
      </c>
      <c r="E156" s="3" t="s">
        <v>294</v>
      </c>
      <c r="F156" s="3" t="s">
        <v>6</v>
      </c>
      <c r="G156" s="3" t="s">
        <v>295</v>
      </c>
      <c r="H156" s="3" t="s">
        <v>8</v>
      </c>
      <c r="I156" s="3" t="s">
        <v>14</v>
      </c>
      <c r="J156" s="3" t="s">
        <v>55</v>
      </c>
      <c r="K156" s="3" t="s">
        <v>81</v>
      </c>
      <c r="L156" s="3" t="s">
        <v>25</v>
      </c>
      <c r="M156">
        <v>1</v>
      </c>
    </row>
    <row r="157" spans="1:13" x14ac:dyDescent="0.25">
      <c r="A157" s="2">
        <v>46192</v>
      </c>
      <c r="B157" s="1" t="str">
        <f ca="1">IF(Información1[[#This Row],[Fecha]]='Ajuste de fechas'!$A$2,"Día actual","Día anterior")</f>
        <v>Día actual</v>
      </c>
      <c r="C157" s="3" t="s">
        <v>289</v>
      </c>
      <c r="D157" t="s">
        <v>290</v>
      </c>
      <c r="E157" s="3" t="s">
        <v>296</v>
      </c>
      <c r="F157" s="3" t="s">
        <v>89</v>
      </c>
      <c r="G157" s="3" t="s">
        <v>297</v>
      </c>
      <c r="H157" s="3" t="s">
        <v>8</v>
      </c>
      <c r="I157" s="3" t="s">
        <v>7</v>
      </c>
      <c r="J157" s="3" t="s">
        <v>55</v>
      </c>
      <c r="K157" s="3" t="s">
        <v>81</v>
      </c>
      <c r="L157" s="3" t="s">
        <v>25</v>
      </c>
      <c r="M157">
        <v>1</v>
      </c>
    </row>
    <row r="158" spans="1:13" x14ac:dyDescent="0.25">
      <c r="A158" s="2">
        <v>46192</v>
      </c>
      <c r="B158" s="1" t="str">
        <f ca="1">IF(Información1[[#This Row],[Fecha]]='Ajuste de fechas'!$A$2,"Día actual","Día anterior")</f>
        <v>Día actual</v>
      </c>
      <c r="C158" s="3" t="s">
        <v>289</v>
      </c>
      <c r="D158" t="s">
        <v>290</v>
      </c>
      <c r="E158" s="3" t="s">
        <v>298</v>
      </c>
      <c r="F158" s="3" t="s">
        <v>89</v>
      </c>
      <c r="G158" s="3" t="s">
        <v>297</v>
      </c>
      <c r="H158" s="3" t="s">
        <v>8</v>
      </c>
      <c r="I158" s="3" t="s">
        <v>7</v>
      </c>
      <c r="J158" s="3" t="s">
        <v>55</v>
      </c>
      <c r="K158" s="3" t="s">
        <v>299</v>
      </c>
      <c r="L158" s="3" t="s">
        <v>24</v>
      </c>
      <c r="M158">
        <v>1</v>
      </c>
    </row>
    <row r="159" spans="1:13" x14ac:dyDescent="0.25">
      <c r="A159" s="2">
        <v>46192</v>
      </c>
      <c r="B159" s="1" t="str">
        <f ca="1">IF(Información1[[#This Row],[Fecha]]='Ajuste de fechas'!$A$2,"Día actual","Día anterior")</f>
        <v>Día actual</v>
      </c>
      <c r="C159" s="3" t="s">
        <v>289</v>
      </c>
      <c r="D159" t="s">
        <v>290</v>
      </c>
      <c r="E159" s="3" t="s">
        <v>232</v>
      </c>
      <c r="F159" s="3" t="s">
        <v>17</v>
      </c>
      <c r="G159" s="3" t="s">
        <v>212</v>
      </c>
      <c r="H159" s="3" t="s">
        <v>8</v>
      </c>
      <c r="I159" s="3" t="s">
        <v>7</v>
      </c>
      <c r="J159" s="3" t="s">
        <v>55</v>
      </c>
      <c r="K159" s="3" t="s">
        <v>299</v>
      </c>
      <c r="L159" s="3" t="s">
        <v>26</v>
      </c>
      <c r="M159">
        <v>1</v>
      </c>
    </row>
    <row r="160" spans="1:13" x14ac:dyDescent="0.25">
      <c r="A160" s="2">
        <v>46192</v>
      </c>
      <c r="B160" s="1" t="str">
        <f ca="1">IF(Información1[[#This Row],[Fecha]]='Ajuste de fechas'!$A$2,"Día actual","Día anterior")</f>
        <v>Día actual</v>
      </c>
      <c r="C160" s="3" t="s">
        <v>289</v>
      </c>
      <c r="D160" t="s">
        <v>290</v>
      </c>
      <c r="E160" s="3" t="s">
        <v>206</v>
      </c>
      <c r="F160" s="3" t="s">
        <v>207</v>
      </c>
      <c r="G160" s="3" t="s">
        <v>208</v>
      </c>
      <c r="H160" s="3" t="s">
        <v>8</v>
      </c>
      <c r="I160" s="3" t="s">
        <v>7</v>
      </c>
      <c r="J160" s="3" t="s">
        <v>55</v>
      </c>
      <c r="K160" s="3" t="s">
        <v>299</v>
      </c>
      <c r="L160" s="3" t="s">
        <v>26</v>
      </c>
      <c r="M160">
        <v>1</v>
      </c>
    </row>
    <row r="161" spans="1:13" x14ac:dyDescent="0.25">
      <c r="A161" s="2">
        <v>46192</v>
      </c>
      <c r="B161" s="1" t="str">
        <f ca="1">IF(Información1[[#This Row],[Fecha]]='Ajuste de fechas'!$A$2,"Día actual","Día anterior")</f>
        <v>Día actual</v>
      </c>
      <c r="C161" s="3" t="s">
        <v>289</v>
      </c>
      <c r="D161" t="s">
        <v>290</v>
      </c>
      <c r="E161" s="3" t="s">
        <v>106</v>
      </c>
      <c r="F161" s="3" t="s">
        <v>12</v>
      </c>
      <c r="G161" s="3" t="s">
        <v>84</v>
      </c>
      <c r="H161" s="3" t="s">
        <v>8</v>
      </c>
      <c r="I161" s="3" t="s">
        <v>7</v>
      </c>
      <c r="J161" s="3" t="s">
        <v>55</v>
      </c>
      <c r="K161" s="3" t="s">
        <v>299</v>
      </c>
      <c r="L161" s="3" t="s">
        <v>26</v>
      </c>
      <c r="M161">
        <v>1</v>
      </c>
    </row>
    <row r="162" spans="1:13" x14ac:dyDescent="0.25">
      <c r="A162" s="2">
        <v>46192</v>
      </c>
      <c r="B162" s="1" t="str">
        <f ca="1">IF(Información1[[#This Row],[Fecha]]='Ajuste de fechas'!$A$2,"Día actual","Día anterior")</f>
        <v>Día actual</v>
      </c>
      <c r="C162" s="3" t="s">
        <v>289</v>
      </c>
      <c r="D162" t="s">
        <v>290</v>
      </c>
      <c r="E162" s="3" t="s">
        <v>300</v>
      </c>
      <c r="F162" s="3" t="s">
        <v>11</v>
      </c>
      <c r="G162" s="3" t="s">
        <v>301</v>
      </c>
      <c r="H162" s="3" t="s">
        <v>8</v>
      </c>
      <c r="I162" s="3" t="s">
        <v>7</v>
      </c>
      <c r="J162" s="3" t="s">
        <v>56</v>
      </c>
      <c r="K162" s="3" t="s">
        <v>299</v>
      </c>
      <c r="L162" s="3" t="s">
        <v>79</v>
      </c>
      <c r="M162">
        <v>1</v>
      </c>
    </row>
    <row r="163" spans="1:13" x14ac:dyDescent="0.25">
      <c r="A163" s="2">
        <v>46192</v>
      </c>
      <c r="B163" s="1" t="str">
        <f ca="1">IF(Información1[[#This Row],[Fecha]]='Ajuste de fechas'!$A$2,"Día actual","Día anterior")</f>
        <v>Día actual</v>
      </c>
      <c r="C163" s="3" t="s">
        <v>289</v>
      </c>
      <c r="D163" t="s">
        <v>290</v>
      </c>
      <c r="E163" s="3" t="s">
        <v>302</v>
      </c>
      <c r="F163" s="3" t="s">
        <v>34</v>
      </c>
      <c r="G163" s="3" t="s">
        <v>83</v>
      </c>
      <c r="H163" s="3" t="s">
        <v>8</v>
      </c>
      <c r="I163" s="3" t="s">
        <v>7</v>
      </c>
      <c r="J163" s="3" t="s">
        <v>13</v>
      </c>
      <c r="K163" s="3" t="s">
        <v>299</v>
      </c>
      <c r="L163" s="3" t="s">
        <v>24</v>
      </c>
      <c r="M163">
        <v>1</v>
      </c>
    </row>
    <row r="164" spans="1:13" x14ac:dyDescent="0.25">
      <c r="A164" s="2">
        <v>46192</v>
      </c>
      <c r="B164" s="1" t="str">
        <f ca="1">IF(Información1[[#This Row],[Fecha]]='Ajuste de fechas'!$A$2,"Día actual","Día anterior")</f>
        <v>Día actual</v>
      </c>
      <c r="C164" s="3" t="s">
        <v>289</v>
      </c>
      <c r="D164" t="s">
        <v>290</v>
      </c>
      <c r="E164" s="3" t="s">
        <v>303</v>
      </c>
      <c r="F164" s="3" t="s">
        <v>10</v>
      </c>
      <c r="G164" s="3" t="s">
        <v>304</v>
      </c>
      <c r="H164" s="3" t="s">
        <v>8</v>
      </c>
      <c r="I164" s="3" t="s">
        <v>156</v>
      </c>
      <c r="J164" s="3" t="s">
        <v>57</v>
      </c>
      <c r="K164" s="3" t="s">
        <v>299</v>
      </c>
      <c r="L164" s="3" t="s">
        <v>25</v>
      </c>
      <c r="M164">
        <v>1</v>
      </c>
    </row>
    <row r="165" spans="1:13" x14ac:dyDescent="0.25">
      <c r="A165" s="2">
        <v>46192</v>
      </c>
      <c r="B165" s="1" t="str">
        <f ca="1">IF(Información1[[#This Row],[Fecha]]='Ajuste de fechas'!$A$2,"Día actual","Día anterior")</f>
        <v>Día actual</v>
      </c>
      <c r="C165" s="3" t="s">
        <v>289</v>
      </c>
      <c r="D165" t="s">
        <v>290</v>
      </c>
      <c r="E165" s="3" t="s">
        <v>305</v>
      </c>
      <c r="F165" s="3" t="s">
        <v>10</v>
      </c>
      <c r="G165" s="3" t="s">
        <v>304</v>
      </c>
      <c r="H165" s="3" t="s">
        <v>8</v>
      </c>
      <c r="I165" s="3" t="s">
        <v>156</v>
      </c>
      <c r="J165" s="3" t="s">
        <v>57</v>
      </c>
      <c r="K165" s="3" t="s">
        <v>299</v>
      </c>
      <c r="L165" s="3" t="s">
        <v>25</v>
      </c>
      <c r="M165">
        <v>1</v>
      </c>
    </row>
    <row r="166" spans="1:13" x14ac:dyDescent="0.25">
      <c r="A166" s="2">
        <v>46192</v>
      </c>
      <c r="B166" s="1" t="str">
        <f ca="1">IF(Información1[[#This Row],[Fecha]]='Ajuste de fechas'!$A$2,"Día actual","Día anterior")</f>
        <v>Día actual</v>
      </c>
      <c r="C166" s="3" t="s">
        <v>289</v>
      </c>
      <c r="D166" t="s">
        <v>290</v>
      </c>
      <c r="E166" s="3" t="s">
        <v>306</v>
      </c>
      <c r="F166" s="3" t="s">
        <v>61</v>
      </c>
      <c r="G166" s="3" t="s">
        <v>307</v>
      </c>
      <c r="H166" s="3" t="s">
        <v>8</v>
      </c>
      <c r="I166" s="3" t="s">
        <v>156</v>
      </c>
      <c r="J166" s="3" t="s">
        <v>55</v>
      </c>
      <c r="K166" s="3" t="s">
        <v>299</v>
      </c>
      <c r="L166" s="3" t="s">
        <v>25</v>
      </c>
      <c r="M166">
        <v>1</v>
      </c>
    </row>
    <row r="167" spans="1:13" x14ac:dyDescent="0.25">
      <c r="A167" s="2">
        <v>46192</v>
      </c>
      <c r="B167" s="1" t="str">
        <f ca="1">IF(Información1[[#This Row],[Fecha]]='Ajuste de fechas'!$A$2,"Día actual","Día anterior")</f>
        <v>Día actual</v>
      </c>
      <c r="C167" s="3" t="s">
        <v>289</v>
      </c>
      <c r="D167" t="s">
        <v>290</v>
      </c>
      <c r="E167" s="3" t="s">
        <v>308</v>
      </c>
      <c r="F167" s="3" t="s">
        <v>9</v>
      </c>
      <c r="G167" s="3" t="s">
        <v>307</v>
      </c>
      <c r="H167" s="3" t="s">
        <v>8</v>
      </c>
      <c r="I167" s="3" t="s">
        <v>156</v>
      </c>
      <c r="J167" s="3" t="s">
        <v>55</v>
      </c>
      <c r="K167" s="3" t="s">
        <v>299</v>
      </c>
      <c r="L167" s="3" t="s">
        <v>25</v>
      </c>
      <c r="M167">
        <v>1</v>
      </c>
    </row>
    <row r="168" spans="1:13" x14ac:dyDescent="0.25">
      <c r="A168" s="2">
        <v>46192</v>
      </c>
      <c r="B168" s="1" t="str">
        <f ca="1">IF(Información1[[#This Row],[Fecha]]='Ajuste de fechas'!$A$2,"Día actual","Día anterior")</f>
        <v>Día actual</v>
      </c>
      <c r="C168" s="3" t="s">
        <v>289</v>
      </c>
      <c r="D168" t="s">
        <v>290</v>
      </c>
      <c r="E168" s="3" t="s">
        <v>309</v>
      </c>
      <c r="F168" s="3" t="s">
        <v>82</v>
      </c>
      <c r="G168" s="3" t="s">
        <v>307</v>
      </c>
      <c r="H168" s="3" t="s">
        <v>8</v>
      </c>
      <c r="I168" s="3" t="s">
        <v>156</v>
      </c>
      <c r="J168" s="3" t="s">
        <v>55</v>
      </c>
      <c r="K168" s="3" t="s">
        <v>299</v>
      </c>
      <c r="L168" s="3" t="s">
        <v>25</v>
      </c>
      <c r="M168">
        <v>1</v>
      </c>
    </row>
    <row r="169" spans="1:13" x14ac:dyDescent="0.25">
      <c r="A169" s="2">
        <v>46192</v>
      </c>
      <c r="B169" s="1" t="str">
        <f ca="1">IF(Información1[[#This Row],[Fecha]]='Ajuste de fechas'!$A$2,"Día actual","Día anterior")</f>
        <v>Día actual</v>
      </c>
      <c r="C169" s="3" t="s">
        <v>289</v>
      </c>
      <c r="D169" t="s">
        <v>290</v>
      </c>
      <c r="E169" s="3" t="s">
        <v>310</v>
      </c>
      <c r="F169" s="3" t="s">
        <v>6</v>
      </c>
      <c r="G169" s="3" t="s">
        <v>307</v>
      </c>
      <c r="H169" s="3" t="s">
        <v>8</v>
      </c>
      <c r="I169" s="3" t="s">
        <v>156</v>
      </c>
      <c r="J169" s="3" t="s">
        <v>55</v>
      </c>
      <c r="K169" s="3" t="s">
        <v>299</v>
      </c>
      <c r="L169" s="3" t="s">
        <v>25</v>
      </c>
      <c r="M16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46192</v>
      </c>
      <c r="B2" s="2">
        <f ca="1">A2-1</f>
        <v>46191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2026-06-20T00:39:58Z</dcterms:modified>
</cp:coreProperties>
</file>