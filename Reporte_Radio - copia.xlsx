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48F7FC62-A461-478D-A5EE-727063047A67}"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176" i="2"/>
  <c r="B179" i="2"/>
  <c r="B182" i="2"/>
  <c r="B185" i="2"/>
  <c r="B188" i="2"/>
  <c r="B191" i="2"/>
  <c r="B194" i="2"/>
  <c r="B197" i="2"/>
  <c r="B200" i="2"/>
  <c r="B203" i="2"/>
  <c r="B206" i="2"/>
  <c r="B209" i="2"/>
  <c r="B212" i="2"/>
  <c r="B215" i="2"/>
  <c r="B218" i="2"/>
  <c r="B221" i="2"/>
  <c r="B224" i="2"/>
  <c r="B227" i="2"/>
  <c r="B230"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78" i="2"/>
  <c r="B181" i="2"/>
  <c r="B184" i="2"/>
  <c r="B186" i="2"/>
  <c r="B189" i="2"/>
  <c r="B192" i="2"/>
  <c r="B195" i="2"/>
  <c r="B198" i="2"/>
  <c r="B201" i="2"/>
  <c r="B204" i="2"/>
  <c r="B208" i="2"/>
  <c r="B210" i="2"/>
  <c r="B213" i="2"/>
  <c r="B216" i="2"/>
  <c r="B219" i="2"/>
  <c r="B222" i="2"/>
  <c r="B225" i="2"/>
  <c r="B228"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7" i="2"/>
  <c r="B180" i="2"/>
  <c r="B183" i="2"/>
  <c r="B187" i="2"/>
  <c r="B190" i="2"/>
  <c r="B193" i="2"/>
  <c r="B196" i="2"/>
  <c r="B199" i="2"/>
  <c r="B202" i="2"/>
  <c r="B205" i="2"/>
  <c r="B207" i="2"/>
  <c r="B211" i="2"/>
  <c r="B214" i="2"/>
  <c r="B217" i="2"/>
  <c r="B220" i="2"/>
  <c r="B223" i="2"/>
  <c r="B226" i="2"/>
  <c r="B22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<sst xmlns="http://schemas.openxmlformats.org/spreadsheetml/2006/main" count="2302" uniqueCount="373">
  <si>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</si>
  <si>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</si>
  <si>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</si>
  <si>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</si>
  <si>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</si>
  <si>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</si>
  <si>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</si>
  <si>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</si>
  <si>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</si>
  <si>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</si>
  <si>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</si>
  <si>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</si>
  <si>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</si>
  <si>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</si>
  <si>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</si>
  <si>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</si>
  <si>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</si>
  <si>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</si>
  <si>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</si>
  <si>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</si>
  <si>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</si>
  <si>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</si>
  <si>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</si>
  <si>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</si>
  <si>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</si>
  <si>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</si>
  <si>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</si>
  <si>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</si>
  <si>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</si>
  <si>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</si>
  <si>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</si>
  <si>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</si>
  <si>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</si>
  <si>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</si>
  <si>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</si>
  <si>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</si>
  <si>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</si>
  <si>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</si>
  <si>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</si>
  <si>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</si>
  <si>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</si>
  <si>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</si>
  <si>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</si>
  <si>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</si>
  <si>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</si>
  <si>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</si>
  <si>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</si>
  <si>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</si>
  <si>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</si>
  <si>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</si>
  <si>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</si>
  <si>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</si>
  <si>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</si>
  <si>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</si>
  <si>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</si>
  <si>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</si>
  <si>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</si>
  <si>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</si>
  <si>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</si>
  <si>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</si>
  <si>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</si>
  <si>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</si>
  <si>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</si>
  <si>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</si>
  <si>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</si>
  <si>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</si>
  <si>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</si>
  <si>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</si>
  <si>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</si>
  <si>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</si>
  <si>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</si>
  <si>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</si>
  <si>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</si>
  <si>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</si>
  <si>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</si>
  <si>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Rutas de la Reconstrucción</t>
  </si>
  <si>
    <t>OCSAD</t>
  </si>
  <si>
    <t>Feria Del Libro</t>
  </si>
  <si>
    <t>Turismo</t>
  </si>
  <si>
    <t>Enlace Noticias</t>
  </si>
  <si>
    <t>Eulalio Larrieta agradece a Carlos Gamiño por estar al pendiente de temas.</t>
  </si>
  <si>
    <t>Entrevista pautada</t>
  </si>
  <si>
    <t>Cultura</t>
  </si>
  <si>
    <t>STPSH</t>
  </si>
  <si>
    <t>Bienestar</t>
  </si>
  <si>
    <t>Ataque Armado</t>
  </si>
  <si>
    <t>Detención de policía</t>
  </si>
  <si>
    <t>Imagen Urbana</t>
  </si>
  <si>
    <t>Vialidad En Mal Estado</t>
  </si>
  <si>
    <t>Gina Lorenzo</t>
  </si>
  <si>
    <t>Radioescucha Sr. Juan, dicen que arreglen las fisuras del paso hacia el Barrio La Españita</t>
  </si>
  <si>
    <t>Feria Patronal</t>
  </si>
  <si>
    <t>Carril confinado</t>
  </si>
  <si>
    <t>TV Cable hidalguense Canal 6</t>
  </si>
  <si>
    <t>Contigo Noticias</t>
  </si>
  <si>
    <t>Morena</t>
  </si>
  <si>
    <t>Partidos</t>
  </si>
  <si>
    <t>Eulalio Larrieta agradece a Edith Balderas de la Secretaria de Educación Pública.</t>
  </si>
  <si>
    <t>Zanjas Caasim</t>
  </si>
  <si>
    <t>Informe de actividades</t>
  </si>
  <si>
    <t>Geoparque Comarca Minera</t>
  </si>
  <si>
    <t>Accidente Vial</t>
  </si>
  <si>
    <t>Rescate Animal</t>
  </si>
  <si>
    <t>Queja transporte público</t>
  </si>
  <si>
    <t>Prevención De Enfermedades</t>
  </si>
  <si>
    <t>Retención</t>
  </si>
  <si>
    <t>Huachicol</t>
  </si>
  <si>
    <t>Abner Yáñez</t>
  </si>
  <si>
    <t>Plan Nacional De Vivienda</t>
  </si>
  <si>
    <t>Mesas de acercamiento</t>
  </si>
  <si>
    <t>Fomento Al Deporte</t>
  </si>
  <si>
    <t>Luminarias</t>
  </si>
  <si>
    <t>Registro de celulares</t>
  </si>
  <si>
    <t>Videovigilancia</t>
  </si>
  <si>
    <t>SSPH recupera 33 unidades robadas de autotransporte federal, tras desmantelar un predio clandestino entre Mineral de la Reforma y Epazoyucan</t>
  </si>
  <si>
    <t>Recuperación De Vehículos Robados</t>
  </si>
  <si>
    <t>SSPH detiene a ocho personas por presunta tala clandestina en Tenango de Doria</t>
  </si>
  <si>
    <t>Tala clandestina</t>
  </si>
  <si>
    <t>Concluye este viernes FILIJ Hidalgo tras acercar literatura, arte y cultura a distintas regiones del estado</t>
  </si>
  <si>
    <t>En el fraccionamiento Fuentes de Tizayuca, un apersona que circulaba a bordo de una bicicleta fue privada de la vida. Al sitio acudieron elementos policiacos para atender el reporte, al tiempo que paramédicos revisaban al hombre atacado confirmando qué ya no contaba con signos vitales. Se realizó operativo para la búsqueda y eventual detención de los responsables del ataque, sin que hasta el momento se tengan novedad alguna. Hasta el momento se desconoce en los motivos del ataque armado. Daniel Martínez exclama: ¡junto al módulo de vigilancia, hágame favor!</t>
  </si>
  <si>
    <t>Daniel Martínez: Platicamos que acudió el secretaro de Seguridad Pública del Estado, Salvador Cruz Neri a Tizayuca, para poner en operación al C2 municipal con una inversión de 32 millones de pesos aproximadamente. Y me queda claro no son infalibles qué son instrumentos los sistemas de videovigilancia, pero también es medio complejo el saber que justamente a unas horas de haber puesto en operación el C2 municipal, resulta que en uno de estos módulos de vigilancia, privan de la vida a una persona.</t>
  </si>
  <si>
    <t>En cabina Hugo Flores Jiménez, Secretario del Campo en Tulancingo habla de las acciones realizadas en el último año de gobierno a través de su área y en beneficio de la población de su municipio, esto en al marco de la entrega de su informe de actividades como arte del informe de la alcaldesa de Tulancingo, Lorena García. Ana Vargas, encargada del área de Desarrollo rula habla del aumento en el presupuesto, esto gracias a las labores de la alcaldesa. Destacan las acciones en contra del gusano barrenador en la región.</t>
  </si>
  <si>
    <t>Radioescucha: soy operador de transporte público y al igual que en todos lados hay concesionarios buenos y malos, pero hablo particularmente, la ruta de mi trabajo. El aumento fue para subir las cuentas, aquí pasamos de 650 a 900 pesos y para nada es para mejorar las unidades solo es para el bolso del concesionario. Además, si no se entregan esas cuentas se les acumulan hasta que prácticamente pierdes el trabajo, por si fuera poco, los vetan para qué nadie les dé trabajo al menos en la ruta donde laboro. No hay un sindicato, ni algún lugar donde ir, prácticamente estamos desprotegidos; además hay muchas cosas que checar, como la renta de placas como negocio. También no se me hace justo que haya gente que tiene cuatro o cinco concesiones o familiares y sin exagerar entre todos llegan a tener más de veinte unidades obviamente trabajada por ellos. En lo personal llevo 14 años trabajando y no podemos acceder a una concesión prácticamente todos los que andamos en esto, sabemos siempre son entregadas a los mismos dirigentes. Ojalá, en verdad la Secretaría de Movilidad checara lo mal que está el transporte en el estado de Hidalgo, sobretodo en temas de este tipo.</t>
  </si>
  <si>
    <t>Concesiones transporte público</t>
  </si>
  <si>
    <t>Un grupo de habitantes de la localidad de El Jagüey, dentro del municipio de Nopala, se manifestaron este sábado contra el proyecto para construir una autopista, señalando que se contempla que atraviese por la localidad citada. Señalaron que el proyecto vial afectaría viviendas, parcelas y construcciones, lo que complicaría su vida cotidiana, incluso poniendo en riesgo a la población, por la importante cantidad de vehículos que circularían. A caballo algunas personas, y otras a pie, realizaron recorrido para expresar su rechazo a la obra y exigir al gobierno federal y estatal mayor transparencia sobre el proyecto. Aseguraron que hasta el momento las autoridades no han explicado con claridad el trazo, alcances y posibles afectaciones de la autopista, cuya construcción estaría prevista para iniciar en febrero próximo. Reprocharon que los trabajos relacionados con el proyecto ya comenzaron, pues personal realiza mediciones en distintos puntos de la comunidad. La movilización se anunció desde hace algunos días por el Frente Unidos por Nopala de Villagrán, con la finalidad de externar su rechazo al proyecto de la autopista. Incluso los manifestantes señalaron que consultadas respecto al proyecto, autoridades de municipios de la región dicen desconocer los detalles de este. Como parte de la manifestación, fue bloqueada la carretera estatal Nopala-Tula como medida de presión para exigir la presencia de autoridades municipales, insistiendo en recibir una explicación sobre el proyecto vial. Durante la protesta, una patrulla fue quemada por los manifestantes, inconformes ante la ausencia de la alcaldesa de Nopala, Diana Moreno, asegurando que había sido convocada previamente. Al tiempo, se escuchaban reclamos tanto a la alcaldesa como a otras autoridades municipales, ante su ausencia, insistiendo en conocer explicaciones sobre el proyecto vial, y sus posibles afectaciones.</t>
  </si>
  <si>
    <t>Protesta por obra</t>
  </si>
  <si>
    <t>Radioescucha: vecinos de paraíso Norte piden que haya mayor celeridad a la policía para la atención de reportes, porque ayer había una persona haciendo actos indecentes y tardaron mucho en llegar.</t>
  </si>
  <si>
    <t>El ayuntamiento de Pachuca prepara el retiro estructuras que ocupan de manera indebida banquetas y otros espacios públicos, además de aplicar sanciones a quienes incumplan la normativa, informó Eduardo Trejo Lino, secretario municipal. El funcionario señaló que actualmente realizan supervisiones por parte de la Dirección de Desarrollo Urbano, con acompañamiento de Seguridad Pública, para identificar este tipo de situaciones, particularmente después de los casos detectados en la zona de Cubitos. Explicó que actualmente el gobierno municipal está integrando la información sobre las estructuras y construcciones que podrían encontrarse en situación irregular, por lo que todavía no cuenta con una cifra de los casos detectados. Trejo Lino reconoció que algunas de estas situaciones tienen varios años de antigüedad y que en determinados casos incluso existen irregularidades relacionadas con la superficie de los terrenos. Por esa razón analizan cada caso de manera antes de determinar las sanciones.</t>
  </si>
  <si>
    <t>A partir de este domingo 16 de agosto, inició la aplicación de multas hacia automovilistas que invadan el carril confinado del Tuzobús, sistema de transporte que opera en la ciudad de Pachuca y Zona Metropolitana. La Secretaría de Movilidad y Transporte de Hidalgo (Semoth), informó previamente que las sanciones serán entre los 2 mil 346 a 3 mil 519 pesos, dependiendo de la gravedad y circunstancias en cada caso. Previamente se realizó una etapa de información, entre el 27 de julio y hasta el pasado sábado 15 de agosto, donde se amonestó a los automovilistas que invadieran el carril confinado del Tuzobús. Durante dicho periodo de tiempo, agentes viales detuvieron a los automovilistas que invadían el carril confinado, levantaron la boleta de amonestación correspondiente. Hasta inicios de la semana pasada, se habían amonestado a más de 70 automovilistas por dicha acción, que puede ser factor para el registro de accidentes viales, que podrían ser incluso de consecuencias graves. La medida se aplicará inicialmente en el tramo que comprende desde el inicio de la ruta del Tuzobús, en la estación de Téllez, sobre el bulevar Felipe Ángeles, hasta la altura del Estadio Hidalgo, en la intersección con el bulevar Rojo Gómez. Se trata de una las zonas con mayor cantidad de tráfico vehicular, donde se han registrado los casos de invasión al carril confinado. De acuerdo a la Semoth, las sanciones están consideradas en la Ley de Movilidad y Transporte de Hidalgo, mismas que equivalen de 20 a 30 Unidades de Medida y Actualización (UMA), equivalentes entre 2 mil 346.20 y 3 mil 519.30 pesos.</t>
  </si>
  <si>
    <t>Son los propios operadores de unidades para transporte público colectivo de pasajeros son quienes solicitan a la Secretaría de Movilidad y Transporte de Hidalgo (Semoth), que la revista sea realizada a detalle. En testimonios obtenidos en distintas rutas que cubren el Valle de Tulancingo, los transportistas señalan que son ellos quienes reciben reclamos por parte de los usuarios por el estado físico que tienen las unidades. “(Los pasajeros) nos reclaman que supuestamente con el aumento a la tarifa por el servicio habría mejoras en las unidades, lo que no ha ocurrido, pero no es toda nuestra responsabilidad, también es del concesionario”, señaló uno de los transportistas consultados. Por lo que solicitan a la Semoth que sea instalada una delegación permanente de la dependencia estatal, donde además de la revista a las unidades, puedan realizar trámites que requieren. “En las instalaciones de la Semoth en Pachuca, la revista se hace de forma completa: se inspecciona completamente el estado físico y mecánico de las unidades, así como que cuenten con todos los documentos para poder prestar el servicio”, señaló otro operador consultado. Agregó que en Tulancingo sólo llegan inspectores en ciertas fechas, hacen algunas preguntas a los operadores de las unidades, “palomean o anotan algo en los papeles que traen, y con ya con eso cumplen con la revista vehicular”. Varios de los consultados insistieron en reconocer que la revista vehicular se debe realizar a fondo, pues los reclamos los reciben directamente ellos por parte de los usuarios. “Y tienen razón en solicitar un buen servicio, pero no está todo sólo en nuestras manos, en esto de la revisión y buen estado de las unidades está la responsabilidad del concesionario y de la autoridad”, señaló en forma separada. En mayo de este año se autorizó un ajuste del 20 por ciento a las tarifas del servicio de transporte público colectivo de pasajeros en todo el Estado de Hidalgo. Una de las condiciones para autorizar el ajuste a dicha tarifa fue el compromiso por parte de los concesionarios de invertir en el mejoramiento físico de las unidades, así como mantenerlas en buen estado físico y mecánico. Se calcula que en municipios del Valle de Tulancingo operan alrededor de mil 200 unidades para dicho servicio en rutas urbanas, metropolitanas e intermunicipales.</t>
  </si>
  <si>
    <t>Supervisión de Transporte</t>
  </si>
  <si>
    <t>Una camioneta particular terminó completamente calcinada durante la medianoche de ayer, luego de incendiarse cuando circulaba sobre la carretera federal México-Tuxpan, a la altura de la localidad de Las Lajas, en los límites de los municipios de Singuilucan y Santiago Tulantepec. De acuerdo con los primeros reportes, la unidad transitaba por la vialidad citada cuando comenzó a incendiarse repentinamente, por lo que sus ocupantes descendieron y solicitaron apoyo a través del número de emergencias. Al sitio acudieron cuerpos de emergencia, cuyos elementos realizaron las labores para sofocar las llamas; sin embargo, el fuego provocó daños considerables y el vehículo quedó como pérdida total.</t>
  </si>
  <si>
    <t>Un trabajador de la Comisión Federal de Electricidad (CFE), chocó el vehículo que manejaba contra un objeto fijo, al buscar ponerse a salvo, tras recibir una agresión por parte de un grupo de personas. El incidente se registró en el fraccionamiento Carlos Salinas de Gortari, dentro del municipio de Tulancingo, cuando el trabajador realizaba un corte de energía eléctrica en un domicilio. De acuerdo a testimonios de algunos vecinos de la zona, el trabajador de la paraestatal comenzó a ser agredido físicamente. Reconocieron que se registraron detonaciones por arma de fuego, pero señalaron que estas se realizaron al aire. En algún momento de la agresión, el trabajador de la CFE logró llegar hasta el vehículo donde se transportaba, una camioneta Nissan, color rojo, abordándolo y poniéndolo en marcha. Pero perdió el control de la unidad y terminó impactado contra un objeto fijo. Fuentes oficiales consultadas, desmintieron el supuesto fallecimiento de una persona en los hechos relatados, señalando que el reporte correspondió a un hecho de tránsito relacionado con un presunto intento de robo. La precisión se realizó luego de que en algunas publicaciones en redes sociales se difundiera dicha versión. Hasta el momento no se conoce el estado de salud del trabajador, así como si existen personas detenidas derivado de la agresión a este.</t>
  </si>
  <si>
    <t>Agresión</t>
  </si>
  <si>
    <t>Una mujer, presuntamente relacionada con el robo de teléfonos celulares registrado durante la Expo Feria Internacional Ganadera Tulancingo 2026, fue detenida por elementos policiacos. Sin ofrecer mayores detalles sobre la detención, por medio de una tarjeta informativa se señala que el Mando Coordinado de Tulancingo y Policía Estatal pusieron a disposición de la Procuraduría General de Justicia del Estado de Hidalgo a la persona detenida. En el comunicado oficial se señala que desde el inicio de la Expo Feria, se implementó en el recinto un área que cuenta con un módulo del Ministerio Público, juez calificador y médico legista. Lo anterior derivado de las mesas de trabajo en materia de seguridad pública, con objetivo de brindar atención inmediata ante faltas administrativas o hechos posiblemente constitutivos de delito. Por lo cual, ante situaciones como la detención de la presunta responsable de robo de celulares, se exhorta a las personas que hayan sido afectadas a acudir ante el Ministerio Público, a fin de formalizar su denuncia.</t>
  </si>
  <si>
    <t>Detención</t>
  </si>
  <si>
    <t>UTEC acerca la ciencia a más de 250 niñas y niños en bibliotecas de Tulancingo</t>
  </si>
  <si>
    <t>Impulso A La Ciencia</t>
  </si>
  <si>
    <t>Una menor de aproximadamente dos años de edad resultó lesionada en un accidente ocurrido durante la madrugada del domingo 16 de agosto sobre la carretera Tulancingo-Cuautepec. Elementos de la Dirección de Seguridad Pública, Tránsito y Vialidad Municipal y oficiales de la Dirección municipal de Protección Civil y Bomberos acudieron al sitio del accidente, a la altura de la entrada a La Trinidad, en la colonia El Pedregal, para atender la emergencia. Al arribar al lugar, los uniformados localizaron dos vehículos involucrados, con huellas visibles de accidente sobre la cinta de rodamiento, así como a varias personas en las inmediaciones. El personal médico de dicha institución determinó que la menor requería hospitalización debido a la necesidad de realizar estudios especializados que no podían efectuarse en ese lugar; ante ello, la familiar que la acompañaba solicitó apoyo para su traslado al Hospital General de Tulancingo.</t>
  </si>
  <si>
    <t>Salvador Cruz Neri, titular de la Secretaría de Seguridad Pública de Hidalgo (SSPH), Secretaría de Seguridad Pública de Hidalgo (SSPH), consideró que es necesario contratar a personas de confianza para labores de vigilancia. La declaración fue ofrecida tras la detención, reportada la semana pasada, del encargado del Centro de Control y Comando Municipal (C2) de Villa de Tezontepec. Tras la detención, el alcalde de dicha demarcación, Miguel Moisés González Bautista, informó en entrevista con medios de comunicación que el detenido tenía apenas unos meses como encargado del C2 local. “Tenía poco tiempo que se había movido a esa área, antes estaba en el área de Comunicación Social”, señaló. El alcalde explicó que el trabajador fue trasladado recientemente a funciones relacionadas con el C2 debido a que había tomado un curso para el manejo de drones y el municipio había adquirido uno para labores de Seguridad Pública. Sobre los exámenes de control y confianza, González Bautista reconoció que el trabajador todavía no había realizado esta evaluación, ya que su incorporación al área de Seguridad Pública era reciente y apenas se le iba a asignar una fecha. Sin embargo, aseguró que sí había pasado los filtros internos del municipio, que contemplan evaluaciones en las áreas de psicología y salud. El alcalde explicó que los exámenes de control y confianza no se aplican de manera simultánea a toda la plantilla, sino que los elementos son programados en bloques, principalmente porque el municipio ha incrementado su número de policías y existe una rotación constante de personal. Por su parte, Cruz Neri señaló que el tema de seguridad es muy sensible y consideró que no puede atenderse únicamente en determinadas temporadas o ante situaciones de emergencia, sino que requiere acciones constantes. Cruz Neri asistió a Tizayuca para la inauguración del Centro de Coordinación para la Paz y la Seguridad (C4 Cecopas), espacio que permitirá coordinar, vigilar y analizar información para mejorar la atención ante emergencias y hechos delictivos que requirió una inversión superior a los 32 millones de pesos.</t>
  </si>
  <si>
    <t>Este fin de semana el titular de Seguridad Pública en Hidalgo, Salvador Cruz Neri estuvo presente en la inauguración del C2 de Tizayuca, en donde tocó el tema de la contratación personal para Seguridad Pública. La presencia de Cruz Neri se da después de la detención del encargado del C2 de Villa de Tezontepec que corresponde a esta región al Valle de Tizayuca y después las declaraciones del presidente de Villa de Tezontepec que señala que: “apenas tenía unos meses, unas semanas en el cargo, no tenía examen de control y confianza estábamos en ese inter y pues lo pusimos”,- bueno no me adelanto porque las declaraciones que da alcalde de Villa de Tezontepec, son tremendas y uno diría, bueno es que es lógico lo que dice Neri acerca de que se necesita tener mucho cuidado al contratar personal de Seguridad. Qué declaraciones del presidente de Villa de Tezontepec y qué respuesta de Salvador Cuz Neri al respecto-. Critica que el policía detenido estaba antes en el área de comunicación y solo por acreditar un curso de manejo de drones, lo ponen a cargo de la videovigilancia del municipio.</t>
  </si>
  <si>
    <t>Hidalgo registró un incremento de 19.84% en las tomas clandestinas detectadas en ductos de hidrocarburos durante el primer trimestre de 2026, al pasar de 610 casos en el mismo periodo de 2025 a 731, de acuerdo con información de IGAVIM, elaborada con datos de Petróleos Mexicanos (Pemex). Con esta cifra, Hidalgo se ubicó entre las entidades con mayor número de perforaciones ilegales a ductos durante los primeros tres meses del año. A nivel nacional, Pemex contabilizó 2 mil 563 tomas clandestinas en ductos de petrolíferos e hidrocarburos, lo que representa un aumento de 4.87% frente a las 2 mil 444 registradas en el primer trimestre de 2025. Los registros indican que, en promedio, durante este periodo se detectó una toma clandestina en ductos de hidrocarburos cada 51 minutos con 27 segundos en el país. En el caso de Hidalgo, Cuautepec de Hinojosa concentró el mayor número de casos, con 202 tomas clandestinas. Le siguieron Santiago Tulantepec, con 52; Tepeapulco, con 51; Nopala de Villagrán, con 46; Singuilucan, con 40; Tula de Allende, con 38; Epazoyucan y Tepetitlán, con 30 cada uno; Atotonilco de Tula, con 29; y Tlaxcoapan, con 27. Otros municipios hidalguenses también registraron perforaciones, entre ellos Ajacuba y San Agustín Tlaxiaca, con 26 casos cada uno; Tetepango, con 23; Tlahuelilpan, con 22; Pachuca de Soto, con 19; Chapantongo, con 17; Tlanalapa, con 16; Atitalaquia, con 15; Huichapan, con nueve; y Mineral de la Reforma, con nueve. El problema del robo de hidrocarburos también se refleja en los aseguramientos realizados por corporaciones de seguridad. Durante 2025, en Hidalgo fueron asegurados 2 millones 794 mil 549 litros de hidrocarburo, casi el doble de los 1 millón 409 mil 699 litros reportados en 2024, lo que representa un incremento de 98%. Del volumen asegurado en Hidalgo el año pasado, 1 millón 225 mil 937 litros correspondieron a acciones de la Guardia Nacional, mientras que 1 millón 568 mil 612 litros fueron decomisados por corporaciones de seguridad estatales. A nivel nacional, los aseguramientos alcanzaron 61 millones 34 mil 659 litros durante 2025, frente a los 15 millones 338 mil 833 litros de 2024, un aumento de 297%. Hidalgo concentró alrededor de 5% del total nacional y ocupó el octavo lugar entre las entidades con mayor volumen asegurado. Los datos muestran que la problemática del robo de hidrocarburos mantiene una presencia importante en Hidalgo, tanto por el número de tomas clandestinas detectadas en sus ductos como por el volumen de combustible asegurado por las autoridades.</t>
  </si>
  <si>
    <t>El día de Hoy hay Rutas de la Transformación para la Reconstrucción, el gobernador va a visitar Zimapán y Nicolás Flores. El gobernador Julio Menchca junto con varios integrantes del gabinete estará allá.</t>
  </si>
  <si>
    <t>Este domingo, pobladores de Nopala, Hidalgo, bloquearon una carretera estatal para protestar contra la construcción de una autopista y durante la manifestación quemaron una patrulla municipal. Esta carretera, pretende atravesar terrenos de la región y conectar la zona con San Juan del Río, Querétaro. La alcaldesa del municipio dijo que la obra ya estaba socializada, tan socializada que hubo protesta e incendio de patrulla. Estos alcaldes que se están quedando por debajo de la expectativas.</t>
  </si>
  <si>
    <t>El alcalde de Ixmiquilpan, Emanuel Hernández el día del cierre de feria visiblemente alcoholizado se subió al escenario y le preguntó a la gente que por quién iban a votar para próximo diputado federal. El problema fue que no le contestaron. Es una falta de oficios, de seriedad y confunde la demagogia, la basura verbal con concomimiento, con temas de gobernanza. Qué vergüenza y tristeza para los ixmiquilpenses que su presidente municipal solo dé la nota cuando está borracho.</t>
  </si>
  <si>
    <t>Mal Desempeño</t>
  </si>
  <si>
    <t>En San Felipe Orizatlán, pobladores retuvieron unas horas a persona del ayuntamiento, esto durante una manifestación por el tema de le exigencia de cumplimiento de obras.</t>
  </si>
  <si>
    <t>Una persona murió y otras seis, resultaron gravemente lesionadas al registrarse un accidente vial registrado ,la mañana de este domingo, en el bulevar Luis Donaldo Colosio. De acuerdo con información de la Policía Estatal, el percance ocurrió a la altura del puente vehicular de la colonia El Palmar, donde un vehículo particular salió de su trayectoria y se impactó contra la barra de contención. Tras el impacto, al lugar acudieron paramédicos y cuerpos de rescate, quienes confirmaron el fallecimiento de una persona a consecuencia de las lesiones sufridas.</t>
  </si>
  <si>
    <t>En cabina Alberto González y Andrés Torres hablan del regreso de la “corcholata” convertido en coordinador territorial en la cuarta circunscripción, Adán Augusto López. Asimismo, hablaron del hijo de AMLO, “Andy”, a quien le retiraron la visa para entrar a Estados Unidos y en este sentido, señala que este tipo de temas no abonan para bien en Morena. Señalan que para Adán Agusto los trabajos electorales serán complejos y se pregunta quién es el líder de Morean en Hidalgo, que no sea el gobernador.</t>
  </si>
  <si>
    <t>Proceso electoral</t>
  </si>
  <si>
    <t>Alberto González</t>
  </si>
  <si>
    <t>Respecto al incendio registrado el día de hoy en Xolostitla de Morelos, municipio de Epazoyucan, la SSPH informa lo siguiente: Durante trabajos de inhabilitación de una toma clandestina por parte de personal de Pemex, en un ducto de hidrocarburo se produjo un incendio.</t>
  </si>
  <si>
    <t>Incendio por huachicol</t>
  </si>
  <si>
    <t>Como parte del Operativo Lechuza, la Secretaría de Seguridad Pública, Tránsito y Vialidad de Pachuca atendió dos reportes ciudadanos relacionados con posibles casos de abandono y maltrato animal, que derivaron en el rescate de cuatro caninos y la atención de un ejemplar sin signos vitales. El primer reporte fue recibido a través de Segurichat y señalaba la presencia de un canino aparentemente abandonado y en condiciones de desnutrición, en un predio de la colonia Cristina Rosas. En un segundo caso, derivado de una denuncia ciudadana difundida en redes sociales, se acudió a un terreno ubicado en la colonia Coronas, donde se reportó la presencia de un canino sin signos vitales. Durante la intervención también fueron localizados tres caninos que se encontraban en aparente situación de abandono, por lo que se solicitó el apoyo del CAIVM para realizar su rescate y traslado a un espacio seguro. Asimismo, se efectuó el levantamiento del ejemplar sin signos vitales. Los cuatro animales rescatados quedaron bajo resguardo de la dependencia municipal para su valoración y atención, como parte de las acciones de respuesta a los reportes ciudadanos y protección animal.</t>
  </si>
  <si>
    <t>El Ayuntamiento de Pachuca, encabezado por el presidente municipal Jorge Reyes, concluyó la primera etapa de los trabajos de iluminación del bulevar Felipe Ángeles, con cobertura total del tramo Téllez–Hospitales. A través de la Dirección de Alumbrado Público, se atendieron 11.8 kilómetros de iluminación, correspondientes a 5.9 kilómetros por cada sentido de circulación, con 562 luminarias LED de 100 watts, 147 brazos metálicos y 381 postes reforzados, colocados sobre 500 dados de cimentación, además de 14 mil 649.5 metros de cable de aluminio tipo 2+1. Con esta intervención, el municipio amplía la cobertura de iluminación en este tramo y fortalece la infraestructura, como parte de una estrategia que mantiene atención permanente en distintos puntos de Pachuca.</t>
  </si>
  <si>
    <t>Hoy hay una marcha de maestros, que iniciará a las 9 de la mañana desde las instalaciones de la SEPH en Pachuca hasta el sindicato de la SNTE.</t>
  </si>
  <si>
    <t>Protesta sindical</t>
  </si>
  <si>
    <t>SEPH beneficia a más de 28 mil estudiantes con programa de salud visual</t>
  </si>
  <si>
    <t>Salud Visual</t>
  </si>
  <si>
    <t>Ochenta y dos municipios ya recibieron tarjetas de programas del pueblo de Sebiso</t>
  </si>
  <si>
    <t>Programas Del Pueblo</t>
  </si>
  <si>
    <t>Radioescucha reporta falta de agua en Valle del Pamar, no cae agua</t>
  </si>
  <si>
    <t>Un hombre murió la madrugada de este lunes luego de que la camioneta de redilas en la que viajaba se impactara contra la parte trasera de un tráiler sobre el Arco Norte.El accidente ocurrió alrededor de las 04:00 horas, a la altura del kilómetro 71+700, en dirección a San Martín Texmelucan, dentro del tramo Tula 2-Tula 1.</t>
  </si>
  <si>
    <t>Accidente Carretero</t>
  </si>
  <si>
    <t>Comentó el conductor Eulalio Larrieta, sobre el accidente vial que se dio el día de ayer en el bulevar Colosio de Pachuca a la altura del puente vehicular de la colonia El Palmar, en el cual una persona murió y tres más resultaron lesionadas. Pide a los conductores tener conciencia de tomar el volante; después de un accidente, nada es igual.</t>
  </si>
  <si>
    <t>Radioescucha comenta que circula un video en redes, que un chofer de taxi agrede a un adulto mayor; pide esclarecer ese tema, esto en Mineral de la Reforma.</t>
  </si>
  <si>
    <t>Autoridades de Mineral de la Reforma advirtieron a comerciantes sobre posibles intentos de extorsión por parte de personas que se hacen pasar por gestores o representantes de Protección Civil Municipal.De acuerdo con los reportes, los presuntos estafadores visitan establecimientos y solicitan dinero para supuestamente agilizar trámites o realizar gestiones, asegurando falsamente que el pago es solicitado por el titular de la dependencia.El gobierno municipal aclaró que ningún servidor público está autorizado para pedir dinero fuera de los procedimientos oficiales ni mediante depósitos o entregas a particulares.El alcalde Eduardo Medécigo Rubio ordenó una investigación para detectar si existe participación de algún funcionario, mientras que el área jurídica prepara la denuncia correspondiente y personal de Reglamentos realiza recorridos para prevenir estos hechos.</t>
  </si>
  <si>
    <t>Alerta De Fraude</t>
  </si>
  <si>
    <t>Enlace clima Luis García de la Conagua en la Republica Mexicana e Hidalgo, zona huasteca máxima de 38 mínima de 18, para la Sierra 29 máxima mínima de 16, Altiplano máxima de 21 mínima de 5, para Pachuca y Tizayuca 23 mínima de 8, en la Zona Tepehua máxima de 27 mínima de 15, Valle de Tulancingo máxima de 21 mínima de 6 en el Valle del Mezquital máxima 26 mínimas de 10 , Huichapan y Tecozayutla máxima 25 y mínima de 9</t>
  </si>
  <si>
    <t>Alerta Meteorológica</t>
  </si>
  <si>
    <t>Radioescucha reporta que una alimentadora, transporta personas de pie , es la ruta 19 , mada imagen</t>
  </si>
  <si>
    <t>Alimentadoras Tuzobús</t>
  </si>
  <si>
    <t>Hidalgo comparte sus tradiciones en el Festival La Tigrada 2026</t>
  </si>
  <si>
    <t>Carnavales</t>
  </si>
  <si>
    <t>A partir de ayer domingo, quienes sean sorprendidos infringiendo esta disposición de transitar por el carril confinado, pueden recibir una sanción económica que va entre 20 y 30 unidades de medida y actualización de la UMA. Usted va a tener dos opciones para pagar: por medio de terminal de pago en ese momento con tarjeta de crédito o débito o hacerlo directo en las oficinas del Sitmah la única diferencia es que le recogen el vehículo en donde debe parar el arrastre y el corralón, según señaló el oficial mayor del gobierno de Hidalgo, Orlando Ángeles, AUDIO APOYO .</t>
  </si>
  <si>
    <t>Oficialía Mayor</t>
  </si>
  <si>
    <t>Un total de 10 automovilistas fueron infraccionados durante el primer día de aplicación de multas por invadir el carril exclusivo del Tuzobús. Así lo informó el Sistema Integrado de Transporte Masivo de Hidalgo.El organismo dio a conocer que ayer, 16 de agosto, realizó un operativo de vigilancia con apoyo de elementos de la Policía Industrial Bancaria del Estado de Hidalgo, como parte del inicio de la etapa de sanciones contra quienes utilicen indebidamente el carril destinado al transporte metropolitano</t>
  </si>
  <si>
    <t>La Secretaría de Movilidad y Transporte de Hidalgo concluyó el periodo de apercibimientos e inició formalmente la aplicación de sanciones económicas a los automovilistas que invadan el carril exclusivo del Sistema de Transporte Metropolitano Tuzobús en Pachuca. Las multas oscilan entre los 2,346 y los 3,519 pesos; las autoridades advirtieron que la infracción debe liquidarse mediante cobro con tarjeta en el sitio o la unidad será remitida al depósito vehicular con apoyo de grúa.</t>
  </si>
  <si>
    <t>Radioescucha Sr. Fidel, pide que den información hasta no existe sancion por ocupar el carril del Tuzobús</t>
  </si>
  <si>
    <t>Comenta conductor que si alguien del Tuzobús le pude dar mas información sobre como pasa en Santa Julia. Comentaron que de Matilde hasta el Estadio Hidalgo son las sanciones y en otros lados</t>
  </si>
  <si>
    <t>El secretario de Educación Pública de Hidalgo, Natividad Castrejón Valdéz, anunció el fortalecimiento del Programa Estatal para la Prevención, Atención y Erradicación de la Violencia Escolar en los centros de educación básica de la entidad. La estrategia integral contempla capacitación a personal docente y directivo, talleres para familias y protocolos de actuación inmediata ante casos de acoso escolar, maltrato, abuso sexual infantil, sexting y ciberacoso.</t>
  </si>
  <si>
    <t>Convivencia Escolar</t>
  </si>
  <si>
    <t>Mediante un operativo coordinado por el C5i, la Policía Estatal y la corporación municipal de Tula de Allende detuvieron en la colonia Centro a un joven de 19 años de edad que contaba con orden de aprehensión vigente dictada en el estado de Oaxaca por el delito de privación ilegal de la libertad. Durante la intervención vial se logró la localización de una menor de edad reportada como desaparecida en aquella entidad, quedando ambos a disposición de las autoridades ministeriales competentes.</t>
  </si>
  <si>
    <t>Coordinación interestatal</t>
  </si>
  <si>
    <t>En coordinación con el Instituto Tecnológico Superior de Huichapan, 36 estudiantes del plantel CECYTE Huichapan concluyeron un seminario de 45 horas enfocado en Internet de las Cosas (IoT) e Industria 4.0. Como proyecto integrador, el alumnado diseñó y automatizó una casa inteligente a escala equipada con sensores de temperatura, control de accesos e iluminación gestionados mediante tarjetas electrónicas y aplicaciones móviles.</t>
  </si>
  <si>
    <t>Evento académico</t>
  </si>
  <si>
    <t>La titular de la Secretaría de Turismo de Hidalgo, Elizabeth Quintanar Gómez, encabeza una gira de evaluación por los municipios de Molango, San Felipe Orizatlán, Atlapexco y Huazalingo para estructurar nuevos corredores turísticos. El proyecto busca aprovechar el potencial gastronómico, artesanal y natural de la región mediante asistencia técnica gubernamental a prestadores de servicios y comunidades locales.</t>
  </si>
  <si>
    <t>Impulso Al Turismo</t>
  </si>
  <si>
    <t>El presidente municipal de Epazoyucan Carlos Montaño dio el reporte sobre el incendio registrado el día de hoy en Xolostitla de Morelos, municipio de Epazoyucan. “En el primer momento al recibir el reporte por parte de la Subsecretaría de Protección Civil se acude al sitio, la unidad municipal toma contacto con personal de Pemex, atendimos a dos lesionados leves estables que fueron trasladados en las ambulancias del municipio, asimismo el personal técnico operativo de la institución le dio a la tarea de evacuar los domicilios cercanos, las personas ya pueden regresar a sus domicilios de acuerdo a la información de Pemex, la situación está controlada, agradecerle”</t>
  </si>
  <si>
    <t>Habitantes del municipio mexiquense de Ajapusco solicitaron la intervención urgente de las corporaciones de seguridad del Estado de México e Hidalgo tras registrarse un asalto múltiple a conductores sobre la autopista México-Tulancingo, a la altura de Santa María Actipac. Reportes de vecinos señalan que sujetos provistos de armas de fuego despojaron de sus pertenencias y vehículos a diversos usuarios de la vía.</t>
  </si>
  <si>
    <t>Inseguridad Carretera</t>
  </si>
  <si>
    <t>Un individuo en presunto estado de intoxicación fue sometido por vecinos en las inmediaciones del paraje Baño Grande, en Mixquiahuala, luego de haber agredido a transeúntes e intentar ingresar por la fuerza a una vivienda particular. Elementos de la policía municipal acudieron al sitio para resguardar al sospechoso ante los intentos de un grupo de colonos por agredirlo físicamente.</t>
  </si>
  <si>
    <t>Justicia Por Propia Mano</t>
  </si>
  <si>
    <t>A través de plataformas digitales se solicita el apoyo de la población de Tezontepec de Aldama para localizar a los familiares de José Luis Pérez Peña, un migrante de 46 años de edad que se encuentra en situación de vulnerabilidad y con afectaciones de salud en Estados Unidos. De acuerdo con los testimonios difundidos, la persona requiere la remisión de sus documentos de identidad o acta de nacimiento para tramitar su repatriación a territorio nacional. AUDIO DE APOYO</t>
  </si>
  <si>
    <t>Localización de persona</t>
  </si>
  <si>
    <t>Radioescucha reporta una lámpara que se fundió en la calle Delegación Agraria, cerca de la calle de Emiliano Zapata.</t>
  </si>
  <si>
    <t>Durante la conferencia de los lunes del gobierno de Hidalgo,la Secretaría de Turismo Liz Quintanar informó que este sector ha crecido en Hidalgo, en un 20% según datos del INEGI, en servicios turísticos, el estado de Hidalgo creció más en todo el país, así es que el 20.9% en servicios turísticos, AUDIO APOYO</t>
  </si>
  <si>
    <t>Mañanera de Hidalgo</t>
  </si>
  <si>
    <t>Desde la conferencia matutina de gobierno del estado de Hidalgo, el coordinador de Comunicación, Edmundo Pineda informó sobre el relleno sanitario en Tezontepec de Aldama, precisando que se trata de un proyecto de una empresa particular y no del Gobierno de la entidad; informó que la Semarnarth no ha emitido ningún permiso sobre este relleno sanitario y que la instalación de un relleno sanitaria es un proceso y que la Semarnarth tiene la facultada para aplicar alguna sanción. , AUDIO APOYO</t>
  </si>
  <si>
    <t>En los círculos de diálogo presentados hoy durante la conferencia de prensa de los lunes es de gran importancia,el tema que se manejo hoy es el suministro de agua potable, el trabajo que lleva a cabo el gobierno que encabeza Julio Menchaca Salazar y que ha realizado para dotar el vital líquido a miles de familias hidalguenses, AUDIO VIDEO APOYO</t>
  </si>
  <si>
    <t>Como parte de los festejos dedicados a las personas adultas mayores durante agosto, el Gobierno del Estado de Hidalgo puso en marcha una cartelera de eventos culturales, recreativos y de salud en municipios como Pachuca, Actopan, Tepeapulco y Tulancingo. La programación incluye el primer encuentro de danza Al son del corazón en el Teatro Hidalgo, talleres de estimulación cognitiva, fomento a la lectura, capacitación para buscadores de empleo y pláticas para la prevención de extorsiones. AUDIO DE APOYO</t>
  </si>
  <si>
    <t>Mes Del Adulto Mayor</t>
  </si>
  <si>
    <t>Vía telefónica, Edda Vite, presidenta del Patronato del Sistema DIF Hidalgo, con el tema adultos en plenitud. Comentó que en este mes se celebra el “Mes del adulto mayor”; este viernes 21 y sábado 22 de agosto se llevará a cabo la 3.ª edición en las instalaciones de la feria de 11 de la mañana a 5 de la tarde. Podrán encontrar actividades para la salud, cultura, rifas, activación cognitiva, talleres, juegos recreativos y más; es un evento pensado para ellos en todos los aspectos. Los boletos para entrar se encuentran disponibles en las instalaciones centrales del DIF Hidalgo, en la junta general de asistencia y en el Centro de Rehabilitación Integral de Hidalgo (CRIH); son totalmente gratis y los acompañantes entran sin boleto; el boleto es para que ellos puedan participar en la rifa</t>
  </si>
  <si>
    <t>DIFH</t>
  </si>
  <si>
    <t>Enlace clima Luis García de la Conagua en la Republica Mexicana e Hidalgo, informo que se mantiene monitoreo de presas en el estado de Hidalgo : Presa Endhó: 100.5 por ciento de su capacidad ,Presa Taxhimay: 62.5 por ciento, Presa Rojo Gómez: 77.5 por ciento , Presa Requena: 82.3 por ciento y Presa Vicente Aguirre: 59.7 por ciento de almacenamiento.</t>
  </si>
  <si>
    <t>Monitoreo De Presas</t>
  </si>
  <si>
    <t>El representativo del municipio de Atitalaquia, en representación del estado de Hidalgo, se proclamó campeón invicto de la fase regional Zona Centro del torneo Mundial Mujeres Libres 2026 disputado en Puebla. Tras registrar un paso perfecto con 16 goles a favor y cero en contra —incluyendo victorias de 8-0 ante la Ciudad de México y triunfos de 4-0 frente a San Luis Potosí y el Estado de México—, el cuadro hidalguense obtuvo su clasificación a la etapa nacional del certamen impulsado por la Secretaría de Mujeres Federal.</t>
  </si>
  <si>
    <t>Mundial De Futbol</t>
  </si>
  <si>
    <t>El Instituto Mexicano del Seguro Social (IMSS) en Hidalgo exhortó a las mujeres a acudir a su Unidad de Medicina Familiar (UMF) para realizarse estudios preventivos que permitan detectar oportunamente el cáncer cervicouterino.En el marco del Día Nacional de la Lucha contra el Cáncer Cervicouterino, conmemorado el 9 de agosto, Nadia Cerón Pérez, enfermera Supervisora de Salud Pública del IMSS en Hidalgo, explicó que este tipo de cáncer suele desarrollarse a partir de cambios graduales en las células del cuello uterino, generalmente relacionados con infecciones persistentes por Virus del Papiloma Humano (VPH).</t>
  </si>
  <si>
    <t>El secretario de Bienestar e Inclusión Social, Ricardo Gómez Moreno, informó que durante la presente semana concluirá la dispersión de tarjetas bancarias de programas sociales en los 84 municipios de la entidad. Tras realizar 61 operativos en 82 demarcaciones con 33 mil plásticos entregados en una primera fase, la dependencia prevé alcanzar la meta de 39 mil beneficiarios al cumplimentar las jornadas finales en Lolotla y Molango, además de habilitar una sede para casos rezagados AUDIO DE APOYO</t>
  </si>
  <si>
    <t>Ochenta y dos municipios ya recicieron tarjetas de programas del pueblo</t>
  </si>
  <si>
    <t>Pobladores de la comunidad de El Jagüey, en Nopala de Villagrán, prendieron fuego a una unidad de la Policía Municipal y bloquearon la vía estatal Nopala-Huichapan en protesta por la construcción de un tramo carretero de 96 kilómetros vinculado al Arco Norte que fragmentaría terrenos ejidales. La manifestación escaló tras la inasistencia de la presidenta municipal, Diana Moreno Rea, a la mesa de concertación convocada por los habitantes. AUDIO DE APOYO</t>
  </si>
  <si>
    <t>Desde la conferencia matutina de gobierno del estado de Hidalgo, el coordinador de Comunicación, Edmundo Pineda informó sobre lo ocurrido en Nopala de Viilagran, con la quema de patrulla municipal. Comentó “ Como título personal, que la violencia de ninguna manera puede ser método y tampoco fin, la apuesta hoy es una mesa de diálogo, donde convergen tanto la instancia federal como la concesionaria de esta carretera”, AUDIO APOYO</t>
  </si>
  <si>
    <t>Docentes de educación básica convocaron a una concentración pacífica frente a las oficinas de la representación federal de la SEP en Pachuca, ubicadas sobre el bulevar Felipe Ángeles en Venta Prieta. Los profesores inconformes solicitan la revisión de los puntajes del proceso de promoción horizontal tras señalar supuestas inconsistencias en la aplicación del examen a cargo de la USICAMM, entre ellas el presunto uso de herramientas de inteligencia artificial por parte de aspirantes y la asignación de evaluaciones desalineadas al perfil profesional.</t>
  </si>
  <si>
    <t>Un total de 105 ejemplares de fauna silvestre han sido rehabilitados y reintegrados a su hábitat natural durante 2026, como resultado del trabajo de la Unidad de Rescate, Rehabilitación y Reubicación de Fauna Silvestre de Pachuca.En la más reciente jornada fueron liberados 23 ejemplares que concluyeron satisfactoriamente su proceso de rehabilitación, con la participación de la Procuraduría Federal de Protección al Ambiente (PROFEPA), la Reserva de la Biósfera de Metztitlán y las direcciones de Ecología de Atotonilco El Grande y Eloxochitlán.</t>
  </si>
  <si>
    <t>Rehabilitación animal</t>
  </si>
  <si>
    <t>Durante el ciclo escolar 2025-2026, la Secretaría de Educación Pública de Hidalgo ejecutó cerca de 118 mil evaluaciones visuales en más de 900 escuelas primarias, secundarias y 22 Centros de Atención Múltiple (CAM). A través del programa Ver Bien para Aprender Mejor, se entregaron apoyos graduados a 28,600 alumnos con deficiencias agudezas visuales, concentrándose la mayor cobertura en Pachuca, Mineral de la Reforma, Atotonilco de Tula, Tepeji del Río, Zempoala y Acatlán.</t>
  </si>
  <si>
    <t>A través de denuncias canalizadas al espacio informativo Enfoque Regional, el ciudadano González reportó que camiones de volteo y transporte de carga circulan de manera continua sobre la calle lateral a El Conchal, en Tula de Allende. Los habitantes hicieron un llamado a la Dirección de Movilidad municipal para regular el paso de unidades pesadas y prevenir el deterioro prematuro de la cinta asfáltica recién pavimentada.</t>
  </si>
  <si>
    <t>Radioescucha reporta que Caasim fue a reparar la fuga de agua, y dejo todo el escombro en en Santa Julia</t>
  </si>
  <si>
    <t>Por primera vez, en el marco de la tradicional Feria de Nuestra Señora de los Angelitos, el Gobierno Municipal de Tulancingo, a través de la Secretaría de Fomento Económico, entregó el galardón “Alas de Excelencia”, reconocimiento que distingue la calidad, identidad, atención y trayectoria de quienes participan en esta celebración. El Ángel de Oro, correspondiente al primer lugar, fue para Churros “El Huevo”, establecimiento que destacó en los diferentes aspectos considerados por el comité evaluador, entre ellos, la calidad de sus productos, la atención al cliente y la imagen personal. El Ángel de Plata, segundo lugar, correspondió al famoso Pan del Viejito, que cuenta con 93 años de trayectoria. El tercer lugar fue para Gibrán Vidales, expositor con 30 años de participación, dedicado a la elaboración y comercialización de artesanías, tazas y jarritos de Michoacán. Además, se entregó el reconocimiento especial “Ángel Distinguido por Trayectoria” a Dulcería Angelita, por sus 101 años de participación en esta tradicional festividad, con la venta de dulces típicos, convirtiéndose en un referente de continuidad y preservación de las costumbres que distinguen a la Feria de Nuestra Señora de los Angelitos.</t>
  </si>
  <si>
    <t>Locutor Jesús Riveros da lectura a comentario de radioescucha que reporta al chofer de la ruta Centro-Paraíso con número económico A56679K, el chofer fue muy grosero con una adulta mayor, no le quizá aplicar el descuento y reto al usuario para que le haga como vea, hacen un llamado a las autoridades correspondientes.</t>
  </si>
  <si>
    <t>Locutor Jesús Riveros da salida a reporte de radioescucha que reporta cobros excesivos por parte de taxistas en la Expo Feria de Tulancingo, hacen un llamado a las autoridades de Movilidad y Transporte.</t>
  </si>
  <si>
    <t>Capacita SEPH en inglés a docentes y personal educativo</t>
  </si>
  <si>
    <t>Capacitación docente</t>
  </si>
  <si>
    <t>Firman Secretaría de Cultura y La Salle Pachuca convenio de colaboración</t>
  </si>
  <si>
    <t>Firma De Convenio</t>
  </si>
  <si>
    <t>UPN-Hidalgo fortalece su sede en Tenango de Doria con nueva infraestructura</t>
  </si>
  <si>
    <t>Entrega de infraestructura escolar</t>
  </si>
  <si>
    <t>La mañana de este domingo 16 de agosto de 2026 marca el inicio de la suspensión de líneas telefónicas en México por falta de registro. La medida afecta directamente a los usuarios cuyos números terminan en el dígito cero y que no completaron la vinculación de su identidad con su servicio móvil antes de la fecha límite del sábado 15 de agosto. Esta disposición oficial de la Comisión Reguladora de Telecomunicaciones (CRT) busca disminuir la extorsión y delitos cometidos desde el anonimato. Las autoridades fijaron un calendario para que los ciudadanos asocien su Clave Única de Registro de Población (CURP) a sus celulares. Una vez vencido el plazo que corresponde a cada dígito, las compañías telefónicas suspenderán el servicio de aquellas líneas que no hayan sido vinculadas en las siguientes 72 horas. Los usuarios afectados perderán el acceso a datos móviles, envío de mensajes de texto y la capacidad de realizar llamadas convencionales. A pesar de la restricción, los dispositivos mantendrán funciones de seguridad básicas. Los ciudadanos con líneas suspendidas solo podrán realizar llamadas a números de emergencia, de atención ciudadana y a su compañía telefónica, así como recibir alertas en caso de sismo. La pérdida del servicio no es definitiva para quienes omitieron el trámite. Una vez que se vincule la línea, la compañía telefónica restablecerá todos los servicios (llamadas, mensajes y datos móviles) de manera automática.</t>
  </si>
  <si>
    <t>El Instituto Hidalguense del Deporte (INHIDE) participó en la clase masiva de boxeo "Puños de Transformación", la cual se llevó a cabo el domingo 16 de agosto de 2026, participaron las 32 entidades federativas, con el propósito de promover la activación física, los estilos de vida saludables y la participación comunitaria.</t>
  </si>
  <si>
    <t>Gobierno de Hidalgo mantiene actividades gratuitas por el Mes de las Personas Mayores.</t>
  </si>
  <si>
    <t>Saderh e INIFAP fortalecen colaboración para fortalecer el campo hidalguense. (AUDIO NGP).</t>
  </si>
  <si>
    <t>Saderh</t>
  </si>
  <si>
    <t>Mesas de Acercamiento de Bienestar y Paz llegan a San Bartolo Tutotepec</t>
  </si>
  <si>
    <t>En operativo interestatal Hidalgo-Oaxaca, SSPH detiene a hombre con orden de aprehensión y resguarda a menor en Tula</t>
  </si>
  <si>
    <t>En vivo desde la conferencia matutina señalan, Juan Carlos Santamaría informó que María Elena Carballal Ogando, presidenta de la Cámara Nacional de la Industria de Restaurantes y Alimentos Condimentados en Hidalgo, dio a conocer que el verano pasado, la industria restaurantera registró un ingreso de 262 mdp y que para este verano la expectativa es que se superen los 170 mdp en derrama económica para los empresarios del ramo, principalmente en los corredores turísticos de Ixmiquilpan, Tecozautla, Huasca, Mineral del Chico, Mineral del Monte y por supuesto Pachuca.</t>
  </si>
  <si>
    <t>En su colaboración semanal, Gustavo Rosales informó que el Ayuntamiento de Pachuca, mediante el Instituto Municipal para la Juventud (IMJUPA), convoca oficialmente a la Rodada Ciclista Juvenil Pachuca 2026, un evento de 11 kilómetros organizado para conmemorar el Mes de la Juventud. La cita deportiva busca fomentar el deporte, la convivencia y el uso de transportes sustentables en la capital hidalguense.</t>
  </si>
  <si>
    <t>Rodada ciclista</t>
  </si>
  <si>
    <t>En vivo desde la conferencia matutina señalan, Juan Carlos Santamaría informó que la secretaria de Turismo dio a conocer que Hidalgo es la entidad con mayor crecimiento en servicios turísticos en el país, con un 20.9 por ciento, lo anterior, de acuerdo al INEGI. De igual manera, informó que hidalgo será sede de la competencia internacional de Turismo y Aventura en octubre próximo. Asimismo, dio a conocer que se iniciaron los trabajos para el “Parador Turístico” en El Cardonal con una inversión inicial de 16 mdp en una primera etapa.</t>
  </si>
  <si>
    <t>En vivo desde la conferencia matutina señalan, Juan Carlos Santamaría informó que, el coordinador de Comunicación, Edmundo Pineda destacó tres puntos sobre el relleno sanitario en Tezontepec de Aldama, precisando que se trata de un proyecto de una empresa particular y no del Gobierno de la entidad; también dijo, que la Semarnarth no ha emitido ningún permiso sobre este relleno sanitario y que la instalación de un relleno sanitaria es un proceso y que la Semarnarth está facultada en cualquier momento para iniciar procedimientos legales en caso de incurrirse en alguna falta.</t>
  </si>
  <si>
    <t>En vivo desde la conferencia matutina señalan, Juan Carlos Santamaría informó que inició la conferencia de prensa a cargo del coordinador de Comunicación, Edmundo Pineda con la presentación de los “círculos de dialogo” actividad encabezada por el gobernador Julio Menchaca, en donde se abordó el tema del agua en la entidad.</t>
  </si>
  <si>
    <t>Cuatro municipios avanzan en la integración de nuevas rutas y experiencias turísticas</t>
  </si>
  <si>
    <t>Juan Carlos Santamaría transmite en vivo desde las instalaciones de la conferencia matutina semanal del Gobierno de Hidalgo, reporta el ingreso a la Sala del Pueblo del coordinador de Comunicación, Edmundo Pineda López acompañado de titulares de la secretaría de Turismo, Cultura, Cedspi.</t>
  </si>
  <si>
    <t>Con Agrofly, Conalep Hidalgo siembra innovación</t>
  </si>
  <si>
    <t>Innovación tecnológica</t>
  </si>
  <si>
    <t>Saderh e INIFAP fortalecen colaboración para fortalecer el campo hidalguense</t>
  </si>
  <si>
    <t>Erik Nava</t>
  </si>
  <si>
    <t>La Secretaría de Bienestar e Inclusión Social continúa con la conmemoración del mes de las personas mayores, mediante una amplia programación gratuita diseñadas para reconocer y civilizar y celebrar la participación en las personas mayores desde 60 años, así como promover espacios que contribuyen a su bienestar integral. En este marco el Instituto Para la atención de las y los adultos mayores al Estado de Hidalgo mantiene un programa semanal en coordinación con diversas instituciones, con actividades que buscan fomentar la convivencia y el bienestar de este sector de la población. Al respecto La directora general del Instituto para la Atención de las y los Adultos Mayores del Estado, Penélope Apoda destacó que se fomenta a la convivencia Y se brindan espacios de recreación Para las personas. Cabe destacar que en continuidad con esta agenda durante los próximos días se desarrollaran diversas actividades en distintos municipios, tales como Tulancingo, Actopan y Tepeapulco</t>
  </si>
  <si>
    <t>Se acaba de presentar una carambola a la altura del Puente Atirantado en el bulevar Colosio de Pachuca, dejando severa carga vehicular. En el lugar ya se encuentran las autoridades y por fortuna no hay lesionados.</t>
  </si>
  <si>
    <t>Una emergencia en un ducto de Petróleo Mexicanos (Pemex), movilizó a cuerpos de auxilio en la comunidad de Xolostitla, esto es el municipio de Epazoyucan, luego de registrarse un incendio que dejó dos trabajadores de Pemex lesionados. De acuerdo con los primeros reportes, información que emitieron las autoridades, el fuego habría comenzado tras una acumulación de gas, aunque la autoridad reconoció que se estaba realizando una reparación en este ducto debido a una toma clandestina hallada hace algunos días y los trabajadores realizaban la reparación del producto cuando la acumulación de gas provocó la explosión. Los dos trabajadores recibieron atención para médicos, mientras personal especializado de Pemex y cuerpos de emergencia aseguraron el perímetro. Además, que al menos ocho familias fueron evacuadas en la zona debido a qué estaba muy cerca este educto de zonas habitacionales. La zona finalmente fue resguardada mientras que se realizaron las maniobra para descartar cualquier riesgo y sobre todo terminar con la reparación que realizaban los trabajadores de Petróleos Mexicanos.</t>
  </si>
  <si>
    <t>Lo que comenzó como una protesta con caballos, pancartas y reclamos contra la construcción de una autopista terminó escalando hasta el incendio de una patrulla de la Policía Municipal en Jagüey Blanco, #NopalaDeVillagrán. Durante este sábado, habitantes de tres localidades participaron en una cabalgata para manifestarse contra el proyecto de una autopista de aproximadamente 96 kilómetros, que, según denuncian, atravesaría su comunidad y podría afectar viviendas, parcelas y construcciones que forman parte de su patrimonio. Los pobladores también acusaron falta de información y transparencia sobre la obra. Aunque el proyecto estaría previsto para iniciar en febrero, aseguran que ya comenzaron las mediciones en distintos puntos de la zona. Más tarde, la protesta subió de tono. Los manifestantes mantuvieron bloqueada la carretera estatal que comunica con Huichapan y Tula y, en medio de la tensión, rociaron gasolina y prendieron fuego a una patrulla municipal. Los inconformes exigen la presencia de autoridades para dialogar y atender sus demandas antes de que el proyecto avance. De una cabalgata de protesta a una patrulla incendiada: el conflicto por la autopista ya encendió los ánimos en Nopala.</t>
  </si>
  <si>
    <t>La Secretaría de Educación Pública de Hidalgo reportó que durante el ciclo escolar 2025-2026, más de 28.000 estudiantes de educación básica recibieron atención a través del programa “Ver bien para aprender mejor”, enfocado en detectar oportunamente problemas de salud visual, que pueden afectar al desempeño escolar. A través la Dirección de Servicios de Apoyo a la Educación, el programa llegó a más de 900 escuelas de educación básica y 22 Centros de Atención Múltiple de la entidad. En total se realizaron 117,790 detecciones optométricas con las que fue posible identificar alteraciones en la visión entre niñas y niños. De acuerdo con la Secretaría de Educación Pública de Hidalgo, fueron 28.685 estudiantes los beneficiados directamente con estas acciones, que buscan favorecer mejores condiciones para su aprendizaje y desarrollo académico. Entre los municipios con mayor número de detecciones se encuentra Mineral de la Reforma, con 11 mil once revisiones y 4.488 estudiantes beneficiados. Le sigue Pachuca de Soto, donde se realizaron 11.588 detecciones y se atendió a 4443 estudiantes; también destacan Atotonilco de Tula, con 899 detecciones; Tepeji del Río, con 7, 456; Zempoala, con 5,186 y Acatlán donde se realizaron 3,113 revisiones optométricas. El programa se desarrolla con la colaboración de la Fundación “Ver Bien para Aprender Mejor”, que participa en las acciones de atención visual dentro de las escuelas. La detección oportuna permite identificar problemas, qué si no son atendidos, pueden dificultar actividades como leer, escribir o seguir las clases. Con este programa, las autoridades educativas buscan que las condiciones de salud visual no representen un obstáculo para el desempeño escolar de niñas niños y adolescentes</t>
  </si>
  <si>
    <t>Juancarlo Santamaría: Muchas felicidades este gran equipo, esta gran representación y de alguien se que tuvo esta actuación pues no solamente perfecta sino además contundente. Y ante qué rival es Ciudad de México, Estado del México 16 goles a favor e ninguno encontraba muchas felicitades.</t>
  </si>
  <si>
    <t>Hidalgo conquista el campeonato regional del torneo Mundial Mujeres Libres 2026</t>
  </si>
  <si>
    <t>Durante la conferencia de prensa por autoridades el gobierno de Hidalgo se dio conocer que la entidad se posicionó como el estado con mayor crecimiento del país en materia de servicios turísticos con un incremento del 20. 9%, así lo informó la Secretaría de Turismo Estatal. Además de dar a conocer el inicio del Parador Turístico de Cardonal, ubicado en la zona de llegadas a las Grutas de Tolantongo. En el sector restaurantero Canirac estima que durante la temporada vacacional del verano, el consumo podría alcanzar los ciento setenta millones de pesos. Elena Carvallal aclaró que se trata de una estimación y no de una cifra de cierre, aunque destacó el dinamismo que mantiene el sector. En materia de Cultura, la titular de esta dependencia Neyda Naranjo dio conocer los resultados de la Feria internacional de Libro Infantil y Juvenil 2026, que registró 32.281 asistentes; además de la comercialización de 11.501 libros con ventas superiores a 1.295 mil pesos. La Secretaria de Cultura, destacó además la de centralización de esta feria, que este año llegó a 12 municipios a través de las rutas Otomó-Tepehua, Sierra Gorda y Huasteca, donde se realizaron más de 60 actividades. Finalmente, Prieco Manuel Gutiérrez, titular de la Comisión Estatal para el Desarrollo Sostenible de los Pueblos Indígenas dio conocer que realizaron un homenaje a la partería tradicional indígena, reconociendo la labor demás de mil quinientas parteras indígenas. Así como la entrega de bastones de mando a indígenas representantes, en diferentes regiones en un acto que reunió representantes de los poderes Ejecutivo, Legislativo y Judicial.</t>
  </si>
  <si>
    <t>Al menos tres personas resultaron lesionadas luego de un choque frontal entre dos unidades de transporte público ocurrido sobre la carretera Huejutla-Candelaria.; incluso uno de los vehículos se incendió, quedando totalmente calcinado. De acuerdo con pasajeros que viajaban en una camioneta Nissan tipo Estaquitas, procedente de la comunidad de Tecacahuaco, Atlapexco, el accidente ocurrió después de que uno de los neumáticos de la unidad se ponchara. El conductor habría perdido el control del vehículo y terminó impactándose de frente contra una Urvan que cubría la ruta Huejutla-Xochiatipan. Después del choque, la camioneta Nissan comenzó a incendiarse, por lo que sus ocupantes descendieron rápidamente y lograron ponerse a salvo antes de que las llamas se extendieran. En tanto, los ocupantes de la Urvan tuvieron dificultades para salir debido a que la unidad terminó fuera de la superficie de rodamiento, por lo que algunos tuvieron que evacuar por las ventanas. Al sitio acudieron elementos del cuerpo de Bomberos, quienes trabajaron para sofocar el incendio, mientras que paramédicos de la Cruz Roja atendieron a los lesionados. Entre los afectados se encontraba el conductor de la Urvan, así como otro pasajero que presentó una herida en el brazo; un tercer pasajero sufrió diversas contusiones, aunque estas no fueron consideradas de gravedad y no requirió traslado médico.</t>
  </si>
  <si>
    <t>Accidente transporte público</t>
  </si>
  <si>
    <t>Avanza entrega regional de tarjetas para personas cuidadoras en Hidalgo</t>
  </si>
  <si>
    <t>El reconocimiento internacional de la Comarca Minera como Geoparque Mundial está nuevamente bajo revisión, un proceso que podría definir la continuidad de este distintivo para nueve municipios de Hidalgo. La evaluación contempla a Omitlán de Juárez, Mineral del Chico, Huasca de Ocampo, Mineral del Monte, Atotonilco el Grande, Singuilucan, Epazoyucan, Mineral de la Reforma y Pachuca, territorios que concentran parte importante de los atractivos geológicos, naturales y culturales de la región. Especialistas de la UNESCO provenientes de Ecuador y Uruguay recorrieron la zona para analizar no sólo sus características geológicas, sino también la manera en que se están conservando los sitios, el manejo turístico y la participación de las comunidades. El resultado se conocerá en aproximadamente tres meses. La evaluación será determinante para saber si Hidalgo conserva el nombramiento obtenido en 2017 y que actualmente comprende 31 geositios. Mientras se desarrolla este proceso, la actividad turística mantiene una tendencia favorable en la entidad. De acuerdo con cifras del INEGI, los servicios relacionados con el turismo crecieron 20.9 por ciento durante el último año, principalmente en los sectores de hospedaje y alimentos. Como parte de la estrategia para fortalecer el turismo regional, en Cardonal se proyecta un nuevo Parador Gastronómico y Turístico, con una inversión total estimada de 46 millones de pesos. El espacio concentrará gastronomía, artesanías y medicina tradicional de la zona.</t>
  </si>
  <si>
    <t>A partir del martes 18 de agosto, serán recibidas solicitudes y documentos para obtener un crédito financiero sin pago de intereses, por parte del Gobierno Municipal de Tulancingo. Serán 64 microcréditos dentro de los programas Transforma Tulancingo y Mujer Emprende y Transforma, donde se ofrecen apoyos financieros por 5 mil y 10 mil pesos a un esquema de 25 pagos semanales. Los apoyos financieros se otorgan a comerciantes en pequeño así como a mujeres con algún emprendimiento; uno de los requisitos básicos es que sean habitantes de Tulancingo. En el caso del programa Mujer Emprende y Transforma, las participantes reciben una capacitación para el manejo adecuado de sus proyectos y que estos tengan resultados positivos. Además de la solicitud de apoyo, las personas que busquen ingresar a alguno de los dos programas deben presentar identificación oficial, CURP, comprobante de domicilio y fotografías de la persona solicitante o del negocio. Además, quienes participen en Transforma Tulancingo deberán contar con licencia de funcionamiento de sus negocios. Mientras que las beneficiarias de Mujer Emprende y Transforma deberán acreditar un curso de negocios de 10 sesiones. Las bases completas de participación están publicadas en las páginas oficiales del Gobierno Municipal y de la Secretaría de Fomento Económico. La recepción de documentos comenzará este martes 18 de agosto, de lunes a viernes, de 8:30 de la mañana a 4 de la tarde, hasta alcanzar el cupo establecido.</t>
  </si>
  <si>
    <t>Impulso a mujeres emprendedoras</t>
  </si>
  <si>
    <t>En cabina Dulce Galloso del Club rotario Tulancingo y Roberto Romero, presidente del Club informaron que se llevará a cabo una Macrojornada de salud visual denominada "A ver a ver", en coordinación con la Comisión Estatal de los Pueblos Indígenas y la Fundación Nosotros Servimos. Invitan a la población a que aparten su consulta y este jueves acudan a las instalaciones del Club Rotario. Ahí, se les hará examen de la vista y entrega de lentes.</t>
  </si>
  <si>
    <t>Radioescucha: 6 días sin agua en la Colonia Vicente Guerrero de Tulancingo.</t>
  </si>
  <si>
    <t>Unidad de Planeación identifica predios para el Programa de Vivienda para el Bienestar</t>
  </si>
  <si>
    <t>Reconocimiento</t>
  </si>
  <si>
    <t>Elementos de la Dirección de Seguridad Pública Municipal de Huasca de Ocampo paralizaron labores y se manifestaron en la sede del palacio municipal. Los uniformados exigieron de manera tajante un incremento salarial, el pago de prestaciones de ley y la dotación urgente de equipo básico para poder realizar su trabajo. Pese a que se pedía su presencia, el presidente municipal, Luis Felipe Lugo Salinas, no atendió a los manifestantes. En su lugar, envió al secretario municipal, Mauricio Ángeles Cruz, y al tesorero, David Ortiz Nieto. Tras escuchar sus demandas, señalaron que se realizará una evaluación para la adquisición de los faltantes, equipo, uniformes. patrullas. Sin embargo no se abundó en el tema de los sueldos.</t>
  </si>
  <si>
    <t>Una persona lesionada fue el resultado de una riña registrada en calles del centro de Tulancingo, la tarde noche del lunes 17 de agosto. Testigos refieren que los tripulantes de un automóvil y unas motocicleta discutían, al tiempo que circulaban sobre avenida Juárez, en el centro de la ciudad. Elementos policiacos acudieron al sitio, deteniendo a los dos ocupantes de la motocicleta y asegurando dicho vehículo. Elementos de Bomberos y Protección Civil atendieron al adulto lesionado, para después trasladarlo para recibir atención médica especializada.</t>
  </si>
  <si>
    <t>riña</t>
  </si>
  <si>
    <t>Aunque se había anunciado que el documental “Tulancingo Extraordinario” estaría disponible incluso a nivel internacional en plataformas digitales, su distribución aún es limitada. En conferencia de prensa, la titular de la Secretaría de Fomento Económico municipal, Minerva Rosales Gayosso, señaló que están a la espera de que se ponga disponible, por ejemplo, en Amazon Prime. “En el contrato se especificó que se iban a transmitir en la plataforma Amazon Prime, entonces estamos en espera de que esta plataforma nos lo pueda transmitir. Estamos en lista de espera y eso no depende de nosotros”, señaló. A inicios del mes de diciembre del año pasado, se llevó a cabo la presentación de los avances de dicha producción. En ese momento, Fernando Sáenz de Miera, agregador internacional de contenido, informó que el documental será distribuido en diversas plataformas y canales culturales a nivel internacional, priorizando audiencias interesadas en la cultura y tradiciones mexicanas. Detalló que la estrategia de distribución se realizará por fases, comenzando con plataformas como Butaca TV, que cuenta con una audiencia de 1.8 millones de suscriptores, principalmente en Estados Unidos. Por su parte, en entrevista, Julio Mariano Castro auxiliar de la Dirección municipal de Turismo, puntualizó que el documental tuvo una inversión por aproximadamente 300 mil pesos. Puntualizó que el documental está disponible para México precisamente en Canal 22, así como en la plataforma digital Rocku TV; mientras que a nivel internacional es parte del catálogo de la plataforma Uvo TV.</t>
  </si>
  <si>
    <t>Promoción turística</t>
  </si>
  <si>
    <t>La violencia familiar mantiene una fuerte presencia en la agenda judicial de Hidalgo. Tan solo durante los primeros siete meses de 2026, el distrito judicial de Pachuca acumuló mil 125 asuntos relacionados con este delito. Ante este panorama, el Poder Judicial estatal decidió poner en marcha un juzgado especializado que concentrará la atención de los casos de violencia familiar contra las mujeres y sus posibles consecuencias en materia familiar. El nuevo Juzgado Especializado en Violencia Familiar en contra de las Mujeres comenzará funciones en septiembre y tendrá competencia mixta, lo que permitirá abordar en un mismo espacio los asuntos que estén vinculados con un mismo contexto de violencia, cuando la legislación lo permita. La intención es modificar la ruta que actualmente enfrentan muchas víctimas, quienes pueden verse obligadas a acudir a diferentes instancias para atender cada aspecto de su situación. Con el nuevo esquema se pretende reducir traslados, tiempos y costos, además de evitar que las mujeres tengan que repetir constantemente el relato de los hechos. Cuando exista sustento jurídico y consentimiento de la víctima, el órgano también podrá atender asuntos como pensión alimenticia, custodia, convivencia y medidas de protección, además de los procedimientos penales correspondientes. Con la puesta en marcha de este juzgado, prevista para septiembre, las autoridades judiciales buscan que las víctimas encuentren una ruta más directa para acceder a la justicia y que un mismo episodio de violencia no termine convertido en múltiples procesos separados.</t>
  </si>
  <si>
    <t>TSJEH</t>
  </si>
  <si>
    <t>Erradicación Violencia De Género</t>
  </si>
  <si>
    <t>El día de hoy habrá sesión en el Congreso en donde se analizarán diversas iniciativas.</t>
  </si>
  <si>
    <t>Trabajo legislativo</t>
  </si>
  <si>
    <t>Ayer algunos maestros realizaron una convocatoria para una marcha pacífica a realizarse por la mañana, marchando desde instalaciones de la SEPH hasta las instalaciones del SNTE. Sin embargo, no llegó nadie, solo llegaron los reporteros.</t>
  </si>
  <si>
    <t>En operación línea de alcantarillado sanitario en el barrio de San Juan Pachuca</t>
  </si>
  <si>
    <t>Sustitución de tubería</t>
  </si>
  <si>
    <t>El presidente municipal de Pachuca, Jorge Reyes, supervisó el avance de los trabajos para la instalación de cámaras de videovigilancia que se desarrollan en Santa Matilde, Barrio El Judío, Tlapacoya, Huixmí, Villas de Pachuca, La Palma y C. Doria, como parte de la estrategia para ampliar la infraestructura tecnológica de seguridad en el municipio. Los trabajos contemplan la colocación de los dispositivos en puntos definidos de acuerdo con las características de cada zona, con el propósito de mejorar la capacidad de observación en áreas de tránsito y actividad cotidiana. Esta infraestructura representa un respaldo para las labores operativas de las corporaciones, al proporcionar elementos que pueden contribuir al análisis y seguimiento de hechos, así como a la toma de decisiones ante situaciones que requieran una intervención.</t>
  </si>
  <si>
    <t>ITESA avanza a etapa regional de InnovaTecNM con seis proyectos</t>
  </si>
  <si>
    <t>SEPH coordina acciones para regreso a clases</t>
  </si>
  <si>
    <t>Regreso A Clases</t>
  </si>
  <si>
    <t>Inversión de 850 mdp impulsará reconstrucción de Tlahuiltepa</t>
  </si>
  <si>
    <t>Destinan más de 326 mdp para obras en Nicolás Flores</t>
  </si>
  <si>
    <t>Se recuperan más de 7 millones de litros de combustible ilegal</t>
  </si>
  <si>
    <t>Reunión Gabinete De Seguridad</t>
  </si>
  <si>
    <t>El cuerpo de una persona envuelto en cobijas y semidevorado por la fauna, fue localizado en el municipio de Tlanalapa. De acuerdo con la policía municipal, mediante una llamada de emergencia se dio aviso sobre la localización de un cuerpo en la calle Miguel Hidalgo. Al arribar al lugar los oficiales, tomaron contacto con un pastor el cual dio a conocer que al estar arreando sus borregos localizó el cuerpo. Al inspeccionar la zona las autoridades localizaron un cuerpo de un sujeto envuelto en cobijas y ya era devorado por la fauna. Por dicho hecho personal de la Procuraduría General de Justicia del Estado de Hidalgo (PGJEH), inició la carpeta de investigación correspondiente</t>
  </si>
  <si>
    <t>PGJEH</t>
  </si>
  <si>
    <t>Localización de cuerpo</t>
  </si>
  <si>
    <t>Se localizó una persona sin vida dentro del cuerpo de agua del Río de las Avenidas a la altura del fraccionamiento los Tuzos. Al arribar al lugar los oficiales, localizaron un sujeto envuelto en cobijas ya sin vida. Hasta el momento se desconoce las causas de la muerte, por lo que las autoridades mantienen resguarda la zona, en espera del personal de la Procuraduría General de Justicia del Estado de Hidalgo (PGJEH), para realizar las indagatorias correspondientes</t>
  </si>
  <si>
    <t>Para este 18 de agosto se pronostican intervalos de chubascos de 5 a 25 mm en Hidalgo, temperaturas máximas de 35 a 40 °C en el norte, mínimas de 0 a 5 °C en zonas del estado y rachas de viento de hasta 50 km/h.</t>
  </si>
  <si>
    <t>Integrantes de la Confederación por los Derechos de los Animales de México en Hidalgo, se manifestaron en contra de la nueva Ley General del Bienestar Animal, impulsada desde el Senado de la República. Argumentaron que la iniciativa no es más que un manual para matar animales, AUDIO APOYO</t>
  </si>
  <si>
    <t>Bienestar Animal</t>
  </si>
  <si>
    <t>Un hombre fue grabado mientras jaloneaba del cabello a una adolescente y la obligaba a caminar por varias cuadras. El hecho ocurrió en la comunidad de Santiago Tezontlale, en el municipio de Ajacuba, Hidalgo, lo que provocó el reclamo de algunos vecinos de la zona</t>
  </si>
  <si>
    <t>Violencia familiar</t>
  </si>
  <si>
    <t>El presidente municipio de Ixmiquilpan Emanuel Hernández , informo que suma 31 casos de gusano barrenador detectados en animales y además de que fue confirmado el primer caso de una persona así lo informó el presidente municipal, Emanuel Hernández, durante la conferencia de prensa semanal.</t>
  </si>
  <si>
    <t>Gusano barrenador</t>
  </si>
  <si>
    <t>El alcalde de Pachuca, Jorge Reyes, señaló que continuará el operativo de alcoholímetro durante la feria que se viene en octubre con la intención de evitar accidentes, AUDIO APOYO</t>
  </si>
  <si>
    <t>Alcoholímetro</t>
  </si>
  <si>
    <t>Un accidente entre tres tráileres provocó afectaciones a la circulación sobre la autopista Arco Norte, a la altura del municipio de Atitalaquia, Hidalgo</t>
  </si>
  <si>
    <t>El saneamiento de la presa en Endhó es uno de los proyectos que podrían integrarse al Fondo de Capital Ambiental para México, presentado por la Secretaría del Medio Ambiente y Recursos Naturales Federal, así como la Secretaría de Hacienda y el Banco de Desarrollo de América Latina y el Caribe, con la posibilidad de incorporar al sector empresarial en su financiamiento. La propuesta contempla desarrollar tecnología para aprovechar el lírio acuático que afecta al vaso de la presa como parte de un modelo de economía circular y bioeconomía. Aunque todavía no existe una estimación del costo, las áreas técnicas deberán integrar durante los siguientes meses los estudios necesarios para definir el proyecto y su viabilidad. , AUDIO VIDEO</t>
  </si>
  <si>
    <t>Control lirio acuático</t>
  </si>
  <si>
    <t>El diputado local por el Distrito XIV, Jose Luis Rodriguez Higareda "El Puma" anunció la presentación de su segundo informe de actividades legislativas, que se llevará a cabo el próximo jueves 27 de agosto, a las 16:30 horas, en el salón de la Delegación de San Marcos, en Tula de Allende. El legislador adelantó que presentará un balance de su trabajo en la LXVII Legislatura del Congreso de Hidalgo, con cifras, resultados y las principales iniciativas y gestiones realizadas durante el último año en beneficio de los municipios que integran su distrito: Tula de Allende, Tlaxcoapan y Tlahuelilpan, AUDIO APOYO</t>
  </si>
  <si>
    <t>La cancha ubicada en la colonia del Huerto en Tula ya está siendo rehabilitada por el gobierno municipal, en los próximos días estará puesta en funcionamiento para deportistas que practican básquetbol y voleibol, informó el presidente municipal Cristhian Martínez Reséndiz, AUDIO APOYO</t>
  </si>
  <si>
    <t>Rehabilitación de espacios públicos</t>
  </si>
  <si>
    <t>Tlahuiltepa recibe 850 millones de pesos para su reconstrucción, anuncia Julio Menchaca, AUDIO APOYO</t>
  </si>
  <si>
    <t>Gobierno de Hidalgo impulsa al campo con entrega de apoyos agropecuarios en el Cardonal y Tecozautla , AUDIO APOYO</t>
  </si>
  <si>
    <t>Apoyo Al Agro</t>
  </si>
  <si>
    <t>Gobierno de Hidalgo recupera más de 7 millones de combustible ilícito en casi cuatro años.</t>
  </si>
  <si>
    <t>Gobiernos de Hidalgo y de México aplican más de 326 millones de pesos para Nicolás Flores. (AUDIO JMS).</t>
  </si>
  <si>
    <t>Conductores que viajan con dirección a Pachuca emitieron una alerta ciudadana respecto a robos cometidos bajo la modalidad de cristalazo en la estación de servicio ES 05572 situada sobre la autopista México-Pachuca, a la altura de Ecatepec, Estado de México. Afectados solicitaron mayor vigilancia policial en la zona comercial aledaña a la gasolinera para evitar agresiones al patrimonio de los viajeros.</t>
  </si>
  <si>
    <t>Inseguridad</t>
  </si>
  <si>
    <t>Cuerpos de emergencia y peritos de la Procuraduría General de Justicia del Estado de Hidalgo acudieron a las inmediaciones del fraccionamiento Los Tuzos, en Mineral de la Reforma, tras el reporte del hallazgo de un cuerpo envuelto en una cobija dentro del canal de aguas negras del Río de las Avenidas. La zona fue acordonada para el levantamiento del cadáver e inicio de las diligencias de ley.</t>
  </si>
  <si>
    <t>Automovilistas que transitaban a la altura de la comunidad de El Taxadhó, en el municipio de Ixmiquilpan, reportaron el hallazgo del cuerpo sin vida de un hombre sobre la cinta asfáltica de la carretera México-Laredo. Las autoridades investigan un presunto atropellamiento, permaneciendo la víctima en calidad de desconocida.</t>
  </si>
  <si>
    <t>La Subsecretaría de Protección Civil del Estado de Hidalgo emitió una alerta meteorológica ante el pronóstico de precipitaciones de 5 a 25 milímetros para los días lunes, martes y jueves, con un incremento a intervalos de 25 a 50 milímetros durante el miércoles, concentrándose los acumulados en el sur y sureste de la entidad.</t>
  </si>
  <si>
    <t>En el marco del Día Internacional de los Pueblos Indígenas, el Gobierno del Estado de Hidalgo homenajeó en Huejutla de Reyes a 1,500 parteras tradicionales de las regiones Huasteca, Sierra, Otomí-Tepehua y Valle del Mezquital. El titular de la CEDSPI, Prisco Manuel Gutiérrez, destacó que el programa Guardianas de Vida invertirá más de 19 millones de pesos para apoyar a 1,924 médicas y médicos tradicionales, a la par de la edificación de Casas de la Mujer Indígena en Atlapexco y Tenango de Doria por 64 millones de pesos. AUDIO DE APOYO</t>
  </si>
  <si>
    <t>Parteras Tradicionales</t>
  </si>
  <si>
    <t>El titular de la Secretaría de Bienestar e Inclusión Social (SEBISO), Ricardo Gómez Moreno, dio a conocer que la dependencia avanza en la entrega de tarjetas del programa de apoyo a personas cuidadoras de personas con discapacidad, habiendo cubierto 23 municipios en favor de 696 beneficiarios. El funcionario señaló que durante el resto de agosto se habilitarán seis sedes regionales para extender la cobertura a las 84 demarcaciones del estado. AUDIO DE APOYO</t>
  </si>
  <si>
    <t>La secretaria de Cultura estatal, Neyda Naranjo, informó que la edición 2026 de la Feria Internacional del Libro Infantil y Juvenil Hidalgo alcanzó una asistencia de 32,281 personas y ventas por 1,295,000 pesos producto de la comercialización de 11,501 ejemplares. La funcionaria anunció además la realización de la Muestra de Cine Comunitario Originario, del 10 al 12 de septiembre en cinco municipios. AUDIO DE APOYO</t>
  </si>
  <si>
    <t>La Unidad de Planeación y Prospectiva de Hidalgo inició la localización de predios urbanizados para desarrollar conjuntos habitacionales en coordinación con el FOVISSSTE y el Programa de Vivienda para el Bienestar. La iniciativa prevé la edificación de inmuebles de 60 metros cuadrados destinados a personal docente, médico, policial y de bomberos, garantizando acceso a servicios básicos, áreas verdes y conectividad de transporte.</t>
  </si>
  <si>
    <t>El secretario de Educación Pública de Hidalgo, Natividad Castrejón Valdéz, sostuvo un encuentro de trabajo con directores de educación básica para ultimar los detalles del ciclo escolar 2026-2027. Durante la sesión se revisó el calendario del Consejo Técnico Escolar, la estrategia Vive Saludable, Vive Feliz, los procesos de inscripción y el esquema de entrega de paquetes escolares e uniformes mediante el programa Altagracia Mercado.</t>
  </si>
  <si>
    <t>De acuerdo con datos del Secretariado Ejecutivo del Sistema Nacional de Seguridad Pública (SESNSP), Hidalgo se colocó en el primer lugar nacional en delitos relacionados con la ley federal para prevenir y sancionar delitos en materia de hidrocarburos, acumulando 2,093 carpetas de investigación en el primer semestre de 2026, cifra que equivale al 29.34 % del total nacional. Datos del Observatorio Ciudadano ubican a Cuautepec, Santiago Tulantepec y Tepeapulco a la cabeza en tomas clandestinas.</t>
  </si>
  <si>
    <t>Seis pasajeros resultaron con contusiones menores tras el choque registrado entre una colectiva y un taxi frente a la ex Hacienda de la Concepción, sobre la vialidad San Agustín Tlaxiaca. Peritajes preliminares indican que la unidad colectiva realizó un corte de circulación no autorizado; ambos conductores fueron presentados ante la autoridad vial para el deslinde de responsabilidades.</t>
  </si>
  <si>
    <t>Elementos policíacos detuvieron a ocho personas sobre la carretera estatal Tenango-Metepec, a la altura del ejido Emiliano Zapata, en el municipio de Tenango de Doria, cuando transportaban madera presuntamente obtenida de forma ilícita a bordo de dos camionetas con números de serie alterados. Los imputados y las unidades quedaron a disposición del Ministerio Público Federal.</t>
  </si>
  <si>
    <t>La Coordinación Nacional de Protección Civil activó una alerta preventiva para Hidalgo y seis entidades colindantes tras el robo de un cilindro de 65 kilogramos de gas cloro en San Luis Potosí. Las autoridades exhortaron a la población a no manipular el contenedor en caso de hallazgo debido a la alta corrosividad de la sustancia y reportar cualquier indicio al número de emergencias 911.</t>
  </si>
  <si>
    <t>Prevención De Riesgos</t>
  </si>
  <si>
    <t>El presidente municipal de Tepeapulco, Félix Ávila Castelán, informó que la corporación de seguridad pública opera con un déficit del 52 %, al disponer de 64 elementos de los 120 requeridos normativamente. El edil detalló que 30 agentes ya cuentan con el Certificado Único Policial (CUP) mientras que el resto concluye los exámenes de evaluación.</t>
  </si>
  <si>
    <t>Déficit policial</t>
  </si>
  <si>
    <t>El Sistema Integrado de Transporte Masivo de Hidalgo (SITMAH) reportó que durante la primera jornada de aplicación de sanciones económicas se aplicaron 10 infracciones a conductores por invadir el carril exclusivo del Tuzobús en Pachuca, concluyendo formalmente el periodo de amonestaciones preventivas.</t>
  </si>
  <si>
    <t>Participación semanal de Mtro. Roberto Rico con el tema : Uso de tecnología dentro de las aulas para niñas, niños y adolescentes</t>
  </si>
  <si>
    <t>Restricción de dispositivos digitales</t>
  </si>
  <si>
    <t>Durante la semana del Consejo Técnico Escolar Intensivo, a celebrarse los días 24 y 25 de agosto, la Secretaría de Educación Pública Federal aplicará una consulta nacional a más de un millón de maestras y maestros en 200 mil escuelas de educación básica. El ejercicio tiene como finalidad debatir y definir la postura oficial sobre la presencia y regulación de teléfonos móviles y dispositivos digitales en las aulas. AUDIO DE APOYO</t>
  </si>
  <si>
    <t>La presidenta de la Cámara Nacional de la Industria de Restaurantes y Alimentos Condimentados (CANIRAC) en Hidalgo, María Elena Carvajal, proyectó una derrama económica superior a los 170 millones de pesos para el sector gastronómico formal durante el periodo vacacional de verano 2026, superando los 162.5 millones reportados el año previo. La dirigente destacó que la entidad cuenta con una red de entre 15 mil y 17 mil establecimientos de alimentos, registrando a Ixmiquilpan, Tecozautla, Huasca de Ocampo, Mineral del Monte y Mineral del Chico como los polos de mayor consumo. AUDIO DE APOYO</t>
  </si>
  <si>
    <t>La titular de la SECTUR Hidalgo, Elizabeth Quintanar Gómez, informó que el próximo 28 de agosto se llevará a cabo en Epazoyucan el encuentro Raíces de Hidalgo, con la participación de 60 experiencias turísticas de 29 municipios. Asimismo, destacó que el centro gastronómico de Santiago de Anaya registra un 95 % de avance y anunció el inicio del parador turístico en El Cardonal, el cual requerirá una inversión estatal de 16 millones de pesos en su primera etapa y más de 30 millones en la segunda. AUDIO DE APOYO</t>
  </si>
  <si>
    <t>La secretaria de Turismo estatal, Elizabeth Quintanar Gómez, dio a conocer que, de acuerdo con mediciones del INEGI, Hidalgo registró un repunte del 20.9 % en la prestación de servicios turísticos, posicionándose como la entidad con mayor crecimiento en el país dentro de los rubros hotelero y gastronómico. AUDIO DE APOYO</t>
  </si>
  <si>
    <t>El coordinador general de Comunicación Gubernamental, Edmundo Pineda López, precisó durante la conferencia semanal que el proyecto de confinamiento de residuos contemplado para dar servicio a Tula de Allende pertenece en su totalidad a una empresa particular y no constituye una iniciativa del Poder Ejecutivo Estatal. El funcionario aclaró que la Secretaría de Medio Ambiente y Recursos Naturales de Hidalgo (SEMARNAT) no ha expedido ninguna autorización de operación y advirtió sobre el inicio de procedimientos sancionadores en caso de irregularidades. AUDIO DE APOYO CONFERENCIA</t>
  </si>
  <si>
    <t>Como parte de las Rutas de la Transformación y de la Reconstrucción, el gobernador Julio Menchaca Salazar evaluó en Nicolás Flores la conclusión de siete obras estatales por 37 millones de pesos e inspeccionó los trabajos para reparar la infraestructura afectada por la vaguada monzónica. En coordinación con el Gobierno de México, se ejecutan más de 326 millones de pesos en acciones hídricas y carreteras —que incluyen 273 millones para 11 obras como el puente Santo Domingo—, logrando la rehabilitación de casi 600 kilómetros de caminos de terracería. AUDIO DE APOYO</t>
  </si>
  <si>
    <t>Durante su visita de supervisión al puente Lázaro Cárdenas en Tlahuiltepa, el gobernador Julio Menchaca Salazar informó que a través de la Secretaría de Infraestructura, Comunicaciones y Transportes (SICT) se destinarán cerca de 592 millones de pesos para la reconstrucción de seis puentes, la reparación de dos más y la rehabilitación de vías de comunicación. El mandatario detalló que Tlahuiltepa recibirá una inversión global de 850 millones de pesos en infraestructura para resarcir los daños por fenómenos meteorológicos, sumados a 241 millones estatales en vialidades y vivienda, además de 18.3 millones para diez proyectos de agua potable AUDIO DE APOYO</t>
  </si>
  <si>
    <t>Radioescucha comenta que el día de ayer en Tillcuautla, chocó un taxi y una colectiva por la universidad, poniendo en riesgo a los estudiantes; hubo 3 lesionados.</t>
  </si>
  <si>
    <t>Accidente de Transporte Público</t>
  </si>
  <si>
    <t>Radioescucha manda audio y comenta que venía circulando por la secundaria 2, por el carril que se supone que sí se puede transitar; pasó una camioneta de movilidad sacando fotos y prendiendo la torreta, que no se supone que sí podemos circular a esa altura. Que no estén intimidando.</t>
  </si>
  <si>
    <t>Comenta conductor Eulalio Larrieta, que capaciten mejor a sus elementos del personal del Tuzobús.; habían dicho que del estadio para el centro no había infracciones, porque toman fotografías. Suplica que le digan: "¿Cómo uno debe ingresar de Avenida Juárez a la Colonia Periodistas? ¿Cómo tengo que ingresar a Santa Julia? ¿En Prepa 1 para Constitución? Digan cómo se va a entrar en esos puntos, no soy ingeniero en tránsito de vialidad. Las puertas están abiertas para que nos informen de qué manera se puede circular por esos puntos.</t>
  </si>
  <si>
    <t>Radioescucha Sr. Jose Domingo Bustamante fue a la cabina de radio, y se quejó de que, por parte los supervisores, ya que salió de la colonia Santa Julia y tuvo que tomar el carril del Tuzobús para incorporarse al centro de la capital, a la altura de Prepa 1, una camioneta de supervisión le tocó las torretas y le tomaron fotografías sin su consentimiento. Justamente en este punto no se tienen ya sanciones; es un acoso por parte de funcionarios de la Semot</t>
  </si>
  <si>
    <t>Radioescucha Sr. Fidel comenta: Me sorprende que Caasim dijo que va a suspender el servicio de agua, ¿y cuál servicio si nunca tenemos agua?</t>
  </si>
  <si>
    <t>Radioescucha reporta fuga de agua en el 4to retorno de Villas del Alamo</t>
  </si>
  <si>
    <t>Radioescucha reporta una gran fuga de agua desde el dia sábado en San Cayetano</t>
  </si>
  <si>
    <t>Fuga De Agua</t>
  </si>
  <si>
    <t>La Secretaría de Cultura presenta resultados de la FILIJ y festividades realizados en Hidalgo</t>
  </si>
  <si>
    <t>El presidente municipal de Pachuca, Jorge Reyes, supervisó el avance de los trabajos para la instalación de 556 cámaras de videovigilancia, como parte de la estrategia para ampliar la infraestructura tecnológica de seguridad en la capital hidalguense. Las labores se desarrollan en Santa Matilde, Barrio El Judío, Tlapacoya, Huixmí, Villas de Pachuca, La Palma y C. Doria.Los dispositivos son colocados en puntos definidos de acuerdo con las características de cada zona, con el objetivo de mejorar la capacidad de observación en espacios con tránsito vehicular, peatonal y actividad cotidiana.</t>
  </si>
  <si>
    <t>El Instituto Mexicano del Seguro Social (IMSS) en Hidalgo recomienda a la población que suspendió temporalmente sus actividades habituales durante las vacaciones de verano retomarlas de forma gradual, con el objetivo de favorecer la readaptación a los entornos laboral, escolar y familiar. El retorno a las actividades cotidianas puede implicar ajustes en horarios, exigencias y responsabilidades. En este proceso, algunas personas pueden presentar de forma transitoria fatiga, irritabilidad, desánimo, disminución de la motivación o sensación subjetiva de mayor esfuerzo frente a las tareas habituales.</t>
  </si>
  <si>
    <t>Promoción De La Salud</t>
  </si>
  <si>
    <t>La Subsecretaría de Protección Civil y Gestión de Riesgos de Hidalgo envió una alerta preventiva para Hidalgo. "La Coordinación Nacional de Protección Civil emitió un alertamiento por el robo de un cilindro con gas cloro en San Luis Potosí, con número de identificación ONU 1017, el cual representa un riesgo alto para la salud. El cilindro es de color plata, con capacidad de 65 kg y número de serie 717402. En caso de localizarlo, no lo manipules, aléjate de inmediato y repórtalo al 911. El gas cloro es tóxico y puede ser fatal si se inhala o entra en contacto con la piel. Mantente informado a través de canales oficiales y atiende las recomendaciones de Protección Civil."</t>
  </si>
  <si>
    <t>La Caasim programó la segunda etapa de los trabajos de mantenimiento en el múltiple de salida de la línea que conduce del rebombeo La Paz 1 al tanque Cubitos 1, los cuales se llevarán a cabo el próximo miércoles 19 de agosto del presente año.Se estima que, una vez concluidas las maniobras, a partir de las 18:00 horas del jueves 20 de agosto, inicie la recuperación del servicio de manera paulatina, conforme al programa de distribución por colonia, en un lapso de hasta 72 horas, considerando las zonas más alejadas.Por este motivo, se solicita a las personas usuarias tomar las previsiones necesarias, ya que el servicio de agua potable será suspendido a partir de las 06:00 horas del miércoles 19 de agosto en las siguientes colonias:Periodistas, Maestranza, Constitución, Morelos, Aquiles Serdán, Santa Julia, Javier Rojo Gómez (parte baja), Cuesco, Hilaturas de Pachuca, Real de Pachuca, San Marino, Palmitas, Lomas Residencial Pachuca (parte baja), Doctores, Céspedes, La Raza, Cubitos (parte media y baja), Real de Minas, Electricistas, Terrazas, Fraccionamiento Los Rosales, 11 de julio (parte media y baja), Real de Oriente, Cerrada de Santiago, Canutillo, Ciudad de los niños, Nueva Francisco I. Madero (parte baja), Progreso, Adolfo López Mateos (primera y segunda sección), Lomas Residencial Pachuca, San Javier, La Paz, La Moraleja, Los Maestros, Ex hacienda de Coscotitlán y bulevar Everardo Márquez.</t>
  </si>
  <si>
    <t>El número de cirugías realizadas en las instituciones públicas de salud del país aumentó 30% entre 2022 y 2026, al pasar de un millón 450 mil a un millón 887 mil procedimientos entre enero y julio de cada año, informó Eduardo Clark García Dobarganes, subsecretario de Integración Sectorial y Desarrollo de la Secretaría de Salud. Durante la presentación de los avances en materia de atención médica en la conferencia matutina, el funcionario destacó que el incremento forma parte de una tendencia de crecimiento en los servicios otorgados por el IMSS, ISSSTE e IMSS-Bienestar.</t>
  </si>
  <si>
    <t>Atención médica</t>
  </si>
  <si>
    <t>Pobladores de la comunidad de La Flor irrumpió este martes en la presidencia municipal de San Salvador y presuntamente agredió al alcalde Norberto Martínez Cruz y a tres funcionarios que se encontraban dentro de la sala de Cabildo. Después de someterlos, los manifestantes los obligaron a abandonar las instalaciones y se los llevaron por la fuerza, de acuerdo con los primeros reportes. Las otras personas retenidas fueron identificadas como Fernando Trejo, director de Obras Públicas; Luciana Mejía, secretaria municipal, y Jesús Arteaga, contador adscrito al área de Tesorería. Hasta el corte de esta información se desconoce el lugar al que fueron trasladados y las condiciones en las que se encuentran. Tampoco se ha confirmado si alguno necesitó atención médica después de la confrontación. Durante los hechos, el grupo también se habría llevado dos patrullas pertenecientes a Seguridad Pública Municipal. No se ha precisado si los vehículos fueron utilizados para trasladar a los funcionarios ni dónde se encuentran actualmente. Además, otra de las demandas de los habitantes corresponde a la reconstrucción de un camino que resultó afectado y presenta hundimientos derivados de las lluvias, intervención que, según autoridades municipales. De acuerdo con los primeros reportes, la interrupción estaría relacionada con la continuidad de la construcción de un pozo en la zona, ya que el acuerdo inicial contemplaba que el Gobierno Municipal ejecutara una primera etapa y que una segunda fase quedara a cargo de la Comisión Nacional del Agua (Conagua), por lo que los inconformes exigen la presencia de funcionarios de dicha dependencia federal para obtener una respuesta.</t>
  </si>
  <si>
    <t>Con el objetivo de apoyar a quienes lo necesitan para recuperar su autonomía cotidiana a través de una escucha con mayor claridad, Cuautepec de Hinojosa fue sede de la Jornada de Aparatos Auditivos, en la que 88 personas recibieron de manera totalmente gratuita dispositivos adecuados a sus necesidades particulares. Esta iniciativa, resultado de la coordinación entre la Administración del Patrimonio de la Beneficencia Pública Nacional, la Administración del Patrimonio Social de los Servicios de Salud de Hidalgo y el DIF Cuautepec, permitió brindar atención especializada a personas que requieren apoyo auditivo y que, debido a sus condiciones económicas, no cuentan con los recursos necesarios para adquirir este tipo de mecanismos. Cada beneficiario pasó por diferentes filtros y procesos de valoración, a través de los cuales especialistas identificaron sus necesidades y realizaron los ajustes correspondientes para garantizar una adaptación personalizada.</t>
  </si>
  <si>
    <t>Entrega De Apoyos</t>
  </si>
  <si>
    <t>Con el objetivo de fortalecer la planeación de políticas públicas a partir del conocimiento de las características y necesidades de la población, se llevó a cabo la Segunda Sesión Ordinaria del Consejo Municipal de Población (COMUPO). Durante la sesión se revisaron y evaluaron las acciones implementadas por las diferentes áreas de la administración municipal para atender las condiciones demográficas y sociales de Tulancingo. Además, se presentó información estadística que permite identificar áreas de oportunidad y orientar acciones en beneficio de las familias. El encuentro contó con la presencia del maestro Eduardo Antonio Téllez Ortiz, subdirector de Análisis Estadístico del Consejo Estatal de Población (COESPO); del rector de la Universidad Politécnica de Tulancingo, Felipe Olimpo Durán Rocha; y María Guadalupe Rodríguez Uribe, en representación de la presidenta municipal Lorena García Cázares. Asimismo, se presentaron informes sobre las acciones realizadas por la administración municipal, destacando resultados que, en algunos indicadores, superaron las metas proyectadas, lo que refleja el fortalecimiento de la coordinación interinstitucional y el uso de la información demográfica como herramienta para la toma de decisiones. Durante la sesión se presentó información sobre las principales características de la población de Tulancingo. Entre los datos expuestos, se informó que el municipio cuenta con 177 mil 213 habitantes, de los cuales 95 mil 240 son mujeres y 81 mil 973 hombres. En materia de desarrollo humano, Tulancingo registra un Índice de Desarrollo Humano de 0.771, que lo ubica en el lugar 12 a nivel estatal. En educación, 50.2 por ciento de la población cuenta con educación básica, 23.9 por ciento con educación media superior y 20.5 por ciento con educación superior, mientras que el índice de analfabetismo se ubica en 4.6 por ciento. Otro de los indicadores abordados fue la fecundidad adolescente. En Tulancingo se registran cinco nacimientos en niñas de 10 a 14 años y 271 nacimientos entre adolescentes de 15 a 19 años, con una tasa específica de fecundidad adolescente de 35.84 nacimientos por cada mil adolescentes. Estos datos permiten identificar áreas de atención y fortalecer las acciones institucionales dirigidas a niñas, niños, adolescentes y jóvenes. En materia de diversidad cultural, se dio a conocer que 4 mil 541 personas hablan alguna lengua indígena, información que destaca la importancia de mantener políticas públicas con enfoque de inclusión e interculturalidad. Durante la sesión se resaltó que la política de población no se limita a contabilizar habitantes, sino que implica comprender las características de la población, anticipar sus necesidades y generar mejores condiciones de bienestar.</t>
  </si>
  <si>
    <t>Dinámica demográfica</t>
  </si>
  <si>
    <t>El 20 de junio, la Secretaría de Seguridad Pública de Hidalgo, mediante la Policía Turística, ubicó en buen estado de salud a dos personas procedentes de Guanajuato que se habían perdido mientras hacían senderismo en un bosque de Mineral del Chico.</t>
  </si>
  <si>
    <t>Dos personas que no lograban encontrar la salida de una zona boscosa del Centro Ecoturístico El Contadero fueron localizadas por elementos de la Policía Estatal, después de un recorrido de aproximadamente 1.5 kilómetros por un área de difícil acceso. La búsqueda comenzó después de que el Centro de Control, Comando, Comunicaciones, Cómputo, Coordinación e Inteligencia (C5i) recibió una alerta sobre dos visitantes extraviados en las inmediaciones del centro ecoturístico, ubicado en Mineral del Chico. De acuerdo con la información disponible, ambas personas ingresaron a “El Laberinto”, pero durante el recorrido tuvieron dificultades para identificar la ruta que les permitiría regresar. Asimismo, una de ellas presentó una probable lesión en el pie mientras se encontraba en el sitio conocido como “El Laberinto”; debido al dolor y a las condiciones del terreno, el desplazamiento se volvió más complicado, por lo que fue necesaria la intervención de los cuerpos de seguridad. A partir de la alerta, elementos estatales comenzaron un operativo de búsqueda dentro de la zona. Las condiciones del lugar obligaron a los agentes a internarse aproximadamente 1.5 kilómetros antes de localizar a las dos personas.</t>
  </si>
  <si>
    <t>Policía Estatal rescata a dos personas extraviadas en Mineral del Chico</t>
  </si>
  <si>
    <t>Tlahuiltepa recibe 850 millones de pesos para su reconstrucción, anuncia Julio Menchaca. (AUDIO JMS).</t>
  </si>
  <si>
    <t>Un total de 101 personas cuidadoras de personas con discapacidad recibieron tarjetas del Programa Bienestar de las Personas Cuidadoras con Discapacidad, la tarde de este lunes en Tulancingo. El evento fue encabezado por el subsecretario de Bienestar e Inclusión Social de Hidalgo, David Robles Hernández y el director Alfonso Hayim Barrera, con la presencia de la presidenta municipal Lorena García Cázares y de Diana Esmeralda Peña Canales, directora general de Inclusión para las Personas con Discapacidad y Personas Cuidadoras. Durante el acto se destacó que este programa representa un respaldo para quienes dedican gran parte de su tiempo al cuidado de personas con discapacidad y busca contribuir a mejorar las condiciones de bienestar de sus familias. La presidenta municipal Lorena García Cázares agradeció al gobernador Julio Menchaca Salazar y al secretario de Bienestar e Inclusión Social de Hidalgo, Ricardo Gómez Moreno, por impulsar acciones con enfoque de inclusión, empatía y solidaridad. La alcaldesa señaló que, el bienestar debe construirse desde una perspectiva de inclusión, empatía y solidaridad, al reconocer que detrás de cada persona que requiere cuidados existe también una familia que necesita acompañamiento y respaldo. Por su parte, Diana Esmeralda Peña Canales destacó que el programa no solo representa un apoyo económico, sino también una herramienta para fortalecer a las familias y avanzar hacia una sociedad más incluyente. Los apoyos beneficiaron a personas cuidadoras de Acatlán, Acaxochitlán, Agua Blanca, Metepec, Cuautepec de Hinojosa, Santiago Tulantepec y Tulancingo, como parte de las acciones para fortalecer el bienestar de las familias y reconocer la labor de quienes brindan cuidados permanentes a un familiar. El programa está dirigido a personas cuidadoras mayores de edad de personas con discapacidad severa, de acuerdo con los criterios establecidos por la Secretaría de Bienestar e Inclusión Social.</t>
  </si>
  <si>
    <t>Apoyo a personas cuidadoras</t>
  </si>
  <si>
    <t>El Gobierno Municipal de Tulancingo anunció la realización de un simulacro de evacuación por posible inundación en la colonia La Estrella, con el objetivo de evaluar los tiempos de respuesta y fortalecer la cultura de prevención ante la temporada de lluvias y crecidas de agua en la región.</t>
  </si>
  <si>
    <t>Simulacro</t>
  </si>
  <si>
    <t>Locutor Jesús Riveros da lectura a comentario de radioescucha que reporta, que en Tulancingo no pagan ni el salario mínimo en los trabajos y los horarios son desde las 8:00 hasta las 18:00 o 19:00 horas; locutor responde que, efectivamente hay algunos trabajos que así operan, pero que es cuestión de reportarlos ante la STPSH.</t>
  </si>
  <si>
    <t>Derechos laborales</t>
  </si>
  <si>
    <t>Entrevista vía telefónica Dr. Enrique González Amador de la Universidad Politécnica de Tulancingo - Habló sobre un proyecto de investigación que se realiza en la UPT, con el objetivo de explorar el fondo del ojo y con ello aportar un poco para mejorar la calidad de vida de algunas personas que puedan padecer de alguna enfermedad con este órgano vital.</t>
  </si>
  <si>
    <t>Investigación académica</t>
  </si>
  <si>
    <t>Entrevista vía telefónica, Edda Vite, presidenta del Patronato del Sistema DIF Hidalgo - Viviendo en Plenitud: Habló sobre la tercera edición del programa “Viviendo en plenitud” un espacio pensado para las personas adultas mayores de Hidalgo, esta edición, se realizará el próximo 21 y 22 de agosto en el recinto ferial de Pachuca. En este encuentro, se espera una jornada llena de música, baile, talento y entusiasmo, el objetivo, dijo, es promover un estilo saludable de vida.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</si>
</sst>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30" tableType="queryTable" totalsRowShown="0">
  <autoFilter ref="A1:M23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30"/>
  <sheetViews>
    <sheetView tabSelected="1" topLeftCell="A195" workbookViewId="0">
      <selection activeCell="C230" sqref="C230"/>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46251</v>
      </c>
      <c r="B2" s="1" t="str">
        <f ca="1">IF(Información1[[#This Row],[Fecha]]='Ajuste de fechas'!$A$2,"Día actual","Día anterior")</f>
        <v>Día anterior</v>
      </c>
      <c r="C2" s="3" t="s">
        <v>57</v>
      </c>
      <c r="D2" t="s">
        <v>58</v>
      </c>
      <c r="E2" s="3" t="s">
        <v>114</v>
      </c>
      <c r="F2" s="3" t="s">
        <v>23</v>
      </c>
      <c r="G2" s="3" t="s">
        <v>115</v>
      </c>
      <c r="H2" s="3" t="s">
        <v>11</v>
      </c>
      <c r="I2" s="3" t="s">
        <v>7</v>
      </c>
      <c r="J2" s="3" t="s">
        <v>39</v>
      </c>
      <c r="K2" s="3" t="s">
        <v>59</v>
      </c>
      <c r="L2" s="3" t="s">
        <v>42</v>
      </c>
      <c r="M2">
        <v>1</v>
      </c>
    </row>
    <row r="3" spans="1:13" x14ac:dyDescent="0.25">
      <c r="A3" s="2">
        <v>46251</v>
      </c>
      <c r="B3" s="1" t="str">
        <f ca="1">IF(Información1[[#This Row],[Fecha]]='Ajuste de fechas'!$A$2,"Día actual","Día anterior")</f>
        <v>Día anterior</v>
      </c>
      <c r="C3" s="3" t="s">
        <v>57</v>
      </c>
      <c r="D3" t="s">
        <v>58</v>
      </c>
      <c r="E3" s="3" t="s">
        <v>119</v>
      </c>
      <c r="F3" s="3" t="s">
        <v>19</v>
      </c>
      <c r="G3" s="3" t="s">
        <v>85</v>
      </c>
      <c r="H3" s="3" t="s">
        <v>11</v>
      </c>
      <c r="I3" s="3" t="s">
        <v>25</v>
      </c>
      <c r="J3" s="3" t="s">
        <v>43</v>
      </c>
      <c r="K3" s="3" t="s">
        <v>59</v>
      </c>
      <c r="L3" s="3" t="s">
        <v>40</v>
      </c>
      <c r="M3">
        <v>1</v>
      </c>
    </row>
    <row r="4" spans="1:13" x14ac:dyDescent="0.25">
      <c r="A4" s="2">
        <v>46251</v>
      </c>
      <c r="B4" s="1" t="str">
        <f ca="1">IF(Información1[[#This Row],[Fecha]]='Ajuste de fechas'!$A$2,"Día actual","Día anterior")</f>
        <v>Día anterior</v>
      </c>
      <c r="C4" s="3" t="s">
        <v>57</v>
      </c>
      <c r="D4" t="s">
        <v>58</v>
      </c>
      <c r="E4" s="3" t="s">
        <v>120</v>
      </c>
      <c r="F4" s="3" t="s">
        <v>19</v>
      </c>
      <c r="G4" s="3" t="s">
        <v>113</v>
      </c>
      <c r="H4" s="3" t="s">
        <v>11</v>
      </c>
      <c r="I4" s="3" t="s">
        <v>25</v>
      </c>
      <c r="J4" s="3" t="s">
        <v>43</v>
      </c>
      <c r="K4" s="3" t="s">
        <v>59</v>
      </c>
      <c r="L4" s="3" t="s">
        <v>41</v>
      </c>
      <c r="M4">
        <v>1</v>
      </c>
    </row>
    <row r="5" spans="1:13" x14ac:dyDescent="0.25">
      <c r="A5" s="2">
        <v>46251</v>
      </c>
      <c r="B5" s="1" t="str">
        <f ca="1">IF(Información1[[#This Row],[Fecha]]='Ajuste de fechas'!$A$2,"Día actual","Día anterior")</f>
        <v>Día anterior</v>
      </c>
      <c r="C5" s="3" t="s">
        <v>57</v>
      </c>
      <c r="D5" t="s">
        <v>58</v>
      </c>
      <c r="E5" s="3" t="s">
        <v>121</v>
      </c>
      <c r="F5" s="3" t="s">
        <v>19</v>
      </c>
      <c r="G5" s="3"/>
      <c r="H5" s="3" t="s">
        <v>11</v>
      </c>
      <c r="I5" s="3" t="s">
        <v>7</v>
      </c>
      <c r="J5" s="3" t="s">
        <v>43</v>
      </c>
      <c r="K5" s="3" t="s">
        <v>59</v>
      </c>
      <c r="L5" s="3" t="s">
        <v>69</v>
      </c>
      <c r="M5">
        <v>1</v>
      </c>
    </row>
    <row r="6" spans="1:13" x14ac:dyDescent="0.25">
      <c r="A6" s="2">
        <v>46251</v>
      </c>
      <c r="B6" s="1" t="str">
        <f ca="1">IF(Información1[[#This Row],[Fecha]]='Ajuste de fechas'!$A$2,"Día actual","Día anterior")</f>
        <v>Día anterior</v>
      </c>
      <c r="C6" s="3" t="s">
        <v>57</v>
      </c>
      <c r="D6" t="s">
        <v>58</v>
      </c>
      <c r="E6" s="3" t="s">
        <v>122</v>
      </c>
      <c r="F6" s="3" t="s">
        <v>17</v>
      </c>
      <c r="G6" s="3" t="s">
        <v>123</v>
      </c>
      <c r="H6" s="3" t="s">
        <v>11</v>
      </c>
      <c r="I6" s="3" t="s">
        <v>25</v>
      </c>
      <c r="J6" s="3" t="s">
        <v>39</v>
      </c>
      <c r="K6" s="3" t="s">
        <v>9</v>
      </c>
      <c r="L6" s="3" t="s">
        <v>41</v>
      </c>
      <c r="M6">
        <v>1</v>
      </c>
    </row>
    <row r="7" spans="1:13" x14ac:dyDescent="0.25">
      <c r="A7" s="2">
        <v>46251</v>
      </c>
      <c r="B7" s="1" t="str">
        <f ca="1">IF(Información1[[#This Row],[Fecha]]='Ajuste de fechas'!$A$2,"Día actual","Día anterior")</f>
        <v>Día anterior</v>
      </c>
      <c r="C7" s="3" t="s">
        <v>57</v>
      </c>
      <c r="D7" t="s">
        <v>58</v>
      </c>
      <c r="E7" s="3" t="s">
        <v>124</v>
      </c>
      <c r="F7" s="3" t="s">
        <v>19</v>
      </c>
      <c r="G7" s="3" t="s">
        <v>125</v>
      </c>
      <c r="H7" s="3" t="s">
        <v>11</v>
      </c>
      <c r="I7" s="3" t="s">
        <v>25</v>
      </c>
      <c r="J7" s="3" t="s">
        <v>43</v>
      </c>
      <c r="K7" s="3" t="s">
        <v>59</v>
      </c>
      <c r="L7" s="3" t="s">
        <v>40</v>
      </c>
      <c r="M7">
        <v>1</v>
      </c>
    </row>
    <row r="8" spans="1:13" x14ac:dyDescent="0.25">
      <c r="A8" s="2">
        <v>46251</v>
      </c>
      <c r="B8" s="1" t="str">
        <f ca="1">IF(Información1[[#This Row],[Fecha]]='Ajuste de fechas'!$A$2,"Día actual","Día anterior")</f>
        <v>Día anterior</v>
      </c>
      <c r="C8" s="3" t="s">
        <v>57</v>
      </c>
      <c r="D8" t="s">
        <v>58</v>
      </c>
      <c r="E8" s="3" t="s">
        <v>126</v>
      </c>
      <c r="F8" s="3" t="s">
        <v>19</v>
      </c>
      <c r="G8" s="3" t="s">
        <v>55</v>
      </c>
      <c r="H8" s="3" t="s">
        <v>11</v>
      </c>
      <c r="I8" s="3" t="s">
        <v>25</v>
      </c>
      <c r="J8" s="3" t="s">
        <v>43</v>
      </c>
      <c r="K8" s="3" t="s">
        <v>59</v>
      </c>
      <c r="L8" s="3" t="s">
        <v>41</v>
      </c>
      <c r="M8">
        <v>1</v>
      </c>
    </row>
    <row r="9" spans="1:13" x14ac:dyDescent="0.25">
      <c r="A9" s="2">
        <v>46251</v>
      </c>
      <c r="B9" s="1" t="str">
        <f ca="1">IF(Información1[[#This Row],[Fecha]]='Ajuste de fechas'!$A$2,"Día actual","Día anterior")</f>
        <v>Día anterior</v>
      </c>
      <c r="C9" s="3" t="s">
        <v>57</v>
      </c>
      <c r="D9" t="s">
        <v>58</v>
      </c>
      <c r="E9" s="3" t="s">
        <v>127</v>
      </c>
      <c r="F9" s="3" t="s">
        <v>19</v>
      </c>
      <c r="G9" s="3" t="s">
        <v>87</v>
      </c>
      <c r="H9" s="3" t="s">
        <v>11</v>
      </c>
      <c r="I9" s="3" t="s">
        <v>7</v>
      </c>
      <c r="J9" s="3" t="s">
        <v>43</v>
      </c>
      <c r="K9" s="3" t="s">
        <v>59</v>
      </c>
      <c r="L9" s="3" t="s">
        <v>40</v>
      </c>
      <c r="M9">
        <v>1</v>
      </c>
    </row>
    <row r="10" spans="1:13" x14ac:dyDescent="0.25">
      <c r="A10" s="2">
        <v>46251</v>
      </c>
      <c r="B10" s="1" t="str">
        <f ca="1">IF(Información1[[#This Row],[Fecha]]='Ajuste de fechas'!$A$2,"Día actual","Día anterior")</f>
        <v>Día anterior</v>
      </c>
      <c r="C10" s="3" t="s">
        <v>57</v>
      </c>
      <c r="D10" t="s">
        <v>58</v>
      </c>
      <c r="E10" s="3" t="s">
        <v>128</v>
      </c>
      <c r="F10" s="3" t="s">
        <v>17</v>
      </c>
      <c r="G10" s="3" t="s">
        <v>92</v>
      </c>
      <c r="H10" s="3" t="s">
        <v>11</v>
      </c>
      <c r="I10" s="3" t="s">
        <v>7</v>
      </c>
      <c r="J10" s="3" t="s">
        <v>39</v>
      </c>
      <c r="K10" s="3" t="s">
        <v>59</v>
      </c>
      <c r="L10" s="3" t="s">
        <v>40</v>
      </c>
      <c r="M10">
        <v>1</v>
      </c>
    </row>
    <row r="11" spans="1:13" x14ac:dyDescent="0.25">
      <c r="A11" s="2">
        <v>46251</v>
      </c>
      <c r="B11" s="1" t="str">
        <f ca="1">IF(Información1[[#This Row],[Fecha]]='Ajuste de fechas'!$A$2,"Día actual","Día anterior")</f>
        <v>Día anterior</v>
      </c>
      <c r="C11" s="3" t="s">
        <v>57</v>
      </c>
      <c r="D11" t="s">
        <v>58</v>
      </c>
      <c r="E11" s="3" t="s">
        <v>129</v>
      </c>
      <c r="F11" s="3" t="s">
        <v>17</v>
      </c>
      <c r="G11" s="3" t="s">
        <v>130</v>
      </c>
      <c r="H11" s="3" t="s">
        <v>11</v>
      </c>
      <c r="I11" s="3" t="s">
        <v>7</v>
      </c>
      <c r="J11" s="3" t="s">
        <v>39</v>
      </c>
      <c r="K11" s="3" t="s">
        <v>59</v>
      </c>
      <c r="L11" s="3" t="s">
        <v>40</v>
      </c>
      <c r="M11">
        <v>1</v>
      </c>
    </row>
    <row r="12" spans="1:13" x14ac:dyDescent="0.25">
      <c r="A12" s="2">
        <v>46251</v>
      </c>
      <c r="B12" s="1" t="str">
        <f ca="1">IF(Información1[[#This Row],[Fecha]]='Ajuste de fechas'!$A$2,"Día actual","Día anterior")</f>
        <v>Día anterior</v>
      </c>
      <c r="C12" s="3" t="s">
        <v>57</v>
      </c>
      <c r="D12" t="s">
        <v>58</v>
      </c>
      <c r="E12" s="3" t="s">
        <v>131</v>
      </c>
      <c r="F12" s="3" t="s">
        <v>19</v>
      </c>
      <c r="G12" s="3" t="s">
        <v>55</v>
      </c>
      <c r="H12" s="3" t="s">
        <v>11</v>
      </c>
      <c r="I12" s="3" t="s">
        <v>7</v>
      </c>
      <c r="J12" s="3" t="s">
        <v>43</v>
      </c>
      <c r="K12" s="3" t="s">
        <v>59</v>
      </c>
      <c r="L12" s="3" t="s">
        <v>40</v>
      </c>
      <c r="M12">
        <v>1</v>
      </c>
    </row>
    <row r="13" spans="1:13" x14ac:dyDescent="0.25">
      <c r="A13" s="2">
        <v>46251</v>
      </c>
      <c r="B13" s="1" t="str">
        <f ca="1">IF(Información1[[#This Row],[Fecha]]='Ajuste de fechas'!$A$2,"Día actual","Día anterior")</f>
        <v>Día anterior</v>
      </c>
      <c r="C13" s="3" t="s">
        <v>57</v>
      </c>
      <c r="D13" t="s">
        <v>58</v>
      </c>
      <c r="E13" s="3" t="s">
        <v>116</v>
      </c>
      <c r="F13" s="3" t="s">
        <v>23</v>
      </c>
      <c r="G13" s="3" t="s">
        <v>117</v>
      </c>
      <c r="H13" s="3" t="s">
        <v>11</v>
      </c>
      <c r="I13" s="3" t="s">
        <v>7</v>
      </c>
      <c r="J13" s="3" t="s">
        <v>39</v>
      </c>
      <c r="K13" s="3" t="s">
        <v>59</v>
      </c>
      <c r="L13" s="3" t="s">
        <v>42</v>
      </c>
      <c r="M13">
        <v>1</v>
      </c>
    </row>
    <row r="14" spans="1:13" x14ac:dyDescent="0.25">
      <c r="A14" s="2">
        <v>46251</v>
      </c>
      <c r="B14" s="1" t="str">
        <f ca="1">IF(Información1[[#This Row],[Fecha]]='Ajuste de fechas'!$A$2,"Día actual","Día anterior")</f>
        <v>Día anterior</v>
      </c>
      <c r="C14" s="3" t="s">
        <v>57</v>
      </c>
      <c r="D14" t="s">
        <v>58</v>
      </c>
      <c r="E14" s="3" t="s">
        <v>132</v>
      </c>
      <c r="F14" s="3" t="s">
        <v>22</v>
      </c>
      <c r="G14" s="3" t="s">
        <v>133</v>
      </c>
      <c r="H14" s="3" t="s">
        <v>11</v>
      </c>
      <c r="I14" s="3" t="s">
        <v>7</v>
      </c>
      <c r="J14" s="3" t="s">
        <v>44</v>
      </c>
      <c r="K14" s="3" t="s">
        <v>59</v>
      </c>
      <c r="L14" s="3" t="s">
        <v>40</v>
      </c>
      <c r="M14">
        <v>1</v>
      </c>
    </row>
    <row r="15" spans="1:13" x14ac:dyDescent="0.25">
      <c r="A15" s="2">
        <v>46251</v>
      </c>
      <c r="B15" s="1" t="str">
        <f ca="1">IF(Información1[[#This Row],[Fecha]]='Ajuste de fechas'!$A$2,"Día actual","Día anterior")</f>
        <v>Día anterior</v>
      </c>
      <c r="C15" s="3" t="s">
        <v>57</v>
      </c>
      <c r="D15" t="s">
        <v>58</v>
      </c>
      <c r="E15" s="3" t="s">
        <v>134</v>
      </c>
      <c r="F15" s="3" t="s">
        <v>19</v>
      </c>
      <c r="G15" s="3" t="s">
        <v>135</v>
      </c>
      <c r="H15" s="3" t="s">
        <v>11</v>
      </c>
      <c r="I15" s="3" t="s">
        <v>7</v>
      </c>
      <c r="J15" s="3" t="s">
        <v>43</v>
      </c>
      <c r="K15" s="3" t="s">
        <v>59</v>
      </c>
      <c r="L15" s="3" t="s">
        <v>40</v>
      </c>
      <c r="M15">
        <v>1</v>
      </c>
    </row>
    <row r="16" spans="1:13" x14ac:dyDescent="0.25">
      <c r="A16" s="2">
        <v>46251</v>
      </c>
      <c r="B16" s="1" t="str">
        <f ca="1">IF(Información1[[#This Row],[Fecha]]='Ajuste de fechas'!$A$2,"Día actual","Día anterior")</f>
        <v>Día anterior</v>
      </c>
      <c r="C16" s="3" t="s">
        <v>57</v>
      </c>
      <c r="D16" t="s">
        <v>58</v>
      </c>
      <c r="E16" s="3" t="s">
        <v>136</v>
      </c>
      <c r="F16" s="3" t="s">
        <v>21</v>
      </c>
      <c r="G16" s="3" t="s">
        <v>137</v>
      </c>
      <c r="H16" s="3" t="s">
        <v>11</v>
      </c>
      <c r="I16" s="3" t="s">
        <v>7</v>
      </c>
      <c r="J16" s="3" t="s">
        <v>39</v>
      </c>
      <c r="K16" s="3" t="s">
        <v>59</v>
      </c>
      <c r="L16" s="3" t="s">
        <v>42</v>
      </c>
      <c r="M16">
        <v>1</v>
      </c>
    </row>
    <row r="17" spans="1:13" x14ac:dyDescent="0.25">
      <c r="A17" s="2">
        <v>46251</v>
      </c>
      <c r="B17" s="1" t="str">
        <f ca="1">IF(Información1[[#This Row],[Fecha]]='Ajuste de fechas'!$A$2,"Día actual","Día anterior")</f>
        <v>Día anterior</v>
      </c>
      <c r="C17" s="3" t="s">
        <v>57</v>
      </c>
      <c r="D17" t="s">
        <v>58</v>
      </c>
      <c r="E17" s="3" t="s">
        <v>60</v>
      </c>
      <c r="F17" s="3" t="s">
        <v>19</v>
      </c>
      <c r="G17" s="3" t="s">
        <v>55</v>
      </c>
      <c r="H17" s="3" t="s">
        <v>11</v>
      </c>
      <c r="I17" s="3" t="s">
        <v>7</v>
      </c>
      <c r="J17" s="3" t="s">
        <v>43</v>
      </c>
      <c r="K17" s="3" t="s">
        <v>107</v>
      </c>
      <c r="L17" s="3" t="s">
        <v>73</v>
      </c>
      <c r="M17">
        <v>1</v>
      </c>
    </row>
    <row r="18" spans="1:13" x14ac:dyDescent="0.25">
      <c r="A18" s="2">
        <v>46251</v>
      </c>
      <c r="B18" s="1" t="str">
        <f ca="1">IF(Información1[[#This Row],[Fecha]]='Ajuste de fechas'!$A$2,"Día actual","Día anterior")</f>
        <v>Día anterior</v>
      </c>
      <c r="C18" s="3" t="s">
        <v>57</v>
      </c>
      <c r="D18" t="s">
        <v>58</v>
      </c>
      <c r="E18" s="3" t="s">
        <v>138</v>
      </c>
      <c r="F18" s="3" t="s">
        <v>19</v>
      </c>
      <c r="G18" s="3" t="s">
        <v>55</v>
      </c>
      <c r="H18" s="3" t="s">
        <v>11</v>
      </c>
      <c r="I18" s="3" t="s">
        <v>7</v>
      </c>
      <c r="J18" s="3" t="s">
        <v>43</v>
      </c>
      <c r="K18" s="3" t="s">
        <v>59</v>
      </c>
      <c r="L18" s="3" t="s">
        <v>40</v>
      </c>
      <c r="M18">
        <v>1</v>
      </c>
    </row>
    <row r="19" spans="1:13" x14ac:dyDescent="0.25">
      <c r="A19" s="2">
        <v>46251</v>
      </c>
      <c r="B19" s="1" t="str">
        <f ca="1">IF(Información1[[#This Row],[Fecha]]='Ajuste de fechas'!$A$2,"Día actual","Día anterior")</f>
        <v>Día anterior</v>
      </c>
      <c r="C19" s="3" t="s">
        <v>57</v>
      </c>
      <c r="D19" t="s">
        <v>58</v>
      </c>
      <c r="E19" s="3" t="s">
        <v>139</v>
      </c>
      <c r="F19" s="3" t="s">
        <v>23</v>
      </c>
      <c r="G19" s="3" t="s">
        <v>86</v>
      </c>
      <c r="H19" s="3" t="s">
        <v>11</v>
      </c>
      <c r="I19" s="3" t="s">
        <v>7</v>
      </c>
      <c r="J19" s="3" t="s">
        <v>39</v>
      </c>
      <c r="K19" s="3" t="s">
        <v>59</v>
      </c>
      <c r="L19" s="3" t="s">
        <v>40</v>
      </c>
      <c r="M19">
        <v>1</v>
      </c>
    </row>
    <row r="20" spans="1:13" x14ac:dyDescent="0.25">
      <c r="A20" s="2">
        <v>46251</v>
      </c>
      <c r="B20" s="1" t="str">
        <f ca="1">IF(Información1[[#This Row],[Fecha]]='Ajuste de fechas'!$A$2,"Día actual","Día anterior")</f>
        <v>Día anterior</v>
      </c>
      <c r="C20" s="3" t="s">
        <v>57</v>
      </c>
      <c r="D20" t="s">
        <v>58</v>
      </c>
      <c r="E20" s="3" t="s">
        <v>140</v>
      </c>
      <c r="F20" s="3" t="s">
        <v>23</v>
      </c>
      <c r="G20" s="3" t="s">
        <v>86</v>
      </c>
      <c r="H20" s="3" t="s">
        <v>11</v>
      </c>
      <c r="I20" s="3" t="s">
        <v>25</v>
      </c>
      <c r="J20" s="3" t="s">
        <v>39</v>
      </c>
      <c r="K20" s="3" t="s">
        <v>59</v>
      </c>
      <c r="L20" s="3" t="s">
        <v>41</v>
      </c>
      <c r="M20">
        <v>1</v>
      </c>
    </row>
    <row r="21" spans="1:13" x14ac:dyDescent="0.25">
      <c r="A21" s="2">
        <v>46251</v>
      </c>
      <c r="B21" s="1" t="str">
        <f ca="1">IF(Información1[[#This Row],[Fecha]]='Ajuste de fechas'!$A$2,"Día actual","Día anterior")</f>
        <v>Día anterior</v>
      </c>
      <c r="C21" s="3" t="s">
        <v>57</v>
      </c>
      <c r="D21" t="s">
        <v>58</v>
      </c>
      <c r="E21" s="3" t="s">
        <v>141</v>
      </c>
      <c r="F21" s="3" t="s">
        <v>22</v>
      </c>
      <c r="G21" s="3" t="s">
        <v>106</v>
      </c>
      <c r="H21" s="3" t="s">
        <v>11</v>
      </c>
      <c r="I21" s="3" t="s">
        <v>7</v>
      </c>
      <c r="J21" s="3" t="s">
        <v>44</v>
      </c>
      <c r="K21" s="3" t="s">
        <v>59</v>
      </c>
      <c r="L21" s="3" t="s">
        <v>40</v>
      </c>
      <c r="M21">
        <v>1</v>
      </c>
    </row>
    <row r="22" spans="1:13" x14ac:dyDescent="0.25">
      <c r="A22" s="2">
        <v>46251</v>
      </c>
      <c r="B22" s="1" t="str">
        <f ca="1">IF(Información1[[#This Row],[Fecha]]='Ajuste de fechas'!$A$2,"Día actual","Día anterior")</f>
        <v>Día anterior</v>
      </c>
      <c r="C22" s="3" t="s">
        <v>29</v>
      </c>
      <c r="D22" t="s">
        <v>30</v>
      </c>
      <c r="E22" s="3" t="s">
        <v>142</v>
      </c>
      <c r="F22" s="3" t="s">
        <v>26</v>
      </c>
      <c r="G22" s="3" t="s">
        <v>75</v>
      </c>
      <c r="H22" s="3" t="s">
        <v>56</v>
      </c>
      <c r="I22" s="3" t="s">
        <v>7</v>
      </c>
      <c r="J22" s="3" t="s">
        <v>39</v>
      </c>
      <c r="K22" s="3" t="s">
        <v>27</v>
      </c>
      <c r="L22" s="3" t="s">
        <v>40</v>
      </c>
      <c r="M22">
        <v>1</v>
      </c>
    </row>
    <row r="23" spans="1:13" x14ac:dyDescent="0.25">
      <c r="A23" s="2">
        <v>46251</v>
      </c>
      <c r="B23" s="1" t="str">
        <f ca="1">IF(Información1[[#This Row],[Fecha]]='Ajuste de fechas'!$A$2,"Día actual","Día anterior")</f>
        <v>Día anterior</v>
      </c>
      <c r="C23" s="3" t="s">
        <v>29</v>
      </c>
      <c r="D23" t="s">
        <v>30</v>
      </c>
      <c r="E23" s="3" t="s">
        <v>143</v>
      </c>
      <c r="F23" s="3" t="s">
        <v>19</v>
      </c>
      <c r="G23" s="3" t="s">
        <v>125</v>
      </c>
      <c r="H23" s="3" t="s">
        <v>56</v>
      </c>
      <c r="I23" s="3" t="s">
        <v>25</v>
      </c>
      <c r="J23" s="3" t="s">
        <v>43</v>
      </c>
      <c r="K23" s="3" t="s">
        <v>27</v>
      </c>
      <c r="L23" s="3" t="s">
        <v>40</v>
      </c>
      <c r="M23">
        <v>1</v>
      </c>
    </row>
    <row r="24" spans="1:13" x14ac:dyDescent="0.25">
      <c r="A24" s="2">
        <v>46251</v>
      </c>
      <c r="B24" s="1" t="str">
        <f ca="1">IF(Información1[[#This Row],[Fecha]]='Ajuste de fechas'!$A$2,"Día actual","Día anterior")</f>
        <v>Día anterior</v>
      </c>
      <c r="C24" s="3" t="s">
        <v>29</v>
      </c>
      <c r="D24" t="s">
        <v>30</v>
      </c>
      <c r="E24" s="3" t="s">
        <v>144</v>
      </c>
      <c r="F24" s="3" t="s">
        <v>19</v>
      </c>
      <c r="G24" s="3" t="s">
        <v>145</v>
      </c>
      <c r="H24" s="3" t="s">
        <v>56</v>
      </c>
      <c r="I24" s="3" t="s">
        <v>25</v>
      </c>
      <c r="J24" s="3" t="s">
        <v>43</v>
      </c>
      <c r="K24" s="3" t="s">
        <v>27</v>
      </c>
      <c r="L24" s="3" t="s">
        <v>41</v>
      </c>
      <c r="M24">
        <v>1</v>
      </c>
    </row>
    <row r="25" spans="1:13" x14ac:dyDescent="0.25">
      <c r="A25" s="2">
        <v>46251</v>
      </c>
      <c r="B25" s="1" t="str">
        <f ca="1">IF(Información1[[#This Row],[Fecha]]='Ajuste de fechas'!$A$2,"Día actual","Día anterior")</f>
        <v>Día anterior</v>
      </c>
      <c r="C25" s="3" t="s">
        <v>29</v>
      </c>
      <c r="D25" t="s">
        <v>30</v>
      </c>
      <c r="E25" s="3" t="s">
        <v>146</v>
      </c>
      <c r="F25" s="3" t="s">
        <v>19</v>
      </c>
      <c r="G25" s="3" t="s">
        <v>105</v>
      </c>
      <c r="H25" s="3" t="s">
        <v>56</v>
      </c>
      <c r="I25" s="3" t="s">
        <v>25</v>
      </c>
      <c r="J25" s="3" t="s">
        <v>43</v>
      </c>
      <c r="K25" s="3" t="s">
        <v>27</v>
      </c>
      <c r="L25" s="3" t="s">
        <v>40</v>
      </c>
      <c r="M25">
        <v>1</v>
      </c>
    </row>
    <row r="26" spans="1:13" x14ac:dyDescent="0.25">
      <c r="A26" s="2">
        <v>46251</v>
      </c>
      <c r="B26" s="1" t="str">
        <f ca="1">IF(Información1[[#This Row],[Fecha]]='Ajuste de fechas'!$A$2,"Día actual","Día anterior")</f>
        <v>Día anterior</v>
      </c>
      <c r="C26" s="3" t="s">
        <v>29</v>
      </c>
      <c r="D26" t="s">
        <v>30</v>
      </c>
      <c r="E26" s="3" t="s">
        <v>147</v>
      </c>
      <c r="F26" s="3" t="s">
        <v>19</v>
      </c>
      <c r="G26" s="3" t="s">
        <v>101</v>
      </c>
      <c r="H26" s="3" t="s">
        <v>56</v>
      </c>
      <c r="I26" s="3" t="s">
        <v>7</v>
      </c>
      <c r="J26" s="3" t="s">
        <v>43</v>
      </c>
      <c r="K26" s="3" t="s">
        <v>27</v>
      </c>
      <c r="L26" s="3" t="s">
        <v>40</v>
      </c>
      <c r="M26">
        <v>1</v>
      </c>
    </row>
    <row r="27" spans="1:13" x14ac:dyDescent="0.25">
      <c r="A27" s="2">
        <v>46251</v>
      </c>
      <c r="B27" s="1" t="str">
        <f ca="1">IF(Información1[[#This Row],[Fecha]]='Ajuste de fechas'!$A$2,"Día actual","Día anterior")</f>
        <v>Día anterior</v>
      </c>
      <c r="C27" s="3" t="s">
        <v>29</v>
      </c>
      <c r="D27" t="s">
        <v>30</v>
      </c>
      <c r="E27" s="3" t="s">
        <v>148</v>
      </c>
      <c r="F27" s="3" t="s">
        <v>95</v>
      </c>
      <c r="G27" s="3" t="s">
        <v>149</v>
      </c>
      <c r="H27" s="3" t="s">
        <v>56</v>
      </c>
      <c r="I27" s="3" t="s">
        <v>7</v>
      </c>
      <c r="J27" s="3" t="s">
        <v>96</v>
      </c>
      <c r="K27" s="3" t="s">
        <v>150</v>
      </c>
      <c r="L27" s="3" t="s">
        <v>41</v>
      </c>
      <c r="M27">
        <v>1</v>
      </c>
    </row>
    <row r="28" spans="1:13" x14ac:dyDescent="0.25">
      <c r="A28" s="2">
        <v>46251</v>
      </c>
      <c r="B28" s="1" t="str">
        <f ca="1">IF(Información1[[#This Row],[Fecha]]='Ajuste de fechas'!$A$2,"Día actual","Día anterior")</f>
        <v>Día anterior</v>
      </c>
      <c r="C28" s="3" t="s">
        <v>29</v>
      </c>
      <c r="D28" t="s">
        <v>30</v>
      </c>
      <c r="E28" s="3" t="s">
        <v>151</v>
      </c>
      <c r="F28" s="3" t="s">
        <v>23</v>
      </c>
      <c r="G28" s="3" t="s">
        <v>152</v>
      </c>
      <c r="H28" s="3" t="s">
        <v>56</v>
      </c>
      <c r="I28" s="3" t="s">
        <v>7</v>
      </c>
      <c r="J28" s="3" t="s">
        <v>39</v>
      </c>
      <c r="K28" s="3" t="s">
        <v>27</v>
      </c>
      <c r="L28" s="3" t="s">
        <v>42</v>
      </c>
      <c r="M28">
        <v>1</v>
      </c>
    </row>
    <row r="29" spans="1:13" x14ac:dyDescent="0.25">
      <c r="A29" s="2">
        <v>46251</v>
      </c>
      <c r="B29" s="1" t="str">
        <f ca="1">IF(Información1[[#This Row],[Fecha]]='Ajuste de fechas'!$A$2,"Día actual","Día anterior")</f>
        <v>Día anterior</v>
      </c>
      <c r="C29" s="3" t="s">
        <v>29</v>
      </c>
      <c r="D29" t="s">
        <v>30</v>
      </c>
      <c r="E29" s="3" t="s">
        <v>153</v>
      </c>
      <c r="F29" s="3" t="s">
        <v>19</v>
      </c>
      <c r="G29" s="3" t="s">
        <v>102</v>
      </c>
      <c r="H29" s="3" t="s">
        <v>56</v>
      </c>
      <c r="I29" s="3" t="s">
        <v>7</v>
      </c>
      <c r="J29" s="3" t="s">
        <v>43</v>
      </c>
      <c r="K29" s="3" t="s">
        <v>27</v>
      </c>
      <c r="L29" s="3" t="s">
        <v>40</v>
      </c>
      <c r="M29">
        <v>1</v>
      </c>
    </row>
    <row r="30" spans="1:13" x14ac:dyDescent="0.25">
      <c r="A30" s="2">
        <v>46251</v>
      </c>
      <c r="B30" s="1" t="str">
        <f ca="1">IF(Información1[[#This Row],[Fecha]]='Ajuste de fechas'!$A$2,"Día actual","Día anterior")</f>
        <v>Día anterior</v>
      </c>
      <c r="C30" s="3" t="s">
        <v>29</v>
      </c>
      <c r="D30" t="s">
        <v>30</v>
      </c>
      <c r="E30" s="3" t="s">
        <v>154</v>
      </c>
      <c r="F30" s="3" t="s">
        <v>19</v>
      </c>
      <c r="G30" s="3" t="s">
        <v>111</v>
      </c>
      <c r="H30" s="3" t="s">
        <v>56</v>
      </c>
      <c r="I30" s="3" t="s">
        <v>7</v>
      </c>
      <c r="J30" s="3" t="s">
        <v>43</v>
      </c>
      <c r="K30" s="3" t="s">
        <v>27</v>
      </c>
      <c r="L30" s="3" t="s">
        <v>40</v>
      </c>
      <c r="M30">
        <v>1</v>
      </c>
    </row>
    <row r="31" spans="1:13" x14ac:dyDescent="0.25">
      <c r="A31" s="2">
        <v>46251</v>
      </c>
      <c r="B31" s="1" t="str">
        <f ca="1">IF(Información1[[#This Row],[Fecha]]='Ajuste de fechas'!$A$2,"Día actual","Día anterior")</f>
        <v>Día anterior</v>
      </c>
      <c r="C31" s="3" t="s">
        <v>29</v>
      </c>
      <c r="D31" t="s">
        <v>30</v>
      </c>
      <c r="E31" s="3" t="s">
        <v>155</v>
      </c>
      <c r="F31" s="3" t="s">
        <v>21</v>
      </c>
      <c r="G31" s="3" t="s">
        <v>156</v>
      </c>
      <c r="H31" s="3" t="s">
        <v>56</v>
      </c>
      <c r="I31" s="3" t="s">
        <v>7</v>
      </c>
      <c r="J31" s="3" t="s">
        <v>39</v>
      </c>
      <c r="K31" s="3" t="s">
        <v>27</v>
      </c>
      <c r="L31" s="3" t="s">
        <v>40</v>
      </c>
      <c r="M31">
        <v>1</v>
      </c>
    </row>
    <row r="32" spans="1:13" x14ac:dyDescent="0.25">
      <c r="A32" s="2">
        <v>46251</v>
      </c>
      <c r="B32" s="1" t="str">
        <f ca="1">IF(Información1[[#This Row],[Fecha]]='Ajuste de fechas'!$A$2,"Día actual","Día anterior")</f>
        <v>Día anterior</v>
      </c>
      <c r="C32" s="3" t="s">
        <v>29</v>
      </c>
      <c r="D32" t="s">
        <v>30</v>
      </c>
      <c r="E32" s="3" t="s">
        <v>157</v>
      </c>
      <c r="F32" s="3" t="s">
        <v>21</v>
      </c>
      <c r="G32" s="3" t="s">
        <v>158</v>
      </c>
      <c r="H32" s="3" t="s">
        <v>56</v>
      </c>
      <c r="I32" s="3" t="s">
        <v>7</v>
      </c>
      <c r="J32" s="3" t="s">
        <v>39</v>
      </c>
      <c r="K32" s="3" t="s">
        <v>27</v>
      </c>
      <c r="L32" s="3" t="s">
        <v>42</v>
      </c>
      <c r="M32">
        <v>1</v>
      </c>
    </row>
    <row r="33" spans="1:13" x14ac:dyDescent="0.25">
      <c r="A33" s="2">
        <v>46251</v>
      </c>
      <c r="B33" s="1" t="str">
        <f ca="1">IF(Información1[[#This Row],[Fecha]]='Ajuste de fechas'!$A$2,"Día actual","Día anterior")</f>
        <v>Día anterior</v>
      </c>
      <c r="C33" s="3" t="s">
        <v>29</v>
      </c>
      <c r="D33" t="s">
        <v>30</v>
      </c>
      <c r="E33" s="3" t="s">
        <v>159</v>
      </c>
      <c r="F33" s="3" t="s">
        <v>84</v>
      </c>
      <c r="G33" s="3" t="s">
        <v>160</v>
      </c>
      <c r="H33" s="3" t="s">
        <v>56</v>
      </c>
      <c r="I33" s="3" t="s">
        <v>7</v>
      </c>
      <c r="J33" s="3" t="s">
        <v>39</v>
      </c>
      <c r="K33" s="3" t="s">
        <v>27</v>
      </c>
      <c r="L33" s="3" t="s">
        <v>42</v>
      </c>
      <c r="M33">
        <v>1</v>
      </c>
    </row>
    <row r="34" spans="1:13" x14ac:dyDescent="0.25">
      <c r="A34" s="2">
        <v>46251</v>
      </c>
      <c r="B34" s="1" t="str">
        <f ca="1">IF(Información1[[#This Row],[Fecha]]='Ajuste de fechas'!$A$2,"Día actual","Día anterior")</f>
        <v>Día anterior</v>
      </c>
      <c r="C34" s="3" t="s">
        <v>8</v>
      </c>
      <c r="D34" t="s">
        <v>10</v>
      </c>
      <c r="E34" s="3" t="s">
        <v>161</v>
      </c>
      <c r="F34" s="3" t="s">
        <v>6</v>
      </c>
      <c r="G34" s="3" t="s">
        <v>70</v>
      </c>
      <c r="H34" s="3" t="s">
        <v>11</v>
      </c>
      <c r="I34" s="3" t="s">
        <v>25</v>
      </c>
      <c r="J34" s="3" t="s">
        <v>39</v>
      </c>
      <c r="K34" s="3" t="s">
        <v>9</v>
      </c>
      <c r="L34" s="3" t="s">
        <v>41</v>
      </c>
      <c r="M34">
        <v>1</v>
      </c>
    </row>
    <row r="35" spans="1:13" x14ac:dyDescent="0.25">
      <c r="A35" s="2">
        <v>46251</v>
      </c>
      <c r="B35" s="1" t="str">
        <f ca="1">IF(Información1[[#This Row],[Fecha]]='Ajuste de fechas'!$A$2,"Día actual","Día anterior")</f>
        <v>Día anterior</v>
      </c>
      <c r="C35" s="3" t="s">
        <v>28</v>
      </c>
      <c r="D35" t="s">
        <v>64</v>
      </c>
      <c r="E35" s="3" t="s">
        <v>162</v>
      </c>
      <c r="F35" s="3" t="s">
        <v>24</v>
      </c>
      <c r="G35" s="3" t="s">
        <v>163</v>
      </c>
      <c r="H35" s="3" t="s">
        <v>11</v>
      </c>
      <c r="I35" s="3" t="s">
        <v>7</v>
      </c>
      <c r="J35" s="3" t="s">
        <v>24</v>
      </c>
      <c r="K35" s="3" t="s">
        <v>65</v>
      </c>
      <c r="L35" s="3" t="s">
        <v>40</v>
      </c>
      <c r="M35">
        <v>1</v>
      </c>
    </row>
    <row r="36" spans="1:13" x14ac:dyDescent="0.25">
      <c r="A36" s="2">
        <v>46251</v>
      </c>
      <c r="B36" s="1" t="str">
        <f ca="1">IF(Información1[[#This Row],[Fecha]]='Ajuste de fechas'!$A$2,"Día actual","Día anterior")</f>
        <v>Día anterior</v>
      </c>
      <c r="C36" s="3" t="s">
        <v>8</v>
      </c>
      <c r="D36" t="s">
        <v>10</v>
      </c>
      <c r="E36" s="3" t="s">
        <v>164</v>
      </c>
      <c r="F36" s="3" t="s">
        <v>19</v>
      </c>
      <c r="G36" s="3" t="s">
        <v>101</v>
      </c>
      <c r="H36" s="3" t="s">
        <v>11</v>
      </c>
      <c r="I36" s="3" t="s">
        <v>7</v>
      </c>
      <c r="J36" s="3" t="s">
        <v>43</v>
      </c>
      <c r="K36" s="3" t="s">
        <v>14</v>
      </c>
      <c r="L36" s="3" t="s">
        <v>41</v>
      </c>
      <c r="M36">
        <v>1</v>
      </c>
    </row>
    <row r="37" spans="1:13" x14ac:dyDescent="0.25">
      <c r="A37" s="2">
        <v>46251</v>
      </c>
      <c r="B37" s="1" t="str">
        <f ca="1">IF(Información1[[#This Row],[Fecha]]='Ajuste de fechas'!$A$2,"Día actual","Día anterior")</f>
        <v>Día anterior</v>
      </c>
      <c r="C37" s="3" t="s">
        <v>8</v>
      </c>
      <c r="D37" t="s">
        <v>10</v>
      </c>
      <c r="E37" s="3" t="s">
        <v>165</v>
      </c>
      <c r="F37" s="3" t="s">
        <v>17</v>
      </c>
      <c r="G37" s="3" t="s">
        <v>133</v>
      </c>
      <c r="H37" s="3" t="s">
        <v>11</v>
      </c>
      <c r="I37" s="3" t="s">
        <v>25</v>
      </c>
      <c r="J37" s="3" t="s">
        <v>39</v>
      </c>
      <c r="K37" s="3" t="s">
        <v>9</v>
      </c>
      <c r="L37" s="3" t="s">
        <v>41</v>
      </c>
      <c r="M37">
        <v>1</v>
      </c>
    </row>
    <row r="38" spans="1:13" x14ac:dyDescent="0.25">
      <c r="A38" s="2">
        <v>46251</v>
      </c>
      <c r="B38" s="1" t="str">
        <f ca="1">IF(Información1[[#This Row],[Fecha]]='Ajuste de fechas'!$A$2,"Día actual","Día anterior")</f>
        <v>Día anterior</v>
      </c>
      <c r="C38" s="3" t="s">
        <v>8</v>
      </c>
      <c r="D38" t="s">
        <v>10</v>
      </c>
      <c r="E38" s="3" t="s">
        <v>166</v>
      </c>
      <c r="F38" s="3" t="s">
        <v>19</v>
      </c>
      <c r="G38" s="3" t="s">
        <v>167</v>
      </c>
      <c r="H38" s="3" t="s">
        <v>11</v>
      </c>
      <c r="I38" s="3" t="s">
        <v>7</v>
      </c>
      <c r="J38" s="3" t="s">
        <v>43</v>
      </c>
      <c r="K38" s="3" t="s">
        <v>14</v>
      </c>
      <c r="L38" s="3" t="s">
        <v>40</v>
      </c>
      <c r="M38">
        <v>1</v>
      </c>
    </row>
    <row r="39" spans="1:13" x14ac:dyDescent="0.25">
      <c r="A39" s="2">
        <v>46251</v>
      </c>
      <c r="B39" s="1" t="str">
        <f ca="1">IF(Información1[[#This Row],[Fecha]]='Ajuste de fechas'!$A$2,"Día actual","Día anterior")</f>
        <v>Día anterior</v>
      </c>
      <c r="C39" s="3" t="s">
        <v>28</v>
      </c>
      <c r="D39" t="s">
        <v>64</v>
      </c>
      <c r="E39" s="3" t="s">
        <v>168</v>
      </c>
      <c r="F39" s="3" t="s">
        <v>22</v>
      </c>
      <c r="G39" s="3" t="s">
        <v>169</v>
      </c>
      <c r="H39" s="3" t="s">
        <v>11</v>
      </c>
      <c r="I39" s="3" t="s">
        <v>7</v>
      </c>
      <c r="J39" s="3" t="s">
        <v>44</v>
      </c>
      <c r="K39" s="3" t="s">
        <v>65</v>
      </c>
      <c r="L39" s="3" t="s">
        <v>40</v>
      </c>
      <c r="M39">
        <v>1</v>
      </c>
    </row>
    <row r="40" spans="1:13" x14ac:dyDescent="0.25">
      <c r="A40" s="2">
        <v>46251</v>
      </c>
      <c r="B40" s="1" t="str">
        <f ca="1">IF(Información1[[#This Row],[Fecha]]='Ajuste de fechas'!$A$2,"Día actual","Día anterior")</f>
        <v>Día anterior</v>
      </c>
      <c r="C40" s="3" t="s">
        <v>8</v>
      </c>
      <c r="D40" t="s">
        <v>10</v>
      </c>
      <c r="E40" s="3" t="s">
        <v>170</v>
      </c>
      <c r="F40" s="3" t="s">
        <v>17</v>
      </c>
      <c r="G40" s="3" t="s">
        <v>171</v>
      </c>
      <c r="H40" s="3" t="s">
        <v>11</v>
      </c>
      <c r="I40" s="3" t="s">
        <v>25</v>
      </c>
      <c r="J40" s="3" t="s">
        <v>39</v>
      </c>
      <c r="K40" s="3" t="s">
        <v>9</v>
      </c>
      <c r="L40" s="3" t="s">
        <v>41</v>
      </c>
      <c r="M40">
        <v>1</v>
      </c>
    </row>
    <row r="41" spans="1:13" x14ac:dyDescent="0.25">
      <c r="A41" s="2">
        <v>46251</v>
      </c>
      <c r="B41" s="1" t="str">
        <f ca="1">IF(Información1[[#This Row],[Fecha]]='Ajuste de fechas'!$A$2,"Día actual","Día anterior")</f>
        <v>Día anterior</v>
      </c>
      <c r="C41" s="3" t="s">
        <v>8</v>
      </c>
      <c r="D41" t="s">
        <v>10</v>
      </c>
      <c r="E41" s="3" t="s">
        <v>20</v>
      </c>
      <c r="F41" s="3" t="s">
        <v>19</v>
      </c>
      <c r="G41" s="3" t="s">
        <v>32</v>
      </c>
      <c r="H41" s="3" t="s">
        <v>11</v>
      </c>
      <c r="I41" s="3" t="s">
        <v>12</v>
      </c>
      <c r="J41" s="3" t="s">
        <v>43</v>
      </c>
      <c r="K41" s="3" t="s">
        <v>14</v>
      </c>
      <c r="L41" s="3" t="s">
        <v>41</v>
      </c>
      <c r="M41">
        <v>1</v>
      </c>
    </row>
    <row r="42" spans="1:13" x14ac:dyDescent="0.25">
      <c r="A42" s="2">
        <v>46251</v>
      </c>
      <c r="B42" s="1" t="str">
        <f ca="1">IF(Información1[[#This Row],[Fecha]]='Ajuste de fechas'!$A$2,"Día actual","Día anterior")</f>
        <v>Día anterior</v>
      </c>
      <c r="C42" s="3" t="s">
        <v>8</v>
      </c>
      <c r="D42" t="s">
        <v>10</v>
      </c>
      <c r="E42" s="3" t="s">
        <v>18</v>
      </c>
      <c r="F42" s="3" t="s">
        <v>19</v>
      </c>
      <c r="G42" s="3" t="s">
        <v>32</v>
      </c>
      <c r="H42" s="3" t="s">
        <v>11</v>
      </c>
      <c r="I42" s="3" t="s">
        <v>12</v>
      </c>
      <c r="J42" s="3" t="s">
        <v>43</v>
      </c>
      <c r="K42" s="3" t="s">
        <v>14</v>
      </c>
      <c r="L42" s="3" t="s">
        <v>41</v>
      </c>
      <c r="M42">
        <v>1</v>
      </c>
    </row>
    <row r="43" spans="1:13" x14ac:dyDescent="0.25">
      <c r="A43" s="2">
        <v>46251</v>
      </c>
      <c r="B43" s="1" t="str">
        <f ca="1">IF(Información1[[#This Row],[Fecha]]='Ajuste de fechas'!$A$2,"Día actual","Día anterior")</f>
        <v>Día anterior</v>
      </c>
      <c r="C43" s="3" t="s">
        <v>8</v>
      </c>
      <c r="D43" t="s">
        <v>10</v>
      </c>
      <c r="E43" s="3" t="s">
        <v>80</v>
      </c>
      <c r="F43" s="3" t="s">
        <v>53</v>
      </c>
      <c r="G43" s="3" t="s">
        <v>32</v>
      </c>
      <c r="H43" s="3" t="s">
        <v>11</v>
      </c>
      <c r="I43" s="3" t="s">
        <v>12</v>
      </c>
      <c r="J43" s="3" t="s">
        <v>24</v>
      </c>
      <c r="K43" s="3" t="s">
        <v>14</v>
      </c>
      <c r="L43" s="3" t="s">
        <v>41</v>
      </c>
      <c r="M43">
        <v>1</v>
      </c>
    </row>
    <row r="44" spans="1:13" x14ac:dyDescent="0.25">
      <c r="A44" s="2">
        <v>46251</v>
      </c>
      <c r="B44" s="1" t="str">
        <f ca="1">IF(Información1[[#This Row],[Fecha]]='Ajuste de fechas'!$A$2,"Día actual","Día anterior")</f>
        <v>Día anterior</v>
      </c>
      <c r="C44" s="3" t="s">
        <v>8</v>
      </c>
      <c r="D44" t="s">
        <v>10</v>
      </c>
      <c r="E44" s="3" t="s">
        <v>97</v>
      </c>
      <c r="F44" s="3" t="s">
        <v>21</v>
      </c>
      <c r="G44" s="3" t="s">
        <v>32</v>
      </c>
      <c r="H44" s="3" t="s">
        <v>11</v>
      </c>
      <c r="I44" s="3" t="s">
        <v>12</v>
      </c>
      <c r="J44" s="3" t="s">
        <v>39</v>
      </c>
      <c r="K44" s="3" t="s">
        <v>14</v>
      </c>
      <c r="L44" s="3" t="s">
        <v>41</v>
      </c>
      <c r="M44">
        <v>1</v>
      </c>
    </row>
    <row r="45" spans="1:13" x14ac:dyDescent="0.25">
      <c r="A45" s="2">
        <v>46251</v>
      </c>
      <c r="B45" s="1" t="str">
        <f ca="1">IF(Información1[[#This Row],[Fecha]]='Ajuste de fechas'!$A$2,"Día actual","Día anterior")</f>
        <v>Día anterior</v>
      </c>
      <c r="C45" s="3" t="s">
        <v>8</v>
      </c>
      <c r="D45" t="s">
        <v>10</v>
      </c>
      <c r="E45" s="3" t="s">
        <v>13</v>
      </c>
      <c r="F45" s="3" t="s">
        <v>15</v>
      </c>
      <c r="G45" s="3" t="s">
        <v>32</v>
      </c>
      <c r="H45" s="3" t="s">
        <v>11</v>
      </c>
      <c r="I45" s="3" t="s">
        <v>12</v>
      </c>
      <c r="J45" s="3" t="s">
        <v>39</v>
      </c>
      <c r="K45" s="3" t="s">
        <v>14</v>
      </c>
      <c r="L45" s="3" t="s">
        <v>41</v>
      </c>
      <c r="M45">
        <v>1</v>
      </c>
    </row>
    <row r="46" spans="1:13" x14ac:dyDescent="0.25">
      <c r="A46" s="2">
        <v>46251</v>
      </c>
      <c r="B46" s="1" t="str">
        <f ca="1">IF(Información1[[#This Row],[Fecha]]='Ajuste de fechas'!$A$2,"Día actual","Día anterior")</f>
        <v>Día anterior</v>
      </c>
      <c r="C46" s="3" t="s">
        <v>8</v>
      </c>
      <c r="D46" t="s">
        <v>10</v>
      </c>
      <c r="E46" s="3" t="s">
        <v>16</v>
      </c>
      <c r="F46" s="3" t="s">
        <v>17</v>
      </c>
      <c r="G46" s="3" t="s">
        <v>32</v>
      </c>
      <c r="H46" s="3" t="s">
        <v>11</v>
      </c>
      <c r="I46" s="3" t="s">
        <v>12</v>
      </c>
      <c r="J46" s="3" t="s">
        <v>39</v>
      </c>
      <c r="K46" s="3" t="s">
        <v>14</v>
      </c>
      <c r="L46" s="3" t="s">
        <v>41</v>
      </c>
      <c r="M46">
        <v>1</v>
      </c>
    </row>
    <row r="47" spans="1:13" x14ac:dyDescent="0.25">
      <c r="A47" s="2">
        <v>46251</v>
      </c>
      <c r="B47" s="1" t="str">
        <f ca="1">IF(Información1[[#This Row],[Fecha]]='Ajuste de fechas'!$A$2,"Día actual","Día anterior")</f>
        <v>Día anterior</v>
      </c>
      <c r="C47" s="3" t="s">
        <v>8</v>
      </c>
      <c r="D47" t="s">
        <v>10</v>
      </c>
      <c r="E47" s="3" t="s">
        <v>52</v>
      </c>
      <c r="F47" s="3" t="s">
        <v>6</v>
      </c>
      <c r="G47" s="3" t="s">
        <v>32</v>
      </c>
      <c r="H47" s="3" t="s">
        <v>11</v>
      </c>
      <c r="I47" s="3" t="s">
        <v>12</v>
      </c>
      <c r="J47" s="3" t="s">
        <v>39</v>
      </c>
      <c r="K47" s="3" t="s">
        <v>14</v>
      </c>
      <c r="L47" s="3" t="s">
        <v>41</v>
      </c>
      <c r="M47">
        <v>1</v>
      </c>
    </row>
    <row r="48" spans="1:13" x14ac:dyDescent="0.25">
      <c r="A48" s="2">
        <v>46251</v>
      </c>
      <c r="B48" s="1" t="str">
        <f ca="1">IF(Información1[[#This Row],[Fecha]]='Ajuste de fechas'!$A$2,"Día actual","Día anterior")</f>
        <v>Día anterior</v>
      </c>
      <c r="C48" s="3" t="s">
        <v>74</v>
      </c>
      <c r="D48" t="s">
        <v>79</v>
      </c>
      <c r="E48" s="3" t="s">
        <v>172</v>
      </c>
      <c r="F48" s="3" t="s">
        <v>78</v>
      </c>
      <c r="G48" s="3" t="s">
        <v>173</v>
      </c>
      <c r="H48" s="3" t="s">
        <v>11</v>
      </c>
      <c r="I48" s="3" t="s">
        <v>7</v>
      </c>
      <c r="J48" s="3" t="s">
        <v>39</v>
      </c>
      <c r="K48" s="3" t="s">
        <v>89</v>
      </c>
      <c r="L48" s="3" t="s">
        <v>42</v>
      </c>
      <c r="M48">
        <v>1</v>
      </c>
    </row>
    <row r="49" spans="1:13" x14ac:dyDescent="0.25">
      <c r="A49" s="2">
        <v>46251</v>
      </c>
      <c r="B49" s="1" t="str">
        <f ca="1">IF(Información1[[#This Row],[Fecha]]='Ajuste de fechas'!$A$2,"Día actual","Día anterior")</f>
        <v>Día anterior</v>
      </c>
      <c r="C49" s="3" t="s">
        <v>28</v>
      </c>
      <c r="D49" t="s">
        <v>64</v>
      </c>
      <c r="E49" s="3" t="s">
        <v>174</v>
      </c>
      <c r="F49" s="3" t="s">
        <v>175</v>
      </c>
      <c r="G49" s="3" t="s">
        <v>92</v>
      </c>
      <c r="H49" s="3" t="s">
        <v>11</v>
      </c>
      <c r="I49" s="3" t="s">
        <v>7</v>
      </c>
      <c r="J49" s="3" t="s">
        <v>39</v>
      </c>
      <c r="K49" s="3" t="s">
        <v>65</v>
      </c>
      <c r="L49" s="3" t="s">
        <v>40</v>
      </c>
      <c r="M49">
        <v>1</v>
      </c>
    </row>
    <row r="50" spans="1:13" x14ac:dyDescent="0.25">
      <c r="A50" s="2">
        <v>46251</v>
      </c>
      <c r="B50" s="1" t="str">
        <f ca="1">IF(Información1[[#This Row],[Fecha]]='Ajuste de fechas'!$A$2,"Día actual","Día anterior")</f>
        <v>Día anterior</v>
      </c>
      <c r="C50" s="3" t="s">
        <v>28</v>
      </c>
      <c r="D50" t="s">
        <v>64</v>
      </c>
      <c r="E50" s="3" t="s">
        <v>176</v>
      </c>
      <c r="F50" s="3" t="s">
        <v>17</v>
      </c>
      <c r="G50" s="3" t="s">
        <v>92</v>
      </c>
      <c r="H50" s="3" t="s">
        <v>11</v>
      </c>
      <c r="I50" s="3" t="s">
        <v>7</v>
      </c>
      <c r="J50" s="3" t="s">
        <v>39</v>
      </c>
      <c r="K50" s="3" t="s">
        <v>65</v>
      </c>
      <c r="L50" s="3" t="s">
        <v>40</v>
      </c>
      <c r="M50">
        <v>1</v>
      </c>
    </row>
    <row r="51" spans="1:13" x14ac:dyDescent="0.25">
      <c r="A51" s="2">
        <v>46251</v>
      </c>
      <c r="B51" s="1" t="str">
        <f ca="1">IF(Información1[[#This Row],[Fecha]]='Ajuste de fechas'!$A$2,"Día actual","Día anterior")</f>
        <v>Día anterior</v>
      </c>
      <c r="C51" s="3" t="s">
        <v>28</v>
      </c>
      <c r="D51" t="s">
        <v>71</v>
      </c>
      <c r="E51" s="3" t="s">
        <v>177</v>
      </c>
      <c r="F51" s="3" t="s">
        <v>17</v>
      </c>
      <c r="G51" s="3" t="s">
        <v>92</v>
      </c>
      <c r="H51" s="3" t="s">
        <v>11</v>
      </c>
      <c r="I51" s="3" t="s">
        <v>7</v>
      </c>
      <c r="J51" s="3" t="s">
        <v>39</v>
      </c>
      <c r="K51" s="3" t="s">
        <v>72</v>
      </c>
      <c r="L51" s="3" t="s">
        <v>40</v>
      </c>
      <c r="M51">
        <v>1</v>
      </c>
    </row>
    <row r="52" spans="1:13" x14ac:dyDescent="0.25">
      <c r="A52" s="2">
        <v>46251</v>
      </c>
      <c r="B52" s="1" t="str">
        <f ca="1">IF(Información1[[#This Row],[Fecha]]='Ajuste de fechas'!$A$2,"Día actual","Día anterior")</f>
        <v>Día anterior</v>
      </c>
      <c r="C52" s="3" t="s">
        <v>8</v>
      </c>
      <c r="D52" t="s">
        <v>10</v>
      </c>
      <c r="E52" s="3" t="s">
        <v>178</v>
      </c>
      <c r="F52" s="3" t="s">
        <v>17</v>
      </c>
      <c r="G52" s="3" t="s">
        <v>92</v>
      </c>
      <c r="H52" s="3" t="s">
        <v>11</v>
      </c>
      <c r="I52" s="3" t="s">
        <v>7</v>
      </c>
      <c r="J52" s="3" t="s">
        <v>39</v>
      </c>
      <c r="K52" s="3" t="s">
        <v>9</v>
      </c>
      <c r="L52" s="3" t="s">
        <v>41</v>
      </c>
      <c r="M52">
        <v>1</v>
      </c>
    </row>
    <row r="53" spans="1:13" x14ac:dyDescent="0.25">
      <c r="A53" s="2">
        <v>46251</v>
      </c>
      <c r="B53" s="1" t="str">
        <f ca="1">IF(Información1[[#This Row],[Fecha]]='Ajuste de fechas'!$A$2,"Día actual","Día anterior")</f>
        <v>Día anterior</v>
      </c>
      <c r="C53" s="3" t="s">
        <v>8</v>
      </c>
      <c r="D53" t="s">
        <v>10</v>
      </c>
      <c r="E53" s="3" t="s">
        <v>179</v>
      </c>
      <c r="F53" s="3" t="s">
        <v>17</v>
      </c>
      <c r="G53" s="3" t="s">
        <v>92</v>
      </c>
      <c r="H53" s="3" t="s">
        <v>11</v>
      </c>
      <c r="I53" s="3" t="s">
        <v>7</v>
      </c>
      <c r="J53" s="3" t="s">
        <v>39</v>
      </c>
      <c r="K53" s="3" t="s">
        <v>14</v>
      </c>
      <c r="L53" s="3" t="s">
        <v>41</v>
      </c>
      <c r="M53">
        <v>1</v>
      </c>
    </row>
    <row r="54" spans="1:13" x14ac:dyDescent="0.25">
      <c r="A54" s="2">
        <v>46251</v>
      </c>
      <c r="B54" s="1" t="str">
        <f ca="1">IF(Información1[[#This Row],[Fecha]]='Ajuste de fechas'!$A$2,"Día actual","Día anterior")</f>
        <v>Día anterior</v>
      </c>
      <c r="C54" s="3" t="s">
        <v>28</v>
      </c>
      <c r="D54" t="s">
        <v>71</v>
      </c>
      <c r="E54" s="3" t="s">
        <v>180</v>
      </c>
      <c r="F54" s="3" t="s">
        <v>21</v>
      </c>
      <c r="G54" s="3" t="s">
        <v>181</v>
      </c>
      <c r="H54" s="3" t="s">
        <v>11</v>
      </c>
      <c r="I54" s="3" t="s">
        <v>7</v>
      </c>
      <c r="J54" s="3" t="s">
        <v>39</v>
      </c>
      <c r="K54" s="3" t="s">
        <v>72</v>
      </c>
      <c r="L54" s="3" t="s">
        <v>40</v>
      </c>
      <c r="M54">
        <v>1</v>
      </c>
    </row>
    <row r="55" spans="1:13" x14ac:dyDescent="0.25">
      <c r="A55" s="2">
        <v>46251</v>
      </c>
      <c r="B55" s="1" t="str">
        <f ca="1">IF(Información1[[#This Row],[Fecha]]='Ajuste de fechas'!$A$2,"Día actual","Día anterior")</f>
        <v>Día anterior</v>
      </c>
      <c r="C55" s="3" t="s">
        <v>28</v>
      </c>
      <c r="D55" t="s">
        <v>71</v>
      </c>
      <c r="E55" s="3" t="s">
        <v>182</v>
      </c>
      <c r="F55" s="3" t="s">
        <v>23</v>
      </c>
      <c r="G55" s="3" t="s">
        <v>183</v>
      </c>
      <c r="H55" s="3" t="s">
        <v>11</v>
      </c>
      <c r="I55" s="3" t="s">
        <v>7</v>
      </c>
      <c r="J55" s="3" t="s">
        <v>39</v>
      </c>
      <c r="K55" s="3" t="s">
        <v>72</v>
      </c>
      <c r="L55" s="3" t="s">
        <v>40</v>
      </c>
      <c r="M55">
        <v>1</v>
      </c>
    </row>
    <row r="56" spans="1:13" x14ac:dyDescent="0.25">
      <c r="A56" s="2">
        <v>46251</v>
      </c>
      <c r="B56" s="1" t="str">
        <f ca="1">IF(Información1[[#This Row],[Fecha]]='Ajuste de fechas'!$A$2,"Día actual","Día anterior")</f>
        <v>Día anterior</v>
      </c>
      <c r="C56" s="3" t="s">
        <v>28</v>
      </c>
      <c r="D56" t="s">
        <v>71</v>
      </c>
      <c r="E56" s="3" t="s">
        <v>184</v>
      </c>
      <c r="F56" s="3" t="s">
        <v>21</v>
      </c>
      <c r="G56" s="3" t="s">
        <v>185</v>
      </c>
      <c r="H56" s="3" t="s">
        <v>11</v>
      </c>
      <c r="I56" s="3" t="s">
        <v>7</v>
      </c>
      <c r="J56" s="3" t="s">
        <v>39</v>
      </c>
      <c r="K56" s="3" t="s">
        <v>72</v>
      </c>
      <c r="L56" s="3" t="s">
        <v>40</v>
      </c>
      <c r="M56">
        <v>1</v>
      </c>
    </row>
    <row r="57" spans="1:13" x14ac:dyDescent="0.25">
      <c r="A57" s="2">
        <v>46251</v>
      </c>
      <c r="B57" s="1" t="str">
        <f ca="1">IF(Información1[[#This Row],[Fecha]]='Ajuste de fechas'!$A$2,"Día actual","Día anterior")</f>
        <v>Día anterior</v>
      </c>
      <c r="C57" s="3" t="s">
        <v>28</v>
      </c>
      <c r="D57" t="s">
        <v>71</v>
      </c>
      <c r="E57" s="3" t="s">
        <v>186</v>
      </c>
      <c r="F57" s="3" t="s">
        <v>78</v>
      </c>
      <c r="G57" s="3" t="s">
        <v>187</v>
      </c>
      <c r="H57" s="3" t="s">
        <v>11</v>
      </c>
      <c r="I57" s="3" t="s">
        <v>7</v>
      </c>
      <c r="J57" s="3" t="s">
        <v>39</v>
      </c>
      <c r="K57" s="3" t="s">
        <v>72</v>
      </c>
      <c r="L57" s="3" t="s">
        <v>40</v>
      </c>
      <c r="M57">
        <v>1</v>
      </c>
    </row>
    <row r="58" spans="1:13" x14ac:dyDescent="0.25">
      <c r="A58" s="2">
        <v>46251</v>
      </c>
      <c r="B58" s="1" t="str">
        <f ca="1">IF(Información1[[#This Row],[Fecha]]='Ajuste de fechas'!$A$2,"Día actual","Día anterior")</f>
        <v>Día anterior</v>
      </c>
      <c r="C58" s="3" t="s">
        <v>28</v>
      </c>
      <c r="D58" t="s">
        <v>64</v>
      </c>
      <c r="E58" s="3" t="s">
        <v>188</v>
      </c>
      <c r="F58" s="3" t="s">
        <v>19</v>
      </c>
      <c r="G58" s="3" t="s">
        <v>152</v>
      </c>
      <c r="H58" s="3" t="s">
        <v>11</v>
      </c>
      <c r="I58" s="3" t="s">
        <v>7</v>
      </c>
      <c r="J58" s="3" t="s">
        <v>43</v>
      </c>
      <c r="K58" s="3" t="s">
        <v>65</v>
      </c>
      <c r="L58" s="3" t="s">
        <v>40</v>
      </c>
      <c r="M58">
        <v>1</v>
      </c>
    </row>
    <row r="59" spans="1:13" x14ac:dyDescent="0.25">
      <c r="A59" s="2">
        <v>46251</v>
      </c>
      <c r="B59" s="1" t="str">
        <f ca="1">IF(Información1[[#This Row],[Fecha]]='Ajuste de fechas'!$A$2,"Día actual","Día anterior")</f>
        <v>Día anterior</v>
      </c>
      <c r="C59" s="3" t="s">
        <v>28</v>
      </c>
      <c r="D59" t="s">
        <v>64</v>
      </c>
      <c r="E59" s="3" t="s">
        <v>151</v>
      </c>
      <c r="F59" s="3" t="s">
        <v>23</v>
      </c>
      <c r="G59" s="3" t="s">
        <v>152</v>
      </c>
      <c r="H59" s="3" t="s">
        <v>11</v>
      </c>
      <c r="I59" s="3" t="s">
        <v>7</v>
      </c>
      <c r="J59" s="3" t="s">
        <v>39</v>
      </c>
      <c r="K59" s="3" t="s">
        <v>65</v>
      </c>
      <c r="L59" s="3" t="s">
        <v>42</v>
      </c>
      <c r="M59">
        <v>1</v>
      </c>
    </row>
    <row r="60" spans="1:13" x14ac:dyDescent="0.25">
      <c r="A60" s="2">
        <v>46251</v>
      </c>
      <c r="B60" s="1" t="str">
        <f ca="1">IF(Información1[[#This Row],[Fecha]]='Ajuste de fechas'!$A$2,"Día actual","Día anterior")</f>
        <v>Día anterior</v>
      </c>
      <c r="C60" s="3" t="s">
        <v>28</v>
      </c>
      <c r="D60" t="s">
        <v>71</v>
      </c>
      <c r="E60" s="3" t="s">
        <v>189</v>
      </c>
      <c r="F60" s="3" t="s">
        <v>19</v>
      </c>
      <c r="G60" s="3" t="s">
        <v>190</v>
      </c>
      <c r="H60" s="3" t="s">
        <v>11</v>
      </c>
      <c r="I60" s="3" t="s">
        <v>7</v>
      </c>
      <c r="J60" s="3" t="s">
        <v>43</v>
      </c>
      <c r="K60" s="3" t="s">
        <v>72</v>
      </c>
      <c r="L60" s="3" t="s">
        <v>40</v>
      </c>
      <c r="M60">
        <v>1</v>
      </c>
    </row>
    <row r="61" spans="1:13" x14ac:dyDescent="0.25">
      <c r="A61" s="2">
        <v>46251</v>
      </c>
      <c r="B61" s="1" t="str">
        <f ca="1">IF(Información1[[#This Row],[Fecha]]='Ajuste de fechas'!$A$2,"Día actual","Día anterior")</f>
        <v>Día anterior</v>
      </c>
      <c r="C61" s="3" t="s">
        <v>28</v>
      </c>
      <c r="D61" t="s">
        <v>71</v>
      </c>
      <c r="E61" s="3" t="s">
        <v>191</v>
      </c>
      <c r="F61" s="3" t="s">
        <v>19</v>
      </c>
      <c r="G61" s="3" t="s">
        <v>192</v>
      </c>
      <c r="H61" s="3" t="s">
        <v>11</v>
      </c>
      <c r="I61" s="3" t="s">
        <v>7</v>
      </c>
      <c r="J61" s="3" t="s">
        <v>43</v>
      </c>
      <c r="K61" s="3" t="s">
        <v>72</v>
      </c>
      <c r="L61" s="3" t="s">
        <v>40</v>
      </c>
      <c r="M61">
        <v>1</v>
      </c>
    </row>
    <row r="62" spans="1:13" x14ac:dyDescent="0.25">
      <c r="A62" s="2">
        <v>46251</v>
      </c>
      <c r="B62" s="1" t="str">
        <f ca="1">IF(Información1[[#This Row],[Fecha]]='Ajuste de fechas'!$A$2,"Día actual","Día anterior")</f>
        <v>Día anterior</v>
      </c>
      <c r="C62" s="3" t="s">
        <v>28</v>
      </c>
      <c r="D62" t="s">
        <v>71</v>
      </c>
      <c r="E62" s="3" t="s">
        <v>193</v>
      </c>
      <c r="F62" s="3" t="s">
        <v>19</v>
      </c>
      <c r="G62" s="3" t="s">
        <v>194</v>
      </c>
      <c r="H62" s="3" t="s">
        <v>11</v>
      </c>
      <c r="I62" s="3" t="s">
        <v>7</v>
      </c>
      <c r="J62" s="3" t="s">
        <v>43</v>
      </c>
      <c r="K62" s="3" t="s">
        <v>72</v>
      </c>
      <c r="L62" s="3" t="s">
        <v>40</v>
      </c>
      <c r="M62">
        <v>1</v>
      </c>
    </row>
    <row r="63" spans="1:13" x14ac:dyDescent="0.25">
      <c r="A63" s="2">
        <v>46251</v>
      </c>
      <c r="B63" s="1" t="str">
        <f ca="1">IF(Información1[[#This Row],[Fecha]]='Ajuste de fechas'!$A$2,"Día actual","Día anterior")</f>
        <v>Día anterior</v>
      </c>
      <c r="C63" s="3" t="s">
        <v>8</v>
      </c>
      <c r="D63" t="s">
        <v>10</v>
      </c>
      <c r="E63" s="3" t="s">
        <v>195</v>
      </c>
      <c r="F63" s="3" t="s">
        <v>19</v>
      </c>
      <c r="G63" s="3" t="s">
        <v>111</v>
      </c>
      <c r="H63" s="3" t="s">
        <v>11</v>
      </c>
      <c r="I63" s="3" t="s">
        <v>25</v>
      </c>
      <c r="J63" s="3" t="s">
        <v>43</v>
      </c>
      <c r="K63" s="3" t="s">
        <v>9</v>
      </c>
      <c r="L63" s="3" t="s">
        <v>41</v>
      </c>
      <c r="M63">
        <v>1</v>
      </c>
    </row>
    <row r="64" spans="1:13" x14ac:dyDescent="0.25">
      <c r="A64" s="2">
        <v>46251</v>
      </c>
      <c r="B64" s="1" t="str">
        <f ca="1">IF(Información1[[#This Row],[Fecha]]='Ajuste de fechas'!$A$2,"Día actual","Día anterior")</f>
        <v>Día anterior</v>
      </c>
      <c r="C64" s="3" t="s">
        <v>28</v>
      </c>
      <c r="D64" t="s">
        <v>64</v>
      </c>
      <c r="E64" s="3" t="s">
        <v>196</v>
      </c>
      <c r="F64" s="3" t="s">
        <v>78</v>
      </c>
      <c r="G64" s="3" t="s">
        <v>197</v>
      </c>
      <c r="H64" s="3" t="s">
        <v>11</v>
      </c>
      <c r="I64" s="3" t="s">
        <v>7</v>
      </c>
      <c r="J64" s="3" t="s">
        <v>39</v>
      </c>
      <c r="K64" s="3" t="s">
        <v>65</v>
      </c>
      <c r="L64" s="3" t="s">
        <v>40</v>
      </c>
      <c r="M64">
        <v>1</v>
      </c>
    </row>
    <row r="65" spans="1:13" x14ac:dyDescent="0.25">
      <c r="A65" s="2">
        <v>46251</v>
      </c>
      <c r="B65" s="1" t="str">
        <f ca="1">IF(Información1[[#This Row],[Fecha]]='Ajuste de fechas'!$A$2,"Día actual","Día anterior")</f>
        <v>Día anterior</v>
      </c>
      <c r="C65" s="3" t="s">
        <v>28</v>
      </c>
      <c r="D65" t="s">
        <v>64</v>
      </c>
      <c r="E65" s="3" t="s">
        <v>198</v>
      </c>
      <c r="F65" s="3" t="s">
        <v>76</v>
      </c>
      <c r="G65" s="3" t="s">
        <v>197</v>
      </c>
      <c r="H65" s="3" t="s">
        <v>11</v>
      </c>
      <c r="I65" s="3" t="s">
        <v>7</v>
      </c>
      <c r="J65" s="3" t="s">
        <v>39</v>
      </c>
      <c r="K65" s="3" t="s">
        <v>65</v>
      </c>
      <c r="L65" s="3" t="s">
        <v>40</v>
      </c>
      <c r="M65">
        <v>1</v>
      </c>
    </row>
    <row r="66" spans="1:13" x14ac:dyDescent="0.25">
      <c r="A66" s="2">
        <v>46251</v>
      </c>
      <c r="B66" s="1" t="str">
        <f ca="1">IF(Información1[[#This Row],[Fecha]]='Ajuste de fechas'!$A$2,"Día actual","Día anterior")</f>
        <v>Día anterior</v>
      </c>
      <c r="C66" s="3" t="s">
        <v>28</v>
      </c>
      <c r="D66" t="s">
        <v>64</v>
      </c>
      <c r="E66" s="3" t="s">
        <v>199</v>
      </c>
      <c r="F66" s="3" t="s">
        <v>26</v>
      </c>
      <c r="G66" s="3" t="s">
        <v>197</v>
      </c>
      <c r="H66" s="3" t="s">
        <v>11</v>
      </c>
      <c r="I66" s="3" t="s">
        <v>7</v>
      </c>
      <c r="J66" s="3" t="s">
        <v>39</v>
      </c>
      <c r="K66" s="3" t="s">
        <v>65</v>
      </c>
      <c r="L66" s="3" t="s">
        <v>40</v>
      </c>
      <c r="M66">
        <v>1</v>
      </c>
    </row>
    <row r="67" spans="1:13" x14ac:dyDescent="0.25">
      <c r="A67" s="2">
        <v>46251</v>
      </c>
      <c r="B67" s="1" t="str">
        <f ca="1">IF(Información1[[#This Row],[Fecha]]='Ajuste de fechas'!$A$2,"Día actual","Día anterior")</f>
        <v>Día anterior</v>
      </c>
      <c r="C67" s="3" t="s">
        <v>28</v>
      </c>
      <c r="D67" t="s">
        <v>71</v>
      </c>
      <c r="E67" s="3" t="s">
        <v>200</v>
      </c>
      <c r="F67" s="3" t="s">
        <v>84</v>
      </c>
      <c r="G67" s="3" t="s">
        <v>201</v>
      </c>
      <c r="H67" s="3" t="s">
        <v>11</v>
      </c>
      <c r="I67" s="3" t="s">
        <v>7</v>
      </c>
      <c r="J67" s="3" t="s">
        <v>39</v>
      </c>
      <c r="K67" s="3" t="s">
        <v>72</v>
      </c>
      <c r="L67" s="3" t="s">
        <v>40</v>
      </c>
      <c r="M67">
        <v>1</v>
      </c>
    </row>
    <row r="68" spans="1:13" x14ac:dyDescent="0.25">
      <c r="A68" s="2">
        <v>46251</v>
      </c>
      <c r="B68" s="1" t="str">
        <f ca="1">IF(Información1[[#This Row],[Fecha]]='Ajuste de fechas'!$A$2,"Día actual","Día anterior")</f>
        <v>Día anterior</v>
      </c>
      <c r="C68" s="3" t="s">
        <v>8</v>
      </c>
      <c r="D68" t="s">
        <v>10</v>
      </c>
      <c r="E68" s="3" t="s">
        <v>202</v>
      </c>
      <c r="F68" s="3" t="s">
        <v>203</v>
      </c>
      <c r="G68" s="3" t="s">
        <v>201</v>
      </c>
      <c r="H68" s="3" t="s">
        <v>11</v>
      </c>
      <c r="I68" s="3" t="s">
        <v>12</v>
      </c>
      <c r="J68" s="3" t="s">
        <v>39</v>
      </c>
      <c r="K68" s="3" t="s">
        <v>14</v>
      </c>
      <c r="L68" s="3" t="s">
        <v>81</v>
      </c>
      <c r="M68">
        <v>1</v>
      </c>
    </row>
    <row r="69" spans="1:13" x14ac:dyDescent="0.25">
      <c r="A69" s="2">
        <v>46251</v>
      </c>
      <c r="B69" s="1" t="str">
        <f ca="1">IF(Información1[[#This Row],[Fecha]]='Ajuste de fechas'!$A$2,"Día actual","Día anterior")</f>
        <v>Día anterior</v>
      </c>
      <c r="C69" s="3" t="s">
        <v>28</v>
      </c>
      <c r="D69" t="s">
        <v>64</v>
      </c>
      <c r="E69" s="3" t="s">
        <v>204</v>
      </c>
      <c r="F69" s="3" t="s">
        <v>22</v>
      </c>
      <c r="G69" s="3" t="s">
        <v>205</v>
      </c>
      <c r="H69" s="3" t="s">
        <v>11</v>
      </c>
      <c r="I69" s="3" t="s">
        <v>7</v>
      </c>
      <c r="J69" s="3" t="s">
        <v>44</v>
      </c>
      <c r="K69" s="3" t="s">
        <v>65</v>
      </c>
      <c r="L69" s="3" t="s">
        <v>40</v>
      </c>
      <c r="M69">
        <v>1</v>
      </c>
    </row>
    <row r="70" spans="1:13" x14ac:dyDescent="0.25">
      <c r="A70" s="2">
        <v>46251</v>
      </c>
      <c r="B70" s="1" t="str">
        <f ca="1">IF(Información1[[#This Row],[Fecha]]='Ajuste de fechas'!$A$2,"Día actual","Día anterior")</f>
        <v>Día anterior</v>
      </c>
      <c r="C70" s="3" t="s">
        <v>28</v>
      </c>
      <c r="D70" t="s">
        <v>71</v>
      </c>
      <c r="E70" s="3" t="s">
        <v>206</v>
      </c>
      <c r="F70" s="3" t="s">
        <v>15</v>
      </c>
      <c r="G70" s="3" t="s">
        <v>207</v>
      </c>
      <c r="H70" s="3" t="s">
        <v>11</v>
      </c>
      <c r="I70" s="3" t="s">
        <v>7</v>
      </c>
      <c r="J70" s="3" t="s">
        <v>39</v>
      </c>
      <c r="K70" s="3" t="s">
        <v>72</v>
      </c>
      <c r="L70" s="3" t="s">
        <v>40</v>
      </c>
      <c r="M70">
        <v>1</v>
      </c>
    </row>
    <row r="71" spans="1:13" x14ac:dyDescent="0.25">
      <c r="A71" s="2">
        <v>46251</v>
      </c>
      <c r="B71" s="1" t="str">
        <f ca="1">IF(Información1[[#This Row],[Fecha]]='Ajuste de fechas'!$A$2,"Día actual","Día anterior")</f>
        <v>Día anterior</v>
      </c>
      <c r="C71" s="3" t="s">
        <v>8</v>
      </c>
      <c r="D71" t="s">
        <v>10</v>
      </c>
      <c r="E71" s="3" t="s">
        <v>208</v>
      </c>
      <c r="F71" s="3" t="s">
        <v>22</v>
      </c>
      <c r="G71" s="3" t="s">
        <v>104</v>
      </c>
      <c r="H71" s="3" t="s">
        <v>11</v>
      </c>
      <c r="I71" s="3" t="s">
        <v>7</v>
      </c>
      <c r="J71" s="3" t="s">
        <v>44</v>
      </c>
      <c r="K71" s="3" t="s">
        <v>14</v>
      </c>
      <c r="L71" s="3" t="s">
        <v>40</v>
      </c>
      <c r="M71">
        <v>1</v>
      </c>
    </row>
    <row r="72" spans="1:13" x14ac:dyDescent="0.25">
      <c r="A72" s="2">
        <v>46251</v>
      </c>
      <c r="B72" s="1" t="str">
        <f ca="1">IF(Información1[[#This Row],[Fecha]]='Ajuste de fechas'!$A$2,"Día actual","Día anterior")</f>
        <v>Día anterior</v>
      </c>
      <c r="C72" s="3" t="s">
        <v>28</v>
      </c>
      <c r="D72" t="s">
        <v>71</v>
      </c>
      <c r="E72" s="3" t="s">
        <v>209</v>
      </c>
      <c r="F72" s="3" t="s">
        <v>84</v>
      </c>
      <c r="G72" s="3" t="s">
        <v>160</v>
      </c>
      <c r="H72" s="3" t="s">
        <v>11</v>
      </c>
      <c r="I72" s="3" t="s">
        <v>7</v>
      </c>
      <c r="J72" s="3" t="s">
        <v>39</v>
      </c>
      <c r="K72" s="3" t="s">
        <v>72</v>
      </c>
      <c r="L72" s="3" t="s">
        <v>40</v>
      </c>
      <c r="M72">
        <v>1</v>
      </c>
    </row>
    <row r="73" spans="1:13" x14ac:dyDescent="0.25">
      <c r="A73" s="2">
        <v>46251</v>
      </c>
      <c r="B73" s="1" t="str">
        <f ca="1">IF(Información1[[#This Row],[Fecha]]='Ajuste de fechas'!$A$2,"Día actual","Día anterior")</f>
        <v>Día anterior</v>
      </c>
      <c r="C73" s="3" t="s">
        <v>8</v>
      </c>
      <c r="D73" t="s">
        <v>10</v>
      </c>
      <c r="E73" s="3" t="s">
        <v>210</v>
      </c>
      <c r="F73" s="3" t="s">
        <v>84</v>
      </c>
      <c r="G73" s="3" t="s">
        <v>160</v>
      </c>
      <c r="H73" s="3" t="s">
        <v>11</v>
      </c>
      <c r="I73" s="3" t="s">
        <v>7</v>
      </c>
      <c r="J73" s="3" t="s">
        <v>39</v>
      </c>
      <c r="K73" s="3" t="s">
        <v>14</v>
      </c>
      <c r="L73" s="3" t="s">
        <v>42</v>
      </c>
      <c r="M73">
        <v>1</v>
      </c>
    </row>
    <row r="74" spans="1:13" x14ac:dyDescent="0.25">
      <c r="A74" s="2">
        <v>46251</v>
      </c>
      <c r="B74" s="1" t="str">
        <f ca="1">IF(Información1[[#This Row],[Fecha]]='Ajuste de fechas'!$A$2,"Día actual","Día anterior")</f>
        <v>Día anterior</v>
      </c>
      <c r="C74" s="3" t="s">
        <v>28</v>
      </c>
      <c r="D74" t="s">
        <v>64</v>
      </c>
      <c r="E74" s="3" t="s">
        <v>211</v>
      </c>
      <c r="F74" s="3" t="s">
        <v>19</v>
      </c>
      <c r="G74" s="3" t="s">
        <v>125</v>
      </c>
      <c r="H74" s="3" t="s">
        <v>11</v>
      </c>
      <c r="I74" s="3" t="s">
        <v>25</v>
      </c>
      <c r="J74" s="3" t="s">
        <v>43</v>
      </c>
      <c r="K74" s="3" t="s">
        <v>65</v>
      </c>
      <c r="L74" s="3" t="s">
        <v>40</v>
      </c>
      <c r="M74">
        <v>1</v>
      </c>
    </row>
    <row r="75" spans="1:13" x14ac:dyDescent="0.25">
      <c r="A75" s="2">
        <v>46251</v>
      </c>
      <c r="B75" s="1" t="str">
        <f ca="1">IF(Información1[[#This Row],[Fecha]]='Ajuste de fechas'!$A$2,"Día actual","Día anterior")</f>
        <v>Día anterior</v>
      </c>
      <c r="C75" s="3" t="s">
        <v>28</v>
      </c>
      <c r="D75" t="s">
        <v>64</v>
      </c>
      <c r="E75" s="3" t="s">
        <v>212</v>
      </c>
      <c r="F75" s="3" t="s">
        <v>76</v>
      </c>
      <c r="G75" s="3" t="s">
        <v>125</v>
      </c>
      <c r="H75" s="3" t="s">
        <v>11</v>
      </c>
      <c r="I75" s="3" t="s">
        <v>7</v>
      </c>
      <c r="J75" s="3" t="s">
        <v>39</v>
      </c>
      <c r="K75" s="3" t="s">
        <v>65</v>
      </c>
      <c r="L75" s="3" t="s">
        <v>40</v>
      </c>
      <c r="M75">
        <v>1</v>
      </c>
    </row>
    <row r="76" spans="1:13" x14ac:dyDescent="0.25">
      <c r="A76" s="2">
        <v>46251</v>
      </c>
      <c r="B76" s="1" t="str">
        <f ca="1">IF(Información1[[#This Row],[Fecha]]='Ajuste de fechas'!$A$2,"Día actual","Día anterior")</f>
        <v>Día anterior</v>
      </c>
      <c r="C76" s="3" t="s">
        <v>28</v>
      </c>
      <c r="D76" t="s">
        <v>71</v>
      </c>
      <c r="E76" s="3" t="s">
        <v>211</v>
      </c>
      <c r="F76" s="3" t="s">
        <v>19</v>
      </c>
      <c r="G76" s="3" t="s">
        <v>125</v>
      </c>
      <c r="H76" s="3" t="s">
        <v>11</v>
      </c>
      <c r="I76" s="3" t="s">
        <v>25</v>
      </c>
      <c r="J76" s="3" t="s">
        <v>43</v>
      </c>
      <c r="K76" s="3" t="s">
        <v>72</v>
      </c>
      <c r="L76" s="3" t="s">
        <v>40</v>
      </c>
      <c r="M76">
        <v>1</v>
      </c>
    </row>
    <row r="77" spans="1:13" x14ac:dyDescent="0.25">
      <c r="A77" s="2">
        <v>46251</v>
      </c>
      <c r="B77" s="1" t="str">
        <f ca="1">IF(Información1[[#This Row],[Fecha]]='Ajuste de fechas'!$A$2,"Día actual","Día anterior")</f>
        <v>Día anterior</v>
      </c>
      <c r="C77" s="3" t="s">
        <v>28</v>
      </c>
      <c r="D77" t="s">
        <v>71</v>
      </c>
      <c r="E77" s="3" t="s">
        <v>213</v>
      </c>
      <c r="F77" s="3" t="s">
        <v>21</v>
      </c>
      <c r="G77" s="3" t="s">
        <v>156</v>
      </c>
      <c r="H77" s="3" t="s">
        <v>11</v>
      </c>
      <c r="I77" s="3" t="s">
        <v>25</v>
      </c>
      <c r="J77" s="3" t="s">
        <v>39</v>
      </c>
      <c r="K77" s="3" t="s">
        <v>72</v>
      </c>
      <c r="L77" s="3" t="s">
        <v>40</v>
      </c>
      <c r="M77">
        <v>1</v>
      </c>
    </row>
    <row r="78" spans="1:13" x14ac:dyDescent="0.25">
      <c r="A78" s="2">
        <v>46251</v>
      </c>
      <c r="B78" s="1" t="str">
        <f ca="1">IF(Información1[[#This Row],[Fecha]]='Ajuste de fechas'!$A$2,"Día actual","Día anterior")</f>
        <v>Día anterior</v>
      </c>
      <c r="C78" s="3" t="s">
        <v>8</v>
      </c>
      <c r="D78" t="s">
        <v>10</v>
      </c>
      <c r="E78" s="3" t="s">
        <v>114</v>
      </c>
      <c r="F78" s="3" t="s">
        <v>23</v>
      </c>
      <c r="G78" s="3" t="s">
        <v>115</v>
      </c>
      <c r="H78" s="3" t="s">
        <v>11</v>
      </c>
      <c r="I78" s="3" t="s">
        <v>7</v>
      </c>
      <c r="J78" s="3" t="s">
        <v>39</v>
      </c>
      <c r="K78" s="3" t="s">
        <v>14</v>
      </c>
      <c r="L78" s="3" t="s">
        <v>42</v>
      </c>
      <c r="M78">
        <v>1</v>
      </c>
    </row>
    <row r="79" spans="1:13" x14ac:dyDescent="0.25">
      <c r="A79" s="2">
        <v>46251</v>
      </c>
      <c r="B79" s="1" t="str">
        <f ca="1">IF(Información1[[#This Row],[Fecha]]='Ajuste de fechas'!$A$2,"Día actual","Día anterior")</f>
        <v>Día anterior</v>
      </c>
      <c r="C79" s="3" t="s">
        <v>8</v>
      </c>
      <c r="D79" t="s">
        <v>10</v>
      </c>
      <c r="E79" s="3" t="s">
        <v>214</v>
      </c>
      <c r="F79" s="3" t="s">
        <v>19</v>
      </c>
      <c r="G79" s="3" t="s">
        <v>215</v>
      </c>
      <c r="H79" s="3" t="s">
        <v>11</v>
      </c>
      <c r="I79" s="3" t="s">
        <v>7</v>
      </c>
      <c r="J79" s="3" t="s">
        <v>43</v>
      </c>
      <c r="K79" s="3" t="s">
        <v>14</v>
      </c>
      <c r="L79" s="3" t="s">
        <v>40</v>
      </c>
      <c r="M79">
        <v>1</v>
      </c>
    </row>
    <row r="80" spans="1:13" x14ac:dyDescent="0.25">
      <c r="A80" s="2">
        <v>46251</v>
      </c>
      <c r="B80" s="1" t="str">
        <f ca="1">IF(Información1[[#This Row],[Fecha]]='Ajuste de fechas'!$A$2,"Día actual","Día anterior")</f>
        <v>Día anterior</v>
      </c>
      <c r="C80" s="3" t="s">
        <v>28</v>
      </c>
      <c r="D80" t="s">
        <v>64</v>
      </c>
      <c r="E80" s="3" t="s">
        <v>157</v>
      </c>
      <c r="F80" s="3" t="s">
        <v>21</v>
      </c>
      <c r="G80" s="3" t="s">
        <v>158</v>
      </c>
      <c r="H80" s="3" t="s">
        <v>11</v>
      </c>
      <c r="I80" s="3" t="s">
        <v>7</v>
      </c>
      <c r="J80" s="3" t="s">
        <v>39</v>
      </c>
      <c r="K80" s="3" t="s">
        <v>65</v>
      </c>
      <c r="L80" s="3" t="s">
        <v>42</v>
      </c>
      <c r="M80">
        <v>1</v>
      </c>
    </row>
    <row r="81" spans="1:13" x14ac:dyDescent="0.25">
      <c r="A81" s="2">
        <v>46251</v>
      </c>
      <c r="B81" s="1" t="str">
        <f ca="1">IF(Información1[[#This Row],[Fecha]]='Ajuste de fechas'!$A$2,"Día actual","Día anterior")</f>
        <v>Día anterior</v>
      </c>
      <c r="C81" s="3" t="s">
        <v>28</v>
      </c>
      <c r="D81" t="s">
        <v>71</v>
      </c>
      <c r="E81" s="3" t="s">
        <v>216</v>
      </c>
      <c r="F81" s="3" t="s">
        <v>21</v>
      </c>
      <c r="G81" s="3" t="s">
        <v>158</v>
      </c>
      <c r="H81" s="3" t="s">
        <v>11</v>
      </c>
      <c r="I81" s="3" t="s">
        <v>7</v>
      </c>
      <c r="J81" s="3" t="s">
        <v>39</v>
      </c>
      <c r="K81" s="3" t="s">
        <v>72</v>
      </c>
      <c r="L81" s="3" t="s">
        <v>40</v>
      </c>
      <c r="M81">
        <v>1</v>
      </c>
    </row>
    <row r="82" spans="1:13" x14ac:dyDescent="0.25">
      <c r="A82" s="2">
        <v>46251</v>
      </c>
      <c r="B82" s="1" t="str">
        <f ca="1">IF(Información1[[#This Row],[Fecha]]='Ajuste de fechas'!$A$2,"Día actual","Día anterior")</f>
        <v>Día anterior</v>
      </c>
      <c r="C82" s="3" t="s">
        <v>28</v>
      </c>
      <c r="D82" t="s">
        <v>71</v>
      </c>
      <c r="E82" s="3" t="s">
        <v>217</v>
      </c>
      <c r="F82" s="3" t="s">
        <v>19</v>
      </c>
      <c r="G82" s="3" t="s">
        <v>130</v>
      </c>
      <c r="H82" s="3" t="s">
        <v>11</v>
      </c>
      <c r="I82" s="3" t="s">
        <v>7</v>
      </c>
      <c r="J82" s="3" t="s">
        <v>43</v>
      </c>
      <c r="K82" s="3" t="s">
        <v>72</v>
      </c>
      <c r="L82" s="3" t="s">
        <v>40</v>
      </c>
      <c r="M82">
        <v>1</v>
      </c>
    </row>
    <row r="83" spans="1:13" x14ac:dyDescent="0.25">
      <c r="A83" s="2">
        <v>46251</v>
      </c>
      <c r="B83" s="1" t="str">
        <f ca="1">IF(Información1[[#This Row],[Fecha]]='Ajuste de fechas'!$A$2,"Día actual","Día anterior")</f>
        <v>Día anterior</v>
      </c>
      <c r="C83" s="3" t="s">
        <v>8</v>
      </c>
      <c r="D83" t="s">
        <v>10</v>
      </c>
      <c r="E83" s="3" t="s">
        <v>116</v>
      </c>
      <c r="F83" s="3" t="s">
        <v>23</v>
      </c>
      <c r="G83" s="3" t="s">
        <v>117</v>
      </c>
      <c r="H83" s="3" t="s">
        <v>11</v>
      </c>
      <c r="I83" s="3" t="s">
        <v>7</v>
      </c>
      <c r="J83" s="3" t="s">
        <v>39</v>
      </c>
      <c r="K83" s="3" t="s">
        <v>14</v>
      </c>
      <c r="L83" s="3" t="s">
        <v>42</v>
      </c>
      <c r="M83">
        <v>1</v>
      </c>
    </row>
    <row r="84" spans="1:13" x14ac:dyDescent="0.25">
      <c r="A84" s="2">
        <v>46251</v>
      </c>
      <c r="B84" s="1" t="str">
        <f ca="1">IF(Información1[[#This Row],[Fecha]]='Ajuste de fechas'!$A$2,"Día actual","Día anterior")</f>
        <v>Día anterior</v>
      </c>
      <c r="C84" s="3" t="s">
        <v>8</v>
      </c>
      <c r="D84" t="s">
        <v>10</v>
      </c>
      <c r="E84" s="3" t="s">
        <v>90</v>
      </c>
      <c r="F84" s="3" t="s">
        <v>19</v>
      </c>
      <c r="G84" s="3" t="s">
        <v>88</v>
      </c>
      <c r="H84" s="3" t="s">
        <v>11</v>
      </c>
      <c r="I84" s="3" t="s">
        <v>25</v>
      </c>
      <c r="J84" s="3" t="s">
        <v>43</v>
      </c>
      <c r="K84" s="3" t="s">
        <v>9</v>
      </c>
      <c r="L84" s="3" t="s">
        <v>41</v>
      </c>
      <c r="M84">
        <v>1</v>
      </c>
    </row>
    <row r="85" spans="1:13" x14ac:dyDescent="0.25">
      <c r="A85" s="2">
        <v>46251</v>
      </c>
      <c r="B85" s="1" t="str">
        <f ca="1">IF(Información1[[#This Row],[Fecha]]='Ajuste de fechas'!$A$2,"Día actual","Día anterior")</f>
        <v>Día anterior</v>
      </c>
      <c r="C85" s="3" t="s">
        <v>8</v>
      </c>
      <c r="D85" t="s">
        <v>10</v>
      </c>
      <c r="E85" s="3" t="s">
        <v>218</v>
      </c>
      <c r="F85" s="3" t="s">
        <v>6</v>
      </c>
      <c r="G85" s="3" t="s">
        <v>98</v>
      </c>
      <c r="H85" s="3" t="s">
        <v>11</v>
      </c>
      <c r="I85" s="3" t="s">
        <v>25</v>
      </c>
      <c r="J85" s="3" t="s">
        <v>39</v>
      </c>
      <c r="K85" s="3" t="s">
        <v>9</v>
      </c>
      <c r="L85" s="3" t="s">
        <v>41</v>
      </c>
      <c r="M85">
        <v>1</v>
      </c>
    </row>
    <row r="86" spans="1:13" x14ac:dyDescent="0.25">
      <c r="A86" s="2">
        <v>46251</v>
      </c>
      <c r="B86" s="1" t="str">
        <f ca="1">IF(Información1[[#This Row],[Fecha]]='Ajuste de fechas'!$A$2,"Día actual","Día anterior")</f>
        <v>Día anterior</v>
      </c>
      <c r="C86" s="3" t="s">
        <v>49</v>
      </c>
      <c r="D86" t="s">
        <v>54</v>
      </c>
      <c r="E86" s="3" t="s">
        <v>219</v>
      </c>
      <c r="F86" s="3" t="s">
        <v>19</v>
      </c>
      <c r="G86" s="3" t="s">
        <v>91</v>
      </c>
      <c r="H86" s="3" t="s">
        <v>11</v>
      </c>
      <c r="I86" s="3" t="s">
        <v>7</v>
      </c>
      <c r="J86" s="3" t="s">
        <v>43</v>
      </c>
      <c r="K86" s="3" t="s">
        <v>50</v>
      </c>
      <c r="L86" s="3" t="s">
        <v>40</v>
      </c>
      <c r="M86">
        <v>1</v>
      </c>
    </row>
    <row r="87" spans="1:13" x14ac:dyDescent="0.25">
      <c r="A87" s="2">
        <v>46251</v>
      </c>
      <c r="B87" s="1" t="str">
        <f ca="1">IF(Información1[[#This Row],[Fecha]]='Ajuste de fechas'!$A$2,"Día actual","Día anterior")</f>
        <v>Día anterior</v>
      </c>
      <c r="C87" s="3" t="s">
        <v>49</v>
      </c>
      <c r="D87" t="s">
        <v>54</v>
      </c>
      <c r="E87" s="3" t="s">
        <v>220</v>
      </c>
      <c r="F87" s="3" t="s">
        <v>17</v>
      </c>
      <c r="G87" s="3" t="s">
        <v>103</v>
      </c>
      <c r="H87" s="3" t="s">
        <v>11</v>
      </c>
      <c r="I87" s="3" t="s">
        <v>25</v>
      </c>
      <c r="J87" s="3" t="s">
        <v>39</v>
      </c>
      <c r="K87" s="3" t="s">
        <v>50</v>
      </c>
      <c r="L87" s="3" t="s">
        <v>41</v>
      </c>
      <c r="M87">
        <v>2</v>
      </c>
    </row>
    <row r="88" spans="1:13" x14ac:dyDescent="0.25">
      <c r="A88" s="2">
        <v>46251</v>
      </c>
      <c r="B88" s="1" t="str">
        <f ca="1">IF(Información1[[#This Row],[Fecha]]='Ajuste de fechas'!$A$2,"Día actual","Día anterior")</f>
        <v>Día anterior</v>
      </c>
      <c r="C88" s="3" t="s">
        <v>49</v>
      </c>
      <c r="D88" t="s">
        <v>54</v>
      </c>
      <c r="E88" s="3" t="s">
        <v>221</v>
      </c>
      <c r="F88" s="3" t="s">
        <v>17</v>
      </c>
      <c r="G88" s="3" t="s">
        <v>103</v>
      </c>
      <c r="H88" s="3" t="s">
        <v>11</v>
      </c>
      <c r="I88" s="3" t="s">
        <v>25</v>
      </c>
      <c r="J88" s="3" t="s">
        <v>39</v>
      </c>
      <c r="K88" s="3" t="s">
        <v>9</v>
      </c>
      <c r="L88" s="3" t="s">
        <v>41</v>
      </c>
      <c r="M88">
        <v>2</v>
      </c>
    </row>
    <row r="89" spans="1:13" x14ac:dyDescent="0.25">
      <c r="A89" s="2">
        <v>46251</v>
      </c>
      <c r="B89" s="1" t="str">
        <f ca="1">IF(Información1[[#This Row],[Fecha]]='Ajuste de fechas'!$A$2,"Día actual","Día anterior")</f>
        <v>Día anterior</v>
      </c>
      <c r="C89" s="3" t="s">
        <v>49</v>
      </c>
      <c r="D89" t="s">
        <v>54</v>
      </c>
      <c r="E89" s="3" t="s">
        <v>222</v>
      </c>
      <c r="F89" s="3" t="s">
        <v>21</v>
      </c>
      <c r="G89" s="3" t="s">
        <v>223</v>
      </c>
      <c r="H89" s="3" t="s">
        <v>11</v>
      </c>
      <c r="I89" s="3" t="s">
        <v>7</v>
      </c>
      <c r="J89" s="3" t="s">
        <v>39</v>
      </c>
      <c r="K89" s="3" t="s">
        <v>50</v>
      </c>
      <c r="L89" s="3" t="s">
        <v>42</v>
      </c>
      <c r="M89">
        <v>1</v>
      </c>
    </row>
    <row r="90" spans="1:13" x14ac:dyDescent="0.25">
      <c r="A90" s="2">
        <v>46251</v>
      </c>
      <c r="B90" s="1" t="str">
        <f ca="1">IF(Información1[[#This Row],[Fecha]]='Ajuste de fechas'!$A$2,"Día actual","Día anterior")</f>
        <v>Día anterior</v>
      </c>
      <c r="C90" s="3" t="s">
        <v>61</v>
      </c>
      <c r="D90" t="s">
        <v>62</v>
      </c>
      <c r="E90" s="3" t="s">
        <v>224</v>
      </c>
      <c r="F90" s="3" t="s">
        <v>82</v>
      </c>
      <c r="G90" s="3" t="s">
        <v>225</v>
      </c>
      <c r="H90" s="3" t="s">
        <v>11</v>
      </c>
      <c r="I90" s="3" t="s">
        <v>7</v>
      </c>
      <c r="J90" s="3" t="s">
        <v>39</v>
      </c>
      <c r="K90" s="3" t="s">
        <v>63</v>
      </c>
      <c r="L90" s="3" t="s">
        <v>42</v>
      </c>
      <c r="M90">
        <v>1</v>
      </c>
    </row>
    <row r="91" spans="1:13" x14ac:dyDescent="0.25">
      <c r="A91" s="2">
        <v>46251</v>
      </c>
      <c r="B91" s="1" t="str">
        <f ca="1">IF(Información1[[#This Row],[Fecha]]='Ajuste de fechas'!$A$2,"Día actual","Día anterior")</f>
        <v>Día anterior</v>
      </c>
      <c r="C91" s="3" t="s">
        <v>61</v>
      </c>
      <c r="D91" t="s">
        <v>62</v>
      </c>
      <c r="E91" s="3" t="s">
        <v>157</v>
      </c>
      <c r="F91" s="3" t="s">
        <v>21</v>
      </c>
      <c r="G91" s="3" t="s">
        <v>158</v>
      </c>
      <c r="H91" s="3" t="s">
        <v>11</v>
      </c>
      <c r="I91" s="3" t="s">
        <v>7</v>
      </c>
      <c r="J91" s="3" t="s">
        <v>39</v>
      </c>
      <c r="K91" s="3" t="s">
        <v>63</v>
      </c>
      <c r="L91" s="3" t="s">
        <v>42</v>
      </c>
      <c r="M91">
        <v>1</v>
      </c>
    </row>
    <row r="92" spans="1:13" x14ac:dyDescent="0.25">
      <c r="A92" s="2">
        <v>46251</v>
      </c>
      <c r="B92" s="1" t="str">
        <f ca="1">IF(Información1[[#This Row],[Fecha]]='Ajuste de fechas'!$A$2,"Día actual","Día anterior")</f>
        <v>Día anterior</v>
      </c>
      <c r="C92" s="3" t="s">
        <v>61</v>
      </c>
      <c r="D92" t="s">
        <v>62</v>
      </c>
      <c r="E92" s="3" t="s">
        <v>226</v>
      </c>
      <c r="F92" s="3" t="s">
        <v>21</v>
      </c>
      <c r="G92" s="3" t="s">
        <v>227</v>
      </c>
      <c r="H92" s="3" t="s">
        <v>11</v>
      </c>
      <c r="I92" s="3" t="s">
        <v>7</v>
      </c>
      <c r="J92" s="3" t="s">
        <v>39</v>
      </c>
      <c r="K92" s="3" t="s">
        <v>63</v>
      </c>
      <c r="L92" s="3" t="s">
        <v>42</v>
      </c>
      <c r="M92">
        <v>1</v>
      </c>
    </row>
    <row r="93" spans="1:13" x14ac:dyDescent="0.25">
      <c r="A93" s="2">
        <v>46251</v>
      </c>
      <c r="B93" s="1" t="str">
        <f ca="1">IF(Información1[[#This Row],[Fecha]]='Ajuste de fechas'!$A$2,"Día actual","Día anterior")</f>
        <v>Día anterior</v>
      </c>
      <c r="C93" s="3" t="s">
        <v>61</v>
      </c>
      <c r="D93" t="s">
        <v>62</v>
      </c>
      <c r="E93" s="3" t="s">
        <v>228</v>
      </c>
      <c r="F93" s="3" t="s">
        <v>22</v>
      </c>
      <c r="G93" s="3" t="s">
        <v>112</v>
      </c>
      <c r="H93" s="3" t="s">
        <v>11</v>
      </c>
      <c r="I93" s="3" t="s">
        <v>7</v>
      </c>
      <c r="J93" s="3" t="s">
        <v>44</v>
      </c>
      <c r="K93" s="3" t="s">
        <v>63</v>
      </c>
      <c r="L93" s="3" t="s">
        <v>40</v>
      </c>
      <c r="M93">
        <v>1</v>
      </c>
    </row>
    <row r="94" spans="1:13" x14ac:dyDescent="0.25">
      <c r="A94" s="2">
        <v>46251</v>
      </c>
      <c r="B94" s="1" t="str">
        <f ca="1">IF(Información1[[#This Row],[Fecha]]='Ajuste de fechas'!$A$2,"Día actual","Día anterior")</f>
        <v>Día anterior</v>
      </c>
      <c r="C94" s="3" t="s">
        <v>61</v>
      </c>
      <c r="D94" t="s">
        <v>62</v>
      </c>
      <c r="E94" s="3" t="s">
        <v>229</v>
      </c>
      <c r="F94" s="3" t="s">
        <v>21</v>
      </c>
      <c r="G94" s="3" t="s">
        <v>110</v>
      </c>
      <c r="H94" s="3" t="s">
        <v>11</v>
      </c>
      <c r="I94" s="3" t="s">
        <v>7</v>
      </c>
      <c r="J94" s="3" t="s">
        <v>39</v>
      </c>
      <c r="K94" s="3" t="s">
        <v>63</v>
      </c>
      <c r="L94" s="3" t="s">
        <v>40</v>
      </c>
      <c r="M94">
        <v>2</v>
      </c>
    </row>
    <row r="95" spans="1:13" x14ac:dyDescent="0.25">
      <c r="A95" s="2">
        <v>46251</v>
      </c>
      <c r="B95" s="1" t="str">
        <f ca="1">IF(Información1[[#This Row],[Fecha]]='Ajuste de fechas'!$A$2,"Día actual","Día anterior")</f>
        <v>Día anterior</v>
      </c>
      <c r="C95" s="3" t="s">
        <v>61</v>
      </c>
      <c r="D95" t="s">
        <v>62</v>
      </c>
      <c r="E95" s="3" t="s">
        <v>230</v>
      </c>
      <c r="F95" s="3" t="s">
        <v>84</v>
      </c>
      <c r="G95" s="3" t="s">
        <v>201</v>
      </c>
      <c r="H95" s="3" t="s">
        <v>11</v>
      </c>
      <c r="I95" s="3" t="s">
        <v>7</v>
      </c>
      <c r="J95" s="3" t="s">
        <v>39</v>
      </c>
      <c r="K95" s="3" t="s">
        <v>63</v>
      </c>
      <c r="L95" s="3" t="s">
        <v>40</v>
      </c>
      <c r="M95">
        <v>1</v>
      </c>
    </row>
    <row r="96" spans="1:13" x14ac:dyDescent="0.25">
      <c r="A96" s="2">
        <v>46251</v>
      </c>
      <c r="B96" s="1" t="str">
        <f ca="1">IF(Información1[[#This Row],[Fecha]]='Ajuste de fechas'!$A$2,"Día actual","Día anterior")</f>
        <v>Día anterior</v>
      </c>
      <c r="C96" s="3" t="s">
        <v>61</v>
      </c>
      <c r="D96" t="s">
        <v>62</v>
      </c>
      <c r="E96" s="3" t="s">
        <v>159</v>
      </c>
      <c r="F96" s="3" t="s">
        <v>84</v>
      </c>
      <c r="G96" s="3" t="s">
        <v>160</v>
      </c>
      <c r="H96" s="3" t="s">
        <v>11</v>
      </c>
      <c r="I96" s="3" t="s">
        <v>7</v>
      </c>
      <c r="J96" s="3" t="s">
        <v>39</v>
      </c>
      <c r="K96" s="3" t="s">
        <v>63</v>
      </c>
      <c r="L96" s="3" t="s">
        <v>42</v>
      </c>
      <c r="M96">
        <v>1</v>
      </c>
    </row>
    <row r="97" spans="1:13" x14ac:dyDescent="0.25">
      <c r="A97" s="2">
        <v>46251</v>
      </c>
      <c r="B97" s="1" t="str">
        <f ca="1">IF(Información1[[#This Row],[Fecha]]='Ajuste de fechas'!$A$2,"Día actual","Día anterior")</f>
        <v>Día anterior</v>
      </c>
      <c r="C97" s="3" t="s">
        <v>61</v>
      </c>
      <c r="D97" t="s">
        <v>62</v>
      </c>
      <c r="E97" s="3" t="s">
        <v>231</v>
      </c>
      <c r="F97" s="3" t="s">
        <v>232</v>
      </c>
      <c r="G97" s="3" t="s">
        <v>225</v>
      </c>
      <c r="H97" s="3" t="s">
        <v>11</v>
      </c>
      <c r="I97" s="3" t="s">
        <v>7</v>
      </c>
      <c r="J97" s="3" t="s">
        <v>39</v>
      </c>
      <c r="K97" s="3" t="s">
        <v>63</v>
      </c>
      <c r="L97" s="3" t="s">
        <v>42</v>
      </c>
      <c r="M97">
        <v>1</v>
      </c>
    </row>
    <row r="98" spans="1:13" x14ac:dyDescent="0.25">
      <c r="A98" s="2">
        <v>46251</v>
      </c>
      <c r="B98" s="1" t="str">
        <f ca="1">IF(Información1[[#This Row],[Fecha]]='Ajuste de fechas'!$A$2,"Día actual","Día anterior")</f>
        <v>Día anterior</v>
      </c>
      <c r="C98" s="3" t="s">
        <v>61</v>
      </c>
      <c r="D98" t="s">
        <v>62</v>
      </c>
      <c r="E98" s="3" t="s">
        <v>233</v>
      </c>
      <c r="F98" s="3" t="s">
        <v>15</v>
      </c>
      <c r="G98" s="3" t="s">
        <v>109</v>
      </c>
      <c r="H98" s="3" t="s">
        <v>11</v>
      </c>
      <c r="I98" s="3" t="s">
        <v>7</v>
      </c>
      <c r="J98" s="3" t="s">
        <v>39</v>
      </c>
      <c r="K98" s="3" t="s">
        <v>63</v>
      </c>
      <c r="L98" s="3" t="s">
        <v>42</v>
      </c>
      <c r="M98">
        <v>1</v>
      </c>
    </row>
    <row r="99" spans="1:13" x14ac:dyDescent="0.25">
      <c r="A99" s="2">
        <v>46251</v>
      </c>
      <c r="B99" s="1" t="str">
        <f ca="1">IF(Información1[[#This Row],[Fecha]]='Ajuste de fechas'!$A$2,"Día actual","Día anterior")</f>
        <v>Día anterior</v>
      </c>
      <c r="C99" s="3" t="s">
        <v>61</v>
      </c>
      <c r="D99" t="s">
        <v>62</v>
      </c>
      <c r="E99" s="3" t="s">
        <v>234</v>
      </c>
      <c r="F99" s="3" t="s">
        <v>23</v>
      </c>
      <c r="G99" s="3" t="s">
        <v>183</v>
      </c>
      <c r="H99" s="3" t="s">
        <v>11</v>
      </c>
      <c r="I99" s="3" t="s">
        <v>7</v>
      </c>
      <c r="J99" s="3" t="s">
        <v>39</v>
      </c>
      <c r="K99" s="3" t="s">
        <v>63</v>
      </c>
      <c r="L99" s="3" t="s">
        <v>42</v>
      </c>
      <c r="M99">
        <v>1</v>
      </c>
    </row>
    <row r="100" spans="1:13" x14ac:dyDescent="0.25">
      <c r="A100" s="2">
        <v>46251</v>
      </c>
      <c r="B100" s="1" t="str">
        <f ca="1">IF(Información1[[#This Row],[Fecha]]='Ajuste de fechas'!$A$2,"Día actual","Día anterior")</f>
        <v>Día anterior</v>
      </c>
      <c r="C100" s="3" t="s">
        <v>61</v>
      </c>
      <c r="D100" t="s">
        <v>62</v>
      </c>
      <c r="E100" s="3" t="s">
        <v>116</v>
      </c>
      <c r="F100" s="3" t="s">
        <v>23</v>
      </c>
      <c r="G100" s="3" t="s">
        <v>117</v>
      </c>
      <c r="H100" s="3" t="s">
        <v>11</v>
      </c>
      <c r="I100" s="3" t="s">
        <v>7</v>
      </c>
      <c r="J100" s="3" t="s">
        <v>39</v>
      </c>
      <c r="K100" s="3" t="s">
        <v>63</v>
      </c>
      <c r="L100" s="3" t="s">
        <v>42</v>
      </c>
      <c r="M100">
        <v>1</v>
      </c>
    </row>
    <row r="101" spans="1:13" x14ac:dyDescent="0.25">
      <c r="A101" s="2">
        <v>46251</v>
      </c>
      <c r="B101" s="1" t="str">
        <f ca="1">IF(Información1[[#This Row],[Fecha]]='Ajuste de fechas'!$A$2,"Día actual","Día anterior")</f>
        <v>Día anterior</v>
      </c>
      <c r="C101" s="3" t="s">
        <v>49</v>
      </c>
      <c r="D101" t="s">
        <v>51</v>
      </c>
      <c r="E101" s="3" t="s">
        <v>235</v>
      </c>
      <c r="F101" s="3" t="s">
        <v>76</v>
      </c>
      <c r="G101" s="3" t="s">
        <v>197</v>
      </c>
      <c r="H101" s="3" t="s">
        <v>11</v>
      </c>
      <c r="I101" s="3" t="s">
        <v>7</v>
      </c>
      <c r="J101" s="3" t="s">
        <v>39</v>
      </c>
      <c r="K101" s="3" t="s">
        <v>48</v>
      </c>
      <c r="L101" s="3" t="s">
        <v>40</v>
      </c>
      <c r="M101">
        <v>2</v>
      </c>
    </row>
    <row r="102" spans="1:13" x14ac:dyDescent="0.25">
      <c r="A102" s="2">
        <v>46251</v>
      </c>
      <c r="B102" s="1" t="str">
        <f ca="1">IF(Información1[[#This Row],[Fecha]]='Ajuste de fechas'!$A$2,"Día actual","Día anterior")</f>
        <v>Día anterior</v>
      </c>
      <c r="C102" s="3" t="s">
        <v>49</v>
      </c>
      <c r="D102" t="s">
        <v>51</v>
      </c>
      <c r="E102" s="3" t="s">
        <v>228</v>
      </c>
      <c r="F102" s="3" t="s">
        <v>22</v>
      </c>
      <c r="G102" s="3" t="s">
        <v>112</v>
      </c>
      <c r="H102" s="3" t="s">
        <v>11</v>
      </c>
      <c r="I102" s="3" t="s">
        <v>7</v>
      </c>
      <c r="J102" s="3" t="s">
        <v>44</v>
      </c>
      <c r="K102" s="3" t="s">
        <v>50</v>
      </c>
      <c r="L102" s="3" t="s">
        <v>40</v>
      </c>
      <c r="M102">
        <v>1</v>
      </c>
    </row>
    <row r="103" spans="1:13" x14ac:dyDescent="0.25">
      <c r="A103" s="2">
        <v>46251</v>
      </c>
      <c r="B103" s="1" t="str">
        <f ca="1">IF(Información1[[#This Row],[Fecha]]='Ajuste de fechas'!$A$2,"Día actual","Día anterior")</f>
        <v>Día anterior</v>
      </c>
      <c r="C103" s="3" t="s">
        <v>49</v>
      </c>
      <c r="D103" t="s">
        <v>51</v>
      </c>
      <c r="E103" s="3" t="s">
        <v>236</v>
      </c>
      <c r="F103" s="3" t="s">
        <v>19</v>
      </c>
      <c r="G103" s="3" t="s">
        <v>237</v>
      </c>
      <c r="H103" s="3" t="s">
        <v>11</v>
      </c>
      <c r="I103" s="3" t="s">
        <v>7</v>
      </c>
      <c r="J103" s="3" t="s">
        <v>43</v>
      </c>
      <c r="K103" s="3" t="s">
        <v>50</v>
      </c>
      <c r="L103" s="3" t="s">
        <v>40</v>
      </c>
      <c r="M103">
        <v>1</v>
      </c>
    </row>
    <row r="104" spans="1:13" x14ac:dyDescent="0.25">
      <c r="A104" s="2">
        <v>46251</v>
      </c>
      <c r="B104" s="1" t="str">
        <f ca="1">IF(Información1[[#This Row],[Fecha]]='Ajuste de fechas'!$A$2,"Día actual","Día anterior")</f>
        <v>Día anterior</v>
      </c>
      <c r="C104" s="3" t="s">
        <v>49</v>
      </c>
      <c r="D104" t="s">
        <v>51</v>
      </c>
      <c r="E104" s="3" t="s">
        <v>238</v>
      </c>
      <c r="F104" s="3" t="s">
        <v>78</v>
      </c>
      <c r="G104" s="3" t="s">
        <v>197</v>
      </c>
      <c r="H104" s="3" t="s">
        <v>11</v>
      </c>
      <c r="I104" s="3" t="s">
        <v>7</v>
      </c>
      <c r="J104" s="3" t="s">
        <v>39</v>
      </c>
      <c r="K104" s="3" t="s">
        <v>48</v>
      </c>
      <c r="L104" s="3" t="s">
        <v>42</v>
      </c>
      <c r="M104">
        <v>2</v>
      </c>
    </row>
    <row r="105" spans="1:13" x14ac:dyDescent="0.25">
      <c r="A105" s="2">
        <v>46251</v>
      </c>
      <c r="B105" s="1" t="str">
        <f ca="1">IF(Información1[[#This Row],[Fecha]]='Ajuste de fechas'!$A$2,"Día actual","Día anterior")</f>
        <v>Día anterior</v>
      </c>
      <c r="C105" s="3" t="s">
        <v>49</v>
      </c>
      <c r="D105" t="s">
        <v>51</v>
      </c>
      <c r="E105" s="3" t="s">
        <v>239</v>
      </c>
      <c r="F105" s="3" t="s">
        <v>76</v>
      </c>
      <c r="G105" s="3" t="s">
        <v>197</v>
      </c>
      <c r="H105" s="3" t="s">
        <v>11</v>
      </c>
      <c r="I105" s="3" t="s">
        <v>7</v>
      </c>
      <c r="J105" s="3" t="s">
        <v>39</v>
      </c>
      <c r="K105" s="3" t="s">
        <v>48</v>
      </c>
      <c r="L105" s="3" t="s">
        <v>40</v>
      </c>
      <c r="M105">
        <v>2</v>
      </c>
    </row>
    <row r="106" spans="1:13" x14ac:dyDescent="0.25">
      <c r="A106" s="2">
        <v>46251</v>
      </c>
      <c r="B106" s="1" t="str">
        <f ca="1">IF(Información1[[#This Row],[Fecha]]='Ajuste de fechas'!$A$2,"Día actual","Día anterior")</f>
        <v>Día anterior</v>
      </c>
      <c r="C106" s="3" t="s">
        <v>49</v>
      </c>
      <c r="D106" t="s">
        <v>51</v>
      </c>
      <c r="E106" s="3" t="s">
        <v>240</v>
      </c>
      <c r="F106" s="3" t="s">
        <v>76</v>
      </c>
      <c r="G106" s="3" t="s">
        <v>197</v>
      </c>
      <c r="H106" s="3" t="s">
        <v>11</v>
      </c>
      <c r="I106" s="3" t="s">
        <v>7</v>
      </c>
      <c r="J106" s="3" t="s">
        <v>39</v>
      </c>
      <c r="K106" s="3" t="s">
        <v>48</v>
      </c>
      <c r="L106" s="3" t="s">
        <v>40</v>
      </c>
      <c r="M106">
        <v>2</v>
      </c>
    </row>
    <row r="107" spans="1:13" x14ac:dyDescent="0.25">
      <c r="A107" s="2">
        <v>46251</v>
      </c>
      <c r="B107" s="1" t="str">
        <f ca="1">IF(Información1[[#This Row],[Fecha]]='Ajuste de fechas'!$A$2,"Día actual","Día anterior")</f>
        <v>Día anterior</v>
      </c>
      <c r="C107" s="3" t="s">
        <v>49</v>
      </c>
      <c r="D107" t="s">
        <v>51</v>
      </c>
      <c r="E107" s="3" t="s">
        <v>241</v>
      </c>
      <c r="F107" s="3" t="s">
        <v>78</v>
      </c>
      <c r="G107" s="3" t="s">
        <v>187</v>
      </c>
      <c r="H107" s="3" t="s">
        <v>11</v>
      </c>
      <c r="I107" s="3" t="s">
        <v>7</v>
      </c>
      <c r="J107" s="3" t="s">
        <v>39</v>
      </c>
      <c r="K107" s="3" t="s">
        <v>48</v>
      </c>
      <c r="L107" s="3" t="s">
        <v>42</v>
      </c>
      <c r="M107">
        <v>1</v>
      </c>
    </row>
    <row r="108" spans="1:13" x14ac:dyDescent="0.25">
      <c r="A108" s="2">
        <v>46251</v>
      </c>
      <c r="B108" s="1" t="str">
        <f ca="1">IF(Información1[[#This Row],[Fecha]]='Ajuste de fechas'!$A$2,"Día actual","Día anterior")</f>
        <v>Día anterior</v>
      </c>
      <c r="C108" s="3" t="s">
        <v>49</v>
      </c>
      <c r="D108" t="s">
        <v>51</v>
      </c>
      <c r="E108" s="3" t="s">
        <v>172</v>
      </c>
      <c r="F108" s="3" t="s">
        <v>78</v>
      </c>
      <c r="G108" s="3" t="s">
        <v>173</v>
      </c>
      <c r="H108" s="3" t="s">
        <v>11</v>
      </c>
      <c r="I108" s="3" t="s">
        <v>7</v>
      </c>
      <c r="J108" s="3" t="s">
        <v>39</v>
      </c>
      <c r="K108" s="3" t="s">
        <v>48</v>
      </c>
      <c r="L108" s="3" t="s">
        <v>42</v>
      </c>
      <c r="M108">
        <v>1</v>
      </c>
    </row>
    <row r="109" spans="1:13" x14ac:dyDescent="0.25">
      <c r="A109" s="2">
        <v>46251</v>
      </c>
      <c r="B109" s="1" t="str">
        <f ca="1">IF(Información1[[#This Row],[Fecha]]='Ajuste de fechas'!$A$2,"Día actual","Día anterior")</f>
        <v>Día anterior</v>
      </c>
      <c r="C109" s="3" t="s">
        <v>49</v>
      </c>
      <c r="D109" t="s">
        <v>51</v>
      </c>
      <c r="E109" s="3" t="s">
        <v>242</v>
      </c>
      <c r="F109" s="3" t="s">
        <v>76</v>
      </c>
      <c r="G109" s="3" t="s">
        <v>197</v>
      </c>
      <c r="H109" s="3" t="s">
        <v>11</v>
      </c>
      <c r="I109" s="3" t="s">
        <v>7</v>
      </c>
      <c r="J109" s="3" t="s">
        <v>39</v>
      </c>
      <c r="K109" s="3" t="s">
        <v>48</v>
      </c>
      <c r="L109" s="3" t="s">
        <v>40</v>
      </c>
      <c r="M109">
        <v>2</v>
      </c>
    </row>
    <row r="110" spans="1:13" x14ac:dyDescent="0.25">
      <c r="A110" s="2">
        <v>46251</v>
      </c>
      <c r="B110" s="1" t="str">
        <f ca="1">IF(Información1[[#This Row],[Fecha]]='Ajuste de fechas'!$A$2,"Día actual","Día anterior")</f>
        <v>Día anterior</v>
      </c>
      <c r="C110" s="3" t="s">
        <v>93</v>
      </c>
      <c r="D110" t="s">
        <v>94</v>
      </c>
      <c r="E110" s="3" t="s">
        <v>234</v>
      </c>
      <c r="F110" s="3" t="s">
        <v>23</v>
      </c>
      <c r="G110" s="3" t="s">
        <v>183</v>
      </c>
      <c r="H110" s="3" t="s">
        <v>56</v>
      </c>
      <c r="I110" s="3" t="s">
        <v>7</v>
      </c>
      <c r="J110" s="3" t="s">
        <v>39</v>
      </c>
      <c r="K110" s="3" t="s">
        <v>48</v>
      </c>
      <c r="L110" s="3" t="s">
        <v>42</v>
      </c>
      <c r="M110">
        <v>1</v>
      </c>
    </row>
    <row r="111" spans="1:13" x14ac:dyDescent="0.25">
      <c r="A111" s="2">
        <v>46251</v>
      </c>
      <c r="B111" s="1" t="str">
        <f ca="1">IF(Información1[[#This Row],[Fecha]]='Ajuste de fechas'!$A$2,"Día actual","Día anterior")</f>
        <v>Día anterior</v>
      </c>
      <c r="C111" s="3" t="s">
        <v>93</v>
      </c>
      <c r="D111" t="s">
        <v>94</v>
      </c>
      <c r="E111" s="3" t="s">
        <v>243</v>
      </c>
      <c r="F111" s="3" t="s">
        <v>76</v>
      </c>
      <c r="G111" s="3" t="s">
        <v>244</v>
      </c>
      <c r="H111" s="3" t="s">
        <v>56</v>
      </c>
      <c r="I111" s="3" t="s">
        <v>7</v>
      </c>
      <c r="J111" s="3" t="s">
        <v>39</v>
      </c>
      <c r="K111" s="3" t="s">
        <v>48</v>
      </c>
      <c r="L111" s="3" t="s">
        <v>42</v>
      </c>
      <c r="M111">
        <v>1</v>
      </c>
    </row>
    <row r="112" spans="1:13" x14ac:dyDescent="0.25">
      <c r="A112" s="2">
        <v>46251</v>
      </c>
      <c r="B112" s="1" t="str">
        <f ca="1">IF(Información1[[#This Row],[Fecha]]='Ajuste de fechas'!$A$2,"Día actual","Día anterior")</f>
        <v>Día anterior</v>
      </c>
      <c r="C112" s="3" t="s">
        <v>93</v>
      </c>
      <c r="D112" t="s">
        <v>94</v>
      </c>
      <c r="E112" s="3" t="s">
        <v>245</v>
      </c>
      <c r="F112" s="3" t="s">
        <v>232</v>
      </c>
      <c r="G112" s="3" t="s">
        <v>225</v>
      </c>
      <c r="H112" s="3" t="s">
        <v>56</v>
      </c>
      <c r="I112" s="3" t="s">
        <v>7</v>
      </c>
      <c r="J112" s="3" t="s">
        <v>39</v>
      </c>
      <c r="K112" s="3" t="s">
        <v>246</v>
      </c>
      <c r="L112" s="3" t="s">
        <v>42</v>
      </c>
      <c r="M112">
        <v>1</v>
      </c>
    </row>
    <row r="113" spans="1:13" x14ac:dyDescent="0.25">
      <c r="A113" s="2">
        <v>46251</v>
      </c>
      <c r="B113" s="1" t="str">
        <f ca="1">IF(Información1[[#This Row],[Fecha]]='Ajuste de fechas'!$A$2,"Día actual","Día anterior")</f>
        <v>Día anterior</v>
      </c>
      <c r="C113" s="3" t="s">
        <v>93</v>
      </c>
      <c r="D113" t="s">
        <v>94</v>
      </c>
      <c r="E113" s="3" t="s">
        <v>247</v>
      </c>
      <c r="F113" s="3" t="s">
        <v>84</v>
      </c>
      <c r="G113" s="3" t="s">
        <v>201</v>
      </c>
      <c r="H113" s="3" t="s">
        <v>56</v>
      </c>
      <c r="I113" s="3" t="s">
        <v>7</v>
      </c>
      <c r="J113" s="3" t="s">
        <v>39</v>
      </c>
      <c r="K113" s="3" t="s">
        <v>246</v>
      </c>
      <c r="L113" s="3" t="s">
        <v>40</v>
      </c>
      <c r="M113">
        <v>1</v>
      </c>
    </row>
    <row r="114" spans="1:13" x14ac:dyDescent="0.25">
      <c r="A114" s="2">
        <v>46251</v>
      </c>
      <c r="B114" s="1" t="str">
        <f ca="1">IF(Información1[[#This Row],[Fecha]]='Ajuste de fechas'!$A$2,"Día actual","Día anterior")</f>
        <v>Día anterior</v>
      </c>
      <c r="C114" s="3" t="s">
        <v>93</v>
      </c>
      <c r="D114" t="s">
        <v>94</v>
      </c>
      <c r="E114" s="3" t="s">
        <v>248</v>
      </c>
      <c r="F114" s="3" t="s">
        <v>19</v>
      </c>
      <c r="G114" s="3" t="s">
        <v>101</v>
      </c>
      <c r="H114" s="3" t="s">
        <v>56</v>
      </c>
      <c r="I114" s="3" t="s">
        <v>7</v>
      </c>
      <c r="J114" s="3" t="s">
        <v>43</v>
      </c>
      <c r="K114" s="3" t="s">
        <v>246</v>
      </c>
      <c r="L114" s="3" t="s">
        <v>40</v>
      </c>
      <c r="M114">
        <v>1</v>
      </c>
    </row>
    <row r="115" spans="1:13" x14ac:dyDescent="0.25">
      <c r="A115" s="2">
        <v>46251</v>
      </c>
      <c r="B115" s="1" t="str">
        <f ca="1">IF(Información1[[#This Row],[Fecha]]='Ajuste de fechas'!$A$2,"Día actual","Día anterior")</f>
        <v>Día anterior</v>
      </c>
      <c r="C115" s="3" t="s">
        <v>93</v>
      </c>
      <c r="D115" t="s">
        <v>94</v>
      </c>
      <c r="E115" s="3" t="s">
        <v>249</v>
      </c>
      <c r="F115" s="3" t="s">
        <v>23</v>
      </c>
      <c r="G115" s="3" t="s">
        <v>152</v>
      </c>
      <c r="H115" s="3" t="s">
        <v>56</v>
      </c>
      <c r="I115" s="3" t="s">
        <v>7</v>
      </c>
      <c r="J115" s="3" t="s">
        <v>39</v>
      </c>
      <c r="K115" s="3" t="s">
        <v>246</v>
      </c>
      <c r="L115" s="3" t="s">
        <v>40</v>
      </c>
      <c r="M115">
        <v>1</v>
      </c>
    </row>
    <row r="116" spans="1:13" x14ac:dyDescent="0.25">
      <c r="A116" s="2">
        <v>46251</v>
      </c>
      <c r="B116" s="1" t="str">
        <f ca="1">IF(Información1[[#This Row],[Fecha]]='Ajuste de fechas'!$A$2,"Día actual","Día anterior")</f>
        <v>Día anterior</v>
      </c>
      <c r="C116" s="3" t="s">
        <v>93</v>
      </c>
      <c r="D116" t="s">
        <v>94</v>
      </c>
      <c r="E116" s="3" t="s">
        <v>250</v>
      </c>
      <c r="F116" s="3" t="s">
        <v>19</v>
      </c>
      <c r="G116" s="3" t="s">
        <v>125</v>
      </c>
      <c r="H116" s="3" t="s">
        <v>56</v>
      </c>
      <c r="I116" s="3" t="s">
        <v>25</v>
      </c>
      <c r="J116" s="3" t="s">
        <v>43</v>
      </c>
      <c r="K116" s="3" t="s">
        <v>246</v>
      </c>
      <c r="L116" s="3" t="s">
        <v>40</v>
      </c>
      <c r="M116">
        <v>1</v>
      </c>
    </row>
    <row r="117" spans="1:13" x14ac:dyDescent="0.25">
      <c r="A117" s="2">
        <v>46251</v>
      </c>
      <c r="B117" s="1" t="str">
        <f ca="1">IF(Información1[[#This Row],[Fecha]]='Ajuste de fechas'!$A$2,"Día actual","Día anterior")</f>
        <v>Día anterior</v>
      </c>
      <c r="C117" s="3" t="s">
        <v>93</v>
      </c>
      <c r="D117" t="s">
        <v>94</v>
      </c>
      <c r="E117" s="3" t="s">
        <v>224</v>
      </c>
      <c r="F117" s="3" t="s">
        <v>82</v>
      </c>
      <c r="G117" s="3" t="s">
        <v>225</v>
      </c>
      <c r="H117" s="3" t="s">
        <v>56</v>
      </c>
      <c r="I117" s="3" t="s">
        <v>7</v>
      </c>
      <c r="J117" s="3" t="s">
        <v>39</v>
      </c>
      <c r="K117" s="3" t="s">
        <v>48</v>
      </c>
      <c r="L117" s="3" t="s">
        <v>42</v>
      </c>
      <c r="M117">
        <v>1</v>
      </c>
    </row>
    <row r="118" spans="1:13" x14ac:dyDescent="0.25">
      <c r="A118" s="2">
        <v>46251</v>
      </c>
      <c r="B118" s="1" t="str">
        <f ca="1">IF(Información1[[#This Row],[Fecha]]='Ajuste de fechas'!$A$2,"Día actual","Día anterior")</f>
        <v>Día anterior</v>
      </c>
      <c r="C118" s="3" t="s">
        <v>93</v>
      </c>
      <c r="D118" t="s">
        <v>94</v>
      </c>
      <c r="E118" s="3" t="s">
        <v>159</v>
      </c>
      <c r="F118" s="3" t="s">
        <v>84</v>
      </c>
      <c r="G118" s="3" t="s">
        <v>160</v>
      </c>
      <c r="H118" s="3" t="s">
        <v>56</v>
      </c>
      <c r="I118" s="3" t="s">
        <v>7</v>
      </c>
      <c r="J118" s="3" t="s">
        <v>39</v>
      </c>
      <c r="K118" s="3" t="s">
        <v>48</v>
      </c>
      <c r="L118" s="3" t="s">
        <v>42</v>
      </c>
      <c r="M118">
        <v>1</v>
      </c>
    </row>
    <row r="119" spans="1:13" x14ac:dyDescent="0.25">
      <c r="A119" s="2">
        <v>46251</v>
      </c>
      <c r="B119" s="1" t="str">
        <f ca="1">IF(Información1[[#This Row],[Fecha]]='Ajuste de fechas'!$A$2,"Día actual","Día anterior")</f>
        <v>Día anterior</v>
      </c>
      <c r="C119" s="3" t="s">
        <v>93</v>
      </c>
      <c r="D119" t="s">
        <v>94</v>
      </c>
      <c r="E119" s="3" t="s">
        <v>251</v>
      </c>
      <c r="F119" s="3" t="s">
        <v>21</v>
      </c>
      <c r="G119" s="3" t="s">
        <v>158</v>
      </c>
      <c r="H119" s="3" t="s">
        <v>56</v>
      </c>
      <c r="I119" s="3" t="s">
        <v>7</v>
      </c>
      <c r="J119" s="3" t="s">
        <v>39</v>
      </c>
      <c r="K119" s="3" t="s">
        <v>48</v>
      </c>
      <c r="L119" s="3" t="s">
        <v>40</v>
      </c>
      <c r="M119">
        <v>1</v>
      </c>
    </row>
    <row r="120" spans="1:13" x14ac:dyDescent="0.25">
      <c r="A120" s="2">
        <v>46251</v>
      </c>
      <c r="B120" s="1" t="str">
        <f ca="1">IF(Información1[[#This Row],[Fecha]]='Ajuste de fechas'!$A$2,"Día actual","Día anterior")</f>
        <v>Día anterior</v>
      </c>
      <c r="C120" s="3" t="s">
        <v>93</v>
      </c>
      <c r="D120" t="s">
        <v>94</v>
      </c>
      <c r="E120" s="3" t="s">
        <v>252</v>
      </c>
      <c r="F120" s="3" t="s">
        <v>15</v>
      </c>
      <c r="G120" s="3" t="s">
        <v>207</v>
      </c>
      <c r="H120" s="3" t="s">
        <v>56</v>
      </c>
      <c r="I120" s="3" t="s">
        <v>12</v>
      </c>
      <c r="J120" s="3" t="s">
        <v>39</v>
      </c>
      <c r="K120" s="3" t="s">
        <v>48</v>
      </c>
      <c r="L120" s="3" t="s">
        <v>41</v>
      </c>
      <c r="M120">
        <v>1</v>
      </c>
    </row>
    <row r="121" spans="1:13" x14ac:dyDescent="0.25">
      <c r="A121" s="2">
        <v>46251</v>
      </c>
      <c r="B121" s="1" t="str">
        <f ca="1">IF(Información1[[#This Row],[Fecha]]='Ajuste de fechas'!$A$2,"Día actual","Día anterior")</f>
        <v>Día anterior</v>
      </c>
      <c r="C121" s="3" t="s">
        <v>93</v>
      </c>
      <c r="D121" t="s">
        <v>94</v>
      </c>
      <c r="E121" s="3" t="s">
        <v>253</v>
      </c>
      <c r="F121" s="3" t="s">
        <v>15</v>
      </c>
      <c r="G121" s="3" t="s">
        <v>207</v>
      </c>
      <c r="H121" s="3" t="s">
        <v>56</v>
      </c>
      <c r="I121" s="3" t="s">
        <v>7</v>
      </c>
      <c r="J121" s="3" t="s">
        <v>39</v>
      </c>
      <c r="K121" s="3" t="s">
        <v>48</v>
      </c>
      <c r="L121" s="3" t="s">
        <v>42</v>
      </c>
      <c r="M121">
        <v>1</v>
      </c>
    </row>
    <row r="122" spans="1:13" x14ac:dyDescent="0.25">
      <c r="A122" s="2">
        <v>46251</v>
      </c>
      <c r="B122" s="1" t="str">
        <f ca="1">IF(Información1[[#This Row],[Fecha]]='Ajuste de fechas'!$A$2,"Día actual","Día anterior")</f>
        <v>Día anterior</v>
      </c>
      <c r="C122" s="3" t="s">
        <v>93</v>
      </c>
      <c r="D122" t="s">
        <v>94</v>
      </c>
      <c r="E122" s="3" t="s">
        <v>154</v>
      </c>
      <c r="F122" s="3" t="s">
        <v>19</v>
      </c>
      <c r="G122" s="3" t="s">
        <v>111</v>
      </c>
      <c r="H122" s="3" t="s">
        <v>56</v>
      </c>
      <c r="I122" s="3" t="s">
        <v>7</v>
      </c>
      <c r="J122" s="3" t="s">
        <v>43</v>
      </c>
      <c r="K122" s="3" t="s">
        <v>48</v>
      </c>
      <c r="L122" s="3" t="s">
        <v>40</v>
      </c>
      <c r="M122">
        <v>1</v>
      </c>
    </row>
    <row r="123" spans="1:13" x14ac:dyDescent="0.25">
      <c r="A123" s="2">
        <v>46251</v>
      </c>
      <c r="B123" s="1" t="str">
        <f ca="1">IF(Información1[[#This Row],[Fecha]]='Ajuste de fechas'!$A$2,"Día actual","Día anterior")</f>
        <v>Día anterior</v>
      </c>
      <c r="C123" s="3" t="s">
        <v>93</v>
      </c>
      <c r="D123" t="s">
        <v>94</v>
      </c>
      <c r="E123" s="3" t="s">
        <v>254</v>
      </c>
      <c r="F123" s="3" t="s">
        <v>76</v>
      </c>
      <c r="G123" s="3" t="s">
        <v>197</v>
      </c>
      <c r="H123" s="3" t="s">
        <v>56</v>
      </c>
      <c r="I123" s="3" t="s">
        <v>7</v>
      </c>
      <c r="J123" s="3" t="s">
        <v>39</v>
      </c>
      <c r="K123" s="3" t="s">
        <v>48</v>
      </c>
      <c r="L123" s="3" t="s">
        <v>40</v>
      </c>
      <c r="M123">
        <v>1</v>
      </c>
    </row>
    <row r="124" spans="1:13" x14ac:dyDescent="0.25">
      <c r="A124" s="2">
        <v>46252</v>
      </c>
      <c r="B124" s="1" t="str">
        <f ca="1">IF(Información1[[#This Row],[Fecha]]='Ajuste de fechas'!$A$2,"Día actual","Día anterior")</f>
        <v>Día actual</v>
      </c>
      <c r="C124" s="3" t="s">
        <v>57</v>
      </c>
      <c r="D124" t="s">
        <v>58</v>
      </c>
      <c r="E124" s="3" t="s">
        <v>255</v>
      </c>
      <c r="F124" s="3" t="s">
        <v>17</v>
      </c>
      <c r="G124" s="3" t="s">
        <v>256</v>
      </c>
      <c r="H124" s="3" t="s">
        <v>11</v>
      </c>
      <c r="I124" s="3" t="s">
        <v>7</v>
      </c>
      <c r="J124" s="3" t="s">
        <v>39</v>
      </c>
      <c r="K124" s="3" t="s">
        <v>59</v>
      </c>
      <c r="L124" s="3" t="s">
        <v>40</v>
      </c>
      <c r="M124">
        <v>1</v>
      </c>
    </row>
    <row r="125" spans="1:13" x14ac:dyDescent="0.25">
      <c r="A125" s="2">
        <v>46252</v>
      </c>
      <c r="B125" s="1" t="str">
        <f ca="1">IF(Información1[[#This Row],[Fecha]]='Ajuste de fechas'!$A$2,"Día actual","Día anterior")</f>
        <v>Día actual</v>
      </c>
      <c r="C125" s="3" t="s">
        <v>57</v>
      </c>
      <c r="D125" t="s">
        <v>58</v>
      </c>
      <c r="E125" s="3" t="s">
        <v>226</v>
      </c>
      <c r="F125" s="3" t="s">
        <v>21</v>
      </c>
      <c r="G125" s="3" t="s">
        <v>227</v>
      </c>
      <c r="H125" s="3" t="s">
        <v>11</v>
      </c>
      <c r="I125" s="3" t="s">
        <v>7</v>
      </c>
      <c r="J125" s="3" t="s">
        <v>39</v>
      </c>
      <c r="K125" s="3" t="s">
        <v>59</v>
      </c>
      <c r="L125" s="3" t="s">
        <v>42</v>
      </c>
      <c r="M125">
        <v>1</v>
      </c>
    </row>
    <row r="126" spans="1:13" x14ac:dyDescent="0.25">
      <c r="A126" s="2">
        <v>46252</v>
      </c>
      <c r="B126" s="1" t="str">
        <f ca="1">IF(Información1[[#This Row],[Fecha]]='Ajuste de fechas'!$A$2,"Día actual","Día anterior")</f>
        <v>Día actual</v>
      </c>
      <c r="C126" s="3" t="s">
        <v>57</v>
      </c>
      <c r="D126" t="s">
        <v>58</v>
      </c>
      <c r="E126" s="3" t="s">
        <v>257</v>
      </c>
      <c r="F126" s="3" t="s">
        <v>84</v>
      </c>
      <c r="G126" s="3" t="s">
        <v>160</v>
      </c>
      <c r="H126" s="3" t="s">
        <v>11</v>
      </c>
      <c r="I126" s="3" t="s">
        <v>7</v>
      </c>
      <c r="J126" s="3" t="s">
        <v>39</v>
      </c>
      <c r="K126" s="3" t="s">
        <v>59</v>
      </c>
      <c r="L126" s="3" t="s">
        <v>42</v>
      </c>
      <c r="M126">
        <v>1</v>
      </c>
    </row>
    <row r="127" spans="1:13" x14ac:dyDescent="0.25">
      <c r="A127" s="2">
        <v>46252</v>
      </c>
      <c r="B127" s="1" t="str">
        <f ca="1">IF(Información1[[#This Row],[Fecha]]='Ajuste de fechas'!$A$2,"Día actual","Día anterior")</f>
        <v>Día actual</v>
      </c>
      <c r="C127" s="3" t="s">
        <v>57</v>
      </c>
      <c r="D127" t="s">
        <v>58</v>
      </c>
      <c r="E127" s="3" t="s">
        <v>258</v>
      </c>
      <c r="F127" s="3" t="s">
        <v>78</v>
      </c>
      <c r="G127" s="3" t="s">
        <v>100</v>
      </c>
      <c r="H127" s="3" t="s">
        <v>11</v>
      </c>
      <c r="I127" s="3" t="s">
        <v>7</v>
      </c>
      <c r="J127" s="3" t="s">
        <v>39</v>
      </c>
      <c r="K127" s="3" t="s">
        <v>59</v>
      </c>
      <c r="L127" s="3" t="s">
        <v>40</v>
      </c>
      <c r="M127">
        <v>1</v>
      </c>
    </row>
    <row r="128" spans="1:13" x14ac:dyDescent="0.25">
      <c r="A128" s="2">
        <v>46252</v>
      </c>
      <c r="B128" s="1" t="str">
        <f ca="1">IF(Información1[[#This Row],[Fecha]]='Ajuste de fechas'!$A$2,"Día actual","Día anterior")</f>
        <v>Día actual</v>
      </c>
      <c r="C128" s="3" t="s">
        <v>57</v>
      </c>
      <c r="D128" t="s">
        <v>58</v>
      </c>
      <c r="E128" s="3" t="s">
        <v>234</v>
      </c>
      <c r="F128" s="3" t="s">
        <v>23</v>
      </c>
      <c r="G128" s="3" t="s">
        <v>183</v>
      </c>
      <c r="H128" s="3" t="s">
        <v>11</v>
      </c>
      <c r="I128" s="3" t="s">
        <v>7</v>
      </c>
      <c r="J128" s="3" t="s">
        <v>39</v>
      </c>
      <c r="K128" s="3" t="s">
        <v>59</v>
      </c>
      <c r="L128" s="3" t="s">
        <v>42</v>
      </c>
      <c r="M128">
        <v>1</v>
      </c>
    </row>
    <row r="129" spans="1:13" x14ac:dyDescent="0.25">
      <c r="A129" s="2">
        <v>46252</v>
      </c>
      <c r="B129" s="1" t="str">
        <f ca="1">IF(Información1[[#This Row],[Fecha]]='Ajuste de fechas'!$A$2,"Día actual","Día anterior")</f>
        <v>Día actual</v>
      </c>
      <c r="C129" s="3" t="s">
        <v>57</v>
      </c>
      <c r="D129" t="s">
        <v>58</v>
      </c>
      <c r="E129" s="3" t="s">
        <v>259</v>
      </c>
      <c r="F129" s="3" t="s">
        <v>19</v>
      </c>
      <c r="G129" s="3" t="s">
        <v>260</v>
      </c>
      <c r="H129" s="3" t="s">
        <v>11</v>
      </c>
      <c r="I129" s="3" t="s">
        <v>7</v>
      </c>
      <c r="J129" s="3" t="s">
        <v>43</v>
      </c>
      <c r="K129" s="3" t="s">
        <v>59</v>
      </c>
      <c r="L129" s="3" t="s">
        <v>40</v>
      </c>
      <c r="M129">
        <v>1</v>
      </c>
    </row>
    <row r="130" spans="1:13" x14ac:dyDescent="0.25">
      <c r="A130" s="2">
        <v>46252</v>
      </c>
      <c r="B130" s="1" t="str">
        <f ca="1">IF(Información1[[#This Row],[Fecha]]='Ajuste de fechas'!$A$2,"Día actual","Día anterior")</f>
        <v>Día actual</v>
      </c>
      <c r="C130" s="3" t="s">
        <v>57</v>
      </c>
      <c r="D130" t="s">
        <v>58</v>
      </c>
      <c r="E130" s="3" t="s">
        <v>261</v>
      </c>
      <c r="F130" s="3" t="s">
        <v>31</v>
      </c>
      <c r="G130" s="3" t="s">
        <v>158</v>
      </c>
      <c r="H130" s="3" t="s">
        <v>11</v>
      </c>
      <c r="I130" s="3" t="s">
        <v>7</v>
      </c>
      <c r="J130" s="3" t="s">
        <v>39</v>
      </c>
      <c r="K130" s="3" t="s">
        <v>59</v>
      </c>
      <c r="L130" s="3" t="s">
        <v>69</v>
      </c>
      <c r="M130">
        <v>1</v>
      </c>
    </row>
    <row r="131" spans="1:13" x14ac:dyDescent="0.25">
      <c r="A131" s="2">
        <v>46252</v>
      </c>
      <c r="B131" s="1" t="str">
        <f ca="1">IF(Información1[[#This Row],[Fecha]]='Ajuste de fechas'!$A$2,"Día actual","Día anterior")</f>
        <v>Día actual</v>
      </c>
      <c r="C131" s="3" t="s">
        <v>57</v>
      </c>
      <c r="D131" t="s">
        <v>58</v>
      </c>
      <c r="E131" s="3" t="s">
        <v>262</v>
      </c>
      <c r="F131" s="3" t="s">
        <v>19</v>
      </c>
      <c r="G131" s="3" t="s">
        <v>70</v>
      </c>
      <c r="H131" s="3" t="s">
        <v>11</v>
      </c>
      <c r="I131" s="3" t="s">
        <v>25</v>
      </c>
      <c r="J131" s="3" t="s">
        <v>43</v>
      </c>
      <c r="K131" s="3" t="s">
        <v>9</v>
      </c>
      <c r="L131" s="3" t="s">
        <v>41</v>
      </c>
      <c r="M131">
        <v>1</v>
      </c>
    </row>
    <row r="132" spans="1:13" x14ac:dyDescent="0.25">
      <c r="A132" s="2">
        <v>46252</v>
      </c>
      <c r="B132" s="1" t="str">
        <f ca="1">IF(Información1[[#This Row],[Fecha]]='Ajuste de fechas'!$A$2,"Día actual","Día anterior")</f>
        <v>Día actual</v>
      </c>
      <c r="C132" s="3" t="s">
        <v>57</v>
      </c>
      <c r="D132" t="s">
        <v>58</v>
      </c>
      <c r="E132" s="3" t="s">
        <v>263</v>
      </c>
      <c r="F132" s="3" t="s">
        <v>31</v>
      </c>
      <c r="G132" s="3" t="s">
        <v>108</v>
      </c>
      <c r="H132" s="3" t="s">
        <v>11</v>
      </c>
      <c r="I132" s="3" t="s">
        <v>7</v>
      </c>
      <c r="J132" s="3" t="s">
        <v>39</v>
      </c>
      <c r="K132" s="3" t="s">
        <v>59</v>
      </c>
      <c r="L132" s="3" t="s">
        <v>42</v>
      </c>
      <c r="M132">
        <v>1</v>
      </c>
    </row>
    <row r="133" spans="1:13" x14ac:dyDescent="0.25">
      <c r="A133" s="2">
        <v>46252</v>
      </c>
      <c r="B133" s="1" t="str">
        <f ca="1">IF(Información1[[#This Row],[Fecha]]='Ajuste de fechas'!$A$2,"Día actual","Día anterior")</f>
        <v>Día actual</v>
      </c>
      <c r="C133" s="3" t="s">
        <v>57</v>
      </c>
      <c r="D133" t="s">
        <v>58</v>
      </c>
      <c r="E133" s="3" t="s">
        <v>219</v>
      </c>
      <c r="F133" s="3" t="s">
        <v>19</v>
      </c>
      <c r="G133" s="3" t="s">
        <v>264</v>
      </c>
      <c r="H133" s="3" t="s">
        <v>11</v>
      </c>
      <c r="I133" s="3" t="s">
        <v>7</v>
      </c>
      <c r="J133" s="3" t="s">
        <v>43</v>
      </c>
      <c r="K133" s="3" t="s">
        <v>59</v>
      </c>
      <c r="L133" s="3" t="s">
        <v>40</v>
      </c>
      <c r="M133">
        <v>1</v>
      </c>
    </row>
    <row r="134" spans="1:13" x14ac:dyDescent="0.25">
      <c r="A134" s="2">
        <v>46252</v>
      </c>
      <c r="B134" s="1" t="str">
        <f ca="1">IF(Información1[[#This Row],[Fecha]]='Ajuste de fechas'!$A$2,"Día actual","Día anterior")</f>
        <v>Día actual</v>
      </c>
      <c r="C134" s="3" t="s">
        <v>57</v>
      </c>
      <c r="D134" t="s">
        <v>58</v>
      </c>
      <c r="E134" s="3" t="s">
        <v>265</v>
      </c>
      <c r="F134" s="3" t="s">
        <v>19</v>
      </c>
      <c r="G134" s="3"/>
      <c r="H134" s="3" t="s">
        <v>11</v>
      </c>
      <c r="I134" s="3" t="s">
        <v>7</v>
      </c>
      <c r="J134" s="3" t="s">
        <v>43</v>
      </c>
      <c r="K134" s="3" t="s">
        <v>59</v>
      </c>
      <c r="L134" s="3" t="s">
        <v>40</v>
      </c>
      <c r="M134">
        <v>1</v>
      </c>
    </row>
    <row r="135" spans="1:13" x14ac:dyDescent="0.25">
      <c r="A135" s="2">
        <v>46252</v>
      </c>
      <c r="B135" s="1" t="str">
        <f ca="1">IF(Información1[[#This Row],[Fecha]]='Ajuste de fechas'!$A$2,"Día actual","Día anterior")</f>
        <v>Día actual</v>
      </c>
      <c r="C135" s="3" t="s">
        <v>57</v>
      </c>
      <c r="D135" t="s">
        <v>58</v>
      </c>
      <c r="E135" s="3" t="s">
        <v>60</v>
      </c>
      <c r="F135" s="3" t="s">
        <v>19</v>
      </c>
      <c r="G135" s="3" t="s">
        <v>55</v>
      </c>
      <c r="H135" s="3" t="s">
        <v>11</v>
      </c>
      <c r="I135" s="3" t="s">
        <v>7</v>
      </c>
      <c r="J135" s="3" t="s">
        <v>43</v>
      </c>
      <c r="K135" s="3" t="s">
        <v>107</v>
      </c>
      <c r="L135" s="3" t="s">
        <v>40</v>
      </c>
      <c r="M135">
        <v>1</v>
      </c>
    </row>
    <row r="136" spans="1:13" x14ac:dyDescent="0.25">
      <c r="A136" s="2">
        <v>46252</v>
      </c>
      <c r="B136" s="1" t="str">
        <f ca="1">IF(Información1[[#This Row],[Fecha]]='Ajuste de fechas'!$A$2,"Día actual","Día anterior")</f>
        <v>Día actual</v>
      </c>
      <c r="C136" s="3" t="s">
        <v>57</v>
      </c>
      <c r="D136" t="s">
        <v>58</v>
      </c>
      <c r="E136" s="3" t="s">
        <v>266</v>
      </c>
      <c r="F136" s="3" t="s">
        <v>19</v>
      </c>
      <c r="G136" s="3" t="s">
        <v>267</v>
      </c>
      <c r="H136" s="3" t="s">
        <v>11</v>
      </c>
      <c r="I136" s="3" t="s">
        <v>7</v>
      </c>
      <c r="J136" s="3" t="s">
        <v>43</v>
      </c>
      <c r="K136" s="3" t="s">
        <v>59</v>
      </c>
      <c r="L136" s="3" t="s">
        <v>40</v>
      </c>
      <c r="M136">
        <v>1</v>
      </c>
    </row>
    <row r="137" spans="1:13" x14ac:dyDescent="0.25">
      <c r="A137" s="2">
        <v>46252</v>
      </c>
      <c r="B137" s="1" t="str">
        <f ca="1">IF(Información1[[#This Row],[Fecha]]='Ajuste de fechas'!$A$2,"Día actual","Día anterior")</f>
        <v>Día actual</v>
      </c>
      <c r="C137" s="3" t="s">
        <v>57</v>
      </c>
      <c r="D137" t="s">
        <v>58</v>
      </c>
      <c r="E137" s="3" t="s">
        <v>268</v>
      </c>
      <c r="F137" s="3" t="s">
        <v>19</v>
      </c>
      <c r="G137" s="3" t="s">
        <v>269</v>
      </c>
      <c r="H137" s="3" t="s">
        <v>11</v>
      </c>
      <c r="I137" s="3" t="s">
        <v>7</v>
      </c>
      <c r="J137" s="3" t="s">
        <v>43</v>
      </c>
      <c r="K137" s="3" t="s">
        <v>59</v>
      </c>
      <c r="L137" s="3" t="s">
        <v>40</v>
      </c>
      <c r="M137">
        <v>1</v>
      </c>
    </row>
    <row r="138" spans="1:13" x14ac:dyDescent="0.25">
      <c r="A138" s="2">
        <v>46252</v>
      </c>
      <c r="B138" s="1" t="str">
        <f ca="1">IF(Información1[[#This Row],[Fecha]]='Ajuste de fechas'!$A$2,"Día actual","Día anterior")</f>
        <v>Día actual</v>
      </c>
      <c r="C138" s="3" t="s">
        <v>57</v>
      </c>
      <c r="D138" t="s">
        <v>58</v>
      </c>
      <c r="E138" s="3" t="s">
        <v>270</v>
      </c>
      <c r="F138" s="3" t="s">
        <v>271</v>
      </c>
      <c r="G138" s="3" t="s">
        <v>272</v>
      </c>
      <c r="H138" s="3" t="s">
        <v>11</v>
      </c>
      <c r="I138" s="3" t="s">
        <v>7</v>
      </c>
      <c r="J138" s="3" t="s">
        <v>24</v>
      </c>
      <c r="K138" s="3" t="s">
        <v>59</v>
      </c>
      <c r="L138" s="3" t="s">
        <v>40</v>
      </c>
      <c r="M138">
        <v>1</v>
      </c>
    </row>
    <row r="139" spans="1:13" x14ac:dyDescent="0.25">
      <c r="A139" s="2">
        <v>46252</v>
      </c>
      <c r="B139" s="1" t="str">
        <f ca="1">IF(Información1[[#This Row],[Fecha]]='Ajuste de fechas'!$A$2,"Día actual","Día anterior")</f>
        <v>Día actual</v>
      </c>
      <c r="C139" s="3" t="s">
        <v>29</v>
      </c>
      <c r="D139" t="s">
        <v>30</v>
      </c>
      <c r="E139" s="3" t="s">
        <v>273</v>
      </c>
      <c r="F139" s="3" t="s">
        <v>53</v>
      </c>
      <c r="G139" s="3" t="s">
        <v>274</v>
      </c>
      <c r="H139" s="3" t="s">
        <v>56</v>
      </c>
      <c r="I139" s="3" t="s">
        <v>7</v>
      </c>
      <c r="J139" s="3" t="s">
        <v>24</v>
      </c>
      <c r="K139" s="3" t="s">
        <v>27</v>
      </c>
      <c r="L139" s="3" t="s">
        <v>40</v>
      </c>
      <c r="M139">
        <v>1</v>
      </c>
    </row>
    <row r="140" spans="1:13" x14ac:dyDescent="0.25">
      <c r="A140" s="2">
        <v>46252</v>
      </c>
      <c r="B140" s="1" t="str">
        <f ca="1">IF(Información1[[#This Row],[Fecha]]='Ajuste de fechas'!$A$2,"Día actual","Día anterior")</f>
        <v>Día actual</v>
      </c>
      <c r="C140" s="3" t="s">
        <v>29</v>
      </c>
      <c r="D140" t="s">
        <v>30</v>
      </c>
      <c r="E140" s="3" t="s">
        <v>275</v>
      </c>
      <c r="F140" s="3" t="s">
        <v>24</v>
      </c>
      <c r="G140" s="3" t="s">
        <v>156</v>
      </c>
      <c r="H140" s="3" t="s">
        <v>56</v>
      </c>
      <c r="I140" s="3" t="s">
        <v>7</v>
      </c>
      <c r="J140" s="3" t="s">
        <v>24</v>
      </c>
      <c r="K140" s="3" t="s">
        <v>27</v>
      </c>
      <c r="L140" s="3" t="s">
        <v>40</v>
      </c>
      <c r="M140">
        <v>1</v>
      </c>
    </row>
    <row r="141" spans="1:13" x14ac:dyDescent="0.25">
      <c r="A141" s="2">
        <v>46252</v>
      </c>
      <c r="B141" s="1" t="str">
        <f ca="1">IF(Información1[[#This Row],[Fecha]]='Ajuste de fechas'!$A$2,"Día actual","Día anterior")</f>
        <v>Día actual</v>
      </c>
      <c r="C141" s="3" t="s">
        <v>29</v>
      </c>
      <c r="D141" t="s">
        <v>30</v>
      </c>
      <c r="E141" s="3" t="s">
        <v>276</v>
      </c>
      <c r="F141" s="3" t="s">
        <v>6</v>
      </c>
      <c r="G141" s="3" t="s">
        <v>277</v>
      </c>
      <c r="H141" s="3" t="s">
        <v>56</v>
      </c>
      <c r="I141" s="3" t="s">
        <v>7</v>
      </c>
      <c r="J141" s="3" t="s">
        <v>39</v>
      </c>
      <c r="K141" s="3" t="s">
        <v>27</v>
      </c>
      <c r="L141" s="3" t="s">
        <v>42</v>
      </c>
      <c r="M141">
        <v>1</v>
      </c>
    </row>
    <row r="142" spans="1:13" x14ac:dyDescent="0.25">
      <c r="A142" s="2">
        <v>46252</v>
      </c>
      <c r="B142" s="1" t="str">
        <f ca="1">IF(Información1[[#This Row],[Fecha]]='Ajuste de fechas'!$A$2,"Día actual","Día anterior")</f>
        <v>Día actual</v>
      </c>
      <c r="C142" s="3" t="s">
        <v>29</v>
      </c>
      <c r="D142" t="s">
        <v>30</v>
      </c>
      <c r="E142" s="3" t="s">
        <v>278</v>
      </c>
      <c r="F142" s="3" t="s">
        <v>19</v>
      </c>
      <c r="G142" s="3" t="s">
        <v>113</v>
      </c>
      <c r="H142" s="3" t="s">
        <v>56</v>
      </c>
      <c r="I142" s="3" t="s">
        <v>7</v>
      </c>
      <c r="J142" s="3" t="s">
        <v>43</v>
      </c>
      <c r="K142" s="3" t="s">
        <v>27</v>
      </c>
      <c r="L142" s="3" t="s">
        <v>40</v>
      </c>
      <c r="M142">
        <v>1</v>
      </c>
    </row>
    <row r="143" spans="1:13" x14ac:dyDescent="0.25">
      <c r="A143" s="2">
        <v>46252</v>
      </c>
      <c r="B143" s="1" t="str">
        <f ca="1">IF(Información1[[#This Row],[Fecha]]='Ajuste de fechas'!$A$2,"Día actual","Día anterior")</f>
        <v>Día actual</v>
      </c>
      <c r="C143" s="3" t="s">
        <v>29</v>
      </c>
      <c r="D143" t="s">
        <v>30</v>
      </c>
      <c r="E143" s="3" t="s">
        <v>279</v>
      </c>
      <c r="F143" s="3" t="s">
        <v>21</v>
      </c>
      <c r="G143" s="3" t="s">
        <v>185</v>
      </c>
      <c r="H143" s="3" t="s">
        <v>56</v>
      </c>
      <c r="I143" s="3" t="s">
        <v>7</v>
      </c>
      <c r="J143" s="3" t="s">
        <v>39</v>
      </c>
      <c r="K143" s="3" t="s">
        <v>27</v>
      </c>
      <c r="L143" s="3" t="s">
        <v>42</v>
      </c>
      <c r="M143">
        <v>1</v>
      </c>
    </row>
    <row r="144" spans="1:13" x14ac:dyDescent="0.25">
      <c r="A144" s="2">
        <v>46252</v>
      </c>
      <c r="B144" s="1" t="str">
        <f ca="1">IF(Información1[[#This Row],[Fecha]]='Ajuste de fechas'!$A$2,"Día actual","Día anterior")</f>
        <v>Día actual</v>
      </c>
      <c r="C144" s="3" t="s">
        <v>29</v>
      </c>
      <c r="D144" t="s">
        <v>30</v>
      </c>
      <c r="E144" s="3" t="s">
        <v>280</v>
      </c>
      <c r="F144" s="3" t="s">
        <v>21</v>
      </c>
      <c r="G144" s="3" t="s">
        <v>281</v>
      </c>
      <c r="H144" s="3" t="s">
        <v>56</v>
      </c>
      <c r="I144" s="3" t="s">
        <v>7</v>
      </c>
      <c r="J144" s="3" t="s">
        <v>39</v>
      </c>
      <c r="K144" s="3" t="s">
        <v>27</v>
      </c>
      <c r="L144" s="3" t="s">
        <v>42</v>
      </c>
      <c r="M144">
        <v>1</v>
      </c>
    </row>
    <row r="145" spans="1:13" x14ac:dyDescent="0.25">
      <c r="A145" s="2">
        <v>46252</v>
      </c>
      <c r="B145" s="1" t="str">
        <f ca="1">IF(Información1[[#This Row],[Fecha]]='Ajuste de fechas'!$A$2,"Día actual","Día anterior")</f>
        <v>Día actual</v>
      </c>
      <c r="C145" s="3" t="s">
        <v>29</v>
      </c>
      <c r="D145" t="s">
        <v>30</v>
      </c>
      <c r="E145" s="3" t="s">
        <v>263</v>
      </c>
      <c r="F145" s="3" t="s">
        <v>31</v>
      </c>
      <c r="G145" s="3" t="s">
        <v>108</v>
      </c>
      <c r="H145" s="3" t="s">
        <v>56</v>
      </c>
      <c r="I145" s="3" t="s">
        <v>7</v>
      </c>
      <c r="J145" s="3" t="s">
        <v>39</v>
      </c>
      <c r="K145" s="3" t="s">
        <v>27</v>
      </c>
      <c r="L145" s="3" t="s">
        <v>42</v>
      </c>
      <c r="M145">
        <v>1</v>
      </c>
    </row>
    <row r="146" spans="1:13" x14ac:dyDescent="0.25">
      <c r="A146" s="2">
        <v>46252</v>
      </c>
      <c r="B146" s="1" t="str">
        <f ca="1">IF(Información1[[#This Row],[Fecha]]='Ajuste de fechas'!$A$2,"Día actual","Día anterior")</f>
        <v>Día actual</v>
      </c>
      <c r="C146" s="3" t="s">
        <v>29</v>
      </c>
      <c r="D146" t="s">
        <v>30</v>
      </c>
      <c r="E146" s="3" t="s">
        <v>282</v>
      </c>
      <c r="F146" s="3" t="s">
        <v>26</v>
      </c>
      <c r="G146" s="3" t="s">
        <v>75</v>
      </c>
      <c r="H146" s="3" t="s">
        <v>56</v>
      </c>
      <c r="I146" s="3" t="s">
        <v>7</v>
      </c>
      <c r="J146" s="3" t="s">
        <v>39</v>
      </c>
      <c r="K146" s="3" t="s">
        <v>27</v>
      </c>
      <c r="L146" s="3" t="s">
        <v>42</v>
      </c>
      <c r="M146">
        <v>1</v>
      </c>
    </row>
    <row r="147" spans="1:13" x14ac:dyDescent="0.25">
      <c r="A147" s="2">
        <v>46252</v>
      </c>
      <c r="B147" s="1" t="str">
        <f ca="1">IF(Información1[[#This Row],[Fecha]]='Ajuste de fechas'!$A$2,"Día actual","Día anterior")</f>
        <v>Día actual</v>
      </c>
      <c r="C147" s="3" t="s">
        <v>29</v>
      </c>
      <c r="D147" t="s">
        <v>30</v>
      </c>
      <c r="E147" s="3" t="s">
        <v>283</v>
      </c>
      <c r="F147" s="3" t="s">
        <v>26</v>
      </c>
      <c r="G147" s="3" t="s">
        <v>75</v>
      </c>
      <c r="H147" s="3" t="s">
        <v>56</v>
      </c>
      <c r="I147" s="3" t="s">
        <v>7</v>
      </c>
      <c r="J147" s="3" t="s">
        <v>39</v>
      </c>
      <c r="K147" s="3" t="s">
        <v>27</v>
      </c>
      <c r="L147" s="3" t="s">
        <v>42</v>
      </c>
      <c r="M147">
        <v>1</v>
      </c>
    </row>
    <row r="148" spans="1:13" x14ac:dyDescent="0.25">
      <c r="A148" s="2">
        <v>46252</v>
      </c>
      <c r="B148" s="1" t="str">
        <f ca="1">IF(Información1[[#This Row],[Fecha]]='Ajuste de fechas'!$A$2,"Día actual","Día anterior")</f>
        <v>Día actual</v>
      </c>
      <c r="C148" s="3" t="s">
        <v>29</v>
      </c>
      <c r="D148" t="s">
        <v>30</v>
      </c>
      <c r="E148" s="3" t="s">
        <v>284</v>
      </c>
      <c r="F148" s="3" t="s">
        <v>26</v>
      </c>
      <c r="G148" s="3" t="s">
        <v>285</v>
      </c>
      <c r="H148" s="3" t="s">
        <v>56</v>
      </c>
      <c r="I148" s="3" t="s">
        <v>7</v>
      </c>
      <c r="J148" s="3" t="s">
        <v>39</v>
      </c>
      <c r="K148" s="3" t="s">
        <v>27</v>
      </c>
      <c r="L148" s="3" t="s">
        <v>42</v>
      </c>
      <c r="M148">
        <v>1</v>
      </c>
    </row>
    <row r="149" spans="1:13" x14ac:dyDescent="0.25">
      <c r="A149" s="2">
        <v>46252</v>
      </c>
      <c r="B149" s="1" t="str">
        <f ca="1">IF(Información1[[#This Row],[Fecha]]='Ajuste de fechas'!$A$2,"Día actual","Día anterior")</f>
        <v>Día actual</v>
      </c>
      <c r="C149" s="3" t="s">
        <v>29</v>
      </c>
      <c r="D149" t="s">
        <v>30</v>
      </c>
      <c r="E149" s="3" t="s">
        <v>286</v>
      </c>
      <c r="F149" s="3" t="s">
        <v>287</v>
      </c>
      <c r="G149" s="3" t="s">
        <v>288</v>
      </c>
      <c r="H149" s="3" t="s">
        <v>56</v>
      </c>
      <c r="I149" s="3" t="s">
        <v>7</v>
      </c>
      <c r="J149" s="3" t="s">
        <v>39</v>
      </c>
      <c r="K149" s="3" t="s">
        <v>27</v>
      </c>
      <c r="L149" s="3" t="s">
        <v>40</v>
      </c>
      <c r="M149">
        <v>1</v>
      </c>
    </row>
    <row r="150" spans="1:13" x14ac:dyDescent="0.25">
      <c r="A150" s="2">
        <v>46252</v>
      </c>
      <c r="B150" s="1" t="str">
        <f ca="1">IF(Información1[[#This Row],[Fecha]]='Ajuste de fechas'!$A$2,"Día actual","Día anterior")</f>
        <v>Día actual</v>
      </c>
      <c r="C150" s="3" t="s">
        <v>29</v>
      </c>
      <c r="D150" t="s">
        <v>30</v>
      </c>
      <c r="E150" s="3" t="s">
        <v>289</v>
      </c>
      <c r="F150" s="3" t="s">
        <v>287</v>
      </c>
      <c r="G150" s="3" t="s">
        <v>288</v>
      </c>
      <c r="H150" s="3" t="s">
        <v>56</v>
      </c>
      <c r="I150" s="3" t="s">
        <v>7</v>
      </c>
      <c r="J150" s="3" t="s">
        <v>39</v>
      </c>
      <c r="K150" s="3" t="s">
        <v>27</v>
      </c>
      <c r="L150" s="3" t="s">
        <v>40</v>
      </c>
      <c r="M150">
        <v>1</v>
      </c>
    </row>
    <row r="151" spans="1:13" x14ac:dyDescent="0.25">
      <c r="A151" s="2">
        <v>46252</v>
      </c>
      <c r="B151" s="1" t="str">
        <f ca="1">IF(Información1[[#This Row],[Fecha]]='Ajuste de fechas'!$A$2,"Día actual","Día anterior")</f>
        <v>Día actual</v>
      </c>
      <c r="C151" s="3" t="s">
        <v>29</v>
      </c>
      <c r="D151" t="s">
        <v>30</v>
      </c>
      <c r="E151" s="3" t="s">
        <v>290</v>
      </c>
      <c r="F151" s="3" t="s">
        <v>15</v>
      </c>
      <c r="G151" s="3" t="s">
        <v>169</v>
      </c>
      <c r="H151" s="3" t="s">
        <v>56</v>
      </c>
      <c r="I151" s="3" t="s">
        <v>7</v>
      </c>
      <c r="J151" s="3" t="s">
        <v>39</v>
      </c>
      <c r="K151" s="3" t="s">
        <v>27</v>
      </c>
      <c r="L151" s="3" t="s">
        <v>40</v>
      </c>
      <c r="M151">
        <v>1</v>
      </c>
    </row>
    <row r="152" spans="1:13" x14ac:dyDescent="0.25">
      <c r="A152" s="2">
        <v>46252</v>
      </c>
      <c r="B152" s="1" t="str">
        <f ca="1">IF(Información1[[#This Row],[Fecha]]='Ajuste de fechas'!$A$2,"Día actual","Día anterior")</f>
        <v>Día actual</v>
      </c>
      <c r="C152" s="3" t="s">
        <v>28</v>
      </c>
      <c r="D152" t="s">
        <v>64</v>
      </c>
      <c r="E152" s="3" t="s">
        <v>291</v>
      </c>
      <c r="F152" s="3" t="s">
        <v>24</v>
      </c>
      <c r="G152" s="3" t="s">
        <v>292</v>
      </c>
      <c r="H152" s="3" t="s">
        <v>11</v>
      </c>
      <c r="I152" s="3" t="s">
        <v>7</v>
      </c>
      <c r="J152" s="3" t="s">
        <v>24</v>
      </c>
      <c r="K152" s="3" t="s">
        <v>65</v>
      </c>
      <c r="L152" s="3" t="s">
        <v>40</v>
      </c>
      <c r="M152">
        <v>1</v>
      </c>
    </row>
    <row r="153" spans="1:13" x14ac:dyDescent="0.25">
      <c r="A153" s="2">
        <v>46252</v>
      </c>
      <c r="B153" s="1" t="str">
        <f ca="1">IF(Información1[[#This Row],[Fecha]]='Ajuste de fechas'!$A$2,"Día actual","Día anterior")</f>
        <v>Día actual</v>
      </c>
      <c r="C153" s="3" t="s">
        <v>28</v>
      </c>
      <c r="D153" t="s">
        <v>64</v>
      </c>
      <c r="E153" s="3" t="s">
        <v>293</v>
      </c>
      <c r="F153" s="3" t="s">
        <v>19</v>
      </c>
      <c r="G153" s="3" t="s">
        <v>294</v>
      </c>
      <c r="H153" s="3" t="s">
        <v>11</v>
      </c>
      <c r="I153" s="3" t="s">
        <v>7</v>
      </c>
      <c r="J153" s="3" t="s">
        <v>43</v>
      </c>
      <c r="K153" s="3" t="s">
        <v>65</v>
      </c>
      <c r="L153" s="3" t="s">
        <v>40</v>
      </c>
      <c r="M153">
        <v>1</v>
      </c>
    </row>
    <row r="154" spans="1:13" x14ac:dyDescent="0.25">
      <c r="A154" s="2">
        <v>46252</v>
      </c>
      <c r="B154" s="1" t="str">
        <f ca="1">IF(Información1[[#This Row],[Fecha]]='Ajuste de fechas'!$A$2,"Día actual","Día anterior")</f>
        <v>Día actual</v>
      </c>
      <c r="C154" s="3" t="s">
        <v>28</v>
      </c>
      <c r="D154" t="s">
        <v>64</v>
      </c>
      <c r="E154" s="3" t="s">
        <v>295</v>
      </c>
      <c r="F154" s="3" t="s">
        <v>19</v>
      </c>
      <c r="G154" s="3" t="s">
        <v>296</v>
      </c>
      <c r="H154" s="3" t="s">
        <v>11</v>
      </c>
      <c r="I154" s="3" t="s">
        <v>7</v>
      </c>
      <c r="J154" s="3" t="s">
        <v>43</v>
      </c>
      <c r="K154" s="3" t="s">
        <v>65</v>
      </c>
      <c r="L154" s="3" t="s">
        <v>40</v>
      </c>
      <c r="M154">
        <v>1</v>
      </c>
    </row>
    <row r="155" spans="1:13" x14ac:dyDescent="0.25">
      <c r="A155" s="2">
        <v>46252</v>
      </c>
      <c r="B155" s="1" t="str">
        <f ca="1">IF(Información1[[#This Row],[Fecha]]='Ajuste de fechas'!$A$2,"Día actual","Día anterior")</f>
        <v>Día actual</v>
      </c>
      <c r="C155" s="3" t="s">
        <v>28</v>
      </c>
      <c r="D155" t="s">
        <v>64</v>
      </c>
      <c r="E155" s="3" t="s">
        <v>297</v>
      </c>
      <c r="F155" s="3" t="s">
        <v>19</v>
      </c>
      <c r="G155" s="3" t="s">
        <v>298</v>
      </c>
      <c r="H155" s="3" t="s">
        <v>11</v>
      </c>
      <c r="I155" s="3" t="s">
        <v>7</v>
      </c>
      <c r="J155" s="3" t="s">
        <v>43</v>
      </c>
      <c r="K155" s="3" t="s">
        <v>65</v>
      </c>
      <c r="L155" s="3" t="s">
        <v>40</v>
      </c>
      <c r="M155">
        <v>1</v>
      </c>
    </row>
    <row r="156" spans="1:13" x14ac:dyDescent="0.25">
      <c r="A156" s="2">
        <v>46252</v>
      </c>
      <c r="B156" s="1" t="str">
        <f ca="1">IF(Información1[[#This Row],[Fecha]]='Ajuste de fechas'!$A$2,"Día actual","Día anterior")</f>
        <v>Día actual</v>
      </c>
      <c r="C156" s="3" t="s">
        <v>28</v>
      </c>
      <c r="D156" t="s">
        <v>64</v>
      </c>
      <c r="E156" s="3" t="s">
        <v>299</v>
      </c>
      <c r="F156" s="3" t="s">
        <v>24</v>
      </c>
      <c r="G156" s="3" t="s">
        <v>163</v>
      </c>
      <c r="H156" s="3" t="s">
        <v>11</v>
      </c>
      <c r="I156" s="3" t="s">
        <v>7</v>
      </c>
      <c r="J156" s="3" t="s">
        <v>24</v>
      </c>
      <c r="K156" s="3" t="s">
        <v>65</v>
      </c>
      <c r="L156" s="3" t="s">
        <v>40</v>
      </c>
      <c r="M156">
        <v>1</v>
      </c>
    </row>
    <row r="157" spans="1:13" x14ac:dyDescent="0.25">
      <c r="A157" s="2">
        <v>46252</v>
      </c>
      <c r="B157" s="1" t="str">
        <f ca="1">IF(Información1[[#This Row],[Fecha]]='Ajuste de fechas'!$A$2,"Día actual","Día anterior")</f>
        <v>Día actual</v>
      </c>
      <c r="C157" s="3" t="s">
        <v>28</v>
      </c>
      <c r="D157" t="s">
        <v>64</v>
      </c>
      <c r="E157" s="3" t="s">
        <v>300</v>
      </c>
      <c r="F157" s="3" t="s">
        <v>22</v>
      </c>
      <c r="G157" s="3" t="s">
        <v>301</v>
      </c>
      <c r="H157" s="3" t="s">
        <v>11</v>
      </c>
      <c r="I157" s="3" t="s">
        <v>7</v>
      </c>
      <c r="J157" s="3" t="s">
        <v>44</v>
      </c>
      <c r="K157" s="3" t="s">
        <v>65</v>
      </c>
      <c r="L157" s="3" t="s">
        <v>40</v>
      </c>
      <c r="M157">
        <v>1</v>
      </c>
    </row>
    <row r="158" spans="1:13" x14ac:dyDescent="0.25">
      <c r="A158" s="2">
        <v>46252</v>
      </c>
      <c r="B158" s="1" t="str">
        <f ca="1">IF(Información1[[#This Row],[Fecha]]='Ajuste de fechas'!$A$2,"Día actual","Día anterior")</f>
        <v>Día actual</v>
      </c>
      <c r="C158" s="3" t="s">
        <v>28</v>
      </c>
      <c r="D158" t="s">
        <v>64</v>
      </c>
      <c r="E158" s="3" t="s">
        <v>302</v>
      </c>
      <c r="F158" s="3" t="s">
        <v>53</v>
      </c>
      <c r="G158" s="3" t="s">
        <v>99</v>
      </c>
      <c r="H158" s="3" t="s">
        <v>11</v>
      </c>
      <c r="I158" s="3" t="s">
        <v>7</v>
      </c>
      <c r="J158" s="3" t="s">
        <v>24</v>
      </c>
      <c r="K158" s="3" t="s">
        <v>65</v>
      </c>
      <c r="L158" s="3" t="s">
        <v>40</v>
      </c>
      <c r="M158">
        <v>1</v>
      </c>
    </row>
    <row r="159" spans="1:13" x14ac:dyDescent="0.25">
      <c r="A159" s="2">
        <v>46252</v>
      </c>
      <c r="B159" s="1" t="str">
        <f ca="1">IF(Información1[[#This Row],[Fecha]]='Ajuste de fechas'!$A$2,"Día actual","Día anterior")</f>
        <v>Día actual</v>
      </c>
      <c r="C159" s="3" t="s">
        <v>28</v>
      </c>
      <c r="D159" t="s">
        <v>64</v>
      </c>
      <c r="E159" s="3" t="s">
        <v>303</v>
      </c>
      <c r="F159" s="3" t="s">
        <v>19</v>
      </c>
      <c r="G159" s="3" t="s">
        <v>304</v>
      </c>
      <c r="H159" s="3" t="s">
        <v>11</v>
      </c>
      <c r="I159" s="3" t="s">
        <v>7</v>
      </c>
      <c r="J159" s="3" t="s">
        <v>43</v>
      </c>
      <c r="K159" s="3" t="s">
        <v>65</v>
      </c>
      <c r="L159" s="3" t="s">
        <v>40</v>
      </c>
      <c r="M159">
        <v>1</v>
      </c>
    </row>
    <row r="160" spans="1:13" x14ac:dyDescent="0.25">
      <c r="A160" s="2">
        <v>46252</v>
      </c>
      <c r="B160" s="1" t="str">
        <f ca="1">IF(Información1[[#This Row],[Fecha]]='Ajuste de fechas'!$A$2,"Día actual","Día anterior")</f>
        <v>Día actual</v>
      </c>
      <c r="C160" s="3" t="s">
        <v>28</v>
      </c>
      <c r="D160" t="s">
        <v>64</v>
      </c>
      <c r="E160" s="3" t="s">
        <v>305</v>
      </c>
      <c r="F160" s="3" t="s">
        <v>26</v>
      </c>
      <c r="G160" s="3" t="s">
        <v>75</v>
      </c>
      <c r="H160" s="3" t="s">
        <v>11</v>
      </c>
      <c r="I160" s="3" t="s">
        <v>7</v>
      </c>
      <c r="J160" s="3" t="s">
        <v>39</v>
      </c>
      <c r="K160" s="3" t="s">
        <v>65</v>
      </c>
      <c r="L160" s="3" t="s">
        <v>42</v>
      </c>
      <c r="M160">
        <v>1</v>
      </c>
    </row>
    <row r="161" spans="1:13" x14ac:dyDescent="0.25">
      <c r="A161" s="2">
        <v>46252</v>
      </c>
      <c r="B161" s="1" t="str">
        <f ca="1">IF(Información1[[#This Row],[Fecha]]='Ajuste de fechas'!$A$2,"Día actual","Día anterior")</f>
        <v>Día actual</v>
      </c>
      <c r="C161" s="3" t="s">
        <v>28</v>
      </c>
      <c r="D161" t="s">
        <v>64</v>
      </c>
      <c r="E161" s="3" t="s">
        <v>306</v>
      </c>
      <c r="F161" s="3" t="s">
        <v>232</v>
      </c>
      <c r="G161" s="3" t="s">
        <v>307</v>
      </c>
      <c r="H161" s="3" t="s">
        <v>11</v>
      </c>
      <c r="I161" s="3" t="s">
        <v>7</v>
      </c>
      <c r="J161" s="3" t="s">
        <v>39</v>
      </c>
      <c r="K161" s="3" t="s">
        <v>65</v>
      </c>
      <c r="L161" s="3" t="s">
        <v>42</v>
      </c>
      <c r="M161">
        <v>1</v>
      </c>
    </row>
    <row r="162" spans="1:13" x14ac:dyDescent="0.25">
      <c r="A162" s="2">
        <v>46252</v>
      </c>
      <c r="B162" s="1" t="str">
        <f ca="1">IF(Información1[[#This Row],[Fecha]]='Ajuste de fechas'!$A$2,"Día actual","Día anterior")</f>
        <v>Día actual</v>
      </c>
      <c r="C162" s="3" t="s">
        <v>28</v>
      </c>
      <c r="D162" t="s">
        <v>64</v>
      </c>
      <c r="E162" s="3" t="s">
        <v>308</v>
      </c>
      <c r="F162" s="3" t="s">
        <v>26</v>
      </c>
      <c r="G162" s="3" t="s">
        <v>285</v>
      </c>
      <c r="H162" s="3" t="s">
        <v>11</v>
      </c>
      <c r="I162" s="3" t="s">
        <v>7</v>
      </c>
      <c r="J162" s="3" t="s">
        <v>39</v>
      </c>
      <c r="K162" s="3" t="s">
        <v>65</v>
      </c>
      <c r="L162" s="3" t="s">
        <v>42</v>
      </c>
      <c r="M162">
        <v>1</v>
      </c>
    </row>
    <row r="163" spans="1:13" x14ac:dyDescent="0.25">
      <c r="A163" s="2">
        <v>46252</v>
      </c>
      <c r="B163" s="1" t="str">
        <f ca="1">IF(Información1[[#This Row],[Fecha]]='Ajuste de fechas'!$A$2,"Día actual","Día anterior")</f>
        <v>Día actual</v>
      </c>
      <c r="C163" s="3" t="s">
        <v>66</v>
      </c>
      <c r="D163" t="s">
        <v>67</v>
      </c>
      <c r="E163" s="3" t="s">
        <v>118</v>
      </c>
      <c r="F163" s="3" t="s">
        <v>76</v>
      </c>
      <c r="G163" s="3" t="s">
        <v>77</v>
      </c>
      <c r="H163" s="3" t="s">
        <v>11</v>
      </c>
      <c r="I163" s="3" t="s">
        <v>7</v>
      </c>
      <c r="J163" s="3" t="s">
        <v>39</v>
      </c>
      <c r="K163" s="3" t="s">
        <v>68</v>
      </c>
      <c r="L163" s="3" t="s">
        <v>42</v>
      </c>
      <c r="M163">
        <v>1</v>
      </c>
    </row>
    <row r="164" spans="1:13" x14ac:dyDescent="0.25">
      <c r="A164" s="2">
        <v>46252</v>
      </c>
      <c r="B164" s="1" t="str">
        <f ca="1">IF(Información1[[#This Row],[Fecha]]='Ajuste de fechas'!$A$2,"Día actual","Día anterior")</f>
        <v>Día actual</v>
      </c>
      <c r="C164" s="3" t="s">
        <v>66</v>
      </c>
      <c r="D164" t="s">
        <v>67</v>
      </c>
      <c r="E164" s="3" t="s">
        <v>309</v>
      </c>
      <c r="F164" s="3" t="s">
        <v>76</v>
      </c>
      <c r="G164" s="3" t="s">
        <v>75</v>
      </c>
      <c r="H164" s="3" t="s">
        <v>11</v>
      </c>
      <c r="I164" s="3" t="s">
        <v>7</v>
      </c>
      <c r="J164" s="3" t="s">
        <v>39</v>
      </c>
      <c r="K164" s="3" t="s">
        <v>68</v>
      </c>
      <c r="L164" s="3" t="s">
        <v>42</v>
      </c>
      <c r="M164">
        <v>1</v>
      </c>
    </row>
    <row r="165" spans="1:13" x14ac:dyDescent="0.25">
      <c r="A165" s="2">
        <v>46252</v>
      </c>
      <c r="B165" s="1" t="str">
        <f ca="1">IF(Información1[[#This Row],[Fecha]]='Ajuste de fechas'!$A$2,"Día actual","Día anterior")</f>
        <v>Día actual</v>
      </c>
      <c r="C165" s="3" t="s">
        <v>66</v>
      </c>
      <c r="D165" t="s">
        <v>67</v>
      </c>
      <c r="E165" s="3" t="s">
        <v>243</v>
      </c>
      <c r="F165" s="3" t="s">
        <v>76</v>
      </c>
      <c r="G165" s="3" t="s">
        <v>244</v>
      </c>
      <c r="H165" s="3" t="s">
        <v>11</v>
      </c>
      <c r="I165" s="3" t="s">
        <v>7</v>
      </c>
      <c r="J165" s="3" t="s">
        <v>39</v>
      </c>
      <c r="K165" s="3" t="s">
        <v>68</v>
      </c>
      <c r="L165" s="3" t="s">
        <v>42</v>
      </c>
      <c r="M165">
        <v>1</v>
      </c>
    </row>
    <row r="166" spans="1:13" x14ac:dyDescent="0.25">
      <c r="A166" s="2">
        <v>46252</v>
      </c>
      <c r="B166" s="1" t="str">
        <f ca="1">IF(Información1[[#This Row],[Fecha]]='Ajuste de fechas'!$A$2,"Día actual","Día anterior")</f>
        <v>Día actual</v>
      </c>
      <c r="C166" s="3" t="s">
        <v>28</v>
      </c>
      <c r="D166" t="s">
        <v>71</v>
      </c>
      <c r="E166" s="3" t="s">
        <v>310</v>
      </c>
      <c r="F166" s="3" t="s">
        <v>24</v>
      </c>
      <c r="G166" s="3" t="s">
        <v>311</v>
      </c>
      <c r="H166" s="3" t="s">
        <v>11</v>
      </c>
      <c r="I166" s="3" t="s">
        <v>25</v>
      </c>
      <c r="J166" s="3" t="s">
        <v>24</v>
      </c>
      <c r="K166" s="3" t="s">
        <v>72</v>
      </c>
      <c r="L166" s="3" t="s">
        <v>40</v>
      </c>
      <c r="M166">
        <v>1</v>
      </c>
    </row>
    <row r="167" spans="1:13" x14ac:dyDescent="0.25">
      <c r="A167" s="2">
        <v>46252</v>
      </c>
      <c r="B167" s="1" t="str">
        <f ca="1">IF(Información1[[#This Row],[Fecha]]='Ajuste de fechas'!$A$2,"Día actual","Día anterior")</f>
        <v>Día actual</v>
      </c>
      <c r="C167" s="3" t="s">
        <v>28</v>
      </c>
      <c r="D167" t="s">
        <v>71</v>
      </c>
      <c r="E167" s="3" t="s">
        <v>312</v>
      </c>
      <c r="F167" s="3" t="s">
        <v>287</v>
      </c>
      <c r="G167" s="3" t="s">
        <v>288</v>
      </c>
      <c r="H167" s="3" t="s">
        <v>11</v>
      </c>
      <c r="I167" s="3" t="s">
        <v>7</v>
      </c>
      <c r="J167" s="3" t="s">
        <v>39</v>
      </c>
      <c r="K167" s="3" t="s">
        <v>72</v>
      </c>
      <c r="L167" s="3" t="s">
        <v>40</v>
      </c>
      <c r="M167">
        <v>1</v>
      </c>
    </row>
    <row r="168" spans="1:13" x14ac:dyDescent="0.25">
      <c r="A168" s="2">
        <v>46252</v>
      </c>
      <c r="B168" s="1" t="str">
        <f ca="1">IF(Información1[[#This Row],[Fecha]]='Ajuste de fechas'!$A$2,"Día actual","Día anterior")</f>
        <v>Día actual</v>
      </c>
      <c r="C168" s="3" t="s">
        <v>28</v>
      </c>
      <c r="D168" t="s">
        <v>71</v>
      </c>
      <c r="E168" s="3" t="s">
        <v>313</v>
      </c>
      <c r="F168" s="3" t="s">
        <v>19</v>
      </c>
      <c r="G168" s="3" t="s">
        <v>288</v>
      </c>
      <c r="H168" s="3" t="s">
        <v>11</v>
      </c>
      <c r="I168" s="3" t="s">
        <v>7</v>
      </c>
      <c r="J168" s="3" t="s">
        <v>43</v>
      </c>
      <c r="K168" s="3" t="s">
        <v>72</v>
      </c>
      <c r="L168" s="3" t="s">
        <v>40</v>
      </c>
      <c r="M168">
        <v>1</v>
      </c>
    </row>
    <row r="169" spans="1:13" x14ac:dyDescent="0.25">
      <c r="A169" s="2">
        <v>46252</v>
      </c>
      <c r="B169" s="1" t="str">
        <f ca="1">IF(Información1[[#This Row],[Fecha]]='Ajuste de fechas'!$A$2,"Día actual","Día anterior")</f>
        <v>Día actual</v>
      </c>
      <c r="C169" s="3" t="s">
        <v>28</v>
      </c>
      <c r="D169" t="s">
        <v>71</v>
      </c>
      <c r="E169" s="3" t="s">
        <v>314</v>
      </c>
      <c r="F169" s="3" t="s">
        <v>15</v>
      </c>
      <c r="G169" s="3" t="s">
        <v>169</v>
      </c>
      <c r="H169" s="3" t="s">
        <v>11</v>
      </c>
      <c r="I169" s="3" t="s">
        <v>7</v>
      </c>
      <c r="J169" s="3" t="s">
        <v>39</v>
      </c>
      <c r="K169" s="3" t="s">
        <v>72</v>
      </c>
      <c r="L169" s="3" t="s">
        <v>40</v>
      </c>
      <c r="M169">
        <v>1</v>
      </c>
    </row>
    <row r="170" spans="1:13" x14ac:dyDescent="0.25">
      <c r="A170" s="2">
        <v>46252</v>
      </c>
      <c r="B170" s="1" t="str">
        <f ca="1">IF(Información1[[#This Row],[Fecha]]='Ajuste de fechas'!$A$2,"Día actual","Día anterior")</f>
        <v>Día actual</v>
      </c>
      <c r="C170" s="3" t="s">
        <v>28</v>
      </c>
      <c r="D170" t="s">
        <v>71</v>
      </c>
      <c r="E170" s="3" t="s">
        <v>315</v>
      </c>
      <c r="F170" s="3" t="s">
        <v>31</v>
      </c>
      <c r="G170" s="3" t="s">
        <v>316</v>
      </c>
      <c r="H170" s="3" t="s">
        <v>11</v>
      </c>
      <c r="I170" s="3" t="s">
        <v>7</v>
      </c>
      <c r="J170" s="3" t="s">
        <v>39</v>
      </c>
      <c r="K170" s="3" t="s">
        <v>72</v>
      </c>
      <c r="L170" s="3" t="s">
        <v>40</v>
      </c>
      <c r="M170">
        <v>1</v>
      </c>
    </row>
    <row r="171" spans="1:13" x14ac:dyDescent="0.25">
      <c r="A171" s="2">
        <v>46252</v>
      </c>
      <c r="B171" s="1" t="str">
        <f ca="1">IF(Información1[[#This Row],[Fecha]]='Ajuste de fechas'!$A$2,"Día actual","Día anterior")</f>
        <v>Día actual</v>
      </c>
      <c r="C171" s="3" t="s">
        <v>28</v>
      </c>
      <c r="D171" t="s">
        <v>71</v>
      </c>
      <c r="E171" s="3" t="s">
        <v>317</v>
      </c>
      <c r="F171" s="3" t="s">
        <v>84</v>
      </c>
      <c r="G171" s="3" t="s">
        <v>160</v>
      </c>
      <c r="H171" s="3" t="s">
        <v>11</v>
      </c>
      <c r="I171" s="3" t="s">
        <v>7</v>
      </c>
      <c r="J171" s="3" t="s">
        <v>39</v>
      </c>
      <c r="K171" s="3" t="s">
        <v>72</v>
      </c>
      <c r="L171" s="3" t="s">
        <v>40</v>
      </c>
      <c r="M171">
        <v>1</v>
      </c>
    </row>
    <row r="172" spans="1:13" x14ac:dyDescent="0.25">
      <c r="A172" s="2">
        <v>46252</v>
      </c>
      <c r="B172" s="1" t="str">
        <f ca="1">IF(Información1[[#This Row],[Fecha]]='Ajuste de fechas'!$A$2,"Día actual","Día anterior")</f>
        <v>Día actual</v>
      </c>
      <c r="C172" s="3" t="s">
        <v>28</v>
      </c>
      <c r="D172" t="s">
        <v>71</v>
      </c>
      <c r="E172" s="3" t="s">
        <v>318</v>
      </c>
      <c r="F172" s="3" t="s">
        <v>82</v>
      </c>
      <c r="G172" s="3" t="s">
        <v>77</v>
      </c>
      <c r="H172" s="3" t="s">
        <v>11</v>
      </c>
      <c r="I172" s="3" t="s">
        <v>7</v>
      </c>
      <c r="J172" s="3" t="s">
        <v>39</v>
      </c>
      <c r="K172" s="3" t="s">
        <v>72</v>
      </c>
      <c r="L172" s="3" t="s">
        <v>40</v>
      </c>
      <c r="M172">
        <v>1</v>
      </c>
    </row>
    <row r="173" spans="1:13" x14ac:dyDescent="0.25">
      <c r="A173" s="2">
        <v>46252</v>
      </c>
      <c r="B173" s="1" t="str">
        <f ca="1">IF(Información1[[#This Row],[Fecha]]='Ajuste de fechas'!$A$2,"Día actual","Día anterior")</f>
        <v>Día actual</v>
      </c>
      <c r="C173" s="3" t="s">
        <v>28</v>
      </c>
      <c r="D173" t="s">
        <v>71</v>
      </c>
      <c r="E173" s="3" t="s">
        <v>319</v>
      </c>
      <c r="F173" s="3" t="s">
        <v>31</v>
      </c>
      <c r="G173" s="3" t="s">
        <v>108</v>
      </c>
      <c r="H173" s="3" t="s">
        <v>11</v>
      </c>
      <c r="I173" s="3" t="s">
        <v>7</v>
      </c>
      <c r="J173" s="3" t="s">
        <v>39</v>
      </c>
      <c r="K173" s="3" t="s">
        <v>72</v>
      </c>
      <c r="L173" s="3" t="s">
        <v>40</v>
      </c>
      <c r="M173">
        <v>1</v>
      </c>
    </row>
    <row r="174" spans="1:13" x14ac:dyDescent="0.25">
      <c r="A174" s="2">
        <v>46252</v>
      </c>
      <c r="B174" s="1" t="str">
        <f ca="1">IF(Información1[[#This Row],[Fecha]]='Ajuste de fechas'!$A$2,"Día actual","Día anterior")</f>
        <v>Día actual</v>
      </c>
      <c r="C174" s="3" t="s">
        <v>28</v>
      </c>
      <c r="D174" t="s">
        <v>71</v>
      </c>
      <c r="E174" s="3" t="s">
        <v>320</v>
      </c>
      <c r="F174" s="3" t="s">
        <v>21</v>
      </c>
      <c r="G174" s="3" t="s">
        <v>281</v>
      </c>
      <c r="H174" s="3" t="s">
        <v>11</v>
      </c>
      <c r="I174" s="3" t="s">
        <v>7</v>
      </c>
      <c r="J174" s="3" t="s">
        <v>39</v>
      </c>
      <c r="K174" s="3" t="s">
        <v>72</v>
      </c>
      <c r="L174" s="3" t="s">
        <v>40</v>
      </c>
      <c r="M174">
        <v>1</v>
      </c>
    </row>
    <row r="175" spans="1:13" x14ac:dyDescent="0.25">
      <c r="A175" s="2">
        <v>46252</v>
      </c>
      <c r="B175" s="1" t="str">
        <f ca="1">IF(Información1[[#This Row],[Fecha]]='Ajuste de fechas'!$A$2,"Día actual","Día anterior")</f>
        <v>Día actual</v>
      </c>
      <c r="C175" s="3" t="s">
        <v>28</v>
      </c>
      <c r="D175" t="s">
        <v>71</v>
      </c>
      <c r="E175" s="3" t="s">
        <v>321</v>
      </c>
      <c r="F175" s="3" t="s">
        <v>287</v>
      </c>
      <c r="G175" s="3" t="s">
        <v>106</v>
      </c>
      <c r="H175" s="3" t="s">
        <v>11</v>
      </c>
      <c r="I175" s="3" t="s">
        <v>7</v>
      </c>
      <c r="J175" s="3" t="s">
        <v>39</v>
      </c>
      <c r="K175" s="3" t="s">
        <v>72</v>
      </c>
      <c r="L175" s="3" t="s">
        <v>40</v>
      </c>
      <c r="M175">
        <v>1</v>
      </c>
    </row>
    <row r="176" spans="1:13" x14ac:dyDescent="0.25">
      <c r="A176" s="2">
        <v>46252</v>
      </c>
      <c r="B176" s="1" t="str">
        <f ca="1">IF(Información1[[#This Row],[Fecha]]='Ajuste de fechas'!$A$2,"Día actual","Día anterior")</f>
        <v>Día actual</v>
      </c>
      <c r="C176" s="3" t="s">
        <v>28</v>
      </c>
      <c r="D176" t="s">
        <v>71</v>
      </c>
      <c r="E176" s="3" t="s">
        <v>322</v>
      </c>
      <c r="F176" s="3" t="s">
        <v>17</v>
      </c>
      <c r="G176" s="3" t="s">
        <v>256</v>
      </c>
      <c r="H176" s="3" t="s">
        <v>11</v>
      </c>
      <c r="I176" s="3" t="s">
        <v>7</v>
      </c>
      <c r="J176" s="3" t="s">
        <v>39</v>
      </c>
      <c r="K176" s="3" t="s">
        <v>72</v>
      </c>
      <c r="L176" s="3" t="s">
        <v>40</v>
      </c>
      <c r="M176">
        <v>1</v>
      </c>
    </row>
    <row r="177" spans="1:13" x14ac:dyDescent="0.25">
      <c r="A177" s="2">
        <v>46252</v>
      </c>
      <c r="B177" s="1" t="str">
        <f ca="1">IF(Información1[[#This Row],[Fecha]]='Ajuste de fechas'!$A$2,"Día actual","Día anterior")</f>
        <v>Día actual</v>
      </c>
      <c r="C177" s="3" t="s">
        <v>28</v>
      </c>
      <c r="D177" t="s">
        <v>71</v>
      </c>
      <c r="E177" s="3" t="s">
        <v>323</v>
      </c>
      <c r="F177" s="3" t="s">
        <v>23</v>
      </c>
      <c r="G177" s="3" t="s">
        <v>117</v>
      </c>
      <c r="H177" s="3" t="s">
        <v>11</v>
      </c>
      <c r="I177" s="3" t="s">
        <v>7</v>
      </c>
      <c r="J177" s="3" t="s">
        <v>39</v>
      </c>
      <c r="K177" s="3" t="s">
        <v>72</v>
      </c>
      <c r="L177" s="3" t="s">
        <v>40</v>
      </c>
      <c r="M177">
        <v>1</v>
      </c>
    </row>
    <row r="178" spans="1:13" x14ac:dyDescent="0.25">
      <c r="A178" s="2">
        <v>46252</v>
      </c>
      <c r="B178" s="1" t="str">
        <f ca="1">IF(Información1[[#This Row],[Fecha]]='Ajuste de fechas'!$A$2,"Día actual","Día anterior")</f>
        <v>Día actual</v>
      </c>
      <c r="C178" s="3" t="s">
        <v>28</v>
      </c>
      <c r="D178" t="s">
        <v>71</v>
      </c>
      <c r="E178" s="3" t="s">
        <v>324</v>
      </c>
      <c r="F178" s="3" t="s">
        <v>15</v>
      </c>
      <c r="G178" s="3" t="s">
        <v>325</v>
      </c>
      <c r="H178" s="3" t="s">
        <v>11</v>
      </c>
      <c r="I178" s="3" t="s">
        <v>7</v>
      </c>
      <c r="J178" s="3" t="s">
        <v>39</v>
      </c>
      <c r="K178" s="3" t="s">
        <v>72</v>
      </c>
      <c r="L178" s="3" t="s">
        <v>40</v>
      </c>
      <c r="M178">
        <v>1</v>
      </c>
    </row>
    <row r="179" spans="1:13" x14ac:dyDescent="0.25">
      <c r="A179" s="2">
        <v>46252</v>
      </c>
      <c r="B179" s="1" t="str">
        <f ca="1">IF(Información1[[#This Row],[Fecha]]='Ajuste de fechas'!$A$2,"Día actual","Día anterior")</f>
        <v>Día actual</v>
      </c>
      <c r="C179" s="3" t="s">
        <v>28</v>
      </c>
      <c r="D179" t="s">
        <v>71</v>
      </c>
      <c r="E179" s="3" t="s">
        <v>326</v>
      </c>
      <c r="F179" s="3" t="s">
        <v>19</v>
      </c>
      <c r="G179" s="3" t="s">
        <v>327</v>
      </c>
      <c r="H179" s="3" t="s">
        <v>11</v>
      </c>
      <c r="I179" s="3" t="s">
        <v>7</v>
      </c>
      <c r="J179" s="3" t="s">
        <v>43</v>
      </c>
      <c r="K179" s="3" t="s">
        <v>72</v>
      </c>
      <c r="L179" s="3" t="s">
        <v>40</v>
      </c>
      <c r="M179">
        <v>1</v>
      </c>
    </row>
    <row r="180" spans="1:13" x14ac:dyDescent="0.25">
      <c r="A180" s="2">
        <v>46252</v>
      </c>
      <c r="B180" s="1" t="str">
        <f ca="1">IF(Información1[[#This Row],[Fecha]]='Ajuste de fechas'!$A$2,"Día actual","Día anterior")</f>
        <v>Día actual</v>
      </c>
      <c r="C180" s="3" t="s">
        <v>28</v>
      </c>
      <c r="D180" t="s">
        <v>71</v>
      </c>
      <c r="E180" s="3" t="s">
        <v>328</v>
      </c>
      <c r="F180" s="3" t="s">
        <v>17</v>
      </c>
      <c r="G180" s="3" t="s">
        <v>92</v>
      </c>
      <c r="H180" s="3" t="s">
        <v>11</v>
      </c>
      <c r="I180" s="3" t="s">
        <v>7</v>
      </c>
      <c r="J180" s="3" t="s">
        <v>39</v>
      </c>
      <c r="K180" s="3" t="s">
        <v>72</v>
      </c>
      <c r="L180" s="3" t="s">
        <v>40</v>
      </c>
      <c r="M180">
        <v>1</v>
      </c>
    </row>
    <row r="181" spans="1:13" x14ac:dyDescent="0.25">
      <c r="A181" s="2">
        <v>46252</v>
      </c>
      <c r="B181" s="1" t="str">
        <f ca="1">IF(Información1[[#This Row],[Fecha]]='Ajuste de fechas'!$A$2,"Día actual","Día anterior")</f>
        <v>Día actual</v>
      </c>
      <c r="C181" s="3" t="s">
        <v>8</v>
      </c>
      <c r="D181" t="s">
        <v>10</v>
      </c>
      <c r="E181" s="3" t="s">
        <v>329</v>
      </c>
      <c r="F181" s="3" t="s">
        <v>22</v>
      </c>
      <c r="G181" s="3" t="s">
        <v>330</v>
      </c>
      <c r="H181" s="3" t="s">
        <v>11</v>
      </c>
      <c r="I181" s="3" t="s">
        <v>7</v>
      </c>
      <c r="J181" s="3" t="s">
        <v>44</v>
      </c>
      <c r="K181" s="3" t="s">
        <v>14</v>
      </c>
      <c r="L181" s="3" t="s">
        <v>41</v>
      </c>
      <c r="M181">
        <v>1</v>
      </c>
    </row>
    <row r="182" spans="1:13" x14ac:dyDescent="0.25">
      <c r="A182" s="2">
        <v>46252</v>
      </c>
      <c r="B182" s="1" t="str">
        <f ca="1">IF(Información1[[#This Row],[Fecha]]='Ajuste de fechas'!$A$2,"Día actual","Día anterior")</f>
        <v>Día actual</v>
      </c>
      <c r="C182" s="3" t="s">
        <v>28</v>
      </c>
      <c r="D182" t="s">
        <v>71</v>
      </c>
      <c r="E182" s="3" t="s">
        <v>331</v>
      </c>
      <c r="F182" s="3" t="s">
        <v>22</v>
      </c>
      <c r="G182" s="3" t="s">
        <v>330</v>
      </c>
      <c r="H182" s="3" t="s">
        <v>11</v>
      </c>
      <c r="I182" s="3" t="s">
        <v>7</v>
      </c>
      <c r="J182" s="3" t="s">
        <v>44</v>
      </c>
      <c r="K182" s="3" t="s">
        <v>72</v>
      </c>
      <c r="L182" s="3" t="s">
        <v>40</v>
      </c>
      <c r="M182">
        <v>1</v>
      </c>
    </row>
    <row r="183" spans="1:13" x14ac:dyDescent="0.25">
      <c r="A183" s="2">
        <v>46252</v>
      </c>
      <c r="B183" s="1" t="str">
        <f ca="1">IF(Información1[[#This Row],[Fecha]]='Ajuste de fechas'!$A$2,"Día actual","Día anterior")</f>
        <v>Día actual</v>
      </c>
      <c r="C183" s="3" t="s">
        <v>28</v>
      </c>
      <c r="D183" t="s">
        <v>71</v>
      </c>
      <c r="E183" s="3" t="s">
        <v>332</v>
      </c>
      <c r="F183" s="3" t="s">
        <v>22</v>
      </c>
      <c r="G183" s="3" t="s">
        <v>187</v>
      </c>
      <c r="H183" s="3" t="s">
        <v>11</v>
      </c>
      <c r="I183" s="3" t="s">
        <v>7</v>
      </c>
      <c r="J183" s="3" t="s">
        <v>44</v>
      </c>
      <c r="K183" s="3" t="s">
        <v>72</v>
      </c>
      <c r="L183" s="3" t="s">
        <v>40</v>
      </c>
      <c r="M183">
        <v>1</v>
      </c>
    </row>
    <row r="184" spans="1:13" x14ac:dyDescent="0.25">
      <c r="A184" s="2">
        <v>46252</v>
      </c>
      <c r="B184" s="1" t="str">
        <f ca="1">IF(Información1[[#This Row],[Fecha]]='Ajuste de fechas'!$A$2,"Día actual","Día anterior")</f>
        <v>Día actual</v>
      </c>
      <c r="C184" s="3" t="s">
        <v>28</v>
      </c>
      <c r="D184" t="s">
        <v>71</v>
      </c>
      <c r="E184" s="3" t="s">
        <v>333</v>
      </c>
      <c r="F184" s="3" t="s">
        <v>78</v>
      </c>
      <c r="G184" s="3" t="s">
        <v>187</v>
      </c>
      <c r="H184" s="3" t="s">
        <v>11</v>
      </c>
      <c r="I184" s="3" t="s">
        <v>7</v>
      </c>
      <c r="J184" s="3" t="s">
        <v>39</v>
      </c>
      <c r="K184" s="3" t="s">
        <v>72</v>
      </c>
      <c r="L184" s="3" t="s">
        <v>40</v>
      </c>
      <c r="M184">
        <v>1</v>
      </c>
    </row>
    <row r="185" spans="1:13" x14ac:dyDescent="0.25">
      <c r="A185" s="2">
        <v>46252</v>
      </c>
      <c r="B185" s="1" t="str">
        <f ca="1">IF(Información1[[#This Row],[Fecha]]='Ajuste de fechas'!$A$2,"Día actual","Día anterior")</f>
        <v>Día actual</v>
      </c>
      <c r="C185" s="3" t="s">
        <v>28</v>
      </c>
      <c r="D185" t="s">
        <v>71</v>
      </c>
      <c r="E185" s="3" t="s">
        <v>334</v>
      </c>
      <c r="F185" s="3" t="s">
        <v>78</v>
      </c>
      <c r="G185" s="3" t="s">
        <v>197</v>
      </c>
      <c r="H185" s="3" t="s">
        <v>11</v>
      </c>
      <c r="I185" s="3" t="s">
        <v>7</v>
      </c>
      <c r="J185" s="3" t="s">
        <v>39</v>
      </c>
      <c r="K185" s="3" t="s">
        <v>72</v>
      </c>
      <c r="L185" s="3" t="s">
        <v>40</v>
      </c>
      <c r="M185">
        <v>1</v>
      </c>
    </row>
    <row r="186" spans="1:13" x14ac:dyDescent="0.25">
      <c r="A186" s="2">
        <v>46252</v>
      </c>
      <c r="B186" s="1" t="str">
        <f ca="1">IF(Información1[[#This Row],[Fecha]]='Ajuste de fechas'!$A$2,"Día actual","Día anterior")</f>
        <v>Día actual</v>
      </c>
      <c r="C186" s="3" t="s">
        <v>28</v>
      </c>
      <c r="D186" t="s">
        <v>71</v>
      </c>
      <c r="E186" s="3" t="s">
        <v>335</v>
      </c>
      <c r="F186" s="3" t="s">
        <v>76</v>
      </c>
      <c r="G186" s="3" t="s">
        <v>197</v>
      </c>
      <c r="H186" s="3" t="s">
        <v>11</v>
      </c>
      <c r="I186" s="3" t="s">
        <v>7</v>
      </c>
      <c r="J186" s="3" t="s">
        <v>39</v>
      </c>
      <c r="K186" s="3" t="s">
        <v>72</v>
      </c>
      <c r="L186" s="3" t="s">
        <v>40</v>
      </c>
      <c r="M186">
        <v>1</v>
      </c>
    </row>
    <row r="187" spans="1:13" x14ac:dyDescent="0.25">
      <c r="A187" s="2">
        <v>46252</v>
      </c>
      <c r="B187" s="1" t="str">
        <f ca="1">IF(Información1[[#This Row],[Fecha]]='Ajuste de fechas'!$A$2,"Día actual","Día anterior")</f>
        <v>Día actual</v>
      </c>
      <c r="C187" s="3" t="s">
        <v>28</v>
      </c>
      <c r="D187" t="s">
        <v>71</v>
      </c>
      <c r="E187" s="3" t="s">
        <v>336</v>
      </c>
      <c r="F187" s="3" t="s">
        <v>26</v>
      </c>
      <c r="G187" s="3" t="s">
        <v>75</v>
      </c>
      <c r="H187" s="3" t="s">
        <v>11</v>
      </c>
      <c r="I187" s="3" t="s">
        <v>7</v>
      </c>
      <c r="J187" s="3" t="s">
        <v>39</v>
      </c>
      <c r="K187" s="3" t="s">
        <v>72</v>
      </c>
      <c r="L187" s="3" t="s">
        <v>40</v>
      </c>
      <c r="M187">
        <v>1</v>
      </c>
    </row>
    <row r="188" spans="1:13" x14ac:dyDescent="0.25">
      <c r="A188" s="2">
        <v>46252</v>
      </c>
      <c r="B188" s="1" t="str">
        <f ca="1">IF(Información1[[#This Row],[Fecha]]='Ajuste de fechas'!$A$2,"Día actual","Día anterior")</f>
        <v>Día actual</v>
      </c>
      <c r="C188" s="3" t="s">
        <v>28</v>
      </c>
      <c r="D188" t="s">
        <v>71</v>
      </c>
      <c r="E188" s="3" t="s">
        <v>337</v>
      </c>
      <c r="F188" s="3" t="s">
        <v>26</v>
      </c>
      <c r="G188" s="3" t="s">
        <v>75</v>
      </c>
      <c r="H188" s="3" t="s">
        <v>11</v>
      </c>
      <c r="I188" s="3" t="s">
        <v>7</v>
      </c>
      <c r="J188" s="3" t="s">
        <v>39</v>
      </c>
      <c r="K188" s="3" t="s">
        <v>72</v>
      </c>
      <c r="L188" s="3" t="s">
        <v>40</v>
      </c>
      <c r="M188">
        <v>1</v>
      </c>
    </row>
    <row r="189" spans="1:13" x14ac:dyDescent="0.25">
      <c r="A189" s="2">
        <v>46252</v>
      </c>
      <c r="B189" s="1" t="str">
        <f ca="1">IF(Información1[[#This Row],[Fecha]]='Ajuste de fechas'!$A$2,"Día actual","Día anterior")</f>
        <v>Día actual</v>
      </c>
      <c r="C189" s="3" t="s">
        <v>8</v>
      </c>
      <c r="D189" t="s">
        <v>10</v>
      </c>
      <c r="E189" s="3" t="s">
        <v>90</v>
      </c>
      <c r="F189" s="3" t="s">
        <v>19</v>
      </c>
      <c r="G189" s="3" t="s">
        <v>88</v>
      </c>
      <c r="H189" s="3" t="s">
        <v>11</v>
      </c>
      <c r="I189" s="3" t="s">
        <v>25</v>
      </c>
      <c r="J189" s="3" t="s">
        <v>43</v>
      </c>
      <c r="K189" s="3" t="s">
        <v>9</v>
      </c>
      <c r="L189" s="3" t="s">
        <v>41</v>
      </c>
      <c r="M189">
        <v>1</v>
      </c>
    </row>
    <row r="190" spans="1:13" x14ac:dyDescent="0.25">
      <c r="A190" s="2">
        <v>46252</v>
      </c>
      <c r="B190" s="1" t="str">
        <f ca="1">IF(Información1[[#This Row],[Fecha]]='Ajuste de fechas'!$A$2,"Día actual","Día anterior")</f>
        <v>Día actual</v>
      </c>
      <c r="C190" s="3" t="s">
        <v>8</v>
      </c>
      <c r="D190" t="s">
        <v>10</v>
      </c>
      <c r="E190" s="3" t="s">
        <v>338</v>
      </c>
      <c r="F190" s="3" t="s">
        <v>17</v>
      </c>
      <c r="G190" s="3" t="s">
        <v>339</v>
      </c>
      <c r="H190" s="3" t="s">
        <v>11</v>
      </c>
      <c r="I190" s="3" t="s">
        <v>25</v>
      </c>
      <c r="J190" s="3" t="s">
        <v>39</v>
      </c>
      <c r="K190" s="3" t="s">
        <v>9</v>
      </c>
      <c r="L190" s="3" t="s">
        <v>41</v>
      </c>
      <c r="M190">
        <v>1</v>
      </c>
    </row>
    <row r="191" spans="1:13" x14ac:dyDescent="0.25">
      <c r="A191" s="2">
        <v>46252</v>
      </c>
      <c r="B191" s="1" t="str">
        <f ca="1">IF(Información1[[#This Row],[Fecha]]='Ajuste de fechas'!$A$2,"Día actual","Día anterior")</f>
        <v>Día actual</v>
      </c>
      <c r="C191" s="3" t="s">
        <v>8</v>
      </c>
      <c r="D191" t="s">
        <v>10</v>
      </c>
      <c r="E191" s="3" t="s">
        <v>340</v>
      </c>
      <c r="F191" s="3" t="s">
        <v>17</v>
      </c>
      <c r="G191" s="3" t="s">
        <v>92</v>
      </c>
      <c r="H191" s="3" t="s">
        <v>11</v>
      </c>
      <c r="I191" s="3" t="s">
        <v>25</v>
      </c>
      <c r="J191" s="3" t="s">
        <v>39</v>
      </c>
      <c r="K191" s="3" t="s">
        <v>9</v>
      </c>
      <c r="L191" s="3" t="s">
        <v>41</v>
      </c>
      <c r="M191">
        <v>1</v>
      </c>
    </row>
    <row r="192" spans="1:13" x14ac:dyDescent="0.25">
      <c r="A192" s="2">
        <v>46252</v>
      </c>
      <c r="B192" s="1" t="str">
        <f ca="1">IF(Información1[[#This Row],[Fecha]]='Ajuste de fechas'!$A$2,"Día actual","Día anterior")</f>
        <v>Día actual</v>
      </c>
      <c r="C192" s="3" t="s">
        <v>8</v>
      </c>
      <c r="D192" t="s">
        <v>10</v>
      </c>
      <c r="E192" s="3" t="s">
        <v>341</v>
      </c>
      <c r="F192" s="3" t="s">
        <v>17</v>
      </c>
      <c r="G192" s="3" t="s">
        <v>92</v>
      </c>
      <c r="H192" s="3" t="s">
        <v>11</v>
      </c>
      <c r="I192" s="3" t="s">
        <v>25</v>
      </c>
      <c r="J192" s="3" t="s">
        <v>39</v>
      </c>
      <c r="K192" s="3" t="s">
        <v>14</v>
      </c>
      <c r="L192" s="3" t="s">
        <v>41</v>
      </c>
      <c r="M192">
        <v>1</v>
      </c>
    </row>
    <row r="193" spans="1:13" x14ac:dyDescent="0.25">
      <c r="A193" s="2">
        <v>46252</v>
      </c>
      <c r="B193" s="1" t="str">
        <f ca="1">IF(Información1[[#This Row],[Fecha]]='Ajuste de fechas'!$A$2,"Día actual","Día anterior")</f>
        <v>Día actual</v>
      </c>
      <c r="C193" s="3" t="s">
        <v>8</v>
      </c>
      <c r="D193" t="s">
        <v>10</v>
      </c>
      <c r="E193" s="3" t="s">
        <v>342</v>
      </c>
      <c r="F193" s="3" t="s">
        <v>17</v>
      </c>
      <c r="G193" s="3" t="s">
        <v>92</v>
      </c>
      <c r="H193" s="3" t="s">
        <v>11</v>
      </c>
      <c r="I193" s="3" t="s">
        <v>25</v>
      </c>
      <c r="J193" s="3" t="s">
        <v>39</v>
      </c>
      <c r="K193" s="3" t="s">
        <v>9</v>
      </c>
      <c r="L193" s="3" t="s">
        <v>41</v>
      </c>
      <c r="M193">
        <v>1</v>
      </c>
    </row>
    <row r="194" spans="1:13" x14ac:dyDescent="0.25">
      <c r="A194" s="2">
        <v>46252</v>
      </c>
      <c r="B194" s="1" t="str">
        <f ca="1">IF(Información1[[#This Row],[Fecha]]='Ajuste de fechas'!$A$2,"Día actual","Día anterior")</f>
        <v>Día actual</v>
      </c>
      <c r="C194" s="3" t="s">
        <v>8</v>
      </c>
      <c r="D194" t="s">
        <v>10</v>
      </c>
      <c r="E194" s="3" t="s">
        <v>343</v>
      </c>
      <c r="F194" s="3" t="s">
        <v>6</v>
      </c>
      <c r="G194" s="3" t="s">
        <v>70</v>
      </c>
      <c r="H194" s="3" t="s">
        <v>11</v>
      </c>
      <c r="I194" s="3" t="s">
        <v>25</v>
      </c>
      <c r="J194" s="3" t="s">
        <v>39</v>
      </c>
      <c r="K194" s="3" t="s">
        <v>9</v>
      </c>
      <c r="L194" s="3" t="s">
        <v>41</v>
      </c>
      <c r="M194">
        <v>1</v>
      </c>
    </row>
    <row r="195" spans="1:13" x14ac:dyDescent="0.25">
      <c r="A195" s="2">
        <v>46252</v>
      </c>
      <c r="B195" s="1" t="str">
        <f ca="1">IF(Información1[[#This Row],[Fecha]]='Ajuste de fechas'!$A$2,"Día actual","Día anterior")</f>
        <v>Día actual</v>
      </c>
      <c r="C195" s="3" t="s">
        <v>8</v>
      </c>
      <c r="D195" t="s">
        <v>10</v>
      </c>
      <c r="E195" s="3" t="s">
        <v>344</v>
      </c>
      <c r="F195" s="3" t="s">
        <v>6</v>
      </c>
      <c r="G195" s="3" t="s">
        <v>70</v>
      </c>
      <c r="H195" s="3" t="s">
        <v>11</v>
      </c>
      <c r="I195" s="3" t="s">
        <v>25</v>
      </c>
      <c r="J195" s="3" t="s">
        <v>39</v>
      </c>
      <c r="K195" s="3" t="s">
        <v>9</v>
      </c>
      <c r="L195" s="3" t="s">
        <v>41</v>
      </c>
      <c r="M195">
        <v>1</v>
      </c>
    </row>
    <row r="196" spans="1:13" x14ac:dyDescent="0.25">
      <c r="A196" s="2">
        <v>46252</v>
      </c>
      <c r="B196" s="1" t="str">
        <f ca="1">IF(Información1[[#This Row],[Fecha]]='Ajuste de fechas'!$A$2,"Día actual","Día anterior")</f>
        <v>Día actual</v>
      </c>
      <c r="C196" s="3" t="s">
        <v>8</v>
      </c>
      <c r="D196" t="s">
        <v>10</v>
      </c>
      <c r="E196" s="3" t="s">
        <v>345</v>
      </c>
      <c r="F196" s="3" t="s">
        <v>6</v>
      </c>
      <c r="G196" s="3" t="s">
        <v>346</v>
      </c>
      <c r="H196" s="3" t="s">
        <v>11</v>
      </c>
      <c r="I196" s="3" t="s">
        <v>25</v>
      </c>
      <c r="J196" s="3" t="s">
        <v>39</v>
      </c>
      <c r="K196" s="3" t="s">
        <v>9</v>
      </c>
      <c r="L196" s="3" t="s">
        <v>41</v>
      </c>
      <c r="M196">
        <v>1</v>
      </c>
    </row>
    <row r="197" spans="1:13" x14ac:dyDescent="0.25">
      <c r="A197" s="2">
        <v>46252</v>
      </c>
      <c r="B197" s="1" t="str">
        <f ca="1">IF(Información1[[#This Row],[Fecha]]='Ajuste de fechas'!$A$2,"Día actual","Día anterior")</f>
        <v>Día actual</v>
      </c>
      <c r="C197" s="3" t="s">
        <v>8</v>
      </c>
      <c r="D197" t="s">
        <v>10</v>
      </c>
      <c r="E197" s="3" t="s">
        <v>263</v>
      </c>
      <c r="F197" s="3" t="s">
        <v>31</v>
      </c>
      <c r="G197" s="3" t="s">
        <v>108</v>
      </c>
      <c r="H197" s="3" t="s">
        <v>11</v>
      </c>
      <c r="I197" s="3" t="s">
        <v>7</v>
      </c>
      <c r="J197" s="3" t="s">
        <v>39</v>
      </c>
      <c r="K197" s="3" t="s">
        <v>14</v>
      </c>
      <c r="L197" s="3" t="s">
        <v>42</v>
      </c>
      <c r="M197">
        <v>1</v>
      </c>
    </row>
    <row r="198" spans="1:13" x14ac:dyDescent="0.25">
      <c r="A198" s="2">
        <v>46252</v>
      </c>
      <c r="B198" s="1" t="str">
        <f ca="1">IF(Información1[[#This Row],[Fecha]]='Ajuste de fechas'!$A$2,"Día actual","Día anterior")</f>
        <v>Día actual</v>
      </c>
      <c r="C198" s="3" t="s">
        <v>8</v>
      </c>
      <c r="D198" t="s">
        <v>10</v>
      </c>
      <c r="E198" s="3" t="s">
        <v>347</v>
      </c>
      <c r="F198" s="3" t="s">
        <v>82</v>
      </c>
      <c r="G198" s="3" t="s">
        <v>77</v>
      </c>
      <c r="H198" s="3" t="s">
        <v>11</v>
      </c>
      <c r="I198" s="3" t="s">
        <v>7</v>
      </c>
      <c r="J198" s="3" t="s">
        <v>39</v>
      </c>
      <c r="K198" s="3" t="s">
        <v>14</v>
      </c>
      <c r="L198" s="3" t="s">
        <v>42</v>
      </c>
      <c r="M198">
        <v>1</v>
      </c>
    </row>
    <row r="199" spans="1:13" x14ac:dyDescent="0.25">
      <c r="A199" s="2">
        <v>46252</v>
      </c>
      <c r="B199" s="1" t="str">
        <f ca="1">IF(Información1[[#This Row],[Fecha]]='Ajuste de fechas'!$A$2,"Día actual","Día anterior")</f>
        <v>Día actual</v>
      </c>
      <c r="C199" s="3" t="s">
        <v>8</v>
      </c>
      <c r="D199" t="s">
        <v>10</v>
      </c>
      <c r="E199" s="3" t="s">
        <v>348</v>
      </c>
      <c r="F199" s="3" t="s">
        <v>19</v>
      </c>
      <c r="G199" s="3" t="s">
        <v>113</v>
      </c>
      <c r="H199" s="3" t="s">
        <v>11</v>
      </c>
      <c r="I199" s="3" t="s">
        <v>7</v>
      </c>
      <c r="J199" s="3" t="s">
        <v>43</v>
      </c>
      <c r="K199" s="3" t="s">
        <v>14</v>
      </c>
      <c r="L199" s="3" t="s">
        <v>40</v>
      </c>
      <c r="M199">
        <v>1</v>
      </c>
    </row>
    <row r="200" spans="1:13" x14ac:dyDescent="0.25">
      <c r="A200" s="2">
        <v>46252</v>
      </c>
      <c r="B200" s="1" t="str">
        <f ca="1">IF(Información1[[#This Row],[Fecha]]='Ajuste de fechas'!$A$2,"Día actual","Día anterior")</f>
        <v>Día actual</v>
      </c>
      <c r="C200" s="3" t="s">
        <v>8</v>
      </c>
      <c r="D200" t="s">
        <v>10</v>
      </c>
      <c r="E200" s="3" t="s">
        <v>349</v>
      </c>
      <c r="F200" s="3" t="s">
        <v>22</v>
      </c>
      <c r="G200" s="3" t="s">
        <v>350</v>
      </c>
      <c r="H200" s="3" t="s">
        <v>11</v>
      </c>
      <c r="I200" s="3" t="s">
        <v>7</v>
      </c>
      <c r="J200" s="3" t="s">
        <v>44</v>
      </c>
      <c r="K200" s="3" t="s">
        <v>14</v>
      </c>
      <c r="L200" s="3" t="s">
        <v>40</v>
      </c>
      <c r="M200">
        <v>1</v>
      </c>
    </row>
    <row r="201" spans="1:13" x14ac:dyDescent="0.25">
      <c r="A201" s="2">
        <v>46252</v>
      </c>
      <c r="B201" s="1" t="str">
        <f ca="1">IF(Información1[[#This Row],[Fecha]]='Ajuste de fechas'!$A$2,"Día actual","Día anterior")</f>
        <v>Día actual</v>
      </c>
      <c r="C201" s="3" t="s">
        <v>8</v>
      </c>
      <c r="D201" t="s">
        <v>10</v>
      </c>
      <c r="E201" s="3" t="s">
        <v>351</v>
      </c>
      <c r="F201" s="3" t="s">
        <v>15</v>
      </c>
      <c r="G201" s="3" t="s">
        <v>325</v>
      </c>
      <c r="H201" s="3" t="s">
        <v>11</v>
      </c>
      <c r="I201" s="3" t="s">
        <v>7</v>
      </c>
      <c r="J201" s="3" t="s">
        <v>39</v>
      </c>
      <c r="K201" s="3" t="s">
        <v>14</v>
      </c>
      <c r="L201" s="3" t="s">
        <v>40</v>
      </c>
      <c r="M201">
        <v>1</v>
      </c>
    </row>
    <row r="202" spans="1:13" x14ac:dyDescent="0.25">
      <c r="A202" s="2">
        <v>46252</v>
      </c>
      <c r="B202" s="1" t="str">
        <f ca="1">IF(Información1[[#This Row],[Fecha]]='Ajuste de fechas'!$A$2,"Día actual","Día anterior")</f>
        <v>Día actual</v>
      </c>
      <c r="C202" s="3" t="s">
        <v>8</v>
      </c>
      <c r="D202" t="s">
        <v>10</v>
      </c>
      <c r="E202" s="3" t="s">
        <v>352</v>
      </c>
      <c r="F202" s="3" t="s">
        <v>6</v>
      </c>
      <c r="G202" s="3" t="s">
        <v>70</v>
      </c>
      <c r="H202" s="3" t="s">
        <v>11</v>
      </c>
      <c r="I202" s="3" t="s">
        <v>7</v>
      </c>
      <c r="J202" s="3" t="s">
        <v>39</v>
      </c>
      <c r="K202" s="3" t="s">
        <v>14</v>
      </c>
      <c r="L202" s="3" t="s">
        <v>40</v>
      </c>
      <c r="M202">
        <v>1</v>
      </c>
    </row>
    <row r="203" spans="1:13" x14ac:dyDescent="0.25">
      <c r="A203" s="2">
        <v>46252</v>
      </c>
      <c r="B203" s="1" t="str">
        <f ca="1">IF(Información1[[#This Row],[Fecha]]='Ajuste de fechas'!$A$2,"Día actual","Día anterior")</f>
        <v>Día actual</v>
      </c>
      <c r="C203" s="3" t="s">
        <v>8</v>
      </c>
      <c r="D203" t="s">
        <v>10</v>
      </c>
      <c r="E203" s="3" t="s">
        <v>20</v>
      </c>
      <c r="F203" s="3" t="s">
        <v>19</v>
      </c>
      <c r="G203" s="3" t="s">
        <v>32</v>
      </c>
      <c r="H203" s="3" t="s">
        <v>11</v>
      </c>
      <c r="I203" s="3" t="s">
        <v>12</v>
      </c>
      <c r="J203" s="3" t="s">
        <v>43</v>
      </c>
      <c r="K203" s="3" t="s">
        <v>14</v>
      </c>
      <c r="L203" s="3" t="s">
        <v>41</v>
      </c>
      <c r="M203">
        <v>1</v>
      </c>
    </row>
    <row r="204" spans="1:13" x14ac:dyDescent="0.25">
      <c r="A204" s="2">
        <v>46252</v>
      </c>
      <c r="B204" s="1" t="str">
        <f ca="1">IF(Información1[[#This Row],[Fecha]]='Ajuste de fechas'!$A$2,"Día actual","Día anterior")</f>
        <v>Día actual</v>
      </c>
      <c r="C204" s="3" t="s">
        <v>8</v>
      </c>
      <c r="D204" t="s">
        <v>10</v>
      </c>
      <c r="E204" s="3" t="s">
        <v>18</v>
      </c>
      <c r="F204" s="3" t="s">
        <v>19</v>
      </c>
      <c r="G204" s="3" t="s">
        <v>32</v>
      </c>
      <c r="H204" s="3" t="s">
        <v>11</v>
      </c>
      <c r="I204" s="3" t="s">
        <v>12</v>
      </c>
      <c r="J204" s="3" t="s">
        <v>43</v>
      </c>
      <c r="K204" s="3" t="s">
        <v>14</v>
      </c>
      <c r="L204" s="3" t="s">
        <v>41</v>
      </c>
      <c r="M204">
        <v>1</v>
      </c>
    </row>
    <row r="205" spans="1:13" x14ac:dyDescent="0.25">
      <c r="A205" s="2">
        <v>46252</v>
      </c>
      <c r="B205" s="1" t="str">
        <f ca="1">IF(Información1[[#This Row],[Fecha]]='Ajuste de fechas'!$A$2,"Día actual","Día anterior")</f>
        <v>Día actual</v>
      </c>
      <c r="C205" s="3" t="s">
        <v>8</v>
      </c>
      <c r="D205" t="s">
        <v>10</v>
      </c>
      <c r="E205" s="3" t="s">
        <v>80</v>
      </c>
      <c r="F205" s="3" t="s">
        <v>53</v>
      </c>
      <c r="G205" s="3" t="s">
        <v>32</v>
      </c>
      <c r="H205" s="3" t="s">
        <v>11</v>
      </c>
      <c r="I205" s="3" t="s">
        <v>12</v>
      </c>
      <c r="J205" s="3" t="s">
        <v>24</v>
      </c>
      <c r="K205" s="3" t="s">
        <v>14</v>
      </c>
      <c r="L205" s="3" t="s">
        <v>41</v>
      </c>
      <c r="M205">
        <v>1</v>
      </c>
    </row>
    <row r="206" spans="1:13" x14ac:dyDescent="0.25">
      <c r="A206" s="2">
        <v>46252</v>
      </c>
      <c r="B206" s="1" t="str">
        <f ca="1">IF(Información1[[#This Row],[Fecha]]='Ajuste de fechas'!$A$2,"Día actual","Día anterior")</f>
        <v>Día actual</v>
      </c>
      <c r="C206" s="3" t="s">
        <v>8</v>
      </c>
      <c r="D206" t="s">
        <v>10</v>
      </c>
      <c r="E206" s="3" t="s">
        <v>97</v>
      </c>
      <c r="F206" s="3" t="s">
        <v>21</v>
      </c>
      <c r="G206" s="3" t="s">
        <v>32</v>
      </c>
      <c r="H206" s="3" t="s">
        <v>11</v>
      </c>
      <c r="I206" s="3" t="s">
        <v>12</v>
      </c>
      <c r="J206" s="3" t="s">
        <v>39</v>
      </c>
      <c r="K206" s="3" t="s">
        <v>14</v>
      </c>
      <c r="L206" s="3" t="s">
        <v>41</v>
      </c>
      <c r="M206">
        <v>1</v>
      </c>
    </row>
    <row r="207" spans="1:13" x14ac:dyDescent="0.25">
      <c r="A207" s="2">
        <v>46252</v>
      </c>
      <c r="B207" s="1" t="str">
        <f ca="1">IF(Información1[[#This Row],[Fecha]]='Ajuste de fechas'!$A$2,"Día actual","Día anterior")</f>
        <v>Día actual</v>
      </c>
      <c r="C207" s="3" t="s">
        <v>8</v>
      </c>
      <c r="D207" t="s">
        <v>10</v>
      </c>
      <c r="E207" s="3" t="s">
        <v>13</v>
      </c>
      <c r="F207" s="3" t="s">
        <v>15</v>
      </c>
      <c r="G207" s="3" t="s">
        <v>32</v>
      </c>
      <c r="H207" s="3" t="s">
        <v>11</v>
      </c>
      <c r="I207" s="3" t="s">
        <v>12</v>
      </c>
      <c r="J207" s="3" t="s">
        <v>39</v>
      </c>
      <c r="K207" s="3" t="s">
        <v>14</v>
      </c>
      <c r="L207" s="3" t="s">
        <v>41</v>
      </c>
      <c r="M207">
        <v>1</v>
      </c>
    </row>
    <row r="208" spans="1:13" x14ac:dyDescent="0.25">
      <c r="A208" s="2">
        <v>46252</v>
      </c>
      <c r="B208" s="1" t="str">
        <f ca="1">IF(Información1[[#This Row],[Fecha]]='Ajuste de fechas'!$A$2,"Día actual","Día anterior")</f>
        <v>Día actual</v>
      </c>
      <c r="C208" s="3" t="s">
        <v>8</v>
      </c>
      <c r="D208" t="s">
        <v>10</v>
      </c>
      <c r="E208" s="3" t="s">
        <v>16</v>
      </c>
      <c r="F208" s="3" t="s">
        <v>17</v>
      </c>
      <c r="G208" s="3" t="s">
        <v>32</v>
      </c>
      <c r="H208" s="3" t="s">
        <v>11</v>
      </c>
      <c r="I208" s="3" t="s">
        <v>12</v>
      </c>
      <c r="J208" s="3" t="s">
        <v>39</v>
      </c>
      <c r="K208" s="3" t="s">
        <v>14</v>
      </c>
      <c r="L208" s="3" t="s">
        <v>41</v>
      </c>
      <c r="M208">
        <v>1</v>
      </c>
    </row>
    <row r="209" spans="1:13" x14ac:dyDescent="0.25">
      <c r="A209" s="2">
        <v>46252</v>
      </c>
      <c r="B209" s="1" t="str">
        <f ca="1">IF(Información1[[#This Row],[Fecha]]='Ajuste de fechas'!$A$2,"Día actual","Día anterior")</f>
        <v>Día actual</v>
      </c>
      <c r="C209" s="3" t="s">
        <v>8</v>
      </c>
      <c r="D209" t="s">
        <v>10</v>
      </c>
      <c r="E209" s="3" t="s">
        <v>52</v>
      </c>
      <c r="F209" s="3" t="s">
        <v>6</v>
      </c>
      <c r="G209" s="3" t="s">
        <v>32</v>
      </c>
      <c r="H209" s="3" t="s">
        <v>11</v>
      </c>
      <c r="I209" s="3" t="s">
        <v>12</v>
      </c>
      <c r="J209" s="3" t="s">
        <v>39</v>
      </c>
      <c r="K209" s="3" t="s">
        <v>14</v>
      </c>
      <c r="L209" s="3" t="s">
        <v>41</v>
      </c>
      <c r="M209">
        <v>1</v>
      </c>
    </row>
    <row r="210" spans="1:13" x14ac:dyDescent="0.25">
      <c r="A210" s="2">
        <v>46252</v>
      </c>
      <c r="B210" s="1" t="str">
        <f ca="1">IF(Información1[[#This Row],[Fecha]]='Ajuste de fechas'!$A$2,"Día actual","Día anterior")</f>
        <v>Día actual</v>
      </c>
      <c r="C210" s="3" t="s">
        <v>49</v>
      </c>
      <c r="D210" t="s">
        <v>54</v>
      </c>
      <c r="E210" s="3" t="s">
        <v>353</v>
      </c>
      <c r="F210" s="3" t="s">
        <v>22</v>
      </c>
      <c r="G210" s="3" t="s">
        <v>354</v>
      </c>
      <c r="H210" s="3" t="s">
        <v>11</v>
      </c>
      <c r="I210" s="3" t="s">
        <v>7</v>
      </c>
      <c r="J210" s="3" t="s">
        <v>44</v>
      </c>
      <c r="K210" s="3" t="s">
        <v>50</v>
      </c>
      <c r="L210" s="3" t="s">
        <v>40</v>
      </c>
      <c r="M210">
        <v>1</v>
      </c>
    </row>
    <row r="211" spans="1:13" x14ac:dyDescent="0.25">
      <c r="A211" s="2">
        <v>46252</v>
      </c>
      <c r="B211" s="1" t="str">
        <f ca="1">IF(Información1[[#This Row],[Fecha]]='Ajuste de fechas'!$A$2,"Día actual","Día anterior")</f>
        <v>Día actual</v>
      </c>
      <c r="C211" s="3" t="s">
        <v>49</v>
      </c>
      <c r="D211" t="s">
        <v>54</v>
      </c>
      <c r="E211" s="3" t="s">
        <v>355</v>
      </c>
      <c r="F211" s="3" t="s">
        <v>19</v>
      </c>
      <c r="G211" s="3"/>
      <c r="H211" s="3" t="s">
        <v>11</v>
      </c>
      <c r="I211" s="3" t="s">
        <v>25</v>
      </c>
      <c r="J211" s="3" t="s">
        <v>43</v>
      </c>
      <c r="K211" s="3" t="s">
        <v>50</v>
      </c>
      <c r="L211" s="3" t="s">
        <v>40</v>
      </c>
      <c r="M211">
        <v>1</v>
      </c>
    </row>
    <row r="212" spans="1:13" x14ac:dyDescent="0.25">
      <c r="A212" s="2">
        <v>46252</v>
      </c>
      <c r="B212" s="1" t="str">
        <f ca="1">IF(Información1[[#This Row],[Fecha]]='Ajuste de fechas'!$A$2,"Día actual","Día anterior")</f>
        <v>Día actual</v>
      </c>
      <c r="C212" s="3" t="s">
        <v>49</v>
      </c>
      <c r="D212" t="s">
        <v>54</v>
      </c>
      <c r="E212" s="3" t="s">
        <v>356</v>
      </c>
      <c r="F212" s="3" t="s">
        <v>19</v>
      </c>
      <c r="G212" s="3" t="s">
        <v>357</v>
      </c>
      <c r="H212" s="3" t="s">
        <v>11</v>
      </c>
      <c r="I212" s="3" t="s">
        <v>7</v>
      </c>
      <c r="J212" s="3" t="s">
        <v>43</v>
      </c>
      <c r="K212" s="3" t="s">
        <v>50</v>
      </c>
      <c r="L212" s="3" t="s">
        <v>40</v>
      </c>
      <c r="M212">
        <v>1</v>
      </c>
    </row>
    <row r="213" spans="1:13" x14ac:dyDescent="0.25">
      <c r="A213" s="2">
        <v>46252</v>
      </c>
      <c r="B213" s="1" t="str">
        <f ca="1">IF(Información1[[#This Row],[Fecha]]='Ajuste de fechas'!$A$2,"Día actual","Día anterior")</f>
        <v>Día actual</v>
      </c>
      <c r="C213" s="3" t="s">
        <v>49</v>
      </c>
      <c r="D213" t="s">
        <v>54</v>
      </c>
      <c r="E213" s="3" t="s">
        <v>358</v>
      </c>
      <c r="F213" s="3" t="s">
        <v>19</v>
      </c>
      <c r="G213" s="3" t="s">
        <v>359</v>
      </c>
      <c r="H213" s="3" t="s">
        <v>11</v>
      </c>
      <c r="I213" s="3" t="s">
        <v>7</v>
      </c>
      <c r="J213" s="3" t="s">
        <v>43</v>
      </c>
      <c r="K213" s="3" t="s">
        <v>50</v>
      </c>
      <c r="L213" s="3" t="s">
        <v>40</v>
      </c>
      <c r="M213">
        <v>1</v>
      </c>
    </row>
    <row r="214" spans="1:13" x14ac:dyDescent="0.25">
      <c r="A214" s="2">
        <v>46252</v>
      </c>
      <c r="B214" s="1" t="str">
        <f ca="1">IF(Información1[[#This Row],[Fecha]]='Ajuste de fechas'!$A$2,"Día actual","Día anterior")</f>
        <v>Día actual</v>
      </c>
      <c r="C214" s="3" t="s">
        <v>49</v>
      </c>
      <c r="D214" t="s">
        <v>54</v>
      </c>
      <c r="E214" s="3" t="s">
        <v>360</v>
      </c>
      <c r="F214" s="3" t="s">
        <v>23</v>
      </c>
      <c r="G214" s="3" t="s">
        <v>194</v>
      </c>
      <c r="H214" s="3" t="s">
        <v>11</v>
      </c>
      <c r="I214" s="3" t="s">
        <v>7</v>
      </c>
      <c r="J214" s="3" t="s">
        <v>39</v>
      </c>
      <c r="K214" s="3" t="s">
        <v>50</v>
      </c>
      <c r="L214" s="3" t="s">
        <v>40</v>
      </c>
      <c r="M214">
        <v>1</v>
      </c>
    </row>
    <row r="215" spans="1:13" x14ac:dyDescent="0.25">
      <c r="A215" s="2">
        <v>46252</v>
      </c>
      <c r="B215" s="1" t="str">
        <f ca="1">IF(Información1[[#This Row],[Fecha]]='Ajuste de fechas'!$A$2,"Día actual","Día anterior")</f>
        <v>Día actual</v>
      </c>
      <c r="C215" s="3" t="s">
        <v>49</v>
      </c>
      <c r="D215" t="s">
        <v>54</v>
      </c>
      <c r="E215" s="3" t="s">
        <v>361</v>
      </c>
      <c r="F215" s="3" t="s">
        <v>23</v>
      </c>
      <c r="G215" s="3" t="s">
        <v>194</v>
      </c>
      <c r="H215" s="3" t="s">
        <v>11</v>
      </c>
      <c r="I215" s="3" t="s">
        <v>7</v>
      </c>
      <c r="J215" s="3" t="s">
        <v>39</v>
      </c>
      <c r="K215" s="3" t="s">
        <v>50</v>
      </c>
      <c r="L215" s="3" t="s">
        <v>40</v>
      </c>
      <c r="M215">
        <v>1</v>
      </c>
    </row>
    <row r="216" spans="1:13" x14ac:dyDescent="0.25">
      <c r="A216" s="2">
        <v>46252</v>
      </c>
      <c r="B216" s="1" t="str">
        <f ca="1">IF(Información1[[#This Row],[Fecha]]='Ajuste de fechas'!$A$2,"Día actual","Día anterior")</f>
        <v>Día actual</v>
      </c>
      <c r="C216" s="3" t="s">
        <v>49</v>
      </c>
      <c r="D216" t="s">
        <v>54</v>
      </c>
      <c r="E216" s="3" t="s">
        <v>279</v>
      </c>
      <c r="F216" s="3" t="s">
        <v>21</v>
      </c>
      <c r="G216" s="3" t="s">
        <v>185</v>
      </c>
      <c r="H216" s="3" t="s">
        <v>11</v>
      </c>
      <c r="I216" s="3" t="s">
        <v>7</v>
      </c>
      <c r="J216" s="3" t="s">
        <v>39</v>
      </c>
      <c r="K216" s="3" t="s">
        <v>50</v>
      </c>
      <c r="L216" s="3" t="s">
        <v>42</v>
      </c>
      <c r="M216">
        <v>1</v>
      </c>
    </row>
    <row r="217" spans="1:13" x14ac:dyDescent="0.25">
      <c r="A217" s="2">
        <v>46252</v>
      </c>
      <c r="B217" s="1" t="str">
        <f ca="1">IF(Información1[[#This Row],[Fecha]]='Ajuste de fechas'!$A$2,"Día actual","Día anterior")</f>
        <v>Día actual</v>
      </c>
      <c r="C217" s="3" t="s">
        <v>61</v>
      </c>
      <c r="D217" t="s">
        <v>62</v>
      </c>
      <c r="E217" s="3" t="s">
        <v>263</v>
      </c>
      <c r="F217" s="3" t="s">
        <v>31</v>
      </c>
      <c r="G217" s="3" t="s">
        <v>108</v>
      </c>
      <c r="H217" s="3" t="s">
        <v>11</v>
      </c>
      <c r="I217" s="3" t="s">
        <v>7</v>
      </c>
      <c r="J217" s="3" t="s">
        <v>39</v>
      </c>
      <c r="K217" s="3" t="s">
        <v>63</v>
      </c>
      <c r="L217" s="3" t="s">
        <v>42</v>
      </c>
      <c r="M217">
        <v>1</v>
      </c>
    </row>
    <row r="218" spans="1:13" x14ac:dyDescent="0.25">
      <c r="A218" s="2">
        <v>46252</v>
      </c>
      <c r="B218" s="1" t="str">
        <f ca="1">IF(Información1[[#This Row],[Fecha]]='Ajuste de fechas'!$A$2,"Día actual","Día anterior")</f>
        <v>Día actual</v>
      </c>
      <c r="C218" s="3" t="s">
        <v>61</v>
      </c>
      <c r="D218" t="s">
        <v>62</v>
      </c>
      <c r="E218" s="3" t="s">
        <v>222</v>
      </c>
      <c r="F218" s="3" t="s">
        <v>21</v>
      </c>
      <c r="G218" s="3" t="s">
        <v>223</v>
      </c>
      <c r="H218" s="3" t="s">
        <v>11</v>
      </c>
      <c r="I218" s="3" t="s">
        <v>7</v>
      </c>
      <c r="J218" s="3" t="s">
        <v>39</v>
      </c>
      <c r="K218" s="3" t="s">
        <v>63</v>
      </c>
      <c r="L218" s="3" t="s">
        <v>42</v>
      </c>
      <c r="M218">
        <v>1</v>
      </c>
    </row>
    <row r="219" spans="1:13" x14ac:dyDescent="0.25">
      <c r="A219" s="2">
        <v>46252</v>
      </c>
      <c r="B219" s="1" t="str">
        <f ca="1">IF(Información1[[#This Row],[Fecha]]='Ajuste de fechas'!$A$2,"Día actual","Día anterior")</f>
        <v>Día actual</v>
      </c>
      <c r="C219" s="3" t="s">
        <v>61</v>
      </c>
      <c r="D219" t="s">
        <v>62</v>
      </c>
      <c r="E219" s="3" t="s">
        <v>309</v>
      </c>
      <c r="F219" s="3" t="s">
        <v>26</v>
      </c>
      <c r="G219" s="3" t="s">
        <v>75</v>
      </c>
      <c r="H219" s="3" t="s">
        <v>11</v>
      </c>
      <c r="I219" s="3" t="s">
        <v>7</v>
      </c>
      <c r="J219" s="3" t="s">
        <v>39</v>
      </c>
      <c r="K219" s="3" t="s">
        <v>63</v>
      </c>
      <c r="L219" s="3" t="s">
        <v>42</v>
      </c>
      <c r="M219">
        <v>1</v>
      </c>
    </row>
    <row r="220" spans="1:13" x14ac:dyDescent="0.25">
      <c r="A220" s="2">
        <v>46252</v>
      </c>
      <c r="B220" s="1" t="str">
        <f ca="1">IF(Información1[[#This Row],[Fecha]]='Ajuste de fechas'!$A$2,"Día actual","Día anterior")</f>
        <v>Día actual</v>
      </c>
      <c r="C220" s="3" t="s">
        <v>61</v>
      </c>
      <c r="D220" t="s">
        <v>62</v>
      </c>
      <c r="E220" s="3" t="s">
        <v>362</v>
      </c>
      <c r="F220" s="3" t="s">
        <v>23</v>
      </c>
      <c r="G220" s="3" t="s">
        <v>194</v>
      </c>
      <c r="H220" s="3" t="s">
        <v>11</v>
      </c>
      <c r="I220" s="3" t="s">
        <v>7</v>
      </c>
      <c r="J220" s="3" t="s">
        <v>39</v>
      </c>
      <c r="K220" s="3" t="s">
        <v>63</v>
      </c>
      <c r="L220" s="3" t="s">
        <v>42</v>
      </c>
      <c r="M220">
        <v>1</v>
      </c>
    </row>
    <row r="221" spans="1:13" x14ac:dyDescent="0.25">
      <c r="A221" s="2">
        <v>46252</v>
      </c>
      <c r="B221" s="1" t="str">
        <f ca="1">IF(Información1[[#This Row],[Fecha]]='Ajuste de fechas'!$A$2,"Día actual","Día anterior")</f>
        <v>Día actual</v>
      </c>
      <c r="C221" s="3" t="s">
        <v>61</v>
      </c>
      <c r="D221" t="s">
        <v>62</v>
      </c>
      <c r="E221" s="3" t="s">
        <v>363</v>
      </c>
      <c r="F221" s="3" t="s">
        <v>26</v>
      </c>
      <c r="G221" s="3" t="s">
        <v>75</v>
      </c>
      <c r="H221" s="3" t="s">
        <v>11</v>
      </c>
      <c r="I221" s="3" t="s">
        <v>7</v>
      </c>
      <c r="J221" s="3" t="s">
        <v>39</v>
      </c>
      <c r="K221" s="3" t="s">
        <v>63</v>
      </c>
      <c r="L221" s="3" t="s">
        <v>42</v>
      </c>
      <c r="M221">
        <v>1</v>
      </c>
    </row>
    <row r="222" spans="1:13" x14ac:dyDescent="0.25">
      <c r="A222" s="2">
        <v>46252</v>
      </c>
      <c r="B222" s="1" t="str">
        <f ca="1">IF(Información1[[#This Row],[Fecha]]='Ajuste de fechas'!$A$2,"Día actual","Día anterior")</f>
        <v>Día actual</v>
      </c>
      <c r="C222" s="3" t="s">
        <v>61</v>
      </c>
      <c r="D222" t="s">
        <v>62</v>
      </c>
      <c r="E222" s="3" t="s">
        <v>308</v>
      </c>
      <c r="F222" s="3" t="s">
        <v>26</v>
      </c>
      <c r="G222" s="3" t="s">
        <v>285</v>
      </c>
      <c r="H222" s="3" t="s">
        <v>11</v>
      </c>
      <c r="I222" s="3" t="s">
        <v>7</v>
      </c>
      <c r="J222" s="3" t="s">
        <v>39</v>
      </c>
      <c r="K222" s="3" t="s">
        <v>63</v>
      </c>
      <c r="L222" s="3" t="s">
        <v>42</v>
      </c>
      <c r="M222">
        <v>1</v>
      </c>
    </row>
    <row r="223" spans="1:13" x14ac:dyDescent="0.25">
      <c r="A223" s="2">
        <v>46252</v>
      </c>
      <c r="B223" s="1" t="str">
        <f ca="1">IF(Información1[[#This Row],[Fecha]]='Ajuste de fechas'!$A$2,"Día actual","Día anterior")</f>
        <v>Día actual</v>
      </c>
      <c r="C223" s="3" t="s">
        <v>49</v>
      </c>
      <c r="D223" t="s">
        <v>51</v>
      </c>
      <c r="E223" s="3" t="s">
        <v>364</v>
      </c>
      <c r="F223" s="3" t="s">
        <v>19</v>
      </c>
      <c r="G223" s="3" t="s">
        <v>365</v>
      </c>
      <c r="H223" s="3" t="s">
        <v>11</v>
      </c>
      <c r="I223" s="3" t="s">
        <v>7</v>
      </c>
      <c r="J223" s="3" t="s">
        <v>43</v>
      </c>
      <c r="K223" s="3" t="s">
        <v>50</v>
      </c>
      <c r="L223" s="3" t="s">
        <v>40</v>
      </c>
      <c r="M223">
        <v>1</v>
      </c>
    </row>
    <row r="224" spans="1:13" x14ac:dyDescent="0.25">
      <c r="A224" s="2">
        <v>46252</v>
      </c>
      <c r="B224" s="1" t="str">
        <f ca="1">IF(Información1[[#This Row],[Fecha]]='Ajuste de fechas'!$A$2,"Día actual","Día anterior")</f>
        <v>Día actual</v>
      </c>
      <c r="C224" s="3" t="s">
        <v>49</v>
      </c>
      <c r="D224" t="s">
        <v>51</v>
      </c>
      <c r="E224" s="3" t="s">
        <v>366</v>
      </c>
      <c r="F224" s="3" t="s">
        <v>19</v>
      </c>
      <c r="G224" s="3" t="s">
        <v>367</v>
      </c>
      <c r="H224" s="3" t="s">
        <v>11</v>
      </c>
      <c r="I224" s="3" t="s">
        <v>7</v>
      </c>
      <c r="J224" s="3" t="s">
        <v>43</v>
      </c>
      <c r="K224" s="3" t="s">
        <v>50</v>
      </c>
      <c r="L224" s="3" t="s">
        <v>40</v>
      </c>
      <c r="M224">
        <v>1</v>
      </c>
    </row>
    <row r="225" spans="1:13" x14ac:dyDescent="0.25">
      <c r="A225" s="2">
        <v>46252</v>
      </c>
      <c r="B225" s="1" t="str">
        <f ca="1">IF(Información1[[#This Row],[Fecha]]='Ajuste de fechas'!$A$2,"Día actual","Día anterior")</f>
        <v>Día actual</v>
      </c>
      <c r="C225" s="3" t="s">
        <v>49</v>
      </c>
      <c r="D225" t="s">
        <v>51</v>
      </c>
      <c r="E225" s="3" t="s">
        <v>368</v>
      </c>
      <c r="F225" s="3" t="s">
        <v>83</v>
      </c>
      <c r="G225" s="3" t="s">
        <v>369</v>
      </c>
      <c r="H225" s="3" t="s">
        <v>11</v>
      </c>
      <c r="I225" s="3" t="s">
        <v>25</v>
      </c>
      <c r="J225" s="3" t="s">
        <v>39</v>
      </c>
      <c r="K225" s="3" t="s">
        <v>9</v>
      </c>
      <c r="L225" s="3" t="s">
        <v>41</v>
      </c>
      <c r="M225">
        <v>1</v>
      </c>
    </row>
    <row r="226" spans="1:13" x14ac:dyDescent="0.25">
      <c r="A226" s="2">
        <v>46252</v>
      </c>
      <c r="B226" s="1" t="str">
        <f ca="1">IF(Información1[[#This Row],[Fecha]]='Ajuste de fechas'!$A$2,"Día actual","Día anterior")</f>
        <v>Día actual</v>
      </c>
      <c r="C226" s="3" t="s">
        <v>49</v>
      </c>
      <c r="D226" t="s">
        <v>51</v>
      </c>
      <c r="E226" s="3" t="s">
        <v>363</v>
      </c>
      <c r="F226" s="3" t="s">
        <v>26</v>
      </c>
      <c r="G226" s="3" t="s">
        <v>75</v>
      </c>
      <c r="H226" s="3" t="s">
        <v>11</v>
      </c>
      <c r="I226" s="3" t="s">
        <v>7</v>
      </c>
      <c r="J226" s="3" t="s">
        <v>39</v>
      </c>
      <c r="K226" s="3" t="s">
        <v>48</v>
      </c>
      <c r="L226" s="3" t="s">
        <v>42</v>
      </c>
      <c r="M226">
        <v>1</v>
      </c>
    </row>
    <row r="227" spans="1:13" x14ac:dyDescent="0.25">
      <c r="A227" s="2">
        <v>46252</v>
      </c>
      <c r="B227" s="1" t="str">
        <f ca="1">IF(Información1[[#This Row],[Fecha]]='Ajuste de fechas'!$A$2,"Día actual","Día anterior")</f>
        <v>Día actual</v>
      </c>
      <c r="C227" s="3" t="s">
        <v>49</v>
      </c>
      <c r="D227" t="s">
        <v>51</v>
      </c>
      <c r="E227" s="3" t="s">
        <v>309</v>
      </c>
      <c r="F227" s="3" t="s">
        <v>26</v>
      </c>
      <c r="G227" s="3" t="s">
        <v>75</v>
      </c>
      <c r="H227" s="3" t="s">
        <v>11</v>
      </c>
      <c r="I227" s="3" t="s">
        <v>7</v>
      </c>
      <c r="J227" s="3" t="s">
        <v>39</v>
      </c>
      <c r="K227" s="3" t="s">
        <v>48</v>
      </c>
      <c r="L227" s="3" t="s">
        <v>42</v>
      </c>
      <c r="M227">
        <v>1</v>
      </c>
    </row>
    <row r="228" spans="1:13" x14ac:dyDescent="0.25">
      <c r="A228" s="2">
        <v>46252</v>
      </c>
      <c r="B228" s="1" t="str">
        <f ca="1">IF(Información1[[#This Row],[Fecha]]='Ajuste de fechas'!$A$2,"Día actual","Día anterior")</f>
        <v>Día actual</v>
      </c>
      <c r="C228" s="3" t="s">
        <v>49</v>
      </c>
      <c r="D228" t="s">
        <v>51</v>
      </c>
      <c r="E228" s="3" t="s">
        <v>308</v>
      </c>
      <c r="F228" s="3" t="s">
        <v>26</v>
      </c>
      <c r="G228" s="3" t="s">
        <v>285</v>
      </c>
      <c r="H228" s="3" t="s">
        <v>11</v>
      </c>
      <c r="I228" s="3" t="s">
        <v>7</v>
      </c>
      <c r="J228" s="3" t="s">
        <v>39</v>
      </c>
      <c r="K228" s="3" t="s">
        <v>48</v>
      </c>
      <c r="L228" s="3" t="s">
        <v>42</v>
      </c>
      <c r="M228">
        <v>1</v>
      </c>
    </row>
    <row r="229" spans="1:13" x14ac:dyDescent="0.25">
      <c r="A229" s="2">
        <v>46252</v>
      </c>
      <c r="B229" s="1" t="str">
        <f ca="1">IF(Información1[[#This Row],[Fecha]]='Ajuste de fechas'!$A$2,"Día actual","Día anterior")</f>
        <v>Día actual</v>
      </c>
      <c r="C229" s="3" t="s">
        <v>49</v>
      </c>
      <c r="D229" t="s">
        <v>51</v>
      </c>
      <c r="E229" s="3" t="s">
        <v>370</v>
      </c>
      <c r="F229" s="3" t="s">
        <v>21</v>
      </c>
      <c r="G229" s="3" t="s">
        <v>371</v>
      </c>
      <c r="H229" s="3" t="s">
        <v>11</v>
      </c>
      <c r="I229" s="3" t="s">
        <v>12</v>
      </c>
      <c r="J229" s="3" t="s">
        <v>39</v>
      </c>
      <c r="K229" s="3" t="s">
        <v>48</v>
      </c>
      <c r="L229" s="3" t="s">
        <v>69</v>
      </c>
      <c r="M229">
        <v>1</v>
      </c>
    </row>
    <row r="230" spans="1:13" x14ac:dyDescent="0.25">
      <c r="A230" s="2">
        <v>46252</v>
      </c>
      <c r="B230" s="1" t="str">
        <f ca="1">IF(Información1[[#This Row],[Fecha]]='Ajuste de fechas'!$A$2,"Día actual","Día anterior")</f>
        <v>Día actual</v>
      </c>
      <c r="C230" s="3" t="s">
        <v>49</v>
      </c>
      <c r="D230" t="s">
        <v>51</v>
      </c>
      <c r="E230" s="3" t="s">
        <v>372</v>
      </c>
      <c r="F230" s="3" t="s">
        <v>203</v>
      </c>
      <c r="G230" s="3" t="s">
        <v>201</v>
      </c>
      <c r="H230" s="3" t="s">
        <v>11</v>
      </c>
      <c r="I230" s="3" t="s">
        <v>12</v>
      </c>
      <c r="J230" s="3" t="s">
        <v>39</v>
      </c>
      <c r="K230" s="3" t="s">
        <v>48</v>
      </c>
      <c r="L230" s="3" t="s">
        <v>42</v>
      </c>
      <c r="M23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46252</v>
      </c>
      <c r="B2" s="2">
        <f ca="1">A2-1</f>
        <v>46251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2026-08-18T23:24:21Z</dcterms:modified>
</cp:coreProperties>
</file>