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5E26CF36-134B-4321-A47D-216BF616C301}"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132" i="2"/>
  <c r="B135" i="2"/>
  <c r="B138" i="2"/>
  <c r="B141" i="2"/>
  <c r="B144" i="2"/>
  <c r="B147" i="2"/>
  <c r="B150" i="2"/>
  <c r="B153" i="2"/>
  <c r="B156" i="2"/>
  <c r="B159" i="2"/>
  <c r="B161" i="2"/>
  <c r="B164" i="2"/>
  <c r="B168" i="2"/>
  <c r="B171" i="2"/>
  <c r="B174"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128" i="2"/>
  <c r="B130" i="2"/>
  <c r="B133" i="2"/>
  <c r="B136" i="2"/>
  <c r="B139" i="2"/>
  <c r="B142" i="2"/>
  <c r="B146" i="2"/>
  <c r="B149" i="2"/>
  <c r="B152" i="2"/>
  <c r="B154" i="2"/>
  <c r="B157" i="2"/>
  <c r="B160" i="2"/>
  <c r="B163" i="2"/>
  <c r="B166" i="2"/>
  <c r="B169" i="2"/>
  <c r="B172" i="2"/>
  <c r="B175"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9" i="2"/>
  <c r="B131" i="2"/>
  <c r="B134" i="2"/>
  <c r="B137" i="2"/>
  <c r="B140" i="2"/>
  <c r="B143" i="2"/>
  <c r="B145" i="2"/>
  <c r="B148" i="2"/>
  <c r="B151" i="2"/>
  <c r="B155" i="2"/>
  <c r="B158" i="2"/>
  <c r="B162" i="2"/>
  <c r="B165" i="2"/>
  <c r="B167" i="2"/>
  <c r="B170" i="2"/>
  <c r="B173" i="2"/>
  <c r="B176"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<sst xmlns="http://schemas.openxmlformats.org/spreadsheetml/2006/main" count="1765" uniqueCount="349">
  <si>
    <t>Fecha</t>
  </si>
  <si>
    <t>Titular</t>
  </si>
  <si>
    <t>Dependencia</t>
  </si>
  <si>
    <t>Canal</t>
  </si>
  <si>
    <t>Tema</t>
  </si>
  <si>
    <t>Estatus</t>
  </si>
  <si>
    <t>Sipdus</t>
  </si>
  <si>
    <t>Informativa</t>
  </si>
  <si>
    <t>Acir 92.5 FM</t>
  </si>
  <si>
    <t>Radioescucha</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</si>
  <si>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</si>
  <si>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</si>
  <si>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</si>
  <si>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</si>
  <si>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</si>
  <si>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</si>
  <si>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</si>
  <si>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</si>
  <si>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</si>
  <si>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</si>
  <si>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</si>
  <si>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</si>
  <si>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</si>
  <si>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</si>
  <si>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</si>
  <si>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</si>
  <si>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</si>
  <si>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</si>
  <si>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</si>
  <si>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</si>
  <si>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</si>
  <si>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</si>
  <si>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</si>
  <si>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</si>
  <si>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</si>
  <si>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</si>
  <si>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</si>
  <si>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</si>
  <si>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</si>
  <si>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</si>
  <si>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Eulalio Larrieta agradece Paola García y Lic. Sarahi Pineda, por estar atentas a los mensajes de la ciudadanía y por atenderlos.</t>
  </si>
  <si>
    <t>Congreso</t>
  </si>
  <si>
    <t>Entrevista</t>
  </si>
  <si>
    <t>Eulalio Larrieta agradece a Carlos Gamiño por estar al pendiente de temas.</t>
  </si>
  <si>
    <t>Bienestar</t>
  </si>
  <si>
    <t>DIFH</t>
  </si>
  <si>
    <t>Testamento</t>
  </si>
  <si>
    <t>Eulalio Larrieta agradece a Edith Balderas de la Secretaria de Educación Pública.</t>
  </si>
  <si>
    <t>Segobh</t>
  </si>
  <si>
    <t>Eulalio Larrieta agradece a Jair Martínez de la SEGOBH, porque esta al pendiente de lo que se necesite y los reportes.</t>
  </si>
  <si>
    <t>Auxilio vial</t>
  </si>
  <si>
    <t>Abasto de agua</t>
  </si>
  <si>
    <t>Atención Afectaciones Por Lluvias</t>
  </si>
  <si>
    <t>SSH</t>
  </si>
  <si>
    <t>Cultura</t>
  </si>
  <si>
    <t>Informe De Gobierno</t>
  </si>
  <si>
    <t>Queja padres de familia</t>
  </si>
  <si>
    <t>Tráfico vial</t>
  </si>
  <si>
    <t>RADIO LOCAL</t>
  </si>
  <si>
    <t>Alcantarillado</t>
  </si>
  <si>
    <t>Rehabilitación Vial</t>
  </si>
  <si>
    <t>NQ 90.1 FM</t>
  </si>
  <si>
    <t>Enlace Hidalgo1</t>
  </si>
  <si>
    <t>Jesús Riveros</t>
  </si>
  <si>
    <t>Juan Carlos Santamaría</t>
  </si>
  <si>
    <t>Centros de Rehabilitación</t>
  </si>
  <si>
    <t>Ultra 102.9 FM</t>
  </si>
  <si>
    <t>Ultra Noticias1</t>
  </si>
  <si>
    <t>Radioescucha pide a las autoridades correspondiente que reparen el acceso a la escuela Leona Vicario de la colonia 2 de Agosto. Nos están cobrando para arreglar la calle y no se nos hace justo.</t>
  </si>
  <si>
    <t>Vialidad En Mal Estado</t>
  </si>
  <si>
    <t>Nos están comentando que, si todavía no hay el presupuesto o hay proyecto para la rehabilitación de la carretera Tulancingo Santiago Tulantepec, o que por lo menos intervenga los 100 metros que son prácticamente intransitables en este momento.</t>
  </si>
  <si>
    <t>Carretera En Mal Estado</t>
  </si>
  <si>
    <t>Daniel Martínez comenta que se ha manejado mucho a Rebeca Ladro como eventual candidata a algún puesto de elección popular, es decir, si se queda temporalmente no la descarta para ser candidata, por lo menos no por el momento.</t>
  </si>
  <si>
    <t>TSJEH</t>
  </si>
  <si>
    <t>Aspirantes</t>
  </si>
  <si>
    <t>Daniel Martínez</t>
  </si>
  <si>
    <t>Canal del Pueblo</t>
  </si>
  <si>
    <t>Vocales Radio</t>
  </si>
  <si>
    <t>Productores de Chapantongo y Progreso de Obregón recibieron insumos por 9.7 mdp</t>
  </si>
  <si>
    <t>Saderh</t>
  </si>
  <si>
    <t>Apoyo Al Agro</t>
  </si>
  <si>
    <t>TV LOCAL</t>
  </si>
  <si>
    <t>Aldo Falcón</t>
  </si>
  <si>
    <t>Gobierno de territorio llega a Atotonilco de Tula</t>
  </si>
  <si>
    <t>Mesas de acercamiento</t>
  </si>
  <si>
    <t>Andrés Torres</t>
  </si>
  <si>
    <t>CEDSPI fortalece capacitación sobre derechos de los pueblos indígenas</t>
  </si>
  <si>
    <t>Planeación</t>
  </si>
  <si>
    <t>Interculturalidad</t>
  </si>
  <si>
    <t>Andrés Torres: Nos escriben desde Dallas, Texas, 31 de agosto del 2026. Dice: "Doctora Vanessa Escalante Arroyo. Estimada Secretaria, me es grato saludarla y extenderle una cordial invitación para desayunar o comer o cenar en el lugar de su preferencia en el día y a la hora que lo permita su agenda de trabajo, con el fin de que podamos comentar y acordar la firma de una carta de intención entre la dependencia que usted representa y la organización de migrantes que me honra representar, la OCE, que está asentada allá en Dallas, Texas. Dice: de la que soy, yo soy orgullosamente originario del estado de Hidalgo, al igual que un gran número de compañeros avecindados en diferentes ciudades de los Estados Unidos. Por su amable confirmación, sigo de usted, a sus órdenes mi celular. Le deja sus datos, le envío el documento y le da datos generales. Dice: atentamente, Miguel Estrada Martínez. Es un documento que le envían la agrupación de migrantes hidalguenses allá en el estado de Texas y en otras ciudades a la Secretaría de Salud, con quien me dicen están trabajando muy de la mano para apoyar a las familias de los migrantes hidalguenses que están en Estados Unidos, pero sus familias están aquí en México. Aquí en México.</t>
  </si>
  <si>
    <t>Atención A Migrantes</t>
  </si>
  <si>
    <t>Más de mil 700 hidalguenses recuperan la posibilidad de escuchar y comunicarse mejor</t>
  </si>
  <si>
    <t>Auxiliares funcionales</t>
  </si>
  <si>
    <t>Gobierno de territorio llega a Atotonilco de Tula. ayer por primera vez, las Mesas de Acercamiento de Bienestar y Paz llegaron al municipio para escuchar, atender y acercar servicios directamente a la población.</t>
  </si>
  <si>
    <t>Andrés Torres en respuesta al radioescucha Rubén Reséndiz que pregunta sobre la situación de la construcción de un penal en el municipio de Tasquillo, que causó descontento entre la población; responde que el proyecto para construir el penal en Tasquillo ha sido completamente desechado debido a las protestas de los ciudadanos. Torres añade que la Secretaría de Planeación, la Secretaría de Obras Públicas y Seguridad Pública están trabajando en un nuevo proyecto para construir un complejo en la zona de Panales, Ixmiquilpan. Este complejo no solo incluirá un penal, sino también instalaciones judiciales. Menciona que hay tierras ejidales en la región que también están siendo consideradas en el análisis del nuevo proyecto. Torres aclara que no es responsable de la cancelación del proyecto en Tasquillo; su función como reportero es informar y dar visibilidad a la situación. Él indica que su trabajo fue "prender la luz" sobre el asunto, pero no tiene la autoridad para influir sobre decisiones de construcción o políticas.</t>
  </si>
  <si>
    <t>Construcción de Cereso</t>
  </si>
  <si>
    <t>En respuesta a un radioescucha, que comenta que el gobierno de Hidalgo continuó con un programa de entrega de útiles y uniformes que inició el gobierno anterior; Andrés Torres, recordó que el programa de libros de texto gratuitos existe desde los años 60 y enfatizó que el mérito del actual gobierno es que ahora hay más beneficios, como el aumento en la cantidad de libros y útiles escolares, así como la entrega de iPads a los estudiantes. Andrés Torres enfatiza que el objetivo no es atribuirse el mérito, sino garantizar que los materiales escolares estén disponibles desde el primer día de clases, como sucede ahora. Mencionó que hace décadas había menos estudiantes que necesitaban este tipo de apoyo y hoy hay una gran necesidad por la cantidad de alumnos. Resaltó que el importante aspecto es que estos beneficios provienen del dinero de los impuestos de la gente. Por su parte, Aldo Falcón también mencionó el avance en infraestructura y tecnología en escuelas, así como el reconocimiento de instituciones educativas en áreas como la robótica y la inteligencia artificial. Andrés Torres señaló que esas mejoras no son un invento de Morena, sino que son parte del desarrollo y que la transformación implica seguir avanzando. Andrés Torres indicó que no se deben buscar razones políticas en estos beneficios; lo esencial es que los niños y jóvenes aprovechen los recursos que tienen en su educación y se preparen para el futuro. Además, alentó a los estudiantes de todos los niveles, desde preescolar hasta universidad, a utilizar al máximo los recursos que se les ofrecen.</t>
  </si>
  <si>
    <t>Gobierno</t>
  </si>
  <si>
    <t>Libros de texto</t>
  </si>
  <si>
    <t>El próximo viernes se presentará el cuarto informe de actividades del gobernador Julio Menchaca en las instalaciones de la Feria. Se espera que el informe sea por la mañana debido a las condiciones climáticas, ya que habrá lluvias durante la semana. Se recomienda a la audiencia sintonizar la transmisión en cadena o en red a través de la televisión estatal y el Sistema Estatal de Radio. Este informe es importante ya que no solo se compartirán buenas noticias, sino también adelantos sobre los proyectos para el quinto año de trabajo del gobernador. Entre los temas que se abordarán están los proyectos de infraestructura, educación y salud. Se sugiere no perderse el informe y estar atento a la transmisión después de las vocales Radio.</t>
  </si>
  <si>
    <t>A partir de los próximos días, la presidenta Claudia Sheinbaum comenzará un recorrido por todo el país para hablar sobre el trabajo de la administración federal en cada estado. Vendrá a Hidalgo el 13 de septiembre, según la agenda del segundo informe de gobierno.</t>
  </si>
  <si>
    <t>Visita Sheinbaum</t>
  </si>
  <si>
    <t>Sheinbaum, clave en la transformación de Hidalgo: Menchaca</t>
  </si>
  <si>
    <t>Informe Sheinbaum</t>
  </si>
  <si>
    <t>El proyecto hídrico en el Valle de Tula está en avance y cuenta con presupuesto de inversión federal y estatal. Se recomienda leer la columna "Las Vocales Extraviadas" para más detalles. Este plan se enfoca en tres áreas principales: Primero, el tratamiento y la recepción de aguas negras de la Ciudad de México. Segundo, el reacondicionamiento y la rehabilitación del sistema hidráulico, que incluye canales, compuertas y otros elementos que están en malas condiciones. Tercero, la utilización de agua reciclada, específicamente agua gris, que será tratada para su uso en la agricultura. La Unidad de Planeación y Prospectiva del Gobierno del Estado de Hidalgo, dirigida por Miguel Tello, y el gobernador Julio Menchaca están implementando este proyecto. Este esfuerzo busca transformar completamente la región de Tula y también tiene como objetivo mejorar el medio ambiente en una de las zonas más contaminadas del mundo.</t>
  </si>
  <si>
    <t>Plan Hídrico</t>
  </si>
  <si>
    <t>Andrés Torres comenta que se están planeando varios proyectos de desarrollo para la zona de Zapotlán, incluyendo la ampliación de la carretera México-Pachuca en el tramo hacia el AIFA. Este tema fue abordado en el segundo informe de la presidenta Claudia Sheinbaum, donde estuvo presente el gobernador Julio Menchaca. Se busca que los diputados federales de Hidalgo apoyen la inversión federal para este proyecto importante. La ampliación y rehabilitación de la carretera México-Pachuca es una prioridad, y se espera que estos planes se concreten para el año 2027. Ojalá que este proyecto sea una realidad.</t>
  </si>
  <si>
    <t>Ampliación carretera</t>
  </si>
  <si>
    <t>Estuvo ayer de visita el secretario de Educación Pública, Natividad Castrejón. estuvo con el alcalde, Sinuhé Ramírez con temas educativos.</t>
  </si>
  <si>
    <t>Reunión con alcalde</t>
  </si>
  <si>
    <t>Las principales afectaciones se registraron en los bulevares Minero, Felipe Ángeles, Colosio y Santa Catarina, donde la intensa lluvia provocó inundaciones y complicó la circulación vehicular. Debido a la acumulación de agua, algunos establecimientos resultaron afectados por el ingreso del líquido. Ante esta situación, las secretarías de Seguridad Pública estatal y municipal implementaron operativos para el cierre de vialidades y brindaron auxilio a automovilistas y peatones afectados. Algunos peatones que no pudieron llegar a sus destinos recibieron apoyo para su traslado en unidades del Cuerpo de Bomberos, cuyo personal también retiró coladeras para facilitar el desalojo del agua. La Subsecretaría de Protección Civil informó que las lluvias continuarán durante al menos las próximas 24 horas, por lo que exhortó a la población a mantenerse informada a través de los canales oficiales y atender las recomendaciones de las autoridades.</t>
  </si>
  <si>
    <t>DIF Hidalgo adquiere tecnología robótica para rehabilitación</t>
  </si>
  <si>
    <t>El diario Reforma difundió una supuesta conversación de WhatsApp entre los senadores Adán Augusto López Hernández y Cuauhtémoc Ochoa, en la que se revelarían presuntos acuerdos para la asignación de cargos al interior del Senado con fines electorales. En la captura, cuya autenticidad no ha sido confirmada, Ochoa habría solicitado la comisión de Bienestar para fortalecer su presencia en Hidalgo rumbo al proceso electoral, mientras que Adán Augusto presuntamente respondía que Simey Olvera “ya lo perdió”. Hasta ahora, ninguno de los involucrados ha emitido un pronunciamiento oficial, y simpatizantes en redes sociales aseguran que la conversación podría ser falsa.</t>
  </si>
  <si>
    <t>Reparto de Comisiones</t>
  </si>
  <si>
    <t>Sucesión gubernamental</t>
  </si>
  <si>
    <t>Rebeca Aladro seguirá al frente del TSJEH durante transición por reforma judicial La transición hacia el nuevo modelo del Poder Judicial mantendrá de manera temporal a Rebeca Aladro Echeverría en la Presidencia del Tribunal Superior de Justicia del Estado de Hidalgo (TSJEH). El Pleno del Tribunal acordó esta medida con el objetivo de evitar un vacío en la conducción de la institución mientras se concretan los cambios derivados de la reforma constitucional al Poder Judicial. La determinación tiene carácter excepcional y no representa la renovación del cargo por un periodo ordinario de cuatro años. El propio TSJEH aclaró que no se trata de una nueva elección para la Presidencia. La permanencia de Aladro Echeverría estará sujeta a las disposiciones que establezca el nuevo régimen constitucional y a las normas que se emitan para su implementación y armonización en Hidalgo. De acuerdo con el Tribunal, mantener temporalmente la conducción actual permitirá dar continuidad a las funciones jurisdiccionales y administrativas, además de brindar estabilidad institucional durante el proceso de transformación. Por ahora, el TSJEH no estableció una fecha específica para concluir esta medida, por lo que la permanencia de la magistrada dependerá del avance en la implementación del nuevo marco jurídico.</t>
  </si>
  <si>
    <t>Presidencia TSJEH</t>
  </si>
  <si>
    <t>Dice director de Caamt que esperará convocatoria para buscar candidatura a alcalde El titular de la Comisión de Agua y Alcantarillado del Municipio de Tulancingo (Caamt), Enzo Balderas Castro, Enzo Balderas Castro, no ofreció postura sobre su separación del cargo para contender por un cargo de elección popular. El funcionario fue cuestionado directamente sobre dicha posibilidad, durante la conferencia de prensa semanal que realiza el gobierno municipal para dar a conocer las acciones de las dependencias, así como en este caso, del organismo. “El partido no ha marcado ni normas ni reglas para dar seguimiento a esa parte; yo he sido muy respetuoso, no he hecho ningún pronunciamiento, y respeto mucho la dirección (…) seguiremos esperando el pronunciamiento del partido”, respondió. El pasado domingo 30 de agosto se llevó a cabo en Tulancingo una de las Asambleas en Defensa de la Transformación y la Soberanía Nacional, semejante a las realizadas en prácticamente todo el país. Durante el evento, con asistencia de funcionarios y colaboradores del gobierno de Tulancingo, se escucharon consignas a favor de Balderas Castro para ser candidato a presidente municipal. Al respecto, el funcionario insistió que será respetuoso de los tiempos y la convocatoria de Movimiento de Regeneración Nacional (Morena), quien convocó a la asamblea realizada el pasado fin de semana. Sobre la asistencia de los funcionarios y colaboradores del gobierno local al evento, así como de las consignas a su favor, señaló que “si alguien hace alguna referencia no estoy obligado a sus actos, cada uno se hace responsable de sus actos”. Enfatizó que será necesario esperar a los tiempos establecidos por Morena, así como las condiciones para participar en una eventual candidatura; “de ahí partiremos, porque existen normas”. En otro momento, fue cuestionado sobre si regresaría cien mil pesos que habría recibido como liquidación tras renunciar el año pasado a la Secretaría municipal de Fomento Económico para asumir la dirección general de la Caamt “Vamos a platicar con quien tengamos qué platicar y si es posible, lo vamos a atender; y si es necesario que la contraloría lo pida, lo voy a hacer”. Fue Pedro Hiram Soto Márquez, Síndico Hacendario municipal, quien hizo mención durante la entrega de su informe de labores, el pasado lunes 31 de agosto, sobre el pago de dicha liquidación. “Si así me lo pide contraloría, lo haré, pero ya pasaron los tiempos, ya se realizó y no, no hay nada; pero sí así lo dicen, con quien tenga qué ir lo hare…con muchísimo gusto”, señaló al respecto el actual titular de la Caamt.</t>
  </si>
  <si>
    <t>El pasado lunes, eh, un grupo de manifestantes que forman parte de la Colectiva Feminista "Las Insurgentas" en Pachuca se manifestó. Esto señalando de que existen en el estado de Hidalgo alrededor de 250 casos de violencia vicaria, recordando que la violencia vicaria la sufren las mujeres específicamente, que tiene que ver con el tema de no permitir precisamente a las mujeres que puedan ver y convivir con sus niñas, con sus niños, con sus hijas, con sus hijos. Señalando también esta manifestación que hicieron frente a las instalaciones del Poder Judicial del Estado de Hidalgo que no se está aplicando la normativa legal correspondiente y que incluso, en algunos casos, se ha otorgado la custodia a padres, en este caso a hombres, quiero decir con ello padres, que tienen incluso antecedentes de generar esta violencia. Las integrantes de la colectiva afirmaron tener alrededor de 10 casos que consideran especialmente graves y señalaron que algunos se encuentran pendientes de revisión. Reitero que esto lo señalaron tras manifestarse afuera de los juzgados familiares para exigir ser escuchadas por las autoridades, además de denunciar que han sido víctimas de violencia vicaria y presunto maltrato institucional, ahora sí que revictimizando a la víctima. Destacaron que cuentan con casos documentados desde el año 2022, es decir, desde hace casi 4 años cuando comenzaron a detectar el fenómeno de la violencia vicaria en Hidalgo. Comenzaron a detectarlo, no significa de que en ese momento haya iniciado, ¿eh?, sino que se hizo más más visible. Por lo que promovieron, junto con legisladores locales, modificaciones a la Ley de Acceso de las Mujeres a una Vida Libre de Violencia para el Estado de Hidalgo a través de interpósita persona, es decir, a través de tercera persona. En este sentido, Katya Isela Vázquez Peralta dijo que la manifestación se realizó a raíz de que presuntamente la jueza Beatriz Nieto habría otorgado la custodia de los hijos de Stephanie "N" a su expareja, quien supuestamente cuenta con antecedentes penales, que es a lo que me refería de que están este otorgando custodias, asegurando la colectiva feminista de que estas custodias son incluso otorgadas a quienes tienen antecedentes de ejercer violencia. Antecedentes penales, perdón, quienes tienen en este caso, señaló que la resolución se habría emitido en un plazo de 15 días pese a que el proceso llevaba 8 años. Incluso indicó que han interpuesto quejas contra la juzgadora ante el Consejo de la Judicatura del Poder Judicial del Estado. Existen muchas quejas contra la jueza, es decir, que no sería el primer caso. Otra de las víctimas señaló que en el caso de la de la violencia vicaria, reitero el tema de que no se les permita ver a sus hijas, a sus hijos, no se les permita mucho menos la convivencia, señaló que fue la primera en denunciar, sin embargo, aseguró que su agresor, en cambio, en contraparte, ha sido beneficiado. Por otro lado, hablando precisamente de la región Tulancingo, señalaron que aquí justamente documentaron otro caso en que algunas mujeres sufrieron la sustracción de sus hijos mientras se encontraban en curso un proceso de guarda y custodia. Los municipios, de hecho, señala la Colectiva Feminista "Las Insurgentas", los municipios donde se han detectado mayor cantidad de casos de violencia vicaria son la capital del estado, Pachuca, así como Ixmiquilpan, Tizayuca, Actopan y Tulancingo. Legalmente, reitero, la violencia vicaria se manifiesta mediante acciones como el daño, ocultamiento, retención o sustracción de los hijos, así como iniciar a los menores incitar, perdón, a los menores a agredir o rechazar a la madre e incluso interponer demandas presuntamente falsas para intentar quitarle la custodia de sus Hijas e hijos.</t>
  </si>
  <si>
    <t>Violencia Vicaria</t>
  </si>
  <si>
    <t>Destaca Sheinbaum en informe, apoyo por lluvias, planta coquizadora, proyectos ecológicos y ferroviarios, en Hidalgo La presidenta de México, Claudia Sheinbaum Pardo, señaló durante su segundo informe algunos de los proyectos que se desarrollan en el estado de Hidalgo, relacionados principalmente con el medio ambiente y la conectividad estratégica mediante obras de infraestructura. Desde Palacio Nacional, donde se contó con la presencia del gobernador Julio Menchaca Salazar, la mandataria federal informó que continúa la construcción de la coquizadora de Tula de Allende y se prevé que concluya este año.; a esta se suma la de Salina Cruz, misma que estará terminada durante el primer semestre de 2027. Estos, dijo, son proyectos estratégicos para incrementar la producción nacional de gasolinas y diésel con bajo contenido de azufre. En este contexto, destacó que actualmente el Sistema Nacional de Refinación procesa más de 1.5 millones de barriles diarios, como parte de la estrategia del Gobierno de México para fortalecer la capacidad nacional de transformación de hidrocarburos. Sheinbaum Pardo también apuntó el avance de la primera etapa para el saneamiento y restauración de los ríos Atoyac, Lerma-Santiago y Tula, en donde se construyen y rehabilitan 23 plantas de tratamiento y 282 kilómetros de colectores, así como trabajos de desazolve y limpieza de cauces. También citó los proyectos ferroviarios, incluyendo el avance de la construcción del Tren AIFA-Pachuca, y obras de infraestructura vial, entre ellas la conexión de la Huasteca desde Hidalgo hasta Tamaulipas, pasando por San Luis Potosí, con la carretera Huejutla-Tamazunchale. Sheinbaum Pardo recordó los acontecimientos ocurridos durante octubre de 2025, cuando las lluvias torrenciales afectaron a cinco estados, entre ellos Hidalgo, dejando a 100 mil familias afectadas, ante lo cual se realizó el puente aéreo “más importante que se haya realizado nunca en México”. Señaló que se avanza en la reconstrucción de puentes y caminos, y aprovechó para agradecer a los elementos de las Fuerzas Armadas, servidores de la nación, a la SICT y a quienes participaron en las jornadas. “En ese momento se mostró la fraternidad sin condiciones, que es un sello que nos caracteriza y del que nos sentimos sumamente orgullosos”.</t>
  </si>
  <si>
    <t>Jessenia Romero</t>
  </si>
  <si>
    <t>Izza Hernández</t>
  </si>
  <si>
    <t>El Corredor Artesanal que actualmente se construye dentro de la zona de museos en Tulancingo, será para que productores y creadores en pequeño puedan exhibir y comercializar sus creaciones, señaló la alcaldesa Lorena García Cázares. En entrevista, aclaró que dicho espacio no se contrapone con la tienda Hidarte, en espera de iniciar operaciones, teniendo espacio en la planta baja del Centro Cultural Ricardo Garibay. García Cázares aclaró que las instalaciones que actualmente se construyen frente a la Cineteca Tulancingo, serán para que se instalen personas que sobre todo realizan manualidades. Recordó que Hidarte, administrado por el gobierno del estado de Hidalgo a través de la Secretaría de Bienestar e Inclusión Social y su Dirección General de Fomento Artesanal, tiene una serie de requisitos para aceptar la producción de los artesanos. Entre ellos, que cuenten con registro fiscal, legal y de marca, código QR en sus creaciones, entre otros aspectos para el desarrollo de actividades comerciales formales. García Cázares aclaró que entonces el Corredor Artesanal sería el primer paso para que los creadores y artesanos puedan comenzar a comercializar sus artesanías, pero con miras a que paulatinamente se vayan profesionalizando y formalizando su actividad comercial. Con ello podrían entonces integrar sus creaciones a Hidarte para que sean comercializadas, con objetivo incluso de que los artesanos ya profesionalizados e integrados formalmente a la actividad productiva, puedan exportar. “Creo que para mí es la ruta indicada para cualquier producto”, enfatizó la alcaldesa de Tulancingo. La inversión para la construcción y adecuación de espacios dentro del Corredor Artesanal es de aproximadamente dos millones de pesos, dato confirmado hace un par de semanas en conferencia de prensa por la titular de la Secretaría municipal de Fomento Económico, Minerva Rosales Gayosso. Aún está pendiente la fecha de apertura de ambos espacios. En específico sobre la tienda Hidarte en Tuancingo, la alcaldesa García Cázares confió que en breve inicien sus servicios, pues ya se ha finalizado la revisión del marco legal para su funcionamiento. Señaló que le interesa que los artesanos reciban el pago inmediato por sus creaciones, tema que ya se ha platicado con funcionarios del Gobierno de Hidalgo, a cuyo cargo estará la tienda Hidarte en Tulancingo.</t>
  </si>
  <si>
    <t>Corredor artesanal</t>
  </si>
  <si>
    <t>Vía telefónica el reporte de Bombero y Protección Civil con Abner Yáñez informa de las diversas emergencias reportadas por la ciudadanía y que fueron atendidas.</t>
  </si>
  <si>
    <t>Auxilio a la ciudadanía</t>
  </si>
  <si>
    <t>Abner Yáñez</t>
  </si>
  <si>
    <t>Participación</t>
  </si>
  <si>
    <t>Lluvias generaron escurrimientos y activaron operativo preventivo en Mineral de la Reforma Durante este martes 1 de septiembre, el Comité de Emergencia de Mineral de la Reforma mantuvo un monitoreo constante en colonias, fraccionamientos y comunidades ante la presencia de lluvias. En el fraccionamiento La Providencia, sobre la avenida de Las Santas, se registró lluvia ligera con flujo constante de agua pluvial. Mientras tanto, en Don Pablo la precipitación fue moderada y generó escurrimientos, aunque sin acumulación de residuos sólidos o basura. En Los Tuzos, el cárcamo de la avenida Mineros presentó lluvia ligera, por lo que no fue necesario poner en funcionamiento las bombas. Las colonias Taxistas y Carboneras tampoco reportaron encharcamientos de consideración. Como medida preventiva, la Secretaría de Seguridad Ciudadana implementó el Operativo Carrusel sobre el bulevar Luis Donaldo Colosio, con el objetivo de reducir el riesgo de accidentes debido al pavimento mojado. Las autoridades municipales mantuvieron vigilancia durante las precipitaciones y exhortaron a la población a conducir con precaución.</t>
  </si>
  <si>
    <t>Lluvias complicaron la carretera Tulancingo-Pachuca; reportaron accidente y afectaciones viales Las intensas lluvias registradas la tarde de este martes 1 de septiembre complicaron la circulación en distintos puntos de Hidalgo y derivaron en un accidente sobre la carretera Tulancingo-Pachuca. Las condiciones de lluvia y el pavimento mojado dificultaron el tránsito en esta vía, mientras autoridades realizaron recorridos de vigilancia y apoyo para atender los incidentes relacionados con las precipitaciones. La Secretaría de Seguridad Pública de Hidalgo (SSPH), mediante elementos de la Policía Estatal y del Cuerpo de Bomberos, desplegó personal en diferentes puntos de la zona metropolitana para atender reportes de acumulaciones de agua e inundaciones. En Pachuca, Mineral de la Reforma y Zempoala se registraron afectaciones en vialidades y distintos sectores, principalmente en zonas susceptibles a inundaciones. Las precipitaciones también provocaron modificaciones en el transporte público metropolitano, debido a la implementación de un desvío operativo de emergencia en la Ruta Troncal y la suspensión temporal del servicio en un tramo. Uno de los puntos con mayores afectaciones fue el fraccionamiento El Palmar, donde el nivel del agua complicó el paso de peatones y vehículos. En la Central de Abastos de Pachuca, comerciantes realizaron labores para retirar basura y despejar coladeras.</t>
  </si>
  <si>
    <t>Baja matrícula lleva a siete escuelas de Hidalgo al esquema de Conafe La disminución de estudiantes en algunas comunidades de Hidalgo llevó a siete escuelas a dejar el esquema de atención de la Secretaría de Educación Pública estatal para incorporarse al modelo del Consejo Nacional de Fomento Educativo (Conafe) durante el ciclo escolar 2026-2027. El secretario de Educación Pública de Hidalgo, Natividad Castrejón Valdez, explicó que la medida se aplicó en siete de alrededor de 700 planteles que tienen entre ocho y 12 alumnos, principalmente ubicados en municipios de la Sierra Gorda. Entre los factores que han provocado la reducción de la matrícula se encuentran la migración y el descenso de población en distintas localidades, por lo que antes de modificar el esquema educativo se analiza si existen planteles cercanos que puedan recibir a los estudiantes. En los casos donde esto no resulta viable, se contempla la incorporación al modelo de Conafe, dirigido principalmente a comunidades con baja población y altos niveles de marginación. Castrejón Valdez señaló que el objetivo es mantener el acceso a la educación para niñas, niños y adolescentes, independientemente del número de estudiantes que habite en cada comunidad. De esta manera, la incorporación de estos siete planteles al esquema comunitario responde a las condiciones demográficas de las localidades y busca mantener la atención educativa sin dejar a estudiantes sin servicio.</t>
  </si>
  <si>
    <t>Transferencia Conafe</t>
  </si>
  <si>
    <t>Revisarán escuela afectada por lluvias en Huehuetla: aulas ya se habían rehabilitado Tras presentar daños por inundación un módulo de aulas en la escuela primaria “Benito Juárez”, ubicada en la cabecera municipal de Huehuetla, el Gobernador Julio Menchaca Salazar señaló en entrevista que serán revisadas dichas instalaciones. Dichas instalaciones educativas resultaron sumamente afectadas en octubre del año pasado por la vaguada monzónica que se registró en este y otros 27 municipios del Estado de Hidalgo. El módulo con cuatro aulas y que apenas había sido rehabilitado, quedó completamente inundado tras la lluvia registrada la tarde del sábado 29 de agosto. “Ya habían limpiado y se volvió a llenar con agua (…) van a supervisar si simplemente con la limpieza queda”, señaló el Gobernador del Estado de Hidalgo. “Cada que llueva entonces se va a inundar, pues su ubicación no es la adecuada; incluso si hay clases, los niños se pueden quedar atrapados dentro de las aulas al subir el nivel del agua”, expresó uno de los integrantes de dicha comunidad educativa. Por lo que insisten que el módulo sea demolido y se haga su reconstrucción de tal manera que no represente un riesgo. Al respecto, el titular de la Secretaría de Educación Pública en Hidalgo, Natividad Castrejón, explicó que se plantea construir una barda con mayor altura para evitar los encharcamientos. “Lo que tenemos que hacer es buscar o poner alguna barda más alta para impedir que el agua se meta o buscar la forma de tener un desagüe más rápido porque son zonas que muy fuerte y tienden a el encharcamiento. El día viernes habían lavado y limpiado y el sábado le digo a la lluvia, pero bueno, quienes viven en esos lugares saben que eso es cotidiano”. Además, recordó que por las pasadas lluvias de octubre, informó que al menos mil 700 estudiantes quedaron sin escuela para poder tomar sus clases. Tan solo en Huehuetla fueron aproximadamente 800; sin embargo, hubo casos en los que únicamente se requirió de limpieza profunda y revisión de su infraestructura, mientras que otros casos, siguen tomando clases en casas provisionales.</t>
  </si>
  <si>
    <t>Afectaciones Por Lluvias</t>
  </si>
  <si>
    <t>La Poderosa Tuxpan 93.1 FM</t>
  </si>
  <si>
    <t>Nn Nuestras Noticias Zona Norte</t>
  </si>
  <si>
    <t>En otras noticias, en un esfuerzo coordinado por fortalecer la soberanía alimentaria y reactivar la economía rural, los municipios de Chapantongo y Progreso de Obregón se convirtieron en las sedes principales para la entrega regional de apoyos del agro hidalguense.</t>
  </si>
  <si>
    <t>Liz Argüelles</t>
  </si>
  <si>
    <t>Reconoce Menchaca liderazgo de Claudia Sheinbaum en la transformación de Hidalgo</t>
  </si>
  <si>
    <t>Radio Lobo 96.7 FM</t>
  </si>
  <si>
    <t>Enlace Noticias</t>
  </si>
  <si>
    <t>Más de 1,700 hidalguenses recuperan la posibilidad de escuchar y comunicarse mejor. Con una inversión superior a los 18 millones de pesos concluyó la estrategia estatal que acercó a 3,564 auxiliares auditivos a personas de 57 municipios. Volver a escuchar una conversación familiar, participar activamente en la comunidad y desarrollar las actividades cotidianas con mayor independencia es hoy una realidad para 1,782 personas hidalguenses que recibieron auxiliares auditivos como parte de la estrategia impulsada en todo el estado.</t>
  </si>
  <si>
    <t>Gina Lorenzo</t>
  </si>
  <si>
    <t>Súper Stéreo 100.5 FM</t>
  </si>
  <si>
    <t>Enfoque Regional Matutino</t>
  </si>
  <si>
    <t>Por otra parte, padres de familia de la primaria Gregorio Torres Quintero, en La Lagunilla, en el municipio de Tulancingo, impidieron el inicio del ciclo escolar 2026-2027 al tomar las instalaciones del plantel. Piden dos profesores y un intendente.Ayer se cerró la escuela por el intendente.</t>
  </si>
  <si>
    <t>Falta de docente</t>
  </si>
  <si>
    <t>Rodolfo López</t>
  </si>
  <si>
    <t>Ya para cerrar, gracias por su comunicación a través de los teléfonos de Superestéreo. Lourdes Holguín se comunica con nosotros a la Redacción de Enfoque Regional. Desde aquí de Tula nos comenta: ¿podrían darme los datos de las becas a la universidad o bachillerato?</t>
  </si>
  <si>
    <t>Bachillerato Nacional</t>
  </si>
  <si>
    <t>Auxiliares funcionales - SSH/Bol.157/2026 : Un total de 1,782 personas de 52 municipios de Hidalgo mejoraron su capacidad auditiva tras recibir 3,564 auxiliares auditivos como parte de la primera jornada de entrega 2026.</t>
  </si>
  <si>
    <t>La Procuraduría Estatal de la Defensa del Trabajo brindó 1,832 asesorías laborales gratuitas en Hidalgo de enero a julio de este año.</t>
  </si>
  <si>
    <t>PGJEH</t>
  </si>
  <si>
    <t>Defensa del trabajador</t>
  </si>
  <si>
    <t>Esta información le puede interesar. Las y los jóvenes de Hidalgo pueden solicitar atención y acompañamiento psicológico y de nutrición de manera gratuita a través del Instituto Hidalguense de la Juventud, en sesiones presenciales o a distancia para personas en municipios apartados.</t>
  </si>
  <si>
    <t>Atención a jóvenes</t>
  </si>
  <si>
    <t>Chapantongo, así como Progreso de Obregón, fueron sede de la entrega regional de apoyos al campo en beneficio de 984 productores y productoras, con una inversión superior a 9.7 millones de pesos</t>
  </si>
  <si>
    <t>Por primera vez, Atotonilco de Tula fue sede de las mesas de acercamiento del bienestar y paz, encabezadas por el secretario de gobierno, Guillermo Olivares Reyna.</t>
  </si>
  <si>
    <t>En otros temas, la Secretaría de Cultura de Hidalgo descartó hasta el momento que exista lucro o plagio relacionado con los bordados tradicionales de Jaltocán. Luego de una denuncia difundida por creadores de contenido en redes sociales, Neyda Naranjo, titular de la dependencia, explicó que el caso llegó al Consejo Técnico Artesanal, donde se revisó la situación y se conoció la versión de la persona señalada, quien aparentemente es un maestro de baile</t>
  </si>
  <si>
    <t>Plagio de diseños indígenas</t>
  </si>
  <si>
    <t>Hidalgo pierde su registro como partido político local por falta de afiliados. Espacio Hidalgo tenía más de seis mil registrados en el sistema de verificación al corte del 31 de marzo de 2026, pero mil veinte registros presentaron inconsistencias. Ya se empieza a mover el proceso electoral para el próximo año.</t>
  </si>
  <si>
    <t>Registro partidos</t>
  </si>
  <si>
    <t>Una nota que dio la vuelta inmediatamente por todo el Estado fue que se mantiene en el Tribunal Superior de Justicia de Hidalgo a Rebeca Aladro en la presidencia pese a que la ley prevé relevo. El Pleno acordó una medida temporal y excepcional para prolongar su permanencia durante la transición de la Reforma Judicial. La ley orgánica vigente establece un periodo de cuatro años sin reelección inmediata y la Constitución Reformada dispone un nuevo sistema de presidencias rotatorias cada dos años.</t>
  </si>
  <si>
    <t>La Secretaría de Educación Pública de Hidalgo convoca a jóvenes de 15 a 19 años de edad que deseen iniciar o retomar sus estudios de bachillerato a inscribirse al Bachillerato Nacional Margarita Maza</t>
  </si>
  <si>
    <t>Elementos de la Secretaría de Seguridad Pública de Hidalgo, Guardia Nacional y el mando coordinado de Tlaxcoapan aseguraron siete vehículos y más de siete mil litros de hidrocarburo en la localidad de La Vega.</t>
  </si>
  <si>
    <t>Combate Al Huachicol</t>
  </si>
  <si>
    <t>Una persona murió y dos hombres resultaron lesionados, presuntamente tras ser atacados por una jauría de perros en las inmediaciones del fraccionamiento Héroes de Tizayuca. Los hechos ocurrieron la madrugada de este martes a la altura de la zona de la concretera. Elementos de seguridad ciudadana y protección civil atendieron a los lesionados y confirmaron el fallecimiento de un tercer hombre. Las autoridades mantienen presencia en el sector e investigan lo ocurrido.</t>
  </si>
  <si>
    <t>Ataque animal</t>
  </si>
  <si>
    <t>La Agencia de Investigación Criminal de la Procuraduría General de Justicia de Hidalgo detuvo a dos personas presuntamente relacionadas con la comercialización de narcóticos en la colonia Parque de los Encinos, en Mineral de la Reforma.</t>
  </si>
  <si>
    <t>Combate Al Narcomenudeo</t>
  </si>
  <si>
    <t>El secretario general del Sindicato Único de Trabajadores de las Universidades Tecnológicas del Estado de Hidalgo en la Universidad Tecnológica de la Huasteca Hidalguense, Efraín Juárez Castillo, explicó los motivos de la manifestación iniciada este 1 de septiembre por trabajadores académicos y administrativos. La protesta está relacionada con el cumplimiento de las condiciones generales de trabajo acordadas entre la universidad y la organización sindical.Estamos manifestándonos debido a que ya llevamos 3 años, más de 3 años. El 8 de marzo de este año cumplimos 3 años desde el momento en que solicitamos la firma de nuestras condiciones generales. Ahí se establecen los derechos, cuestiones que tienen que ver con la asignación de horas, con contratación, etc. Lo que da este documento es estabilidad laboral a los trabajadores. Y lo que estamos pidiendo es que se firmen, porque ya se acordaron entre la universidad y el sindicato. Ya están acordadas, ya las palomeó la universidad, ya las palomeó el sindicato y se han parado.</t>
  </si>
  <si>
    <t>Protesta sindical</t>
  </si>
  <si>
    <t>Habitantes de la comunidad de El Bocaja, en el municipio de San Salvador, retuvieron y golpearon durante la madrugada del martes a un joven señalado presuntamente por intentar robar una camioneta. El hombre dijo llamarse Agustín y ser vecino de El Fresno, sin embargo, esta información no ha sido confirmada oficialmente. Los pobladores dieron aviso a las autoridades quienes determinarán su situación jurídica. Eduardo, ¿cómo te llamas? Soy Agustín Camargo.¿Camargo? Sí, soy Agustín Camargo. ¿Cómo te han derrotado, señor?Se puede ver en las imágenes de estos videos difundidos a través de redes sociales cómo está severamente golpeada esta persona. Estaremos al pendiente también de qué es lo que informa la autoridad sobre su situación de salud.</t>
  </si>
  <si>
    <t>Justicia Por Propia Mano</t>
  </si>
  <si>
    <t>El gobernador Julio Menchaca Salazar informó que derivado de las recientes lluvias durante el fin de semana en la región Otomí-Tepehua, una escuela en el municipio de Huehuetla, uno de los 28 afectados por la vaguada monzónica el pasado mes de octubre, volvió a ser afectada. Y van a continuar las lluvias a lo largo de esta semana.</t>
  </si>
  <si>
    <t>Investigadores de la Universidad Nacional Autónoma de México, la UNAM, detectaron 11 compuestos tóxicos en el aire de la región Tula-Tepeji, de los cuales siete están clasificados como carcinógenos. La información nos la presenta Jocelyn Sánchez.Investigadores de la Universidad Nacional Autónoma de México, la UNAM, detectaron 11 compuestos tóxicos en el aire de la región Tula-Tepeji, de los cuales siete están clasificados como carcinógenos. El investigador Omar Amador Muñoz, del Instituto de Ciencias de la Atmósfera y Cambio Climático de la UNAM, explicó que el estudio contempló 10 puntos de monitoreo en municipios como Tula de Allende, Atitalaquia, Atotonilco de Tula y Apaxco. Las mediciones se realizaron durante cuatro meses entre enero y mayo de 2025, tanto de día como de noche.En total se analizaron 66 compuestos orgánicos volátiles y 27 aparecieron de manera frecuente</t>
  </si>
  <si>
    <t>Contaminación Tula</t>
  </si>
  <si>
    <t>Muy negativo</t>
  </si>
  <si>
    <t>El gobernador de Hidalgo, Julio Menchaca Salazar, respaldó a la presidenta Claudia Sheinbaum Pardo durante la presentación de su segundo informe de gobierno al destacar los proyectos y programas sociales que impulsan el desarrollo del país y de la entidad.</t>
  </si>
  <si>
    <t>Radioescucha pregunta: ¿Cuándo estará el semáforo del tutelar de menores? Ya tienen mucho tiempo sin funcionar</t>
  </si>
  <si>
    <t>Semaforización</t>
  </si>
  <si>
    <t>Radioescucha comenta: Solo para comentarte que no es posible que una empresa de transporte se haya adueñado de nuestras calles y carreteras. Mmm... es el caso del Tuzobús. ¿No que primero es el pueblo? Muchas gracias</t>
  </si>
  <si>
    <t>Carril confinado</t>
  </si>
  <si>
    <t>Radioescucha comenta: Estaría bien que la Secretaría de Movilidad dijera qué qué hará con lo que está recaudando por las infracciones que están haciendo por la invasión del carril del Tuzobús</t>
  </si>
  <si>
    <t>Multas carril confinado</t>
  </si>
  <si>
    <t>Radioescucha reporta Escuela Secundaria General Número 10 "Ricardo Garibay Ortega" tiene meses sin internet. Mi hijo está en el taller de informática y ¿cómo es posible que la directora diga que según ya pagó y el servicio no está? Por favor, repito, esto es en la Escuela Ricardo Garibay Ortega, en la General Número 10.</t>
  </si>
  <si>
    <t>Radioescucha 10 74 dice: Disculpe, ahora se me ocurre: ¿cuánto cuesta poner una coladera en una calle? Ya se deshicieron. ¿Son tan caras? ¿O es que no calculan la capacidad de las tuberías pluviales para las lluvias actuales? Esto es para el gobierno de Hidalgo, pues con los charcos de casi 60 centímetros... dice aquí y falta más</t>
  </si>
  <si>
    <t>Dren Pluvial</t>
  </si>
  <si>
    <t>Radioescucha dice: «Llevamos una semana sin agua en Valle de las Estrellas</t>
  </si>
  <si>
    <t>Radioescucha quiero hacer un llamado de una queja pública a las autoridades responsables del suministro de agua potable en las colonias Haciendas de Hidalgo, específicamente en la privada Fortín. Llevamos ya dos semanas sin agua, pero eso sí, el recibo llega cada mes y tenemos que pagarlo puntualmente. Entonces las preguntas es: ¿Por qué tenemos que seguir pagando un servicio que no estamos recibiendo?Hace unos días mandaron una... dos pipas para apoyar a los vecinos, pero lejos de solucionar el problema, la distribución fue completamente injusta. En algunas cosas... en algunas casas estuvieron llenando hasta tres tinacos y en otras no». ¡Sí, me imagino!. «Pagamos los recibos puntualmente y exigimos que también se nos dé un servicio puntual y digno, ¿vale? Hacemos un llamado a las autoridades.</t>
  </si>
  <si>
    <t>Radioescucha pide bacheo en calle Fray Francisco Tembleque en la colonia Ciudad de los Niños</t>
  </si>
  <si>
    <t>Bacheo</t>
  </si>
  <si>
    <t>Radioescucha reporta mucho tráfico al sur de la ciudad, hasta 20 min o una hora</t>
  </si>
  <si>
    <t>Asegura la presidenta de México, Claudia Sheinbaum, que se comenzará la construcción de nuevos consultorios en 24 estados del país que brindarán atención primaria y de prevención a toda la población.</t>
  </si>
  <si>
    <t>La economía es sólida y gracias a la buena recaudación se han podido crear nuevos programas sociales, aseguró la presidenta de México, Claudia Sheinbaum.</t>
  </si>
  <si>
    <t>La presidenta Claudia Sheinbaum informó que en estos dos años se ha logrado reducir homicidios dolosos.</t>
  </si>
  <si>
    <t>Radioescucha pide que en la bajada de Real del Monte de Pachuca , pongan reductores de velocidad.</t>
  </si>
  <si>
    <t>Topes vehiculares</t>
  </si>
  <si>
    <t>La Dirección de Protección Civil y Bomberos de Pachuca presentó la actualización del Atlas de Riesgos del Municipio de Pachuca 2026, elaborado íntegramente por el Instituto Municipal de Investigación y Planeación de Pachuca, con la participación de Protección Civil, Bomberos y Gestión Integral de Riesgos, instituciones académicas, especialistas y ciudadanía.Asimismo, se contó con las aportaciones del Colegio del Estado de Hidalgo, CITNOVA, el Instituto de Ciencias de la Salud de la Universidad Autónoma del Estado de Hidalgo y el Servicio Geológico Mexicano, fortaleciendo los análisis técnicos y científicos que integran este instrumento.Esta actualización fortalece la prevención, la planeación territorial y la toma de decisiones incorporando nuevos análisis como las islas de calor urbanas y los ambientes obesogénicos, ampliando la visión del riesgo hacia factores ambientales, urbanos y de salud. Al respecto habla Enrique Padilla, titular de la Dirección de Protección Civil y Bomberos de Pachuca.</t>
  </si>
  <si>
    <t>Atlas de Riesgos</t>
  </si>
  <si>
    <t>La Comisión de Búsqueda de Personas del Estado de Hidalgo (CBPEH) emitió cuatro fichas de búsqueda para localizar a tres menores de edad y a su mamá quienes fueron reportados como desaparecidos en el municipio de Tizayuca.Las fichas corresponden a Massiel Mendoza García de 38 años de edad, Manelyk Regina González Mendoza de 10 años de edad, Saúl Yazareth González Mendoza de 5 años de edad, y Fabrizio Emiliano Cervantes Mendoza de 16 años. Los cuatro fueron vistos por última vez el pasado 27 de agosto.Para cualquier información que pueda apoyar en su localización se pueden comunicar al número 771 130 74 36</t>
  </si>
  <si>
    <t>Ficha De Búsqueda</t>
  </si>
  <si>
    <t>Por narcomenudeo, PGJEH detiene a dos personas, en Mineral de la Reforma</t>
  </si>
  <si>
    <t>En operativo coordinado, SSPH asegura siete vehículos e hidrocarburo en Tlaxcoapan</t>
  </si>
  <si>
    <t>Eulalio Larrieta agradece a Jair Martínez de la SEGOBH, porque esta al pendiente de lo que se necesite y los reportes</t>
  </si>
  <si>
    <t>Enlace Hidalgo2</t>
  </si>
  <si>
    <t>Los datos de incidencia delictiva del Secretariado Ejecutivo del Sistema Nacional de Seguridad Pública reflejan una tendencia contrastante en el municipio de Tula de Allende durante los primeros siete meses de 2026. Mientras que los homicidios dolosos registraron una baja del 18.75% —al pasar de 32 a 26 carpetas de investigación en comparación con el mismo periodo de 2025—, el delito de lesiones tuvo un alza del 31.6%, elevándose de 171 a 225 casos. A nivel regional, reportes locales contabilizaron 71 muertes violentas en la zona de Tula durante el primer semestre del año. Tula de Allende encabeza la cifra regional con 26 homicidios, seguida por Tezontepec de Aldama con 23 casos. El análisis destaca que aproximadamente el 80% de estos crímenes fueron ejecutados con armas de fuego. Entre las líneas de investigación identificadas como generadoras de violencia en la región se encuentran los enfrentamientos por el robo de hidrocarburo, la presencia de células delictivas provenientes de entidades colindantes y la extorsión.</t>
  </si>
  <si>
    <t>Incidencia Delictiva</t>
  </si>
  <si>
    <t>Un hombre de 32 años, identificado con las iniciales J. E. M. S., resultó herido por impacto de arma de fuego tras un ataque registrado en las inmediaciones del Centro de Salud de la comunidad de Michimaloya, en el municipio de Tula de Allende. El incidente movilizó a la Policía Municipal, Estatal y a paramédicos de Protección Civil tras múltiples reportes de los vecinos. La víctima recibió atención médica en el sitio por una herida en el tobillo izquierdo y posteriormente fue trasladada al Hospital Regional Tula-Tepeji. Pese a los operativos desplegados en la zona, los agresores no fueron localizados. En el lugar de los hechos, peritos aseguraron casquillos percutidos calibre .223 y .38. La Procuraduría General de Justicia del Estado de Hidalgo asumió la investigación para el levantamiento de pruebas y la integración de la carpeta correspondiente. Autoridades desmintieron las versiones circuladas en redes sociales que aseguraban la existencia de personas fallecidas o ejecutadas durante el evento.</t>
  </si>
  <si>
    <t>Ataque Armado</t>
  </si>
  <si>
    <t>Un saldo fatal dejó un accidente de tránsito registrado sobre la carretera Tulancingo - Acaxochitlán, a la altura de la zona conocida como las curvas de Monterrey, en donde un motociclista perdió la vida tras impactarse o verse involucrado con un vehículo de carga tipo Torton. A pesar de que el conductor de la motocicleta portaba casco de protección, los cuerpos de emergencia confirmaron su fallecimiento en el sitio, quedando el cuerpo sobre la cinta asfáltica. Al lugar acudieron autoridades para acordonar el área, lo que provocó el cierre temporal de la circulación vehicular mientras se llevaban a cabo las diligencias de investigación y las labores para el retiro del cuerpo.</t>
  </si>
  <si>
    <t>Accidente Carretero</t>
  </si>
  <si>
    <t>El titular de la Secretaría de Educación Pública (SEP), Mario Delgado Carrillo, anunció que se prepara un acuerdo nacional para regular e impedir el uso de teléfonos celulares y otros dispositivos digitales en las escuelas primarias y secundarias de México. Esta iniciativa responde a los resultados de una consulta oficial en línea donde participaron más de 565 mil docentes, de los cuales el 81% se pronunció a favor de establecer reglas claras dentro de las aulas para proteger el aprendizaje y la salud mental de los menores.</t>
  </si>
  <si>
    <t>Regulación de dispositivos digitales</t>
  </si>
  <si>
    <t>Ke Buena 106.7 FM</t>
  </si>
  <si>
    <t>Noticias 106.7</t>
  </si>
  <si>
    <t>Gobierno de Hidalgo promueve la cultura testamentaria entre las personas mayores</t>
  </si>
  <si>
    <t>David Cárdenas</t>
  </si>
  <si>
    <t>Despacho del Gobernador afianza recuperación de espacios públicos para la cultura y el deporte</t>
  </si>
  <si>
    <t>Despacho</t>
  </si>
  <si>
    <t>Recuperación De Espacios Públicos</t>
  </si>
  <si>
    <t>El gobernador del estado de Hidalgo, Julio Menchaca Salazar, se posicionó en el primer lugar del ranking nacional de aprobación entre los 32 mandatarios estatales del país, al registrar un 68.4% de respaldo ciudadano en la evaluación correspondiente al mes de agosto de 2026, realizada por la casa encuestadora Demoscopia Digital en alianza con La Jornada de Hidalgo. El desempeño del mandatario estatal destaca por el impulso a programas de cercanía social como las "Rutas de la Transformación", la inversión prioritaria en obras de infraestructura y una disciplina financiera caracterizada por la reducción de gastos superfluos, el manejo adecuado de la deuda y el incremento en la recaudación. Asimismo, la certeza jurídica para la atracción de inversiones privadas y la vinculación de egresados universitarios con el mercado laboral local han sido factores clave para fortalecer el desarrollo económico de la entidad. La medición también resalta la consolidación del turismo mediante la promoción diversificada de regiones como la Huasteca, la zona Otomí-Tepehua, la Sierra, el Valle de Tulancingo y la zona metropolitana. Finalmente, se subrayó la estabilidad laboral que prevalece en Hidalgo como un elemento diferenciador que genera confianza tanto para la inversión como para la creación de empleos en la región.</t>
  </si>
  <si>
    <t>Aprobación Gobernador</t>
  </si>
  <si>
    <t>El secretario de Educación Pública de Hidalgo, Natividad Castrejón Valdez, encabezó una gira de trabajo por cinco municipios de la entidad para realizar la entrega de libros de texto gratuitos, así como de útiles escolares, calzado y uniformes pertenecientes al programa estatal "Alta Gracia Mercado". Esta estrategia busca respaldar la economía de las familias hidalguenses y garantizar las herramientas necesarias para los estudiantes al inicio del ciclo escolar 2026-2027. Durante el recorrido, el titular de la SEPH visitó la Telesecundaria 267 en Mineral de la Reforma, la Secundaria Técnica No. 35 en Zempoala, la Primaria Adolfo López Mateos en Tepeapulco, la Primaria Miguel Hidalgo en Tulancingo y la Secundaria Técnica No. 28 en Cuautepec de Hinojosa. En su mensaje a las comunidades escolares, Castrejón Valdez destacó que bajo la visión del gobernador Julio Menchaca Salazar se refrenda el compromiso con el derecho a la educación, exhortando a las y los alumnos a aprovechar los recursos entregados para construir un proyecto de vida sólido. A la jornada se sumaron los alcaldes Francisco Sinuhé Ramírez Oviedo de Zempoala, Félix Ávila Castelán de Tepeapulco, Lorena García Cázares de Tulancingo y Jorge Hernández Araus de Cuautepec de Hinojosa, quienes coincidieron en la importancia de articular esfuerzos con el gobierno estatal para mejorar las condiciones de aprendizaje y promover la permanencia escolar. Al evento asistieron también autoridades de las subsecretarías de Educación Básica y de Administración y Finanzas de la dependencia.</t>
  </si>
  <si>
    <t>Entrega de uniformes</t>
  </si>
  <si>
    <t>Homenaje a José José recordará los grandes éxitos del Príncipe de la canción</t>
  </si>
  <si>
    <t>OCSAD</t>
  </si>
  <si>
    <t>Concierto Sinfónico</t>
  </si>
  <si>
    <t>Locutor Juan Carlos Santamaría da lectura a comentario de radioescucha que reportó falta de criterio y sensibilidad por parte de inspectores de la Secretaría de Movilidad y Transporte de Hidalgo. Al trasladar de urgencia a un joven hacia la Ciudad de México para una cirugía de corazón, la familia enfrentó un fuerte congestionamiento en el bulevar Felipe Ángeles. Tras comunicarse al 911, personal del número de emergencias les sugirió utilizar el carril confinado del Tuzobús. Sin embargo, a la altura de la estación Téllez fueron interceptados por inspectores que los sancionaron por invadir el carril, ignorando los comprobantes médicos presentados. El locutor señala la necesidad de revisar el constante tráfico al sur de la ciudad y llama a las autoridades a aplicar criterios de flexibilidad ante emergencias de salud.</t>
  </si>
  <si>
    <t>Dos hermanos, identificados preliminarmente con las iniciales G. S. Z. y T. S. Z., fueron hallados sin vida sobre la vialidad Napateco–San Vidal. Las víctimas presentaban signos de violencia e impactos de proyectil de arma de fuego. Elementos de seguridad y servicios de emergencia acudieron a la zona para resguardar la escena, mientras que la Procuraduría General de Justicia del Estado de Hidalgo (PGJEH) dio inicio a las investigaciones para esclarecer los hechos, considerando probables disputas territoriales como una línea de indagación preliminar.</t>
  </si>
  <si>
    <t>Localización de cuerpo</t>
  </si>
  <si>
    <t>Entrega Edda Vite apoyos por 1.2 mdp a comunidades prioritarias de la Huasteca</t>
  </si>
  <si>
    <t>Entrega De Apoyos</t>
  </si>
  <si>
    <t>CEDSPI emite convocatoria para cursos de aprendizaje de lenguas indígenas</t>
  </si>
  <si>
    <t>Preservación Lenguas Maternas</t>
  </si>
  <si>
    <t>Tras una visita de trabajo efectuada en Tulancingo, el secretario de Educación Pública de Hidalgo dio a conocer que la Escuela Primaria Aquiles Serdán, ubicada en el centro del municipio, requerirá de una reconstrucción total debido a que las instalaciones actuales no cuentan con las condiciones físicas óptimas para la impartición de clases. De acuerdo con la propuesta técnica emitida por el Instituto Hidalguense de la Infraestructura Física Educativa (INIFE), el inmueble actual será demolido para construir una nueva infraestructura escolar. Aunque la autoridad aclaró que el edificio no representa un peligro de colapso inminente, sí ha dejado de cumplir con las especificaciones funcionales necesarias para la atención del alumnado. El titular de la SEPH confirmó que los recursos financieros para la obra ya se encuentran autorizados. Sin embargo, precisó que durante los meses de septiembre y octubre —pudiendo extenderse hasta noviembre— se mantendrá un diálogo constante y consensuado con los padres de familia y autoridades municipales para definir una sede temporal en la que los estudiantes y sus maestros continúen las actividades escolares sin ser dispersados en otros planteles. Se estima que la edificación del nuevo inmueble tomará entre ocho y nueve meses. Por otra parte, respecto a la inquietud suscitada en la Escuela Gregorio Torres de la comunidad de La Lagunilla por la falta de personal frente a grupo, el funcionario explicó que el desabasto se originó por la salida de dos docentes que obtuvieron la aprobación del programa Beca Comisión para realizar estudios de posgrado. Señaló que el reemplazo de dichos profesores quedó formalmente resuelto para la inmediata reanudación de las actividades normales en el plantel.</t>
  </si>
  <si>
    <t>Reconstrucción de escuela</t>
  </si>
  <si>
    <t>Entrevista en cabina Dr. Alfredo Alcalá Montaño, consejero electoral e integrante de la Comisión Permanente de Derechos Político Electorales para Pueblos y Comunidades Indígenas del Instituto Estatal Electoral de Hidalgo: Dio a conocer dos convocatorias relevantes de cara al próximo proceso electoral, entre las que destacan, la integración de los 18 Consejos Distritales Electorales, que es un proceso abierto a la ciudadanía hidalguense (registro hasta el 30 de septiembre, examen el 24 de octubre y posterior etapa de entrevistas aleatorias). Se buscan perfiles con vocación democrática, sin militancia directiva ni registro como deudores alimentarios, violentadores de género o manejadores de programas sociales en el último año y la Consultas a Pueblos y Comunidades Indígenas, que consiste en la organización de 13 foros regionales (difusión del 14 de agosto al 14 de septiembre; fase deliberativa del 14 al 16 de septiembre; foros presenciales del 17 al 22 de septiembre) con el fin de consultar las reglas de postulación, acciones afirmativas e identificación de adscripción calificada para candidaturas indígenas a diputaciones y ayuntamientos, evitando así la suplantación de identidad.</t>
  </si>
  <si>
    <t>IEEH</t>
  </si>
  <si>
    <t>Proceso electoral</t>
  </si>
  <si>
    <t>PIBEH y CBTIS No. 8 impulsan Modelo de Educación Dual</t>
  </si>
  <si>
    <t>Educación dual</t>
  </si>
  <si>
    <t>Radioescucha: falta de agua en Campo Alegre desde hace varias semanas. Calle Cipreses</t>
  </si>
  <si>
    <t>Se prevé que el informe de la alcaldesa de Tulancingo, Lorena Cázarez ya no sea el 10 de septiembre, el tema se discutirá en la próxima asamblea municipal.</t>
  </si>
  <si>
    <t>Informe Alcalde</t>
  </si>
  <si>
    <t>Daniel Martínez y Jessenia Romero comentan que Natividad Castrejón aclara que los estudiantes de la escuela Aquiles Serdán no serán reubicados permanentemente, sino que seguirán siendo alumnos de esa institución, pero temporalmente se trasladarán a otros espacios, que pueden ser otras escuelas o edificios adecuados para las clases. Jessenia Romero añade que este cambio es temporal mientras se realizan trabajos importantes y que están colaborando con SEPH Hidalgo, el Gobierno de Tulancingo y la comunidad educativa para encontrar un lugar adecuado. Daniel Martínez destaca que el periodo de reubicación será largo, de aproximadamente 7 a 8 meses, lo que corresponde a más de la mitad del curso escolar. Jessenia Romero enfatiza que este tiempo es considerable y necesario por razones de bienestar y seguridad para la comunidad educativa, lo que hace que estas acciones sean imprescindibles.</t>
  </si>
  <si>
    <t>Andrés Torres hace mención del mal desempeño de varios alcaldes, entre ellos la alcaldesa de Tulancingo, Lorena Cázares quien se ostenta como “la mejor alcaldesa de Latinoamérica" y se pregunta qué de bueno va a decir en su informe.</t>
  </si>
  <si>
    <t>Mal Desempeño</t>
  </si>
  <si>
    <t>Andrés Torres y Milton Cortés comentan sobre el mal desempeño y lo poco que tendrá que informar el alcalde de Zempoala, Sinuhé Ramírez, quien ha sido requerido por tribunales para que entregue información solicitada. Milton explica que la situación en Zempoala se complicó cuando la síndica hacendaria presentó una queja por la negativa del Ayuntamiento a entregar información. El Tribunal Electoral amonestó al municipio por esto, aunque ellos defienden que no hubo negativa. Andrés comenta que parece que no quieren que se sepa cuánto gastan, a lo que Milton asiente. La síndica jurídica reafirma que la información no se entregó en tiempo y forma a pesar de la solicitud. Esto añade un contexto complicado para el informe de Ramírez. El mismo caso es el de la alcaldesa de Tulancingo, Lorena Cázares quien se ostenta como “la mejor alcaldesa de Latinoamérica".</t>
  </si>
  <si>
    <t>Andrés Torres comenta junto con Milton Cortés que municipios, como Mineral de la Reforma y Zempoala, tendrán sus informes próximamente, aunque estos municipios han tenido problemas con la aceptación por parte de la población. Andrés añade que las redes sociales y los medios de comunicación han mostrado un contexto claro sobre la desaprobación en estos municipios. Relata que estuvo en un evento de concientización de Morena en La Providencia, al que no asistió el presidente municipal de Mineral de la Reforma, Eduardo Medécigo, quien aparentemente evitó enfrentar reclamos de la población sobre la falta de servicios. Andrés considera que esto afectará el éxito de Medécigo en su informe, ya que no está dispuesto a enfrentar a la gente que reclama. Milton está de acuerdo y menciona que las últimas semanas también han sido difíciles para Medécigo por problemas familiares y efectos de las lluvias en la infraestructura. Esto hará que la reacción de la población hacia el informe sea interesante de observar.</t>
  </si>
  <si>
    <t>Andrés Torres pregunta sobre los preparativos para el segundo informe del presidente municipal de Pachuca. Comenta que entre los 84 alcaldes del estado, son pocos los que realmente valdría la pena escuchar en su segundo informe. Muchos de ellos están dando informes de manera discreta, y menciona específicamente que la gente solo está interesada en el contenido del informe del alcalde Jorge Reyes. Milton Cortés confirma que el informe de Jorge Alberto Reyes será el 10 de septiembre en la Explanada de la Diosa de los Vientos. Se espera la asistencia de entre 1,000 y 1,500 personas, incluyendo representantes de la sociedad civil, el sector empresarial y colonias. Este evento será importante en el contexto político y electoral del lugar, además de que anticipa que habrá mensajes políticos significativos ese día. También menciona que otros municipios, como Mineral de la Reforma y Zempoala, tendrán sus informes próximamente, aunque estos municipios han tenido problemas con la aceptación por parte de la población.</t>
  </si>
  <si>
    <t>Milton Cortés</t>
  </si>
  <si>
    <t>IMSS Bienestar Hidalgo y la Comisión de Derechos Humanos del Estado de Hidalgo (CDHEH) pusieron en marcha una estrategia conjunta de capacitación en materia de derechos humanos dirigida al personal de salud en agosto de 2026.</t>
  </si>
  <si>
    <t>CDHEH</t>
  </si>
  <si>
    <t>Firma De Convenio</t>
  </si>
  <si>
    <t>Andrés Torres comenta in off con sus compañeros de caima que mañana para el informe del gobernador: "Nosotros vamos a enlazar. Un minuto antes de entrar al aire, Juan Carlos va a hacer su... bueno, va a decir: "Vamos a ir al aire ahora con la transmisión en red del cuarto informe del gobernador Julio Menchaca", ¿no?, como lo estás escuchando. Lo estamos anunciando también en hñahñú y en náhuatl, ¿mm?, para nuestras estaciones de Ixmiquilpan y de y de Huejutla. Y mañana nos enlazamos, así es, ¿no? Si es que el internet nos lo permite, ¿no?, porque pues ahora resulta que nos quieren quitar el internet. Es increíble cómo sabotean el trabajo de radio. Es el segundo director que directamente sabotea el trabajo de radio. ¿Qué tienen en la cabeza? Bueno, lo que lo escuché gritar el otro día en la allá en la Oficialía Mayor que jamás una deslealtad al gobernador... ¡Es lo primero que hacen! Sabotear el estabi... el trabajo de los demás compañeros. ¿Es una deslealtad al gobernador o no? ¿No? Si ya y si hablamos de las corruptelas, pues eso también es una deslealtad, ¿no? Tienen ocho meses aquí haciendo tonterías y puras deslealtades, ¿no? Puras tonterías. Pero bueno.</t>
  </si>
  <si>
    <t>Radiodifusoras</t>
  </si>
  <si>
    <t>Vía telefónica Milton Cortés informa que la Unidad de Rehabilitación de Fauna Silvestre de Pachuca ofrecerá un Curso en Rehabilitación del 9 al 15 de noviembre de 2026. Este curso será híbrido, combinando sesiones teóricas en línea y prácticas presenciales. Los temas incluirán abordaje médico inicial, nutrición, atención neonatal y el modelo de trabajo de la Unidad, famosa por el uso de biosimuladores. Está dirigido a estudiantes y profesionales en Medicina Veterinaria, Zootecnia y Biología. Los participantes tendrán 10 sesiones teóricas y 6 prácticas para mejorar sus conocimientos sobre bienestar y conservación de la fauna silvestre. Las inscripciones son teórico-práctica ($4,100), teórica ($1,800) y práctica ($3,000).</t>
  </si>
  <si>
    <t>Capacitación</t>
  </si>
  <si>
    <t>Hoy se decide quiénes formarán la mesa directiva para septiembre y organizarán el cuarto informe del gobernador Julio Menchaca, que se realizará mañana. Los diputados llegarán temprano a la feria, donde se llevará a cabo el evento, y se constituirán como mesa directiva y pleno. Declararán la feria como sede oficial para que el gobernador presente su informe. Después del evento, los diputados darán su respuesta al informe, con la participación de diferentes partidos de la LXVI Legislatura. Al finalizar, los diputados regresarán al Congreso y declararán el recinto oficial para trabajar el resto del periodo. Así se llevará a cabo mañana el cuarto informe del gobernador y lo que harán los diputados.</t>
  </si>
  <si>
    <t>El día de hoy el Congreso a las 11 de la mañana tendrán sesión para la elección de la mesa directiva de septiembre, correspondiente al primer periodo de sesiones del tercer año y por supuesto, cancelarán la mesa directiva de agosto.</t>
  </si>
  <si>
    <t>Trabajo legislativo</t>
  </si>
  <si>
    <t>Natividad Castrejón entrega útiles, calzado y uniformes en cinco municipios</t>
  </si>
  <si>
    <t>Paquete de apoyos escolares</t>
  </si>
  <si>
    <t>Andrés Torres menciona que nuevamente recibió un mensaje de una persona que se identifica como NGP, que significa Napoleón González Pérez, quien le mostró una denuncia enviada a la Contraloría. Esta denuncia señala que no se han completado las entregas de apoyos del 2025, específicamente sobre el suministro de vientres ovinos en distintos municipios. El mensaje incluía un PDF con la lista de beneficiarios y detalles sobre los montos y la cantidad de animales que se alegan fueron entregados. Además, recibió otra denuncia que menciona irregularidades en el uso de 200 millones de pesos destinados a la construcción de ollas de captación, que son estructuras diseñadas para almacenar agua de lluvia en zonas áridas. Estas ollas son importantes para asegurar suministro de agua, especialmente para ganado, durante períodos de sequía. Los fondos provienen del Gobierno Federal, creado para ayudar a los estados a enfrentar la sequía. Andrés también comenta que esta es la segunda denuncia que envía a la Secretaría de Agricultura y aún no ha recibido respuesta. Menciona que ha recopilado toda la información necesaria y está cumpliendo con su responsabilidad de transmitir los datos y solicitar una investigación sobre estas irregularidades. Andrés Torres busca que se tomen acciones frente a estas denuncias sin respuesta desde la Secretaría.</t>
  </si>
  <si>
    <t>Apoyo ganadero</t>
  </si>
  <si>
    <t>Andrés Torres comenta que, de acuerdo a la encuesta realizada por Demoscopia Digital en agosto, en la que se aplicaron más de 1,000 encuestas; Julio Menchaca ocupa el primer lugar en aprobación a nivel nacional con un 68.4%. La encuesta se realizó a ciudadanos mayores de 18 años mediante un sistema automatizado. La aprobación de Menchaca se ha mantenido estable desde que iniciaron las encuestas desde el inicio de su gestión y se destaca como uno de los líderes en satisfacción entre los gobernadores. La encuesta tiene un margen de error de más/menos 3.5%.</t>
  </si>
  <si>
    <t>En respuesta al radioescucha Pedro Estrada que menciona que los informes de los alcaldes solo consisten en discursos que parecen campañas, sin aportar información nueva ni concreta. Andrés Torres, afirma que la ciudadanía no tiene grandes expectativas sobre estos informes. Coincide con Pedro y señala que no hay mucho que esperar de los informes de los alcaldes. Comenta que, de 84 informes, tal vez solo dos o tres valgan la pena. Destaca que la mayoría de los alcaldes presentan sus informes casi a escondidas y menciona que no solo el alcalde, sino también los miembros del cabildo deben presentar un informe anual. Sin embargo, la expectativa de la población sobre este ejercicio es baja. Torres se pregunta qué podrán informar algunos alcaldes, como el de Ixmiquilpan o el de Huejutla, cuyos discursos probablemente sean sobre sus deseos de reelegirse o buscar otros cargos con otro partido. También menciona que algunos alcaldes enfrentan complicaciones y descontento de la población, según las encuestas del gobierno estatal. Esto se agrava en municipios pequeños, donde los alcaldes se han vuelto como caciques y la información es escasa.</t>
  </si>
  <si>
    <t>La evaluación correspondiente al mes de agosto de 2026, realizada por Demoscopia Digital, ubica a Julio Menchaca, en el primer puesto del ranking nacional de gobernadores. El mandatario hidalguense obtuvo un nivel de aprobación del 68.4%, lo que lo situó en la primera posición de la tabla general a nivel nacional.</t>
  </si>
  <si>
    <t>Mañana tenemos el cuarto informe del gobernador Julio Menchaca. Ya se están transmitiendo los promocionales en lengua náhuatl y Hñahñú. Tendremos una transmisión especial, enlazando todas las estaciones de radio a partir de las 10:30 de la mañana para escuchar el informe en la red estatal de radio. En Ixmiquilpan, ya están los promocionales en Hñahñú, y se invita a todo el auditorio a seguir esta transmisión especial. Gracias al Secretario de Gobierno, Guillermo Olivares Reyna, y al equipo de la Secretaría de Gobernación por su apoyo.</t>
  </si>
  <si>
    <t>Andrés Torres comenta que ayer en Ixmiquilpan izaron la bandera al revés (el águila estaba de cabeza) y gente del ayuntamiento con quien habló le dijo: "Así nos gusta, así queremos". Señala que este acto puede significar una multa por parte de la SEGOB y que lo que llama la atención es el cinismo. Asimismo, dice que esto da una mala imagen al municipio y su alcalde.</t>
  </si>
  <si>
    <t>Andrés Torres y Aldo Falcón comentan que finalmente, el Bulevar Santa Catarina ha abierto casi por completo, aunque queda un pequeño tramo por concluir hacia Nopancalco. Esta rehabilitación y ampliación ha mejorado notablemente el tránsito en la zona sur de la capital hidalguense. Es necesario manejar con precaución, ya que la vía está hecha de concreto hidráulico y algunos conductores están excediendo la velocidad. Este nuevo bulevar ha aliviado el tránsito en otros bulevares importantes como Felipe Ángeles y Colosio, y también ha beneficiado a la zona plateada. Asimismo, el flujo del tránsito en el Nuevo Hidalgo ha mejorado considerablemente. Se agradece al ayuntamiento capitalino, la Secretaría de Infraestructura y a todos los que participaron para que finalmente esta vía ya esté funcionando.</t>
  </si>
  <si>
    <t>La localización de los perros involucrados en dos agresiones ocurridas en Tizayuca se convirtió en una de las principales acciones de las autoridades municipales, luego de que los hechos dejaran una persona muerta y tres más heridas. Los ataques se registraron durante las primeras horas del martes 1 de septiembre en puntos cercanos al Camino Viejo a Bata y al fraccionamiento Héroes de Tizayuca. Ante el riesgo de nuevas agresiones, el gobierno municipal desplegó brigadas para recorrer la zona y ubicar a los animales. Uno de los ejemplares ya fue asegurado y permanece bajo resguardo, mientras continúa el operativo para encontrar a los demás perros que presuntamente participaron en los ataques. En las labores intervienen la Secretaría de Seguridad Ciudadana, Protección Civil y Bomberos, Servicios Públicos Municipales y el CECOBAM. Los ejemplares que sean capturados deberán permanecer durante 10 días bajo observación clínica, conforme al protocolo previsto en la legislación estatal para animales agresores. Durante ese periodo serán evaluados por especialistas y permanecerán bajo custodia de la autoridad. El Ayuntamiento informó que los resultados de estas valoraciones y las demás diligencias serán puestos a disposición del Ministerio Público, instancia que dará seguimiento a la investigación y determinará las medidas que correspondan. Las autoridades mantienen recorridos en los sectores donde ocurrieron las agresiones con el objetivo de localizar al resto de los animales y reducir el riesgo para los habitantes.</t>
  </si>
  <si>
    <t>Control animal</t>
  </si>
  <si>
    <t>IzzaHernández</t>
  </si>
  <si>
    <t>Aprueban actualización del Plan Municipal de Desarrollo 2024 -2027 En un momento fundamental para la presente administración, fue aprobada la Actualización del Plan Municipal de Desarrollo 2024-2027, instrumento de planeación que establece políticas públicas para conducir el desarrollo de Tulancingo con responsabilidad y visión de futuro. La aprobación se realizó este 2 de septiembre, durante la séptima sesión ordinaria del Comité de Planeación para el Desarrollo Municipal (COPLADEM), con la participación de la directora de Planeación Democrática, Laryzza Suye Brindis Díaz, por parte de COPLADEH. El documento, que consta de 466 páginas, se encuentra alineado con el Plan Nacional de Desarrollo 2025-2030, en congruencia con las políticas públicas impulsadas por la presidenta de México, Claudia Sheinbaum Pardo, y el Plan Estatal de Desarrollo 2022-2028, del gobernador de Hidalgo, Julio Ramón Menchaca Salazar, sin perder de vista las condiciones y necesidades particulares de Tulancingo. Como parte de este ejercicio de planeación participativa, se incorporaron los resultados del Censo de Pueblos y Comunidades Indígenas 2026, realizado del 25 de mayo al 25 de junio con la participación de 908 personas, lo que permitió identificar necesidades e incorporar la visión de las comunidades en la política pública municipal. La directora de Planeación Democrática, Laryzza Suye Brindis Díaz, por parte de COPLADEHI, felicitó al Gobierno de Tulancingo por cumplir con esta actualización en tiempo y forma, así como por el extraordinario rendimiento alcanzado durante el proceso. Con esta aprobación, Tulancingo actualiza el instrumento que da dirección a la acción pública y refrenda el compromiso de construir un gobierno que escuche, planee y actúe con responsabilidad, convirtiendo las necesidades en prioridades, las prioridades en acciones y las acciones en resultados, con el bienestar y la calidad de vida de las familias como principal referencia.</t>
  </si>
  <si>
    <t>Plan Municipal de Desarrollo</t>
  </si>
  <si>
    <t>El dirigente de Movimiento Regeneración Nacional (Morena), Marco Antonio Rico Mercado, marcó distancia de las declaraciones de la diputada Tania Meza Escorza sobre la presencia de expriistas en el partido. Meza había señalado que aunque Morena no estaba “lleno de priistas”, algunos provenientes del PRI sí ocupaban cargos de poder, lo cual provocó reacciones dentro del partido. Rico rechazó esa visión y argumentó que quienes han estado trabajando en el movimiento durante años deben considerarse parte de Morena, sin importar su origen partidista. Destacó que muchos, incluidos quienes están en Morena ahora, tienen un pasado en otros partidos, pero han contribuido al movimiento por varios años. Además, reconoció que hay un reclamo legítimo de algunos militantes sobre la llegada de personas de otras fuerzas políticas. Por ello, mencionó que desde hace un año existe una comisión que revisa los antecedentes de quienes quieren unirse a Morena, para evitar la incorporación de personas con comportamientos contrarios a los principios del partido. Rico enfatizó que se deben evaluar las acciones de las personas dentro del proyecto y no solo su militancia anterior.</t>
  </si>
  <si>
    <t>Morena</t>
  </si>
  <si>
    <t>Cuarta Transformación</t>
  </si>
  <si>
    <t>Partidos</t>
  </si>
  <si>
    <t>Por considerar que no es su facultad, el Movimiento Indígena del Estado de Hidalgo rechaza que el Instituto Estatal Electoral de Hidalgo (IEEH) realice los foros de consulta para establecer la autoadscripción indígena calificada para candidaturas. En conferencia de prensa, los integrantes de la organización señalaron que es el Congreso del Estado de Hidalgo es el único facultado para realizar dicha consulta. Se recordó que la Suprema Corte de Justicia le ordenó al Congreso local que se hiciera esta consulta a las más de mil 400 comunidades indígenas que existen en el Estado de Hidalgo. La preocupación del Movimiento Indígena del Estado de Hidalgo es que personas u organismos ajenos quieran decidir por los pueblos indígenas cómo debe de ser ese candidato indígena. Ello por la posibilidad de que los criterios que se pretendan establecer podrían permitir que personas sin una verdadera vinculación comunitaria se presenten como candidatos indígenas. Por lo que el Movimiento Indígena del Estado de Hidalgo rechazó los foros convocados por el organismo electoral y, en caso de que estos continúen, se adelantó, recurrirán a las instancias jurisdiccionales correspondientes. A su vez, la organización hizo un llamado a los pueblos y comunidades originarias de Hidalgo para analizar el proceso antes de participar. De acuerdo con datos del IEEH, del 17 al 22 de septiembre de 2026 realizarán 13 foros regionales presenciales, con sede en Huejutla, San Felipe Orizatlán, Atlapexco, Tlanchinol, Zacualtipán, Pachuca, Zimapán, Ixmiquilpan, Chilcuautla, Tecozautla, Tula de Allende, Tulancingo y San Bartolo Tutotepec. Hasta la fecha el Congreso local no tiene fecha para la futura consulta que está obligado a hacer. Desde hace varias legislaturas ha solicitado que la representación indígena vinculada con el organismo electoral sea consultada directamente por las comunidades y no designada de manera unilateral. “En las comunidades se hace la asamblea y se nombra a nuestra autoridad o nuestro representante. Deberíamos de tener un representante indígena ahí para que pudiera decirle al colegiado del Instituto Electoral: esto es este tema, esto se debe de hacer así”, se señaló.</t>
  </si>
  <si>
    <t>Consulta Indígena</t>
  </si>
  <si>
    <t>Un juzgado federal concedió la suspensión definitiva para frenar temporalmente la ejecución del parque fotovoltaico de la empresa Green Park en Tecozautla. Esta resolución se suma a la carta de desistimiento que presentó la transnacional a la Secretaría de Energía. Respecto al amparo, un juzgado federal concedió la suspensión definitiva para frenar temporalmente el proyecto fotovoltaico de 100 mega watts, que contempla la instalación de 204,288 paneles solares, un sistema de almacenamiento de energía BESS, una subestación eléctrica y una red de media tensión. La determinación corresponde al expediente 1202/2026 y fue emitida el 29 de julio del 2026. La resolución deriva de un juicio de amparo promovido por autoridades tradicionales y ejidales de la comunidad indígena involucrada, así como en representación de niñas, niños y adolescentes de dicha comunidad. De acuerdo con el auto judicial, las personas promoventes reclamaron, entre otros actos, la autorización ambiental emitida el 21 de mayo del 2026 por la Dirección General de Impacto y Riesgo Ambiental de la SEMARNAT, mediante la cual se autorizó de manera condicionada el proyecto. También cuestionaron la realización del procedimiento de consulta relacionado con la construcción y operación de la planta al considerar que se vulneró su derecho a una consulta previa, libre e informada. En su análisis, el órgano jurisdiccional consideró que, de manera preliminar, los promoventes cuentan con interés legítimo para acudir al juicio de amparo. El juzgado tomó en cuenta que las personas quejosas se ostentan como integrantes de autoridades de la comunidad presuntamente afectada y que argumentan una posible incidencia del proyecto sobre su territorio, también sobre sus recursos naturales y su entorno ambiental. Cabe destacar que pues el pasado también 30 de julio, el secretario de Desarrollo Económico, Carlos Henkel Escorza, informó que Green Park presentó una carta de desistimiento ante la Secretaría de Energía, con lo cual, según el funcionario, pues ya quedaría suspendido el proyecto. En esta ocasión, el funcionario detalló que el gobierno de Hidalgo ha planteado a la SENER revisar la viabilidad social de los proyectos antes de que sean registrados oficialmente, con el propósito de evitar que inversiones potenciales enfrenten obstáculos ya una vez iniciado con los trámites</t>
  </si>
  <si>
    <t>Sedeco</t>
  </si>
  <si>
    <t>Parque Fotovoltaico</t>
  </si>
  <si>
    <t>El Tren México-Pachuca obliga a replantear el crecimiento urbano de Pachuca y Mineral de la Reforma La zona donde se construirá una estación del Tren México-Pachuca contará con una estrategia específica de desarrollo urbano para ordenar el crecimiento que se prevé en Pachuca y Mineral de la Reforma. El Programa Parcial de Desarrollo Urbano, publicado en el Periódico Oficial del Estado de Hidalgo, establece mecanismos para que ambos municipios planifiquen de manera conjunta el desarrollo de un territorio que mantiene una creciente integración urbana. El documento contempla la participación de los tres niveles de gobierno, además de empresarios, instituciones educativas y especialistas en arquitectura e ingeniería, quienes podrán intervenir en la definición y seguimiento de proyectos. Entre las herramientas previstas se encuentra un Comité Técnico Interinstitucional y la posible creación de consejos metropolitanos, con los que se busca coordinar decisiones relacionadas con infraestructura, servicios y ordenamiento territorial. También se plantea implementar un Sistema de Información Geográfica que concentre datos sobre el territorio y permita identificar zonas de riesgo, evaluar el crecimiento urbano y dar seguimiento al cumplimiento del programa. El plan incorpora además una propuesta para crear un Fondo Municipal de Infraestructura Verde, que podría financiarse con recursos públicos y privados. Este fondo estaría destinado a obras y proyectos enfocados en sostenibilidad y resiliencia urbana, principalmente en áreas vulnerables o donde el crecimiento de la ciudad genere mayor presión sobre el entorno. El programa establece así una ruta de planeación para acompañar el desarrollo que genere la nueva conexión ferroviaria entre el AIFA y Pachuca.</t>
  </si>
  <si>
    <t>Ordenamiento Territorial</t>
  </si>
  <si>
    <t>cambio fecha informe de lorena</t>
  </si>
  <si>
    <t>Anticipan enroques en gobierno municipal de Tulancingo El Gobierno de Tulancingo tiene considerado realizar dos enroques en dependencias de la administración municipal, sin que hasta el momento estén consideradas salidas definitivas de funcionarios. Así lo estableció el titular de la Secretaría General del Ayuntamiento, Edmundo Aguilar Aranda, ante la versión sobre la supuesta salida del director de Reglamentos y Espectáculos, Óscar Serrano. Señaló que hasta el momento dicho funcionario se mantiene en su puesto, sin abundar si éste forma parte de los cambios que se prevén concretar en próximos días. Insistió que sólo están considerados los cambios señalados en dos de las dependencias de la administración municipal, que implicaría cambio de adscripción para cuatro funcionarios locales, pero sin contemplarse ninguna salida o renuncia, por lo menos hasta el momento. Sobre la razón de los movimientos administrativos, Aguilar Aranda señaló que el objetivo es poder cumplir con los objetivos de trabajo del gobierno municipal de Tulancingo. “Hay metas y objetivos que están en los planes de trabajo, si no se cumplen, pues hay qué tomar previsiones para que en lo que nos resta de administración, pues puedan realizarse y cumplirse”. El funcionario no estableció una fecha para dar a conocer los cambios en dependencias municipales, señalando que en su momento se confirmarán oficialmente. En otro orden de ideas, el titular de la Secretaría General del Gobierno de Tulancingo, señaló que el próximo lunes 7 de septiembre, sesionará la Asamblea Municipal para determinar el posible cambio de fecha para la presentación del segundo Informe de la alcaldesa Lorena García Cázares. Originalmente, se había planteado que el informe se llevará a cabo el jueves 10 de septiembre, fecha que entonces se cambiaría en caso de que lo aprueben los integrantes del Cabildo. Se espera que durante la sesión del cuerpo edilicio se conozcan las causas por las que se propone el cambio de fecha para la entrega del Segundo Informe de Gobierno Municipal en Tulancingo.</t>
  </si>
  <si>
    <t>Cambios En El Gabinete</t>
  </si>
  <si>
    <t>Los conductores de los camiones recolectores de basura conducen mientras usan el celular.</t>
  </si>
  <si>
    <t>Confirma SEPH búsqueda de sede temporal para primaria “Aquiles Serdán” El titular de la Secretaría de Educación Pública en Hidalgo (SEPH), Natividad Castrejón Valdez, confirmó que se están buscando opciones para que los estudiantes de la escuela primaria “Aquiles Serdán”, ubicada en Tulancingo, puedan continuar el ciclo escolar con clases presenciales. El pasado lunes 31 de agosto, día que inició el ciclo escolar 2026-2027, madres y padres de familia de dicha institución académica, se manifestaron en contra de que sus hijas e hijos tomaran clases en línea. Lo anterior, previendo que parte del edificio que alberga al plantel educativo será demolido para su posterior reconstrucción. Tras la manifestación, se acordó un plazo de mes y medio para la búsqueda de otro espacio físico donde los estudiantes puedan tomar las clases presenciales, en tanto se concreta la reconstrucción del plantel para educación básica. “Es una escuela que ya requiere ser rehabilitada, es un bien para los alumnos, y tampoco queremos afectar más de la cuenta a niños y padres de familia”, señaló Castrejón Valdez en entrevista, tras encabezar la ceremonia de entrega de uniformes y útiles escolares, en la escuela primaria “Miguel Hidalgo”, ubicada en el centro de la ciudad de Tulancingo. Para la búsqueda del espacio temporal para seguir con las clases presenciales, el funcionario estatal señaló que la SEPH, la comunidad educativa de la primaria “Aquiles Serdán”, así como el gobierno de Tulancingo, trabajarán en conjunto. Existe la posibilidad de que los alumnos de dicha institución educativa sigan sus clases presenciales en instalaciones separadas, pero se aclaró que no se trata de una reubicación en otras escuelas, sino una reubicación temporal. El funcionario consideró que la obra, considerando la demolición y posterior reconstrucción de instalaciones, tomará un plazo de ejecución entre siete a ocho meses, aproximadamente. Insistió que se busca generar lo mínimo de afectaciones a la comunidad educativa, pero también pidió a esta que se comprenda que el actual edificio ya no puede prestar las funciones que debe, aunque la infraestructura general no está en peligro</t>
  </si>
  <si>
    <t>Por conflicto de propiedad, el área jurídica de la Secretaría de Educación Pública de Hidalgo atiende el caso de la escuela de educación media superior ubicada en el municipio de Tezontepec de Aldama. Quien se señala como propietario de dicho terreno obtuvo una resolución favorable en un juicio, por lo que, pues se busca una alternativa de negociación, como así lo informó Natividad Castrejón Valdez, quien es titular de la SEPH Hidalgo. Explicó también que el previo pues está valuado de hecho entre 10 y 12 millones de pesos, y también con un eh edificio de un valor de 40 millones donde ha funcionado eh pues una institución educativa desde hace 40 años aproximadamente. Y pues el funcionario estatal de hecho eh pues espera que se llegue a un acuerdo que pueda permitir que el plantel educativo eh pues siga funcionando en dicho sitio. Y eh pues reconoció también que quien se señala como propietario del predio, en un principio pidió recursos eh que se consideran pues como fuera de valor eh que tiene de alguna forma realmente un terreno en la zona. Pero hemos ido ajustando, y yo confío en que antes de que termine el sexenio podamos resolverlo, parte de lo que dijo. Y durante el mes de mayo del año pasado, desde el Congreso del Estado de Hidalgo, sí se hizo un llamado eh para poder regularizar eh legalmente los predios de más de 3,000 planteles educativos de educación básica, estos ubicados en distintos puntos de la entidad. Señaló también que estas instituciones eh pues carecen de escrituras y, por tanto, pues de certeza también legal en cuanto a su propiedad. Y pues en este en ese momento la diputada local Yarabi González Martínez señaló que las escuelas se encuentran en terrenos irregulares porque fueron construidas en predios ejidales, privados o que pues fueron donados de alguna forma. De dichos predios se carece también de documentos eh que pues sustenten la propiedad, en el caso hacia la Secretaría de Educación Pública de Hidalgo. Señaló que es urgente que las escuelas de Hidalgo puedan regularizar la propiedad pues para que puedan acceder también a programas federales, estatales e incluso municipales. "La Escuela es Nuestra" es uno de los programas a los que no pueden acceder eh pues por falta de certeza legal, y para este 2025 pues se tiene contemplado también destinar recursos por más de 25,000 millones de pesos en el país. De hecho, la legisladora local solicitó que la SEPH Hidalgo, la Secretaría de Infraestructura Pública y Desarrollo Urbano, así como también a los gobiernos municipales en la entidad eh que participen en la regulación de dichos predios. Y de acuerdo con datos de la propia SEPH Hidalgo, en la entidad existen 7,381 espacios para educación pública, de los cuales 2,799 son preescolares, 2,948 son primarias, secundarias son eh 425 y de educación superior estamos hablando que son 58 planteles.</t>
  </si>
  <si>
    <t>Conflicto predio escolar</t>
  </si>
  <si>
    <t>Acumula Hidalgo 21 casos de miasis por gusano barrenador en humanos En el Estado de Hidalgo se acumulan 21 casos confirmados de miasis humana provocada por el gusano barrenador, luego de que durante agosto fueran incorporados cinco contagios al registro estatal. El Informe Mensual de la Dirección General de Epidemiología contabilizaba 16 casos en Hidalgo al cierre del 31 de julio de 2026; la actualización correspondiente a la semana epidemiológica 33 elevó la cifra a 21, de los cuales dos fueron notificados durante los siete días previos al último corte. Con ello, Hidalgo concentra aproximadamente el 4.1 por ciento de los 516 casos confirmados en México durante 2026. Sin embargo, la entidad se mantiene por debajo de estados como Veracruz, que registra 109; Chiapas, con 70; Puebla, con 58, y Oaxaca, con 54. De acuerdo a los datos oficiales, en el Estado de Hidalgo no se reportan fallecimientos a causa de la miasis en seres humanos. Las cuatro muertes documentadas en México durante 2026 corresponden a Oaxaca, Querétaro, Veracruz y Yucatán, con un caso en cada estado Los datos generales del informe muestran que el 69 por ciento de los casos confirmados en México corresponde a habitantes de zonas rurales, mientras que el 31% restante se ubica en áreas urbanas. También indica que las personas mayores de 60 años concentran el 60 por ciento de los contagios y que los hombres representan el 71 por ciento; la edad promedio de los pacientes es de 54 años, con registros que van desde los tres hasta los 98 años. Estas proporciones corresponden al panorama nacional y el documento no presenta un desglose por edad o sexo exclusivo para los 16 pacientes que Hidalgo tenía al finalizar julio. En cuanto al contacto con animales, el 59 por ciento de los casos nacionales refirió este antecedente, principalmente con perros y bovinos. El 41 por ciento restante no reportó contacto con animales, por lo que la prevención no debe limitarse únicamente a quienes trabajan con ganado.</t>
  </si>
  <si>
    <t>Gusano barrenador</t>
  </si>
  <si>
    <t>Trabajos en la carretera Cuautepec-Santiago generan complicaciones y quejas de automovilistas Los trabajos de reencarpetamiento que comenzaron en la carretera Cuautepec-Santiago han generado complicaciones para quienes utilizan esta vía, particularmente por el cierre de algunos tramos. El gobierno municipal informó que las labores iniciaron con el perfilado de la carpeta asfáltica y que posteriormente se realizarán trabajos relacionados con la línea de distribución de agua potable, para finalmente colocar la nueva carpeta asfáltica. De acuerdo con el Ayuntamiento, el proceso fue diseñado para mantener parcialmente la circulación y evitar el cierre total de la vialidad, además de solicitar a los conductores atender los señalamientos y tomar precauciones. Sin embargo, ciudadanos reportaron que actualmente no existe paso hacia Santiago en un tramo que va desde el Puente de La Paz hasta las inmediaciones de una tienda departamental. Ante esta situación, algunos automovilistas han optado por desplazarse por Tulancingo, lo que, según los reportes, puede incrementar el recorrido de Cuautepec a Santiago hasta dos horas. Los usuarios también señalaron una falta de información precisa sobre las rutas alternas y cuestionaron la ausencia de elementos de seguridad vial, señalamientos suficientes o personal que oriente a los conductores en los puntos donde se encuentra restringido el paso. Mientras continúan los trabajos, el llamado de las autoridades es a circular con precaución y respetar las indicaciones en la zona; en tanto, habitantes y automovilistas solicitan que se informe con mayor claridad sobre los cierres, tiempos de ejecución y alternativas de circulación para evitar mayores afectaciones.</t>
  </si>
  <si>
    <t>Rehabilitación carretera</t>
  </si>
  <si>
    <t>Prevén ya apertura de mercado de Singuilucan; inició su construcción hace casi diez años Prácticamente sólo existe la estructura general del mercado municipal de Singuilucan, sin contar con instalación alguna de servicios, como energía eléctrica, surtido de agua potable, drenaje, entre otros. La alcaldesa Yazmin Dávila López señaló que actualmente sólo existe prácticamente el “cascarón” del edificio considerado para servicio comercial, cuya construcción inició en el año 2017. En ese momento se anunció una inversión por un millón 481 mil pesos, provenientes de recursos propios, para el inicio de la construcción del mercado. En 2019 inició la construcción de la segunda etapa, a cargo de la entonces Secretaría de Obras Públicas y Ordenamiento Territorial del Gobierno del Estado de Hidalgo, aplicando una inversión por 2 millones 59 mil 424 pesos provenientes del Fondo General de Participaciones. La alcaldesa Dávila López señaló que durante la anterior administración municipal se aplicaron recursos extraordinarios por 1.2 millones de pesos para seguir con la construcción del mercado. Sin embargo, enfatizó que la construcción no cuenta con la conexión de los servicios básicos para operación, por lo que se solicitó un crédito a Banobras por 2 millones de pesos para hacer las instalaciones necesarias. A ello se sumarán recursos por aproximadamente 800 mil pesos, obtenidos por medio del programa de apoyo para mejoramiento de infraestructura de mercados municipales, a cargo de la Secretaría de Desarrollo Económico en Hidalgo. Estos últimos recursos se obtuvieron gracias a que las reglas de operación emitidas por la instancia estatal se modificaron, permitiendo la participación de Singuilucan con un mercado aún en obra. Con los recursos señalados, se espera culminar la obra del mercado municipal, entregar los locales disponibles, y con ello iniciar su operación a inicios del siguiente año. La funcionaria municipal señaló que la vocación prevista para el mercado sería para ofrecer la gastronomía, incluso de la región, “en la que Singuilucan tiene un lugar destacado por sus platillos”. La mecánica para la entrega de los 49 locales disponibles sería por medio de una convocatoria pública, dirigida a comerciantes originarios del municipio, con actividad comprobable de varios años y que tenga buenos antecedentes comerciales y financieros, entre otros requisitos. Dávila López anticipó que la revisión de las solicitudes y asignación de los locales será pública, para transparentar completamente el proceso.</t>
  </si>
  <si>
    <t>Rehabilitación De Mercados</t>
  </si>
  <si>
    <t>Radioescucha reporta en la colonia Valle del Palmar, manzana 7, no cae agua, «ya son tres meses... de no caer agua en la llave». Con mucho gusto, con mucho gusto lo pasamos a las autoridades de CAASIM. Muchas, muchas gracias...</t>
  </si>
  <si>
    <t>Tres tráileres chocaron por alcance sobre la autopista Arco Norte, a la altura del kilómetro 91, en el poblado de Tezoquipan, del municipio de Atitalaquia. Ya lo sabe, cuando sucede un accidente en esta autopista, se complica bastante el tráfico y la circulación. Y ese, pues no fue la excepción. De acuerdo con los reportes, un tractocamión con caja seca, cargado con más de 20 toneladas de papa, impactó la parte trasera de un camión tipo Torton, que a su vez se proyectó contra la plataforma de otro tráiler que transportaba block. El operador del Torton resultó lesionado y fue atendido en el lugar por elementos de la Guardia Nacional, mientras que, pues no faltó la persona que aprovechara el accidente para hacer rapiña, para sustraer mercancía y hacerla de las suyas, simplemente con el hecho de decir, la carga está asegurada.</t>
  </si>
  <si>
    <t>Gracias por comunicarse con nosotros. A Laura Jiménez de Tula se comunica a través de los teléfonos de cabina de Super Estéreo. Nos comenta, ojalá arreglen la rejilla de la calle Leandro Valle frente a tienda de autoservicio. Se han registrado algunos accidentes de peatones, por lo que hace un llamado a las autoridades municipales para que puedan atender esta situación. Sabemos que nos escuchan allá en la presidencia municipal. Ojalá que puedan atender este llamado de Laura Jiménez de aquí de Tula para que puedan revisar esta rejilla allá en la calle Leandro Valle.</t>
  </si>
  <si>
    <t>Vamos, otros temas. Aquí mismo, en Tula de Allende, un hombre resultó lesionado por impacto de arma de fuego, luego de ser atacado por sujetos desconocidos en la comunidad de Michimaloya. Los hechos ocurrieron la noche de ayer, miércoles, a la altura del centro de salud, donde vecinos reportaron detonaciones. Al lugar acudieron policías y cuerpos de emergencia, quienes localizaron a la víctima con una herida en el tobillo. El hombre fue trasladado a un hospital para recibir atención médica. Las corporaciones implementaron un operativo de búsqueda, pero no localizaron a los agresores. La Procuraduría General de Justicia de Hidalgo inició las investigaciones correspondientes.</t>
  </si>
  <si>
    <t>Vía telefónica comandante Óscar Sánchez Director General de Tránsito y Vialidad del Municipio de Pachuca con el tema : Libreración de algunas calle para que fluya el trafico al sur de la capital</t>
  </si>
  <si>
    <t>Radioescucha ¿Podrían investigar dónde se podría consultar la convocatoria del trabajo de la reapertura de la empresa Cruz Azul para estar pendiente?». Comenta conductor Eulalio Larrieta : Ahí está en la página de la Cruz Azul también y en el Gobierno del Estado también están ahí en la bolsa de trabajo.</t>
  </si>
  <si>
    <t>STPSH</t>
  </si>
  <si>
    <t>Cruz Azul</t>
  </si>
  <si>
    <t>Dos hombres fueron localizados sin vida la tarde de este miércoles en la colonia San Vidal, en Tulancingo. De acuerdo con fuentes policiales, ambos ya no contaban con signos vitales. Las víctimas presentaban lesiones aparentemente producidas por impactos de arma de fuego. Será la autoridad ministerial la encargada de esclarecer los hechos.</t>
  </si>
  <si>
    <t>Ejecuciones</t>
  </si>
  <si>
    <t>Tenemos información desde el estado de Hidalgo en noticias importantes que se han suscitado desde esa zona. Allá con el Desarrollo Integral para la Familia, entrega Edda Vite apoyos por 1.2 millones de pesos a comunidades prioritarias de la Huasteca hidalguense. De siete comunidades de alta y muy alta marginación recibieron 69 proyectos productivos; 37 personas con discapacidad fueron beneficiadas con sillas de ruedas.</t>
  </si>
  <si>
    <t>DIF Hidalgo entregó 69 proyectos productivos a 100 familias de 7 comunidades de alta y muy alta marginación en la Huasteca, con una inversión federal de más de un millón doscientos ochenta y ocho mil pesos.</t>
  </si>
  <si>
    <t>La presidenta del DIF Estatal de Hidalgo hablaba acerca de una inversión de 1.2 millones de pesos en proyectos productivos y de 26 mil pesos con ayudas técnicas.</t>
  </si>
  <si>
    <t>Radioescucha 33 06. Dice: «Lalo, felicidades al licenciado Andrés Velázquez por el gran trabajo frente al Congreso del Estado de Hidalgo. Asimismo, te pido que le digas que felicite a la diputada Liz Ordaz por el gran trabajo de la gestión en el Distrito 10, particularmente en Real del Monte. Saludos equipo, muchas pero muchas gracias»</t>
  </si>
  <si>
    <t>Felicitaciones</t>
  </si>
  <si>
    <t>Radioescucha reporta falta de agua comenta sobre una fuga de agua en el fraccionamiento Los Arcos, Centro Minero. ¿Sea usted tan amable de ser el intermediario con CAASIM? Muchas pero muchas gracias. Se reportó desde ayer por la tarde y CAASIM no ha... no hemos tenido respuesta. De verdad mi respeto y admiración por su apoyo». No, pues muchas gracias. A ver, aquí nos habían dicho que no había agua, ya les llevaron pipas. Ahora en el fraccionamiento Los Arcos hay una fuga, por favor si nos apoyan, si nos apoya... ¿cómo se llama? Paola, Paola García y Saraí Pineda, por favor. Es en el fraccionamiento Los Arcos. Ahora no tenían agua, les enviaron pipas, eso fue lo bueno, pero ahora tienen una fuga, una fuga de agua. Si nos pueden apoyar, por favor, si nos echan la mano... si nos echan la mano, por favor, eh para que puedan este pues solucionar este problema de la fuga, que no han ido ahí, ¿sí? Vamos a pasarlo de una vez para que no tengamos ningún problema y nos echan la mano ahí en CAASIM</t>
  </si>
  <si>
    <t>Fuga De Agua</t>
  </si>
  <si>
    <t>Y a pesar que es una obra necesaria para el centro de Tula, pues hay algunas inconformidades. Al arribar el edil de Tula a esta calzada para dar inicio con la renovación integral, vecinos y comerciantes de Tula expresaron su inconformidad por el inicio de esta obra. Advierten que el cierre de vialidades podría afectar aún más la actividad económica del centro.A ver, desde la inundación, esta calle no ha sido nada. Económicamente se fue para abajo. ¿Y cómo? ¿Poniendo la bonita va a traer clientes? No, ve acá tus locales vacíos hay. Es una parte importante para que la ciudad se vea, se vea bien. No, tráiganos gente. Nosotros los comerciantes queremos gente desde la inundación. Esta calle ya no es nada. Económicamente se fue. Son muchos los problemas de Tula. Durante una reunión reclamaron al alcalde Cristian Martínez el incumplimiento de la promesa de rehabilitar las calles Rojo del Río, Manuel Doblado y 16 de septiembre. Además de señalar que la obra no fue informada oportunamente a la población.Te repito, no estamos en contra del proyecto. Gracias. Estamos solicitando que nos atiendan y que nos cumplen las promesas que nos hicieron el año pasado. Tú dijiste, Cristian, que la calle de Rojo del Río, Manuel Doblado y 16 de septiembre iban a ser prioritarios para arreglarlas y nos hemos dado cuenta que has arreglado otras calles. Todas han estado dañadas. Eso lo sabemos. No estamos de ojos cerrados.</t>
  </si>
  <si>
    <t>Inconformidad por obra</t>
  </si>
  <si>
    <t>Será el día de mañana viernes cuatro de septiembre cuando se entregue el cuarto informe de gobierno de Julio Menchaca Salazar. El presidente de la junta de gobierno del Congreso del Estado de Hidalgo, el diputado Andrés Velásquez, informó cuál será la dinámica para este acto, para este cuarto informe que se realizará en dos momentos diferentes los días viernes cuatro y sábado cinco de septiembre. Viernes es el es el informe del señor gobernador, el Congreso estamos invitados, somos parte de este proceso y el sábado cinco estará haciendo entrega el señor secretario en una sesión especial aquí en el Congreso del Secretario de Gobierno, el licenciado este Olivares Reyna, estará entregando en una sesión propia de este acontecimiento el informe del señor gobernador. Son diferentes momentos, creo yo que hay que darle el dinamismo, hay que darle un nuevo esquema.Siete de la mañana con cuatro minutos le vamos a presentar toda la información que se dé a conocer a través del cuarto informe de gobierno de Julio Menchaca Salazar.</t>
  </si>
  <si>
    <t>Vía telefónica presidente de la Junta de Gobierno del Congreso del Estado de Hidalgo, Andrés Velázquez Vázquez con el tema : Actividades legislativas en este año en el Congreso.</t>
  </si>
  <si>
    <t>Informe Legislativo</t>
  </si>
  <si>
    <t>Hablando de los bordados, sigue el tema. Los bordados son una de las creaciones artesanales más susceptibles al llamado regateo. No obstante, la población todavía desconoce que este tipo de elaboraciones pueden llevarse hasta un mes o más en realizarse. Así lo dio a conocer María Basilio Martínez, artesana del municipio de Tasquillo.</t>
  </si>
  <si>
    <t>Intermediarismo</t>
  </si>
  <si>
    <t>Radioescucha reporta que ojala las autoridades municipales, apoyen en checar todo Pachuca, ya que en muchas zonas ya se tiene mucha hierba</t>
  </si>
  <si>
    <t>Limpieza Urbana</t>
  </si>
  <si>
    <t>Comenta conductor Eulalio Larrieta : ya comentamos que no era un accidente, era un operativo porque habían encontrado una persona sin vida ahí en los jales, ahí en el bulevar Nuevo Hidalgo atrás de lo que es el Club de Golf. Ahí lo encontraron, es lo que nos... nos comentan</t>
  </si>
  <si>
    <t>Vamos con más de la información. El secretario de Educación Pública de Hidalgo, Natividad Castrejón Valdés, encabezó la entrega de libros de texto, útiles escolares, calzado y uniformes del programa estatal Altagracia Mercado, en beneficio de estudiantes de cinco municipios. Durante una gira de trabajo visitó planteles de Mineral de la Reforma, Zempoala, Tepeapulco, Tulancingo y Cuautepec, donde destacó que estos apoyos respaldan la economía de las familias y contribuyen a fortalecer la permanencia escolar.</t>
  </si>
  <si>
    <t>La Comisión Estatal para el Desarrollo Sostenible de los Pueblos Indígenas abrió la convocatoria para el curso gratuito de lenguas indígenas dirigidas a personas interesadas en aprender ñañú o náhuatl en nivel básico.</t>
  </si>
  <si>
    <t>El Instituto Mexicano del Seguro Social (IMSS) en Hidalgo exhortó a la población a fortalecer el cuidado de la salud mental mediante la adopción de hábitos saludables y actividades que contribuyan al bienestar emocional.La institución destacó que la salud mental influye directamente en la manera en que las personas piensan, sienten y actúan en su vida cotidiana, por lo que su atención es fundamental durante todas las etapas de la vida, particularmente en la adolescencia y juventud, debido a los cambios físicos, hormonales y emocionales propios de estos periodos.El IMSS señaló que los trastornos mentales pueden presentarse en cualquier persona y tienen un origen multifactorial, relacionado con aspectos genéticos, psicológicos, neurológicos, ambientales y sociales.</t>
  </si>
  <si>
    <t>Prevención De Enfermedades</t>
  </si>
  <si>
    <t>El Hospital con Garra ha atendido 310 casos de maltrato, lesiones y abandono de perros y gatos, desde septiembre de 2025 a la fecha.</t>
  </si>
  <si>
    <t>Protección Animal</t>
  </si>
  <si>
    <t>Radioescucha 63 24 dice: «Muy buenos días, un abrazo, saludos. Le comento que en la escuela Ramón G. Bonfil ya estaban integrados los grupos, pero las maestras hicieron un cambio escogiendo a los niños como quisieron y eso no es correcto. Que ponga... que ponga orden la SEPH. Ahí la maestra no quiere trabajar y agarran a niños sin ningún problema académico o psicológico.</t>
  </si>
  <si>
    <t>Y a cuatro años del gobierno de Julio Menchaca Salazar, la Secretaría del Despacho del Poder Ejecutivo, impulsa la recuperación de espacios públicos para fortalecer la convivencia, la cultura y la participación ciudadana. El denominado Palco del Pueblo abrió sus puertas en 102 ocasiones y recibió a 4,805 personas, entre ellas 1,665 niñas y niños.</t>
  </si>
  <si>
    <t>La Unidad de Rehabilitación de Fauna Silvestre de Pachuca realizará una nueva edición de su Curso en Rehabilitación, que se llevará a cabo del 9 al 15 de noviembre de 2026 con una propuesta renovada en modalidad híbrida.Esta dinámica permitirá combinar sesiones teóricas en línea con prácticas presenciales en las instalaciones de la Unidad, para brindar una formación integral en el manejo y rehabilitación de especies silvestres.El programa contempla temas como abordaje médico inicial, nutrición y procesos de rehabilitación, atención neonatal y pediátrica, además del modelo de trabajo implementado por esta Unidad, ampliamente reconocida a nivel nacional por el uso de biosimuladores.Este curso está dirigido a estudiantes de Medicina Veterinaria y Zootecnia, Biología y profesionales que trabajen con fauna silvestre. A lo largo de 10 sesiones teóricas y 6 prácticas, las y los participantes fortalecerán sus conocimientos en medicina veterinaria, biología, bienestar animal, conservación y rehabilitación de fauna silvestre.La capacitación contará con tres modalidades de inscripción: teórico-práctica, con un costo de $4,100; teórica, por $1,800; y práctica, por $3,000. Cada opción está diseñada para responder a las distintas necesidades e intereses de las y los participantes.Con cupo limitado, se invita a las y los interesados a acercarse a la Unidad de Rehabilitación o comunicarse al 771 835 1458 para resolver dudas, conocer el proceso de inscripción y realizar el pago correspondiente.</t>
  </si>
  <si>
    <t>Rehabilitación animal</t>
  </si>
  <si>
    <t>Radioescucha escuché lo de la apertura de la Ramón G. Bonfil. Mi pregunta es: ¿por qué no abren la de Venta Prieta frente a las tiendas departamentales?». Pues vamos a ver qué es lo que pasa</t>
  </si>
  <si>
    <t>En otros temas inició la renovación integral de la calzada principal Melchor Ocampo aquí en Tula de Allende. La información nos la presenta Claudia Alcántara. Gracias, buenos días, con una inversión planeada y validada por la Secretaría de Hacienda, el Ayuntamiento de Tula inició la renovación integral de la calzada principal Melchor Ocampo, obra que busca mejorar la movilidad y recuperar la imagen urbana del municipio, destacó el alcalde de Tula, Cristian Martínez. Pero más allá del tema del presupuesto y el gran esfuerzo que hemos hecho, hoy estamos cumpliendo una demanda de miles de ciudadanos tulenses y de la región. Uno es la mejor movilidad, dos el aspecto de recuperar nuestra ciudad porque el comentario que hacen hacia Tula después de haber sufrido pandemia, después de haber sufrido inundación, es que Tula está feo, que Tula huele mal.Los trabajos comenzarán en los carriles centrales, mientras que los laterales permanecerán habilitados para evitar el cierre total de esta importante vialidad. El proyecto contempla nuevas banquetas, guarniciones, áreas verdes, árboles, una rotonda con escultura y mejoras a la red de drenaje para evitar descargas al río y malos olores en el centro de Tula.</t>
  </si>
  <si>
    <t>Radioescucha 93 13 señor Fidel: Muy buenos días. Licenciado, pues preguntando si sabías cuándo liberarán la tarifa de los taxis, ¿puedes preguntarle a los de la Secretaría? Gracias». Movilidad y Transporte, por favor, mi estimado Cristian Yair Castañeda, Secretario, por favor, si nos echan la mano: ¿cuándo liberarán ya la tarifa de los taxis?, porque es un verdadero desastre ya en un momento determinado.</t>
  </si>
  <si>
    <t>Tarifario de taxis</t>
  </si>
  <si>
    <t>En el marco del mes del testamento, mes de septiembre, mes del testamento, el gobierno de Hidalgo promueve entre las personas adultas mayores la importancia de contar con este documento legal para proteger su patrimonio y evitar conflictos familiares.</t>
  </si>
  <si>
    <t>Vamos a temas en materia de protección civil. La Dirección de Protección Civil y Bomberos de Alfajayucan informó que en coordinación con la CONAGUA se realizan trabajos de trasvase de agua de la presa Javier Rojo Gómez a la presa Vicente Aguirre. Como consecuencia de estas maniobras, se registra acumulación de espuma en el cauce del río, a la altura de la carretera Alfajayucan-Chilcuautla. Las autoridades pidieron a la población tomar vías alternas durante la mañana, evitar cruzar por la zona afectada y atender las indicaciones del personal de protección civil.</t>
  </si>
  <si>
    <t>Trasvase de agua</t>
  </si>
  <si>
    <t>Comentario Locutor sobre venta de uniformes en redes sociales : Y en este México mágico, antes de continuar con esta información, mire, es lamentable que padres de familia, cuando reciben este uniforme o estos zapatos, ya se puede ver en redes sociales, sobre todo en Facebook, que lo están vendiendo a bajo costo. O sea, no les costó nada, se los dio, pues, es parte de nuestros impuestos, pero cuando se los dan de forma gratuita, ya los están publicando en Facebook, en 200 pesos, 250 pesos, imagínese usted.</t>
  </si>
  <si>
    <t>Venta de apoyos sociales</t>
  </si>
  <si>
    <t>Radioescucha pide al ayuntamiento que en el Fraccionamiento Camelinas en la calle de Pirules la chequen, ya que esta en muy mal estado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</si>
</sst>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76" tableType="queryTable" totalsRowShown="0">
  <autoFilter ref="A1:M176"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76"/>
  <sheetViews>
    <sheetView tabSelected="1" workbookViewId="0"/>
  </sheetViews>
  <sheetFormatPr baseColWidth="10" defaultRowHeight="15" x14ac:dyDescent="0.25"/>
  <cols>
    <col min="1" max="1" width="8.5703125" bestFit="1" customWidth="1"/>
    <col min="2" max="2" width="11.42578125" bestFit="1" customWidth="1"/>
    <col min="3" max="3" width="26" bestFit="1" customWidth="1"/>
    <col min="4" max="4" width="30.42578125" bestFit="1" customWidth="1"/>
    <col min="5" max="5" width="81.140625" bestFit="1" customWidth="1"/>
    <col min="6" max="6" width="15.28515625" bestFit="1" customWidth="1"/>
    <col min="7" max="7" width="33.140625" bestFit="1" customWidth="1"/>
    <col min="8" max="9" width="12.425781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25</v>
      </c>
      <c r="C1" t="s">
        <v>26</v>
      </c>
      <c r="D1" t="s">
        <v>27</v>
      </c>
      <c r="E1" t="s">
        <v>1</v>
      </c>
      <c r="F1" t="s">
        <v>2</v>
      </c>
      <c r="G1" t="s">
        <v>4</v>
      </c>
      <c r="H1" t="s">
        <v>3</v>
      </c>
      <c r="I1" t="s">
        <v>5</v>
      </c>
      <c r="J1" t="s">
        <v>28</v>
      </c>
      <c r="K1" t="s">
        <v>29</v>
      </c>
      <c r="L1" t="s">
        <v>30</v>
      </c>
      <c r="M1" t="s">
        <v>37</v>
      </c>
    </row>
    <row r="2" spans="1:13" x14ac:dyDescent="0.25">
      <c r="A2" s="2">
        <v>46267</v>
      </c>
      <c r="B2" s="1" t="str">
        <f ca="1">IF(Información1[[#This Row],[Fecha]]='Ajuste de fechas'!$A$2,"Día actual","Día anterior")</f>
        <v>Día anterior</v>
      </c>
      <c r="C2" s="3" t="s">
        <v>66</v>
      </c>
      <c r="D2" t="s">
        <v>67</v>
      </c>
      <c r="E2" s="3" t="s">
        <v>68</v>
      </c>
      <c r="F2" s="3" t="s">
        <v>16</v>
      </c>
      <c r="G2" s="3" t="s">
        <v>69</v>
      </c>
      <c r="H2" s="3" t="s">
        <v>58</v>
      </c>
      <c r="I2" s="3" t="s">
        <v>22</v>
      </c>
      <c r="J2" s="3" t="s">
        <v>35</v>
      </c>
      <c r="K2" s="3" t="s">
        <v>9</v>
      </c>
      <c r="L2" s="3" t="s">
        <v>33</v>
      </c>
      <c r="M2">
        <v>1</v>
      </c>
    </row>
    <row r="3" spans="1:13" x14ac:dyDescent="0.25">
      <c r="A3" s="2">
        <v>46267</v>
      </c>
      <c r="B3" s="1" t="str">
        <f ca="1">IF(Información1[[#This Row],[Fecha]]='Ajuste de fechas'!$A$2,"Día actual","Día anterior")</f>
        <v>Día anterior</v>
      </c>
      <c r="C3" s="3" t="s">
        <v>66</v>
      </c>
      <c r="D3" t="s">
        <v>67</v>
      </c>
      <c r="E3" s="3" t="s">
        <v>70</v>
      </c>
      <c r="F3" s="3" t="s">
        <v>6</v>
      </c>
      <c r="G3" s="3" t="s">
        <v>71</v>
      </c>
      <c r="H3" s="3" t="s">
        <v>58</v>
      </c>
      <c r="I3" s="3" t="s">
        <v>22</v>
      </c>
      <c r="J3" s="3" t="s">
        <v>31</v>
      </c>
      <c r="K3" s="3" t="s">
        <v>9</v>
      </c>
      <c r="L3" s="3" t="s">
        <v>33</v>
      </c>
      <c r="M3">
        <v>1</v>
      </c>
    </row>
    <row r="4" spans="1:13" x14ac:dyDescent="0.25">
      <c r="A4" s="2">
        <v>46267</v>
      </c>
      <c r="B4" s="1" t="str">
        <f ca="1">IF(Información1[[#This Row],[Fecha]]='Ajuste de fechas'!$A$2,"Día actual","Día anterior")</f>
        <v>Día anterior</v>
      </c>
      <c r="C4" s="3" t="s">
        <v>66</v>
      </c>
      <c r="D4" t="s">
        <v>67</v>
      </c>
      <c r="E4" s="3" t="s">
        <v>72</v>
      </c>
      <c r="F4" s="3" t="s">
        <v>73</v>
      </c>
      <c r="G4" s="3" t="s">
        <v>74</v>
      </c>
      <c r="H4" s="3" t="s">
        <v>58</v>
      </c>
      <c r="I4" s="3" t="s">
        <v>7</v>
      </c>
      <c r="J4" s="3" t="s">
        <v>21</v>
      </c>
      <c r="K4" s="3" t="s">
        <v>75</v>
      </c>
      <c r="L4" s="3" t="s">
        <v>33</v>
      </c>
      <c r="M4">
        <v>1</v>
      </c>
    </row>
    <row r="5" spans="1:13" x14ac:dyDescent="0.25">
      <c r="A5" s="2">
        <v>46267</v>
      </c>
      <c r="B5" s="1" t="str">
        <f ca="1">IF(Información1[[#This Row],[Fecha]]='Ajuste de fechas'!$A$2,"Día actual","Día anterior")</f>
        <v>Día anterior</v>
      </c>
      <c r="C5" s="3" t="s">
        <v>76</v>
      </c>
      <c r="D5" t="s">
        <v>77</v>
      </c>
      <c r="E5" s="3" t="s">
        <v>78</v>
      </c>
      <c r="F5" s="3" t="s">
        <v>79</v>
      </c>
      <c r="G5" s="3" t="s">
        <v>80</v>
      </c>
      <c r="H5" s="3" t="s">
        <v>81</v>
      </c>
      <c r="I5" s="3" t="s">
        <v>7</v>
      </c>
      <c r="J5" s="3" t="s">
        <v>31</v>
      </c>
      <c r="K5" s="3" t="s">
        <v>82</v>
      </c>
      <c r="L5" s="3" t="s">
        <v>34</v>
      </c>
      <c r="M5">
        <v>1</v>
      </c>
    </row>
    <row r="6" spans="1:13" x14ac:dyDescent="0.25">
      <c r="A6" s="2">
        <v>46267</v>
      </c>
      <c r="B6" s="1" t="str">
        <f ca="1">IF(Información1[[#This Row],[Fecha]]='Ajuste de fechas'!$A$2,"Día actual","Día anterior")</f>
        <v>Día anterior</v>
      </c>
      <c r="C6" s="3" t="s">
        <v>76</v>
      </c>
      <c r="D6" t="s">
        <v>77</v>
      </c>
      <c r="E6" s="3" t="s">
        <v>83</v>
      </c>
      <c r="F6" s="3" t="s">
        <v>48</v>
      </c>
      <c r="G6" s="3" t="s">
        <v>84</v>
      </c>
      <c r="H6" s="3" t="s">
        <v>81</v>
      </c>
      <c r="I6" s="3" t="s">
        <v>7</v>
      </c>
      <c r="J6" s="3" t="s">
        <v>31</v>
      </c>
      <c r="K6" s="3" t="s">
        <v>85</v>
      </c>
      <c r="L6" s="3" t="s">
        <v>34</v>
      </c>
      <c r="M6">
        <v>1</v>
      </c>
    </row>
    <row r="7" spans="1:13" x14ac:dyDescent="0.25">
      <c r="A7" s="2">
        <v>46267</v>
      </c>
      <c r="B7" s="1" t="str">
        <f ca="1">IF(Información1[[#This Row],[Fecha]]='Ajuste de fechas'!$A$2,"Día actual","Día anterior")</f>
        <v>Día anterior</v>
      </c>
      <c r="C7" s="3" t="s">
        <v>76</v>
      </c>
      <c r="D7" t="s">
        <v>77</v>
      </c>
      <c r="E7" s="3" t="s">
        <v>86</v>
      </c>
      <c r="F7" s="3" t="s">
        <v>87</v>
      </c>
      <c r="G7" s="3" t="s">
        <v>88</v>
      </c>
      <c r="H7" s="3" t="s">
        <v>81</v>
      </c>
      <c r="I7" s="3" t="s">
        <v>7</v>
      </c>
      <c r="J7" s="3" t="s">
        <v>31</v>
      </c>
      <c r="K7" s="3" t="s">
        <v>82</v>
      </c>
      <c r="L7" s="3" t="s">
        <v>34</v>
      </c>
      <c r="M7">
        <v>1</v>
      </c>
    </row>
    <row r="8" spans="1:13" x14ac:dyDescent="0.25">
      <c r="A8" s="2">
        <v>46267</v>
      </c>
      <c r="B8" s="1" t="str">
        <f ca="1">IF(Información1[[#This Row],[Fecha]]='Ajuste de fechas'!$A$2,"Día actual","Día anterior")</f>
        <v>Día anterior</v>
      </c>
      <c r="C8" s="3" t="s">
        <v>76</v>
      </c>
      <c r="D8" t="s">
        <v>77</v>
      </c>
      <c r="E8" s="3" t="s">
        <v>89</v>
      </c>
      <c r="F8" s="3" t="s">
        <v>53</v>
      </c>
      <c r="G8" s="3" t="s">
        <v>90</v>
      </c>
      <c r="H8" s="3" t="s">
        <v>81</v>
      </c>
      <c r="I8" s="3" t="s">
        <v>7</v>
      </c>
      <c r="J8" s="3" t="s">
        <v>31</v>
      </c>
      <c r="K8" s="3" t="s">
        <v>85</v>
      </c>
      <c r="L8" s="3" t="s">
        <v>32</v>
      </c>
      <c r="M8">
        <v>1</v>
      </c>
    </row>
    <row r="9" spans="1:13" x14ac:dyDescent="0.25">
      <c r="A9" s="2">
        <v>46267</v>
      </c>
      <c r="B9" s="1" t="str">
        <f ca="1">IF(Información1[[#This Row],[Fecha]]='Ajuste de fechas'!$A$2,"Día actual","Día anterior")</f>
        <v>Día anterior</v>
      </c>
      <c r="C9" s="3" t="s">
        <v>76</v>
      </c>
      <c r="D9" t="s">
        <v>77</v>
      </c>
      <c r="E9" s="3" t="s">
        <v>91</v>
      </c>
      <c r="F9" s="3" t="s">
        <v>53</v>
      </c>
      <c r="G9" s="3" t="s">
        <v>92</v>
      </c>
      <c r="H9" s="3" t="s">
        <v>81</v>
      </c>
      <c r="I9" s="3" t="s">
        <v>7</v>
      </c>
      <c r="J9" s="3" t="s">
        <v>31</v>
      </c>
      <c r="K9" s="3" t="s">
        <v>82</v>
      </c>
      <c r="L9" s="3" t="s">
        <v>34</v>
      </c>
      <c r="M9">
        <v>1</v>
      </c>
    </row>
    <row r="10" spans="1:13" x14ac:dyDescent="0.25">
      <c r="A10" s="2">
        <v>46267</v>
      </c>
      <c r="B10" s="1" t="str">
        <f ca="1">IF(Información1[[#This Row],[Fecha]]='Ajuste de fechas'!$A$2,"Día actual","Día anterior")</f>
        <v>Día anterior</v>
      </c>
      <c r="C10" s="3" t="s">
        <v>76</v>
      </c>
      <c r="D10" t="s">
        <v>77</v>
      </c>
      <c r="E10" s="3" t="s">
        <v>93</v>
      </c>
      <c r="F10" s="3" t="s">
        <v>48</v>
      </c>
      <c r="G10" s="3" t="s">
        <v>84</v>
      </c>
      <c r="H10" s="3" t="s">
        <v>81</v>
      </c>
      <c r="I10" s="3" t="s">
        <v>7</v>
      </c>
      <c r="J10" s="3" t="s">
        <v>31</v>
      </c>
      <c r="K10" s="3" t="s">
        <v>85</v>
      </c>
      <c r="L10" s="3" t="s">
        <v>32</v>
      </c>
      <c r="M10">
        <v>1</v>
      </c>
    </row>
    <row r="11" spans="1:13" x14ac:dyDescent="0.25">
      <c r="A11" s="2">
        <v>46267</v>
      </c>
      <c r="B11" s="1" t="str">
        <f ca="1">IF(Información1[[#This Row],[Fecha]]='Ajuste de fechas'!$A$2,"Día actual","Día anterior")</f>
        <v>Día anterior</v>
      </c>
      <c r="C11" s="3" t="s">
        <v>76</v>
      </c>
      <c r="D11" t="s">
        <v>77</v>
      </c>
      <c r="E11" s="3" t="s">
        <v>94</v>
      </c>
      <c r="F11" s="3" t="s">
        <v>20</v>
      </c>
      <c r="G11" s="3" t="s">
        <v>95</v>
      </c>
      <c r="H11" s="3" t="s">
        <v>81</v>
      </c>
      <c r="I11" s="3" t="s">
        <v>7</v>
      </c>
      <c r="J11" s="3" t="s">
        <v>31</v>
      </c>
      <c r="K11" s="3" t="s">
        <v>85</v>
      </c>
      <c r="L11" s="3" t="s">
        <v>33</v>
      </c>
      <c r="M11">
        <v>1</v>
      </c>
    </row>
    <row r="12" spans="1:13" x14ac:dyDescent="0.25">
      <c r="A12" s="2">
        <v>46267</v>
      </c>
      <c r="B12" s="1" t="str">
        <f ca="1">IF(Información1[[#This Row],[Fecha]]='Ajuste de fechas'!$A$2,"Día actual","Día anterior")</f>
        <v>Día anterior</v>
      </c>
      <c r="C12" s="3" t="s">
        <v>76</v>
      </c>
      <c r="D12" t="s">
        <v>77</v>
      </c>
      <c r="E12" s="3" t="s">
        <v>96</v>
      </c>
      <c r="F12" s="3" t="s">
        <v>97</v>
      </c>
      <c r="G12" s="3" t="s">
        <v>98</v>
      </c>
      <c r="H12" s="3" t="s">
        <v>81</v>
      </c>
      <c r="I12" s="3" t="s">
        <v>11</v>
      </c>
      <c r="J12" s="3" t="s">
        <v>31</v>
      </c>
      <c r="K12" s="3" t="s">
        <v>85</v>
      </c>
      <c r="L12" s="3" t="s">
        <v>33</v>
      </c>
      <c r="M12">
        <v>1</v>
      </c>
    </row>
    <row r="13" spans="1:13" x14ac:dyDescent="0.25">
      <c r="A13" s="2">
        <v>46267</v>
      </c>
      <c r="B13" s="1" t="str">
        <f ca="1">IF(Información1[[#This Row],[Fecha]]='Ajuste de fechas'!$A$2,"Día actual","Día anterior")</f>
        <v>Día anterior</v>
      </c>
      <c r="C13" s="3" t="s">
        <v>76</v>
      </c>
      <c r="D13" t="s">
        <v>77</v>
      </c>
      <c r="E13" s="3" t="s">
        <v>99</v>
      </c>
      <c r="F13" s="3" t="s">
        <v>23</v>
      </c>
      <c r="G13" s="3" t="s">
        <v>55</v>
      </c>
      <c r="H13" s="3" t="s">
        <v>81</v>
      </c>
      <c r="I13" s="3" t="s">
        <v>7</v>
      </c>
      <c r="J13" s="3" t="s">
        <v>31</v>
      </c>
      <c r="K13" s="3" t="s">
        <v>85</v>
      </c>
      <c r="L13" s="3" t="s">
        <v>32</v>
      </c>
      <c r="M13">
        <v>1</v>
      </c>
    </row>
    <row r="14" spans="1:13" x14ac:dyDescent="0.25">
      <c r="A14" s="2">
        <v>46267</v>
      </c>
      <c r="B14" s="1" t="str">
        <f ca="1">IF(Información1[[#This Row],[Fecha]]='Ajuste de fechas'!$A$2,"Día actual","Día anterior")</f>
        <v>Día anterior</v>
      </c>
      <c r="C14" s="3" t="s">
        <v>76</v>
      </c>
      <c r="D14" t="s">
        <v>77</v>
      </c>
      <c r="E14" s="3" t="s">
        <v>100</v>
      </c>
      <c r="F14" s="3" t="s">
        <v>19</v>
      </c>
      <c r="G14" s="3" t="s">
        <v>101</v>
      </c>
      <c r="H14" s="3" t="s">
        <v>81</v>
      </c>
      <c r="I14" s="3" t="s">
        <v>7</v>
      </c>
      <c r="J14" s="3" t="s">
        <v>36</v>
      </c>
      <c r="K14" s="3" t="s">
        <v>85</v>
      </c>
      <c r="L14" s="3" t="s">
        <v>32</v>
      </c>
      <c r="M14">
        <v>1</v>
      </c>
    </row>
    <row r="15" spans="1:13" x14ac:dyDescent="0.25">
      <c r="A15" s="2">
        <v>46267</v>
      </c>
      <c r="B15" s="1" t="str">
        <f ca="1">IF(Información1[[#This Row],[Fecha]]='Ajuste de fechas'!$A$2,"Día actual","Día anterior")</f>
        <v>Día anterior</v>
      </c>
      <c r="C15" s="3" t="s">
        <v>76</v>
      </c>
      <c r="D15" t="s">
        <v>77</v>
      </c>
      <c r="E15" s="3" t="s">
        <v>102</v>
      </c>
      <c r="F15" s="3" t="s">
        <v>23</v>
      </c>
      <c r="G15" s="3" t="s">
        <v>103</v>
      </c>
      <c r="H15" s="3" t="s">
        <v>81</v>
      </c>
      <c r="I15" s="3" t="s">
        <v>7</v>
      </c>
      <c r="J15" s="3" t="s">
        <v>31</v>
      </c>
      <c r="K15" s="3" t="s">
        <v>85</v>
      </c>
      <c r="L15" s="3" t="s">
        <v>34</v>
      </c>
      <c r="M15">
        <v>1</v>
      </c>
    </row>
    <row r="16" spans="1:13" x14ac:dyDescent="0.25">
      <c r="A16" s="2">
        <v>46267</v>
      </c>
      <c r="B16" s="1" t="str">
        <f ca="1">IF(Información1[[#This Row],[Fecha]]='Ajuste de fechas'!$A$2,"Día actual","Día anterior")</f>
        <v>Día anterior</v>
      </c>
      <c r="C16" s="3" t="s">
        <v>76</v>
      </c>
      <c r="D16" t="s">
        <v>77</v>
      </c>
      <c r="E16" s="3" t="s">
        <v>104</v>
      </c>
      <c r="F16" s="3" t="s">
        <v>87</v>
      </c>
      <c r="G16" s="3" t="s">
        <v>105</v>
      </c>
      <c r="H16" s="3" t="s">
        <v>81</v>
      </c>
      <c r="I16" s="3" t="s">
        <v>7</v>
      </c>
      <c r="J16" s="3" t="s">
        <v>31</v>
      </c>
      <c r="K16" s="3" t="s">
        <v>85</v>
      </c>
      <c r="L16" s="3" t="s">
        <v>32</v>
      </c>
      <c r="M16">
        <v>1</v>
      </c>
    </row>
    <row r="17" spans="1:13" x14ac:dyDescent="0.25">
      <c r="A17" s="2">
        <v>46267</v>
      </c>
      <c r="B17" s="1" t="str">
        <f ca="1">IF(Información1[[#This Row],[Fecha]]='Ajuste de fechas'!$A$2,"Día actual","Día anterior")</f>
        <v>Día anterior</v>
      </c>
      <c r="C17" s="3" t="s">
        <v>76</v>
      </c>
      <c r="D17" t="s">
        <v>77</v>
      </c>
      <c r="E17" s="3" t="s">
        <v>106</v>
      </c>
      <c r="F17" s="3" t="s">
        <v>23</v>
      </c>
      <c r="G17" s="3" t="s">
        <v>107</v>
      </c>
      <c r="H17" s="3" t="s">
        <v>81</v>
      </c>
      <c r="I17" s="3" t="s">
        <v>7</v>
      </c>
      <c r="J17" s="3" t="s">
        <v>31</v>
      </c>
      <c r="K17" s="3" t="s">
        <v>85</v>
      </c>
      <c r="L17" s="3" t="s">
        <v>32</v>
      </c>
      <c r="M17">
        <v>1</v>
      </c>
    </row>
    <row r="18" spans="1:13" x14ac:dyDescent="0.25">
      <c r="A18" s="2">
        <v>46267</v>
      </c>
      <c r="B18" s="1" t="str">
        <f ca="1">IF(Información1[[#This Row],[Fecha]]='Ajuste de fechas'!$A$2,"Día actual","Día anterior")</f>
        <v>Día anterior</v>
      </c>
      <c r="C18" s="3" t="s">
        <v>76</v>
      </c>
      <c r="D18" t="s">
        <v>77</v>
      </c>
      <c r="E18" s="3" t="s">
        <v>108</v>
      </c>
      <c r="F18" s="3" t="s">
        <v>18</v>
      </c>
      <c r="G18" s="3" t="s">
        <v>109</v>
      </c>
      <c r="H18" s="3" t="s">
        <v>81</v>
      </c>
      <c r="I18" s="3" t="s">
        <v>7</v>
      </c>
      <c r="J18" s="3" t="s">
        <v>31</v>
      </c>
      <c r="K18" s="3" t="s">
        <v>85</v>
      </c>
      <c r="L18" s="3" t="s">
        <v>32</v>
      </c>
      <c r="M18">
        <v>1</v>
      </c>
    </row>
    <row r="19" spans="1:13" x14ac:dyDescent="0.25">
      <c r="A19" s="2">
        <v>46267</v>
      </c>
      <c r="B19" s="1" t="str">
        <f ca="1">IF(Información1[[#This Row],[Fecha]]='Ajuste de fechas'!$A$2,"Día actual","Día anterior")</f>
        <v>Día anterior</v>
      </c>
      <c r="C19" s="3" t="s">
        <v>76</v>
      </c>
      <c r="D19" t="s">
        <v>77</v>
      </c>
      <c r="E19" s="3" t="s">
        <v>110</v>
      </c>
      <c r="F19" s="3" t="s">
        <v>20</v>
      </c>
      <c r="G19" s="3" t="s">
        <v>52</v>
      </c>
      <c r="H19" s="3" t="s">
        <v>81</v>
      </c>
      <c r="I19" s="3" t="s">
        <v>7</v>
      </c>
      <c r="J19" s="3" t="s">
        <v>31</v>
      </c>
      <c r="K19" s="3" t="s">
        <v>82</v>
      </c>
      <c r="L19" s="3" t="s">
        <v>32</v>
      </c>
      <c r="M19">
        <v>1</v>
      </c>
    </row>
    <row r="20" spans="1:13" x14ac:dyDescent="0.25">
      <c r="A20" s="2">
        <v>46267</v>
      </c>
      <c r="B20" s="1" t="str">
        <f ca="1">IF(Información1[[#This Row],[Fecha]]='Ajuste de fechas'!$A$2,"Día actual","Día anterior")</f>
        <v>Día anterior</v>
      </c>
      <c r="C20" s="3" t="s">
        <v>66</v>
      </c>
      <c r="D20" t="s">
        <v>67</v>
      </c>
      <c r="E20" s="3" t="s">
        <v>111</v>
      </c>
      <c r="F20" s="3" t="s">
        <v>45</v>
      </c>
      <c r="G20" s="3" t="s">
        <v>65</v>
      </c>
      <c r="H20" s="3" t="s">
        <v>58</v>
      </c>
      <c r="I20" s="3" t="s">
        <v>7</v>
      </c>
      <c r="J20" s="3" t="s">
        <v>31</v>
      </c>
      <c r="K20" s="3" t="s">
        <v>75</v>
      </c>
      <c r="L20" s="3" t="s">
        <v>34</v>
      </c>
      <c r="M20">
        <v>1</v>
      </c>
    </row>
    <row r="21" spans="1:13" x14ac:dyDescent="0.25">
      <c r="A21" s="2">
        <v>46267</v>
      </c>
      <c r="B21" s="1" t="str">
        <f ca="1">IF(Información1[[#This Row],[Fecha]]='Ajuste de fechas'!$A$2,"Día actual","Día anterior")</f>
        <v>Día anterior</v>
      </c>
      <c r="C21" s="3" t="s">
        <v>66</v>
      </c>
      <c r="D21" t="s">
        <v>67</v>
      </c>
      <c r="E21" s="3" t="s">
        <v>112</v>
      </c>
      <c r="F21" s="3" t="s">
        <v>74</v>
      </c>
      <c r="G21" s="3" t="s">
        <v>113</v>
      </c>
      <c r="H21" s="3" t="s">
        <v>58</v>
      </c>
      <c r="I21" s="3" t="s">
        <v>22</v>
      </c>
      <c r="J21" s="3" t="s">
        <v>114</v>
      </c>
      <c r="K21" s="3" t="s">
        <v>75</v>
      </c>
      <c r="L21" s="3" t="s">
        <v>32</v>
      </c>
      <c r="M21">
        <v>1</v>
      </c>
    </row>
    <row r="22" spans="1:13" x14ac:dyDescent="0.25">
      <c r="A22" s="2">
        <v>46267</v>
      </c>
      <c r="B22" s="1" t="str">
        <f ca="1">IF(Información1[[#This Row],[Fecha]]='Ajuste de fechas'!$A$2,"Día actual","Día anterior")</f>
        <v>Día anterior</v>
      </c>
      <c r="C22" s="3" t="s">
        <v>66</v>
      </c>
      <c r="D22" t="s">
        <v>67</v>
      </c>
      <c r="E22" s="3" t="s">
        <v>115</v>
      </c>
      <c r="F22" s="3" t="s">
        <v>73</v>
      </c>
      <c r="G22" s="3" t="s">
        <v>116</v>
      </c>
      <c r="H22" s="3" t="s">
        <v>58</v>
      </c>
      <c r="I22" s="3" t="s">
        <v>7</v>
      </c>
      <c r="J22" s="3" t="s">
        <v>21</v>
      </c>
      <c r="K22" s="3" t="s">
        <v>75</v>
      </c>
      <c r="L22" s="3" t="s">
        <v>32</v>
      </c>
      <c r="M22">
        <v>1</v>
      </c>
    </row>
    <row r="23" spans="1:13" x14ac:dyDescent="0.25">
      <c r="A23" s="2">
        <v>46267</v>
      </c>
      <c r="B23" s="1" t="str">
        <f ca="1">IF(Información1[[#This Row],[Fecha]]='Ajuste de fechas'!$A$2,"Día actual","Día anterior")</f>
        <v>Día anterior</v>
      </c>
      <c r="C23" s="3" t="s">
        <v>66</v>
      </c>
      <c r="D23" t="s">
        <v>67</v>
      </c>
      <c r="E23" s="3" t="s">
        <v>117</v>
      </c>
      <c r="F23" s="3" t="s">
        <v>16</v>
      </c>
      <c r="G23" s="3" t="s">
        <v>74</v>
      </c>
      <c r="H23" s="3" t="s">
        <v>58</v>
      </c>
      <c r="I23" s="3" t="s">
        <v>7</v>
      </c>
      <c r="J23" s="3" t="s">
        <v>35</v>
      </c>
      <c r="K23" s="3" t="s">
        <v>75</v>
      </c>
      <c r="L23" s="3" t="s">
        <v>32</v>
      </c>
      <c r="M23">
        <v>1</v>
      </c>
    </row>
    <row r="24" spans="1:13" x14ac:dyDescent="0.25">
      <c r="A24" s="2">
        <v>46267</v>
      </c>
      <c r="B24" s="1" t="str">
        <f ca="1">IF(Información1[[#This Row],[Fecha]]='Ajuste de fechas'!$A$2,"Día actual","Día anterior")</f>
        <v>Día anterior</v>
      </c>
      <c r="C24" s="3" t="s">
        <v>66</v>
      </c>
      <c r="D24" t="s">
        <v>67</v>
      </c>
      <c r="E24" s="3" t="s">
        <v>118</v>
      </c>
      <c r="F24" s="3" t="s">
        <v>73</v>
      </c>
      <c r="G24" s="3" t="s">
        <v>119</v>
      </c>
      <c r="H24" s="3" t="s">
        <v>58</v>
      </c>
      <c r="I24" s="3" t="s">
        <v>22</v>
      </c>
      <c r="J24" s="3" t="s">
        <v>21</v>
      </c>
      <c r="K24" s="3" t="s">
        <v>75</v>
      </c>
      <c r="L24" s="3" t="s">
        <v>32</v>
      </c>
      <c r="M24">
        <v>1</v>
      </c>
    </row>
    <row r="25" spans="1:13" x14ac:dyDescent="0.25">
      <c r="A25" s="2">
        <v>46267</v>
      </c>
      <c r="B25" s="1" t="str">
        <f ca="1">IF(Información1[[#This Row],[Fecha]]='Ajuste de fechas'!$A$2,"Día actual","Día anterior")</f>
        <v>Día anterior</v>
      </c>
      <c r="C25" s="3" t="s">
        <v>66</v>
      </c>
      <c r="D25" t="s">
        <v>67</v>
      </c>
      <c r="E25" s="3" t="s">
        <v>120</v>
      </c>
      <c r="F25" s="3" t="s">
        <v>19</v>
      </c>
      <c r="G25" s="3" t="s">
        <v>103</v>
      </c>
      <c r="H25" s="3" t="s">
        <v>58</v>
      </c>
      <c r="I25" s="3" t="s">
        <v>7</v>
      </c>
      <c r="J25" s="3" t="s">
        <v>36</v>
      </c>
      <c r="K25" s="3" t="s">
        <v>121</v>
      </c>
      <c r="L25" s="3" t="s">
        <v>32</v>
      </c>
      <c r="M25">
        <v>1</v>
      </c>
    </row>
    <row r="26" spans="1:13" x14ac:dyDescent="0.25">
      <c r="A26" s="2">
        <v>46267</v>
      </c>
      <c r="B26" s="1" t="str">
        <f ca="1">IF(Información1[[#This Row],[Fecha]]='Ajuste de fechas'!$A$2,"Día actual","Día anterior")</f>
        <v>Día anterior</v>
      </c>
      <c r="C26" s="3" t="s">
        <v>66</v>
      </c>
      <c r="D26" t="s">
        <v>67</v>
      </c>
      <c r="E26" s="3" t="s">
        <v>102</v>
      </c>
      <c r="F26" s="3" t="s">
        <v>23</v>
      </c>
      <c r="G26" s="3" t="s">
        <v>103</v>
      </c>
      <c r="H26" s="3" t="s">
        <v>58</v>
      </c>
      <c r="I26" s="3" t="s">
        <v>7</v>
      </c>
      <c r="J26" s="3" t="s">
        <v>31</v>
      </c>
      <c r="K26" s="3" t="s">
        <v>122</v>
      </c>
      <c r="L26" s="3" t="s">
        <v>34</v>
      </c>
      <c r="M26">
        <v>1</v>
      </c>
    </row>
    <row r="27" spans="1:13" x14ac:dyDescent="0.25">
      <c r="A27" s="2">
        <v>46267</v>
      </c>
      <c r="B27" s="1" t="str">
        <f ca="1">IF(Información1[[#This Row],[Fecha]]='Ajuste de fechas'!$A$2,"Día actual","Día anterior")</f>
        <v>Día anterior</v>
      </c>
      <c r="C27" s="3" t="s">
        <v>66</v>
      </c>
      <c r="D27" t="s">
        <v>67</v>
      </c>
      <c r="E27" s="3" t="s">
        <v>123</v>
      </c>
      <c r="F27" s="3" t="s">
        <v>16</v>
      </c>
      <c r="G27" s="3" t="s">
        <v>124</v>
      </c>
      <c r="H27" s="3" t="s">
        <v>58</v>
      </c>
      <c r="I27" s="3" t="s">
        <v>7</v>
      </c>
      <c r="J27" s="3" t="s">
        <v>35</v>
      </c>
      <c r="K27" s="3" t="s">
        <v>122</v>
      </c>
      <c r="L27" s="3" t="s">
        <v>32</v>
      </c>
      <c r="M27">
        <v>1</v>
      </c>
    </row>
    <row r="28" spans="1:13" x14ac:dyDescent="0.25">
      <c r="A28" s="2">
        <v>46267</v>
      </c>
      <c r="B28" s="1" t="str">
        <f ca="1">IF(Información1[[#This Row],[Fecha]]='Ajuste de fechas'!$A$2,"Día actual","Día anterior")</f>
        <v>Día anterior</v>
      </c>
      <c r="C28" s="3" t="s">
        <v>66</v>
      </c>
      <c r="D28" t="s">
        <v>67</v>
      </c>
      <c r="E28" s="3" t="s">
        <v>125</v>
      </c>
      <c r="F28" s="3" t="s">
        <v>16</v>
      </c>
      <c r="G28" s="3" t="s">
        <v>126</v>
      </c>
      <c r="H28" s="3" t="s">
        <v>58</v>
      </c>
      <c r="I28" s="3" t="s">
        <v>7</v>
      </c>
      <c r="J28" s="3" t="s">
        <v>35</v>
      </c>
      <c r="K28" s="3" t="s">
        <v>127</v>
      </c>
      <c r="L28" s="3" t="s">
        <v>128</v>
      </c>
      <c r="M28">
        <v>1</v>
      </c>
    </row>
    <row r="29" spans="1:13" x14ac:dyDescent="0.25">
      <c r="A29" s="2">
        <v>46267</v>
      </c>
      <c r="B29" s="1" t="str">
        <f ca="1">IF(Información1[[#This Row],[Fecha]]='Ajuste de fechas'!$A$2,"Día actual","Día anterior")</f>
        <v>Día anterior</v>
      </c>
      <c r="C29" s="3" t="s">
        <v>66</v>
      </c>
      <c r="D29" t="s">
        <v>67</v>
      </c>
      <c r="E29" s="3" t="s">
        <v>129</v>
      </c>
      <c r="F29" s="3" t="s">
        <v>16</v>
      </c>
      <c r="G29" s="3" t="s">
        <v>126</v>
      </c>
      <c r="H29" s="3" t="s">
        <v>58</v>
      </c>
      <c r="I29" s="3" t="s">
        <v>7</v>
      </c>
      <c r="J29" s="3" t="s">
        <v>35</v>
      </c>
      <c r="K29" s="3" t="s">
        <v>75</v>
      </c>
      <c r="L29" s="3" t="s">
        <v>32</v>
      </c>
      <c r="M29">
        <v>1</v>
      </c>
    </row>
    <row r="30" spans="1:13" x14ac:dyDescent="0.25">
      <c r="A30" s="2">
        <v>46267</v>
      </c>
      <c r="B30" s="1" t="str">
        <f ca="1">IF(Información1[[#This Row],[Fecha]]='Ajuste de fechas'!$A$2,"Día actual","Día anterior")</f>
        <v>Día anterior</v>
      </c>
      <c r="C30" s="3" t="s">
        <v>66</v>
      </c>
      <c r="D30" t="s">
        <v>67</v>
      </c>
      <c r="E30" s="3" t="s">
        <v>130</v>
      </c>
      <c r="F30" s="3" t="s">
        <v>20</v>
      </c>
      <c r="G30" s="3" t="s">
        <v>126</v>
      </c>
      <c r="H30" s="3" t="s">
        <v>58</v>
      </c>
      <c r="I30" s="3" t="s">
        <v>7</v>
      </c>
      <c r="J30" s="3" t="s">
        <v>31</v>
      </c>
      <c r="K30" s="3" t="s">
        <v>122</v>
      </c>
      <c r="L30" s="3" t="s">
        <v>32</v>
      </c>
      <c r="M30">
        <v>1</v>
      </c>
    </row>
    <row r="31" spans="1:13" x14ac:dyDescent="0.25">
      <c r="A31" s="2">
        <v>46267</v>
      </c>
      <c r="B31" s="1" t="str">
        <f ca="1">IF(Información1[[#This Row],[Fecha]]='Ajuste de fechas'!$A$2,"Día actual","Día anterior")</f>
        <v>Día anterior</v>
      </c>
      <c r="C31" s="3" t="s">
        <v>66</v>
      </c>
      <c r="D31" t="s">
        <v>67</v>
      </c>
      <c r="E31" s="3" t="s">
        <v>131</v>
      </c>
      <c r="F31" s="3" t="s">
        <v>18</v>
      </c>
      <c r="G31" s="3" t="s">
        <v>132</v>
      </c>
      <c r="H31" s="3" t="s">
        <v>58</v>
      </c>
      <c r="I31" s="3" t="s">
        <v>7</v>
      </c>
      <c r="J31" s="3" t="s">
        <v>31</v>
      </c>
      <c r="K31" s="3" t="s">
        <v>122</v>
      </c>
      <c r="L31" s="3" t="s">
        <v>32</v>
      </c>
      <c r="M31">
        <v>1</v>
      </c>
    </row>
    <row r="32" spans="1:13" x14ac:dyDescent="0.25">
      <c r="A32" s="2">
        <v>46267</v>
      </c>
      <c r="B32" s="1" t="str">
        <f ca="1">IF(Información1[[#This Row],[Fecha]]='Ajuste de fechas'!$A$2,"Día actual","Día anterior")</f>
        <v>Día anterior</v>
      </c>
      <c r="C32" s="3" t="s">
        <v>66</v>
      </c>
      <c r="D32" t="s">
        <v>67</v>
      </c>
      <c r="E32" s="3" t="s">
        <v>133</v>
      </c>
      <c r="F32" s="3" t="s">
        <v>23</v>
      </c>
      <c r="G32" s="3" t="s">
        <v>134</v>
      </c>
      <c r="H32" s="3" t="s">
        <v>58</v>
      </c>
      <c r="I32" s="3" t="s">
        <v>7</v>
      </c>
      <c r="J32" s="3" t="s">
        <v>31</v>
      </c>
      <c r="K32" s="3" t="s">
        <v>121</v>
      </c>
      <c r="L32" s="3" t="s">
        <v>32</v>
      </c>
      <c r="M32">
        <v>1</v>
      </c>
    </row>
    <row r="33" spans="1:13" x14ac:dyDescent="0.25">
      <c r="A33" s="2">
        <v>46267</v>
      </c>
      <c r="B33" s="1" t="str">
        <f ca="1">IF(Información1[[#This Row],[Fecha]]='Ajuste de fechas'!$A$2,"Día actual","Día anterior")</f>
        <v>Día anterior</v>
      </c>
      <c r="C33" s="3" t="s">
        <v>135</v>
      </c>
      <c r="D33" t="s">
        <v>136</v>
      </c>
      <c r="E33" s="3" t="s">
        <v>137</v>
      </c>
      <c r="F33" s="3" t="s">
        <v>79</v>
      </c>
      <c r="G33" s="3" t="s">
        <v>80</v>
      </c>
      <c r="H33" s="3" t="s">
        <v>58</v>
      </c>
      <c r="I33" s="3" t="s">
        <v>7</v>
      </c>
      <c r="J33" s="3" t="s">
        <v>31</v>
      </c>
      <c r="K33" s="3" t="s">
        <v>138</v>
      </c>
      <c r="L33" s="3" t="s">
        <v>34</v>
      </c>
      <c r="M33">
        <v>1</v>
      </c>
    </row>
    <row r="34" spans="1:13" x14ac:dyDescent="0.25">
      <c r="A34" s="2">
        <v>46267</v>
      </c>
      <c r="B34" s="1" t="str">
        <f ca="1">IF(Información1[[#This Row],[Fecha]]='Ajuste de fechas'!$A$2,"Día actual","Día anterior")</f>
        <v>Día anterior</v>
      </c>
      <c r="C34" s="3" t="s">
        <v>135</v>
      </c>
      <c r="D34" t="s">
        <v>136</v>
      </c>
      <c r="E34" s="3" t="s">
        <v>139</v>
      </c>
      <c r="F34" s="3" t="s">
        <v>23</v>
      </c>
      <c r="G34" s="3" t="s">
        <v>103</v>
      </c>
      <c r="H34" s="3" t="s">
        <v>58</v>
      </c>
      <c r="I34" s="3" t="s">
        <v>7</v>
      </c>
      <c r="J34" s="3" t="s">
        <v>31</v>
      </c>
      <c r="K34" s="3" t="s">
        <v>138</v>
      </c>
      <c r="L34" s="3" t="s">
        <v>34</v>
      </c>
      <c r="M34">
        <v>1</v>
      </c>
    </row>
    <row r="35" spans="1:13" x14ac:dyDescent="0.25">
      <c r="A35" s="2">
        <v>46267</v>
      </c>
      <c r="B35" s="1" t="str">
        <f ca="1">IF(Información1[[#This Row],[Fecha]]='Ajuste de fechas'!$A$2,"Día actual","Día anterior")</f>
        <v>Día anterior</v>
      </c>
      <c r="C35" s="3" t="s">
        <v>140</v>
      </c>
      <c r="D35" t="s">
        <v>141</v>
      </c>
      <c r="E35" s="3" t="s">
        <v>142</v>
      </c>
      <c r="F35" s="3" t="s">
        <v>53</v>
      </c>
      <c r="G35" s="3" t="s">
        <v>92</v>
      </c>
      <c r="H35" s="3" t="s">
        <v>58</v>
      </c>
      <c r="I35" s="3" t="s">
        <v>7</v>
      </c>
      <c r="J35" s="3" t="s">
        <v>31</v>
      </c>
      <c r="K35" s="3" t="s">
        <v>143</v>
      </c>
      <c r="L35" s="3" t="s">
        <v>32</v>
      </c>
      <c r="M35">
        <v>1</v>
      </c>
    </row>
    <row r="36" spans="1:13" x14ac:dyDescent="0.25">
      <c r="A36" s="2">
        <v>46267</v>
      </c>
      <c r="B36" s="1" t="str">
        <f ca="1">IF(Información1[[#This Row],[Fecha]]='Ajuste de fechas'!$A$2,"Día actual","Día anterior")</f>
        <v>Día anterior</v>
      </c>
      <c r="C36" s="3" t="s">
        <v>144</v>
      </c>
      <c r="D36" t="s">
        <v>145</v>
      </c>
      <c r="E36" s="3" t="s">
        <v>146</v>
      </c>
      <c r="F36" s="3" t="s">
        <v>18</v>
      </c>
      <c r="G36" s="3" t="s">
        <v>147</v>
      </c>
      <c r="H36" s="3" t="s">
        <v>58</v>
      </c>
      <c r="I36" s="3" t="s">
        <v>22</v>
      </c>
      <c r="J36" s="3" t="s">
        <v>31</v>
      </c>
      <c r="K36" s="3" t="s">
        <v>148</v>
      </c>
      <c r="L36" s="3" t="s">
        <v>32</v>
      </c>
      <c r="M36">
        <v>1</v>
      </c>
    </row>
    <row r="37" spans="1:13" x14ac:dyDescent="0.25">
      <c r="A37" s="2">
        <v>46267</v>
      </c>
      <c r="B37" s="1" t="str">
        <f ca="1">IF(Información1[[#This Row],[Fecha]]='Ajuste de fechas'!$A$2,"Día actual","Día anterior")</f>
        <v>Día anterior</v>
      </c>
      <c r="C37" s="3" t="s">
        <v>144</v>
      </c>
      <c r="D37" t="s">
        <v>145</v>
      </c>
      <c r="E37" s="3" t="s">
        <v>149</v>
      </c>
      <c r="F37" s="3" t="s">
        <v>18</v>
      </c>
      <c r="G37" s="3" t="s">
        <v>150</v>
      </c>
      <c r="H37" s="3" t="s">
        <v>58</v>
      </c>
      <c r="I37" s="3" t="s">
        <v>7</v>
      </c>
      <c r="J37" s="3" t="s">
        <v>31</v>
      </c>
      <c r="K37" s="3" t="s">
        <v>9</v>
      </c>
      <c r="L37" s="3" t="s">
        <v>32</v>
      </c>
      <c r="M37">
        <v>1</v>
      </c>
    </row>
    <row r="38" spans="1:13" x14ac:dyDescent="0.25">
      <c r="A38" s="2">
        <v>46267</v>
      </c>
      <c r="B38" s="1" t="str">
        <f ca="1">IF(Información1[[#This Row],[Fecha]]='Ajuste de fechas'!$A$2,"Día actual","Día anterior")</f>
        <v>Día anterior</v>
      </c>
      <c r="C38" s="3" t="s">
        <v>144</v>
      </c>
      <c r="D38" t="s">
        <v>145</v>
      </c>
      <c r="E38" s="3" t="s">
        <v>151</v>
      </c>
      <c r="F38" s="3" t="s">
        <v>53</v>
      </c>
      <c r="G38" s="3" t="s">
        <v>92</v>
      </c>
      <c r="H38" s="3" t="s">
        <v>58</v>
      </c>
      <c r="I38" s="3" t="s">
        <v>7</v>
      </c>
      <c r="J38" s="3" t="s">
        <v>31</v>
      </c>
      <c r="K38" s="3" t="s">
        <v>148</v>
      </c>
      <c r="L38" s="3" t="s">
        <v>32</v>
      </c>
      <c r="M38">
        <v>1</v>
      </c>
    </row>
    <row r="39" spans="1:13" x14ac:dyDescent="0.25">
      <c r="A39" s="2">
        <v>46267</v>
      </c>
      <c r="B39" s="1" t="str">
        <f ca="1">IF(Información1[[#This Row],[Fecha]]='Ajuste de fechas'!$A$2,"Día actual","Día anterior")</f>
        <v>Día anterior</v>
      </c>
      <c r="C39" s="3" t="s">
        <v>144</v>
      </c>
      <c r="D39" t="s">
        <v>145</v>
      </c>
      <c r="E39" s="3" t="s">
        <v>152</v>
      </c>
      <c r="F39" s="3" t="s">
        <v>153</v>
      </c>
      <c r="G39" s="3" t="s">
        <v>154</v>
      </c>
      <c r="H39" s="3" t="s">
        <v>58</v>
      </c>
      <c r="I39" s="3" t="s">
        <v>7</v>
      </c>
      <c r="J39" s="3" t="s">
        <v>31</v>
      </c>
      <c r="K39" s="3" t="s">
        <v>148</v>
      </c>
      <c r="L39" s="3" t="s">
        <v>32</v>
      </c>
      <c r="M39">
        <v>1</v>
      </c>
    </row>
    <row r="40" spans="1:13" x14ac:dyDescent="0.25">
      <c r="A40" s="2">
        <v>46267</v>
      </c>
      <c r="B40" s="1" t="str">
        <f ca="1">IF(Información1[[#This Row],[Fecha]]='Ajuste de fechas'!$A$2,"Día actual","Día anterior")</f>
        <v>Día anterior</v>
      </c>
      <c r="C40" s="3" t="s">
        <v>144</v>
      </c>
      <c r="D40" t="s">
        <v>145</v>
      </c>
      <c r="E40" s="3" t="s">
        <v>155</v>
      </c>
      <c r="F40" s="3" t="s">
        <v>44</v>
      </c>
      <c r="G40" s="3" t="s">
        <v>156</v>
      </c>
      <c r="H40" s="3" t="s">
        <v>58</v>
      </c>
      <c r="I40" s="3" t="s">
        <v>7</v>
      </c>
      <c r="J40" s="3" t="s">
        <v>31</v>
      </c>
      <c r="K40" s="3" t="s">
        <v>148</v>
      </c>
      <c r="L40" s="3" t="s">
        <v>32</v>
      </c>
      <c r="M40">
        <v>1</v>
      </c>
    </row>
    <row r="41" spans="1:13" x14ac:dyDescent="0.25">
      <c r="A41" s="2">
        <v>46267</v>
      </c>
      <c r="B41" s="1" t="str">
        <f ca="1">IF(Información1[[#This Row],[Fecha]]='Ajuste de fechas'!$A$2,"Día actual","Día anterior")</f>
        <v>Día anterior</v>
      </c>
      <c r="C41" s="3" t="s">
        <v>144</v>
      </c>
      <c r="D41" t="s">
        <v>145</v>
      </c>
      <c r="E41" s="3" t="s">
        <v>157</v>
      </c>
      <c r="F41" s="3" t="s">
        <v>79</v>
      </c>
      <c r="G41" s="3" t="s">
        <v>80</v>
      </c>
      <c r="H41" s="3" t="s">
        <v>58</v>
      </c>
      <c r="I41" s="3" t="s">
        <v>7</v>
      </c>
      <c r="J41" s="3" t="s">
        <v>31</v>
      </c>
      <c r="K41" s="3" t="s">
        <v>148</v>
      </c>
      <c r="L41" s="3" t="s">
        <v>32</v>
      </c>
      <c r="M41">
        <v>1</v>
      </c>
    </row>
    <row r="42" spans="1:13" x14ac:dyDescent="0.25">
      <c r="A42" s="2">
        <v>46267</v>
      </c>
      <c r="B42" s="1" t="str">
        <f ca="1">IF(Información1[[#This Row],[Fecha]]='Ajuste de fechas'!$A$2,"Día actual","Día anterior")</f>
        <v>Día anterior</v>
      </c>
      <c r="C42" s="3" t="s">
        <v>144</v>
      </c>
      <c r="D42" t="s">
        <v>145</v>
      </c>
      <c r="E42" s="3" t="s">
        <v>158</v>
      </c>
      <c r="F42" s="3" t="s">
        <v>48</v>
      </c>
      <c r="G42" s="3" t="s">
        <v>84</v>
      </c>
      <c r="H42" s="3" t="s">
        <v>58</v>
      </c>
      <c r="I42" s="3" t="s">
        <v>7</v>
      </c>
      <c r="J42" s="3" t="s">
        <v>31</v>
      </c>
      <c r="K42" s="3" t="s">
        <v>148</v>
      </c>
      <c r="L42" s="3" t="s">
        <v>32</v>
      </c>
      <c r="M42">
        <v>1</v>
      </c>
    </row>
    <row r="43" spans="1:13" x14ac:dyDescent="0.25">
      <c r="A43" s="2">
        <v>46267</v>
      </c>
      <c r="B43" s="1" t="str">
        <f ca="1">IF(Información1[[#This Row],[Fecha]]='Ajuste de fechas'!$A$2,"Día actual","Día anterior")</f>
        <v>Día anterior</v>
      </c>
      <c r="C43" s="3" t="s">
        <v>144</v>
      </c>
      <c r="D43" t="s">
        <v>145</v>
      </c>
      <c r="E43" s="3" t="s">
        <v>159</v>
      </c>
      <c r="F43" s="3" t="s">
        <v>54</v>
      </c>
      <c r="G43" s="3" t="s">
        <v>160</v>
      </c>
      <c r="H43" s="3" t="s">
        <v>58</v>
      </c>
      <c r="I43" s="3" t="s">
        <v>7</v>
      </c>
      <c r="J43" s="3" t="s">
        <v>31</v>
      </c>
      <c r="K43" s="3" t="s">
        <v>148</v>
      </c>
      <c r="L43" s="3" t="s">
        <v>32</v>
      </c>
      <c r="M43">
        <v>1</v>
      </c>
    </row>
    <row r="44" spans="1:13" x14ac:dyDescent="0.25">
      <c r="A44" s="2">
        <v>46267</v>
      </c>
      <c r="B44" s="1" t="str">
        <f ca="1">IF(Información1[[#This Row],[Fecha]]='Ajuste de fechas'!$A$2,"Día actual","Día anterior")</f>
        <v>Día anterior</v>
      </c>
      <c r="C44" s="3" t="s">
        <v>144</v>
      </c>
      <c r="D44" t="s">
        <v>145</v>
      </c>
      <c r="E44" s="3" t="s">
        <v>161</v>
      </c>
      <c r="F44" s="3" t="s">
        <v>21</v>
      </c>
      <c r="G44" s="3" t="s">
        <v>162</v>
      </c>
      <c r="H44" s="3" t="s">
        <v>58</v>
      </c>
      <c r="I44" s="3" t="s">
        <v>7</v>
      </c>
      <c r="J44" s="3" t="s">
        <v>21</v>
      </c>
      <c r="K44" s="3" t="s">
        <v>148</v>
      </c>
      <c r="L44" s="3" t="s">
        <v>32</v>
      </c>
      <c r="M44">
        <v>1</v>
      </c>
    </row>
    <row r="45" spans="1:13" x14ac:dyDescent="0.25">
      <c r="A45" s="2">
        <v>46267</v>
      </c>
      <c r="B45" s="1" t="str">
        <f ca="1">IF(Información1[[#This Row],[Fecha]]='Ajuste de fechas'!$A$2,"Día actual","Día anterior")</f>
        <v>Día anterior</v>
      </c>
      <c r="C45" s="3" t="s">
        <v>144</v>
      </c>
      <c r="D45" t="s">
        <v>145</v>
      </c>
      <c r="E45" s="3" t="s">
        <v>163</v>
      </c>
      <c r="F45" s="3" t="s">
        <v>73</v>
      </c>
      <c r="G45" s="3" t="s">
        <v>116</v>
      </c>
      <c r="H45" s="3" t="s">
        <v>58</v>
      </c>
      <c r="I45" s="3" t="s">
        <v>7</v>
      </c>
      <c r="J45" s="3" t="s">
        <v>21</v>
      </c>
      <c r="K45" s="3" t="s">
        <v>148</v>
      </c>
      <c r="L45" s="3" t="s">
        <v>32</v>
      </c>
      <c r="M45">
        <v>1</v>
      </c>
    </row>
    <row r="46" spans="1:13" x14ac:dyDescent="0.25">
      <c r="A46" s="2">
        <v>46267</v>
      </c>
      <c r="B46" s="1" t="str">
        <f ca="1">IF(Información1[[#This Row],[Fecha]]='Ajuste de fechas'!$A$2,"Día actual","Día anterior")</f>
        <v>Día anterior</v>
      </c>
      <c r="C46" s="3" t="s">
        <v>144</v>
      </c>
      <c r="D46" t="s">
        <v>145</v>
      </c>
      <c r="E46" s="3" t="s">
        <v>164</v>
      </c>
      <c r="F46" s="3" t="s">
        <v>18</v>
      </c>
      <c r="G46" s="3" t="s">
        <v>150</v>
      </c>
      <c r="H46" s="3" t="s">
        <v>58</v>
      </c>
      <c r="I46" s="3" t="s">
        <v>7</v>
      </c>
      <c r="J46" s="3" t="s">
        <v>31</v>
      </c>
      <c r="K46" s="3" t="s">
        <v>148</v>
      </c>
      <c r="L46" s="3" t="s">
        <v>32</v>
      </c>
      <c r="M46">
        <v>1</v>
      </c>
    </row>
    <row r="47" spans="1:13" x14ac:dyDescent="0.25">
      <c r="A47" s="2">
        <v>46267</v>
      </c>
      <c r="B47" s="1" t="str">
        <f ca="1">IF(Información1[[#This Row],[Fecha]]='Ajuste de fechas'!$A$2,"Día actual","Día anterior")</f>
        <v>Día anterior</v>
      </c>
      <c r="C47" s="3" t="s">
        <v>144</v>
      </c>
      <c r="D47" t="s">
        <v>145</v>
      </c>
      <c r="E47" s="3" t="s">
        <v>165</v>
      </c>
      <c r="F47" s="3" t="s">
        <v>20</v>
      </c>
      <c r="G47" s="3" t="s">
        <v>166</v>
      </c>
      <c r="H47" s="3" t="s">
        <v>58</v>
      </c>
      <c r="I47" s="3" t="s">
        <v>7</v>
      </c>
      <c r="J47" s="3" t="s">
        <v>31</v>
      </c>
      <c r="K47" s="3" t="s">
        <v>148</v>
      </c>
      <c r="L47" s="3" t="s">
        <v>32</v>
      </c>
      <c r="M47">
        <v>1</v>
      </c>
    </row>
    <row r="48" spans="1:13" x14ac:dyDescent="0.25">
      <c r="A48" s="2">
        <v>46267</v>
      </c>
      <c r="B48" s="1" t="str">
        <f ca="1">IF(Información1[[#This Row],[Fecha]]='Ajuste de fechas'!$A$2,"Día actual","Día anterior")</f>
        <v>Día anterior</v>
      </c>
      <c r="C48" s="3" t="s">
        <v>144</v>
      </c>
      <c r="D48" t="s">
        <v>145</v>
      </c>
      <c r="E48" s="3" t="s">
        <v>167</v>
      </c>
      <c r="F48" s="3" t="s">
        <v>16</v>
      </c>
      <c r="G48" s="3" t="s">
        <v>168</v>
      </c>
      <c r="H48" s="3" t="s">
        <v>58</v>
      </c>
      <c r="I48" s="3" t="s">
        <v>7</v>
      </c>
      <c r="J48" s="3" t="s">
        <v>35</v>
      </c>
      <c r="K48" s="3" t="s">
        <v>148</v>
      </c>
      <c r="L48" s="3" t="s">
        <v>32</v>
      </c>
      <c r="M48">
        <v>1</v>
      </c>
    </row>
    <row r="49" spans="1:13" x14ac:dyDescent="0.25">
      <c r="A49" s="2">
        <v>46267</v>
      </c>
      <c r="B49" s="1" t="str">
        <f ca="1">IF(Información1[[#This Row],[Fecha]]='Ajuste de fechas'!$A$2,"Día actual","Día anterior")</f>
        <v>Día anterior</v>
      </c>
      <c r="C49" s="3" t="s">
        <v>144</v>
      </c>
      <c r="D49" t="s">
        <v>145</v>
      </c>
      <c r="E49" s="3" t="s">
        <v>169</v>
      </c>
      <c r="F49" s="3" t="s">
        <v>153</v>
      </c>
      <c r="G49" s="3" t="s">
        <v>170</v>
      </c>
      <c r="H49" s="3" t="s">
        <v>58</v>
      </c>
      <c r="I49" s="3" t="s">
        <v>7</v>
      </c>
      <c r="J49" s="3" t="s">
        <v>31</v>
      </c>
      <c r="K49" s="3" t="s">
        <v>148</v>
      </c>
      <c r="L49" s="3" t="s">
        <v>32</v>
      </c>
      <c r="M49">
        <v>1</v>
      </c>
    </row>
    <row r="50" spans="1:13" x14ac:dyDescent="0.25">
      <c r="A50" s="2">
        <v>46267</v>
      </c>
      <c r="B50" s="1" t="str">
        <f ca="1">IF(Información1[[#This Row],[Fecha]]='Ajuste de fechas'!$A$2,"Día actual","Día anterior")</f>
        <v>Día anterior</v>
      </c>
      <c r="C50" s="3" t="s">
        <v>144</v>
      </c>
      <c r="D50" t="s">
        <v>145</v>
      </c>
      <c r="E50" s="3" t="s">
        <v>171</v>
      </c>
      <c r="F50" s="3" t="s">
        <v>18</v>
      </c>
      <c r="G50" s="3" t="s">
        <v>172</v>
      </c>
      <c r="H50" s="3" t="s">
        <v>58</v>
      </c>
      <c r="I50" s="3" t="s">
        <v>7</v>
      </c>
      <c r="J50" s="3" t="s">
        <v>31</v>
      </c>
      <c r="K50" s="3" t="s">
        <v>148</v>
      </c>
      <c r="L50" s="3" t="s">
        <v>32</v>
      </c>
      <c r="M50">
        <v>1</v>
      </c>
    </row>
    <row r="51" spans="1:13" x14ac:dyDescent="0.25">
      <c r="A51" s="2">
        <v>46267</v>
      </c>
      <c r="B51" s="1" t="str">
        <f ca="1">IF(Información1[[#This Row],[Fecha]]='Ajuste de fechas'!$A$2,"Día actual","Día anterior")</f>
        <v>Día anterior</v>
      </c>
      <c r="C51" s="3" t="s">
        <v>144</v>
      </c>
      <c r="D51" t="s">
        <v>145</v>
      </c>
      <c r="E51" s="3" t="s">
        <v>173</v>
      </c>
      <c r="F51" s="3" t="s">
        <v>16</v>
      </c>
      <c r="G51" s="3" t="s">
        <v>174</v>
      </c>
      <c r="H51" s="3" t="s">
        <v>58</v>
      </c>
      <c r="I51" s="3" t="s">
        <v>7</v>
      </c>
      <c r="J51" s="3" t="s">
        <v>35</v>
      </c>
      <c r="K51" s="3" t="s">
        <v>148</v>
      </c>
      <c r="L51" s="3" t="s">
        <v>32</v>
      </c>
      <c r="M51">
        <v>1</v>
      </c>
    </row>
    <row r="52" spans="1:13" x14ac:dyDescent="0.25">
      <c r="A52" s="2">
        <v>46267</v>
      </c>
      <c r="B52" s="1" t="str">
        <f ca="1">IF(Información1[[#This Row],[Fecha]]='Ajuste de fechas'!$A$2,"Día actual","Día anterior")</f>
        <v>Día anterior</v>
      </c>
      <c r="C52" s="3" t="s">
        <v>144</v>
      </c>
      <c r="D52" t="s">
        <v>145</v>
      </c>
      <c r="E52" s="3" t="s">
        <v>175</v>
      </c>
      <c r="F52" s="3" t="s">
        <v>23</v>
      </c>
      <c r="G52" s="3" t="s">
        <v>134</v>
      </c>
      <c r="H52" s="3" t="s">
        <v>58</v>
      </c>
      <c r="I52" s="3" t="s">
        <v>7</v>
      </c>
      <c r="J52" s="3" t="s">
        <v>31</v>
      </c>
      <c r="K52" s="3" t="s">
        <v>148</v>
      </c>
      <c r="L52" s="3" t="s">
        <v>32</v>
      </c>
      <c r="M52">
        <v>1</v>
      </c>
    </row>
    <row r="53" spans="1:13" x14ac:dyDescent="0.25">
      <c r="A53" s="2">
        <v>46267</v>
      </c>
      <c r="B53" s="1" t="str">
        <f ca="1">IF(Información1[[#This Row],[Fecha]]='Ajuste de fechas'!$A$2,"Día actual","Día anterior")</f>
        <v>Día anterior</v>
      </c>
      <c r="C53" s="3" t="s">
        <v>144</v>
      </c>
      <c r="D53" t="s">
        <v>145</v>
      </c>
      <c r="E53" s="3" t="s">
        <v>176</v>
      </c>
      <c r="F53" s="3" t="s">
        <v>21</v>
      </c>
      <c r="G53" s="3" t="s">
        <v>177</v>
      </c>
      <c r="H53" s="3" t="s">
        <v>58</v>
      </c>
      <c r="I53" s="3" t="s">
        <v>178</v>
      </c>
      <c r="J53" s="3" t="s">
        <v>21</v>
      </c>
      <c r="K53" s="3" t="s">
        <v>148</v>
      </c>
      <c r="L53" s="3" t="s">
        <v>32</v>
      </c>
      <c r="M53">
        <v>1</v>
      </c>
    </row>
    <row r="54" spans="1:13" x14ac:dyDescent="0.25">
      <c r="A54" s="2">
        <v>46267</v>
      </c>
      <c r="B54" s="1" t="str">
        <f ca="1">IF(Información1[[#This Row],[Fecha]]='Ajuste de fechas'!$A$2,"Día actual","Día anterior")</f>
        <v>Día anterior</v>
      </c>
      <c r="C54" s="3" t="s">
        <v>144</v>
      </c>
      <c r="D54" t="s">
        <v>145</v>
      </c>
      <c r="E54" s="3" t="s">
        <v>179</v>
      </c>
      <c r="F54" s="3" t="s">
        <v>23</v>
      </c>
      <c r="G54" s="3" t="s">
        <v>103</v>
      </c>
      <c r="H54" s="3" t="s">
        <v>58</v>
      </c>
      <c r="I54" s="3" t="s">
        <v>7</v>
      </c>
      <c r="J54" s="3" t="s">
        <v>31</v>
      </c>
      <c r="K54" s="3" t="s">
        <v>148</v>
      </c>
      <c r="L54" s="3" t="s">
        <v>32</v>
      </c>
      <c r="M54">
        <v>1</v>
      </c>
    </row>
    <row r="55" spans="1:13" x14ac:dyDescent="0.25">
      <c r="A55" s="2">
        <v>46267</v>
      </c>
      <c r="B55" s="1" t="str">
        <f ca="1">IF(Información1[[#This Row],[Fecha]]='Ajuste de fechas'!$A$2,"Día actual","Día anterior")</f>
        <v>Día anterior</v>
      </c>
      <c r="C55" s="3" t="s">
        <v>8</v>
      </c>
      <c r="D55" t="s">
        <v>10</v>
      </c>
      <c r="E55" s="3" t="s">
        <v>180</v>
      </c>
      <c r="F55" s="3" t="s">
        <v>16</v>
      </c>
      <c r="G55" s="3" t="s">
        <v>181</v>
      </c>
      <c r="H55" s="3" t="s">
        <v>58</v>
      </c>
      <c r="I55" s="3" t="s">
        <v>22</v>
      </c>
      <c r="J55" s="3" t="s">
        <v>35</v>
      </c>
      <c r="K55" s="3" t="s">
        <v>9</v>
      </c>
      <c r="L55" s="3" t="s">
        <v>33</v>
      </c>
      <c r="M55">
        <v>1</v>
      </c>
    </row>
    <row r="56" spans="1:13" x14ac:dyDescent="0.25">
      <c r="A56" s="2">
        <v>46267</v>
      </c>
      <c r="B56" s="1" t="str">
        <f ca="1">IF(Información1[[#This Row],[Fecha]]='Ajuste de fechas'!$A$2,"Día actual","Día anterior")</f>
        <v>Día anterior</v>
      </c>
      <c r="C56" s="3" t="s">
        <v>8</v>
      </c>
      <c r="D56" t="s">
        <v>10</v>
      </c>
      <c r="E56" s="3" t="s">
        <v>182</v>
      </c>
      <c r="F56" s="3" t="s">
        <v>14</v>
      </c>
      <c r="G56" s="3" t="s">
        <v>183</v>
      </c>
      <c r="H56" s="3" t="s">
        <v>58</v>
      </c>
      <c r="I56" s="3" t="s">
        <v>22</v>
      </c>
      <c r="J56" s="3" t="s">
        <v>31</v>
      </c>
      <c r="K56" s="3" t="s">
        <v>9</v>
      </c>
      <c r="L56" s="3" t="s">
        <v>33</v>
      </c>
      <c r="M56">
        <v>1</v>
      </c>
    </row>
    <row r="57" spans="1:13" x14ac:dyDescent="0.25">
      <c r="A57" s="2">
        <v>46267</v>
      </c>
      <c r="B57" s="1" t="str">
        <f ca="1">IF(Información1[[#This Row],[Fecha]]='Ajuste de fechas'!$A$2,"Día actual","Día anterior")</f>
        <v>Día anterior</v>
      </c>
      <c r="C57" s="3" t="s">
        <v>8</v>
      </c>
      <c r="D57" t="s">
        <v>10</v>
      </c>
      <c r="E57" s="3" t="s">
        <v>184</v>
      </c>
      <c r="F57" s="3" t="s">
        <v>14</v>
      </c>
      <c r="G57" s="3" t="s">
        <v>185</v>
      </c>
      <c r="H57" s="3" t="s">
        <v>58</v>
      </c>
      <c r="I57" s="3" t="s">
        <v>22</v>
      </c>
      <c r="J57" s="3" t="s">
        <v>31</v>
      </c>
      <c r="K57" s="3" t="s">
        <v>9</v>
      </c>
      <c r="L57" s="3" t="s">
        <v>33</v>
      </c>
      <c r="M57">
        <v>1</v>
      </c>
    </row>
    <row r="58" spans="1:13" x14ac:dyDescent="0.25">
      <c r="A58" s="2">
        <v>46267</v>
      </c>
      <c r="B58" s="1" t="str">
        <f ca="1">IF(Información1[[#This Row],[Fecha]]='Ajuste de fechas'!$A$2,"Día actual","Día anterior")</f>
        <v>Día anterior</v>
      </c>
      <c r="C58" s="3" t="s">
        <v>8</v>
      </c>
      <c r="D58" t="s">
        <v>10</v>
      </c>
      <c r="E58" s="3" t="s">
        <v>186</v>
      </c>
      <c r="F58" s="3" t="s">
        <v>18</v>
      </c>
      <c r="G58" s="3" t="s">
        <v>56</v>
      </c>
      <c r="H58" s="3" t="s">
        <v>58</v>
      </c>
      <c r="I58" s="3" t="s">
        <v>22</v>
      </c>
      <c r="J58" s="3" t="s">
        <v>31</v>
      </c>
      <c r="K58" s="3" t="s">
        <v>9</v>
      </c>
      <c r="L58" s="3" t="s">
        <v>33</v>
      </c>
      <c r="M58">
        <v>1</v>
      </c>
    </row>
    <row r="59" spans="1:13" x14ac:dyDescent="0.25">
      <c r="A59" s="2">
        <v>46267</v>
      </c>
      <c r="B59" s="1" t="str">
        <f ca="1">IF(Información1[[#This Row],[Fecha]]='Ajuste de fechas'!$A$2,"Día actual","Día anterior")</f>
        <v>Día anterior</v>
      </c>
      <c r="C59" s="3" t="s">
        <v>8</v>
      </c>
      <c r="D59" t="s">
        <v>10</v>
      </c>
      <c r="E59" s="3" t="s">
        <v>187</v>
      </c>
      <c r="F59" s="3" t="s">
        <v>6</v>
      </c>
      <c r="G59" s="3" t="s">
        <v>188</v>
      </c>
      <c r="H59" s="3" t="s">
        <v>58</v>
      </c>
      <c r="I59" s="3" t="s">
        <v>22</v>
      </c>
      <c r="J59" s="3" t="s">
        <v>31</v>
      </c>
      <c r="K59" s="3" t="s">
        <v>9</v>
      </c>
      <c r="L59" s="3" t="s">
        <v>33</v>
      </c>
      <c r="M59">
        <v>1</v>
      </c>
    </row>
    <row r="60" spans="1:13" x14ac:dyDescent="0.25">
      <c r="A60" s="2">
        <v>46267</v>
      </c>
      <c r="B60" s="1" t="str">
        <f ca="1">IF(Información1[[#This Row],[Fecha]]='Ajuste de fechas'!$A$2,"Día actual","Día anterior")</f>
        <v>Día anterior</v>
      </c>
      <c r="C60" s="3" t="s">
        <v>8</v>
      </c>
      <c r="D60" t="s">
        <v>10</v>
      </c>
      <c r="E60" s="3" t="s">
        <v>189</v>
      </c>
      <c r="F60" s="3" t="s">
        <v>6</v>
      </c>
      <c r="G60" s="3" t="s">
        <v>51</v>
      </c>
      <c r="H60" s="3" t="s">
        <v>58</v>
      </c>
      <c r="I60" s="3" t="s">
        <v>22</v>
      </c>
      <c r="J60" s="3" t="s">
        <v>31</v>
      </c>
      <c r="K60" s="3" t="s">
        <v>9</v>
      </c>
      <c r="L60" s="3" t="s">
        <v>33</v>
      </c>
      <c r="M60">
        <v>1</v>
      </c>
    </row>
    <row r="61" spans="1:13" x14ac:dyDescent="0.25">
      <c r="A61" s="2">
        <v>46267</v>
      </c>
      <c r="B61" s="1" t="str">
        <f ca="1">IF(Información1[[#This Row],[Fecha]]='Ajuste de fechas'!$A$2,"Día actual","Día anterior")</f>
        <v>Día anterior</v>
      </c>
      <c r="C61" s="3" t="s">
        <v>8</v>
      </c>
      <c r="D61" t="s">
        <v>10</v>
      </c>
      <c r="E61" s="3" t="s">
        <v>190</v>
      </c>
      <c r="F61" s="3" t="s">
        <v>6</v>
      </c>
      <c r="G61" s="3" t="s">
        <v>51</v>
      </c>
      <c r="H61" s="3" t="s">
        <v>58</v>
      </c>
      <c r="I61" s="3" t="s">
        <v>22</v>
      </c>
      <c r="J61" s="3" t="s">
        <v>31</v>
      </c>
      <c r="K61" s="3" t="s">
        <v>9</v>
      </c>
      <c r="L61" s="3" t="s">
        <v>33</v>
      </c>
      <c r="M61">
        <v>1</v>
      </c>
    </row>
    <row r="62" spans="1:13" x14ac:dyDescent="0.25">
      <c r="A62" s="2">
        <v>46267</v>
      </c>
      <c r="B62" s="1" t="str">
        <f ca="1">IF(Información1[[#This Row],[Fecha]]='Ajuste de fechas'!$A$2,"Día actual","Día anterior")</f>
        <v>Día anterior</v>
      </c>
      <c r="C62" s="3" t="s">
        <v>8</v>
      </c>
      <c r="D62" t="s">
        <v>10</v>
      </c>
      <c r="E62" s="3" t="s">
        <v>191</v>
      </c>
      <c r="F62" s="3" t="s">
        <v>16</v>
      </c>
      <c r="G62" s="3" t="s">
        <v>192</v>
      </c>
      <c r="H62" s="3" t="s">
        <v>58</v>
      </c>
      <c r="I62" s="3" t="s">
        <v>7</v>
      </c>
      <c r="J62" s="3" t="s">
        <v>35</v>
      </c>
      <c r="K62" s="3" t="s">
        <v>9</v>
      </c>
      <c r="L62" s="3" t="s">
        <v>33</v>
      </c>
      <c r="M62">
        <v>1</v>
      </c>
    </row>
    <row r="63" spans="1:13" x14ac:dyDescent="0.25">
      <c r="A63" s="2">
        <v>46267</v>
      </c>
      <c r="B63" s="1" t="str">
        <f ca="1">IF(Información1[[#This Row],[Fecha]]='Ajuste de fechas'!$A$2,"Día actual","Día anterior")</f>
        <v>Día anterior</v>
      </c>
      <c r="C63" s="3" t="s">
        <v>8</v>
      </c>
      <c r="D63" t="s">
        <v>10</v>
      </c>
      <c r="E63" s="3" t="s">
        <v>193</v>
      </c>
      <c r="F63" s="3" t="s">
        <v>21</v>
      </c>
      <c r="G63" s="3" t="s">
        <v>57</v>
      </c>
      <c r="H63" s="3" t="s">
        <v>58</v>
      </c>
      <c r="I63" s="3" t="s">
        <v>7</v>
      </c>
      <c r="J63" s="3" t="s">
        <v>21</v>
      </c>
      <c r="K63" s="3" t="s">
        <v>9</v>
      </c>
      <c r="L63" s="3" t="s">
        <v>33</v>
      </c>
      <c r="M63">
        <v>1</v>
      </c>
    </row>
    <row r="64" spans="1:13" x14ac:dyDescent="0.25">
      <c r="A64" s="2">
        <v>46267</v>
      </c>
      <c r="B64" s="1" t="str">
        <f ca="1">IF(Información1[[#This Row],[Fecha]]='Ajuste de fechas'!$A$2,"Día actual","Día anterior")</f>
        <v>Día anterior</v>
      </c>
      <c r="C64" s="3" t="s">
        <v>8</v>
      </c>
      <c r="D64" t="s">
        <v>10</v>
      </c>
      <c r="E64" s="3" t="s">
        <v>194</v>
      </c>
      <c r="F64" s="3" t="s">
        <v>19</v>
      </c>
      <c r="G64" s="3" t="s">
        <v>103</v>
      </c>
      <c r="H64" s="3" t="s">
        <v>58</v>
      </c>
      <c r="I64" s="3" t="s">
        <v>7</v>
      </c>
      <c r="J64" s="3" t="s">
        <v>36</v>
      </c>
      <c r="K64" s="3" t="s">
        <v>12</v>
      </c>
      <c r="L64" s="3" t="s">
        <v>32</v>
      </c>
      <c r="M64">
        <v>1</v>
      </c>
    </row>
    <row r="65" spans="1:13" x14ac:dyDescent="0.25">
      <c r="A65" s="2">
        <v>46267</v>
      </c>
      <c r="B65" s="1" t="str">
        <f ca="1">IF(Información1[[#This Row],[Fecha]]='Ajuste de fechas'!$A$2,"Día actual","Día anterior")</f>
        <v>Día anterior</v>
      </c>
      <c r="C65" s="3" t="s">
        <v>8</v>
      </c>
      <c r="D65" t="s">
        <v>10</v>
      </c>
      <c r="E65" s="3" t="s">
        <v>195</v>
      </c>
      <c r="F65" s="3" t="s">
        <v>19</v>
      </c>
      <c r="G65" s="3" t="s">
        <v>103</v>
      </c>
      <c r="H65" s="3" t="s">
        <v>58</v>
      </c>
      <c r="I65" s="3" t="s">
        <v>7</v>
      </c>
      <c r="J65" s="3" t="s">
        <v>36</v>
      </c>
      <c r="K65" s="3" t="s">
        <v>12</v>
      </c>
      <c r="L65" s="3" t="s">
        <v>32</v>
      </c>
      <c r="M65">
        <v>1</v>
      </c>
    </row>
    <row r="66" spans="1:13" x14ac:dyDescent="0.25">
      <c r="A66" s="2">
        <v>46267</v>
      </c>
      <c r="B66" s="1" t="str">
        <f ca="1">IF(Información1[[#This Row],[Fecha]]='Ajuste de fechas'!$A$2,"Día actual","Día anterior")</f>
        <v>Día anterior</v>
      </c>
      <c r="C66" s="3" t="s">
        <v>8</v>
      </c>
      <c r="D66" t="s">
        <v>10</v>
      </c>
      <c r="E66" s="3" t="s">
        <v>196</v>
      </c>
      <c r="F66" s="3" t="s">
        <v>19</v>
      </c>
      <c r="G66" s="3" t="s">
        <v>103</v>
      </c>
      <c r="H66" s="3" t="s">
        <v>58</v>
      </c>
      <c r="I66" s="3" t="s">
        <v>7</v>
      </c>
      <c r="J66" s="3" t="s">
        <v>36</v>
      </c>
      <c r="K66" s="3" t="s">
        <v>12</v>
      </c>
      <c r="L66" s="3" t="s">
        <v>32</v>
      </c>
      <c r="M66">
        <v>1</v>
      </c>
    </row>
    <row r="67" spans="1:13" x14ac:dyDescent="0.25">
      <c r="A67" s="2">
        <v>46267</v>
      </c>
      <c r="B67" s="1" t="str">
        <f ca="1">IF(Información1[[#This Row],[Fecha]]='Ajuste de fechas'!$A$2,"Día actual","Día anterior")</f>
        <v>Día anterior</v>
      </c>
      <c r="C67" s="3" t="s">
        <v>8</v>
      </c>
      <c r="D67" t="s">
        <v>10</v>
      </c>
      <c r="E67" s="3" t="s">
        <v>197</v>
      </c>
      <c r="F67" s="3" t="s">
        <v>16</v>
      </c>
      <c r="G67" s="3" t="s">
        <v>198</v>
      </c>
      <c r="H67" s="3" t="s">
        <v>58</v>
      </c>
      <c r="I67" s="3" t="s">
        <v>7</v>
      </c>
      <c r="J67" s="3" t="s">
        <v>35</v>
      </c>
      <c r="K67" s="3" t="s">
        <v>9</v>
      </c>
      <c r="L67" s="3" t="s">
        <v>33</v>
      </c>
      <c r="M67">
        <v>1</v>
      </c>
    </row>
    <row r="68" spans="1:13" x14ac:dyDescent="0.25">
      <c r="A68" s="2">
        <v>46267</v>
      </c>
      <c r="B68" s="1" t="str">
        <f ca="1">IF(Información1[[#This Row],[Fecha]]='Ajuste de fechas'!$A$2,"Día actual","Día anterior")</f>
        <v>Día anterior</v>
      </c>
      <c r="C68" s="3" t="s">
        <v>8</v>
      </c>
      <c r="D68" t="s">
        <v>10</v>
      </c>
      <c r="E68" s="3" t="s">
        <v>199</v>
      </c>
      <c r="F68" s="3" t="s">
        <v>16</v>
      </c>
      <c r="G68" s="3" t="s">
        <v>200</v>
      </c>
      <c r="H68" s="3" t="s">
        <v>58</v>
      </c>
      <c r="I68" s="3" t="s">
        <v>7</v>
      </c>
      <c r="J68" s="3" t="s">
        <v>35</v>
      </c>
      <c r="K68" s="3" t="s">
        <v>12</v>
      </c>
      <c r="L68" s="3" t="s">
        <v>32</v>
      </c>
      <c r="M68">
        <v>1</v>
      </c>
    </row>
    <row r="69" spans="1:13" x14ac:dyDescent="0.25">
      <c r="A69" s="2">
        <v>46267</v>
      </c>
      <c r="B69" s="1" t="str">
        <f ca="1">IF(Información1[[#This Row],[Fecha]]='Ajuste de fechas'!$A$2,"Día actual","Día anterior")</f>
        <v>Día anterior</v>
      </c>
      <c r="C69" s="3" t="s">
        <v>8</v>
      </c>
      <c r="D69" t="s">
        <v>10</v>
      </c>
      <c r="E69" s="3" t="s">
        <v>201</v>
      </c>
      <c r="F69" s="3" t="s">
        <v>48</v>
      </c>
      <c r="G69" s="3" t="s">
        <v>202</v>
      </c>
      <c r="H69" s="3" t="s">
        <v>58</v>
      </c>
      <c r="I69" s="3" t="s">
        <v>7</v>
      </c>
      <c r="J69" s="3" t="s">
        <v>31</v>
      </c>
      <c r="K69" s="3" t="s">
        <v>12</v>
      </c>
      <c r="L69" s="3" t="s">
        <v>32</v>
      </c>
      <c r="M69">
        <v>1</v>
      </c>
    </row>
    <row r="70" spans="1:13" x14ac:dyDescent="0.25">
      <c r="A70" s="2">
        <v>46267</v>
      </c>
      <c r="B70" s="1" t="str">
        <f ca="1">IF(Información1[[#This Row],[Fecha]]='Ajuste de fechas'!$A$2,"Día actual","Día anterior")</f>
        <v>Día anterior</v>
      </c>
      <c r="C70" s="3" t="s">
        <v>8</v>
      </c>
      <c r="D70" t="s">
        <v>10</v>
      </c>
      <c r="E70" s="3" t="s">
        <v>203</v>
      </c>
      <c r="F70" s="3" t="s">
        <v>153</v>
      </c>
      <c r="G70" s="3" t="s">
        <v>170</v>
      </c>
      <c r="H70" s="3" t="s">
        <v>58</v>
      </c>
      <c r="I70" s="3" t="s">
        <v>7</v>
      </c>
      <c r="J70" s="3" t="s">
        <v>31</v>
      </c>
      <c r="K70" s="3" t="s">
        <v>12</v>
      </c>
      <c r="L70" s="3" t="s">
        <v>34</v>
      </c>
      <c r="M70">
        <v>1</v>
      </c>
    </row>
    <row r="71" spans="1:13" x14ac:dyDescent="0.25">
      <c r="A71" s="2">
        <v>46267</v>
      </c>
      <c r="B71" s="1" t="str">
        <f ca="1">IF(Información1[[#This Row],[Fecha]]='Ajuste de fechas'!$A$2,"Día actual","Día anterior")</f>
        <v>Día anterior</v>
      </c>
      <c r="C71" s="3" t="s">
        <v>8</v>
      </c>
      <c r="D71" t="s">
        <v>10</v>
      </c>
      <c r="E71" s="3" t="s">
        <v>204</v>
      </c>
      <c r="F71" s="3" t="s">
        <v>20</v>
      </c>
      <c r="G71" s="3" t="s">
        <v>166</v>
      </c>
      <c r="H71" s="3" t="s">
        <v>58</v>
      </c>
      <c r="I71" s="3" t="s">
        <v>7</v>
      </c>
      <c r="J71" s="3" t="s">
        <v>31</v>
      </c>
      <c r="K71" s="3" t="s">
        <v>12</v>
      </c>
      <c r="L71" s="3" t="s">
        <v>34</v>
      </c>
      <c r="M71">
        <v>1</v>
      </c>
    </row>
    <row r="72" spans="1:13" x14ac:dyDescent="0.25">
      <c r="A72" s="2">
        <v>46267</v>
      </c>
      <c r="B72" s="1" t="str">
        <f ca="1">IF(Información1[[#This Row],[Fecha]]='Ajuste de fechas'!$A$2,"Día actual","Día anterior")</f>
        <v>Día anterior</v>
      </c>
      <c r="C72" s="3" t="s">
        <v>8</v>
      </c>
      <c r="D72" t="s">
        <v>10</v>
      </c>
      <c r="E72" s="3" t="s">
        <v>17</v>
      </c>
      <c r="F72" s="3" t="s">
        <v>16</v>
      </c>
      <c r="G72" s="3" t="s">
        <v>24</v>
      </c>
      <c r="H72" s="3" t="s">
        <v>58</v>
      </c>
      <c r="I72" s="3" t="s">
        <v>11</v>
      </c>
      <c r="J72" s="3" t="s">
        <v>35</v>
      </c>
      <c r="K72" s="3" t="s">
        <v>12</v>
      </c>
      <c r="L72" s="3" t="s">
        <v>33</v>
      </c>
      <c r="M72">
        <v>1</v>
      </c>
    </row>
    <row r="73" spans="1:13" x14ac:dyDescent="0.25">
      <c r="A73" s="2">
        <v>46267</v>
      </c>
      <c r="B73" s="1" t="str">
        <f ca="1">IF(Información1[[#This Row],[Fecha]]='Ajuste de fechas'!$A$2,"Día actual","Día anterior")</f>
        <v>Día anterior</v>
      </c>
      <c r="C73" s="3" t="s">
        <v>8</v>
      </c>
      <c r="D73" t="s">
        <v>10</v>
      </c>
      <c r="E73" s="3" t="s">
        <v>15</v>
      </c>
      <c r="F73" s="3" t="s">
        <v>16</v>
      </c>
      <c r="G73" s="3" t="s">
        <v>24</v>
      </c>
      <c r="H73" s="3" t="s">
        <v>58</v>
      </c>
      <c r="I73" s="3" t="s">
        <v>11</v>
      </c>
      <c r="J73" s="3" t="s">
        <v>35</v>
      </c>
      <c r="K73" s="3" t="s">
        <v>12</v>
      </c>
      <c r="L73" s="3" t="s">
        <v>33</v>
      </c>
      <c r="M73">
        <v>1</v>
      </c>
    </row>
    <row r="74" spans="1:13" x14ac:dyDescent="0.25">
      <c r="A74" s="2">
        <v>46267</v>
      </c>
      <c r="B74" s="1" t="str">
        <f ca="1">IF(Información1[[#This Row],[Fecha]]='Ajuste de fechas'!$A$2,"Día actual","Día anterior")</f>
        <v>Día anterior</v>
      </c>
      <c r="C74" s="3" t="s">
        <v>8</v>
      </c>
      <c r="D74" t="s">
        <v>10</v>
      </c>
      <c r="E74" s="3" t="s">
        <v>43</v>
      </c>
      <c r="F74" s="3" t="s">
        <v>41</v>
      </c>
      <c r="G74" s="3" t="s">
        <v>24</v>
      </c>
      <c r="H74" s="3" t="s">
        <v>58</v>
      </c>
      <c r="I74" s="3" t="s">
        <v>11</v>
      </c>
      <c r="J74" s="3" t="s">
        <v>21</v>
      </c>
      <c r="K74" s="3" t="s">
        <v>12</v>
      </c>
      <c r="L74" s="3" t="s">
        <v>33</v>
      </c>
      <c r="M74">
        <v>1</v>
      </c>
    </row>
    <row r="75" spans="1:13" x14ac:dyDescent="0.25">
      <c r="A75" s="2">
        <v>46267</v>
      </c>
      <c r="B75" s="1" t="str">
        <f ca="1">IF(Información1[[#This Row],[Fecha]]='Ajuste de fechas'!$A$2,"Día actual","Día anterior")</f>
        <v>Día anterior</v>
      </c>
      <c r="C75" s="3" t="s">
        <v>8</v>
      </c>
      <c r="D75" t="s">
        <v>10</v>
      </c>
      <c r="E75" s="3" t="s">
        <v>47</v>
      </c>
      <c r="F75" s="3" t="s">
        <v>18</v>
      </c>
      <c r="G75" s="3" t="s">
        <v>24</v>
      </c>
      <c r="H75" s="3" t="s">
        <v>58</v>
      </c>
      <c r="I75" s="3" t="s">
        <v>11</v>
      </c>
      <c r="J75" s="3" t="s">
        <v>31</v>
      </c>
      <c r="K75" s="3" t="s">
        <v>12</v>
      </c>
      <c r="L75" s="3" t="s">
        <v>33</v>
      </c>
      <c r="M75">
        <v>1</v>
      </c>
    </row>
    <row r="76" spans="1:13" x14ac:dyDescent="0.25">
      <c r="A76" s="2">
        <v>46267</v>
      </c>
      <c r="B76" s="1" t="str">
        <f ca="1">IF(Información1[[#This Row],[Fecha]]='Ajuste de fechas'!$A$2,"Día actual","Día anterior")</f>
        <v>Día anterior</v>
      </c>
      <c r="C76" s="3" t="s">
        <v>8</v>
      </c>
      <c r="D76" t="s">
        <v>10</v>
      </c>
      <c r="E76" s="3" t="s">
        <v>205</v>
      </c>
      <c r="F76" s="3" t="s">
        <v>48</v>
      </c>
      <c r="G76" s="3" t="s">
        <v>24</v>
      </c>
      <c r="H76" s="3" t="s">
        <v>58</v>
      </c>
      <c r="I76" s="3" t="s">
        <v>11</v>
      </c>
      <c r="J76" s="3" t="s">
        <v>31</v>
      </c>
      <c r="K76" s="3" t="s">
        <v>12</v>
      </c>
      <c r="L76" s="3" t="s">
        <v>33</v>
      </c>
      <c r="M76">
        <v>1</v>
      </c>
    </row>
    <row r="77" spans="1:13" x14ac:dyDescent="0.25">
      <c r="A77" s="2">
        <v>46267</v>
      </c>
      <c r="B77" s="1" t="str">
        <f ca="1">IF(Información1[[#This Row],[Fecha]]='Ajuste de fechas'!$A$2,"Día actual","Día anterior")</f>
        <v>Día anterior</v>
      </c>
      <c r="C77" s="3" t="s">
        <v>8</v>
      </c>
      <c r="D77" t="s">
        <v>10</v>
      </c>
      <c r="E77" s="3" t="s">
        <v>13</v>
      </c>
      <c r="F77" s="3" t="s">
        <v>14</v>
      </c>
      <c r="G77" s="3" t="s">
        <v>24</v>
      </c>
      <c r="H77" s="3" t="s">
        <v>58</v>
      </c>
      <c r="I77" s="3" t="s">
        <v>11</v>
      </c>
      <c r="J77" s="3" t="s">
        <v>31</v>
      </c>
      <c r="K77" s="3" t="s">
        <v>12</v>
      </c>
      <c r="L77" s="3" t="s">
        <v>33</v>
      </c>
      <c r="M77">
        <v>1</v>
      </c>
    </row>
    <row r="78" spans="1:13" x14ac:dyDescent="0.25">
      <c r="A78" s="2">
        <v>46267</v>
      </c>
      <c r="B78" s="1" t="str">
        <f ca="1">IF(Información1[[#This Row],[Fecha]]='Ajuste de fechas'!$A$2,"Día actual","Día anterior")</f>
        <v>Día anterior</v>
      </c>
      <c r="C78" s="3" t="s">
        <v>8</v>
      </c>
      <c r="D78" t="s">
        <v>10</v>
      </c>
      <c r="E78" s="3" t="s">
        <v>40</v>
      </c>
      <c r="F78" s="3" t="s">
        <v>6</v>
      </c>
      <c r="G78" s="3" t="s">
        <v>24</v>
      </c>
      <c r="H78" s="3" t="s">
        <v>58</v>
      </c>
      <c r="I78" s="3" t="s">
        <v>11</v>
      </c>
      <c r="J78" s="3" t="s">
        <v>31</v>
      </c>
      <c r="K78" s="3" t="s">
        <v>12</v>
      </c>
      <c r="L78" s="3" t="s">
        <v>33</v>
      </c>
      <c r="M78">
        <v>1</v>
      </c>
    </row>
    <row r="79" spans="1:13" x14ac:dyDescent="0.25">
      <c r="A79" s="2">
        <v>46268</v>
      </c>
      <c r="B79" s="1" t="str">
        <f ca="1">IF(Información1[[#This Row],[Fecha]]='Ajuste de fechas'!$A$2,"Día actual","Día anterior")</f>
        <v>Día actual</v>
      </c>
      <c r="C79" s="3" t="s">
        <v>61</v>
      </c>
      <c r="D79" t="s">
        <v>206</v>
      </c>
      <c r="E79" s="3" t="s">
        <v>207</v>
      </c>
      <c r="F79" s="3" t="s">
        <v>153</v>
      </c>
      <c r="G79" s="3" t="s">
        <v>208</v>
      </c>
      <c r="H79" s="3" t="s">
        <v>58</v>
      </c>
      <c r="I79" s="3" t="s">
        <v>22</v>
      </c>
      <c r="J79" s="3" t="s">
        <v>31</v>
      </c>
      <c r="K79" s="3" t="s">
        <v>63</v>
      </c>
      <c r="L79" s="3" t="s">
        <v>32</v>
      </c>
      <c r="M79">
        <v>1</v>
      </c>
    </row>
    <row r="80" spans="1:13" x14ac:dyDescent="0.25">
      <c r="A80" s="2">
        <v>46268</v>
      </c>
      <c r="B80" s="1" t="str">
        <f ca="1">IF(Información1[[#This Row],[Fecha]]='Ajuste de fechas'!$A$2,"Día actual","Día anterior")</f>
        <v>Día actual</v>
      </c>
      <c r="C80" s="3" t="s">
        <v>61</v>
      </c>
      <c r="D80" t="s">
        <v>206</v>
      </c>
      <c r="E80" s="3" t="s">
        <v>209</v>
      </c>
      <c r="F80" s="3" t="s">
        <v>153</v>
      </c>
      <c r="G80" s="3" t="s">
        <v>210</v>
      </c>
      <c r="H80" s="3" t="s">
        <v>58</v>
      </c>
      <c r="I80" s="3" t="s">
        <v>7</v>
      </c>
      <c r="J80" s="3" t="s">
        <v>31</v>
      </c>
      <c r="K80" s="3" t="s">
        <v>63</v>
      </c>
      <c r="L80" s="3" t="s">
        <v>32</v>
      </c>
      <c r="M80">
        <v>1</v>
      </c>
    </row>
    <row r="81" spans="1:13" x14ac:dyDescent="0.25">
      <c r="A81" s="2">
        <v>46268</v>
      </c>
      <c r="B81" s="1" t="str">
        <f ca="1">IF(Información1[[#This Row],[Fecha]]='Ajuste de fechas'!$A$2,"Día actual","Día anterior")</f>
        <v>Día actual</v>
      </c>
      <c r="C81" s="3" t="s">
        <v>61</v>
      </c>
      <c r="D81" t="s">
        <v>206</v>
      </c>
      <c r="E81" s="3" t="s">
        <v>211</v>
      </c>
      <c r="F81" s="3" t="s">
        <v>16</v>
      </c>
      <c r="G81" s="3" t="s">
        <v>212</v>
      </c>
      <c r="H81" s="3" t="s">
        <v>58</v>
      </c>
      <c r="I81" s="3" t="s">
        <v>7</v>
      </c>
      <c r="J81" s="3" t="s">
        <v>35</v>
      </c>
      <c r="K81" s="3" t="s">
        <v>63</v>
      </c>
      <c r="L81" s="3" t="s">
        <v>32</v>
      </c>
      <c r="M81">
        <v>1</v>
      </c>
    </row>
    <row r="82" spans="1:13" x14ac:dyDescent="0.25">
      <c r="A82" s="2">
        <v>46268</v>
      </c>
      <c r="B82" s="1" t="str">
        <f ca="1">IF(Información1[[#This Row],[Fecha]]='Ajuste de fechas'!$A$2,"Día actual","Día anterior")</f>
        <v>Día actual</v>
      </c>
      <c r="C82" s="3" t="s">
        <v>61</v>
      </c>
      <c r="D82" t="s">
        <v>206</v>
      </c>
      <c r="E82" s="3" t="s">
        <v>213</v>
      </c>
      <c r="F82" s="3" t="s">
        <v>19</v>
      </c>
      <c r="G82" s="3" t="s">
        <v>214</v>
      </c>
      <c r="H82" s="3" t="s">
        <v>58</v>
      </c>
      <c r="I82" s="3" t="s">
        <v>7</v>
      </c>
      <c r="J82" s="3" t="s">
        <v>36</v>
      </c>
      <c r="K82" s="3" t="s">
        <v>63</v>
      </c>
      <c r="L82" s="3" t="s">
        <v>32</v>
      </c>
      <c r="M82">
        <v>1</v>
      </c>
    </row>
    <row r="83" spans="1:13" x14ac:dyDescent="0.25">
      <c r="A83" s="2">
        <v>46268</v>
      </c>
      <c r="B83" s="1" t="str">
        <f ca="1">IF(Información1[[#This Row],[Fecha]]='Ajuste de fechas'!$A$2,"Día actual","Día anterior")</f>
        <v>Día actual</v>
      </c>
      <c r="C83" s="3" t="s">
        <v>215</v>
      </c>
      <c r="D83" t="s">
        <v>216</v>
      </c>
      <c r="E83" s="3" t="s">
        <v>217</v>
      </c>
      <c r="F83" s="3" t="s">
        <v>44</v>
      </c>
      <c r="G83" s="3" t="s">
        <v>46</v>
      </c>
      <c r="H83" s="3" t="s">
        <v>58</v>
      </c>
      <c r="I83" s="3" t="s">
        <v>11</v>
      </c>
      <c r="J83" s="3" t="s">
        <v>31</v>
      </c>
      <c r="K83" s="3" t="s">
        <v>218</v>
      </c>
      <c r="L83" s="3" t="s">
        <v>34</v>
      </c>
      <c r="M83">
        <v>1</v>
      </c>
    </row>
    <row r="84" spans="1:13" x14ac:dyDescent="0.25">
      <c r="A84" s="2">
        <v>46268</v>
      </c>
      <c r="B84" s="1" t="str">
        <f ca="1">IF(Información1[[#This Row],[Fecha]]='Ajuste de fechas'!$A$2,"Día actual","Día anterior")</f>
        <v>Día actual</v>
      </c>
      <c r="C84" s="3" t="s">
        <v>215</v>
      </c>
      <c r="D84" t="s">
        <v>216</v>
      </c>
      <c r="E84" s="3" t="s">
        <v>219</v>
      </c>
      <c r="F84" s="3" t="s">
        <v>220</v>
      </c>
      <c r="G84" s="3" t="s">
        <v>221</v>
      </c>
      <c r="H84" s="3" t="s">
        <v>58</v>
      </c>
      <c r="I84" s="3" t="s">
        <v>11</v>
      </c>
      <c r="J84" s="3" t="s">
        <v>31</v>
      </c>
      <c r="K84" s="3" t="s">
        <v>218</v>
      </c>
      <c r="L84" s="3" t="s">
        <v>34</v>
      </c>
      <c r="M84">
        <v>1</v>
      </c>
    </row>
    <row r="85" spans="1:13" x14ac:dyDescent="0.25">
      <c r="A85" s="2">
        <v>46268</v>
      </c>
      <c r="B85" s="1" t="str">
        <f ca="1">IF(Información1[[#This Row],[Fecha]]='Ajuste de fechas'!$A$2,"Día actual","Día anterior")</f>
        <v>Día actual</v>
      </c>
      <c r="C85" s="3" t="s">
        <v>215</v>
      </c>
      <c r="D85" t="s">
        <v>216</v>
      </c>
      <c r="E85" s="3" t="s">
        <v>222</v>
      </c>
      <c r="F85" s="3" t="s">
        <v>23</v>
      </c>
      <c r="G85" s="3" t="s">
        <v>223</v>
      </c>
      <c r="H85" s="3" t="s">
        <v>58</v>
      </c>
      <c r="I85" s="3" t="s">
        <v>11</v>
      </c>
      <c r="J85" s="3" t="s">
        <v>31</v>
      </c>
      <c r="K85" s="3" t="s">
        <v>218</v>
      </c>
      <c r="L85" s="3" t="s">
        <v>32</v>
      </c>
      <c r="M85">
        <v>1</v>
      </c>
    </row>
    <row r="86" spans="1:13" x14ac:dyDescent="0.25">
      <c r="A86" s="2">
        <v>46268</v>
      </c>
      <c r="B86" s="1" t="str">
        <f ca="1">IF(Información1[[#This Row],[Fecha]]='Ajuste de fechas'!$A$2,"Día actual","Día anterior")</f>
        <v>Día actual</v>
      </c>
      <c r="C86" s="3" t="s">
        <v>61</v>
      </c>
      <c r="D86" t="s">
        <v>62</v>
      </c>
      <c r="E86" s="3" t="s">
        <v>224</v>
      </c>
      <c r="F86" s="3" t="s">
        <v>18</v>
      </c>
      <c r="G86" s="3" t="s">
        <v>225</v>
      </c>
      <c r="H86" s="3" t="s">
        <v>58</v>
      </c>
      <c r="I86" s="3" t="s">
        <v>7</v>
      </c>
      <c r="J86" s="3" t="s">
        <v>31</v>
      </c>
      <c r="K86" s="3" t="s">
        <v>63</v>
      </c>
      <c r="L86" s="3" t="s">
        <v>32</v>
      </c>
      <c r="M86">
        <v>1</v>
      </c>
    </row>
    <row r="87" spans="1:13" x14ac:dyDescent="0.25">
      <c r="A87" s="2">
        <v>46268</v>
      </c>
      <c r="B87" s="1" t="str">
        <f ca="1">IF(Información1[[#This Row],[Fecha]]='Ajuste de fechas'!$A$2,"Día actual","Día anterior")</f>
        <v>Día actual</v>
      </c>
      <c r="C87" s="3" t="s">
        <v>61</v>
      </c>
      <c r="D87" t="s">
        <v>62</v>
      </c>
      <c r="E87" s="3" t="s">
        <v>226</v>
      </c>
      <c r="F87" s="3" t="s">
        <v>227</v>
      </c>
      <c r="G87" s="3" t="s">
        <v>228</v>
      </c>
      <c r="H87" s="3" t="s">
        <v>58</v>
      </c>
      <c r="I87" s="3" t="s">
        <v>7</v>
      </c>
      <c r="J87" s="3" t="s">
        <v>31</v>
      </c>
      <c r="K87" s="3" t="s">
        <v>64</v>
      </c>
      <c r="L87" s="3" t="s">
        <v>34</v>
      </c>
      <c r="M87">
        <v>1</v>
      </c>
    </row>
    <row r="88" spans="1:13" x14ac:dyDescent="0.25">
      <c r="A88" s="2">
        <v>46268</v>
      </c>
      <c r="B88" s="1" t="str">
        <f ca="1">IF(Información1[[#This Row],[Fecha]]='Ajuste de fechas'!$A$2,"Día actual","Día anterior")</f>
        <v>Día actual</v>
      </c>
      <c r="C88" s="3" t="s">
        <v>61</v>
      </c>
      <c r="D88" t="s">
        <v>62</v>
      </c>
      <c r="E88" s="3" t="s">
        <v>219</v>
      </c>
      <c r="F88" s="3" t="s">
        <v>220</v>
      </c>
      <c r="G88" s="3" t="s">
        <v>221</v>
      </c>
      <c r="H88" s="3" t="s">
        <v>58</v>
      </c>
      <c r="I88" s="3" t="s">
        <v>7</v>
      </c>
      <c r="J88" s="3" t="s">
        <v>31</v>
      </c>
      <c r="K88" s="3" t="s">
        <v>64</v>
      </c>
      <c r="L88" s="3" t="s">
        <v>34</v>
      </c>
      <c r="M88">
        <v>1</v>
      </c>
    </row>
    <row r="89" spans="1:13" x14ac:dyDescent="0.25">
      <c r="A89" s="2">
        <v>46268</v>
      </c>
      <c r="B89" s="1" t="str">
        <f ca="1">IF(Información1[[#This Row],[Fecha]]='Ajuste de fechas'!$A$2,"Día actual","Día anterior")</f>
        <v>Día actual</v>
      </c>
      <c r="C89" s="3" t="s">
        <v>61</v>
      </c>
      <c r="D89" t="s">
        <v>62</v>
      </c>
      <c r="E89" s="3" t="s">
        <v>229</v>
      </c>
      <c r="F89" s="3" t="s">
        <v>14</v>
      </c>
      <c r="G89" s="3" t="s">
        <v>183</v>
      </c>
      <c r="H89" s="3" t="s">
        <v>58</v>
      </c>
      <c r="I89" s="3" t="s">
        <v>178</v>
      </c>
      <c r="J89" s="3" t="s">
        <v>31</v>
      </c>
      <c r="K89" s="3" t="s">
        <v>64</v>
      </c>
      <c r="L89" s="3" t="s">
        <v>33</v>
      </c>
      <c r="M89">
        <v>1</v>
      </c>
    </row>
    <row r="90" spans="1:13" x14ac:dyDescent="0.25">
      <c r="A90" s="2">
        <v>46268</v>
      </c>
      <c r="B90" s="1" t="str">
        <f ca="1">IF(Información1[[#This Row],[Fecha]]='Ajuste de fechas'!$A$2,"Día actual","Día anterior")</f>
        <v>Día actual</v>
      </c>
      <c r="C90" s="3" t="s">
        <v>61</v>
      </c>
      <c r="D90" t="s">
        <v>62</v>
      </c>
      <c r="E90" s="3" t="s">
        <v>230</v>
      </c>
      <c r="F90" s="3" t="s">
        <v>153</v>
      </c>
      <c r="G90" s="3" t="s">
        <v>231</v>
      </c>
      <c r="H90" s="3" t="s">
        <v>58</v>
      </c>
      <c r="I90" s="3" t="s">
        <v>22</v>
      </c>
      <c r="J90" s="3" t="s">
        <v>31</v>
      </c>
      <c r="K90" s="3" t="s">
        <v>63</v>
      </c>
      <c r="L90" s="3" t="s">
        <v>32</v>
      </c>
      <c r="M90">
        <v>1</v>
      </c>
    </row>
    <row r="91" spans="1:13" x14ac:dyDescent="0.25">
      <c r="A91" s="2">
        <v>46268</v>
      </c>
      <c r="B91" s="1" t="str">
        <f ca="1">IF(Información1[[#This Row],[Fecha]]='Ajuste de fechas'!$A$2,"Día actual","Día anterior")</f>
        <v>Día actual</v>
      </c>
      <c r="C91" s="3" t="s">
        <v>61</v>
      </c>
      <c r="D91" t="s">
        <v>62</v>
      </c>
      <c r="E91" s="3" t="s">
        <v>232</v>
      </c>
      <c r="F91" s="3" t="s">
        <v>45</v>
      </c>
      <c r="G91" s="3" t="s">
        <v>233</v>
      </c>
      <c r="H91" s="3" t="s">
        <v>58</v>
      </c>
      <c r="I91" s="3" t="s">
        <v>7</v>
      </c>
      <c r="J91" s="3" t="s">
        <v>31</v>
      </c>
      <c r="K91" s="3" t="s">
        <v>64</v>
      </c>
      <c r="L91" s="3" t="s">
        <v>34</v>
      </c>
      <c r="M91">
        <v>1</v>
      </c>
    </row>
    <row r="92" spans="1:13" x14ac:dyDescent="0.25">
      <c r="A92" s="2">
        <v>46268</v>
      </c>
      <c r="B92" s="1" t="str">
        <f ca="1">IF(Información1[[#This Row],[Fecha]]='Ajuste de fechas'!$A$2,"Día actual","Día anterior")</f>
        <v>Día actual</v>
      </c>
      <c r="C92" s="3" t="s">
        <v>61</v>
      </c>
      <c r="D92" t="s">
        <v>62</v>
      </c>
      <c r="E92" s="3" t="s">
        <v>234</v>
      </c>
      <c r="F92" s="3" t="s">
        <v>87</v>
      </c>
      <c r="G92" s="3" t="s">
        <v>235</v>
      </c>
      <c r="H92" s="3" t="s">
        <v>58</v>
      </c>
      <c r="I92" s="3" t="s">
        <v>7</v>
      </c>
      <c r="J92" s="3" t="s">
        <v>31</v>
      </c>
      <c r="K92" s="3" t="s">
        <v>64</v>
      </c>
      <c r="L92" s="3" t="s">
        <v>34</v>
      </c>
      <c r="M92">
        <v>1</v>
      </c>
    </row>
    <row r="93" spans="1:13" x14ac:dyDescent="0.25">
      <c r="A93" s="2">
        <v>46268</v>
      </c>
      <c r="B93" s="1" t="str">
        <f ca="1">IF(Información1[[#This Row],[Fecha]]='Ajuste de fechas'!$A$2,"Día actual","Día anterior")</f>
        <v>Día actual</v>
      </c>
      <c r="C93" s="3" t="s">
        <v>61</v>
      </c>
      <c r="D93" t="s">
        <v>62</v>
      </c>
      <c r="E93" s="3" t="s">
        <v>236</v>
      </c>
      <c r="F93" s="3" t="s">
        <v>18</v>
      </c>
      <c r="G93" s="3" t="s">
        <v>237</v>
      </c>
      <c r="H93" s="3" t="s">
        <v>58</v>
      </c>
      <c r="I93" s="3" t="s">
        <v>7</v>
      </c>
      <c r="J93" s="3" t="s">
        <v>31</v>
      </c>
      <c r="K93" s="3" t="s">
        <v>63</v>
      </c>
      <c r="L93" s="3" t="s">
        <v>32</v>
      </c>
      <c r="M93">
        <v>1</v>
      </c>
    </row>
    <row r="94" spans="1:13" x14ac:dyDescent="0.25">
      <c r="A94" s="2">
        <v>46268</v>
      </c>
      <c r="B94" s="1" t="str">
        <f ca="1">IF(Información1[[#This Row],[Fecha]]='Ajuste de fechas'!$A$2,"Día actual","Día anterior")</f>
        <v>Día actual</v>
      </c>
      <c r="C94" s="3" t="s">
        <v>61</v>
      </c>
      <c r="D94" t="s">
        <v>62</v>
      </c>
      <c r="E94" s="3" t="s">
        <v>238</v>
      </c>
      <c r="F94" s="3" t="s">
        <v>239</v>
      </c>
      <c r="G94" s="3" t="s">
        <v>240</v>
      </c>
      <c r="H94" s="3" t="s">
        <v>58</v>
      </c>
      <c r="I94" s="3" t="s">
        <v>7</v>
      </c>
      <c r="J94" s="3" t="s">
        <v>21</v>
      </c>
      <c r="K94" s="3" t="s">
        <v>64</v>
      </c>
      <c r="L94" s="3" t="s">
        <v>42</v>
      </c>
      <c r="M94">
        <v>1</v>
      </c>
    </row>
    <row r="95" spans="1:13" x14ac:dyDescent="0.25">
      <c r="A95" s="2">
        <v>46268</v>
      </c>
      <c r="B95" s="1" t="str">
        <f ca="1">IF(Información1[[#This Row],[Fecha]]='Ajuste de fechas'!$A$2,"Día actual","Día anterior")</f>
        <v>Día actual</v>
      </c>
      <c r="C95" s="3" t="s">
        <v>61</v>
      </c>
      <c r="D95" t="s">
        <v>62</v>
      </c>
      <c r="E95" s="3" t="s">
        <v>241</v>
      </c>
      <c r="F95" s="3" t="s">
        <v>20</v>
      </c>
      <c r="G95" s="3" t="s">
        <v>242</v>
      </c>
      <c r="H95" s="3" t="s">
        <v>58</v>
      </c>
      <c r="I95" s="3" t="s">
        <v>7</v>
      </c>
      <c r="J95" s="3" t="s">
        <v>31</v>
      </c>
      <c r="K95" s="3" t="s">
        <v>64</v>
      </c>
      <c r="L95" s="3" t="s">
        <v>34</v>
      </c>
      <c r="M95">
        <v>1</v>
      </c>
    </row>
    <row r="96" spans="1:13" x14ac:dyDescent="0.25">
      <c r="A96" s="2">
        <v>46268</v>
      </c>
      <c r="B96" s="1" t="str">
        <f ca="1">IF(Información1[[#This Row],[Fecha]]='Ajuste de fechas'!$A$2,"Día actual","Día anterior")</f>
        <v>Día actual</v>
      </c>
      <c r="C96" s="3" t="s">
        <v>66</v>
      </c>
      <c r="D96" t="s">
        <v>67</v>
      </c>
      <c r="E96" s="3" t="s">
        <v>243</v>
      </c>
      <c r="F96" s="3" t="s">
        <v>16</v>
      </c>
      <c r="G96" s="3" t="s">
        <v>51</v>
      </c>
      <c r="H96" s="3" t="s">
        <v>58</v>
      </c>
      <c r="I96" s="3" t="s">
        <v>22</v>
      </c>
      <c r="J96" s="3" t="s">
        <v>35</v>
      </c>
      <c r="K96" s="3" t="s">
        <v>9</v>
      </c>
      <c r="L96" s="3" t="s">
        <v>33</v>
      </c>
      <c r="M96">
        <v>1</v>
      </c>
    </row>
    <row r="97" spans="1:13" x14ac:dyDescent="0.25">
      <c r="A97" s="2">
        <v>46268</v>
      </c>
      <c r="B97" s="1" t="str">
        <f ca="1">IF(Información1[[#This Row],[Fecha]]='Ajuste de fechas'!$A$2,"Día actual","Día anterior")</f>
        <v>Día actual</v>
      </c>
      <c r="C97" s="3" t="s">
        <v>66</v>
      </c>
      <c r="D97" t="s">
        <v>67</v>
      </c>
      <c r="E97" s="3" t="s">
        <v>244</v>
      </c>
      <c r="F97" s="3" t="s">
        <v>16</v>
      </c>
      <c r="G97" s="3" t="s">
        <v>245</v>
      </c>
      <c r="H97" s="3" t="s">
        <v>58</v>
      </c>
      <c r="I97" s="3" t="s">
        <v>7</v>
      </c>
      <c r="J97" s="3" t="s">
        <v>35</v>
      </c>
      <c r="K97" s="3" t="s">
        <v>75</v>
      </c>
      <c r="L97" s="3" t="s">
        <v>32</v>
      </c>
      <c r="M97">
        <v>1</v>
      </c>
    </row>
    <row r="98" spans="1:13" x14ac:dyDescent="0.25">
      <c r="A98" s="2">
        <v>46268</v>
      </c>
      <c r="B98" s="1" t="str">
        <f ca="1">IF(Información1[[#This Row],[Fecha]]='Ajuste de fechas'!$A$2,"Día actual","Día anterior")</f>
        <v>Día actual</v>
      </c>
      <c r="C98" s="3" t="s">
        <v>66</v>
      </c>
      <c r="D98" t="s">
        <v>67</v>
      </c>
      <c r="E98" s="3" t="s">
        <v>246</v>
      </c>
      <c r="F98" s="3" t="s">
        <v>18</v>
      </c>
      <c r="G98" s="3" t="s">
        <v>237</v>
      </c>
      <c r="H98" s="3" t="s">
        <v>58</v>
      </c>
      <c r="I98" s="3" t="s">
        <v>11</v>
      </c>
      <c r="J98" s="3" t="s">
        <v>31</v>
      </c>
      <c r="K98" s="3" t="s">
        <v>75</v>
      </c>
      <c r="L98" s="3" t="s">
        <v>33</v>
      </c>
      <c r="M98">
        <v>1</v>
      </c>
    </row>
    <row r="99" spans="1:13" x14ac:dyDescent="0.25">
      <c r="A99" s="2">
        <v>46268</v>
      </c>
      <c r="B99" s="1" t="str">
        <f ca="1">IF(Información1[[#This Row],[Fecha]]='Ajuste de fechas'!$A$2,"Día actual","Día anterior")</f>
        <v>Día actual</v>
      </c>
      <c r="C99" s="3" t="s">
        <v>76</v>
      </c>
      <c r="D99" t="s">
        <v>77</v>
      </c>
      <c r="E99" s="3" t="s">
        <v>247</v>
      </c>
      <c r="F99" s="3" t="s">
        <v>16</v>
      </c>
      <c r="G99" s="3" t="s">
        <v>248</v>
      </c>
      <c r="H99" s="3" t="s">
        <v>81</v>
      </c>
      <c r="I99" s="3" t="s">
        <v>22</v>
      </c>
      <c r="J99" s="3" t="s">
        <v>35</v>
      </c>
      <c r="K99" s="3" t="s">
        <v>85</v>
      </c>
      <c r="L99" s="3" t="s">
        <v>33</v>
      </c>
      <c r="M99">
        <v>1</v>
      </c>
    </row>
    <row r="100" spans="1:13" x14ac:dyDescent="0.25">
      <c r="A100" s="2">
        <v>46268</v>
      </c>
      <c r="B100" s="1" t="str">
        <f ca="1">IF(Información1[[#This Row],[Fecha]]='Ajuste de fechas'!$A$2,"Día actual","Día anterior")</f>
        <v>Día actual</v>
      </c>
      <c r="C100" s="3" t="s">
        <v>76</v>
      </c>
      <c r="D100" t="s">
        <v>77</v>
      </c>
      <c r="E100" s="3" t="s">
        <v>249</v>
      </c>
      <c r="F100" s="3" t="s">
        <v>16</v>
      </c>
      <c r="G100" s="3" t="s">
        <v>248</v>
      </c>
      <c r="H100" s="3" t="s">
        <v>81</v>
      </c>
      <c r="I100" s="3" t="s">
        <v>22</v>
      </c>
      <c r="J100" s="3" t="s">
        <v>35</v>
      </c>
      <c r="K100" s="3" t="s">
        <v>85</v>
      </c>
      <c r="L100" s="3" t="s">
        <v>33</v>
      </c>
      <c r="M100">
        <v>1</v>
      </c>
    </row>
    <row r="101" spans="1:13" x14ac:dyDescent="0.25">
      <c r="A101" s="2">
        <v>46268</v>
      </c>
      <c r="B101" s="1" t="str">
        <f ca="1">IF(Información1[[#This Row],[Fecha]]='Ajuste de fechas'!$A$2,"Día actual","Día anterior")</f>
        <v>Día actual</v>
      </c>
      <c r="C101" s="3" t="s">
        <v>76</v>
      </c>
      <c r="D101" t="s">
        <v>77</v>
      </c>
      <c r="E101" s="3" t="s">
        <v>250</v>
      </c>
      <c r="F101" s="3" t="s">
        <v>16</v>
      </c>
      <c r="G101" s="3" t="s">
        <v>248</v>
      </c>
      <c r="H101" s="3" t="s">
        <v>81</v>
      </c>
      <c r="I101" s="3" t="s">
        <v>22</v>
      </c>
      <c r="J101" s="3" t="s">
        <v>35</v>
      </c>
      <c r="K101" s="3" t="s">
        <v>85</v>
      </c>
      <c r="L101" s="3" t="s">
        <v>33</v>
      </c>
      <c r="M101">
        <v>1</v>
      </c>
    </row>
    <row r="102" spans="1:13" x14ac:dyDescent="0.25">
      <c r="A102" s="2">
        <v>46268</v>
      </c>
      <c r="B102" s="1" t="str">
        <f ca="1">IF(Información1[[#This Row],[Fecha]]='Ajuste de fechas'!$A$2,"Día actual","Día anterior")</f>
        <v>Día actual</v>
      </c>
      <c r="C102" s="3" t="s">
        <v>76</v>
      </c>
      <c r="D102" t="s">
        <v>77</v>
      </c>
      <c r="E102" s="3" t="s">
        <v>251</v>
      </c>
      <c r="F102" s="3" t="s">
        <v>16</v>
      </c>
      <c r="G102" s="3" t="s">
        <v>245</v>
      </c>
      <c r="H102" s="3" t="s">
        <v>81</v>
      </c>
      <c r="I102" s="3" t="s">
        <v>7</v>
      </c>
      <c r="J102" s="3" t="s">
        <v>35</v>
      </c>
      <c r="K102" s="3" t="s">
        <v>252</v>
      </c>
      <c r="L102" s="3" t="s">
        <v>128</v>
      </c>
      <c r="M102">
        <v>1</v>
      </c>
    </row>
    <row r="103" spans="1:13" x14ac:dyDescent="0.25">
      <c r="A103" s="2">
        <v>46268</v>
      </c>
      <c r="B103" s="1" t="str">
        <f ca="1">IF(Información1[[#This Row],[Fecha]]='Ajuste de fechas'!$A$2,"Día actual","Día anterior")</f>
        <v>Día actual</v>
      </c>
      <c r="C103" s="3" t="s">
        <v>76</v>
      </c>
      <c r="D103" t="s">
        <v>77</v>
      </c>
      <c r="E103" s="3" t="s">
        <v>253</v>
      </c>
      <c r="F103" s="3" t="s">
        <v>254</v>
      </c>
      <c r="G103" s="3" t="s">
        <v>255</v>
      </c>
      <c r="H103" s="3" t="s">
        <v>81</v>
      </c>
      <c r="I103" s="3" t="s">
        <v>7</v>
      </c>
      <c r="J103" s="3" t="s">
        <v>21</v>
      </c>
      <c r="K103" s="3" t="s">
        <v>85</v>
      </c>
      <c r="L103" s="3" t="s">
        <v>32</v>
      </c>
      <c r="M103">
        <v>1</v>
      </c>
    </row>
    <row r="104" spans="1:13" x14ac:dyDescent="0.25">
      <c r="A104" s="2">
        <v>46268</v>
      </c>
      <c r="B104" s="1" t="str">
        <f ca="1">IF(Información1[[#This Row],[Fecha]]='Ajuste de fechas'!$A$2,"Día actual","Día anterior")</f>
        <v>Día actual</v>
      </c>
      <c r="C104" s="3" t="s">
        <v>76</v>
      </c>
      <c r="D104" t="s">
        <v>77</v>
      </c>
      <c r="E104" s="3" t="s">
        <v>256</v>
      </c>
      <c r="F104" s="3" t="s">
        <v>48</v>
      </c>
      <c r="G104" s="3" t="s">
        <v>257</v>
      </c>
      <c r="H104" s="3" t="s">
        <v>81</v>
      </c>
      <c r="I104" s="3" t="s">
        <v>22</v>
      </c>
      <c r="J104" s="3" t="s">
        <v>31</v>
      </c>
      <c r="K104" s="3" t="s">
        <v>85</v>
      </c>
      <c r="L104" s="3" t="s">
        <v>33</v>
      </c>
      <c r="M104">
        <v>1</v>
      </c>
    </row>
    <row r="105" spans="1:13" x14ac:dyDescent="0.25">
      <c r="A105" s="2">
        <v>46268</v>
      </c>
      <c r="B105" s="1" t="str">
        <f ca="1">IF(Información1[[#This Row],[Fecha]]='Ajuste de fechas'!$A$2,"Día actual","Día anterior")</f>
        <v>Día actual</v>
      </c>
      <c r="C105" s="3" t="s">
        <v>76</v>
      </c>
      <c r="D105" t="s">
        <v>77</v>
      </c>
      <c r="E105" s="3" t="s">
        <v>258</v>
      </c>
      <c r="F105" s="3" t="s">
        <v>16</v>
      </c>
      <c r="G105" s="3" t="s">
        <v>259</v>
      </c>
      <c r="H105" s="3" t="s">
        <v>81</v>
      </c>
      <c r="I105" s="3" t="s">
        <v>7</v>
      </c>
      <c r="J105" s="3" t="s">
        <v>35</v>
      </c>
      <c r="K105" s="3" t="s">
        <v>85</v>
      </c>
      <c r="L105" s="3" t="s">
        <v>32</v>
      </c>
      <c r="M105">
        <v>1</v>
      </c>
    </row>
    <row r="106" spans="1:13" x14ac:dyDescent="0.25">
      <c r="A106" s="2">
        <v>46268</v>
      </c>
      <c r="B106" s="1" t="str">
        <f ca="1">IF(Información1[[#This Row],[Fecha]]='Ajuste de fechas'!$A$2,"Día actual","Día anterior")</f>
        <v>Día actual</v>
      </c>
      <c r="C106" s="3" t="s">
        <v>76</v>
      </c>
      <c r="D106" t="s">
        <v>77</v>
      </c>
      <c r="E106" s="3" t="s">
        <v>260</v>
      </c>
      <c r="F106" s="3" t="s">
        <v>41</v>
      </c>
      <c r="G106" s="3" t="s">
        <v>55</v>
      </c>
      <c r="H106" s="3" t="s">
        <v>81</v>
      </c>
      <c r="I106" s="3" t="s">
        <v>7</v>
      </c>
      <c r="J106" s="3" t="s">
        <v>21</v>
      </c>
      <c r="K106" s="3" t="s">
        <v>85</v>
      </c>
      <c r="L106" s="3" t="s">
        <v>32</v>
      </c>
      <c r="M106">
        <v>1</v>
      </c>
    </row>
    <row r="107" spans="1:13" x14ac:dyDescent="0.25">
      <c r="A107" s="2">
        <v>46268</v>
      </c>
      <c r="B107" s="1" t="str">
        <f ca="1">IF(Información1[[#This Row],[Fecha]]='Ajuste de fechas'!$A$2,"Día actual","Día anterior")</f>
        <v>Día actual</v>
      </c>
      <c r="C107" s="3" t="s">
        <v>76</v>
      </c>
      <c r="D107" t="s">
        <v>77</v>
      </c>
      <c r="E107" s="3" t="s">
        <v>261</v>
      </c>
      <c r="F107" s="3" t="s">
        <v>41</v>
      </c>
      <c r="G107" s="3" t="s">
        <v>262</v>
      </c>
      <c r="H107" s="3" t="s">
        <v>81</v>
      </c>
      <c r="I107" s="3" t="s">
        <v>7</v>
      </c>
      <c r="J107" s="3" t="s">
        <v>21</v>
      </c>
      <c r="K107" s="3" t="s">
        <v>85</v>
      </c>
      <c r="L107" s="3" t="s">
        <v>32</v>
      </c>
      <c r="M107">
        <v>1</v>
      </c>
    </row>
    <row r="108" spans="1:13" x14ac:dyDescent="0.25">
      <c r="A108" s="2">
        <v>46268</v>
      </c>
      <c r="B108" s="1" t="str">
        <f ca="1">IF(Información1[[#This Row],[Fecha]]='Ajuste de fechas'!$A$2,"Día actual","Día anterior")</f>
        <v>Día actual</v>
      </c>
      <c r="C108" s="3" t="s">
        <v>76</v>
      </c>
      <c r="D108" t="s">
        <v>77</v>
      </c>
      <c r="E108" s="3" t="s">
        <v>263</v>
      </c>
      <c r="F108" s="3" t="s">
        <v>18</v>
      </c>
      <c r="G108" s="3" t="s">
        <v>264</v>
      </c>
      <c r="H108" s="3" t="s">
        <v>81</v>
      </c>
      <c r="I108" s="3" t="s">
        <v>7</v>
      </c>
      <c r="J108" s="3" t="s">
        <v>31</v>
      </c>
      <c r="K108" s="3" t="s">
        <v>82</v>
      </c>
      <c r="L108" s="3" t="s">
        <v>34</v>
      </c>
      <c r="M108">
        <v>1</v>
      </c>
    </row>
    <row r="109" spans="1:13" x14ac:dyDescent="0.25">
      <c r="A109" s="2">
        <v>46268</v>
      </c>
      <c r="B109" s="1" t="str">
        <f ca="1">IF(Información1[[#This Row],[Fecha]]='Ajuste de fechas'!$A$2,"Día actual","Día anterior")</f>
        <v>Día actual</v>
      </c>
      <c r="C109" s="3" t="s">
        <v>76</v>
      </c>
      <c r="D109" t="s">
        <v>77</v>
      </c>
      <c r="E109" s="3" t="s">
        <v>265</v>
      </c>
      <c r="F109" s="3" t="s">
        <v>79</v>
      </c>
      <c r="G109" s="3" t="s">
        <v>266</v>
      </c>
      <c r="H109" s="3" t="s">
        <v>81</v>
      </c>
      <c r="I109" s="3" t="s">
        <v>178</v>
      </c>
      <c r="J109" s="3" t="s">
        <v>31</v>
      </c>
      <c r="K109" s="3" t="s">
        <v>85</v>
      </c>
      <c r="L109" s="3" t="s">
        <v>32</v>
      </c>
      <c r="M109">
        <v>1</v>
      </c>
    </row>
    <row r="110" spans="1:13" x14ac:dyDescent="0.25">
      <c r="A110" s="2">
        <v>46268</v>
      </c>
      <c r="B110" s="1" t="str">
        <f ca="1">IF(Información1[[#This Row],[Fecha]]='Ajuste de fechas'!$A$2,"Día actual","Día anterior")</f>
        <v>Día actual</v>
      </c>
      <c r="C110" s="3" t="s">
        <v>76</v>
      </c>
      <c r="D110" t="s">
        <v>77</v>
      </c>
      <c r="E110" s="3" t="s">
        <v>234</v>
      </c>
      <c r="F110" s="3" t="s">
        <v>87</v>
      </c>
      <c r="G110" s="3" t="s">
        <v>235</v>
      </c>
      <c r="H110" s="3" t="s">
        <v>81</v>
      </c>
      <c r="I110" s="3" t="s">
        <v>7</v>
      </c>
      <c r="J110" s="3" t="s">
        <v>31</v>
      </c>
      <c r="K110" s="3" t="s">
        <v>82</v>
      </c>
      <c r="L110" s="3" t="s">
        <v>34</v>
      </c>
      <c r="M110">
        <v>1</v>
      </c>
    </row>
    <row r="111" spans="1:13" x14ac:dyDescent="0.25">
      <c r="A111" s="2">
        <v>46268</v>
      </c>
      <c r="B111" s="1" t="str">
        <f ca="1">IF(Información1[[#This Row],[Fecha]]='Ajuste de fechas'!$A$2,"Día actual","Día anterior")</f>
        <v>Día actual</v>
      </c>
      <c r="C111" s="3" t="s">
        <v>76</v>
      </c>
      <c r="D111" t="s">
        <v>77</v>
      </c>
      <c r="E111" s="3" t="s">
        <v>267</v>
      </c>
      <c r="F111" s="3" t="s">
        <v>23</v>
      </c>
      <c r="G111" s="3" t="s">
        <v>223</v>
      </c>
      <c r="H111" s="3" t="s">
        <v>81</v>
      </c>
      <c r="I111" s="3" t="s">
        <v>11</v>
      </c>
      <c r="J111" s="3" t="s">
        <v>31</v>
      </c>
      <c r="K111" s="3" t="s">
        <v>85</v>
      </c>
      <c r="L111" s="3" t="s">
        <v>32</v>
      </c>
      <c r="M111">
        <v>1</v>
      </c>
    </row>
    <row r="112" spans="1:13" x14ac:dyDescent="0.25">
      <c r="A112" s="2">
        <v>46268</v>
      </c>
      <c r="B112" s="1" t="str">
        <f ca="1">IF(Información1[[#This Row],[Fecha]]='Ajuste de fechas'!$A$2,"Día actual","Día anterior")</f>
        <v>Día actual</v>
      </c>
      <c r="C112" s="3" t="s">
        <v>76</v>
      </c>
      <c r="D112" t="s">
        <v>77</v>
      </c>
      <c r="E112" s="3" t="s">
        <v>268</v>
      </c>
      <c r="F112" s="3" t="s">
        <v>16</v>
      </c>
      <c r="G112" s="3" t="s">
        <v>245</v>
      </c>
      <c r="H112" s="3" t="s">
        <v>81</v>
      </c>
      <c r="I112" s="3" t="s">
        <v>22</v>
      </c>
      <c r="J112" s="3" t="s">
        <v>35</v>
      </c>
      <c r="K112" s="3" t="s">
        <v>85</v>
      </c>
      <c r="L112" s="3" t="s">
        <v>33</v>
      </c>
      <c r="M112">
        <v>2</v>
      </c>
    </row>
    <row r="113" spans="1:13" x14ac:dyDescent="0.25">
      <c r="A113" s="2">
        <v>46268</v>
      </c>
      <c r="B113" s="1" t="str">
        <f ca="1">IF(Información1[[#This Row],[Fecha]]='Ajuste de fechas'!$A$2,"Día actual","Día anterior")</f>
        <v>Día actual</v>
      </c>
      <c r="C113" s="3" t="s">
        <v>76</v>
      </c>
      <c r="D113" t="s">
        <v>77</v>
      </c>
      <c r="E113" s="3" t="s">
        <v>269</v>
      </c>
      <c r="F113" s="3" t="s">
        <v>23</v>
      </c>
      <c r="G113" s="3" t="s">
        <v>223</v>
      </c>
      <c r="H113" s="3" t="s">
        <v>81</v>
      </c>
      <c r="I113" s="3" t="s">
        <v>11</v>
      </c>
      <c r="J113" s="3" t="s">
        <v>31</v>
      </c>
      <c r="K113" s="3" t="s">
        <v>85</v>
      </c>
      <c r="L113" s="3" t="s">
        <v>32</v>
      </c>
      <c r="M113">
        <v>1</v>
      </c>
    </row>
    <row r="114" spans="1:13" x14ac:dyDescent="0.25">
      <c r="A114" s="2">
        <v>46268</v>
      </c>
      <c r="B114" s="1" t="str">
        <f ca="1">IF(Información1[[#This Row],[Fecha]]='Ajuste de fechas'!$A$2,"Día actual","Día anterior")</f>
        <v>Día actual</v>
      </c>
      <c r="C114" s="3" t="s">
        <v>76</v>
      </c>
      <c r="D114" t="s">
        <v>77</v>
      </c>
      <c r="E114" s="3" t="s">
        <v>270</v>
      </c>
      <c r="F114" s="3" t="s">
        <v>48</v>
      </c>
      <c r="G114" s="3" t="s">
        <v>55</v>
      </c>
      <c r="H114" s="3" t="s">
        <v>81</v>
      </c>
      <c r="I114" s="3" t="s">
        <v>11</v>
      </c>
      <c r="J114" s="3" t="s">
        <v>31</v>
      </c>
      <c r="K114" s="3" t="s">
        <v>85</v>
      </c>
      <c r="L114" s="3" t="s">
        <v>32</v>
      </c>
      <c r="M114">
        <v>1</v>
      </c>
    </row>
    <row r="115" spans="1:13" x14ac:dyDescent="0.25">
      <c r="A115" s="2">
        <v>46268</v>
      </c>
      <c r="B115" s="1" t="str">
        <f ca="1">IF(Información1[[#This Row],[Fecha]]='Ajuste de fechas'!$A$2,"Día actual","Día anterior")</f>
        <v>Día actual</v>
      </c>
      <c r="C115" s="3" t="s">
        <v>76</v>
      </c>
      <c r="D115" t="s">
        <v>77</v>
      </c>
      <c r="E115" s="3" t="s">
        <v>270</v>
      </c>
      <c r="F115" s="3" t="s">
        <v>23</v>
      </c>
      <c r="G115" s="3" t="s">
        <v>55</v>
      </c>
      <c r="H115" s="3" t="s">
        <v>81</v>
      </c>
      <c r="I115" s="3" t="s">
        <v>7</v>
      </c>
      <c r="J115" s="3" t="s">
        <v>31</v>
      </c>
      <c r="K115" s="3" t="s">
        <v>85</v>
      </c>
      <c r="L115" s="3" t="s">
        <v>32</v>
      </c>
      <c r="M115">
        <v>1</v>
      </c>
    </row>
    <row r="116" spans="1:13" x14ac:dyDescent="0.25">
      <c r="A116" s="2">
        <v>46268</v>
      </c>
      <c r="B116" s="1" t="str">
        <f ca="1">IF(Información1[[#This Row],[Fecha]]='Ajuste de fechas'!$A$2,"Día actual","Día anterior")</f>
        <v>Día actual</v>
      </c>
      <c r="C116" s="3" t="s">
        <v>76</v>
      </c>
      <c r="D116" t="s">
        <v>77</v>
      </c>
      <c r="E116" s="3" t="s">
        <v>271</v>
      </c>
      <c r="F116" s="3" t="s">
        <v>16</v>
      </c>
      <c r="G116" s="3" t="s">
        <v>248</v>
      </c>
      <c r="H116" s="3" t="s">
        <v>81</v>
      </c>
      <c r="I116" s="3" t="s">
        <v>22</v>
      </c>
      <c r="J116" s="3" t="s">
        <v>35</v>
      </c>
      <c r="K116" s="3" t="s">
        <v>85</v>
      </c>
      <c r="L116" s="3" t="s">
        <v>32</v>
      </c>
      <c r="M116">
        <v>1</v>
      </c>
    </row>
    <row r="117" spans="1:13" x14ac:dyDescent="0.25">
      <c r="A117" s="2">
        <v>46268</v>
      </c>
      <c r="B117" s="1" t="str">
        <f ca="1">IF(Información1[[#This Row],[Fecha]]='Ajuste de fechas'!$A$2,"Día actual","Día anterior")</f>
        <v>Día actual</v>
      </c>
      <c r="C117" s="3" t="s">
        <v>76</v>
      </c>
      <c r="D117" t="s">
        <v>77</v>
      </c>
      <c r="E117" s="3" t="s">
        <v>272</v>
      </c>
      <c r="F117" s="3" t="s">
        <v>6</v>
      </c>
      <c r="G117" s="3" t="s">
        <v>60</v>
      </c>
      <c r="H117" s="3" t="s">
        <v>81</v>
      </c>
      <c r="I117" s="3" t="s">
        <v>11</v>
      </c>
      <c r="J117" s="3" t="s">
        <v>31</v>
      </c>
      <c r="K117" s="3" t="s">
        <v>85</v>
      </c>
      <c r="L117" s="3" t="s">
        <v>33</v>
      </c>
      <c r="M117">
        <v>1</v>
      </c>
    </row>
    <row r="118" spans="1:13" x14ac:dyDescent="0.25">
      <c r="A118" s="2">
        <v>46268</v>
      </c>
      <c r="B118" s="1" t="str">
        <f ca="1">IF(Información1[[#This Row],[Fecha]]='Ajuste de fechas'!$A$2,"Día actual","Día anterior")</f>
        <v>Día actual</v>
      </c>
      <c r="C118" s="3" t="s">
        <v>66</v>
      </c>
      <c r="D118" t="s">
        <v>67</v>
      </c>
      <c r="E118" s="3" t="s">
        <v>273</v>
      </c>
      <c r="F118" s="3" t="s">
        <v>16</v>
      </c>
      <c r="G118" s="3" t="s">
        <v>274</v>
      </c>
      <c r="H118" s="3" t="s">
        <v>58</v>
      </c>
      <c r="I118" s="3" t="s">
        <v>7</v>
      </c>
      <c r="J118" s="3" t="s">
        <v>35</v>
      </c>
      <c r="K118" s="3" t="s">
        <v>275</v>
      </c>
      <c r="L118" s="3" t="s">
        <v>32</v>
      </c>
      <c r="M118">
        <v>1</v>
      </c>
    </row>
    <row r="119" spans="1:13" x14ac:dyDescent="0.25">
      <c r="A119" s="2">
        <v>46268</v>
      </c>
      <c r="B119" s="1" t="str">
        <f ca="1">IF(Información1[[#This Row],[Fecha]]='Ajuste de fechas'!$A$2,"Día actual","Día anterior")</f>
        <v>Día actual</v>
      </c>
      <c r="C119" s="3" t="s">
        <v>66</v>
      </c>
      <c r="D119" t="s">
        <v>67</v>
      </c>
      <c r="E119" s="3" t="s">
        <v>276</v>
      </c>
      <c r="F119" s="3" t="s">
        <v>16</v>
      </c>
      <c r="G119" s="3" t="s">
        <v>277</v>
      </c>
      <c r="H119" s="3" t="s">
        <v>58</v>
      </c>
      <c r="I119" s="3" t="s">
        <v>7</v>
      </c>
      <c r="J119" s="3" t="s">
        <v>35</v>
      </c>
      <c r="K119" s="3" t="s">
        <v>75</v>
      </c>
      <c r="L119" s="3" t="s">
        <v>32</v>
      </c>
      <c r="M119">
        <v>1</v>
      </c>
    </row>
    <row r="120" spans="1:13" x14ac:dyDescent="0.25">
      <c r="A120" s="2">
        <v>46268</v>
      </c>
      <c r="B120" s="1" t="str">
        <f ca="1">IF(Información1[[#This Row],[Fecha]]='Ajuste de fechas'!$A$2,"Día actual","Día anterior")</f>
        <v>Día actual</v>
      </c>
      <c r="C120" s="3" t="s">
        <v>66</v>
      </c>
      <c r="D120" t="s">
        <v>67</v>
      </c>
      <c r="E120" s="3" t="s">
        <v>278</v>
      </c>
      <c r="F120" s="3" t="s">
        <v>279</v>
      </c>
      <c r="G120" s="3" t="s">
        <v>280</v>
      </c>
      <c r="H120" s="3" t="s">
        <v>58</v>
      </c>
      <c r="I120" s="3" t="s">
        <v>7</v>
      </c>
      <c r="J120" s="3" t="s">
        <v>281</v>
      </c>
      <c r="K120" s="3" t="s">
        <v>75</v>
      </c>
      <c r="L120" s="3" t="s">
        <v>32</v>
      </c>
      <c r="M120">
        <v>1</v>
      </c>
    </row>
    <row r="121" spans="1:13" x14ac:dyDescent="0.25">
      <c r="A121" s="2">
        <v>46268</v>
      </c>
      <c r="B121" s="1" t="str">
        <f ca="1">IF(Información1[[#This Row],[Fecha]]='Ajuste de fechas'!$A$2,"Día actual","Día anterior")</f>
        <v>Día actual</v>
      </c>
      <c r="C121" s="3" t="s">
        <v>66</v>
      </c>
      <c r="D121" t="s">
        <v>67</v>
      </c>
      <c r="E121" s="3" t="s">
        <v>282</v>
      </c>
      <c r="F121" s="3" t="s">
        <v>239</v>
      </c>
      <c r="G121" s="3" t="s">
        <v>283</v>
      </c>
      <c r="H121" s="3" t="s">
        <v>58</v>
      </c>
      <c r="I121" s="3" t="s">
        <v>7</v>
      </c>
      <c r="J121" s="3" t="s">
        <v>21</v>
      </c>
      <c r="K121" s="3" t="s">
        <v>121</v>
      </c>
      <c r="L121" s="3" t="s">
        <v>32</v>
      </c>
      <c r="M121">
        <v>1</v>
      </c>
    </row>
    <row r="122" spans="1:13" x14ac:dyDescent="0.25">
      <c r="A122" s="2">
        <v>46268</v>
      </c>
      <c r="B122" s="1" t="str">
        <f ca="1">IF(Información1[[#This Row],[Fecha]]='Ajuste de fechas'!$A$2,"Día actual","Día anterior")</f>
        <v>Día actual</v>
      </c>
      <c r="C122" s="3" t="s">
        <v>66</v>
      </c>
      <c r="D122" t="s">
        <v>67</v>
      </c>
      <c r="E122" s="3" t="s">
        <v>263</v>
      </c>
      <c r="F122" s="3" t="s">
        <v>18</v>
      </c>
      <c r="G122" s="3" t="s">
        <v>264</v>
      </c>
      <c r="H122" s="3" t="s">
        <v>58</v>
      </c>
      <c r="I122" s="3" t="s">
        <v>7</v>
      </c>
      <c r="J122" s="3" t="s">
        <v>31</v>
      </c>
      <c r="K122" s="3" t="s">
        <v>75</v>
      </c>
      <c r="L122" s="3" t="s">
        <v>34</v>
      </c>
      <c r="M122">
        <v>1</v>
      </c>
    </row>
    <row r="123" spans="1:13" x14ac:dyDescent="0.25">
      <c r="A123" s="2">
        <v>46268</v>
      </c>
      <c r="B123" s="1" t="str">
        <f ca="1">IF(Información1[[#This Row],[Fecha]]='Ajuste de fechas'!$A$2,"Día actual","Día anterior")</f>
        <v>Día actual</v>
      </c>
      <c r="C123" s="3" t="s">
        <v>66</v>
      </c>
      <c r="D123" t="s">
        <v>67</v>
      </c>
      <c r="E123" s="3" t="s">
        <v>284</v>
      </c>
      <c r="F123" s="3" t="s">
        <v>285</v>
      </c>
      <c r="G123" s="3" t="s">
        <v>286</v>
      </c>
      <c r="H123" s="3" t="s">
        <v>58</v>
      </c>
      <c r="I123" s="3" t="s">
        <v>7</v>
      </c>
      <c r="J123" s="3" t="s">
        <v>31</v>
      </c>
      <c r="K123" s="3" t="s">
        <v>275</v>
      </c>
      <c r="L123" s="3" t="s">
        <v>32</v>
      </c>
      <c r="M123">
        <v>1</v>
      </c>
    </row>
    <row r="124" spans="1:13" x14ac:dyDescent="0.25">
      <c r="A124" s="2">
        <v>46268</v>
      </c>
      <c r="B124" s="1" t="str">
        <f ca="1">IF(Información1[[#This Row],[Fecha]]='Ajuste de fechas'!$A$2,"Día actual","Día anterior")</f>
        <v>Día actual</v>
      </c>
      <c r="C124" s="3" t="s">
        <v>66</v>
      </c>
      <c r="D124" t="s">
        <v>67</v>
      </c>
      <c r="E124" s="3" t="s">
        <v>287</v>
      </c>
      <c r="F124" s="3" t="s">
        <v>87</v>
      </c>
      <c r="G124" s="3" t="s">
        <v>288</v>
      </c>
      <c r="H124" s="3" t="s">
        <v>58</v>
      </c>
      <c r="I124" s="3" t="s">
        <v>7</v>
      </c>
      <c r="J124" s="3" t="s">
        <v>31</v>
      </c>
      <c r="K124" s="3" t="s">
        <v>275</v>
      </c>
      <c r="L124" s="3" t="s">
        <v>32</v>
      </c>
      <c r="M124">
        <v>1</v>
      </c>
    </row>
    <row r="125" spans="1:13" x14ac:dyDescent="0.25">
      <c r="A125" s="2">
        <v>46268</v>
      </c>
      <c r="B125" s="1" t="str">
        <f ca="1">IF(Información1[[#This Row],[Fecha]]='Ajuste de fechas'!$A$2,"Día actual","Día anterior")</f>
        <v>Día actual</v>
      </c>
      <c r="C125" s="3" t="s">
        <v>66</v>
      </c>
      <c r="D125" t="s">
        <v>67</v>
      </c>
      <c r="E125" s="3" t="s">
        <v>289</v>
      </c>
      <c r="F125" s="3" t="s">
        <v>16</v>
      </c>
      <c r="G125" s="3" t="s">
        <v>245</v>
      </c>
      <c r="H125" s="3" t="s">
        <v>58</v>
      </c>
      <c r="I125" s="3" t="s">
        <v>7</v>
      </c>
      <c r="J125" s="3" t="s">
        <v>35</v>
      </c>
      <c r="K125" s="3" t="s">
        <v>75</v>
      </c>
      <c r="L125" s="3" t="s">
        <v>32</v>
      </c>
      <c r="M125">
        <v>1</v>
      </c>
    </row>
    <row r="126" spans="1:13" x14ac:dyDescent="0.25">
      <c r="A126" s="2">
        <v>46268</v>
      </c>
      <c r="B126" s="1" t="str">
        <f ca="1">IF(Información1[[#This Row],[Fecha]]='Ajuste de fechas'!$A$2,"Día actual","Día anterior")</f>
        <v>Día actual</v>
      </c>
      <c r="C126" s="3" t="s">
        <v>66</v>
      </c>
      <c r="D126" t="s">
        <v>67</v>
      </c>
      <c r="E126" s="3" t="s">
        <v>290</v>
      </c>
      <c r="F126" s="3" t="s">
        <v>16</v>
      </c>
      <c r="G126" s="3" t="s">
        <v>291</v>
      </c>
      <c r="H126" s="3" t="s">
        <v>58</v>
      </c>
      <c r="I126" s="3" t="s">
        <v>7</v>
      </c>
      <c r="J126" s="3" t="s">
        <v>35</v>
      </c>
      <c r="K126" s="3" t="s">
        <v>75</v>
      </c>
      <c r="L126" s="3" t="s">
        <v>32</v>
      </c>
      <c r="M126">
        <v>1</v>
      </c>
    </row>
    <row r="127" spans="1:13" x14ac:dyDescent="0.25">
      <c r="A127" s="2">
        <v>46268</v>
      </c>
      <c r="B127" s="1" t="str">
        <f ca="1">IF(Información1[[#This Row],[Fecha]]='Ajuste de fechas'!$A$2,"Día actual","Día anterior")</f>
        <v>Día actual</v>
      </c>
      <c r="C127" s="3" t="s">
        <v>66</v>
      </c>
      <c r="D127" t="s">
        <v>67</v>
      </c>
      <c r="E127" s="3" t="s">
        <v>292</v>
      </c>
      <c r="F127" s="3" t="s">
        <v>16</v>
      </c>
      <c r="G127" s="3" t="s">
        <v>248</v>
      </c>
      <c r="H127" s="3" t="s">
        <v>58</v>
      </c>
      <c r="I127" s="3" t="s">
        <v>22</v>
      </c>
      <c r="J127" s="3" t="s">
        <v>35</v>
      </c>
      <c r="K127" s="3" t="s">
        <v>9</v>
      </c>
      <c r="L127" s="3" t="s">
        <v>33</v>
      </c>
      <c r="M127">
        <v>1</v>
      </c>
    </row>
    <row r="128" spans="1:13" x14ac:dyDescent="0.25">
      <c r="A128" s="2">
        <v>46268</v>
      </c>
      <c r="B128" s="1" t="str">
        <f ca="1">IF(Información1[[#This Row],[Fecha]]='Ajuste de fechas'!$A$2,"Día actual","Día anterior")</f>
        <v>Día actual</v>
      </c>
      <c r="C128" s="3" t="s">
        <v>66</v>
      </c>
      <c r="D128" t="s">
        <v>67</v>
      </c>
      <c r="E128" s="3" t="s">
        <v>293</v>
      </c>
      <c r="F128" s="3" t="s">
        <v>18</v>
      </c>
      <c r="G128" s="3" t="s">
        <v>237</v>
      </c>
      <c r="H128" s="3" t="s">
        <v>58</v>
      </c>
      <c r="I128" s="3" t="s">
        <v>7</v>
      </c>
      <c r="J128" s="3" t="s">
        <v>31</v>
      </c>
      <c r="K128" s="3" t="s">
        <v>121</v>
      </c>
      <c r="L128" s="3" t="s">
        <v>32</v>
      </c>
      <c r="M128">
        <v>1</v>
      </c>
    </row>
    <row r="129" spans="1:13" x14ac:dyDescent="0.25">
      <c r="A129" s="2">
        <v>46268</v>
      </c>
      <c r="B129" s="1" t="str">
        <f ca="1">IF(Información1[[#This Row],[Fecha]]='Ajuste de fechas'!$A$2,"Día actual","Día anterior")</f>
        <v>Día actual</v>
      </c>
      <c r="C129" s="3" t="s">
        <v>66</v>
      </c>
      <c r="D129" t="s">
        <v>67</v>
      </c>
      <c r="E129" s="3" t="s">
        <v>294</v>
      </c>
      <c r="F129" s="3" t="s">
        <v>18</v>
      </c>
      <c r="G129" s="3" t="s">
        <v>295</v>
      </c>
      <c r="H129" s="3" t="s">
        <v>58</v>
      </c>
      <c r="I129" s="3" t="s">
        <v>7</v>
      </c>
      <c r="J129" s="3" t="s">
        <v>31</v>
      </c>
      <c r="K129" s="3" t="s">
        <v>275</v>
      </c>
      <c r="L129" s="3" t="s">
        <v>32</v>
      </c>
      <c r="M129">
        <v>1</v>
      </c>
    </row>
    <row r="130" spans="1:13" x14ac:dyDescent="0.25">
      <c r="A130" s="2">
        <v>46268</v>
      </c>
      <c r="B130" s="1" t="str">
        <f ca="1">IF(Información1[[#This Row],[Fecha]]='Ajuste de fechas'!$A$2,"Día actual","Día anterior")</f>
        <v>Día actual</v>
      </c>
      <c r="C130" s="3" t="s">
        <v>66</v>
      </c>
      <c r="D130" t="s">
        <v>67</v>
      </c>
      <c r="E130" s="3" t="s">
        <v>125</v>
      </c>
      <c r="F130" s="3" t="s">
        <v>16</v>
      </c>
      <c r="G130" s="3" t="s">
        <v>126</v>
      </c>
      <c r="H130" s="3" t="s">
        <v>58</v>
      </c>
      <c r="I130" s="3" t="s">
        <v>7</v>
      </c>
      <c r="J130" s="3" t="s">
        <v>35</v>
      </c>
      <c r="K130" s="3" t="s">
        <v>127</v>
      </c>
      <c r="L130" s="3" t="s">
        <v>128</v>
      </c>
      <c r="M130">
        <v>1</v>
      </c>
    </row>
    <row r="131" spans="1:13" x14ac:dyDescent="0.25">
      <c r="A131" s="2">
        <v>46268</v>
      </c>
      <c r="B131" s="1" t="str">
        <f ca="1">IF(Información1[[#This Row],[Fecha]]='Ajuste de fechas'!$A$2,"Día actual","Día anterior")</f>
        <v>Día actual</v>
      </c>
      <c r="C131" s="3" t="s">
        <v>66</v>
      </c>
      <c r="D131" t="s">
        <v>67</v>
      </c>
      <c r="E131" s="3" t="s">
        <v>217</v>
      </c>
      <c r="F131" s="3" t="s">
        <v>44</v>
      </c>
      <c r="G131" s="3" t="s">
        <v>46</v>
      </c>
      <c r="H131" s="3" t="s">
        <v>58</v>
      </c>
      <c r="I131" s="3" t="s">
        <v>7</v>
      </c>
      <c r="J131" s="3" t="s">
        <v>31</v>
      </c>
      <c r="K131" s="3" t="s">
        <v>75</v>
      </c>
      <c r="L131" s="3" t="s">
        <v>34</v>
      </c>
      <c r="M131">
        <v>1</v>
      </c>
    </row>
    <row r="132" spans="1:13" x14ac:dyDescent="0.25">
      <c r="A132" s="2">
        <v>46268</v>
      </c>
      <c r="B132" s="1" t="str">
        <f ca="1">IF(Información1[[#This Row],[Fecha]]='Ajuste de fechas'!$A$2,"Día actual","Día anterior")</f>
        <v>Día actual</v>
      </c>
      <c r="C132" s="3" t="s">
        <v>66</v>
      </c>
      <c r="D132" t="s">
        <v>67</v>
      </c>
      <c r="E132" s="3" t="s">
        <v>296</v>
      </c>
      <c r="F132" s="3" t="s">
        <v>53</v>
      </c>
      <c r="G132" s="3" t="s">
        <v>297</v>
      </c>
      <c r="H132" s="3" t="s">
        <v>58</v>
      </c>
      <c r="I132" s="3" t="s">
        <v>7</v>
      </c>
      <c r="J132" s="3" t="s">
        <v>31</v>
      </c>
      <c r="K132" s="3" t="s">
        <v>275</v>
      </c>
      <c r="L132" s="3" t="s">
        <v>32</v>
      </c>
      <c r="M132">
        <v>1</v>
      </c>
    </row>
    <row r="133" spans="1:13" x14ac:dyDescent="0.25">
      <c r="A133" s="2">
        <v>46268</v>
      </c>
      <c r="B133" s="1" t="str">
        <f ca="1">IF(Información1[[#This Row],[Fecha]]='Ajuste de fechas'!$A$2,"Día actual","Día anterior")</f>
        <v>Día actual</v>
      </c>
      <c r="C133" s="3" t="s">
        <v>66</v>
      </c>
      <c r="D133" t="s">
        <v>67</v>
      </c>
      <c r="E133" s="3" t="s">
        <v>298</v>
      </c>
      <c r="F133" s="3" t="s">
        <v>16</v>
      </c>
      <c r="G133" s="3" t="s">
        <v>299</v>
      </c>
      <c r="H133" s="3" t="s">
        <v>58</v>
      </c>
      <c r="I133" s="3" t="s">
        <v>22</v>
      </c>
      <c r="J133" s="3" t="s">
        <v>35</v>
      </c>
      <c r="K133" s="3" t="s">
        <v>275</v>
      </c>
      <c r="L133" s="3" t="s">
        <v>32</v>
      </c>
      <c r="M133">
        <v>1</v>
      </c>
    </row>
    <row r="134" spans="1:13" x14ac:dyDescent="0.25">
      <c r="A134" s="2">
        <v>46268</v>
      </c>
      <c r="B134" s="1" t="str">
        <f ca="1">IF(Información1[[#This Row],[Fecha]]='Ajuste de fechas'!$A$2,"Día actual","Día anterior")</f>
        <v>Día actual</v>
      </c>
      <c r="C134" s="3" t="s">
        <v>66</v>
      </c>
      <c r="D134" t="s">
        <v>67</v>
      </c>
      <c r="E134" s="3" t="s">
        <v>300</v>
      </c>
      <c r="F134" s="3" t="s">
        <v>16</v>
      </c>
      <c r="G134" s="3" t="s">
        <v>301</v>
      </c>
      <c r="H134" s="3" t="s">
        <v>58</v>
      </c>
      <c r="I134" s="3" t="s">
        <v>7</v>
      </c>
      <c r="J134" s="3" t="s">
        <v>35</v>
      </c>
      <c r="K134" s="3" t="s">
        <v>275</v>
      </c>
      <c r="L134" s="3" t="s">
        <v>32</v>
      </c>
      <c r="M134">
        <v>1</v>
      </c>
    </row>
    <row r="135" spans="1:13" x14ac:dyDescent="0.25">
      <c r="A135" s="2">
        <v>46268</v>
      </c>
      <c r="B135" s="1" t="str">
        <f ca="1">IF(Información1[[#This Row],[Fecha]]='Ajuste de fechas'!$A$2,"Día actual","Día anterior")</f>
        <v>Día actual</v>
      </c>
      <c r="C135" s="3" t="s">
        <v>8</v>
      </c>
      <c r="D135" t="s">
        <v>10</v>
      </c>
      <c r="E135" s="3" t="s">
        <v>302</v>
      </c>
      <c r="F135" s="3" t="s">
        <v>6</v>
      </c>
      <c r="G135" s="3" t="s">
        <v>51</v>
      </c>
      <c r="H135" s="3" t="s">
        <v>58</v>
      </c>
      <c r="I135" s="3" t="s">
        <v>22</v>
      </c>
      <c r="J135" s="3" t="s">
        <v>31</v>
      </c>
      <c r="K135" s="3" t="s">
        <v>9</v>
      </c>
      <c r="L135" s="3" t="s">
        <v>33</v>
      </c>
      <c r="M135">
        <v>1</v>
      </c>
    </row>
    <row r="136" spans="1:13" x14ac:dyDescent="0.25">
      <c r="A136" s="2">
        <v>46268</v>
      </c>
      <c r="B136" s="1" t="str">
        <f ca="1">IF(Información1[[#This Row],[Fecha]]='Ajuste de fechas'!$A$2,"Día actual","Día anterior")</f>
        <v>Día actual</v>
      </c>
      <c r="C136" s="3" t="s">
        <v>144</v>
      </c>
      <c r="D136" t="s">
        <v>145</v>
      </c>
      <c r="E136" s="3" t="s">
        <v>303</v>
      </c>
      <c r="F136" s="3" t="s">
        <v>21</v>
      </c>
      <c r="G136" s="3" t="s">
        <v>212</v>
      </c>
      <c r="H136" s="3" t="s">
        <v>58</v>
      </c>
      <c r="I136" s="3" t="s">
        <v>7</v>
      </c>
      <c r="J136" s="3" t="s">
        <v>21</v>
      </c>
      <c r="K136" s="3" t="s">
        <v>148</v>
      </c>
      <c r="L136" s="3" t="s">
        <v>32</v>
      </c>
      <c r="M136">
        <v>1</v>
      </c>
    </row>
    <row r="137" spans="1:13" x14ac:dyDescent="0.25">
      <c r="A137" s="2">
        <v>46268</v>
      </c>
      <c r="B137" s="1" t="str">
        <f ca="1">IF(Información1[[#This Row],[Fecha]]='Ajuste de fechas'!$A$2,"Día actual","Día anterior")</f>
        <v>Día actual</v>
      </c>
      <c r="C137" s="3" t="s">
        <v>144</v>
      </c>
      <c r="D137" t="s">
        <v>145</v>
      </c>
      <c r="E137" s="3" t="s">
        <v>304</v>
      </c>
      <c r="F137" s="3" t="s">
        <v>16</v>
      </c>
      <c r="G137" s="3" t="s">
        <v>59</v>
      </c>
      <c r="H137" s="3" t="s">
        <v>58</v>
      </c>
      <c r="I137" s="3" t="s">
        <v>7</v>
      </c>
      <c r="J137" s="3" t="s">
        <v>35</v>
      </c>
      <c r="K137" s="3" t="s">
        <v>9</v>
      </c>
      <c r="L137" s="3" t="s">
        <v>32</v>
      </c>
      <c r="M137">
        <v>1</v>
      </c>
    </row>
    <row r="138" spans="1:13" x14ac:dyDescent="0.25">
      <c r="A138" s="2">
        <v>46268</v>
      </c>
      <c r="B138" s="1" t="str">
        <f ca="1">IF(Información1[[#This Row],[Fecha]]='Ajuste de fechas'!$A$2,"Día actual","Día anterior")</f>
        <v>Día actual</v>
      </c>
      <c r="C138" s="3" t="s">
        <v>144</v>
      </c>
      <c r="D138" t="s">
        <v>145</v>
      </c>
      <c r="E138" s="3" t="s">
        <v>305</v>
      </c>
      <c r="F138" s="3" t="s">
        <v>153</v>
      </c>
      <c r="G138" s="3" t="s">
        <v>210</v>
      </c>
      <c r="H138" s="3" t="s">
        <v>58</v>
      </c>
      <c r="I138" s="3" t="s">
        <v>7</v>
      </c>
      <c r="J138" s="3" t="s">
        <v>31</v>
      </c>
      <c r="K138" s="3" t="s">
        <v>148</v>
      </c>
      <c r="L138" s="3" t="s">
        <v>32</v>
      </c>
      <c r="M138">
        <v>1</v>
      </c>
    </row>
    <row r="139" spans="1:13" x14ac:dyDescent="0.25">
      <c r="A139" s="2">
        <v>46268</v>
      </c>
      <c r="B139" s="1" t="str">
        <f ca="1">IF(Información1[[#This Row],[Fecha]]='Ajuste de fechas'!$A$2,"Día actual","Día anterior")</f>
        <v>Día actual</v>
      </c>
      <c r="C139" s="3" t="s">
        <v>8</v>
      </c>
      <c r="D139" t="s">
        <v>10</v>
      </c>
      <c r="E139" s="3" t="s">
        <v>40</v>
      </c>
      <c r="F139" s="3" t="s">
        <v>6</v>
      </c>
      <c r="G139" s="3" t="s">
        <v>24</v>
      </c>
      <c r="H139" s="3" t="s">
        <v>58</v>
      </c>
      <c r="I139" s="3" t="s">
        <v>11</v>
      </c>
      <c r="J139" s="3" t="s">
        <v>31</v>
      </c>
      <c r="K139" s="3" t="s">
        <v>12</v>
      </c>
      <c r="L139" s="3" t="s">
        <v>33</v>
      </c>
      <c r="M139">
        <v>1</v>
      </c>
    </row>
    <row r="140" spans="1:13" x14ac:dyDescent="0.25">
      <c r="A140" s="2">
        <v>46268</v>
      </c>
      <c r="B140" s="1" t="str">
        <f ca="1">IF(Información1[[#This Row],[Fecha]]='Ajuste de fechas'!$A$2,"Día actual","Día anterior")</f>
        <v>Día actual</v>
      </c>
      <c r="C140" s="3" t="s">
        <v>8</v>
      </c>
      <c r="D140" t="s">
        <v>10</v>
      </c>
      <c r="E140" s="3" t="s">
        <v>47</v>
      </c>
      <c r="F140" s="3" t="s">
        <v>18</v>
      </c>
      <c r="G140" s="3" t="s">
        <v>24</v>
      </c>
      <c r="H140" s="3" t="s">
        <v>58</v>
      </c>
      <c r="I140" s="3" t="s">
        <v>11</v>
      </c>
      <c r="J140" s="3" t="s">
        <v>31</v>
      </c>
      <c r="K140" s="3" t="s">
        <v>12</v>
      </c>
      <c r="L140" s="3" t="s">
        <v>33</v>
      </c>
      <c r="M140">
        <v>1</v>
      </c>
    </row>
    <row r="141" spans="1:13" x14ac:dyDescent="0.25">
      <c r="A141" s="2">
        <v>46268</v>
      </c>
      <c r="B141" s="1" t="str">
        <f ca="1">IF(Información1[[#This Row],[Fecha]]='Ajuste de fechas'!$A$2,"Día actual","Día anterior")</f>
        <v>Día actual</v>
      </c>
      <c r="C141" s="3" t="s">
        <v>8</v>
      </c>
      <c r="D141" t="s">
        <v>10</v>
      </c>
      <c r="E141" s="3" t="s">
        <v>13</v>
      </c>
      <c r="F141" s="3" t="s">
        <v>14</v>
      </c>
      <c r="G141" s="3" t="s">
        <v>24</v>
      </c>
      <c r="H141" s="3" t="s">
        <v>58</v>
      </c>
      <c r="I141" s="3" t="s">
        <v>11</v>
      </c>
      <c r="J141" s="3" t="s">
        <v>31</v>
      </c>
      <c r="K141" s="3" t="s">
        <v>12</v>
      </c>
      <c r="L141" s="3" t="s">
        <v>33</v>
      </c>
      <c r="M141">
        <v>1</v>
      </c>
    </row>
    <row r="142" spans="1:13" x14ac:dyDescent="0.25">
      <c r="A142" s="2">
        <v>46268</v>
      </c>
      <c r="B142" s="1" t="str">
        <f ca="1">IF(Información1[[#This Row],[Fecha]]='Ajuste de fechas'!$A$2,"Día actual","Día anterior")</f>
        <v>Día actual</v>
      </c>
      <c r="C142" s="3" t="s">
        <v>8</v>
      </c>
      <c r="D142" t="s">
        <v>10</v>
      </c>
      <c r="E142" s="3" t="s">
        <v>49</v>
      </c>
      <c r="F142" s="3" t="s">
        <v>48</v>
      </c>
      <c r="G142" s="3" t="s">
        <v>24</v>
      </c>
      <c r="H142" s="3" t="s">
        <v>58</v>
      </c>
      <c r="I142" s="3" t="s">
        <v>11</v>
      </c>
      <c r="J142" s="3" t="s">
        <v>31</v>
      </c>
      <c r="K142" s="3" t="s">
        <v>12</v>
      </c>
      <c r="L142" s="3" t="s">
        <v>33</v>
      </c>
      <c r="M142">
        <v>1</v>
      </c>
    </row>
    <row r="143" spans="1:13" x14ac:dyDescent="0.25">
      <c r="A143" s="2">
        <v>46268</v>
      </c>
      <c r="B143" s="1" t="str">
        <f ca="1">IF(Información1[[#This Row],[Fecha]]='Ajuste de fechas'!$A$2,"Día actual","Día anterior")</f>
        <v>Día actual</v>
      </c>
      <c r="C143" s="3" t="s">
        <v>8</v>
      </c>
      <c r="D143" t="s">
        <v>10</v>
      </c>
      <c r="E143" s="3" t="s">
        <v>43</v>
      </c>
      <c r="F143" s="3" t="s">
        <v>41</v>
      </c>
      <c r="G143" s="3" t="s">
        <v>24</v>
      </c>
      <c r="H143" s="3" t="s">
        <v>58</v>
      </c>
      <c r="I143" s="3" t="s">
        <v>11</v>
      </c>
      <c r="J143" s="3" t="s">
        <v>21</v>
      </c>
      <c r="K143" s="3" t="s">
        <v>12</v>
      </c>
      <c r="L143" s="3" t="s">
        <v>33</v>
      </c>
      <c r="M143">
        <v>1</v>
      </c>
    </row>
    <row r="144" spans="1:13" x14ac:dyDescent="0.25">
      <c r="A144" s="2">
        <v>46268</v>
      </c>
      <c r="B144" s="1" t="str">
        <f ca="1">IF(Información1[[#This Row],[Fecha]]='Ajuste de fechas'!$A$2,"Día actual","Día anterior")</f>
        <v>Día actual</v>
      </c>
      <c r="C144" s="3" t="s">
        <v>8</v>
      </c>
      <c r="D144" t="s">
        <v>10</v>
      </c>
      <c r="E144" s="3" t="s">
        <v>17</v>
      </c>
      <c r="F144" s="3" t="s">
        <v>16</v>
      </c>
      <c r="G144" s="3" t="s">
        <v>24</v>
      </c>
      <c r="H144" s="3" t="s">
        <v>58</v>
      </c>
      <c r="I144" s="3" t="s">
        <v>11</v>
      </c>
      <c r="J144" s="3" t="s">
        <v>35</v>
      </c>
      <c r="K144" s="3" t="s">
        <v>12</v>
      </c>
      <c r="L144" s="3" t="s">
        <v>33</v>
      </c>
      <c r="M144">
        <v>1</v>
      </c>
    </row>
    <row r="145" spans="1:13" x14ac:dyDescent="0.25">
      <c r="A145" s="2">
        <v>46268</v>
      </c>
      <c r="B145" s="1" t="str">
        <f ca="1">IF(Información1[[#This Row],[Fecha]]='Ajuste de fechas'!$A$2,"Día actual","Día anterior")</f>
        <v>Día actual</v>
      </c>
      <c r="C145" s="3" t="s">
        <v>8</v>
      </c>
      <c r="D145" t="s">
        <v>10</v>
      </c>
      <c r="E145" s="3" t="s">
        <v>15</v>
      </c>
      <c r="F145" s="3" t="s">
        <v>16</v>
      </c>
      <c r="G145" s="3" t="s">
        <v>24</v>
      </c>
      <c r="H145" s="3" t="s">
        <v>58</v>
      </c>
      <c r="I145" s="3" t="s">
        <v>11</v>
      </c>
      <c r="J145" s="3" t="s">
        <v>35</v>
      </c>
      <c r="K145" s="3" t="s">
        <v>12</v>
      </c>
      <c r="L145" s="3" t="s">
        <v>33</v>
      </c>
      <c r="M145">
        <v>1</v>
      </c>
    </row>
    <row r="146" spans="1:13" x14ac:dyDescent="0.25">
      <c r="A146" s="2">
        <v>46268</v>
      </c>
      <c r="B146" s="1" t="str">
        <f ca="1">IF(Información1[[#This Row],[Fecha]]='Ajuste de fechas'!$A$2,"Día actual","Día anterior")</f>
        <v>Día actual</v>
      </c>
      <c r="C146" s="3" t="s">
        <v>8</v>
      </c>
      <c r="D146" t="s">
        <v>10</v>
      </c>
      <c r="E146" s="3" t="s">
        <v>306</v>
      </c>
      <c r="F146" s="3" t="s">
        <v>16</v>
      </c>
      <c r="G146" s="3" t="s">
        <v>50</v>
      </c>
      <c r="H146" s="3" t="s">
        <v>58</v>
      </c>
      <c r="I146" s="3" t="s">
        <v>7</v>
      </c>
      <c r="J146" s="3" t="s">
        <v>35</v>
      </c>
      <c r="K146" s="3" t="s">
        <v>12</v>
      </c>
      <c r="L146" s="3" t="s">
        <v>42</v>
      </c>
      <c r="M146">
        <v>1</v>
      </c>
    </row>
    <row r="147" spans="1:13" x14ac:dyDescent="0.25">
      <c r="A147" s="2">
        <v>46268</v>
      </c>
      <c r="B147" s="1" t="str">
        <f ca="1">IF(Información1[[#This Row],[Fecha]]='Ajuste de fechas'!$A$2,"Día actual","Día anterior")</f>
        <v>Día actual</v>
      </c>
      <c r="C147" s="3" t="s">
        <v>8</v>
      </c>
      <c r="D147" t="s">
        <v>10</v>
      </c>
      <c r="E147" s="3" t="s">
        <v>307</v>
      </c>
      <c r="F147" s="3" t="s">
        <v>308</v>
      </c>
      <c r="G147" s="3" t="s">
        <v>309</v>
      </c>
      <c r="H147" s="3" t="s">
        <v>58</v>
      </c>
      <c r="I147" s="3" t="s">
        <v>7</v>
      </c>
      <c r="J147" s="3" t="s">
        <v>31</v>
      </c>
      <c r="K147" s="3" t="s">
        <v>9</v>
      </c>
      <c r="L147" s="3" t="s">
        <v>33</v>
      </c>
      <c r="M147">
        <v>1</v>
      </c>
    </row>
    <row r="148" spans="1:13" x14ac:dyDescent="0.25">
      <c r="A148" s="2">
        <v>46268</v>
      </c>
      <c r="B148" s="1" t="str">
        <f ca="1">IF(Información1[[#This Row],[Fecha]]='Ajuste de fechas'!$A$2,"Día actual","Día anterior")</f>
        <v>Día actual</v>
      </c>
      <c r="C148" s="3" t="s">
        <v>144</v>
      </c>
      <c r="D148" t="s">
        <v>145</v>
      </c>
      <c r="E148" s="3" t="s">
        <v>310</v>
      </c>
      <c r="F148" s="3" t="s">
        <v>20</v>
      </c>
      <c r="G148" s="3" t="s">
        <v>311</v>
      </c>
      <c r="H148" s="3" t="s">
        <v>58</v>
      </c>
      <c r="I148" s="3" t="s">
        <v>22</v>
      </c>
      <c r="J148" s="3" t="s">
        <v>31</v>
      </c>
      <c r="K148" s="3" t="s">
        <v>148</v>
      </c>
      <c r="L148" s="3" t="s">
        <v>32</v>
      </c>
      <c r="M148">
        <v>1</v>
      </c>
    </row>
    <row r="149" spans="1:13" x14ac:dyDescent="0.25">
      <c r="A149" s="2">
        <v>46268</v>
      </c>
      <c r="B149" s="1" t="str">
        <f ca="1">IF(Información1[[#This Row],[Fecha]]='Ajuste de fechas'!$A$2,"Día actual","Día anterior")</f>
        <v>Día actual</v>
      </c>
      <c r="C149" s="3" t="s">
        <v>140</v>
      </c>
      <c r="D149" t="s">
        <v>141</v>
      </c>
      <c r="E149" s="3" t="s">
        <v>312</v>
      </c>
      <c r="F149" s="3" t="s">
        <v>45</v>
      </c>
      <c r="G149" s="3" t="s">
        <v>233</v>
      </c>
      <c r="H149" s="3" t="s">
        <v>58</v>
      </c>
      <c r="I149" s="3" t="s">
        <v>7</v>
      </c>
      <c r="J149" s="3" t="s">
        <v>31</v>
      </c>
      <c r="K149" s="3" t="s">
        <v>143</v>
      </c>
      <c r="L149" s="3" t="s">
        <v>34</v>
      </c>
      <c r="M149">
        <v>1</v>
      </c>
    </row>
    <row r="150" spans="1:13" x14ac:dyDescent="0.25">
      <c r="A150" s="2">
        <v>46268</v>
      </c>
      <c r="B150" s="1" t="str">
        <f ca="1">IF(Información1[[#This Row],[Fecha]]='Ajuste de fechas'!$A$2,"Día actual","Día anterior")</f>
        <v>Día actual</v>
      </c>
      <c r="C150" s="3" t="s">
        <v>144</v>
      </c>
      <c r="D150" t="s">
        <v>145</v>
      </c>
      <c r="E150" s="3" t="s">
        <v>313</v>
      </c>
      <c r="F150" s="3" t="s">
        <v>45</v>
      </c>
      <c r="G150" s="3" t="s">
        <v>233</v>
      </c>
      <c r="H150" s="3" t="s">
        <v>58</v>
      </c>
      <c r="I150" s="3" t="s">
        <v>7</v>
      </c>
      <c r="J150" s="3" t="s">
        <v>31</v>
      </c>
      <c r="K150" s="3" t="s">
        <v>148</v>
      </c>
      <c r="L150" s="3" t="s">
        <v>32</v>
      </c>
      <c r="M150">
        <v>1</v>
      </c>
    </row>
    <row r="151" spans="1:13" x14ac:dyDescent="0.25">
      <c r="A151" s="2">
        <v>46268</v>
      </c>
      <c r="B151" s="1" t="str">
        <f ca="1">IF(Información1[[#This Row],[Fecha]]='Ajuste de fechas'!$A$2,"Día actual","Día anterior")</f>
        <v>Día actual</v>
      </c>
      <c r="C151" s="3" t="s">
        <v>135</v>
      </c>
      <c r="D151" t="s">
        <v>136</v>
      </c>
      <c r="E151" s="3" t="s">
        <v>314</v>
      </c>
      <c r="F151" s="3" t="s">
        <v>45</v>
      </c>
      <c r="G151" s="3" t="s">
        <v>233</v>
      </c>
      <c r="H151" s="3" t="s">
        <v>58</v>
      </c>
      <c r="I151" s="3" t="s">
        <v>7</v>
      </c>
      <c r="J151" s="3" t="s">
        <v>31</v>
      </c>
      <c r="K151" s="3" t="s">
        <v>138</v>
      </c>
      <c r="L151" s="3" t="s">
        <v>32</v>
      </c>
      <c r="M151">
        <v>1</v>
      </c>
    </row>
    <row r="152" spans="1:13" x14ac:dyDescent="0.25">
      <c r="A152" s="2">
        <v>46268</v>
      </c>
      <c r="B152" s="1" t="str">
        <f ca="1">IF(Información1[[#This Row],[Fecha]]='Ajuste de fechas'!$A$2,"Día actual","Día anterior")</f>
        <v>Día actual</v>
      </c>
      <c r="C152" s="3" t="s">
        <v>8</v>
      </c>
      <c r="D152" t="s">
        <v>10</v>
      </c>
      <c r="E152" s="3" t="s">
        <v>315</v>
      </c>
      <c r="F152" s="3" t="s">
        <v>41</v>
      </c>
      <c r="G152" s="3" t="s">
        <v>316</v>
      </c>
      <c r="H152" s="3" t="s">
        <v>58</v>
      </c>
      <c r="I152" s="3" t="s">
        <v>11</v>
      </c>
      <c r="J152" s="3" t="s">
        <v>21</v>
      </c>
      <c r="K152" s="3" t="s">
        <v>9</v>
      </c>
      <c r="L152" s="3" t="s">
        <v>33</v>
      </c>
      <c r="M152">
        <v>1</v>
      </c>
    </row>
    <row r="153" spans="1:13" x14ac:dyDescent="0.25">
      <c r="A153" s="2">
        <v>46268</v>
      </c>
      <c r="B153" s="1" t="str">
        <f ca="1">IF(Información1[[#This Row],[Fecha]]='Ajuste de fechas'!$A$2,"Día actual","Día anterior")</f>
        <v>Día actual</v>
      </c>
      <c r="C153" s="3" t="s">
        <v>8</v>
      </c>
      <c r="D153" t="s">
        <v>10</v>
      </c>
      <c r="E153" s="3" t="s">
        <v>317</v>
      </c>
      <c r="F153" s="3" t="s">
        <v>6</v>
      </c>
      <c r="G153" s="3" t="s">
        <v>318</v>
      </c>
      <c r="H153" s="3" t="s">
        <v>58</v>
      </c>
      <c r="I153" s="3" t="s">
        <v>22</v>
      </c>
      <c r="J153" s="3" t="s">
        <v>31</v>
      </c>
      <c r="K153" s="3" t="s">
        <v>9</v>
      </c>
      <c r="L153" s="3" t="s">
        <v>33</v>
      </c>
      <c r="M153">
        <v>1</v>
      </c>
    </row>
    <row r="154" spans="1:13" x14ac:dyDescent="0.25">
      <c r="A154" s="2">
        <v>46268</v>
      </c>
      <c r="B154" s="1" t="str">
        <f ca="1">IF(Información1[[#This Row],[Fecha]]='Ajuste de fechas'!$A$2,"Día actual","Día anterior")</f>
        <v>Día actual</v>
      </c>
      <c r="C154" s="3" t="s">
        <v>144</v>
      </c>
      <c r="D154" t="s">
        <v>145</v>
      </c>
      <c r="E154" s="3" t="s">
        <v>319</v>
      </c>
      <c r="F154" s="3" t="s">
        <v>16</v>
      </c>
      <c r="G154" s="3" t="s">
        <v>320</v>
      </c>
      <c r="H154" s="3" t="s">
        <v>58</v>
      </c>
      <c r="I154" s="3" t="s">
        <v>22</v>
      </c>
      <c r="J154" s="3" t="s">
        <v>35</v>
      </c>
      <c r="K154" s="3" t="s">
        <v>148</v>
      </c>
      <c r="L154" s="3" t="s">
        <v>32</v>
      </c>
      <c r="M154">
        <v>1</v>
      </c>
    </row>
    <row r="155" spans="1:13" x14ac:dyDescent="0.25">
      <c r="A155" s="2">
        <v>46268</v>
      </c>
      <c r="B155" s="1" t="str">
        <f ca="1">IF(Información1[[#This Row],[Fecha]]='Ajuste de fechas'!$A$2,"Día actual","Día anterior")</f>
        <v>Día actual</v>
      </c>
      <c r="C155" s="3" t="s">
        <v>144</v>
      </c>
      <c r="D155" t="s">
        <v>145</v>
      </c>
      <c r="E155" s="3" t="s">
        <v>321</v>
      </c>
      <c r="F155" s="3" t="s">
        <v>41</v>
      </c>
      <c r="G155" s="3" t="s">
        <v>55</v>
      </c>
      <c r="H155" s="3" t="s">
        <v>58</v>
      </c>
      <c r="I155" s="3" t="s">
        <v>7</v>
      </c>
      <c r="J155" s="3" t="s">
        <v>21</v>
      </c>
      <c r="K155" s="3" t="s">
        <v>148</v>
      </c>
      <c r="L155" s="3" t="s">
        <v>32</v>
      </c>
      <c r="M155">
        <v>1</v>
      </c>
    </row>
    <row r="156" spans="1:13" x14ac:dyDescent="0.25">
      <c r="A156" s="2">
        <v>46268</v>
      </c>
      <c r="B156" s="1" t="str">
        <f ca="1">IF(Información1[[#This Row],[Fecha]]='Ajuste de fechas'!$A$2,"Día actual","Día anterior")</f>
        <v>Día actual</v>
      </c>
      <c r="C156" s="3" t="s">
        <v>8</v>
      </c>
      <c r="D156" t="s">
        <v>10</v>
      </c>
      <c r="E156" s="3" t="s">
        <v>322</v>
      </c>
      <c r="F156" s="3" t="s">
        <v>41</v>
      </c>
      <c r="G156" s="3" t="s">
        <v>323</v>
      </c>
      <c r="H156" s="3" t="s">
        <v>58</v>
      </c>
      <c r="I156" s="3" t="s">
        <v>7</v>
      </c>
      <c r="J156" s="3" t="s">
        <v>21</v>
      </c>
      <c r="K156" s="3" t="s">
        <v>12</v>
      </c>
      <c r="L156" s="3" t="s">
        <v>42</v>
      </c>
      <c r="M156">
        <v>1</v>
      </c>
    </row>
    <row r="157" spans="1:13" x14ac:dyDescent="0.25">
      <c r="A157" s="2">
        <v>46268</v>
      </c>
      <c r="B157" s="1" t="str">
        <f ca="1">IF(Información1[[#This Row],[Fecha]]='Ajuste de fechas'!$A$2,"Día actual","Día anterior")</f>
        <v>Día actual</v>
      </c>
      <c r="C157" s="3" t="s">
        <v>144</v>
      </c>
      <c r="D157" t="s">
        <v>145</v>
      </c>
      <c r="E157" s="3" t="s">
        <v>324</v>
      </c>
      <c r="F157" s="3" t="s">
        <v>54</v>
      </c>
      <c r="G157" s="3" t="s">
        <v>325</v>
      </c>
      <c r="H157" s="3" t="s">
        <v>58</v>
      </c>
      <c r="I157" s="3" t="s">
        <v>7</v>
      </c>
      <c r="J157" s="3" t="s">
        <v>31</v>
      </c>
      <c r="K157" s="3" t="s">
        <v>148</v>
      </c>
      <c r="L157" s="3" t="s">
        <v>32</v>
      </c>
      <c r="M157">
        <v>1</v>
      </c>
    </row>
    <row r="158" spans="1:13" x14ac:dyDescent="0.25">
      <c r="A158" s="2">
        <v>46268</v>
      </c>
      <c r="B158" s="1" t="str">
        <f ca="1">IF(Información1[[#This Row],[Fecha]]='Ajuste de fechas'!$A$2,"Día actual","Día anterior")</f>
        <v>Día actual</v>
      </c>
      <c r="C158" s="3" t="s">
        <v>8</v>
      </c>
      <c r="D158" t="s">
        <v>10</v>
      </c>
      <c r="E158" s="3" t="s">
        <v>326</v>
      </c>
      <c r="F158" s="3" t="s">
        <v>16</v>
      </c>
      <c r="G158" s="3" t="s">
        <v>327</v>
      </c>
      <c r="H158" s="3" t="s">
        <v>58</v>
      </c>
      <c r="I158" s="3" t="s">
        <v>22</v>
      </c>
      <c r="J158" s="3" t="s">
        <v>35</v>
      </c>
      <c r="K158" s="3" t="s">
        <v>9</v>
      </c>
      <c r="L158" s="3" t="s">
        <v>33</v>
      </c>
      <c r="M158">
        <v>1</v>
      </c>
    </row>
    <row r="159" spans="1:13" x14ac:dyDescent="0.25">
      <c r="A159" s="2">
        <v>46268</v>
      </c>
      <c r="B159" s="1" t="str">
        <f ca="1">IF(Información1[[#This Row],[Fecha]]='Ajuste de fechas'!$A$2,"Día actual","Día anterior")</f>
        <v>Día actual</v>
      </c>
      <c r="C159" s="3" t="s">
        <v>8</v>
      </c>
      <c r="D159" t="s">
        <v>10</v>
      </c>
      <c r="E159" s="3" t="s">
        <v>328</v>
      </c>
      <c r="F159" s="3" t="s">
        <v>153</v>
      </c>
      <c r="G159" s="3" t="s">
        <v>231</v>
      </c>
      <c r="H159" s="3" t="s">
        <v>58</v>
      </c>
      <c r="I159" s="3" t="s">
        <v>7</v>
      </c>
      <c r="J159" s="3" t="s">
        <v>31</v>
      </c>
      <c r="K159" s="3" t="s">
        <v>12</v>
      </c>
      <c r="L159" s="3" t="s">
        <v>32</v>
      </c>
      <c r="M159">
        <v>1</v>
      </c>
    </row>
    <row r="160" spans="1:13" x14ac:dyDescent="0.25">
      <c r="A160" s="2">
        <v>46268</v>
      </c>
      <c r="B160" s="1" t="str">
        <f ca="1">IF(Información1[[#This Row],[Fecha]]='Ajuste de fechas'!$A$2,"Día actual","Día anterior")</f>
        <v>Día actual</v>
      </c>
      <c r="C160" s="3" t="s">
        <v>144</v>
      </c>
      <c r="D160" t="s">
        <v>145</v>
      </c>
      <c r="E160" s="3" t="s">
        <v>329</v>
      </c>
      <c r="F160" s="3" t="s">
        <v>18</v>
      </c>
      <c r="G160" s="3" t="s">
        <v>264</v>
      </c>
      <c r="H160" s="3" t="s">
        <v>58</v>
      </c>
      <c r="I160" s="3" t="s">
        <v>7</v>
      </c>
      <c r="J160" s="3" t="s">
        <v>31</v>
      </c>
      <c r="K160" s="3" t="s">
        <v>148</v>
      </c>
      <c r="L160" s="3" t="s">
        <v>32</v>
      </c>
      <c r="M160">
        <v>1</v>
      </c>
    </row>
    <row r="161" spans="1:13" x14ac:dyDescent="0.25">
      <c r="A161" s="2">
        <v>46268</v>
      </c>
      <c r="B161" s="1" t="str">
        <f ca="1">IF(Información1[[#This Row],[Fecha]]='Ajuste de fechas'!$A$2,"Día actual","Día anterior")</f>
        <v>Día actual</v>
      </c>
      <c r="C161" s="3" t="s">
        <v>8</v>
      </c>
      <c r="D161" t="s">
        <v>10</v>
      </c>
      <c r="E161" s="3" t="s">
        <v>234</v>
      </c>
      <c r="F161" s="3" t="s">
        <v>87</v>
      </c>
      <c r="G161" s="3" t="s">
        <v>235</v>
      </c>
      <c r="H161" s="3" t="s">
        <v>58</v>
      </c>
      <c r="I161" s="3" t="s">
        <v>7</v>
      </c>
      <c r="J161" s="3" t="s">
        <v>31</v>
      </c>
      <c r="K161" s="3" t="s">
        <v>12</v>
      </c>
      <c r="L161" s="3" t="s">
        <v>34</v>
      </c>
      <c r="M161">
        <v>1</v>
      </c>
    </row>
    <row r="162" spans="1:13" x14ac:dyDescent="0.25">
      <c r="A162" s="2">
        <v>46268</v>
      </c>
      <c r="B162" s="1" t="str">
        <f ca="1">IF(Información1[[#This Row],[Fecha]]='Ajuste de fechas'!$A$2,"Día actual","Día anterior")</f>
        <v>Día actual</v>
      </c>
      <c r="C162" s="3" t="s">
        <v>144</v>
      </c>
      <c r="D162" t="s">
        <v>145</v>
      </c>
      <c r="E162" s="3" t="s">
        <v>330</v>
      </c>
      <c r="F162" s="3" t="s">
        <v>87</v>
      </c>
      <c r="G162" s="3" t="s">
        <v>235</v>
      </c>
      <c r="H162" s="3" t="s">
        <v>58</v>
      </c>
      <c r="I162" s="3" t="s">
        <v>7</v>
      </c>
      <c r="J162" s="3" t="s">
        <v>31</v>
      </c>
      <c r="K162" s="3" t="s">
        <v>148</v>
      </c>
      <c r="L162" s="3" t="s">
        <v>32</v>
      </c>
      <c r="M162">
        <v>1</v>
      </c>
    </row>
    <row r="163" spans="1:13" x14ac:dyDescent="0.25">
      <c r="A163" s="2">
        <v>46268</v>
      </c>
      <c r="B163" s="1" t="str">
        <f ca="1">IF(Información1[[#This Row],[Fecha]]='Ajuste de fechas'!$A$2,"Día actual","Día anterior")</f>
        <v>Día actual</v>
      </c>
      <c r="C163" s="3" t="s">
        <v>8</v>
      </c>
      <c r="D163" t="s">
        <v>10</v>
      </c>
      <c r="E163" s="3" t="s">
        <v>331</v>
      </c>
      <c r="F163" s="3" t="s">
        <v>19</v>
      </c>
      <c r="G163" s="3" t="s">
        <v>332</v>
      </c>
      <c r="H163" s="3" t="s">
        <v>58</v>
      </c>
      <c r="I163" s="3" t="s">
        <v>7</v>
      </c>
      <c r="J163" s="3" t="s">
        <v>36</v>
      </c>
      <c r="K163" s="3" t="s">
        <v>12</v>
      </c>
      <c r="L163" s="3" t="s">
        <v>32</v>
      </c>
      <c r="M163">
        <v>1</v>
      </c>
    </row>
    <row r="164" spans="1:13" x14ac:dyDescent="0.25">
      <c r="A164" s="2">
        <v>46268</v>
      </c>
      <c r="B164" s="1" t="str">
        <f ca="1">IF(Información1[[#This Row],[Fecha]]='Ajuste de fechas'!$A$2,"Día actual","Día anterior")</f>
        <v>Día actual</v>
      </c>
      <c r="C164" s="3" t="s">
        <v>8</v>
      </c>
      <c r="D164" t="s">
        <v>10</v>
      </c>
      <c r="E164" s="3" t="s">
        <v>333</v>
      </c>
      <c r="F164" s="3" t="s">
        <v>16</v>
      </c>
      <c r="G164" s="3" t="s">
        <v>334</v>
      </c>
      <c r="H164" s="3" t="s">
        <v>58</v>
      </c>
      <c r="I164" s="3" t="s">
        <v>7</v>
      </c>
      <c r="J164" s="3" t="s">
        <v>35</v>
      </c>
      <c r="K164" s="3" t="s">
        <v>12</v>
      </c>
      <c r="L164" s="3" t="s">
        <v>32</v>
      </c>
      <c r="M164">
        <v>1</v>
      </c>
    </row>
    <row r="165" spans="1:13" x14ac:dyDescent="0.25">
      <c r="A165" s="2">
        <v>46268</v>
      </c>
      <c r="B165" s="1" t="str">
        <f ca="1">IF(Información1[[#This Row],[Fecha]]='Ajuste de fechas'!$A$2,"Día actual","Día anterior")</f>
        <v>Día actual</v>
      </c>
      <c r="C165" s="3" t="s">
        <v>8</v>
      </c>
      <c r="D165" t="s">
        <v>10</v>
      </c>
      <c r="E165" s="3" t="s">
        <v>335</v>
      </c>
      <c r="F165" s="3" t="s">
        <v>18</v>
      </c>
      <c r="G165" s="3" t="s">
        <v>56</v>
      </c>
      <c r="H165" s="3" t="s">
        <v>58</v>
      </c>
      <c r="I165" s="3" t="s">
        <v>22</v>
      </c>
      <c r="J165" s="3" t="s">
        <v>31</v>
      </c>
      <c r="K165" s="3" t="s">
        <v>9</v>
      </c>
      <c r="L165" s="3" t="s">
        <v>33</v>
      </c>
      <c r="M165">
        <v>1</v>
      </c>
    </row>
    <row r="166" spans="1:13" x14ac:dyDescent="0.25">
      <c r="A166" s="2">
        <v>46268</v>
      </c>
      <c r="B166" s="1" t="str">
        <f ca="1">IF(Información1[[#This Row],[Fecha]]='Ajuste de fechas'!$A$2,"Día actual","Día anterior")</f>
        <v>Día actual</v>
      </c>
      <c r="C166" s="3" t="s">
        <v>144</v>
      </c>
      <c r="D166" t="s">
        <v>145</v>
      </c>
      <c r="E166" s="3" t="s">
        <v>336</v>
      </c>
      <c r="F166" s="3" t="s">
        <v>220</v>
      </c>
      <c r="G166" s="3" t="s">
        <v>221</v>
      </c>
      <c r="H166" s="3" t="s">
        <v>58</v>
      </c>
      <c r="I166" s="3" t="s">
        <v>7</v>
      </c>
      <c r="J166" s="3" t="s">
        <v>31</v>
      </c>
      <c r="K166" s="3" t="s">
        <v>148</v>
      </c>
      <c r="L166" s="3" t="s">
        <v>32</v>
      </c>
      <c r="M166">
        <v>1</v>
      </c>
    </row>
    <row r="167" spans="1:13" x14ac:dyDescent="0.25">
      <c r="A167" s="2">
        <v>46268</v>
      </c>
      <c r="B167" s="1" t="str">
        <f ca="1">IF(Información1[[#This Row],[Fecha]]='Ajuste de fechas'!$A$2,"Día actual","Día anterior")</f>
        <v>Día actual</v>
      </c>
      <c r="C167" s="3" t="s">
        <v>8</v>
      </c>
      <c r="D167" t="s">
        <v>10</v>
      </c>
      <c r="E167" s="3" t="s">
        <v>219</v>
      </c>
      <c r="F167" s="3" t="s">
        <v>220</v>
      </c>
      <c r="G167" s="3" t="s">
        <v>221</v>
      </c>
      <c r="H167" s="3" t="s">
        <v>58</v>
      </c>
      <c r="I167" s="3" t="s">
        <v>7</v>
      </c>
      <c r="J167" s="3" t="s">
        <v>31</v>
      </c>
      <c r="K167" s="3" t="s">
        <v>12</v>
      </c>
      <c r="L167" s="3" t="s">
        <v>34</v>
      </c>
      <c r="M167">
        <v>1</v>
      </c>
    </row>
    <row r="168" spans="1:13" x14ac:dyDescent="0.25">
      <c r="A168" s="2">
        <v>46268</v>
      </c>
      <c r="B168" s="1" t="str">
        <f ca="1">IF(Información1[[#This Row],[Fecha]]='Ajuste de fechas'!$A$2,"Día actual","Día anterior")</f>
        <v>Día actual</v>
      </c>
      <c r="C168" s="3" t="s">
        <v>8</v>
      </c>
      <c r="D168" t="s">
        <v>10</v>
      </c>
      <c r="E168" s="3" t="s">
        <v>337</v>
      </c>
      <c r="F168" s="3" t="s">
        <v>16</v>
      </c>
      <c r="G168" s="3" t="s">
        <v>338</v>
      </c>
      <c r="H168" s="3" t="s">
        <v>58</v>
      </c>
      <c r="I168" s="3" t="s">
        <v>7</v>
      </c>
      <c r="J168" s="3" t="s">
        <v>35</v>
      </c>
      <c r="K168" s="3" t="s">
        <v>12</v>
      </c>
      <c r="L168" s="3" t="s">
        <v>32</v>
      </c>
      <c r="M168">
        <v>1</v>
      </c>
    </row>
    <row r="169" spans="1:13" x14ac:dyDescent="0.25">
      <c r="A169" s="2">
        <v>46268</v>
      </c>
      <c r="B169" s="1" t="str">
        <f ca="1">IF(Información1[[#This Row],[Fecha]]='Ajuste de fechas'!$A$2,"Día actual","Día anterior")</f>
        <v>Día actual</v>
      </c>
      <c r="C169" s="3" t="s">
        <v>8</v>
      </c>
      <c r="D169" t="s">
        <v>10</v>
      </c>
      <c r="E169" s="3" t="s">
        <v>339</v>
      </c>
      <c r="F169" s="3" t="s">
        <v>21</v>
      </c>
      <c r="G169" s="3" t="s">
        <v>60</v>
      </c>
      <c r="H169" s="3" t="s">
        <v>58</v>
      </c>
      <c r="I169" s="3" t="s">
        <v>7</v>
      </c>
      <c r="J169" s="3" t="s">
        <v>21</v>
      </c>
      <c r="K169" s="3" t="s">
        <v>9</v>
      </c>
      <c r="L169" s="3" t="s">
        <v>33</v>
      </c>
      <c r="M169">
        <v>1</v>
      </c>
    </row>
    <row r="170" spans="1:13" x14ac:dyDescent="0.25">
      <c r="A170" s="2">
        <v>46268</v>
      </c>
      <c r="B170" s="1" t="str">
        <f ca="1">IF(Información1[[#This Row],[Fecha]]='Ajuste de fechas'!$A$2,"Día actual","Día anterior")</f>
        <v>Día actual</v>
      </c>
      <c r="C170" s="3" t="s">
        <v>144</v>
      </c>
      <c r="D170" t="s">
        <v>145</v>
      </c>
      <c r="E170" s="3" t="s">
        <v>340</v>
      </c>
      <c r="F170" s="3" t="s">
        <v>16</v>
      </c>
      <c r="G170" s="3" t="s">
        <v>60</v>
      </c>
      <c r="H170" s="3" t="s">
        <v>58</v>
      </c>
      <c r="I170" s="3" t="s">
        <v>7</v>
      </c>
      <c r="J170" s="3" t="s">
        <v>35</v>
      </c>
      <c r="K170" s="3" t="s">
        <v>148</v>
      </c>
      <c r="L170" s="3" t="s">
        <v>32</v>
      </c>
      <c r="M170">
        <v>1</v>
      </c>
    </row>
    <row r="171" spans="1:13" x14ac:dyDescent="0.25">
      <c r="A171" s="2">
        <v>46268</v>
      </c>
      <c r="B171" s="1" t="str">
        <f ca="1">IF(Información1[[#This Row],[Fecha]]='Ajuste de fechas'!$A$2,"Día actual","Día anterior")</f>
        <v>Día actual</v>
      </c>
      <c r="C171" s="3" t="s">
        <v>8</v>
      </c>
      <c r="D171" t="s">
        <v>10</v>
      </c>
      <c r="E171" s="3" t="s">
        <v>341</v>
      </c>
      <c r="F171" s="3" t="s">
        <v>14</v>
      </c>
      <c r="G171" s="3" t="s">
        <v>342</v>
      </c>
      <c r="H171" s="3" t="s">
        <v>58</v>
      </c>
      <c r="I171" s="3" t="s">
        <v>22</v>
      </c>
      <c r="J171" s="3" t="s">
        <v>31</v>
      </c>
      <c r="K171" s="3" t="s">
        <v>9</v>
      </c>
      <c r="L171" s="3" t="s">
        <v>33</v>
      </c>
      <c r="M171">
        <v>1</v>
      </c>
    </row>
    <row r="172" spans="1:13" x14ac:dyDescent="0.25">
      <c r="A172" s="2">
        <v>46268</v>
      </c>
      <c r="B172" s="1" t="str">
        <f ca="1">IF(Información1[[#This Row],[Fecha]]='Ajuste de fechas'!$A$2,"Día actual","Día anterior")</f>
        <v>Día actual</v>
      </c>
      <c r="C172" s="3" t="s">
        <v>8</v>
      </c>
      <c r="D172" t="s">
        <v>10</v>
      </c>
      <c r="E172" s="3" t="s">
        <v>217</v>
      </c>
      <c r="F172" s="3" t="s">
        <v>44</v>
      </c>
      <c r="G172" s="3" t="s">
        <v>46</v>
      </c>
      <c r="H172" s="3" t="s">
        <v>58</v>
      </c>
      <c r="I172" s="3" t="s">
        <v>7</v>
      </c>
      <c r="J172" s="3" t="s">
        <v>31</v>
      </c>
      <c r="K172" s="3" t="s">
        <v>12</v>
      </c>
      <c r="L172" s="3" t="s">
        <v>34</v>
      </c>
      <c r="M172">
        <v>1</v>
      </c>
    </row>
    <row r="173" spans="1:13" x14ac:dyDescent="0.25">
      <c r="A173" s="2">
        <v>46268</v>
      </c>
      <c r="B173" s="1" t="str">
        <f ca="1">IF(Información1[[#This Row],[Fecha]]='Ajuste de fechas'!$A$2,"Día actual","Día anterior")</f>
        <v>Día actual</v>
      </c>
      <c r="C173" s="3" t="s">
        <v>144</v>
      </c>
      <c r="D173" t="s">
        <v>145</v>
      </c>
      <c r="E173" s="3" t="s">
        <v>343</v>
      </c>
      <c r="F173" s="3" t="s">
        <v>44</v>
      </c>
      <c r="G173" s="3" t="s">
        <v>46</v>
      </c>
      <c r="H173" s="3" t="s">
        <v>58</v>
      </c>
      <c r="I173" s="3" t="s">
        <v>7</v>
      </c>
      <c r="J173" s="3" t="s">
        <v>31</v>
      </c>
      <c r="K173" s="3" t="s">
        <v>148</v>
      </c>
      <c r="L173" s="3" t="s">
        <v>32</v>
      </c>
      <c r="M173">
        <v>1</v>
      </c>
    </row>
    <row r="174" spans="1:13" x14ac:dyDescent="0.25">
      <c r="A174" s="2">
        <v>46268</v>
      </c>
      <c r="B174" s="1" t="str">
        <f ca="1">IF(Información1[[#This Row],[Fecha]]='Ajuste de fechas'!$A$2,"Día actual","Día anterior")</f>
        <v>Día actual</v>
      </c>
      <c r="C174" s="3" t="s">
        <v>144</v>
      </c>
      <c r="D174" t="s">
        <v>145</v>
      </c>
      <c r="E174" s="3" t="s">
        <v>344</v>
      </c>
      <c r="F174" s="3" t="s">
        <v>16</v>
      </c>
      <c r="G174" s="3" t="s">
        <v>345</v>
      </c>
      <c r="H174" s="3" t="s">
        <v>58</v>
      </c>
      <c r="I174" s="3" t="s">
        <v>7</v>
      </c>
      <c r="J174" s="3" t="s">
        <v>35</v>
      </c>
      <c r="K174" s="3" t="s">
        <v>148</v>
      </c>
      <c r="L174" s="3" t="s">
        <v>32</v>
      </c>
      <c r="M174">
        <v>1</v>
      </c>
    </row>
    <row r="175" spans="1:13" x14ac:dyDescent="0.25">
      <c r="A175" s="2">
        <v>46268</v>
      </c>
      <c r="B175" s="1" t="str">
        <f ca="1">IF(Información1[[#This Row],[Fecha]]='Ajuste de fechas'!$A$2,"Día actual","Día anterior")</f>
        <v>Día actual</v>
      </c>
      <c r="C175" s="3" t="s">
        <v>144</v>
      </c>
      <c r="D175" t="s">
        <v>145</v>
      </c>
      <c r="E175" s="3" t="s">
        <v>346</v>
      </c>
      <c r="F175" s="3" t="s">
        <v>18</v>
      </c>
      <c r="G175" s="3" t="s">
        <v>347</v>
      </c>
      <c r="H175" s="3" t="s">
        <v>58</v>
      </c>
      <c r="I175" s="3" t="s">
        <v>178</v>
      </c>
      <c r="J175" s="3" t="s">
        <v>31</v>
      </c>
      <c r="K175" s="3" t="s">
        <v>148</v>
      </c>
      <c r="L175" s="3" t="s">
        <v>32</v>
      </c>
      <c r="M175">
        <v>1</v>
      </c>
    </row>
    <row r="176" spans="1:13" x14ac:dyDescent="0.25">
      <c r="A176" s="2">
        <v>46268</v>
      </c>
      <c r="B176" s="1" t="str">
        <f ca="1">IF(Información1[[#This Row],[Fecha]]='Ajuste de fechas'!$A$2,"Día actual","Día anterior")</f>
        <v>Día actual</v>
      </c>
      <c r="C176" s="3" t="s">
        <v>8</v>
      </c>
      <c r="D176" t="s">
        <v>10</v>
      </c>
      <c r="E176" s="3" t="s">
        <v>348</v>
      </c>
      <c r="F176" s="3" t="s">
        <v>16</v>
      </c>
      <c r="G176" s="3" t="s">
        <v>69</v>
      </c>
      <c r="H176" s="3" t="s">
        <v>58</v>
      </c>
      <c r="I176" s="3" t="s">
        <v>7</v>
      </c>
      <c r="J176" s="3" t="s">
        <v>35</v>
      </c>
      <c r="K176" s="3" t="s">
        <v>9</v>
      </c>
      <c r="L176" s="3" t="s">
        <v>33</v>
      </c>
      <c r="M176">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38</v>
      </c>
      <c r="B1" t="s">
        <v>39</v>
      </c>
    </row>
    <row r="2" spans="1:2" x14ac:dyDescent="0.25">
      <c r="A2" s="2">
        <f ca="1">TODAY()</f>
        <v>46268</v>
      </c>
      <c r="B2" s="2">
        <f ca="1">A2-1</f>
        <v>46267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2026-09-03T23:14:36Z</dcterms:modified>
</cp:coreProperties>
</file>