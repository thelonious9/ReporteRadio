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23ADBFDF-A6B0-4C6D-9ECC-0B3953C238D1}"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Radio!$A$1:$M$160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122" i="2"/>
  <c r="B125" i="2"/>
  <c r="B127" i="2"/>
  <c r="B131" i="2"/>
  <c r="B133" i="2"/>
  <c r="B136" i="2"/>
  <c r="B140" i="2"/>
  <c r="B143" i="2"/>
  <c r="B145" i="2"/>
  <c r="B148" i="2"/>
  <c r="B151" i="2"/>
  <c r="B155" i="2"/>
  <c r="B157" i="2"/>
  <c r="B160"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120" i="2"/>
  <c r="B123" i="2"/>
  <c r="B126" i="2"/>
  <c r="B129" i="2"/>
  <c r="B132" i="2"/>
  <c r="B135" i="2"/>
  <c r="B138" i="2"/>
  <c r="B141" i="2"/>
  <c r="B144" i="2"/>
  <c r="B147" i="2"/>
  <c r="B150" i="2"/>
  <c r="B153" i="2"/>
  <c r="B156" i="2"/>
  <c r="B159"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1" i="2"/>
  <c r="B124" i="2"/>
  <c r="B128" i="2"/>
  <c r="B130" i="2"/>
  <c r="B134" i="2"/>
  <c r="B137" i="2"/>
  <c r="B139" i="2"/>
  <c r="B142" i="2"/>
  <c r="B146" i="2"/>
  <c r="B149" i="2"/>
  <c r="B152" i="2"/>
  <c r="B154" i="2"/>
  <c r="B15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<sst xmlns="http://schemas.openxmlformats.org/spreadsheetml/2006/main" count="1603" uniqueCount="297">
  <si>
    <t>Fecha</t>
  </si>
  <si>
    <t>Titular</t>
  </si>
  <si>
    <t>Dependencia</t>
  </si>
  <si>
    <t>Canal</t>
  </si>
  <si>
    <t>Tema</t>
  </si>
  <si>
    <t>Estatus</t>
  </si>
  <si>
    <t>Sipdus</t>
  </si>
  <si>
    <t>Informativa</t>
  </si>
  <si>
    <t>Acir 92.5 FM</t>
  </si>
  <si>
    <t>Panorama Informativo Pachuca</t>
  </si>
  <si>
    <t>Positiva</t>
  </si>
  <si>
    <t>Eulalio Larrieta</t>
  </si>
  <si>
    <t>Semot</t>
  </si>
  <si>
    <t>Ayuntamiento</t>
  </si>
  <si>
    <t>SEPH</t>
  </si>
  <si>
    <t>Presidencia</t>
  </si>
  <si>
    <t>Otros</t>
  </si>
  <si>
    <t>Negativa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</si>
  <si>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</si>
  <si>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</si>
  <si>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</si>
  <si>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</si>
  <si>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</si>
  <si>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</si>
  <si>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</si>
  <si>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</si>
  <si>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</si>
  <si>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</si>
  <si>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</si>
  <si>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</si>
  <si>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</si>
  <si>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</si>
  <si>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</si>
  <si>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</si>
  <si>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</si>
  <si>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Segobh</t>
  </si>
  <si>
    <t>SSH</t>
  </si>
  <si>
    <t>RADIO LOCAL</t>
  </si>
  <si>
    <t>NQ 90.1 FM</t>
  </si>
  <si>
    <t>Enlace Hidalgo1</t>
  </si>
  <si>
    <t>Jesús Riveros</t>
  </si>
  <si>
    <t>Juan Carlos Santamaría</t>
  </si>
  <si>
    <t>PGJEH</t>
  </si>
  <si>
    <t>Enlace Hidalgo2</t>
  </si>
  <si>
    <t>Radioescucha</t>
  </si>
  <si>
    <t>Bienestar</t>
  </si>
  <si>
    <t>Ke Buena 106.7 FM</t>
  </si>
  <si>
    <t>Noticias 106.7</t>
  </si>
  <si>
    <t>David Cárdenas</t>
  </si>
  <si>
    <t>Canal del Pueblo</t>
  </si>
  <si>
    <t>Vocales Radio</t>
  </si>
  <si>
    <t>Morena</t>
  </si>
  <si>
    <t>TV LOCAL</t>
  </si>
  <si>
    <t>Partidos</t>
  </si>
  <si>
    <t>Aldo Falcón</t>
  </si>
  <si>
    <t>Andrés Torres</t>
  </si>
  <si>
    <t>Candidaturas</t>
  </si>
  <si>
    <t>Ultra 102.9 FM</t>
  </si>
  <si>
    <t>Ultra Noticias1</t>
  </si>
  <si>
    <t>Daniel Martínez</t>
  </si>
  <si>
    <t>Auxilio a la ciudadanía</t>
  </si>
  <si>
    <t>Radio Lobo 96.7 FM</t>
  </si>
  <si>
    <t>Enlace Noticias</t>
  </si>
  <si>
    <t>Gina Lorenzo</t>
  </si>
  <si>
    <t>Abner Yáñez</t>
  </si>
  <si>
    <t>Participación</t>
  </si>
  <si>
    <t>Combate Al Narcomenudeo</t>
  </si>
  <si>
    <t>Afectaciones Por Lluvias</t>
  </si>
  <si>
    <t>Enfoque Regional Meridiano</t>
  </si>
  <si>
    <t>Jesús González</t>
  </si>
  <si>
    <t>DIFH</t>
  </si>
  <si>
    <t>Abasto de agua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</si>
  <si>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</si>
  <si>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</si>
  <si>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</si>
  <si>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Carlos Gamiño por estar al pendiente de temas.</t>
  </si>
  <si>
    <t>Eulalio Larrieta agradece Paola García y Lic. Sarahi Pineda, por estar atentas a los mensajes de la ciudadanía y por atenderlos.</t>
  </si>
  <si>
    <t>Vía telefónica el reporte de Bombero y Protección Civil con Abner Yáñez informa de las diversas emergencias reportadas por la ciudadanía y que fueron atendidas. Asimismo, señala que las fiestas patrias dejaron saldo blanco en el municipio.</t>
  </si>
  <si>
    <t>Prevención De Riesgos</t>
  </si>
  <si>
    <t>Plan Nacional De Vivienda</t>
  </si>
  <si>
    <t>Localización de cuerpo</t>
  </si>
  <si>
    <t>Capacitación</t>
  </si>
  <si>
    <t>Salud Mental</t>
  </si>
  <si>
    <t>Atención Afectaciones Por Lluvias</t>
  </si>
  <si>
    <t>Alerta Meteorológica</t>
  </si>
  <si>
    <t>Jessenia Romero</t>
  </si>
  <si>
    <t>Control de incendio</t>
  </si>
  <si>
    <t>SSPH</t>
  </si>
  <si>
    <t>Bachillerato Nacional</t>
  </si>
  <si>
    <t>Gobernador</t>
  </si>
  <si>
    <t>Súper Stéreo 100.5 FM</t>
  </si>
  <si>
    <t>Eulalio Larrieta agradece a Cristian Yahir Castañeda supervisor de la región Pachuca quien nos va atender los reportes que correspondan a la SEMOT</t>
  </si>
  <si>
    <t>Limpieza Urbana</t>
  </si>
  <si>
    <t>Radiodifusoras</t>
  </si>
  <si>
    <t>Queja padres de familia</t>
  </si>
  <si>
    <t>Aspirantes</t>
  </si>
  <si>
    <t>Agresión a servidor público</t>
  </si>
  <si>
    <t>Ficha De Búsqueda</t>
  </si>
  <si>
    <t>Registro Familiar</t>
  </si>
  <si>
    <t>Feria Pachuca</t>
  </si>
  <si>
    <t>Visita Sheinbaum</t>
  </si>
  <si>
    <t>Reforma De Ley</t>
  </si>
  <si>
    <t>Notarías</t>
  </si>
  <si>
    <t>Comparecencias</t>
  </si>
  <si>
    <t>Eulalio Larrieta agradece a Edith Balderas de la Secretaria de Educación Pública.</t>
  </si>
  <si>
    <t>La Comisión de Agua y Alcantarillado del Municipio de Tulancingo, informa la suspensión de agua por trabajado de cambio de válvula en un pozo de San Nicolás El Chico.</t>
  </si>
  <si>
    <t>Reparación De Tubería</t>
  </si>
  <si>
    <t>Una persona perdió la vida el 7 de octubre de 2026 tras la volcadura de un automóvil compacto en la carretera estatal Pachuca-Actopan, a la altura del barrio El Judío, en los límites de Pachuca y San Agustín Tlaxiaca. Cuerpos de emergencia y personal pericial acudieron al sitio para realizar las diligencias correspondientes, sin que las autoridades informaran inicialmente la identidad de la víctima.</t>
  </si>
  <si>
    <t>Un hombre sobrevivió a un ataque con arma de fuego, al ser atacado por los ocupantes de una moto, en calles del centro del municipio de Tlaxcoapan. La víctima, un hombre de entre 35 a 40 años de edad caminaba sobre la calle 20 de Noviembre cuando fue atacado por los ocupantes del vehículo ligero. El ataque armado fue sin mediar palabra y de manera prácticamente directa a centímetros de distancia; el hombre logró arrastrarse y refugiarse en un negocio cercano en un intento desesperado por salvar su vida. Los agresores huyeron del sitio, sin importar la situación del lesionado; al sitio acudieron elementos policiacos, tras recibir notificación sobre el ataque. Personal de la Procuraduría General de Justicia del Estado de Hidalgo acudieron para iniciar las investigaciones respectivas al caso. Hasta el momento no se reportan personas detenidas que pudieran estar relacionadas con el ataque con arma de fuego.</t>
  </si>
  <si>
    <t>Ataque Armado</t>
  </si>
  <si>
    <t>suspención de agua por cambio de cálvula caasim</t>
  </si>
  <si>
    <t>SSPH desmantela punto presuntamente utilizado para la venta y distribución de narcóticos en Tlaxcoapan</t>
  </si>
  <si>
    <t>Un incendio registrado en un predio de la colonia Ampliación Rojo Gómez, en Tulancingo, movilizó a elementos del H. Cuerpo de Bomberos, quienes acudieron para controlar la quema de material acumulado de recicljae y llantas en el lugar. La emergencia generó una densa columna de humo, además de preocupación entre habitantes de la zona debido a la cercanía del fuego con inmuebles aledaños. Ante estas condiciones y como medida preventiva, las autoridades determinaron la evacuación de alumnos y personal de la Telesecundaria 449 «Ignacio Manuel Altamirano», con el objetivo de evitar que estudiantes y trabajadores quedaran expuestos al humo o a algún posible avance de las llamas.</t>
  </si>
  <si>
    <t>Una mujer fue localizada sin vida al fondo de una barranca durante la tarde de este miércoles, en las inmediaciones de la zona conocida como la bajada de La Cruz, en la colonia La Peña, municipio de Mixquiahuala de Juárez.Unirse a causas El hallazgo fue realizado por personas que transitaban por el lugar, quienes alertaron a las autoridades tras observar el cuerpo. Al sitio arribaron elementos de la Policía Municipal, quienes acordonaron el área para preservar posibles indicios y permitir el desarrollo de las diligencias correspondientes. De manera preliminar, se informó que la víctima sería una mujer joven, quien vestía pantalón negro y presentaba ropa desgarrada. Hasta el momento, su identidad no ha sido confirmada oficialmente. Personal especializado realizó las labores correspondientes para recuperar el cuerpo y trasladarlo al Servicio Médico Forense (Semefo), donde se practicarán los estudios de ley. Las autoridades mantienen las investigaciones en curso para determinar las circunstancias y causas del deceso, así como establecer la identidad de la víctima.Superar el duelo</t>
  </si>
  <si>
    <t>La tarde de este miércoles se registró el hallazgo de un cuerpo al interior de una cisterna en la comunidad de Acayuca, municipio de Zapotlán de Juárez. El hecho ocurrió sobre avenida Revolución, sitio al que acudieron elementos de la Policía Municipal, Bomberos y una ambulancia para atender la emergencia. De manera preliminar, trascendió que la persona localizada podría corresponder a Héctor Hugo Palacios Pacheco, quien contaba con un reporte de desaparición desde el pasado 16 de septiembre; sin embargo, esta información no ha sido confirmada de manera oficial.</t>
  </si>
  <si>
    <t>Policías de la Dirección de Seguridad Pública de Tulancingo rescataron esta noche a un hombre señalado como probable ladrón, quien era golpeado por vecinos de la colonia Zapotlán de Allende. El incidente movilizó a por lo menos cinco patrullas y una veintena de uniformados, incluidos oficiales del área de Movilidad y Transporte, quienes intervinieron para evitar que los habitantes continuaran agrediendo al individuo. En videos difundidos a través de grupos de WhatsApp y redes sociales se observa cómo los policías rodean al hombre y lo trasladan para ponerlo a salvo, mientras varios vecinos los siguen e incluso consiguen golpearlo en repetidas ocasiones e intentan arrebatárselo a los agentes. Finalmente, el señalado fue subido a la batea de una patrulla y trasladado al área de retención del cuartel general de Seguridad Pública. De acuerdo con el procedimiento, permanecerá retenido mientras se define su situación.</t>
  </si>
  <si>
    <t>Justicia Por Propia Mano</t>
  </si>
  <si>
    <t>será emitida convocatoria para candidaturas a gobierno municipales morena ariatna montie</t>
  </si>
  <si>
    <t>El presidente de la Junta de la Mesa Directiva del Congreso local, este Juan Pablo Escalante, dio a conocer que el próximo jueves 22 de octubre a las 4 de la tarde va a comparecer el oficial mayor del Gobierno del Estado, Orlando Ángeles Pérez, como parte del cuarto informe de la glosa del cuarto informe de gobierno que encabeza Julio Menchaca Salazar en Hidalgo. Es la primera vez que va a comparecer el oficial mayor. Y por su parte, eh por su oficina pasan autorizaciones de presupuestos, de acciones, de obras, etcétera, etcétera. La comparecencia de Onésimo Serrano, actualmente encargado de la Unidad de Planeación y Prospectiva, será el martes 20 de octubre; o sea, van a hacer un ajuste en cuanto a las comparecencias. De acuerdo con la Ley Orgánica de la Administración Pública del Estado, es el área encargada de administrar los recursos humanos, materiales y administrativos del Poder Ejecutivo estatal, así como coordinar las compras, contrataciones y servicios necesarios para la operación del gobierno.</t>
  </si>
  <si>
    <t>Oficialía Mayor</t>
  </si>
  <si>
    <t>Luego de la última reforma al Código Electoral del Estado de Hidalgo, serán menos los cargos que los hidalguenses elegirán el próximo 6 de junio de 2027, ya que en los 84 ayuntamientos desaparecen 14 sindicaturas y 160 regidurías. Además del argumento de austeridad, los cambios responden al nuevo diseño constitucional y buscan racionalizar el tamaño de los cabildos, aunque mantienen espacios de representación proporcional para las fuerzas políticas distintas a la mayoritaria. El artículo 16 del Código Electoral establece que los ayuntamientos con menos de 20 mil habitantes tendrán una sindicatura de mayoría relativa, cuatro regidurías de mayoría relativa y tres de representación proporcional. Los municipios con población de 20 mil a 50 mil habitantes contarán con una sindicatura de mayoría relativa, cinco regidurías de mayoría y cuatro de representación proporcional; mientras que aquellos con más de 50 mil habitantes tendrán una sindicatura y 15 regidurías: ocho de mayoría relativa y siete de representación proporcional. En la legislación anterior estaban en disputa mil 94 cargos municipales: 84 presidencias, 98 sindicaturas y 912 regidurías. La nueva integración reduce la cifra a 920 cargos: 84 presidencias, 84 sindicaturas y 752 regidurías, es decir, 174 posiciones menos, una reducción de casi 16 por ciento. De acuerdo con la Encuesta Intercensal 2025 del Instituto Nacional de Estadística y Geografía (INEGI), 42 municipios tienen menos de 20 mil habitantes, por lo que sus ayuntamientos estarán integrados por un presidente, un síndico y siete regidores. Otros 28 municipios, con poblaciones de entre 20 mil y 50 mil habitantes, tendrán un presidente, un síndico y nueve regidores. En tanto, los 14 municipios con más de 50 mil habitantes —entre ellos Pachuca, Mineral de la Reforma, Tulancingo, Tizayuca, Tula de Allende, Huejutla y Tepeji del Río— tendrán un presidente, un síndico y 15 regidores. La reducción de espacios ocurre en un escenario donde aumenta el número de fuerzas políticas que podrían participar en la elección. Hasta ahora son 11: ocho partidos nacionales —PAN, PRI, PT, PVEM, MC, Morena, PAZ y Somos— y tres con registro local: Nueva Alianza Hidalgo, PRD Hidalgo y Encuentro Solidario Hidalgo. En el caso de Espacio Hidalgo, continúa la etapa impugnativa para recuperar su acreditación, luego de perderla por no alcanzar el número mínimo de afiliados. Así, mientras habrá menos posiciones disponibles en los cabildos, serán más las fuerzas políticas que buscarán ocuparlas. Sin coaliciones, el número de candidaturas municipales podría superar las 10 mil, aunque la cifra final dependerá de las alianzas y reglas de postulación que se definan para el proceso. Además de los ayuntamientos, en 2027 se renovarán en Hidalgo siete diputaciones federales y las 30 diputaciones del Congreso local, 18 de mayoría relativa y 12 de representación proporcional. A nivel nacional estarán en disputa más de 19 mil cargos de elección popular, incluida la renovación de las 500 diputaciones federales. Para Hidalgo, sin embargo, la elección municipal tendrá una particularidad: habrá menos cargos que repartir, pero más fuerzas políticas buscando un lugar dentro de los 84 cabildos.</t>
  </si>
  <si>
    <t>Reforma Electoral</t>
  </si>
  <si>
    <t>Danién Martínez respecto a que aprueba el Congreso de Hidalgo que municipios celebren contratos sin aprobación de Cabildo, que esto es muy malo porque se puede prestar para malos manejos. Le parece un retroceso y asevera que se parecen tanto a los que criticaban</t>
  </si>
  <si>
    <t>Con una discusión entre diputados del Congreso del Estado de Hidalgo, fue aprobada, con 23 votos a favor y siete en contra, la reforma constitucional en materia de modernización de la gestión administrativa municipal. Una de las modificaciones legales consiste en eliminar la disposición que otorga al Ayuntamiento la atribución de facultar al presidente municipal para celebrar contratos con particulares e instituciones oficiales sobre asuntos de interés público. De acuerdo con el diputado de Movimiento de Regeneración Nacional (Morena), Miguel Moreno, se elimina la autorización del Cabildo para celebrar contratos de interés público, con el objetivo de dar mayor agilidad a sus administraciones y facilitar el cumplimiento de sus responsabilidades frente a la ciudadanía. El dictamen contempla que el Ayuntamiento conserve la facultad de decidir sobre ciertos asuntos que pueden tener efectos importantes o durar más allá de la administración municipal actual, pero para aprobarlos necesita una mayoría especial: dos terceras partes de todos sus integrantes. La diputada del PRI, Johanna Montcerrat Hernández, se pronunció en contra al señalar que la reforma busca que los regidores no tengan facultad de votar los contratos y convenios que comprometan a los municipios; además, pone en riesgo la integridad jurídica de los alcaldes. Su compañero de bancada, Marco Mendoza, señaló que se perpetra la “muerte del municipio libre”, pues señaló que al romperse el equilibrio, se elimina el debate público. Por su parte, la diputada del PAN, Claudia Lilia Luna, al señalar que las leyes de ingresos se realizan de manera colegiada y que, para su aplicación, no se puede dejar todo en una sola persona. Además, afirmó que los regidores no tendrán voz ni voto. El diputado José María Alejandro, de Nueva Alianza, dijo que actualmente el proceso de adquisición pública es lento y burocrático, y que quitar el candado permite atender con prontitud las necesidades sociales. Por Movimiento Ciudadano, el diputado Alejandro Alcántara Carbajal asumió que se quitan contrapesos y aseguró que las decisiones deben tomarse de forma colegiada y que el poder no debe recaer sobre una sola persona. La legisladora Diana Rangel expresó que las autoridades municipales continuarán obligadas a actuar conforme a la ley, al presupuesto autorizado y a las disposiciones en materia de transparencia y fiscalización. Agregó que se busca confundir a la población, pues no se eliminan contrapesos, ya que se busca hacer una administración pública más ágil y cercana al pueblo. Los legisladores que votaron en contra fueron Tania Meza y Cinthia Citlali Delgado, de Morena; Marco Mendoza y Johanna Montcerrat, del PRI; así como Karla Perales y Alejandro Alcántara, de Movimiento Ciudadano. El dictamen debe ser aprobado por más de la mitad de los cabildos para que pueda ser avalada y con ello que entre en vigor.</t>
  </si>
  <si>
    <t>Habitantes de la comunidad de las Ánimas, municipio de Cuautepec de Hinojosa, Hidalgo reportaron el colapso de una coladera y de la red de drenaje que lleva más de siete semanas derramando desechos a cielo abierto, generando olores insoportables, proliferación de fauna nociva y un riesgo sanitario para quienes transitan diariamente por la zona.Consultar atlas De acuerdo con quejas ciudadanas, el problema afecta a todas las personas que utilizan este camino todos los días, debido al olor desagradable que emerge de forma permanente y que se vuelve insoportable.Filtros de agua Los vecinos señalaron que el problema no es nuevo y viene de administraciones pasadas, cuando el proyecto de drenaje no se ejecutó en forma correcta y únicamente se le dio salida provisional con unos tubos, lo que desde entonces perjudica a comunidades vecinas con el desagüe. La situación ha generado la propagación de plagas como moscos y ratas, además de cuadros de infección sanitaria, ya que los desechos son arrastrados por las llantas de vehículos y motocicletas que circulan por el lugar. Advirtieron que la problemática se agrava en temporada de lluvias, cuando las aguas negras se mezclan con el agua pluvial y son arrastradas hasta llegar a la Laguna de Tecocomulco, provocando contaminación ambiental en este cuerpo de agua. Ante ello, hacen un llamado urgente a las autoridades correspondientes, para que tomen cartas en el asunto y den una solución definitiva.</t>
  </si>
  <si>
    <t>Fuga De Drenaje</t>
  </si>
  <si>
    <t>Los cuernudos de Calnali llevarán el carnaval de la Huasteca al Festival Internacional Cervantino</t>
  </si>
  <si>
    <t>Cultura</t>
  </si>
  <si>
    <t>Carnavales</t>
  </si>
  <si>
    <t>El gobernador Julio Menchaca Salazar no descartó la posibilidad de implementar de manera permanente el servicio nocturno del Sistema de Transporte Metropolitano (Tuzobús), como se brindaba en la anterior administración. El titular del Ejecutivo estatal señaló que, con la reciente inversión para la adquisición de 140 nuevas unidades para el transporte masivo, ha aumentado considerablemente el número de personas que utilizan este servicio a diario. Además, se trabaja en la modernización de las estaciones, por lo que “Si el mercado, si la población requiere, deben de ampliarse los horarios”, señaló el mandatario, al considerar que se debe aprovechar la inversión realizada en el sistema de transporte. “Lo importante es que se utilice esta inversión, que le dé comodidad y que le dé seguridad a los usuarios”. Normalmente, el servicio del Tuzobús se brinda de lunes a viernes de 5:30 de la mañana a 10:30 de la noche; los sábados, de 6 de la mañana a diez de la noche, y los domingos, de 7 de la mañana a diez de la noche. Con motivo de la Feria San Francisco 2026, se implementó un operativo especial nocturno con unidades tipo vagoneta, que ofrecen servicio de las once de la noche a las tres de la madrugada, con un recorrido desde la Central de Téllez hasta el Centro Histórico de Pachuca. Mientras que el servicio troncal se extendió hasta las once de la noche, con ascenso y descenso de pasajeros en las estaciones Vicente Segura y Juan C. Doria por su cercanía al recinto.</t>
  </si>
  <si>
    <t>Ampliación de horario</t>
  </si>
  <si>
    <t>El Ayuntamiento de Pachuca informó que han retirado 292 anuncios irregulares, entre espectaculares colocados sobre viviendas, estructuras instaladas en camellones y publicidad que obstruía banquetas y espacios destinados al paso peatonal. El presidente municipal, Jorge Alberto Reyes Hernández, explicó que su administración mantiene un operativo permanente de inspección para identificar anuncios que incumplen con la normativa de imagen urbana, particularmente aquellos espectaculares instalados sobre techos de viviendas o edificios pequeños. Señaló que actualmente se realiza un censo y se han emitido diversas notificaciones, principalmente en zonas como el bulevar Felipe Ángeles, a la altura de Venta Prieta, donde se han detectado estructuras que, de acuerdo con el municipio, no cumplen con las características establecidas en la Ley de Imagen Urbana. Reyes Hernández indicó que algunos propietarios ya aceptaron retirar las estructuras, mientras que otros han recurrido a recursos legales para evitar su retiro. “Hay más de 10 notificaciones, incluso ya hay algunos que se han amparado para no retirarlos”, explicó el presidente municipal, quien agregó que hasta el momento se tienen identificados cuatro amparos relacionados con estos procedimientos. Jorge Reyes también informó que el municipio de Pachuca implementó un operativo para ordenar el tránsito y estacionamiento en los alrededores del Palacio de Gobierno de Hidalgo. Explicó que se retiraron vehículos y comerciantes de las laterales para evitar estacionamientos en doble fila y mejorar el ascenso y descenso del transporte público. Además, se habilitó y delimitó una bahía para que taxis, combis y unidades de transporte puedan realizar estas maniobras sin bloquear la circulación. El alcalde advirtió que los vehículos que se estacionen en doble fila serán sancionados, independientemente de si pertenecen a particulares, funcionarios públicos o dependencias gubernamentales. Las acciones de ordenamiento también comenzaron sobre la avenida Madero, donde se pretende delimitar los espacios de estacionamiento y evitar que los vehículos ocupen hasta dos o tres filas.</t>
  </si>
  <si>
    <t>Imagen Urbana</t>
  </si>
  <si>
    <t>El gobierno municipal de Pachuca analiza la posible reinstalación de parquímetros en distintos espacios, como la colonia Periodistas, algunos espacios del centro de la ciudad, así como la Zona Plateada. Lo anterior fue informado por el alcalde Jorge Reyes Hernández, señalando que se ha iniciado diálogo con comerciantes y habitantes de los sectores considerados para conocer su opinión sobre la reinstalación de los parquímetros. Puntualizó que la propuesta inicial es que los aparatos se instalen donde no han estado operando, quedando pendiente sugerencias sobre su ubicación. Lo anterior, debido a que proyecto no se ha podido avanzar en el proceso legal que mantiene el municipio con la empresa que anteriormente operaba los parquímetros. De acuerdo a lo señalado por el Tribunal Administrativo, dicha resolución podría tardar un buen lapso de tiempo, incluso años. La propuesta contempla un sistema digital que permita realizar pagos mediante aplicaciones o recargas en tiendas de conveniencia. Se trataría de una propuesta diferente a la forma en la que operaban los anteriores aparatos, los cuales fueron retirados durante la anterior administración municipal. Cabe señalar que el retiro se concretó luego de protestas y manifestaciones por parte de vecinos de las zonas donde se habían colocado originalmente los aparatos. Pero sobre todo, por el inicio de un proceso administrativo donde se exigían pagos a la empresa a cargo del funcionamiento de los parquímetros, reclamando pagos que se deberían realizar al gobierno municipal.</t>
  </si>
  <si>
    <t>Parquímetros</t>
  </si>
  <si>
    <t>Con el inicio de la temporada de frentes fríos 2026, el Gobierno Municipal de Tulancingo mantiene vigilancia permanente sobre las condiciones meteorológicas y fortalece las acciones preventivas para proteger a la población ante posibles descensos de temperatura, lluvias, fuertes vientos y otros efectos asociados a estos fenómenos. Jesús García Ávila, director de Protección Civil, informó que, de acuerdo con el Servicio Meteorológico Nacional (SMN), se prevé la presencia de 56 frentes fríos durante la temporada, que podría extenderse hasta mayo de 2027. Detalló que para octubre se pronostican siete sistemas frontales; ocho en noviembre, nueve en diciembre, ocho en enero de 2027, siete en febrero, seis en marzo, seis en abril y dos en mayo. Ante este escenario, señaló que por instrucciones de la presidenta municipal Lorena García Cázares, se mantiene un seguimiento puntual de la evolución de los fenómenos meteorológicos, con especial atención a las condiciones que pudieran representar algún riesgo para la población. Explicó que durante esta temporada las masas de aire frío provenientes de Canadá y Estados Unidos, al interactuar con humedad, pueden generar condiciones para la presencia de lluvias, fuertes vientos, tormentas eléctricas e incluso tormentas invernales en algunas regiones del país. Asimismo, se prevé que durante los próximos días continúe el descenso de temperaturas en regiones del norte y centro de México, debido a la interacción de sistemas frontales con zonas de baja presión y canales de humedad. Por ello, Protección Civil Municipal recomienda a la población vestirse en capas y cubrir adecuadamente rostro, cabeza, manos y oídos; consumir alimentos nutritivos y bebidas calientes; además de cubrir nariz y boca al salir de lugares templados, con el propósito de reducir los efectos de los cambios bruscos de temperatura. Finalmente, el funcionario exhortó a las familias a mantenerse atentas a los comunicados oficiales y evitar difundir información no confirmada, recordando que la prevención comienza en casa y que mantenerse informados permite tomar mejores decisiones ante cualquier eventualidad.</t>
  </si>
  <si>
    <t>Tras dos días de fuertes lluvias en buena parte del Estado de Hidalgo, lo que derivó que se estableciera semáforo rojo sobre todo para el norte de la entidad, a partir del miércoles 7 de octubre se activó el semáforo amarillo. La Subsecretaría de Protección Civil y Gestión de Riesgos estatal estableció bajar la alerta, al bajar la cantidad de descargas pluviales, así como de vientos que le acompañan. Sin embargo, aún existe presencia de encharcamientos, escurrimientos e incremento en los niveles de ríos y arroyos, además de favorecer deslaves y derrumbes en zonas susceptibles. Debido a la humedad acumulada en el terreno por las lluvias de los últimos días, las autoridades mantienen el llamado a la población a mantener las medidas preventivas, especialmente en zonas de ladera, cauces y caminos que han presentado afectaciones. Se pidió a la población a mantenerse alerta, consultar los canales oficiales y atender las indicaciones de Protección Civil, además de tener sus documentos a la mano, protegidos y listos para transporta. Así como ubicar los puntos de reunión y refugios temporales indicados por las autoridades. 169 escuelas públicas privadas de educación básica en Hidalgo suspendieron clases presenciales el día de ayer mi La subsecretaría de educación básica y de la Secretar de Educación Pública de Hidalgo reportó que las 169 escuelas activaron las clases a distancia como medida preventiva cifra que redujo en comparación con los 177 planteles que se suspendieron actividades el día martes 6 de octubre. Se mantuvo el semáforo rojo por las lluvias. Entre las escuelas con suspensión se encuentran 10 planteles de educación inicial y preescolar indígena, 53 de preescolar general, además de 64 primarias, 40 secundarias y dos secundarias generales, donde los alumnos continúan con actividades en línea. La SEP Hidalgo informó que continúa pendiente de la evolución de las condiciones climáticas y en comunicación permanente con las autoridades escolares con el fin de priorizar la seguridad y el bienestar de estudiantes, docentes y personal educativo. algunos municipios donde se suspendieron clases fueron en Molango, Tlanchinol, Mestitlán, Lolotla, Tepehuacán de Guerrero, Juárez, Juárez Hidalgo, Tlahuiltepa, Molango, Xochicuatlán y Calnali.</t>
  </si>
  <si>
    <t>Inspectores del Sistema de Transporte Masivo de Hidalgo (Sitmah), fueron agredidos por un automovilista particular, quien luego de insultarlos verbalmente, les arrojó un líquido caliente. La situación se registró la mañana del miércoles 7 de octubre al exterior de la estación San Antonio, en sentido sur. El hecho sucedió mientras el personal del organismo realizaba labores de supervisión y vigilancia, durante las cuales se intervino a una persona motociclista por hacer uso indebido del carril confinado. Mientras se desarrollaba esta intervención, una persona totalmente ajena al asunto a bordo de un vehículo particular que circulaba por los carriles centrales se aproximó al lugar y agredió de manera física y verbal a personal del Sitmah. Ante esta situación, uno de los inspectores realizó una intervención para contener la agresión por parte del automovilista. Posteriormente, la persona señalada como agresora se retiró del lugar, pero regresó para arrojar líquido hirviente en contra del personal de inspección. Derivado de estos hechos, se procedió el inicio de una carpeta de investigación ante la autoridad competente, a fin de que se determine la posible responsabilidad de la persona involucrada conforme a derecho. Hasta el momento no se ha dado a conocer el estado de salud de los inspectores agredidos; tampoco se conoce de alguna persona detenida, como responsable de la situación.</t>
  </si>
  <si>
    <t>61 niñas, niños y adolescentes han encontrado un nuevo hogar durante la actual administración del Sistema DIF Hidalgo, sumados tres menores de edad más, quienes fueron integrados a sus nuevas familias en ceremonia realizada el pasado 1 de octubre. La presidenta del Patronato del organismo asistencial estatal, Edda Vite Ramos, informó que actualmente el DIF Hidalgo tiene a 16 adolescentes susceptibles de adopción. Sin embargo, no hay familias interesadas en incluirlas a sus hogares, debido a que presentan alguna condición de discapacidad física, motriz o intelectual leve. “Generalmente han estado al cuidado del Sistema DIF Hidalgo a lo largo de su vida, principalmente porque no encontramos familias que tengan la disposición o la apertura de incorporar a su núcleo familiar a un niño o niña con estas características”. Entre los niños que en esta ocasión se integraron a sus nuevas familias bajo el programa denominado “Puente de Amor”, se encuentra Elías Gabriel, de dos años y dos meses, quien encontró un hogar después de dos años de espera y procedimientos. Él pequeño, quien tiene acondroplasia, un trastorno genético que afecta el crecimiento óseo; fue recibido con cariño por su padre, Elías, y su madre, Juana Elena. La titular de la Procuraduría de Protección de Niñas, Niños, Adolescentes y la Familia del Sistema DIF Hidalgo, Laura Karina Ramírez Jiménez, explicó que el proceso certificado para determinar la viabilidad de las familias solicitantes tiene una duración desde seis meses, siempre que cumplan con los requisitos establecidos por la ley. Entre los procedimientos se encuentran las valoraciones psicométricas y socioeconómicas, así como la integración de los documentos que deben presentarse ante el juzgado para acreditar que las personas solicitantes cuentan con las condiciones necesarias para adoptar. “La espera radica principalmente en encontrar las habilidades en la familia de acuerdo con las necesidades en particular que tienen las niñas y niños susceptibles de adopción”. Entre los principales factores que pueden determinar que una solicitud no sea viable se encuentran los duelos no resueltos, los problemas de violencia o los conflictos en la pareja, así como los casos en los que las personas buscan resolver expectativas personales mediante la adopción. “Lo que buscamos en la adopción es restituir el derecho de niñas y niños a vivir en familia, y buscamos aquellas familias que auténticamente quieran ejercer una paternidad y maternidad responsables respecto de niñas y niños que tienen derecho a vivir en familia”, señaló la funcionaria.</t>
  </si>
  <si>
    <t>Adopción De Menores</t>
  </si>
  <si>
    <t>Dos de cada diez casos de violencia vicaria registrados en la región Tulancingo son atendidos por la Instancia Municipal de las Mujeres, ofreciendo apoyo sicológico, así como asesoría jurídica. Abigail de la Cruz Morales, titular del espacio de atención social, recordó que se considera violencia vicaria cuando niñas, niños o adolescentes son utilizados como medio para provocar daño a la madre. Ello se presenta desde amenazas relacionadas con los hijos hasta la obstaculización de la convivencia, la retención o sustracción de menores y la manipulación para generar rechazo hacia la madre. En ocasiones, no es tan evidente la violencia vicaria, como en los casos donde se utiliza a los hijos para obtener información sobre la madre o involucrarlos en los conflictos entre los progenitores. También puede ocurrir que se hace participar a los hijos en procesos o situaciones familiares y legales como mecanismos de presión. De la Cruz Morales señaló que estas situaciones requieren de apoyo sicológico tanto para hijas e hijos involucrados, como para las madres de estos. Luego de realizar la estabilización emocional, se otorga asesoría jurídica en los casos que la madre acepte, y de acuerdo al conflicto que deba enfrentar, con acompañamiento en todos los casos. Los servicios que otorga la Instancia Municipal de la Mujer, como los señalados y otros más que otorgan, son de forma completamente gratuita. La funcionaria municipal reconoció que este tipo de casos son complicados que sean denunciados por la madre afectada, por lo que señaló que es fundamental que exista una red de apoyo, conformada por amigos, vecinos o familiares cercanos. A través de ellos se puede lograr la canalización de la mujer a atender, así como dar seguimiento a las etapas de acompañamiento y atención. La oficina de la Instancia Municipal de las Mujeres se encuentra en calle Tolteca esquina Azteca, en la colonia Guadalupe.</t>
  </si>
  <si>
    <t>Violencia Vicaria</t>
  </si>
  <si>
    <t>Hidalgo alcanza 93.26% de efectividad en localización de personas</t>
  </si>
  <si>
    <t>Búsqueda de personas</t>
  </si>
  <si>
    <t>Elementos de la Secretaría de Seguridad Pública de Pachuca intervinieron ante un reporte ciudadano relacionado con la posible comercialización de sustancias ilícitas en inmediaciones de una tienda ubicada en la calle Gómez Farías, en el barrio de Santiago y Arizpe, colonia La Surtidora. Durante recorridos de vigilancia sobre la calle Bartolomé de Medina, un ciudadano informó a los agentes sobre la presencia de una persona que presuntamente ofrecía pequeñas dosis de una sustancia. En atención al reporte, los elementos se trasladaron al sitio, donde localizaron a un hombre cuyas características coincidían con las proporcionadas. Al realizar una inspección preventiva, le fue localizada en una cartera de color café, que llevaba en la bolsa frontal izquierda de su pantalón, ocho bolsas tipo ziploc transparentes que contenían un material blanco granulado, con un peso aproximado de 5.66 gramos. El hombre fue detenido y puesto a disposición del Ministerio Público de la Procuraduría General de Justicia del Estado de Hidalgo, junto con el material asegurado, para las investigaciones correspondientes y el deslinde de responsabilidades.</t>
  </si>
  <si>
    <t>La SIPDUS informa sobre las siguientes acciones realizadas en las últimas horas, a fin de retirar material de derrumbes y habilitar la circulación en caminos y carreteras que resultaron afectadas a causa de las recientes lluvias.</t>
  </si>
  <si>
    <t>Como parte de la estrategia de cercanía impulsada por el presidente municipal Jorge Reyes, el Gobierno de Pachuca llevó la jornada Colonia x Colonia al fraccionamiento Bugambilias, donde se realizaron 564 acciones en beneficio de las y los vecinos. En estas jornadas, la ciudadanía puede encontrar en su propia colonia personal de las distintas áreas del Ayuntamiento, realizar trámites, plantear solicitudes y recibir orientación sobre los servicios municipales, sin necesidad de trasladarse hasta las oficinas. La presencia de las dependencias en Bugambilias permitió que las familias expusieran inquietudes relacionadas con su entorno y conocieran de primera mano las alternativas y procedimientos disponibles para resolver distintos planteamientos. “Queremos que las familias sepan que el Ayuntamiento está cerca y que pueden encontrar en su propia colonia a las áreas que pueden ayudarles a resolver sus necesidades”, señaló Jorge Reyes. La estrategia Colonia x Colonia continuará en diferentes puntos de Pachuca, con el propósito de mantener una presencia constante del Ayuntamiento en la ciudad.</t>
  </si>
  <si>
    <t>Invierten 20.4 mdp a nuevo Bachillerato Nacional en Tezontepec de Aldama</t>
  </si>
  <si>
    <t>Ayer los diputados de la LXVI Legislatura del Congreso, en uso de sus facultades, la Junta de Gobierno y como parte de los ejercicios de análisis y rendición de cuentas, bueno pues, acordaron la comparecencia del titular de la Oficialía Mayor del Gobierno del Estado, Edgar Orlando Ángeles Pérez, quien acudirá ante ese pleno el próximo 22 de octubre a las 4 de la tarde, con el objetivo de abonar, de impulsar, de enraizar la cultura de la transparencia. En las comparecencias anteriores, no solamente del gobernador Julio Menchaca sino de todas las que se llevaron anteriormente, los oficiales mayores no comparecían. El propósito de este llamado, de esta invitación a al oficial mayor es abonar a la transparencia y explicarle a los diputados y por supuesto a todos los hidalguenses cómo, cuándo y en qué, pero también por qué se gasta el dinero público.</t>
  </si>
  <si>
    <t>La madrugada de este día se presentó un incendio de un vehículo en la carretera Pachuca-Ciudad Sahagún, en su tramo correspondiente a Zempoala. Personal de Bomberos acudió al lugar, aparentemente este incidente esta conflagración se presentó por una falla mecánica, no se reportan personas lesionadas, solamente daños materiales.</t>
  </si>
  <si>
    <t>En Zempoala sigue el problema entre esta regidora, esta integrante del cabildo que fue separada de su cargo y el presidente municipal de Zempoala, Don Sinyué Ramírez. Este, la regidora pues sube videos, hace denuncias públicas. Ya le clausuraron su oficina, ya no la dejan entrar ni dejan que saque cosas. Bueno, la cosa se está poniendo muy complicada allá en Zempoala en términos de pues este quién tiene la razón y quién no la tiene. El asunto es que eh pues hay una crisis de, yo diría, credibilidad en el Ayuntamiento de Zempoala.</t>
  </si>
  <si>
    <t>Desavenencias</t>
  </si>
  <si>
    <t>El gobernador Julio Menchaca Salazar asistió a los festejos conmemorativos realizados en el Auditorio Nacional en la Ciudad de México. Comenta en sus redes: "La fuerza de la Cuarta Transformación en México y su gente en estos 15 años ha dejado su lucha por un país más justo. Seguimos trabajando sin descanso, siempre con el pueblo y para el pueblo". El gobernador se tomó una fotografía ahí tras bambalinas, tras backstage en el Auditorio Nacional con los gobernadores de Morena que asistieron de todo el país, que asistieron a este evento.</t>
  </si>
  <si>
    <t>Conmemoración Aniversario</t>
  </si>
  <si>
    <t>Mañana la presidenta Claudia Sheinbaum Pardo visitará el municipio de Metztitlán para supervisar la clínica del IMSS.</t>
  </si>
  <si>
    <t>Hoy viene Martí Batres, Director General del ISSSTE para realizar una supervisión médica en la Unidad de Medicina Familiar de Actopan.</t>
  </si>
  <si>
    <t>Reocorrido por instalaciones</t>
  </si>
  <si>
    <t>Se anunció que en próximos días se publicará la convocatoria para el registro de aspirantes a las coordinaciones municipales en Hidalgo. Entre los registros recientes a coordinaciones distritales se mencionaron al Dr. Norberto Martínez y Areli Beltrán por Ixmiquilpan.</t>
  </si>
  <si>
    <t>En el Viaducto Río de las Avenidas de Pachuca, una persona se arrojó al vacío y fue impactada por un vehículo que transitaba en el paso a desnivel, falleciendo en el sitio. El túnel permaneció cerrado durante varias horas para los peritajes de la PGJH.</t>
  </si>
  <si>
    <t>Suicidio</t>
  </si>
  <si>
    <t>Ayer el gobernador del estado de Hidalgo en sus redes sociales, sus condolencias, dice el gobernador Julio Menchaca Salazar: "Mis condolencias a mi amigo y compañero, el secretario Guillermo Olivares Reina, y a toda su familia por la lamentable partida de su hermano Cupertino Olivares Reina". Todos los trabajadores de Las Voces Radio nos unimos a este sentimiento, enviamos un abrazo muy cariñoso a nuestro jefe y amigo Guillermo Olivares Reina por esta situación y bueno pues, nos unimos a la pena que embarga a la familia Olivares Reina por esta situación, murió el señor Cuauhtémoc Olivares Reina, hermano del secretario de Gobierno de nuestro estado.</t>
  </si>
  <si>
    <t>Condolencias</t>
  </si>
  <si>
    <t>Las brigadas de empleados, trabajadores, los especialistas en estos temas pertenecientes al sistema de Protección Civil, a la Secretaría de Infraestructura, pues trabajan en las diferentes zonas para restablecer la comunicación en aquellas carreteras donde hubo deslizamiento de materiales, donde hubo derrumbes y bueno, pues prácticamente tenemos en este momento todas las carreteras ya libres, en algunas zonas hay el espacio está limitado, pero la circulación ya se restableció en todas las carreteras, en todas las vías que fueron afectadas.</t>
  </si>
  <si>
    <t>La Subsecretaría de Protección Civil y el Gobierno del Estado mantienen monitoreo permanente en ríos, arroyos, presas y presas de gavión por el temporal de lluvias reciente. Se prevé que las precipitaciones continúen de manera más ligera en la mayor parte de la entidad.</t>
  </si>
  <si>
    <t>Durante la emisión, el especialista deportivo Gustavo Rosales, inició la sección informando sobre el lamentable fallecimiento de "El Búho", un réferi de 70 años en la Arena 11 de Julio de la capital hidalguense. La defunción ocurrió a causa de un martinete, un castigo prohibido por la comisión de box y lucha debido a su alto riesgo. La situación generó una intensa polémica, la clausura del recinto por falta de permisos y la detención del luchador involucrado (hijo de Fishman) mientras avanzan las investigaciones correspondientes.</t>
  </si>
  <si>
    <t>Homicidios</t>
  </si>
  <si>
    <t>Locutor Jesús Riveros da lectura a comentario de radioescucha que señala: "Buenas tardes, ¿por qué diario hay reportes de las colectivas y las autoridades no hacen nada?" Por lo mismo, mire, aquí el reporte, sí, es obviamente que se canalizan, pero es más importante que usted también, que usted también la haga a través de las líneas que le estoy compartiendo. Es bien importante que lo haga, eh, a la Secretaría de Movilidad y Transporte. Recuerde que, en alguna ocasión, solo lo compartimos a a a, perdón, entrevistamos a la titular de la Secretaría de Movilidad y Transporte, quien nos decía que no quede nada más en un reporte, digamos, al aire, sino que también se tiene que hacer de manera, de manera oficial al 800 503 2002, 800 503 2002 o bien al 771 526 1284, 771 526 1284.</t>
  </si>
  <si>
    <t>Queja transporte público</t>
  </si>
  <si>
    <t>Locutor Jesús Riveros da lectura a comentario de radioescucha, que emite una queja ciudadana acompañada de una fotografía en la que se observa a una unidad colectiva de la ruta San José pasarse la luz roja del semáforo sobre la carretera México-Tuxpan. El locutor señaló que esta situación es frecuente en la bajada de San José, provocando accidentes viales que llegan a reportarse al menos una vez al día.</t>
  </si>
  <si>
    <t>El municipio de Tulancingo recuperó un espacio en el parque Nicolás Bravo para establecer un nuevo punto de encuentro cívico y cultural, donde se izará una nueva asta bandera a partir del próximo 19 de octubre. La ceremonia inaugural iniciará a las 9:00 horas con la participación de la Secretaría de la Defensa Nacional, la telesecundaria Nicolás Bravo y el ensamble veranda. De acuerdo con Guadalupe Rodríguez Uribe, secretaria de Cultura, Educación, Deporte y Juventud, se espera la asistencia de unas 300 personas como parte de las acciones para fortalecer la identidad y la memoria colectiva en el municipio.</t>
  </si>
  <si>
    <t>Jesús Riveros envió sus más sinceras condolencias al licenciado Guillermo Olivares Reyna y a la maestra Teresa Olivares Reyna por el sensible fallecimiento de su hermano, don Cupertino Olivares Reyna. El mensaje de solidaridad y apoyo fue externado a nombre de la familia Wong Martínez y del medio NQ La Radio Sin Límites.</t>
  </si>
  <si>
    <t>La Secretaría de Seguridad Pública de Hidalgo, en coordinación con la Procuraduría General de Justicia y la Secretaría de la Defensa Nacional, llevó a cabo operativos en Pachuca y Huasca (en la colonia El Jilotillo y La Palma), logrando el aseguramiento de un total de 3,790 dosis de sustancias ilícitas (entre cristal, marihuana y pastillas), además de equipo de pesaje, comunicaciones y una motocicleta sin placas. Como resultado de estas acciones contra la venta y distribución de droga, tres personas fueron detenidas y puestas a disposición de la autoridad competente.</t>
  </si>
  <si>
    <t>Artesanas y artesanos del Valle del Mezquital suman nuevas técnicas a su trabajo.</t>
  </si>
  <si>
    <t>Capacitación a artesanos</t>
  </si>
  <si>
    <t>Hidalgo alcanza 93.26 % de efectividad en localización de personas</t>
  </si>
  <si>
    <t>El alumno Raúl Emiliano León García, del Colegio de Bachilleres del Estado de Hidalgo (Plantel Tizayuca), participará en la Paranacional CONADE 2026 representando al estado en Guadalajara, Jalisco, del 7 al 10 de octubre. El evento reúne a 2500 atletas juveniles de deporte adaptado en disciplinas como baloncesto en silla de ruedas, atletismo y natación, bajo la organización de la CONADE y la SEP. El director general de COBAE, Rubén López Valdés, reconoció la disciplina y el esfuerzo del estudiante.</t>
  </si>
  <si>
    <t>Paranacionales Conade</t>
  </si>
  <si>
    <t>La Contraloría informó ayer que nace "Transparencia para el Pueblo de Hidalgo", al operar con 12 servidores públicos, Hidalgo da un paso a un nuevo modelo de fiscalización y acceso a la información con la creación del organismo desconcentrado Transferencia Transparencia para el Pueblo de Hidalgo, adscrito a la Secretaría de Contraloría, con una estructura inicial de 12 servidores públicos; la institución va a operar sin comisionados y con salarios homologados al Poder Ejecutivo, logrando un ahorro superior al 50% en el gasto corriente al aprovechar la infraestructura del complejo Hidalgo Honesto. El nuevo organismo tendrá la rectoría para dirigir y vigilar el cumplimiento de las disposiciones de transparencia, apoyándose directamente en las contralorías internas de municipios, dependencias y organismos autónomos. Este modelo de simplificación orgánica se fundamenta en la aprobación unánime emitida por el pleno del Congreso estatal sobre las nuevas leyes de transparencia y de protección de datos personales, alineado al estado de Hidalgo con la estrategia nacional de austeridad.</t>
  </si>
  <si>
    <t>Contraloría</t>
  </si>
  <si>
    <t>Transparencia para el Pueblo</t>
  </si>
  <si>
    <t>Las tradicionales comparsas del carnaval de Calnali llamarán la atención y formarán parte de la gran fiesta de cultura y arte en Guanajuato durante la 54ª edición del Festival Internacional Cervantino. Esta participación destaca con orgullo la trascendencia de la cultura hidalguense a nivel interestatal e internacional, comentó locutor Juan Carlos Santamaría, posterior a dar lectura al Boletín de Cultura.</t>
  </si>
  <si>
    <t>La Junta de Gobierno del Congreso del Estado de Hidalgo acordó la comparecencia del titular de la Oficialía Mayor del Gobierno estatal, Edgar Orlando Ángeles Pérez, quien acudirá ante el Pleno el próximo jueves 22 de octubre a las 16:00 horas. El acuerdo fue establecido de común acuerdo entre el Poder Legislativo y el Poder Ejecutivo, como parte de los ejercicios de análisis y rendición de cuentas, bajo principios de diálogo, coordinación y respeto institucional.</t>
  </si>
  <si>
    <t>La Subsecretaría de Protección Civil y Gestión de Riesgos pronosticó para hoy chubascos, temperaturas mínimas de cero a cinco grados y rachas de viento en el estado de Hidalgo. Se advirtió que el riesgo de deslaves, derrumbes y desprendimientos persiste debido a la humedad acumulada en zonas previamente afectadas. Las autoridades recomendaron extremar precauciones, evitar cruzar corrientes de agua o zonas de riesgo, respetar los cierres carreteros y abrigarse adecuadamente ante las bajas temperaturas.</t>
  </si>
  <si>
    <t>SSPH mantiene apoyo y vigilancia ante afectaciones por lluvias</t>
  </si>
  <si>
    <t>Jesús Riveros lamentó profundamente el fallecimiento de Gerardo Germán Pineda, conocido como "El Búho", un réferi de la lucha libre de más de 70 años originario de la capital hidalguense. El caso se encuentra bajo la investigación de la Procuraduría General de Justicia del Estado de Hidalgo, lo que ha reabierto el debate sobre los límites y los riesgos que enfrentan los involucrados en este deporte.</t>
  </si>
  <si>
    <t>Padres de familia de la escuela telesecundaria número 750, en el barrio de San Miguel, en Ixmiquilpan, se manifestaron la mañana de hoy, jueves, frente a las instalaciones del plantel para acusar sobre cupo de alumnos dentro de los grupos de primer grado, por lo que solicitan la creación de un nuevo grupo de ese año. AUDIO PADRES DE FAMILIA “ La mayoría somos padres del primer año, exigiendo una apertura de un aula, de un aula y de un maestro que asignen para que esa aula tenga un dirigente. Hemos ido a Pachuca en varias ocasiones, hemos tenido algunas respuestas nulas, algunas hasta con burla, que no van a hacer nada, sino si, aunque sea lo que sea Ixniquilpan, no van a hacer nada para vernos un año más o un año más. Y esta es una de las causas que estamos aquí. Exigimos que, por favor, nos den un aula más y un profesor más. El aula ya la hicimos los papás, ni siquiera necesitamos de que SEP o ellos nos las entreguen, ya está hecha por nosotros. Se hizo una cooperación, se hizo varias cosas y el aula ya está hecha. Solamente también necesitamos la aprobación de ellos y algún maestro que nos puedan asignar”</t>
  </si>
  <si>
    <t>Muy negativo</t>
  </si>
  <si>
    <t>La mujer localizada ayer sin vida al fondo de una barranca en la zona conocida como la Bajada de la Cruz, en La Peña, en Mixquiahuala, ya fue reconocida. Según información extraoficial, se trata de una mujer de iniciales NTP, quien era originaria de la colonia La Reforma, en Mixquiahuala de Juárez. La necropsia practicada al cuerpo determinó como causa de fallecimiento asfixia por broncoaspiración, al encontrarse restos de alimentos en las vías respiratorias. Además, se determinó que no habrían identificado huellas visibles de violencia física. Las investigaciones continúan ante la posible participación de terceras personas en este hecho, quienes presuntamente habrían arrojado el cuerpo de la mujer al fondo del barranco para ocultarlo, versiones que deben confirmar las autoridades. El hallazgo fue realizado ayer por ciudadanos que transitaban por la zona, quienes dieron aviso, lo que permitió la intervención de corporaciones de seguridad y personal especializado.</t>
  </si>
  <si>
    <t>Ayer le informé sobre la muerte de un referee allá en Mineral de la Reforma, esto ha puesto sobre la mesa el tema de que el martinete volvió al centro de la conversación sobre la lucha libre tras la muerte del referee Gerardo Germán Pineda, conocido como el búho, durante una función en Mineral de la Reforma. Los reportes señalan que habría recibido este castigo antes de desvanecer sobre el cuadrilátero.La maniobra se caracteriza por colocar al oponente en posición invertida y dirigirlo hacia la lona. Su peligrosidad radica en el impacto que pueden recibir la cabeza y el cuello, por lo que se identifica como un movimiento prohibido en la lucha libre mexicana. El fallecimiento del búho derivó en la detención del hijo de Fishman, el luchador, y en una investigación para esclarecer los hechos. Las investigaciones deberán determinar las responsabilidades correspondientes. Los señalamientos difundidos sobre el martinete no sustituyen los resultados periciales ni permiten establecer por sí solos la causa médica de su fallecimiento.</t>
  </si>
  <si>
    <t>En el Congreso del Estado de Hidalgo, el diputado José Luis Rodríguez Sigarera, habló sobre los trabajos que se llevan a cabo en la presa Endó, destacando que una de las máquinas está descompuesta, así como el retraso de la llegada de nuevas máquinas trituradoras.</t>
  </si>
  <si>
    <t>Presa Endhó</t>
  </si>
  <si>
    <t>Todo parece indicar que el próximo domingo, a temprana hora, alrededor de las ocho de la mañana, se va, se van a inaugurar las canchas de tenis de la unidad deportiva de Tula, unas canchas remodeladas al cien por ciento, van a tener gradas, van a tener luz, van a estar muy bonitas estas gradas, vamos a tratar de confirmar esa información, pero todo parece indicar que serán echadas a andar el próximo domingo.</t>
  </si>
  <si>
    <t>Entrega de obra</t>
  </si>
  <si>
    <t>Enlace clima Luis García de la Conagua en la Republica Mexicana e Hidalgo, zona huasteca máxima de 29 mínima de 20, para la Sierra 25 máxima mínima de 16, Altiplano máxima de 20 mínima de 9, para Pachuca y Tizayuca 19 mínima de 9, en la Zona Tepehua máxima de 25 mínima de 16, Valle de Tulancingo máxima de 19 mínima de 8 en el Valle del Mezquital máxima 21 mínimas de 11 , Huichapan y Tecozayutla máxima 20 y mínima de 11. El nivel de las presas en el estado de Hidalgo es el siguiente: la presa Taxhimay se encuentra al 85.8%; presa Requena al 70.5%; presa Endhó al 101.5%; presa Rojo Gómez al 102.7%; presa Vicente Aguirre al 100.9%; presa La Esperanza al 100% y presa Zimapán al 86.3%.</t>
  </si>
  <si>
    <t>La Subsecretaría de Protección Civil y Gestión de Riesgos alertó por las condiciones meteorológicas previstas para hoy jueves aquí en Hidalgo, donde se esperan intervalos de chubascos de entre 5 y 25 milímetros, además de temperaturas mínimas de 0 a 5 °C. Las autoridades señalaron que las lluvias podrían generar encharcamientos, escurrimientos e incrementos en los niveles de ríos y arroyos, así como deslaves y derrumbes en zonas susceptibles. A estos riesgos se suma la saturación de humedad en el terreno debido a las lluvias registradas durante los últimos días, porque sí que ha llovido, por lo que persisten condiciones de riesgo en zonas de laderas, cauces, caminos y comunidades que ya han presentado algunas afectaciones.</t>
  </si>
  <si>
    <t>Con 346 personas localizadas de 371 reportes iniciados entre enero y septiembre de este año, Hidalgo alcanzó una efectividad del 93.26 por ciento en la localización de personas, informó la Comisión de Búsqueda de Personas del Estado de Hidalgo (CBPEH) durante la Tercera Sesión Ordinaria del Sistema de Búsqueda de Personas 2026.Como parte de la política de cercanía y atención que impulsa el gobernador Julio Menchaca Salazar, se mantiene como prioridad el fortalecimiento de la coordinación institucional, las acciones de búsqueda y, de manera especial, la prevención de situaciones que puedan poner en riesgo a niñas, niños, adolescentes y sus familias.</t>
  </si>
  <si>
    <t>Vía telefonica secretaria de Turismo del Estado de Hidalgo, Elizabeth Quintanar con el tema : 18 Festival del Paste en Real del Monte e Invitación a Feria Pachuca. Por su parte, la secretaria de Turismo de Hidalgo, Liz Quintanar, invitó al Festival del Paste en Real del Monte, destacando la variedad gastronómica de pastes y la oferta cultural. Asimismo, resaltó la cercanía del municipio con la capital, sugirió precauciones al conducir por la neblina o lluvia, y promovió las atracciones de la Feria San Francisco en Pachuca, como el Circo Atayde y el show sobre hielo.</t>
  </si>
  <si>
    <t>Turismo</t>
  </si>
  <si>
    <t>Festival Del Paste</t>
  </si>
  <si>
    <t>Invierten 20.4 millones de pesos a nuevo bachillerato nacional de Tezontepet de Aldama. Natividad Castrejón destacó que el nuevo plantel permitirá ampliar las oportunidades educativas para jóvenes de la región, como parte de las acciones para fortalecer y ampliar la cobertura educativa en Hidalgo. El secretario de Educación Pública del Estado, Natividad Castrejón Valdés, encabezó la colocación de la primera piedra de bachillerato nacional, Margarita Maza, en Tezontepet de Aldama, obra que contará con una inversión de 20.4 millones de pesos.</t>
  </si>
  <si>
    <t>Radioescucha reporta la calle de Cuesco y casi toda la avenida tiene muchos baches nuevamente, piden arreglarla</t>
  </si>
  <si>
    <t>Vialidad En Mal Estado</t>
  </si>
  <si>
    <t>Radioescucha comenta que ya se tardaron en arreglar en Venta Prieta, habían dicho que eran solo 45 dias y ya se pasaron del tiempo</t>
  </si>
  <si>
    <t>Rehabilitación Vial</t>
  </si>
  <si>
    <t>La SIPDUS realiza labores para habilitar caminos y carreteras por las lluvias que han afectado en los ultimos días y en las ultimas horas al estado de Hidalgo</t>
  </si>
  <si>
    <t>El réferi Gerardo Germán Pineda, también conocido como el Búho, murió durante una función de lucha libre realizada la noche del pasado martes en el Deportivo 11 de Julio. Durante la función, el luchador identificado como el hijo de Fishman le dio varios golpes al réferi y le aplicó una llave conocida como el martinete, lo que derivó en un desvanecimiento sobre el ring. Al lugar acudieron paramédicos para brindarle atención, sin embargo, el réferi falleció. De acuerdo con la Procuraduría General de Justicia del Estado de Hidalgo, el hijo de Fishman identificado con las iniciales J.A.N.L., quien participaba como luchador, fue detenido por la autoridad municipal y puesto a disposición del Ministerio Público por hechos posiblemente constitutivos de delito de homicidio culposo, toda vez que los hechos ocurrieron en el desarrollo de un espectáculo deportivo de lucha libre.</t>
  </si>
  <si>
    <t>Radioescucha Sr. Fidel pide apoyo para limpieza de calle primera cerrada de Ferrocarril Centra delante de la calle 14l; está muy sucia y ya hasta personas encontraron serpientes</t>
  </si>
  <si>
    <t>Vía telefonica diputada Claudia Lilia Luna Islas con el tema: Reformas aprobadas para grupos prioritarios y el trabajo legislativo que se a realizado.</t>
  </si>
  <si>
    <t>Trabajo legislativo</t>
  </si>
  <si>
    <t>Fíjese que en el Congreso del Estado de Hidalgo, se confirmó que el titular de la Oficina Mayor del Gobierno del Estado de Hidalgo, Orlando Ángeles Pérez, acudirá a comparecer el próximo jueves 22 de octubre. Adelante Jacky, La Junta de Gobierno del Congreso del Estado de Hidalgo, en uso de sus facultades y como parte de los ejercicios de análisis y rendición de cuentas del Poder Legislativo, acordó la comparecencia del titular de la Oficina Mayor del Gobierno del Estado, Edgar Orlando Ángeles Pérez, quien acudirá ante el Pleno el próximo jueves 22 de octubre, a las 16 horas.La determinación se realizó de común acuerdo entre el Congreso del Estado y el Poder Ejecutivo, privilegiando el diálogo, la coordinación y el respeto institucional entre poderes. La Junta de Gobierno, presidida por el diputado Andrés Velázquez Vázquez, estableció que este ejercicio permitirá a las y los legisladores ampliar la información y plantear los castigamientos correspondientes sobre los asuntos relacionados con esta dependencia. Asimismo, quedó abierta la posibilidad de emplear estos ejercicios de rendición de cuentas con titulares de otras dependencias y organismos del Gobierno del Estado, en caso de que así se determine.</t>
  </si>
  <si>
    <t>Actas certificadas de nacimiento, matrimonio, defunción y otros actos del estado civil pueden solicitarse directamente en el Registro del Estado Familiar de Hidalgo, como parte de la política del gobernador Julio Menchaca Salazar de acercar los servicios a la población y facilitar el acceso a trámites que brindan certeza jurídica.A través de la Secretaría de Gobierno, se fortalecen las acciones del Registro del Estado Familiar para que, de manera ágil, la ciudadanía acceda a documentos oficiales que acreditan su identidad o estado civil, y que son necesarios para realizar trámites personales, escolares, laborales, administrativos y legales. Celia Ramírez Godínez, directora general del organismo, informó que en sus instalaciones pueden solicitarse actas correspondientes a registros realizados en Hidalgo, así como documentos de otras entidades federativas, siempre que la información se encuentre disponible en el Sistema Nacional SIDEA.</t>
  </si>
  <si>
    <t>Derivado de las precipitaciones pluviales, elementos de la Secretaría de Seguridad Pública de Hidalgo (SSPH) participan en acciones de auxilio, abanderamiento y vigilancia en carreteras y caminos de comunidades pertenecientes a los municipios de Tlanchinol, Yahualica, Xochiatipan, Huejutla de Reyes y Tenango de Doria, entre otras localidades</t>
  </si>
  <si>
    <t>Particular agrede violentamente a servidores públicos del Sitmah cuando estos se encontraban desempeñando las labores que les señala la ley, estos hechos acontecieron aproximadamente a las 8:25 horas de este día, en el exterior de la estación San Antonio, en sentido sur. Por estos hechos se ha iniciado ante las autoridades competentes la carpeta de investigación respectiva para el deslinde y fincamiento de lo que resulte.</t>
  </si>
  <si>
    <t>Eulalio Larrieta agradece a Jair Martínez de la SEGOBH, porque esta al pendiente de lo que se necesite y los reportes.</t>
  </si>
  <si>
    <t>Vía telefónica la vocal ejecutiva del Fondo de la Vivienda del Instituto de Seguridad y Servicios Sociales de los Trabajadores del Estado (FOVISSSTE), Jabnely Maldonado Meza, informó sobre los avances del programa *Vivienda para el Bienestar* en el Estado de Hidalgo, así como la proyección para construir 6,500 viviendas destinadas a trabajadores al servicio del Estado. Señaló que durante una reunión de trabajo en Pachuca con el gobernador Julio Menchaca Salazar, se tocó el tema de la reestructuración de créditos impagables en la entidad, donde se registra una cartera de poco más de 50,000 créditos otorgados. De este universo, cerca de 22,000 trabajadores y pensionados —lo que representa aproximadamente el 40% del total estatal— están siendo beneficiados con esquemas de liquidación, condonaciones, quitas y el cambio de esquema de UMA a pesos. Maldonado Meza detalló que, tras un evento realizado en Actopan, se entregaron 558 constancias de finiquito a familias que lograron cancelar sus adeudos. Entre los casos destacados se encuentran personas pensionadas que obtuvieron quitas superiores al millón de pesos, al haber pagado en la práctica hasta dos veces el monto original de su vivienda. A nivel nacional, el programa alcanza a casi el 50% de la cartera, beneficiando a 400,000 familias. En cuanto a los proyectos de infraestructura habitacional, tras la reforma a la Ley de Vivienda impulsada por la presidenta Claudia Sheinbaum Pardo, el FOVISSSTE vuelve a asumir el rol de constructor después de 34 años. Para Hidalgo, se analiza el desarrollo de vivienda social priorizando municipios con alta concentración de derechohabiencia como Pachuca, Tulancingo y Mineral de la Reforma, además de regiones con importante presencia del magisterio. Para consultar la aplicación de estos beneficios, la dependencia exhortó a los más de 70,000 derechohabientes hidalguenses a ingresar al portal oficial fovissste.gob.mx con su CURP para actualizar sus datos, o bien comunicarse al centro de atención telefónica 800 368 4783.</t>
  </si>
  <si>
    <t>alerta de fraude/</t>
  </si>
  <si>
    <t>Alerta De Fraude</t>
  </si>
  <si>
    <t>Daniel Martínez: Pero creo que tampoco se vale... señala el titular de la Comisión de Búsqueda de Personas este... es que muchas veces son ausencias voluntarias, pero tampoco se vale—y lo digo porque lo he conocido de los testimonios que nos han compartido oyentes—tampoco se vale que en el Ministerio Público lo minimicen con frases como "ya aparecerá", "se fue con el novio"—y están este también sexualizando, ¿eh?, porque no dicen "la novia", "con el novio"—o cuestiones de ese tipo, reitero, minimizando, insisto, un tema que es tan doloroso como la ausencia de alguien que quieres, de un familiar.</t>
  </si>
  <si>
    <t>Personas desaparecidas</t>
  </si>
  <si>
    <t>El titular de la Comisión de Búsqueda de Personas del Estado de Hidalgo (CBPEH), José Francisco García Reyes, informó que la incorporación de una alerta en la Clave Única de Registro de Población (CURP) para identificar a personas con reporte de desaparición se ha convertido en una herramienta de apoyo para las labores de búsqueda. El Gobierno Federal incorporó esta información al sistema de la CURP y al realizar una consulta o imprimir el documento de una persona con reporte vigente, aparece la leyenda “persona con reporte de desaparición”. De acuerdo con García Reyes, durante este año en Hidalgo se han detectado al menos 10 CURP con esta leyenda, principalmente correspondientes a personas de Pachuca y Atotonilco de Tula. Además, al menos la mitad de estos casos correspondieron a personas menores de edad. Explicó que existen casos en los que una persona sale de su domicilio por voluntad propia y decide no mantener contacto con sus familiares, sin embargo, cuando intenta realizar algún trámite oficial, la alerta permite identificar que existe un reporte de desaparición vigente. “Para el estado de Hidalgo ha sido fundamental porque más del 80% de los reportes que tenemos son de temas no delictivos, sino de ausencia voluntaria generadas por temas de salidas del domicilio por voluntad propia”. La información se queda vigente hasta que se realiza el procedimiento correspondiente para actualizar el Registro Nacional de Personas Desaparecidas y No Localizadas a través de la Fiscalía Especializada en Personas Desaparecidas o la Comisión de Búsqueda, quien haya emitido el reporte.</t>
  </si>
  <si>
    <t>Con capacitación, asesoría y acceso a financiamiento, el Gobierno Municipal de Tulancingo prepara la entrega de microcréditos a 61 nuevos emprendedores, como parte de los programas Mujer Emprende y Transforma Tulancingo. Previo a la entrega de los apoyos, la Secretaría de Fomento Económico realizó una capacitación en liderazgo dirigida a los beneficiarios, con el propósito de proporcionarles herramientas para fortalecer sus proyectos productivos y enfrentar los retos de iniciar o hacer crecer un negocio. La jornada se realizó en el auditorio Benito Juárez de la Presidencia Municipal y estuvo a cargo de especialistas en liderazgo y emprendimiento, quienes abordaron temas como generación de ideas de negocio, toma de decisiones y desarrollo de habilidades para consolidar proyectos. La capacitación puso especial atención en la participación de las mujeres en el ámbito empresarial, además de buscar que los beneficiarios cuenten con mayores elementos para convertir sus ideas en actividades productivas sostenibles. Entre los proyectos que recibirán impulso mediante los microcréditos se encuentran un hospital de plantas, servicios de tratamientos capilares y a base de hierbas, así como misceláneas, elaboración de postres, costura y distintos negocios relacionados con la gastronomía. La estrategia municipal contempla no sólo el acceso a financiamiento, sino también capacitación y acompañamiento para quienes buscan iniciar un negocio, fortalecer uno existente o encontrar nuevas alternativas para generar ingresos. La entrega de los microcréditos está programada para el 14 octubre en el auditorio Benito Juárez de la Presidencia Municipal. Con estas acciones, la administración encabezada por la presidenta municipal Lorena García Cázares, a través de la Secretaría de Fomento Económico, busca ampliar las herramientas disponibles para los tulancinguenses que han decidido emprender y fortalecer sus proyectos productivos.</t>
  </si>
  <si>
    <t>Apoyo a emprendedores</t>
  </si>
  <si>
    <t>Las instalaciones del plantel para educación preescolar “Thowi”, ubicado en la comunidad de Santa María Temaxcalapa, dentro del municipio de Tenango de Doria, registró colapso en las bardas perimetrales, situación que representa un riesgo para la comunidad escolar. Jesús Sevilla García, director municipal de Protección Civil explicó que el colapso derivó de un hundimiento registrado en la zona, donde se han registrado intensas lluvias en días recientes. Por lo que se determinó que los alumnos tendrán clases y actividades escolares virtuales, en tanto se realiza la rehabilitación de la infraestructura educativa. Sevilla García informó que ya fue entregada a las autoridades educativas la opinión técnica elaborada por Protección Civil municipal sobre las condiciones del inmueble. Por lo que se estaría al pendiente de la respuesta por parte de las autoridades estatales para determinar presupuesto y acciones para iniciar la rehabilitación de las instalaciones del plantel para educación preprimaria. Se informó que se trata de la única escuela que fue necesario cerrar temporalmente debido a daños registrados. Pero se exhortó a madres y padres de familia a no exponer a los estudiantes si identifican alguna situación de riesgo tanto en las escuelas como en los trayectos. Respecto a la situación en general dentro del municipio, se informó que persisten los deslizamientos de tierra derivados de las lluvias en el tramo carretero Peña Blanca-San Pablo, en Tenango de Doria. En dicho tramo continúan los trabajos para retirar material y permitir el tránsito vehicular, informó Protección Civil municipal. La situación física en la carretera estatal Tenango-Metepec se mantiene estable, luego de que durante los últimos días fuera uno de los puntos que requirieron mayor atención. Debido a estas condiciones, se establecieron horarios para permitir el tránsito de manera controlada. Actualmente, el paso vehicular por este tramo se permite entre una a dos de la tarde; posteriormente, el tránsito permanece prácticamente cerrado hasta alrededor de las 6 de la tarde, mientras continúan los trabajos. Se confirmó que hasta el momento no hay localidades incomunicadas en Tenango de Doria; sin embargo, se mantiene el monitoreo preventivo debido a la continuidad de las lluvias y a las condiciones del terreno en distintos puntos del municipio.</t>
  </si>
  <si>
    <t>486 de las mil 188 comunidades indígenas convocadas por el Instituto Estatal Electoral de Hidalgo (IEEH) participaron en los Foros Regionales de Diálogo para definir la acción afirmativa indígena que se aplicará en el proceso electoral de 2027. La cifra significa que la cobertura en los foros alcanzó apenas el 40.91 por ciento del total de las localidades con población indígena. Por lo que de acuerdo al informe presentado ante el Consejo General del IEEH, alrededor del 59 por ciento de las comunidades contempladas en el catálogo estatal no tuvieron participación en el proceso, realizado mediante encuentros presenciales y un periodo de registro de opiniones a través de internet. En total fueron instaladas 13 sedes regionales y participaron autoridades de 35 de los 45 municipios convocados. Fue en Zacualtipán donde se registró la menor cobertura, con siete participaciones de 66 comunidades convocadas, equivalente a 10.61 por ciento; le siguieron San Bartolo Tutotepec, con 20 de 109, y Tlanchinol, con 39 de 132. En contraste, San Felipe Orizatlán registró 74 participaciones de 109 comunidades, mientras que Tula tuvo nueve de 11. En Tulancingo se llevó a cabo uno de los 13 foros regionales organizados por el Instituto Estatal Electoral de Hidalgo para conocer la opinión de las comunidades indígenas sobre la acción afirmativa que se aplicará en las elecciones de 2027. Entre las comunidades participantes, más del 90 por ciento respaldó que los partidos políticos postulen personas indígenas de acuerdo con la población y pertenencia de cada comunidad. Los consultados también señalaron que se tomen en cuenta las asambleas comunitarias para determinar a quienes les puedan representar como candidatos en procesos electorales. Se enfatizó que con ello se evitará que personas ajenas a las comunidades indígenas sean postuladas a cargo de elección popular, sin contar con esa representatividad real. El IEEH señala que las opiniones recabadas servirán como base para que el Consejo General defina los criterios de postulación de personas indígenas en las reglas para los comicios del siguiente año y, en su caso, la acción afirmativa que se aplicará para garantizar su representación.</t>
  </si>
  <si>
    <t>IEEH</t>
  </si>
  <si>
    <t>Acción afirmativa</t>
  </si>
  <si>
    <t>El Deportivo 11 de Julio, ubicado en el municipio de Mineral de la Reforma, fue parcialmente clausurado tras la muerte del réferi de lucha libre Gerardo Germán Pineda. Lo anterior, debido a presuntas omisiones relacionadas con las verificaciones y permisos para realizar este tipo de eventos. Autoridades señalaron que para llevar a cabo eventos como funciones de lucha libre se requieren permisos que deben tramitarse con al menos 15 días de anticipación, con el objetivo de que el municipio pueda revisar previamente las medidas de seguridad del inmueble y del espectáculo. La clausura fue realizada durante el miércoles 7 de octubre por Protección Civil municipal, luego de que, de acuerdo con los reportes, en dos ocasiones los encargados del inmueble no atendieron las verificaciones correspondientes. Las presuntas omisiones en este procedimiento derivaron en la clausura parcial del deportivo, que permanecerá bajo esta medida mientras se determinan las acciones correspondientes. El Deportivo 11 de Julio permanecerá parcialmente clausurado en tanto se revisan las condiciones del inmueble y las circunstancias relacionadas con la realización del evento. La clausura ocurrió un día después de la función “Deslealtades”, realizada en el mismo inmueble, donde perdió la vida el réferi Gerardo Germán Pineda, conocido como “El Búho”. Durante el encuentro entre El Hijo de Fishman y Máscara Sagrada NG, el réferi recibió varios castigos físicos y posteriormente se desvaneció sobre el ring. Paramédicos acudieron para brindarle atención; sin embargo, Gerardo Germán Pineda perdió la vida. Tras los hechos, El Hijo de Fishman fue detenido y quedó a disposición de la Procuraduría General de Justicia del Estado de Hidalgo, que inició las investigaciones correspondientes. La detención no implica que el luchador haya sido declarado responsable del fallecimiento del réferi, por lo que será el Ministerio Público quien determine su situación jurídica y, en su caso, la autoridad judicial correspondiente.</t>
  </si>
  <si>
    <t>En cabina Víctor Edwin Escamilla Lira, habló de sus valores, principios y trabajo que ha realizado a lo largo de su vida a favor su municipio, Santiago Tulantepec. Como docente, habla de la importancia del deporte y de mantener un diálogo con los estudiantes. Habla de las bondades del municipio y destaca la gestión social que realiza. Habla de sus aspiraciones a un cargo público en su municipio y destaca su compromiso con el partido (Morena) y el gobernador Julio Menchaca.</t>
  </si>
  <si>
    <t>La Comisión de Derechos Humanos del Estado de Hidalgo lleva la promoción, capacitación y defensa de los derechos humanos a los municipios de toda la entidad mediante la Ruta Hidalgo Inspira, una estrategia de presencia territorial que durante los últimos días llegó a Metepec y Acaxochitlán con actividades dirigidas a autoridades municipales e institucionales, así como educativas. El objetivo de Hidalgo Inspira es construir una relación cercana y permanente con las autoridades y comunidades generando compromisos que permitan incorporar la perspectiva de derechos humanos en el servicio público y acercando a la población herramientas para conocer y ejercer sus derechos. Durante el primer día de esta ruta, la presidenta de la Comisión de Derechos Humanos del Estado de Hidalgo, Ana Karen Parra Bonilla, sostuvo un encuentro con el presidente municipal de Metepec, Juan Antonio Franco Ortiz, en el que formalizó la firma de una carta compromiso por los derechos humanos mediante la cual el Ayuntamiento asume la responsabilidad de incorporar y fortalecer el enfoque de derechos humanos en el ejercicio de la función pública. En ese sentido, Ana Karen Parra Bonilla señaló: "Hidalgo Inspira es una idea muy sencilla pero profundamente importante: los derechos humanos tienen que estar cerca de las personas. No queremos que la comisión sea una institución que solamente se conozca cuando existe un problema. Queremos que esté presente antes para prevenir, para capacitar, para escuchar y para construir soluciones".</t>
  </si>
  <si>
    <t>CDHEH</t>
  </si>
  <si>
    <t>Julio Menchaca revisa proyectos para la construcción de viviendas en Hidalgo</t>
  </si>
  <si>
    <t>Ayer se abrió la convocatoria para coordinaciones municipales de los Comités de la Defensa de la Transformación y la Soberanía Nacional. Marco Rico, dirigente estatal de Morena, compartió un TikTok en el que aconsejó ser cuidadosos con este tema y recomendó que quienes deseen participar se inscriban solo a través de la página del partido y la página nacional. No se realizaron más declaraciones. También estaba con Cuauhtémoc Ochoa en el Senado, donde intercambiaron comentarios halagadores entre ellos.</t>
  </si>
  <si>
    <t>Andrés Torres comenta que no se ha podido resolver el problema de la salida al aire de la estación de Jacala en la frecuencia 91.1 FM. Los ingenieros revisaron la situación técnica y se necesita reemplazar parte del equipo que ya no funciona. Esto depende de los proveedores, lo que significa que habrá que esperar muchas semanas para que lleguen y se realicen los pagos necesarios por parte de las áreas administrativas "quelonias" de Radio y Televisión de Hidalgo. Asegura que en vez de realizar su trabajo, estas áreas nada más están acosando al personal y amedrentando y gritando. Señala: y ya saben, ¿no?, la otra ¿Cómo dice la otra transversalidad? ¿Cómo dice este tiranito? La transversalidad, ¿no? Por cierto, saludos ayer a mi tiranito que me me saludó muy efusivamente.</t>
  </si>
  <si>
    <t>Un estudio de opinión realizado por Mitofsky Ranking mide el nivel de aprobación de la presidenta de la República y de los gobernadores de los 32 estados en México. En esta encuesta Hidalgo ocupa el lugar 26, lo que ha generado confusión. La presidenta Claudia Sheinbaum tiene una aceptación del 80% en Hidalgo, mientras que el gobernador Julio Menchaca tiene un 60.9%. Aunque el lugar 26 puede parecer bajo, los resultados muestran que al observar la tabla desde otro ángulo, Hidalgo se posiciona en el segundo lugar a nivel nacional en cuanto a aceptación. En un contraste, en Jalisco, la presidenta tiene una aprobación de solo el 46%, mientras que su gobernador cuenta con un 59%. Este estudio indica que Julio Menchaca es el gobernador con el segundo mayor nivel de aceptación en el país, sólo superado por el gobernador de Querétaro, que tiene 61.8%. En cuanto a la presidenta, Claudia Sheinbaum, también se sitúa en segundo lugar a nivel nacional en aceptación. Este alto nivel de aprobación refleja un apoyo significativo de la población hacia los gobernantes de Hidalgo. El mensaje es claro al presentar que, a pesar de las críticas, los datos demuestran que los líderes tienen un alto nivel de apoyo en la entidad.</t>
  </si>
  <si>
    <t>Aprobación Gobernador</t>
  </si>
  <si>
    <t>Hoy tenemos visita presidencial, el gobernador Julio Menchaca será anfitrión de la presidenta de la República, Claudia Sheinbaum. Vamos a tener visita allá en el hospital del Seguro Social, del IMSS en la Vega de Metztitlán, y por supuesto pues habrá un recorrido. El gobernador tendrá una reunión por ahí de las 6 de la tarde con la presidenta Claudia Sheinbaum y esto va a ser aquí en Palacio de Gobierno aquí en Pachuca.</t>
  </si>
  <si>
    <t>La Subsecretaría de Protección Civil informa a la población que para este 9 de octubre de 2026 se prevén intervalos de chubascos de 5 a 25 milímetros en el estado. Asimismo se pronostican temperaturas de 0 a 5 grados con vientos de este a noroeste de 10 a 20 km/h con rachas de 30 a 40 km/h.</t>
  </si>
  <si>
    <t>La mañana de hoy viernes se presentó un bloqueo en el Boulevard Felipe Ángeles de Pachuca por parte del personal médico del Instituto Mexicano del Seguro Social La manifestación inició a la altura del Hospital General de Zona 36 del IMSS ubicado en la mencionada vía personal de esta dependencia cerró la circulación de uno de los carriles pero fueron interceptados por elementos de la policía municipal</t>
  </si>
  <si>
    <t>Protesta sindical</t>
  </si>
  <si>
    <t>Sigue el tema de Fishman, del Hijo de Fishman. Hoy se da a conocer que las autoridades ministeriales del Estado de Hidalgo otorgaron la libertad al gladiador, al luchador independiente conocido como 'El Hijo de Fishman', luego de permanecer retenido por su presunta implicación en el fallecimiento del réferi Gerardo Germán Pineda, acontecido durante la función de lucha libre allá en Mineral de la Reforma. La empresa 'El Patrón Espectáculos' confirmó a través de sus canales oficiales que la representación jurídica del Hijo de Fishman concretó un convenio con los deudos del juez sobre la lona, logrando su salida de los sellos de retención sin necesidad de extender el procedimiento judicial a instancias superiores.</t>
  </si>
  <si>
    <t>La Fiscalía General de la República destruyó más de mil objetos asegurados dentro de investigaciones por delitos federales durante una diligencia realizada en instalaciones de la zona militar y un corralón del municipio de aquí de Tula durante el procedimiento fueron incinerados 9 kilos 144 gramos y mil 223 piezas de narcóticos entre ellos marihuana cocaína y clorhidrato de metanfetamina también fueron destruidos seis vehículos calcinados y mil 186 objetos relacionados con actividades ilícitas del ámbito federal como contenedores, tambos, magueras, cable, mochilas y básculas.</t>
  </si>
  <si>
    <t>Destrucción de narcóticos</t>
  </si>
  <si>
    <t>Nos dimos a la tarea de investigar la legalidad del predio, si este predio de verdad está legal, cómo está el tema de quién es el dueño, esos detalles. Y le puedo confirmar hoy que sobre la legalidad del predio usado como panteón en la comunidad de La Cañada, en Atotonilco de Tula, Salvador Miranda Barreto, quien fuera síndico procurador durante la administración 2012-2016 que encabezó el doctor Edgar Reyes, dijo en Enfoque Regional que dicho predio se adquirió para ser destinado como panteón: «Pláticas que hubo con el delegado en ese tiempo, Mauricio Daniel, y el actual síndico hacendario, Jaime Celerino, hubo un convenio para que el terreno se negociara con él el pago de un adeudo predial. En base al avalúo catastral que resultara, se le pagara la diferencia en efectivo y dicho predio quedara a nombre del municipio con el uso de panteón municipal».</t>
  </si>
  <si>
    <t>A un año de las afectaciones por la vaguada monzónica, el Comisionado de Búsqueda del Estado de Hidalgo, Francisco García Reyes, aseguró que se busca con vida a las cinco personas desaparecidas tras este fenómeno.Las lluvias de la vaguada monzónica dejaron en un inicio 48 personas desaparecidas en el registro de la Comisión de Búsqueda. Sin embargo, tras la localización posterior, permanecen sin localizar cinco personas. Según el Comisionado de Búsqueda, son originarias de Tianguistengo: cuatro de ellas de la comunidad de Chapula y una de Tlacolula; los cuatro de Chapula tienen un parentesco.García Reyes mencionó que se tiene colaboración con el Estado de Veracruz en la búsqueda de las cinco personas. El Comisionado Estatal afirmó que todas las personas que tienen una ficha de búsqueda para su localización se buscan con presunción de vida, independientemente, dijo, si se generan con una desaparición que lleva varios años".</t>
  </si>
  <si>
    <t>Desde la madrugada de hoy empezó a llover aquí en Tula y en varios municipios cercanos a esta región. Sabemos también que en la Sierra está lloviendo, en Pachuca, en varios lugares sigue lloviendo aquí en el Estado de Hidalgo. Es por eso que el Secretario de Gobierno de Hidalgo, Guillermo Olivares Reyna, encabezó la mañana de hoy la sesión del Comité Estatal de Emergencias, donde se revisan las afectaciones provocadas por las lluvias y se coordinan las acciones de atención y auxilio para proteger a las familias hidalguenses.</t>
  </si>
  <si>
    <t>Comité de emergencias</t>
  </si>
  <si>
    <t>El gobernador Julio Menchaca Salazar sostuvo una reunión de trabajo con la directora general del Fondo de la Vivienda del ISSSTE (Fovissste), Jabnely Maldonado Meza, para revisar los proyectos habitacionales que el organismo federal prevé desarrollar en Hidalgo. Durante el encuentro, se presentó una proyección inicial de 6 mil viviendas para los derechohabientes del instituto durante la actual administración federal, así como las perspectivas de colaboración para ampliar las oportunidades de acceso a una vivienda digna en la entidad.</t>
  </si>
  <si>
    <t>Comento condutor Jesús Gonzalez “ Como le decía hace unos minutos, bueno, no hay confirmación de los municipios en los que va a estar la presidenta de México. Sin embargo, fuentes al interior del Gobierno de México confirmaron a un servidor que la presidenta ya se encuentra en Mestitlán, ya está en el IMSS-Bienestar de aquella región y también va a tener reuniones con directores de los hospitales del IMSS-Bienestar. Ahí sí no pudieron darme la información de dónde va a ser porque son eventos cerrados, no son eventos a puerta abierta, son eventos de supervisión administrativos donde la presidenta escucha las necesidades que existen en torno al sector salud</t>
  </si>
  <si>
    <t>La presidenta de México, Claudia Sheinbaum Pardo, anunció una gira de trabajo por el estado de Hidalgo enfocada en el sector salud. Esta visita forma parte de un recorrido que se extenderá hasta diciembre para inaugurar diversas obras de infraestructura, tales como carreteras, hospitales, escuelas y espacios deportivos. La mandataria detalló que su agenda contempla reuniones con directores de hospitales, coordinadores regionales y personal administrativo para escuchar sus problemáticas, supervisar centros de salud e impulsar la digitalización de los expedientes médicos, un proceso que ha enfrentado cierta resistencia por la adopción de las nuevas plataformas tecnológicas</t>
  </si>
  <si>
    <t>El gobierno de Julio Menchaca Salazar impulsa una visión de campo que apuesta por la diversificación productiva y el aprovechamiento de las capacidades de las familias rurales, como parte de una política pública que coloca nuevamente en el centro a las mujeres y hombres que trabajan y producen en las comunidades.En este marco, la Secretaría de Agricultura y Desarrollo Rural de Hidalgo (Saderh), encabezada por Napoleón González Pérez, destinó un millón 996 mil 739 pesos para fortalecer las actividades productivas de 316 familias de Pacula, Jacala, Nicolás Flores, Pisaflores y La Misión.</t>
  </si>
  <si>
    <t>Saderh</t>
  </si>
  <si>
    <t>Apoyo Al Agro</t>
  </si>
  <si>
    <t>Radioescucha Terminación 7774 dice: «Por favor, que pongan en cintura al transporte público, cobran lo que quieren, no ponen las tarifas..</t>
  </si>
  <si>
    <t>Tarifario de taxis</t>
  </si>
  <si>
    <t>Radioescucha una pregunta: ¿cuándo va a poner Transporte inspectores en las bases de taxis que revisen los precios? Y aparte, nadie trae la tarifa. ¿Qué pasa? Se necesita la mano dura de Transporte.</t>
  </si>
  <si>
    <t>Radioescucha dice: «Buenos días, licenciado. Para reportar a la unidad del taxi placas A-615-FUZ, que cobró del Arbolito a la oficina del Bienestar 70 pesotes. Por necesidad se tiene que ocupar el servicio de taxi diariamente, y otros han tenido mucha distancia y les cobran 60 pesos...». Sí, sí, no, es que ya se están pasando, le digo... Ese es el gran problema, que nos pasamos y luego le queremos echar la culpa a todos menos a nosotros. Ese es el gran problema. Y le repito, hay gente que hace su trabajo bien, sí, del transporte público, lo hace correctamente, pero bueno, ¿qué le digo? ¿Qué le digo?</t>
  </si>
  <si>
    <t>Radioescucha «Buen día, licenciado. En la colonia Venta Prieta solo la mitad de la colonia tiene agua, ya son varios días». ¡Ah! ¿Cómo no? Pues ahorita lo pasamos rápidamente. Aquí está la licenciada Paola García para que le dé el seguimiento correcto</t>
  </si>
  <si>
    <t>Radioescucha dice: «Muy buenos días. Ojalá me pudieran apoyar a reportar que hay una coladera abierta en la calle de Manuel Gutiérrez esquina con Delegación Agraria en la colonia Rojo Gómez».</t>
  </si>
  <si>
    <t>Alcantarillado</t>
  </si>
  <si>
    <t>Participación semanal de Mtro. Julio Valera con el tema: Día Mundial de la Salud Mental : En Hidalgo también dimos un paso importante. Durante mi participación como diputado de la LXV Legislatura, mi compañera, la diputada y doctora Vanessa Escalante Arroyo —hoy secretaria de Salud—, presentó la iniciativa de Ley de Salud Mental y Prevención del Suicidio para el Estado de Hidalgo, que aprobamos en junio de 2024 y fue publicada en agosto de ese mismo año.ta ley promueve una atención con respeto a la dignidad y los derechos humanos, fortalece la actuación de la comunidad y busca eliminar el estigma y la discriminación hacia las personas con problemas de salud mental. Y nosotros podemos empezar desde casa.</t>
  </si>
  <si>
    <t>Con el objetivo de fortalecer la detección oportuna del cáncer de mama, la Representación del Instituto de Seguridad y Servicios Sociales de los Trabajadores del Estado (ISSSTE) en Hidalgo invita a derechohabientes y población en general a participar en la Campaña Gratuita de Mastografías que se realizará durante octubre en la Clínica de Medicina Familiar con Especialidades (CMFE) “Pachuca”, en un horario de 07:00 a 13:00 horas.La mastografía es el estudio más eficaz para identificar de manera temprana alteraciones en las mamas, incluso antes de que existan síntomas, lo que incrementa significativamente las posibilidades de un tratamiento exitoso. La subdelegada médica del ISSSTE en Hidalgo, Consuelo Cabrera, destacó que la prevención continúa siendo la herramienta más efectiva para combatir esta enfermedad.</t>
  </si>
  <si>
    <t>Cáncer De Mama</t>
  </si>
  <si>
    <t>El Instituto Tecnológico Superior de Huichapan (ITESHU) desarrolla una investigación que aprovecha residuos del cogollo de maguey para obtener una película similar al mixiote natural, como alternativa que contribuya a la conservación de esta planta y al aprovechamiento sustentable de sus subproductos.</t>
  </si>
  <si>
    <t>Investigación académica</t>
  </si>
  <si>
    <t>Mineral de la Reforma se convirtió en el primer municipio de Hidalgo en incorporar formalmente la participación ciudadana en el proceso de actualización de su Atlas de Riesgos y/o Peligros, mediante talleres que buscan identificar las amenazas y vulnerabilidades presentes en colonias, fraccionamientos y comunidades.El presidente municipal, Eduardo Medécigo Rubio, explicó que el objetivo es integrar la experiencia y percepción de las y los habitantes en la elaboración de este documento técnico, a fin de identificar con mayor precisión las zonas de riesgo y contribuir a una mejor planeación del territorio.</t>
  </si>
  <si>
    <t>Atlas de Riesgos</t>
  </si>
  <si>
    <t>La Secretaría de Infraestructura Pública y Desarrollo Urbano Sostenible (SIPDUS) mantiene el monitoreo permanente para dar atención inmediata a las incidencias ocasionadas por las lluvias de los últimos días.El secretario Alejandro Sánchez García puntualizó que personal de la Residencia Regional de Metztitlán trasladó un cargador frontal propiedad del Centro Estatal de Maquinaria para el Desarrollo (CEMD) al municipio de Juárez Hidalgo, en donde, también con el apoyo de una retroexcavadora perteneciente al ayuntamiento, se atendió un derrumbe en la carretera estatal Juárez–San Lorenzo Itztacoyotla, que actualmente registra la apertura parcial.</t>
  </si>
  <si>
    <t>Como resultado de trabajos de inteligencia operativa, la Secretaría de Seguridad Pública de Hidalgo (SSPH) desmanteló tres predios presuntamente utilizados para la venta y distribución de posibles narcóticos en Huasca de Ocampo y Pachuca, donde fueron aseguradas 3 mil 790 dosis, además de vehículos, cartuchos y diversos objetos</t>
  </si>
  <si>
    <t>Con 346 personas localizadas de 371 reportes iniciados entre enero y septiembre de este año, Hidalgo alcanzó una efectividad del 93.26 por ciento en la localización de personas, informó la Comisión de Búsqueda de Personas del Estado de Hidalgo (CBPEH) durante la Tercera Sesión Ordinaria del Sistema de Búsqueda de Personas 2026.</t>
  </si>
  <si>
    <t>SIPDUS: Tarjeta informativa respecto a las actividades de atención a los caminos y carreteras del estado</t>
  </si>
  <si>
    <t>Se informa sobre una jornada de protestas pacíficas llevada a cabo por personal médico, enfermeras, camilleros y trabajadores del Instituto Mexicano del Seguro Social (IMSS) en diferentes regiones del país, incluyendo la capital hidalguense. Los manifestantes denuncian el acoso laboral por parte de directivos, la saturación crítica en las salas de urgencias —donde los pacientes a veces deben esperar en sillas debido a la falta de camillas— y la carencia general de recursos e insumos médicos. Ante esta situación, exigen un incremento salarial del 10% para todas las categorías, la reintegración del régimen de jubilaciones y pensiones, así como una respuesta favorable a sus pliegos petitorios para garantizar una atención digna a la ciudadanía. Las protestas se han mantenido firmes a pesar de las condiciones climatológicas adversas hasta que sus demandas sean escuchadas.</t>
  </si>
  <si>
    <t>Se abordó la situación de la presa La Esperanza y el comandante Jesús García Ávila confirmó que no existe riesgo de inundación, ya que la presa cuenta con un vertido natural del agua que fluye hacia los canales correspondientes sin representar peligro para la población. Asimismo, se destacó que, aunque la temporada de lluvias lleva un par de meses activa, los impactos de los fenómenos meteorológicos apenas comienzan a sentirse, por lo que es importante mantenerse preparados.</t>
  </si>
  <si>
    <t>Monitoreo De Presas</t>
  </si>
  <si>
    <t>Entrevista vía telefónica Jabnely Maldonado Meza, vocal ejecutiva de Fovissste, destacó la reciente entrega de 500 constancias de finiquito en Actopan, Hidalgo, como parte de los esfuerzos de la institución para liberar a los trabajadores de deudas acumuladas y brindarles certeza jurídica sobre su patrimonio. Asimismo, la funcionaria informó sobre el lanzamiento de una campaña nacional de actualización de datos, la reestructuración de créditos de UMAS a pesos y el regreso del Fovissste a la construcción directa de vivienda social en el marco del programa "Vivienda para el Bienestar", el cual busca garantizar hogares dignos, con servicios y de al menos 60 metros cuadrados para familias de bajos ingresos</t>
  </si>
  <si>
    <t>Un motociclista de 26 años de edad perdió la vida y su acompañante resultó lesionada tras sufrir un accidente en la comunidad de Capula, en el municipio de Ixmiquilpan, luego de que la motocicleta en la que viajaban fuera presuntamente impactada por un automóvil cuyos tripulantes huyeron del lugar. Al sitio arribaron paramédicos y elementos de seguridad, quienes confirmaron el deceso del joven y trasladaron a la mujer para recibir atención médica, mientras se implementaba un operativo de búsqueda para dar con el responsable</t>
  </si>
  <si>
    <t>Accidente Vial</t>
  </si>
  <si>
    <t>SSPH asegura cerca de 4 mil dosis de presunta droga y detiene a tres personas</t>
  </si>
  <si>
    <t>En su intervención, David cárdenas reflexionó sobre la necesidad de modificar la cultura de la corrupción arraigada en el país, señalando que prácticas como violar las normas viales bajo pretextos absurdos reflejan un problema profundo que debe combatirse desde las instituciones y mediante el compromiso de los ciudadanos y trabajadores. Asimismo, criticó la actitud común de buscar atajos o justificaciones para actuar indebidamente en la vida cotidiana, lo anterior, al dar lectura al boletín de Contraloría.</t>
  </si>
  <si>
    <t>Fortalecimiento de valores</t>
  </si>
  <si>
    <t>Llega a Hidalgo el Rally “Corrupción Cero”: impulsa entre estudiantes valores de honestidad y transparencia</t>
  </si>
  <si>
    <t>Hidalgo apuesta por diversificar el campo y fortalecer la economía de las familias rurales en la Sierra Gorda</t>
  </si>
  <si>
    <t>En relación con las acciones de salud, la secretaria Vanesa Escalante Arroyo destacó el trabajo realizado a ras de piso en las comunidades con los tamizajes cardíacos, señalando que el objetivo principal es salvar la vida de los niños mediante la detección temprana de cardiopatías. Asimismo, indicó que se busca ampliar el apoyo para beneficiar a más familias y atender necesidades prioritarias como la provisión de aparatos auditivos para adultos mayores en situaciones precarias.</t>
  </si>
  <si>
    <t>Tamiz neonatal</t>
  </si>
  <si>
    <t>Gobierno de Hidalgo fortalece la detección oportuna de cardiopatías en recién nacidos</t>
  </si>
  <si>
    <t>Tras un intenso proceso judicial de nueve horas, tres personas fueron declaradas culpables por el delito de feminicidio y homicidio en relación con el triple feminicidio ocurrido en Santiago Tulantepec. El Tribunal Colegiado determinó la culpabilidad de los acusados —quienes incluyen a un autor intelectual y dos ejecutores materiales, entre ellos una mujer—, destacando que el caso fue juzgado con perspectiva de género. Aunque la defensa de las víctimas apelará para que a todos se les tipifique el delito de feminicidio, el próximo 14 de octubre iniciará la fase de individualización de sanciones y la audiencia para la emisión de sentencias definitivas, así lo informó el periodista Octavio Jaimes en entrevista.</t>
  </si>
  <si>
    <t>TSJEH</t>
  </si>
  <si>
    <t>Proceso Por Feminicidio</t>
  </si>
  <si>
    <t>Investigación de la UTEC será publicada en revista internacional</t>
  </si>
  <si>
    <t>Publicación académica</t>
  </si>
  <si>
    <t>En el espacio deportivo, el colaborador Gustavo Rosales abordó diversos temas de relevancia nacional e internacional. Entre ellos, destacó la reciente liberación del hijo de Fichman tras concretar un acuerdo reparatorio con la familia del réferi fallecido conocido como "El Búho", aclarando además la confusión con Fichman Junior, quien se encontraba cumpliendo compromisos en Chiapas.</t>
  </si>
  <si>
    <t>Entrevista vía telefónica, el notario Pedro Luis Noble Monterrubio, presidente del Colegio de Notarios del Estado de Hidalgo, destacó la reciente visita de José Luis Leal Campos, candidato a la dirigencia nacional del Colegio Nacional del Notariado Mexicano, abordando temas de cumplimiento normativo y la futura implementación de la actuación digital notarial en la entidad tras la publicación de la nueva ley en la materia. Asimismo, señaló que continúan las acciones del mes del testamento, extendiendo beneficios especiales con costos reducidos en favor de elementos de seguridad pública, protección civil y corporaciones de auxilio hasta el mes de diciembre.</t>
  </si>
  <si>
    <t>Locutor Jesús Riveros da lectura a comentario de radioescucha que señala: Buen día, señor Riveros, con el gusto de saludarlo a usted. Mi opinión es la siguiente, referente a la reforma aprobada por la Cámara de Diputados, dice que ha sido un error de los diputados de Hidalgo haber aprobado esta reforma, lo único que faltaba, otra más, que permite que los presidentes municipales tengan, dice por acá, la chequera abierta a su gusto y pues así se pueden hacer de los recursos del municipio. Imagínense, con esta reforma tendrán carteras abiertas, están en los cabildos de cada municipio, en que no aprueben esta reforma a modo. Saludos, señor Riveros, buen día. Locutor Jesús Riveros responde, saludos, muchas gracias, sí, esta reforma que que ha dado mucho de qué hablar, está obviamente ha generado polémica precisamente por lo que pueda suceder, la libertad que puedan tener los alcaldes para establecer contratos sin la aprobación de sus respectivos ayuntamientos.</t>
  </si>
  <si>
    <t>El hijo de Fichman obtuvo su libertad tras concretar un acuerdo reparatorio y el pago por la reparación del daño con los deudos del réferi Gerardo Germán, conocido como "El Búho", quien falleció tras un evento de lucha libre ocurrido el pasado martes 6 de octubre. La firma legal Magallanes Reyes y Asociados, que representa al implicado, informó mediante un comunicado que, tras cumplir el plazo legal de 48 horas, se logró evitar la judicialización del caso a instancias superiores, concluyendo la custodia del deportista por parte del Ministerio Público y permitiendo su reincorporación a sus actividades.</t>
  </si>
  <si>
    <t>POSITIVA GOBERNADOR_ Visita Sheinbaum_Hidalgo: En relación con los anuncios de la presidenta sobre sus visitas a hospitales, nosocomios y centros de salud, se destacó la importancia de que el personal y la ciudadanía tengan la apertura real para informar a las autoridades sobre las carencias existentes sin filtros que busquen maquillar la situación. Asimismo, se recalcó que la dinámica de trabajo impulsada por el gobernador Julio Menchaca prioriza la presencia directa en el territorio para escuchar de primera mano tanto a la parte operativa como a la ciudadanía.</t>
  </si>
  <si>
    <t>En relación con los anuncios de la presidenta sobre sus visitas a hospitales, nosocomios y centros de salud, se destacó la importancia de que el personal y la ciudadanía tengan la apertura real para informar a las autoridades sobre las carencias existentes sin filtros que busquen maquillar la situación. Asimismo, se recalcó que la dinámica de trabajo impulsada por el gobernador Julio Menchaca prioriza la presencia directa en el territorio para escuchar de primera mano tanto a la parte operativa como a la ciudadanía.</t>
  </si>
  <si>
    <t>día de ayer, en el municipio de Apan, Hidalgo, se llevó a cabo un evento encabezado por el gobernador Julio Menchaca Salazar y la vocal ejecutiva del Fovissste, Jabnely Maldonado Meza, en el que se entregaron 558 constancias de finiquito correspondientes a la condonación de más de 500 créditos de vivienda. Durante el acto, enmarcado en el programa de vivienda para el bienestar del Gobierno Federal, se destacó la importancia de restituir el derecho a la vivienda adecuada y reconstruir el vínculo con los acreditados. Asimismo, se dio a conocer una proyección inicial de 6,000 viviendas para los derechohabientes del instituto en la entidad durante la actual administración federal, informó David Cárdenas durante su colaboración matutina.</t>
  </si>
  <si>
    <t>La presidenta de México, Claudia Sheinbaum Pardo, anunció una gira de trabajo por el estado de Hidalgo enfocada en el sector salud. Esta visita forma parte de un recorrido que se extenderá hasta diciembre para inaugurar diversas obras de infraestructura, tales como carreteras, hospitales, escuelas y espacios deportivos. La mandataria detalló que su agenda contempla reuniones con directores de hospitales, coordinadores regionales y personal administrativo para escuchar sus problemáticas, supervisar centros de salud e impulsar la digitalización de los expedientes médicos, un proceso que ha enfrentado cierta resistencia por la adopción de las nuevas plataformas tecnológicas. Asimismo, indicó que este fin de semana las actividades de supervisión abarcarán tanto al estado de Hidalgo como al Estado de México.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</si>
</sst>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60" tableType="queryTable" totalsRowShown="0">
  <autoFilter ref="A1:M160"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60"/>
  <sheetViews>
    <sheetView tabSelected="1" topLeftCell="A160" workbookViewId="0">
      <selection activeCell="A160" sqref="A160"/>
    </sheetView>
  </sheetViews>
  <sheetFormatPr baseColWidth="10" defaultRowHeight="15" x14ac:dyDescent="0.25"/>
  <cols>
    <col min="1" max="1" width="8.5703125" bestFit="1" customWidth="1"/>
    <col min="2" max="2" width="11.42578125" bestFit="1" customWidth="1"/>
    <col min="3" max="3" width="20" bestFit="1" customWidth="1"/>
    <col min="4" max="4" width="29.42578125" bestFit="1" customWidth="1"/>
    <col min="5" max="5" width="81.140625" bestFit="1" customWidth="1"/>
    <col min="6" max="6" width="15.28515625" bestFit="1" customWidth="1"/>
    <col min="7" max="7" width="30.85546875" bestFit="1" customWidth="1"/>
    <col min="8" max="9" width="12.425781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30</v>
      </c>
    </row>
    <row r="2" spans="1:13" x14ac:dyDescent="0.25">
      <c r="A2" s="2">
        <v>46303</v>
      </c>
      <c r="B2" s="1" t="str">
        <f ca="1">IF(Información1[[#This Row],[Fecha]]='Ajuste de fechas'!$A$2,"Día actual","Día anterior")</f>
        <v>Día anterior</v>
      </c>
      <c r="C2" t="s">
        <v>57</v>
      </c>
      <c r="D2" t="s">
        <v>58</v>
      </c>
      <c r="E2" t="s">
        <v>105</v>
      </c>
      <c r="F2" t="s">
        <v>13</v>
      </c>
      <c r="G2" t="s">
        <v>106</v>
      </c>
      <c r="H2" t="s">
        <v>37</v>
      </c>
      <c r="I2" t="s">
        <v>7</v>
      </c>
      <c r="J2" t="s">
        <v>28</v>
      </c>
      <c r="K2" t="s">
        <v>59</v>
      </c>
      <c r="L2" t="s">
        <v>25</v>
      </c>
      <c r="M2">
        <v>1</v>
      </c>
    </row>
    <row r="3" spans="1:13" x14ac:dyDescent="0.25">
      <c r="A3" s="2">
        <v>46303</v>
      </c>
      <c r="B3" s="1" t="str">
        <f ca="1">IF(Información1[[#This Row],[Fecha]]='Ajuste de fechas'!$A$2,"Día actual","Día anterior")</f>
        <v>Día anterior</v>
      </c>
      <c r="C3" t="s">
        <v>57</v>
      </c>
      <c r="D3" t="s">
        <v>58</v>
      </c>
      <c r="E3" t="s">
        <v>107</v>
      </c>
      <c r="F3" t="s">
        <v>13</v>
      </c>
      <c r="G3" t="s">
        <v>60</v>
      </c>
      <c r="H3" t="s">
        <v>37</v>
      </c>
      <c r="I3" t="s">
        <v>7</v>
      </c>
      <c r="J3" t="s">
        <v>28</v>
      </c>
      <c r="K3" t="s">
        <v>85</v>
      </c>
      <c r="L3" t="s">
        <v>25</v>
      </c>
      <c r="M3">
        <v>1</v>
      </c>
    </row>
    <row r="4" spans="1:13" x14ac:dyDescent="0.25">
      <c r="A4" s="2">
        <v>46303</v>
      </c>
      <c r="B4" s="1" t="str">
        <f ca="1">IF(Información1[[#This Row],[Fecha]]='Ajuste de fechas'!$A$2,"Día actual","Día anterior")</f>
        <v>Día anterior</v>
      </c>
      <c r="C4" t="s">
        <v>57</v>
      </c>
      <c r="D4" t="s">
        <v>58</v>
      </c>
      <c r="E4" t="s">
        <v>108</v>
      </c>
      <c r="F4" t="s">
        <v>42</v>
      </c>
      <c r="G4" t="s">
        <v>109</v>
      </c>
      <c r="H4" t="s">
        <v>37</v>
      </c>
      <c r="I4" t="s">
        <v>7</v>
      </c>
      <c r="J4" t="s">
        <v>24</v>
      </c>
      <c r="K4" t="s">
        <v>59</v>
      </c>
      <c r="L4" t="s">
        <v>25</v>
      </c>
      <c r="M4">
        <v>1</v>
      </c>
    </row>
    <row r="5" spans="1:13" x14ac:dyDescent="0.25">
      <c r="A5" s="2">
        <v>46303</v>
      </c>
      <c r="B5" s="1" t="str">
        <f ca="1">IF(Información1[[#This Row],[Fecha]]='Ajuste de fechas'!$A$2,"Día actual","Día anterior")</f>
        <v>Día anterior</v>
      </c>
      <c r="C5" t="s">
        <v>57</v>
      </c>
      <c r="D5" t="s">
        <v>58</v>
      </c>
      <c r="E5" t="s">
        <v>110</v>
      </c>
      <c r="F5" t="s">
        <v>6</v>
      </c>
      <c r="G5" t="s">
        <v>106</v>
      </c>
      <c r="H5" t="s">
        <v>37</v>
      </c>
      <c r="I5" t="s">
        <v>7</v>
      </c>
      <c r="J5" t="s">
        <v>24</v>
      </c>
      <c r="K5" t="s">
        <v>59</v>
      </c>
      <c r="L5" t="s">
        <v>25</v>
      </c>
      <c r="M5">
        <v>1</v>
      </c>
    </row>
    <row r="6" spans="1:13" x14ac:dyDescent="0.25">
      <c r="A6" s="2">
        <v>46303</v>
      </c>
      <c r="B6" s="1" t="str">
        <f ca="1">IF(Información1[[#This Row],[Fecha]]='Ajuste de fechas'!$A$2,"Día actual","Día anterior")</f>
        <v>Día anterior</v>
      </c>
      <c r="C6" t="s">
        <v>57</v>
      </c>
      <c r="D6" t="s">
        <v>58</v>
      </c>
      <c r="E6" t="s">
        <v>111</v>
      </c>
      <c r="F6" t="s">
        <v>87</v>
      </c>
      <c r="G6" t="s">
        <v>66</v>
      </c>
      <c r="H6" t="s">
        <v>37</v>
      </c>
      <c r="I6" t="s">
        <v>7</v>
      </c>
      <c r="J6" t="s">
        <v>24</v>
      </c>
      <c r="K6" t="s">
        <v>59</v>
      </c>
      <c r="L6" t="s">
        <v>27</v>
      </c>
      <c r="M6">
        <v>1</v>
      </c>
    </row>
    <row r="7" spans="1:13" x14ac:dyDescent="0.25">
      <c r="A7" s="2">
        <v>46303</v>
      </c>
      <c r="B7" s="1" t="str">
        <f ca="1">IF(Información1[[#This Row],[Fecha]]='Ajuste de fechas'!$A$2,"Día actual","Día anterior")</f>
        <v>Día anterior</v>
      </c>
      <c r="C7" t="s">
        <v>57</v>
      </c>
      <c r="D7" t="s">
        <v>58</v>
      </c>
      <c r="E7" t="s">
        <v>112</v>
      </c>
      <c r="F7" t="s">
        <v>13</v>
      </c>
      <c r="G7" t="s">
        <v>86</v>
      </c>
      <c r="H7" t="s">
        <v>37</v>
      </c>
      <c r="I7" t="s">
        <v>7</v>
      </c>
      <c r="J7" t="s">
        <v>28</v>
      </c>
      <c r="K7" t="s">
        <v>59</v>
      </c>
      <c r="L7" t="s">
        <v>25</v>
      </c>
      <c r="M7">
        <v>1</v>
      </c>
    </row>
    <row r="8" spans="1:13" x14ac:dyDescent="0.25">
      <c r="A8" s="2">
        <v>46303</v>
      </c>
      <c r="B8" s="1" t="str">
        <f ca="1">IF(Información1[[#This Row],[Fecha]]='Ajuste de fechas'!$A$2,"Día actual","Día anterior")</f>
        <v>Día anterior</v>
      </c>
      <c r="C8" t="s">
        <v>57</v>
      </c>
      <c r="D8" t="s">
        <v>58</v>
      </c>
      <c r="E8" t="s">
        <v>113</v>
      </c>
      <c r="F8" t="s">
        <v>13</v>
      </c>
      <c r="G8" t="s">
        <v>80</v>
      </c>
      <c r="H8" t="s">
        <v>37</v>
      </c>
      <c r="I8" t="s">
        <v>7</v>
      </c>
      <c r="J8" t="s">
        <v>28</v>
      </c>
      <c r="K8" t="s">
        <v>59</v>
      </c>
      <c r="L8" t="s">
        <v>25</v>
      </c>
      <c r="M8">
        <v>1</v>
      </c>
    </row>
    <row r="9" spans="1:13" x14ac:dyDescent="0.25">
      <c r="A9" s="2">
        <v>46303</v>
      </c>
      <c r="B9" s="1" t="str">
        <f ca="1">IF(Información1[[#This Row],[Fecha]]='Ajuste de fechas'!$A$2,"Día actual","Día anterior")</f>
        <v>Día anterior</v>
      </c>
      <c r="C9" t="s">
        <v>57</v>
      </c>
      <c r="D9" t="s">
        <v>58</v>
      </c>
      <c r="E9" t="s">
        <v>114</v>
      </c>
      <c r="F9" t="s">
        <v>13</v>
      </c>
      <c r="G9" t="s">
        <v>80</v>
      </c>
      <c r="H9" t="s">
        <v>37</v>
      </c>
      <c r="I9" t="s">
        <v>7</v>
      </c>
      <c r="J9" t="s">
        <v>28</v>
      </c>
      <c r="K9" t="s">
        <v>85</v>
      </c>
      <c r="L9" t="s">
        <v>25</v>
      </c>
      <c r="M9">
        <v>1</v>
      </c>
    </row>
    <row r="10" spans="1:13" x14ac:dyDescent="0.25">
      <c r="A10" s="2">
        <v>46303</v>
      </c>
      <c r="B10" s="1" t="str">
        <f ca="1">IF(Información1[[#This Row],[Fecha]]='Ajuste de fechas'!$A$2,"Día actual","Día anterior")</f>
        <v>Día anterior</v>
      </c>
      <c r="C10" t="s">
        <v>57</v>
      </c>
      <c r="D10" t="s">
        <v>58</v>
      </c>
      <c r="E10" t="s">
        <v>115</v>
      </c>
      <c r="F10" t="s">
        <v>13</v>
      </c>
      <c r="G10" t="s">
        <v>116</v>
      </c>
      <c r="H10" t="s">
        <v>37</v>
      </c>
      <c r="I10" t="s">
        <v>7</v>
      </c>
      <c r="J10" t="s">
        <v>28</v>
      </c>
      <c r="K10" t="s">
        <v>59</v>
      </c>
      <c r="L10" t="s">
        <v>25</v>
      </c>
      <c r="M10">
        <v>1</v>
      </c>
    </row>
    <row r="11" spans="1:13" x14ac:dyDescent="0.25">
      <c r="A11" s="2">
        <v>46303</v>
      </c>
      <c r="B11" s="1" t="str">
        <f ca="1">IF(Información1[[#This Row],[Fecha]]='Ajuste de fechas'!$A$2,"Día actual","Día anterior")</f>
        <v>Día anterior</v>
      </c>
      <c r="C11" t="s">
        <v>57</v>
      </c>
      <c r="D11" t="s">
        <v>58</v>
      </c>
      <c r="E11" t="s">
        <v>117</v>
      </c>
      <c r="F11" t="s">
        <v>51</v>
      </c>
      <c r="G11" t="s">
        <v>56</v>
      </c>
      <c r="H11" t="s">
        <v>37</v>
      </c>
      <c r="I11" t="s">
        <v>7</v>
      </c>
      <c r="J11" t="s">
        <v>53</v>
      </c>
      <c r="K11" t="s">
        <v>85</v>
      </c>
      <c r="L11" t="s">
        <v>25</v>
      </c>
      <c r="M11">
        <v>1</v>
      </c>
    </row>
    <row r="12" spans="1:13" x14ac:dyDescent="0.25">
      <c r="A12" s="2">
        <v>46303</v>
      </c>
      <c r="B12" s="1" t="str">
        <f ca="1">IF(Información1[[#This Row],[Fecha]]='Ajuste de fechas'!$A$2,"Día actual","Día anterior")</f>
        <v>Día anterior</v>
      </c>
      <c r="C12" t="s">
        <v>57</v>
      </c>
      <c r="D12" t="s">
        <v>58</v>
      </c>
      <c r="E12" t="s">
        <v>118</v>
      </c>
      <c r="F12" t="s">
        <v>119</v>
      </c>
      <c r="G12" t="s">
        <v>103</v>
      </c>
      <c r="H12" t="s">
        <v>37</v>
      </c>
      <c r="I12" t="s">
        <v>7</v>
      </c>
      <c r="J12" t="s">
        <v>24</v>
      </c>
      <c r="K12" t="s">
        <v>59</v>
      </c>
      <c r="L12" t="s">
        <v>25</v>
      </c>
      <c r="M12">
        <v>1</v>
      </c>
    </row>
    <row r="13" spans="1:13" x14ac:dyDescent="0.25">
      <c r="A13" s="2">
        <v>46303</v>
      </c>
      <c r="B13" s="1" t="str">
        <f ca="1">IF(Información1[[#This Row],[Fecha]]='Ajuste de fechas'!$A$2,"Día actual","Día anterior")</f>
        <v>Día anterior</v>
      </c>
      <c r="C13" t="s">
        <v>57</v>
      </c>
      <c r="D13" t="s">
        <v>58</v>
      </c>
      <c r="E13" t="s">
        <v>120</v>
      </c>
      <c r="F13" t="s">
        <v>33</v>
      </c>
      <c r="G13" t="s">
        <v>121</v>
      </c>
      <c r="H13" t="s">
        <v>37</v>
      </c>
      <c r="I13" t="s">
        <v>7</v>
      </c>
      <c r="J13" t="s">
        <v>16</v>
      </c>
      <c r="K13" t="s">
        <v>85</v>
      </c>
      <c r="L13" t="s">
        <v>25</v>
      </c>
      <c r="M13">
        <v>1</v>
      </c>
    </row>
    <row r="14" spans="1:13" x14ac:dyDescent="0.25">
      <c r="A14" s="2">
        <v>46303</v>
      </c>
      <c r="B14" s="1" t="str">
        <f ca="1">IF(Información1[[#This Row],[Fecha]]='Ajuste de fechas'!$A$2,"Día actual","Día anterior")</f>
        <v>Día anterior</v>
      </c>
      <c r="C14" t="s">
        <v>57</v>
      </c>
      <c r="D14" t="s">
        <v>58</v>
      </c>
      <c r="E14" t="s">
        <v>122</v>
      </c>
      <c r="F14" t="s">
        <v>33</v>
      </c>
      <c r="G14" t="s">
        <v>121</v>
      </c>
      <c r="H14" t="s">
        <v>37</v>
      </c>
      <c r="I14" t="s">
        <v>17</v>
      </c>
      <c r="J14" t="s">
        <v>16</v>
      </c>
      <c r="K14" t="s">
        <v>59</v>
      </c>
      <c r="L14" t="s">
        <v>26</v>
      </c>
      <c r="M14">
        <v>1</v>
      </c>
    </row>
    <row r="15" spans="1:13" x14ac:dyDescent="0.25">
      <c r="A15" s="2">
        <v>46303</v>
      </c>
      <c r="B15" s="1" t="str">
        <f ca="1">IF(Información1[[#This Row],[Fecha]]='Ajuste de fechas'!$A$2,"Día actual","Día anterior")</f>
        <v>Día anterior</v>
      </c>
      <c r="C15" t="s">
        <v>57</v>
      </c>
      <c r="D15" t="s">
        <v>58</v>
      </c>
      <c r="E15" t="s">
        <v>123</v>
      </c>
      <c r="F15" t="s">
        <v>33</v>
      </c>
      <c r="G15" t="s">
        <v>101</v>
      </c>
      <c r="H15" t="s">
        <v>37</v>
      </c>
      <c r="I15" t="s">
        <v>7</v>
      </c>
      <c r="J15" t="s">
        <v>16</v>
      </c>
      <c r="K15" t="s">
        <v>59</v>
      </c>
      <c r="L15" t="s">
        <v>25</v>
      </c>
      <c r="M15">
        <v>1</v>
      </c>
    </row>
    <row r="16" spans="1:13" x14ac:dyDescent="0.25">
      <c r="A16" s="2">
        <v>46303</v>
      </c>
      <c r="B16" s="1" t="str">
        <f ca="1">IF(Información1[[#This Row],[Fecha]]='Ajuste de fechas'!$A$2,"Día actual","Día anterior")</f>
        <v>Día anterior</v>
      </c>
      <c r="C16" t="s">
        <v>57</v>
      </c>
      <c r="D16" t="s">
        <v>58</v>
      </c>
      <c r="E16" t="s">
        <v>124</v>
      </c>
      <c r="F16" t="s">
        <v>13</v>
      </c>
      <c r="G16" t="s">
        <v>125</v>
      </c>
      <c r="H16" t="s">
        <v>37</v>
      </c>
      <c r="I16" t="s">
        <v>17</v>
      </c>
      <c r="J16" t="s">
        <v>28</v>
      </c>
      <c r="K16" t="s">
        <v>85</v>
      </c>
      <c r="L16" t="s">
        <v>25</v>
      </c>
      <c r="M16">
        <v>1</v>
      </c>
    </row>
    <row r="17" spans="1:13" x14ac:dyDescent="0.25">
      <c r="A17" s="2">
        <v>46303</v>
      </c>
      <c r="B17" s="1" t="str">
        <f ca="1">IF(Información1[[#This Row],[Fecha]]='Ajuste de fechas'!$A$2,"Día actual","Día anterior")</f>
        <v>Día anterior</v>
      </c>
      <c r="C17" t="s">
        <v>57</v>
      </c>
      <c r="D17" t="s">
        <v>58</v>
      </c>
      <c r="E17" t="s">
        <v>126</v>
      </c>
      <c r="F17" t="s">
        <v>127</v>
      </c>
      <c r="G17" t="s">
        <v>128</v>
      </c>
      <c r="H17" t="s">
        <v>37</v>
      </c>
      <c r="I17" t="s">
        <v>7</v>
      </c>
      <c r="J17" t="s">
        <v>24</v>
      </c>
      <c r="K17" t="s">
        <v>59</v>
      </c>
      <c r="L17" t="s">
        <v>27</v>
      </c>
      <c r="M17">
        <v>1</v>
      </c>
    </row>
    <row r="18" spans="1:13" x14ac:dyDescent="0.25">
      <c r="A18" s="2">
        <v>46303</v>
      </c>
      <c r="B18" s="1" t="str">
        <f ca="1">IF(Información1[[#This Row],[Fecha]]='Ajuste de fechas'!$A$2,"Día actual","Día anterior")</f>
        <v>Día anterior</v>
      </c>
      <c r="C18" t="s">
        <v>57</v>
      </c>
      <c r="D18" t="s">
        <v>58</v>
      </c>
      <c r="E18" t="s">
        <v>129</v>
      </c>
      <c r="F18" t="s">
        <v>89</v>
      </c>
      <c r="G18" t="s">
        <v>130</v>
      </c>
      <c r="H18" t="s">
        <v>37</v>
      </c>
      <c r="I18" t="s">
        <v>7</v>
      </c>
      <c r="J18" t="s">
        <v>24</v>
      </c>
      <c r="K18" t="s">
        <v>59</v>
      </c>
      <c r="L18" t="s">
        <v>25</v>
      </c>
      <c r="M18">
        <v>1</v>
      </c>
    </row>
    <row r="19" spans="1:13" x14ac:dyDescent="0.25">
      <c r="A19" s="2">
        <v>46303</v>
      </c>
      <c r="B19" s="1" t="str">
        <f ca="1">IF(Información1[[#This Row],[Fecha]]='Ajuste de fechas'!$A$2,"Día actual","Día anterior")</f>
        <v>Día anterior</v>
      </c>
      <c r="C19" t="s">
        <v>57</v>
      </c>
      <c r="D19" t="s">
        <v>58</v>
      </c>
      <c r="E19" t="s">
        <v>131</v>
      </c>
      <c r="F19" t="s">
        <v>13</v>
      </c>
      <c r="G19" t="s">
        <v>132</v>
      </c>
      <c r="H19" t="s">
        <v>37</v>
      </c>
      <c r="I19" t="s">
        <v>7</v>
      </c>
      <c r="J19" t="s">
        <v>28</v>
      </c>
      <c r="K19" t="s">
        <v>59</v>
      </c>
      <c r="L19" t="s">
        <v>25</v>
      </c>
      <c r="M19">
        <v>1</v>
      </c>
    </row>
    <row r="20" spans="1:13" x14ac:dyDescent="0.25">
      <c r="A20" s="2">
        <v>46303</v>
      </c>
      <c r="B20" s="1" t="str">
        <f ca="1">IF(Información1[[#This Row],[Fecha]]='Ajuste de fechas'!$A$2,"Día actual","Día anterior")</f>
        <v>Día anterior</v>
      </c>
      <c r="C20" t="s">
        <v>57</v>
      </c>
      <c r="D20" t="s">
        <v>58</v>
      </c>
      <c r="E20" t="s">
        <v>133</v>
      </c>
      <c r="F20" t="s">
        <v>13</v>
      </c>
      <c r="G20" t="s">
        <v>134</v>
      </c>
      <c r="H20" t="s">
        <v>37</v>
      </c>
      <c r="I20" t="s">
        <v>7</v>
      </c>
      <c r="J20" t="s">
        <v>28</v>
      </c>
      <c r="K20" t="s">
        <v>85</v>
      </c>
      <c r="L20" t="s">
        <v>25</v>
      </c>
      <c r="M20">
        <v>1</v>
      </c>
    </row>
    <row r="21" spans="1:13" x14ac:dyDescent="0.25">
      <c r="A21" s="2">
        <v>46303</v>
      </c>
      <c r="B21" s="1" t="str">
        <f ca="1">IF(Información1[[#This Row],[Fecha]]='Ajuste de fechas'!$A$2,"Día actual","Día anterior")</f>
        <v>Día anterior</v>
      </c>
      <c r="C21" t="s">
        <v>57</v>
      </c>
      <c r="D21" t="s">
        <v>58</v>
      </c>
      <c r="E21" t="s">
        <v>77</v>
      </c>
      <c r="F21" t="s">
        <v>13</v>
      </c>
      <c r="G21" t="s">
        <v>60</v>
      </c>
      <c r="H21" t="s">
        <v>37</v>
      </c>
      <c r="I21" t="s">
        <v>7</v>
      </c>
      <c r="J21" t="s">
        <v>28</v>
      </c>
      <c r="K21" t="s">
        <v>64</v>
      </c>
      <c r="L21" t="s">
        <v>65</v>
      </c>
      <c r="M21">
        <v>1</v>
      </c>
    </row>
    <row r="22" spans="1:13" x14ac:dyDescent="0.25">
      <c r="A22" s="2">
        <v>46303</v>
      </c>
      <c r="B22" s="1" t="str">
        <f ca="1">IF(Información1[[#This Row],[Fecha]]='Ajuste de fechas'!$A$2,"Día actual","Día anterior")</f>
        <v>Día anterior</v>
      </c>
      <c r="C22" t="s">
        <v>57</v>
      </c>
      <c r="D22" t="s">
        <v>58</v>
      </c>
      <c r="E22" t="s">
        <v>135</v>
      </c>
      <c r="F22" t="s">
        <v>13</v>
      </c>
      <c r="G22" t="s">
        <v>78</v>
      </c>
      <c r="H22" t="s">
        <v>37</v>
      </c>
      <c r="I22" t="s">
        <v>7</v>
      </c>
      <c r="J22" t="s">
        <v>28</v>
      </c>
      <c r="K22" t="s">
        <v>59</v>
      </c>
      <c r="L22" t="s">
        <v>25</v>
      </c>
      <c r="M22">
        <v>1</v>
      </c>
    </row>
    <row r="23" spans="1:13" x14ac:dyDescent="0.25">
      <c r="A23" s="2">
        <v>46303</v>
      </c>
      <c r="B23" s="1" t="str">
        <f ca="1">IF(Información1[[#This Row],[Fecha]]='Ajuste de fechas'!$A$2,"Día actual","Día anterior")</f>
        <v>Día anterior</v>
      </c>
      <c r="C23" t="s">
        <v>57</v>
      </c>
      <c r="D23" t="s">
        <v>58</v>
      </c>
      <c r="E23" t="s">
        <v>136</v>
      </c>
      <c r="F23" t="s">
        <v>35</v>
      </c>
      <c r="G23" t="s">
        <v>84</v>
      </c>
      <c r="H23" t="s">
        <v>37</v>
      </c>
      <c r="I23" t="s">
        <v>7</v>
      </c>
      <c r="J23" t="s">
        <v>24</v>
      </c>
      <c r="K23" t="s">
        <v>85</v>
      </c>
      <c r="L23" t="s">
        <v>25</v>
      </c>
      <c r="M23">
        <v>1</v>
      </c>
    </row>
    <row r="24" spans="1:13" x14ac:dyDescent="0.25">
      <c r="A24" s="2">
        <v>46303</v>
      </c>
      <c r="B24" s="1" t="str">
        <f ca="1">IF(Información1[[#This Row],[Fecha]]='Ajuste de fechas'!$A$2,"Día actual","Día anterior")</f>
        <v>Día anterior</v>
      </c>
      <c r="C24" t="s">
        <v>57</v>
      </c>
      <c r="D24" t="s">
        <v>58</v>
      </c>
      <c r="E24" t="s">
        <v>137</v>
      </c>
      <c r="F24" t="s">
        <v>12</v>
      </c>
      <c r="G24" t="s">
        <v>96</v>
      </c>
      <c r="H24" t="s">
        <v>37</v>
      </c>
      <c r="I24" t="s">
        <v>7</v>
      </c>
      <c r="J24" t="s">
        <v>24</v>
      </c>
      <c r="K24" t="s">
        <v>85</v>
      </c>
      <c r="L24" t="s">
        <v>25</v>
      </c>
      <c r="M24">
        <v>1</v>
      </c>
    </row>
    <row r="25" spans="1:13" x14ac:dyDescent="0.25">
      <c r="A25" s="2">
        <v>46303</v>
      </c>
      <c r="B25" s="1" t="str">
        <f ca="1">IF(Información1[[#This Row],[Fecha]]='Ajuste de fechas'!$A$2,"Día actual","Día anterior")</f>
        <v>Día anterior</v>
      </c>
      <c r="C25" t="s">
        <v>57</v>
      </c>
      <c r="D25" t="s">
        <v>58</v>
      </c>
      <c r="E25" t="s">
        <v>138</v>
      </c>
      <c r="F25" t="s">
        <v>70</v>
      </c>
      <c r="G25" t="s">
        <v>139</v>
      </c>
      <c r="H25" t="s">
        <v>37</v>
      </c>
      <c r="I25" t="s">
        <v>7</v>
      </c>
      <c r="J25" t="s">
        <v>24</v>
      </c>
      <c r="K25" t="s">
        <v>59</v>
      </c>
      <c r="L25" t="s">
        <v>25</v>
      </c>
      <c r="M25">
        <v>1</v>
      </c>
    </row>
    <row r="26" spans="1:13" x14ac:dyDescent="0.25">
      <c r="A26" s="2">
        <v>46303</v>
      </c>
      <c r="B26" s="1" t="str">
        <f ca="1">IF(Información1[[#This Row],[Fecha]]='Ajuste de fechas'!$A$2,"Día actual","Día anterior")</f>
        <v>Día anterior</v>
      </c>
      <c r="C26" t="s">
        <v>57</v>
      </c>
      <c r="D26" t="s">
        <v>58</v>
      </c>
      <c r="E26" t="s">
        <v>140</v>
      </c>
      <c r="F26" t="s">
        <v>13</v>
      </c>
      <c r="G26" t="s">
        <v>141</v>
      </c>
      <c r="H26" t="s">
        <v>37</v>
      </c>
      <c r="I26" t="s">
        <v>7</v>
      </c>
      <c r="J26" t="s">
        <v>28</v>
      </c>
      <c r="K26" t="s">
        <v>85</v>
      </c>
      <c r="L26" t="s">
        <v>25</v>
      </c>
      <c r="M26">
        <v>1</v>
      </c>
    </row>
    <row r="27" spans="1:13" x14ac:dyDescent="0.25">
      <c r="A27" s="2">
        <v>46303</v>
      </c>
      <c r="B27" s="1" t="str">
        <f ca="1">IF(Información1[[#This Row],[Fecha]]='Ajuste de fechas'!$A$2,"Día actual","Día anterior")</f>
        <v>Día anterior</v>
      </c>
      <c r="C27" t="s">
        <v>49</v>
      </c>
      <c r="D27" t="s">
        <v>50</v>
      </c>
      <c r="E27" t="s">
        <v>142</v>
      </c>
      <c r="F27" t="s">
        <v>35</v>
      </c>
      <c r="G27" t="s">
        <v>143</v>
      </c>
      <c r="H27" t="s">
        <v>52</v>
      </c>
      <c r="I27" t="s">
        <v>7</v>
      </c>
      <c r="J27" t="s">
        <v>24</v>
      </c>
      <c r="K27" t="s">
        <v>55</v>
      </c>
      <c r="L27" t="s">
        <v>27</v>
      </c>
      <c r="M27">
        <v>1</v>
      </c>
    </row>
    <row r="28" spans="1:13" x14ac:dyDescent="0.25">
      <c r="A28" s="2">
        <v>46303</v>
      </c>
      <c r="B28" s="1" t="str">
        <f ca="1">IF(Información1[[#This Row],[Fecha]]='Ajuste de fechas'!$A$2,"Día actual","Día anterior")</f>
        <v>Día anterior</v>
      </c>
      <c r="C28" t="s">
        <v>49</v>
      </c>
      <c r="D28" t="s">
        <v>50</v>
      </c>
      <c r="E28" t="s">
        <v>111</v>
      </c>
      <c r="F28" t="s">
        <v>87</v>
      </c>
      <c r="G28" t="s">
        <v>66</v>
      </c>
      <c r="H28" t="s">
        <v>52</v>
      </c>
      <c r="I28" t="s">
        <v>7</v>
      </c>
      <c r="J28" t="s">
        <v>24</v>
      </c>
      <c r="K28" t="s">
        <v>55</v>
      </c>
      <c r="L28" t="s">
        <v>27</v>
      </c>
      <c r="M28">
        <v>1</v>
      </c>
    </row>
    <row r="29" spans="1:13" x14ac:dyDescent="0.25">
      <c r="A29" s="2">
        <v>46303</v>
      </c>
      <c r="B29" s="1" t="str">
        <f ca="1">IF(Información1[[#This Row],[Fecha]]='Ajuste de fechas'!$A$2,"Día actual","Día anterior")</f>
        <v>Día anterior</v>
      </c>
      <c r="C29" t="s">
        <v>49</v>
      </c>
      <c r="D29" t="s">
        <v>50</v>
      </c>
      <c r="E29" t="s">
        <v>144</v>
      </c>
      <c r="F29" t="s">
        <v>13</v>
      </c>
      <c r="G29" t="s">
        <v>66</v>
      </c>
      <c r="H29" t="s">
        <v>52</v>
      </c>
      <c r="I29" t="s">
        <v>7</v>
      </c>
      <c r="J29" t="s">
        <v>28</v>
      </c>
      <c r="K29" t="s">
        <v>55</v>
      </c>
      <c r="L29" t="s">
        <v>25</v>
      </c>
      <c r="M29">
        <v>1</v>
      </c>
    </row>
    <row r="30" spans="1:13" x14ac:dyDescent="0.25">
      <c r="A30" s="2">
        <v>46303</v>
      </c>
      <c r="B30" s="1" t="str">
        <f ca="1">IF(Información1[[#This Row],[Fecha]]='Ajuste de fechas'!$A$2,"Día actual","Día anterior")</f>
        <v>Día anterior</v>
      </c>
      <c r="C30" t="s">
        <v>49</v>
      </c>
      <c r="D30" t="s">
        <v>50</v>
      </c>
      <c r="E30" t="s">
        <v>145</v>
      </c>
      <c r="F30" t="s">
        <v>6</v>
      </c>
      <c r="G30" t="s">
        <v>83</v>
      </c>
      <c r="H30" t="s">
        <v>52</v>
      </c>
      <c r="I30" t="s">
        <v>7</v>
      </c>
      <c r="J30" t="s">
        <v>24</v>
      </c>
      <c r="K30" t="s">
        <v>54</v>
      </c>
      <c r="L30" t="s">
        <v>27</v>
      </c>
      <c r="M30">
        <v>1</v>
      </c>
    </row>
    <row r="31" spans="1:13" x14ac:dyDescent="0.25">
      <c r="A31" s="2">
        <v>46303</v>
      </c>
      <c r="B31" s="1" t="str">
        <f ca="1">IF(Información1[[#This Row],[Fecha]]='Ajuste de fechas'!$A$2,"Día actual","Día anterior")</f>
        <v>Día anterior</v>
      </c>
      <c r="C31" t="s">
        <v>49</v>
      </c>
      <c r="D31" t="s">
        <v>50</v>
      </c>
      <c r="E31" t="s">
        <v>146</v>
      </c>
      <c r="F31" t="s">
        <v>13</v>
      </c>
      <c r="G31" t="s">
        <v>73</v>
      </c>
      <c r="H31" t="s">
        <v>52</v>
      </c>
      <c r="I31" t="s">
        <v>7</v>
      </c>
      <c r="J31" t="s">
        <v>28</v>
      </c>
      <c r="K31" t="s">
        <v>55</v>
      </c>
      <c r="L31" t="s">
        <v>25</v>
      </c>
      <c r="M31">
        <v>1</v>
      </c>
    </row>
    <row r="32" spans="1:13" x14ac:dyDescent="0.25">
      <c r="A32" s="2">
        <v>46303</v>
      </c>
      <c r="B32" s="1" t="str">
        <f ca="1">IF(Información1[[#This Row],[Fecha]]='Ajuste de fechas'!$A$2,"Día actual","Día anterior")</f>
        <v>Día anterior</v>
      </c>
      <c r="C32" t="s">
        <v>49</v>
      </c>
      <c r="D32" t="s">
        <v>50</v>
      </c>
      <c r="E32" t="s">
        <v>147</v>
      </c>
      <c r="F32" t="s">
        <v>14</v>
      </c>
      <c r="G32" t="s">
        <v>88</v>
      </c>
      <c r="H32" t="s">
        <v>52</v>
      </c>
      <c r="I32" t="s">
        <v>7</v>
      </c>
      <c r="J32" t="s">
        <v>24</v>
      </c>
      <c r="K32" t="s">
        <v>54</v>
      </c>
      <c r="L32" t="s">
        <v>27</v>
      </c>
      <c r="M32">
        <v>1</v>
      </c>
    </row>
    <row r="33" spans="1:13" x14ac:dyDescent="0.25">
      <c r="A33" s="2">
        <v>46303</v>
      </c>
      <c r="B33" s="1" t="str">
        <f ca="1">IF(Información1[[#This Row],[Fecha]]='Ajuste de fechas'!$A$2,"Día actual","Día anterior")</f>
        <v>Día anterior</v>
      </c>
      <c r="C33" t="s">
        <v>49</v>
      </c>
      <c r="D33" t="s">
        <v>50</v>
      </c>
      <c r="E33" t="s">
        <v>148</v>
      </c>
      <c r="F33" t="s">
        <v>33</v>
      </c>
      <c r="G33" t="s">
        <v>103</v>
      </c>
      <c r="H33" t="s">
        <v>52</v>
      </c>
      <c r="I33" t="s">
        <v>7</v>
      </c>
      <c r="J33" t="s">
        <v>16</v>
      </c>
      <c r="K33" t="s">
        <v>55</v>
      </c>
      <c r="L33" t="s">
        <v>25</v>
      </c>
      <c r="M33">
        <v>1</v>
      </c>
    </row>
    <row r="34" spans="1:13" x14ac:dyDescent="0.25">
      <c r="A34" s="2">
        <v>46303</v>
      </c>
      <c r="B34" s="1" t="str">
        <f ca="1">IF(Información1[[#This Row],[Fecha]]='Ajuste de fechas'!$A$2,"Día actual","Día anterior")</f>
        <v>Día anterior</v>
      </c>
      <c r="C34" t="s">
        <v>49</v>
      </c>
      <c r="D34" t="s">
        <v>50</v>
      </c>
      <c r="E34" t="s">
        <v>149</v>
      </c>
      <c r="F34" t="s">
        <v>13</v>
      </c>
      <c r="G34" t="s">
        <v>60</v>
      </c>
      <c r="H34" t="s">
        <v>52</v>
      </c>
      <c r="I34" t="s">
        <v>7</v>
      </c>
      <c r="J34" t="s">
        <v>28</v>
      </c>
      <c r="K34" t="s">
        <v>55</v>
      </c>
      <c r="L34" t="s">
        <v>25</v>
      </c>
      <c r="M34">
        <v>1</v>
      </c>
    </row>
    <row r="35" spans="1:13" x14ac:dyDescent="0.25">
      <c r="A35" s="2">
        <v>46303</v>
      </c>
      <c r="B35" s="1" t="str">
        <f ca="1">IF(Información1[[#This Row],[Fecha]]='Ajuste de fechas'!$A$2,"Día actual","Día anterior")</f>
        <v>Día anterior</v>
      </c>
      <c r="C35" t="s">
        <v>49</v>
      </c>
      <c r="D35" t="s">
        <v>50</v>
      </c>
      <c r="E35" t="s">
        <v>150</v>
      </c>
      <c r="F35" t="s">
        <v>13</v>
      </c>
      <c r="G35" t="s">
        <v>151</v>
      </c>
      <c r="H35" t="s">
        <v>52</v>
      </c>
      <c r="I35" t="s">
        <v>7</v>
      </c>
      <c r="J35" t="s">
        <v>28</v>
      </c>
      <c r="K35" t="s">
        <v>55</v>
      </c>
      <c r="L35" t="s">
        <v>25</v>
      </c>
      <c r="M35">
        <v>1</v>
      </c>
    </row>
    <row r="36" spans="1:13" x14ac:dyDescent="0.25">
      <c r="A36" s="2">
        <v>46303</v>
      </c>
      <c r="B36" s="1" t="str">
        <f ca="1">IF(Información1[[#This Row],[Fecha]]='Ajuste de fechas'!$A$2,"Día actual","Día anterior")</f>
        <v>Día anterior</v>
      </c>
      <c r="C36" t="s">
        <v>49</v>
      </c>
      <c r="D36" t="s">
        <v>50</v>
      </c>
      <c r="E36" t="s">
        <v>152</v>
      </c>
      <c r="F36" t="s">
        <v>89</v>
      </c>
      <c r="G36" t="s">
        <v>153</v>
      </c>
      <c r="H36" t="s">
        <v>52</v>
      </c>
      <c r="I36" t="s">
        <v>7</v>
      </c>
      <c r="J36" t="s">
        <v>24</v>
      </c>
      <c r="K36" t="s">
        <v>55</v>
      </c>
      <c r="L36" t="s">
        <v>25</v>
      </c>
      <c r="M36">
        <v>1</v>
      </c>
    </row>
    <row r="37" spans="1:13" x14ac:dyDescent="0.25">
      <c r="A37" s="2">
        <v>46303</v>
      </c>
      <c r="B37" s="1" t="str">
        <f ca="1">IF(Información1[[#This Row],[Fecha]]='Ajuste de fechas'!$A$2,"Día actual","Día anterior")</f>
        <v>Día anterior</v>
      </c>
      <c r="C37" t="s">
        <v>49</v>
      </c>
      <c r="D37" t="s">
        <v>50</v>
      </c>
      <c r="E37" t="s">
        <v>154</v>
      </c>
      <c r="F37" t="s">
        <v>15</v>
      </c>
      <c r="G37" t="s">
        <v>100</v>
      </c>
      <c r="H37" t="s">
        <v>52</v>
      </c>
      <c r="I37" t="s">
        <v>7</v>
      </c>
      <c r="J37" t="s">
        <v>29</v>
      </c>
      <c r="K37" t="s">
        <v>55</v>
      </c>
      <c r="L37" t="s">
        <v>25</v>
      </c>
      <c r="M37">
        <v>1</v>
      </c>
    </row>
    <row r="38" spans="1:13" x14ac:dyDescent="0.25">
      <c r="A38" s="2">
        <v>46303</v>
      </c>
      <c r="B38" s="1" t="str">
        <f ca="1">IF(Información1[[#This Row],[Fecha]]='Ajuste de fechas'!$A$2,"Día actual","Día anterior")</f>
        <v>Día anterior</v>
      </c>
      <c r="C38" t="s">
        <v>49</v>
      </c>
      <c r="D38" t="s">
        <v>50</v>
      </c>
      <c r="E38" t="s">
        <v>155</v>
      </c>
      <c r="F38" t="s">
        <v>15</v>
      </c>
      <c r="G38" t="s">
        <v>156</v>
      </c>
      <c r="H38" t="s">
        <v>52</v>
      </c>
      <c r="I38" t="s">
        <v>7</v>
      </c>
      <c r="J38" t="s">
        <v>29</v>
      </c>
      <c r="K38" t="s">
        <v>55</v>
      </c>
      <c r="L38" t="s">
        <v>25</v>
      </c>
      <c r="M38">
        <v>1</v>
      </c>
    </row>
    <row r="39" spans="1:13" x14ac:dyDescent="0.25">
      <c r="A39" s="2">
        <v>46303</v>
      </c>
      <c r="B39" s="1" t="str">
        <f ca="1">IF(Información1[[#This Row],[Fecha]]='Ajuste de fechas'!$A$2,"Día actual","Día anterior")</f>
        <v>Día anterior</v>
      </c>
      <c r="C39" t="s">
        <v>49</v>
      </c>
      <c r="D39" t="s">
        <v>50</v>
      </c>
      <c r="E39" t="s">
        <v>157</v>
      </c>
      <c r="F39" t="s">
        <v>51</v>
      </c>
      <c r="G39" t="s">
        <v>56</v>
      </c>
      <c r="H39" t="s">
        <v>52</v>
      </c>
      <c r="I39" t="s">
        <v>7</v>
      </c>
      <c r="J39" t="s">
        <v>53</v>
      </c>
      <c r="K39" t="s">
        <v>55</v>
      </c>
      <c r="L39" t="s">
        <v>25</v>
      </c>
      <c r="M39">
        <v>1</v>
      </c>
    </row>
    <row r="40" spans="1:13" x14ac:dyDescent="0.25">
      <c r="A40" s="2">
        <v>46303</v>
      </c>
      <c r="B40" s="1" t="str">
        <f ca="1">IF(Información1[[#This Row],[Fecha]]='Ajuste de fechas'!$A$2,"Día actual","Día anterior")</f>
        <v>Día anterior</v>
      </c>
      <c r="C40" t="s">
        <v>49</v>
      </c>
      <c r="D40" t="s">
        <v>50</v>
      </c>
      <c r="E40" t="s">
        <v>158</v>
      </c>
      <c r="F40" t="s">
        <v>36</v>
      </c>
      <c r="G40" t="s">
        <v>159</v>
      </c>
      <c r="H40" t="s">
        <v>52</v>
      </c>
      <c r="I40" t="s">
        <v>7</v>
      </c>
      <c r="J40" t="s">
        <v>24</v>
      </c>
      <c r="K40" t="s">
        <v>55</v>
      </c>
      <c r="L40" t="s">
        <v>25</v>
      </c>
      <c r="M40">
        <v>1</v>
      </c>
    </row>
    <row r="41" spans="1:13" x14ac:dyDescent="0.25">
      <c r="A41" s="2">
        <v>46303</v>
      </c>
      <c r="B41" s="1" t="str">
        <f ca="1">IF(Información1[[#This Row],[Fecha]]='Ajuste de fechas'!$A$2,"Día actual","Día anterior")</f>
        <v>Día anterior</v>
      </c>
      <c r="C41" t="s">
        <v>49</v>
      </c>
      <c r="D41" t="s">
        <v>50</v>
      </c>
      <c r="E41" t="s">
        <v>160</v>
      </c>
      <c r="F41" t="s">
        <v>89</v>
      </c>
      <c r="G41" t="s">
        <v>161</v>
      </c>
      <c r="H41" t="s">
        <v>52</v>
      </c>
      <c r="I41" t="s">
        <v>7</v>
      </c>
      <c r="J41" t="s">
        <v>24</v>
      </c>
      <c r="K41" t="s">
        <v>55</v>
      </c>
      <c r="L41" t="s">
        <v>25</v>
      </c>
      <c r="M41">
        <v>1</v>
      </c>
    </row>
    <row r="42" spans="1:13" x14ac:dyDescent="0.25">
      <c r="A42" s="2">
        <v>46303</v>
      </c>
      <c r="B42" s="1" t="str">
        <f ca="1">IF(Información1[[#This Row],[Fecha]]='Ajuste de fechas'!$A$2,"Día actual","Día anterior")</f>
        <v>Día anterior</v>
      </c>
      <c r="C42" t="s">
        <v>49</v>
      </c>
      <c r="D42" t="s">
        <v>50</v>
      </c>
      <c r="E42" t="s">
        <v>162</v>
      </c>
      <c r="F42" t="s">
        <v>6</v>
      </c>
      <c r="G42" t="s">
        <v>83</v>
      </c>
      <c r="H42" t="s">
        <v>52</v>
      </c>
      <c r="I42" t="s">
        <v>7</v>
      </c>
      <c r="J42" t="s">
        <v>24</v>
      </c>
      <c r="K42" t="s">
        <v>55</v>
      </c>
      <c r="L42" t="s">
        <v>25</v>
      </c>
      <c r="M42">
        <v>1</v>
      </c>
    </row>
    <row r="43" spans="1:13" x14ac:dyDescent="0.25">
      <c r="A43" s="2">
        <v>46303</v>
      </c>
      <c r="B43" s="1" t="str">
        <f ca="1">IF(Información1[[#This Row],[Fecha]]='Ajuste de fechas'!$A$2,"Día actual","Día anterior")</f>
        <v>Día anterior</v>
      </c>
      <c r="C43" t="s">
        <v>49</v>
      </c>
      <c r="D43" t="s">
        <v>50</v>
      </c>
      <c r="E43" t="s">
        <v>163</v>
      </c>
      <c r="F43" t="s">
        <v>35</v>
      </c>
      <c r="G43" t="s">
        <v>78</v>
      </c>
      <c r="H43" t="s">
        <v>52</v>
      </c>
      <c r="I43" t="s">
        <v>7</v>
      </c>
      <c r="J43" t="s">
        <v>24</v>
      </c>
      <c r="K43" t="s">
        <v>55</v>
      </c>
      <c r="L43" t="s">
        <v>25</v>
      </c>
      <c r="M43">
        <v>1</v>
      </c>
    </row>
    <row r="44" spans="1:13" x14ac:dyDescent="0.25">
      <c r="A44" s="2">
        <v>46303</v>
      </c>
      <c r="B44" s="1" t="str">
        <f ca="1">IF(Información1[[#This Row],[Fecha]]='Ajuste de fechas'!$A$2,"Día actual","Día anterior")</f>
        <v>Día anterior</v>
      </c>
      <c r="C44" t="s">
        <v>38</v>
      </c>
      <c r="D44" t="s">
        <v>39</v>
      </c>
      <c r="E44" t="s">
        <v>164</v>
      </c>
      <c r="F44" t="s">
        <v>42</v>
      </c>
      <c r="G44" t="s">
        <v>165</v>
      </c>
      <c r="H44" t="s">
        <v>37</v>
      </c>
      <c r="I44" t="s">
        <v>7</v>
      </c>
      <c r="J44" t="s">
        <v>24</v>
      </c>
      <c r="K44" t="s">
        <v>41</v>
      </c>
      <c r="L44" t="s">
        <v>25</v>
      </c>
      <c r="M44">
        <v>1</v>
      </c>
    </row>
    <row r="45" spans="1:13" x14ac:dyDescent="0.25">
      <c r="A45" s="2">
        <v>46303</v>
      </c>
      <c r="B45" s="1" t="str">
        <f ca="1">IF(Información1[[#This Row],[Fecha]]='Ajuste de fechas'!$A$2,"Día actual","Día anterior")</f>
        <v>Día anterior</v>
      </c>
      <c r="C45" t="s">
        <v>38</v>
      </c>
      <c r="D45" t="s">
        <v>43</v>
      </c>
      <c r="E45" t="s">
        <v>166</v>
      </c>
      <c r="F45" t="s">
        <v>12</v>
      </c>
      <c r="G45" t="s">
        <v>167</v>
      </c>
      <c r="H45" t="s">
        <v>37</v>
      </c>
      <c r="I45" t="s">
        <v>17</v>
      </c>
      <c r="J45" t="s">
        <v>24</v>
      </c>
      <c r="K45" t="s">
        <v>44</v>
      </c>
      <c r="L45" t="s">
        <v>26</v>
      </c>
      <c r="M45">
        <v>1</v>
      </c>
    </row>
    <row r="46" spans="1:13" x14ac:dyDescent="0.25">
      <c r="A46" s="2">
        <v>46303</v>
      </c>
      <c r="B46" s="1" t="str">
        <f ca="1">IF(Información1[[#This Row],[Fecha]]='Ajuste de fechas'!$A$2,"Día actual","Día anterior")</f>
        <v>Día anterior</v>
      </c>
      <c r="C46" t="s">
        <v>38</v>
      </c>
      <c r="D46" t="s">
        <v>43</v>
      </c>
      <c r="E46" t="s">
        <v>168</v>
      </c>
      <c r="F46" t="s">
        <v>12</v>
      </c>
      <c r="G46" t="s">
        <v>167</v>
      </c>
      <c r="H46" t="s">
        <v>37</v>
      </c>
      <c r="I46" t="s">
        <v>17</v>
      </c>
      <c r="J46" t="s">
        <v>24</v>
      </c>
      <c r="K46" t="s">
        <v>44</v>
      </c>
      <c r="L46" t="s">
        <v>26</v>
      </c>
      <c r="M46">
        <v>1</v>
      </c>
    </row>
    <row r="47" spans="1:13" x14ac:dyDescent="0.25">
      <c r="A47" s="2">
        <v>46303</v>
      </c>
      <c r="B47" s="1" t="str">
        <f ca="1">IF(Información1[[#This Row],[Fecha]]='Ajuste de fechas'!$A$2,"Día actual","Día anterior")</f>
        <v>Día anterior</v>
      </c>
      <c r="C47" t="s">
        <v>38</v>
      </c>
      <c r="D47" t="s">
        <v>43</v>
      </c>
      <c r="E47" t="s">
        <v>169</v>
      </c>
      <c r="F47" t="s">
        <v>13</v>
      </c>
      <c r="H47" t="s">
        <v>37</v>
      </c>
      <c r="I47" t="s">
        <v>7</v>
      </c>
      <c r="J47" t="s">
        <v>28</v>
      </c>
      <c r="K47" t="s">
        <v>40</v>
      </c>
      <c r="L47" t="s">
        <v>25</v>
      </c>
      <c r="M47">
        <v>1</v>
      </c>
    </row>
    <row r="48" spans="1:13" x14ac:dyDescent="0.25">
      <c r="A48" s="2">
        <v>46303</v>
      </c>
      <c r="B48" s="1" t="str">
        <f ca="1">IF(Información1[[#This Row],[Fecha]]='Ajuste de fechas'!$A$2,"Día actual","Día anterior")</f>
        <v>Día anterior</v>
      </c>
      <c r="C48" t="s">
        <v>38</v>
      </c>
      <c r="D48" t="s">
        <v>43</v>
      </c>
      <c r="E48" t="s">
        <v>170</v>
      </c>
      <c r="F48" t="s">
        <v>35</v>
      </c>
      <c r="G48" t="s">
        <v>161</v>
      </c>
      <c r="H48" t="s">
        <v>37</v>
      </c>
      <c r="I48" t="s">
        <v>7</v>
      </c>
      <c r="J48" t="s">
        <v>24</v>
      </c>
      <c r="K48" t="s">
        <v>40</v>
      </c>
      <c r="L48" t="s">
        <v>26</v>
      </c>
      <c r="M48">
        <v>1</v>
      </c>
    </row>
    <row r="49" spans="1:13" x14ac:dyDescent="0.25">
      <c r="A49" s="2">
        <v>46303</v>
      </c>
      <c r="B49" s="1" t="str">
        <f ca="1">IF(Información1[[#This Row],[Fecha]]='Ajuste de fechas'!$A$2,"Día actual","Día anterior")</f>
        <v>Día anterior</v>
      </c>
      <c r="C49" t="s">
        <v>38</v>
      </c>
      <c r="D49" t="s">
        <v>43</v>
      </c>
      <c r="E49" t="s">
        <v>171</v>
      </c>
      <c r="F49" t="s">
        <v>87</v>
      </c>
      <c r="G49" t="s">
        <v>66</v>
      </c>
      <c r="H49" t="s">
        <v>37</v>
      </c>
      <c r="I49" t="s">
        <v>7</v>
      </c>
      <c r="J49" t="s">
        <v>24</v>
      </c>
      <c r="K49" t="s">
        <v>40</v>
      </c>
      <c r="L49" t="s">
        <v>25</v>
      </c>
      <c r="M49">
        <v>1</v>
      </c>
    </row>
    <row r="50" spans="1:13" x14ac:dyDescent="0.25">
      <c r="A50" s="2">
        <v>46303</v>
      </c>
      <c r="B50" s="1" t="str">
        <f ca="1">IF(Información1[[#This Row],[Fecha]]='Ajuste de fechas'!$A$2,"Día actual","Día anterior")</f>
        <v>Día anterior</v>
      </c>
      <c r="C50" t="s">
        <v>46</v>
      </c>
      <c r="D50" t="s">
        <v>47</v>
      </c>
      <c r="E50" t="s">
        <v>147</v>
      </c>
      <c r="F50" t="s">
        <v>14</v>
      </c>
      <c r="G50" t="s">
        <v>88</v>
      </c>
      <c r="H50" t="s">
        <v>37</v>
      </c>
      <c r="I50" t="s">
        <v>7</v>
      </c>
      <c r="J50" t="s">
        <v>24</v>
      </c>
      <c r="K50" t="s">
        <v>48</v>
      </c>
      <c r="L50" t="s">
        <v>27</v>
      </c>
      <c r="M50">
        <v>1</v>
      </c>
    </row>
    <row r="51" spans="1:13" x14ac:dyDescent="0.25">
      <c r="A51" s="2">
        <v>46303</v>
      </c>
      <c r="B51" s="1" t="str">
        <f ca="1">IF(Información1[[#This Row],[Fecha]]='Ajuste de fechas'!$A$2,"Día actual","Día anterior")</f>
        <v>Día anterior</v>
      </c>
      <c r="C51" t="s">
        <v>46</v>
      </c>
      <c r="D51" t="s">
        <v>47</v>
      </c>
      <c r="E51" t="s">
        <v>172</v>
      </c>
      <c r="F51" t="s">
        <v>45</v>
      </c>
      <c r="G51" t="s">
        <v>173</v>
      </c>
      <c r="H51" t="s">
        <v>37</v>
      </c>
      <c r="I51" t="s">
        <v>7</v>
      </c>
      <c r="J51" t="s">
        <v>24</v>
      </c>
      <c r="K51" t="s">
        <v>48</v>
      </c>
      <c r="L51" t="s">
        <v>27</v>
      </c>
      <c r="M51">
        <v>1</v>
      </c>
    </row>
    <row r="52" spans="1:13" x14ac:dyDescent="0.25">
      <c r="A52" s="2">
        <v>46303</v>
      </c>
      <c r="B52" s="1" t="str">
        <f ca="1">IF(Información1[[#This Row],[Fecha]]='Ajuste de fechas'!$A$2,"Día actual","Día anterior")</f>
        <v>Día anterior</v>
      </c>
      <c r="C52" t="s">
        <v>46</v>
      </c>
      <c r="D52" t="s">
        <v>47</v>
      </c>
      <c r="E52" t="s">
        <v>174</v>
      </c>
      <c r="F52" t="s">
        <v>35</v>
      </c>
      <c r="G52" t="s">
        <v>97</v>
      </c>
      <c r="H52" t="s">
        <v>37</v>
      </c>
      <c r="I52" t="s">
        <v>7</v>
      </c>
      <c r="J52" t="s">
        <v>24</v>
      </c>
      <c r="K52" t="s">
        <v>48</v>
      </c>
      <c r="L52" t="s">
        <v>25</v>
      </c>
      <c r="M52">
        <v>1</v>
      </c>
    </row>
    <row r="53" spans="1:13" x14ac:dyDescent="0.25">
      <c r="A53" s="2">
        <v>46303</v>
      </c>
      <c r="B53" s="1" t="str">
        <f ca="1">IF(Información1[[#This Row],[Fecha]]='Ajuste de fechas'!$A$2,"Día actual","Día anterior")</f>
        <v>Día anterior</v>
      </c>
      <c r="C53" t="s">
        <v>46</v>
      </c>
      <c r="D53" t="s">
        <v>47</v>
      </c>
      <c r="E53" t="s">
        <v>175</v>
      </c>
      <c r="F53" t="s">
        <v>14</v>
      </c>
      <c r="G53" t="s">
        <v>176</v>
      </c>
      <c r="H53" t="s">
        <v>37</v>
      </c>
      <c r="I53" t="s">
        <v>10</v>
      </c>
      <c r="J53" t="s">
        <v>24</v>
      </c>
      <c r="K53" t="s">
        <v>48</v>
      </c>
      <c r="L53" t="s">
        <v>25</v>
      </c>
      <c r="M53">
        <v>1</v>
      </c>
    </row>
    <row r="54" spans="1:13" x14ac:dyDescent="0.25">
      <c r="A54" s="2">
        <v>46303</v>
      </c>
      <c r="B54" s="1" t="str">
        <f ca="1">IF(Información1[[#This Row],[Fecha]]='Ajuste de fechas'!$A$2,"Día actual","Día anterior")</f>
        <v>Día anterior</v>
      </c>
      <c r="C54" t="s">
        <v>46</v>
      </c>
      <c r="D54" t="s">
        <v>47</v>
      </c>
      <c r="E54" t="s">
        <v>177</v>
      </c>
      <c r="F54" t="s">
        <v>178</v>
      </c>
      <c r="G54" t="s">
        <v>179</v>
      </c>
      <c r="H54" t="s">
        <v>37</v>
      </c>
      <c r="I54" t="s">
        <v>7</v>
      </c>
      <c r="J54" t="s">
        <v>24</v>
      </c>
      <c r="K54" t="s">
        <v>48</v>
      </c>
      <c r="L54" t="s">
        <v>25</v>
      </c>
      <c r="M54">
        <v>1</v>
      </c>
    </row>
    <row r="55" spans="1:13" x14ac:dyDescent="0.25">
      <c r="A55" s="2">
        <v>46303</v>
      </c>
      <c r="B55" s="1" t="str">
        <f ca="1">IF(Información1[[#This Row],[Fecha]]='Ajuste de fechas'!$A$2,"Día actual","Día anterior")</f>
        <v>Día anterior</v>
      </c>
      <c r="C55" t="s">
        <v>46</v>
      </c>
      <c r="D55" t="s">
        <v>47</v>
      </c>
      <c r="E55" t="s">
        <v>111</v>
      </c>
      <c r="F55" t="s">
        <v>87</v>
      </c>
      <c r="G55" t="s">
        <v>66</v>
      </c>
      <c r="H55" t="s">
        <v>37</v>
      </c>
      <c r="I55" t="s">
        <v>7</v>
      </c>
      <c r="J55" t="s">
        <v>24</v>
      </c>
      <c r="K55" t="s">
        <v>48</v>
      </c>
      <c r="L55" t="s">
        <v>27</v>
      </c>
      <c r="M55">
        <v>1</v>
      </c>
    </row>
    <row r="56" spans="1:13" x14ac:dyDescent="0.25">
      <c r="A56" s="2">
        <v>46303</v>
      </c>
      <c r="B56" s="1" t="str">
        <f ca="1">IF(Información1[[#This Row],[Fecha]]='Ajuste de fechas'!$A$2,"Día actual","Día anterior")</f>
        <v>Día anterior</v>
      </c>
      <c r="C56" t="s">
        <v>38</v>
      </c>
      <c r="D56" t="s">
        <v>39</v>
      </c>
      <c r="E56" t="s">
        <v>180</v>
      </c>
      <c r="F56" t="s">
        <v>127</v>
      </c>
      <c r="G56" t="s">
        <v>128</v>
      </c>
      <c r="H56" t="s">
        <v>37</v>
      </c>
      <c r="I56" t="s">
        <v>10</v>
      </c>
      <c r="J56" t="s">
        <v>24</v>
      </c>
      <c r="K56" t="s">
        <v>41</v>
      </c>
      <c r="L56" t="s">
        <v>26</v>
      </c>
      <c r="M56">
        <v>1</v>
      </c>
    </row>
    <row r="57" spans="1:13" x14ac:dyDescent="0.25">
      <c r="A57" s="2">
        <v>46303</v>
      </c>
      <c r="B57" s="1" t="str">
        <f ca="1">IF(Información1[[#This Row],[Fecha]]='Ajuste de fechas'!$A$2,"Día actual","Día anterior")</f>
        <v>Día anterior</v>
      </c>
      <c r="C57" t="s">
        <v>38</v>
      </c>
      <c r="D57" t="s">
        <v>39</v>
      </c>
      <c r="E57" t="s">
        <v>126</v>
      </c>
      <c r="F57" t="s">
        <v>127</v>
      </c>
      <c r="G57" t="s">
        <v>128</v>
      </c>
      <c r="H57" t="s">
        <v>37</v>
      </c>
      <c r="I57" t="s">
        <v>7</v>
      </c>
      <c r="J57" t="s">
        <v>24</v>
      </c>
      <c r="K57" t="s">
        <v>41</v>
      </c>
      <c r="L57" t="s">
        <v>27</v>
      </c>
      <c r="M57">
        <v>1</v>
      </c>
    </row>
    <row r="58" spans="1:13" x14ac:dyDescent="0.25">
      <c r="A58" s="2">
        <v>46303</v>
      </c>
      <c r="B58" s="1" t="str">
        <f ca="1">IF(Información1[[#This Row],[Fecha]]='Ajuste de fechas'!$A$2,"Día actual","Día anterior")</f>
        <v>Día anterior</v>
      </c>
      <c r="C58" t="s">
        <v>38</v>
      </c>
      <c r="D58" t="s">
        <v>39</v>
      </c>
      <c r="E58" t="s">
        <v>172</v>
      </c>
      <c r="F58" t="s">
        <v>45</v>
      </c>
      <c r="G58" t="s">
        <v>173</v>
      </c>
      <c r="H58" t="s">
        <v>37</v>
      </c>
      <c r="I58" t="s">
        <v>7</v>
      </c>
      <c r="J58" t="s">
        <v>24</v>
      </c>
      <c r="K58" t="s">
        <v>41</v>
      </c>
      <c r="L58" t="s">
        <v>27</v>
      </c>
      <c r="M58">
        <v>1</v>
      </c>
    </row>
    <row r="59" spans="1:13" x14ac:dyDescent="0.25">
      <c r="A59" s="2">
        <v>46303</v>
      </c>
      <c r="B59" s="1" t="str">
        <f ca="1">IF(Información1[[#This Row],[Fecha]]='Ajuste de fechas'!$A$2,"Día actual","Día anterior")</f>
        <v>Día anterior</v>
      </c>
      <c r="C59" t="s">
        <v>38</v>
      </c>
      <c r="D59" t="s">
        <v>39</v>
      </c>
      <c r="E59" t="s">
        <v>181</v>
      </c>
      <c r="F59" t="s">
        <v>33</v>
      </c>
      <c r="G59" t="s">
        <v>103</v>
      </c>
      <c r="H59" t="s">
        <v>37</v>
      </c>
      <c r="I59" t="s">
        <v>7</v>
      </c>
      <c r="J59" t="s">
        <v>16</v>
      </c>
      <c r="K59" t="s">
        <v>41</v>
      </c>
      <c r="L59" t="s">
        <v>25</v>
      </c>
      <c r="M59">
        <v>1</v>
      </c>
    </row>
    <row r="60" spans="1:13" x14ac:dyDescent="0.25">
      <c r="A60" s="2">
        <v>46303</v>
      </c>
      <c r="B60" s="1" t="str">
        <f ca="1">IF(Información1[[#This Row],[Fecha]]='Ajuste de fechas'!$A$2,"Día actual","Día anterior")</f>
        <v>Día anterior</v>
      </c>
      <c r="C60" t="s">
        <v>38</v>
      </c>
      <c r="D60" t="s">
        <v>39</v>
      </c>
      <c r="E60" t="s">
        <v>174</v>
      </c>
      <c r="F60" t="s">
        <v>35</v>
      </c>
      <c r="G60" t="s">
        <v>143</v>
      </c>
      <c r="H60" t="s">
        <v>37</v>
      </c>
      <c r="I60" t="s">
        <v>7</v>
      </c>
      <c r="J60" t="s">
        <v>24</v>
      </c>
      <c r="K60" t="s">
        <v>41</v>
      </c>
      <c r="L60" t="s">
        <v>27</v>
      </c>
      <c r="M60">
        <v>1</v>
      </c>
    </row>
    <row r="61" spans="1:13" x14ac:dyDescent="0.25">
      <c r="A61" s="2">
        <v>46303</v>
      </c>
      <c r="B61" s="1" t="str">
        <f ca="1">IF(Información1[[#This Row],[Fecha]]='Ajuste de fechas'!$A$2,"Día actual","Día anterior")</f>
        <v>Día anterior</v>
      </c>
      <c r="C61" t="s">
        <v>38</v>
      </c>
      <c r="D61" t="s">
        <v>39</v>
      </c>
      <c r="E61" t="s">
        <v>182</v>
      </c>
      <c r="F61" t="s">
        <v>35</v>
      </c>
      <c r="G61" t="s">
        <v>84</v>
      </c>
      <c r="H61" t="s">
        <v>37</v>
      </c>
      <c r="I61" t="s">
        <v>7</v>
      </c>
      <c r="J61" t="s">
        <v>24</v>
      </c>
      <c r="K61" t="s">
        <v>40</v>
      </c>
      <c r="L61" t="s">
        <v>25</v>
      </c>
      <c r="M61">
        <v>1</v>
      </c>
    </row>
    <row r="62" spans="1:13" x14ac:dyDescent="0.25">
      <c r="A62" s="2">
        <v>46303</v>
      </c>
      <c r="B62" s="1" t="str">
        <f ca="1">IF(Información1[[#This Row],[Fecha]]='Ajuste de fechas'!$A$2,"Día actual","Día anterior")</f>
        <v>Día anterior</v>
      </c>
      <c r="C62" t="s">
        <v>38</v>
      </c>
      <c r="D62" t="s">
        <v>39</v>
      </c>
      <c r="E62" t="s">
        <v>145</v>
      </c>
      <c r="F62" t="s">
        <v>6</v>
      </c>
      <c r="G62" t="s">
        <v>83</v>
      </c>
      <c r="H62" t="s">
        <v>37</v>
      </c>
      <c r="I62" t="s">
        <v>7</v>
      </c>
      <c r="J62" t="s">
        <v>24</v>
      </c>
      <c r="K62" t="s">
        <v>41</v>
      </c>
      <c r="L62" t="s">
        <v>27</v>
      </c>
      <c r="M62">
        <v>1</v>
      </c>
    </row>
    <row r="63" spans="1:13" x14ac:dyDescent="0.25">
      <c r="A63" s="2">
        <v>46303</v>
      </c>
      <c r="B63" s="1" t="str">
        <f ca="1">IF(Información1[[#This Row],[Fecha]]='Ajuste de fechas'!$A$2,"Día actual","Día anterior")</f>
        <v>Día anterior</v>
      </c>
      <c r="C63" t="s">
        <v>38</v>
      </c>
      <c r="D63" t="s">
        <v>39</v>
      </c>
      <c r="E63" t="s">
        <v>183</v>
      </c>
      <c r="F63" t="s">
        <v>87</v>
      </c>
      <c r="G63" t="s">
        <v>83</v>
      </c>
      <c r="H63" t="s">
        <v>37</v>
      </c>
      <c r="I63" t="s">
        <v>7</v>
      </c>
      <c r="J63" t="s">
        <v>24</v>
      </c>
      <c r="K63" t="s">
        <v>41</v>
      </c>
      <c r="L63" t="s">
        <v>27</v>
      </c>
      <c r="M63">
        <v>1</v>
      </c>
    </row>
    <row r="64" spans="1:13" x14ac:dyDescent="0.25">
      <c r="A64" s="2">
        <v>46303</v>
      </c>
      <c r="B64" s="1" t="str">
        <f ca="1">IF(Información1[[#This Row],[Fecha]]='Ajuste de fechas'!$A$2,"Día actual","Día anterior")</f>
        <v>Día anterior</v>
      </c>
      <c r="C64" t="s">
        <v>38</v>
      </c>
      <c r="D64" t="s">
        <v>39</v>
      </c>
      <c r="E64" t="s">
        <v>184</v>
      </c>
      <c r="F64" t="s">
        <v>42</v>
      </c>
      <c r="G64" t="s">
        <v>165</v>
      </c>
      <c r="H64" t="s">
        <v>37</v>
      </c>
      <c r="I64" t="s">
        <v>7</v>
      </c>
      <c r="J64" t="s">
        <v>24</v>
      </c>
      <c r="K64" t="s">
        <v>40</v>
      </c>
      <c r="L64" t="s">
        <v>25</v>
      </c>
      <c r="M64">
        <v>1</v>
      </c>
    </row>
    <row r="65" spans="1:13" x14ac:dyDescent="0.25">
      <c r="A65" s="2">
        <v>46303</v>
      </c>
      <c r="B65" s="1" t="str">
        <f ca="1">IF(Información1[[#This Row],[Fecha]]='Ajuste de fechas'!$A$2,"Día actual","Día anterior")</f>
        <v>Día anterior</v>
      </c>
      <c r="C65" t="s">
        <v>90</v>
      </c>
      <c r="D65" t="s">
        <v>68</v>
      </c>
      <c r="E65" t="s">
        <v>185</v>
      </c>
      <c r="F65" t="s">
        <v>14</v>
      </c>
      <c r="G65" t="s">
        <v>94</v>
      </c>
      <c r="H65" t="s">
        <v>37</v>
      </c>
      <c r="I65" t="s">
        <v>186</v>
      </c>
      <c r="J65" t="s">
        <v>24</v>
      </c>
      <c r="K65" t="s">
        <v>69</v>
      </c>
      <c r="L65" t="s">
        <v>25</v>
      </c>
      <c r="M65">
        <v>1</v>
      </c>
    </row>
    <row r="66" spans="1:13" x14ac:dyDescent="0.25">
      <c r="A66" s="2">
        <v>46303</v>
      </c>
      <c r="B66" s="1" t="str">
        <f ca="1">IF(Información1[[#This Row],[Fecha]]='Ajuste de fechas'!$A$2,"Día actual","Día anterior")</f>
        <v>Día anterior</v>
      </c>
      <c r="C66" t="s">
        <v>90</v>
      </c>
      <c r="D66" t="s">
        <v>68</v>
      </c>
      <c r="E66" t="s">
        <v>187</v>
      </c>
      <c r="F66" t="s">
        <v>16</v>
      </c>
      <c r="G66" t="s">
        <v>80</v>
      </c>
      <c r="H66" t="s">
        <v>37</v>
      </c>
      <c r="I66" t="s">
        <v>7</v>
      </c>
      <c r="J66" t="s">
        <v>16</v>
      </c>
      <c r="K66" t="s">
        <v>69</v>
      </c>
      <c r="L66" t="s">
        <v>25</v>
      </c>
      <c r="M66">
        <v>1</v>
      </c>
    </row>
    <row r="67" spans="1:13" x14ac:dyDescent="0.25">
      <c r="A67" s="2">
        <v>46303</v>
      </c>
      <c r="B67" s="1" t="str">
        <f ca="1">IF(Información1[[#This Row],[Fecha]]='Ajuste de fechas'!$A$2,"Día actual","Día anterior")</f>
        <v>Día anterior</v>
      </c>
      <c r="C67" t="s">
        <v>90</v>
      </c>
      <c r="D67" t="s">
        <v>68</v>
      </c>
      <c r="E67" t="s">
        <v>188</v>
      </c>
      <c r="F67" t="s">
        <v>16</v>
      </c>
      <c r="G67" t="s">
        <v>165</v>
      </c>
      <c r="H67" t="s">
        <v>37</v>
      </c>
      <c r="I67" t="s">
        <v>7</v>
      </c>
      <c r="J67" t="s">
        <v>16</v>
      </c>
      <c r="K67" t="s">
        <v>69</v>
      </c>
      <c r="L67" t="s">
        <v>25</v>
      </c>
      <c r="M67">
        <v>1</v>
      </c>
    </row>
    <row r="68" spans="1:13" x14ac:dyDescent="0.25">
      <c r="A68" s="2">
        <v>46303</v>
      </c>
      <c r="B68" s="1" t="str">
        <f ca="1">IF(Información1[[#This Row],[Fecha]]='Ajuste de fechas'!$A$2,"Día actual","Día anterior")</f>
        <v>Día anterior</v>
      </c>
      <c r="C68" t="s">
        <v>90</v>
      </c>
      <c r="D68" t="s">
        <v>68</v>
      </c>
      <c r="E68" t="s">
        <v>189</v>
      </c>
      <c r="F68" t="s">
        <v>33</v>
      </c>
      <c r="G68" t="s">
        <v>190</v>
      </c>
      <c r="H68" t="s">
        <v>37</v>
      </c>
      <c r="I68" t="s">
        <v>7</v>
      </c>
      <c r="J68" t="s">
        <v>16</v>
      </c>
      <c r="K68" t="s">
        <v>69</v>
      </c>
      <c r="L68" t="s">
        <v>25</v>
      </c>
      <c r="M68">
        <v>1</v>
      </c>
    </row>
    <row r="69" spans="1:13" x14ac:dyDescent="0.25">
      <c r="A69" s="2">
        <v>46303</v>
      </c>
      <c r="B69" s="1" t="str">
        <f ca="1">IF(Información1[[#This Row],[Fecha]]='Ajuste de fechas'!$A$2,"Día actual","Día anterior")</f>
        <v>Día anterior</v>
      </c>
      <c r="C69" t="s">
        <v>90</v>
      </c>
      <c r="D69" t="s">
        <v>68</v>
      </c>
      <c r="E69" t="s">
        <v>191</v>
      </c>
      <c r="F69" t="s">
        <v>13</v>
      </c>
      <c r="G69" t="s">
        <v>192</v>
      </c>
      <c r="H69" t="s">
        <v>37</v>
      </c>
      <c r="I69" t="s">
        <v>7</v>
      </c>
      <c r="J69" t="s">
        <v>28</v>
      </c>
      <c r="K69" t="s">
        <v>69</v>
      </c>
      <c r="L69" t="s">
        <v>25</v>
      </c>
      <c r="M69">
        <v>1</v>
      </c>
    </row>
    <row r="70" spans="1:13" x14ac:dyDescent="0.25">
      <c r="A70" s="2">
        <v>46303</v>
      </c>
      <c r="B70" s="1" t="str">
        <f ca="1">IF(Información1[[#This Row],[Fecha]]='Ajuste de fechas'!$A$2,"Día actual","Día anterior")</f>
        <v>Día anterior</v>
      </c>
      <c r="C70" t="s">
        <v>90</v>
      </c>
      <c r="D70" t="s">
        <v>68</v>
      </c>
      <c r="E70" t="s">
        <v>193</v>
      </c>
      <c r="F70" t="s">
        <v>15</v>
      </c>
      <c r="G70" t="s">
        <v>84</v>
      </c>
      <c r="H70" t="s">
        <v>37</v>
      </c>
      <c r="I70" t="s">
        <v>7</v>
      </c>
      <c r="J70" t="s">
        <v>29</v>
      </c>
      <c r="K70" t="s">
        <v>69</v>
      </c>
      <c r="L70" t="s">
        <v>25</v>
      </c>
      <c r="M70">
        <v>1</v>
      </c>
    </row>
    <row r="71" spans="1:13" x14ac:dyDescent="0.25">
      <c r="A71" s="2">
        <v>46303</v>
      </c>
      <c r="B71" s="1" t="str">
        <f ca="1">IF(Información1[[#This Row],[Fecha]]='Ajuste de fechas'!$A$2,"Día actual","Día anterior")</f>
        <v>Día anterior</v>
      </c>
      <c r="C71" t="s">
        <v>90</v>
      </c>
      <c r="D71" t="s">
        <v>68</v>
      </c>
      <c r="E71" t="s">
        <v>194</v>
      </c>
      <c r="F71" t="s">
        <v>35</v>
      </c>
      <c r="G71" t="s">
        <v>84</v>
      </c>
      <c r="H71" t="s">
        <v>37</v>
      </c>
      <c r="I71" t="s">
        <v>7</v>
      </c>
      <c r="J71" t="s">
        <v>24</v>
      </c>
      <c r="K71" t="s">
        <v>69</v>
      </c>
      <c r="L71" t="s">
        <v>25</v>
      </c>
      <c r="M71">
        <v>1</v>
      </c>
    </row>
    <row r="72" spans="1:13" x14ac:dyDescent="0.25">
      <c r="A72" s="2">
        <v>46303</v>
      </c>
      <c r="B72" s="1" t="str">
        <f ca="1">IF(Información1[[#This Row],[Fecha]]='Ajuste de fechas'!$A$2,"Día actual","Día anterior")</f>
        <v>Día anterior</v>
      </c>
      <c r="C72" t="s">
        <v>90</v>
      </c>
      <c r="D72" t="s">
        <v>68</v>
      </c>
      <c r="E72" t="s">
        <v>195</v>
      </c>
      <c r="F72" t="s">
        <v>35</v>
      </c>
      <c r="G72" t="s">
        <v>143</v>
      </c>
      <c r="H72" t="s">
        <v>37</v>
      </c>
      <c r="I72" t="s">
        <v>7</v>
      </c>
      <c r="J72" t="s">
        <v>24</v>
      </c>
      <c r="K72" t="s">
        <v>69</v>
      </c>
      <c r="L72" t="s">
        <v>27</v>
      </c>
      <c r="M72">
        <v>1</v>
      </c>
    </row>
    <row r="73" spans="1:13" x14ac:dyDescent="0.25">
      <c r="A73" s="2">
        <v>46303</v>
      </c>
      <c r="B73" s="1" t="str">
        <f ca="1">IF(Información1[[#This Row],[Fecha]]='Ajuste de fechas'!$A$2,"Día actual","Día anterior")</f>
        <v>Día anterior</v>
      </c>
      <c r="C73" t="s">
        <v>90</v>
      </c>
      <c r="D73" t="s">
        <v>68</v>
      </c>
      <c r="E73" t="s">
        <v>196</v>
      </c>
      <c r="F73" t="s">
        <v>197</v>
      </c>
      <c r="G73" t="s">
        <v>99</v>
      </c>
      <c r="H73" t="s">
        <v>37</v>
      </c>
      <c r="I73" t="s">
        <v>7</v>
      </c>
      <c r="J73" t="s">
        <v>24</v>
      </c>
      <c r="K73" t="s">
        <v>69</v>
      </c>
      <c r="L73" t="s">
        <v>34</v>
      </c>
      <c r="M73">
        <v>1</v>
      </c>
    </row>
    <row r="74" spans="1:13" x14ac:dyDescent="0.25">
      <c r="A74" s="2">
        <v>46303</v>
      </c>
      <c r="B74" s="1" t="str">
        <f ca="1">IF(Información1[[#This Row],[Fecha]]='Ajuste de fechas'!$A$2,"Día actual","Día anterior")</f>
        <v>Día anterior</v>
      </c>
      <c r="C74" t="s">
        <v>90</v>
      </c>
      <c r="D74" t="s">
        <v>68</v>
      </c>
      <c r="E74" t="s">
        <v>196</v>
      </c>
      <c r="F74" t="s">
        <v>197</v>
      </c>
      <c r="G74" t="s">
        <v>198</v>
      </c>
      <c r="H74" t="s">
        <v>37</v>
      </c>
      <c r="I74" t="s">
        <v>7</v>
      </c>
      <c r="J74" t="s">
        <v>24</v>
      </c>
      <c r="K74" t="s">
        <v>69</v>
      </c>
      <c r="L74" t="s">
        <v>34</v>
      </c>
      <c r="M74">
        <v>1</v>
      </c>
    </row>
    <row r="75" spans="1:13" x14ac:dyDescent="0.25">
      <c r="A75" s="2">
        <v>46303</v>
      </c>
      <c r="B75" s="1" t="str">
        <f ca="1">IF(Información1[[#This Row],[Fecha]]='Ajuste de fechas'!$A$2,"Día actual","Día anterior")</f>
        <v>Día anterior</v>
      </c>
      <c r="C75" t="s">
        <v>61</v>
      </c>
      <c r="D75" t="s">
        <v>62</v>
      </c>
      <c r="E75" t="s">
        <v>199</v>
      </c>
      <c r="F75" t="s">
        <v>14</v>
      </c>
      <c r="G75" t="s">
        <v>88</v>
      </c>
      <c r="H75" t="s">
        <v>37</v>
      </c>
      <c r="I75" t="s">
        <v>7</v>
      </c>
      <c r="J75" t="s">
        <v>24</v>
      </c>
      <c r="K75" t="s">
        <v>63</v>
      </c>
      <c r="L75" t="s">
        <v>27</v>
      </c>
      <c r="M75">
        <v>1</v>
      </c>
    </row>
    <row r="76" spans="1:13" x14ac:dyDescent="0.25">
      <c r="A76" s="2">
        <v>46303</v>
      </c>
      <c r="B76" s="1" t="str">
        <f ca="1">IF(Información1[[#This Row],[Fecha]]='Ajuste de fechas'!$A$2,"Día actual","Día anterior")</f>
        <v>Día anterior</v>
      </c>
      <c r="C76" t="s">
        <v>8</v>
      </c>
      <c r="D76" t="s">
        <v>9</v>
      </c>
      <c r="E76" t="s">
        <v>200</v>
      </c>
      <c r="F76" t="s">
        <v>13</v>
      </c>
      <c r="G76" t="s">
        <v>201</v>
      </c>
      <c r="H76" t="s">
        <v>37</v>
      </c>
      <c r="I76" t="s">
        <v>17</v>
      </c>
      <c r="J76" t="s">
        <v>28</v>
      </c>
      <c r="K76" t="s">
        <v>44</v>
      </c>
      <c r="L76" t="s">
        <v>26</v>
      </c>
      <c r="M76">
        <v>1</v>
      </c>
    </row>
    <row r="77" spans="1:13" x14ac:dyDescent="0.25">
      <c r="A77" s="2">
        <v>46303</v>
      </c>
      <c r="B77" s="1" t="str">
        <f ca="1">IF(Información1[[#This Row],[Fecha]]='Ajuste de fechas'!$A$2,"Día actual","Día anterior")</f>
        <v>Día anterior</v>
      </c>
      <c r="C77" t="s">
        <v>8</v>
      </c>
      <c r="D77" t="s">
        <v>9</v>
      </c>
      <c r="E77" t="s">
        <v>202</v>
      </c>
      <c r="F77" t="s">
        <v>6</v>
      </c>
      <c r="G77" t="s">
        <v>203</v>
      </c>
      <c r="H77" t="s">
        <v>37</v>
      </c>
      <c r="I77" t="s">
        <v>17</v>
      </c>
      <c r="J77" t="s">
        <v>24</v>
      </c>
      <c r="K77" t="s">
        <v>44</v>
      </c>
      <c r="L77" t="s">
        <v>26</v>
      </c>
      <c r="M77">
        <v>1</v>
      </c>
    </row>
    <row r="78" spans="1:13" x14ac:dyDescent="0.25">
      <c r="A78" s="2">
        <v>46303</v>
      </c>
      <c r="B78" s="1" t="str">
        <f ca="1">IF(Información1[[#This Row],[Fecha]]='Ajuste de fechas'!$A$2,"Día actual","Día anterior")</f>
        <v>Día anterior</v>
      </c>
      <c r="C78" t="s">
        <v>8</v>
      </c>
      <c r="D78" t="s">
        <v>9</v>
      </c>
      <c r="E78" t="s">
        <v>204</v>
      </c>
      <c r="F78" t="s">
        <v>6</v>
      </c>
      <c r="G78" t="s">
        <v>83</v>
      </c>
      <c r="H78" t="s">
        <v>37</v>
      </c>
      <c r="I78" t="s">
        <v>7</v>
      </c>
      <c r="J78" t="s">
        <v>24</v>
      </c>
      <c r="K78" t="s">
        <v>11</v>
      </c>
      <c r="L78" t="s">
        <v>25</v>
      </c>
      <c r="M78">
        <v>1</v>
      </c>
    </row>
    <row r="79" spans="1:13" x14ac:dyDescent="0.25">
      <c r="A79" s="2">
        <v>46303</v>
      </c>
      <c r="B79" s="1" t="str">
        <f ca="1">IF(Información1[[#This Row],[Fecha]]='Ajuste de fechas'!$A$2,"Día actual","Día anterior")</f>
        <v>Día anterior</v>
      </c>
      <c r="C79" t="s">
        <v>8</v>
      </c>
      <c r="D79" t="s">
        <v>9</v>
      </c>
      <c r="E79" t="s">
        <v>205</v>
      </c>
      <c r="F79" t="s">
        <v>42</v>
      </c>
      <c r="G79" t="s">
        <v>165</v>
      </c>
      <c r="H79" t="s">
        <v>37</v>
      </c>
      <c r="I79" t="s">
        <v>7</v>
      </c>
      <c r="J79" t="s">
        <v>24</v>
      </c>
      <c r="K79" t="s">
        <v>11</v>
      </c>
      <c r="L79" t="s">
        <v>25</v>
      </c>
      <c r="M79">
        <v>1</v>
      </c>
    </row>
    <row r="80" spans="1:13" x14ac:dyDescent="0.25">
      <c r="A80" s="2">
        <v>46303</v>
      </c>
      <c r="B80" s="1" t="str">
        <f ca="1">IF(Información1[[#This Row],[Fecha]]='Ajuste de fechas'!$A$2,"Día actual","Día anterior")</f>
        <v>Día anterior</v>
      </c>
      <c r="C80" t="s">
        <v>8</v>
      </c>
      <c r="D80" t="s">
        <v>9</v>
      </c>
      <c r="E80" t="s">
        <v>206</v>
      </c>
      <c r="F80" t="s">
        <v>13</v>
      </c>
      <c r="G80" t="s">
        <v>92</v>
      </c>
      <c r="H80" t="s">
        <v>37</v>
      </c>
      <c r="I80" t="s">
        <v>7</v>
      </c>
      <c r="J80" t="s">
        <v>28</v>
      </c>
      <c r="K80" t="s">
        <v>44</v>
      </c>
      <c r="L80" t="s">
        <v>26</v>
      </c>
      <c r="M80">
        <v>1</v>
      </c>
    </row>
    <row r="81" spans="1:13" x14ac:dyDescent="0.25">
      <c r="A81" s="2">
        <v>46303</v>
      </c>
      <c r="B81" s="1" t="str">
        <f ca="1">IF(Información1[[#This Row],[Fecha]]='Ajuste de fechas'!$A$2,"Día actual","Día anterior")</f>
        <v>Día anterior</v>
      </c>
      <c r="C81" t="s">
        <v>8</v>
      </c>
      <c r="D81" t="s">
        <v>9</v>
      </c>
      <c r="E81" t="s">
        <v>207</v>
      </c>
      <c r="F81" t="s">
        <v>33</v>
      </c>
      <c r="G81" t="s">
        <v>208</v>
      </c>
      <c r="H81" t="s">
        <v>37</v>
      </c>
      <c r="I81" t="s">
        <v>7</v>
      </c>
      <c r="J81" t="s">
        <v>16</v>
      </c>
      <c r="K81" t="s">
        <v>11</v>
      </c>
      <c r="L81" t="s">
        <v>34</v>
      </c>
      <c r="M81">
        <v>1</v>
      </c>
    </row>
    <row r="82" spans="1:13" x14ac:dyDescent="0.25">
      <c r="A82" s="2">
        <v>46303</v>
      </c>
      <c r="B82" s="1" t="str">
        <f ca="1">IF(Información1[[#This Row],[Fecha]]='Ajuste de fechas'!$A$2,"Día actual","Día anterior")</f>
        <v>Día anterior</v>
      </c>
      <c r="C82" t="s">
        <v>8</v>
      </c>
      <c r="D82" t="s">
        <v>9</v>
      </c>
      <c r="E82" t="s">
        <v>209</v>
      </c>
      <c r="F82" t="s">
        <v>33</v>
      </c>
      <c r="G82" t="s">
        <v>103</v>
      </c>
      <c r="H82" t="s">
        <v>37</v>
      </c>
      <c r="I82" t="s">
        <v>7</v>
      </c>
      <c r="J82" t="s">
        <v>16</v>
      </c>
      <c r="K82" t="s">
        <v>11</v>
      </c>
      <c r="L82" t="s">
        <v>25</v>
      </c>
      <c r="M82">
        <v>1</v>
      </c>
    </row>
    <row r="83" spans="1:13" x14ac:dyDescent="0.25">
      <c r="A83" s="2">
        <v>46303</v>
      </c>
      <c r="B83" s="1" t="str">
        <f ca="1">IF(Información1[[#This Row],[Fecha]]='Ajuste de fechas'!$A$2,"Día actual","Día anterior")</f>
        <v>Día anterior</v>
      </c>
      <c r="C83" t="s">
        <v>8</v>
      </c>
      <c r="D83" t="s">
        <v>9</v>
      </c>
      <c r="E83" t="s">
        <v>210</v>
      </c>
      <c r="F83" t="s">
        <v>35</v>
      </c>
      <c r="G83" t="s">
        <v>98</v>
      </c>
      <c r="H83" t="s">
        <v>37</v>
      </c>
      <c r="I83" t="s">
        <v>7</v>
      </c>
      <c r="J83" t="s">
        <v>24</v>
      </c>
      <c r="K83" t="s">
        <v>11</v>
      </c>
      <c r="L83" t="s">
        <v>27</v>
      </c>
      <c r="M83">
        <v>1</v>
      </c>
    </row>
    <row r="84" spans="1:13" x14ac:dyDescent="0.25">
      <c r="A84" s="2">
        <v>46303</v>
      </c>
      <c r="B84" s="1" t="str">
        <f ca="1">IF(Información1[[#This Row],[Fecha]]='Ajuste de fechas'!$A$2,"Día actual","Día anterior")</f>
        <v>Día anterior</v>
      </c>
      <c r="C84" t="s">
        <v>8</v>
      </c>
      <c r="D84" t="s">
        <v>9</v>
      </c>
      <c r="E84" t="s">
        <v>211</v>
      </c>
      <c r="F84" t="s">
        <v>87</v>
      </c>
      <c r="G84" t="s">
        <v>83</v>
      </c>
      <c r="H84" t="s">
        <v>37</v>
      </c>
      <c r="I84" t="s">
        <v>7</v>
      </c>
      <c r="J84" t="s">
        <v>24</v>
      </c>
      <c r="K84" t="s">
        <v>11</v>
      </c>
      <c r="L84" t="s">
        <v>27</v>
      </c>
      <c r="M84">
        <v>1</v>
      </c>
    </row>
    <row r="85" spans="1:13" x14ac:dyDescent="0.25">
      <c r="A85" s="2">
        <v>46303</v>
      </c>
      <c r="B85" s="1" t="str">
        <f ca="1">IF(Información1[[#This Row],[Fecha]]='Ajuste de fechas'!$A$2,"Día actual","Día anterior")</f>
        <v>Día anterior</v>
      </c>
      <c r="C85" t="s">
        <v>8</v>
      </c>
      <c r="D85" t="s">
        <v>9</v>
      </c>
      <c r="E85" t="s">
        <v>212</v>
      </c>
      <c r="F85" t="s">
        <v>12</v>
      </c>
      <c r="G85" t="s">
        <v>96</v>
      </c>
      <c r="H85" t="s">
        <v>37</v>
      </c>
      <c r="I85" t="s">
        <v>7</v>
      </c>
      <c r="J85" t="s">
        <v>24</v>
      </c>
      <c r="K85" t="s">
        <v>11</v>
      </c>
      <c r="L85" t="s">
        <v>27</v>
      </c>
      <c r="M85">
        <v>1</v>
      </c>
    </row>
    <row r="86" spans="1:13" x14ac:dyDescent="0.25">
      <c r="A86" s="2">
        <v>46303</v>
      </c>
      <c r="B86" s="1" t="str">
        <f ca="1">IF(Información1[[#This Row],[Fecha]]='Ajuste de fechas'!$A$2,"Día actual","Día anterior")</f>
        <v>Día anterior</v>
      </c>
      <c r="C86" t="s">
        <v>8</v>
      </c>
      <c r="D86" t="s">
        <v>9</v>
      </c>
      <c r="E86" t="s">
        <v>72</v>
      </c>
      <c r="F86" t="s">
        <v>13</v>
      </c>
      <c r="G86" t="s">
        <v>73</v>
      </c>
      <c r="H86" t="s">
        <v>37</v>
      </c>
      <c r="I86" t="s">
        <v>10</v>
      </c>
      <c r="J86" t="s">
        <v>28</v>
      </c>
      <c r="K86" t="s">
        <v>11</v>
      </c>
      <c r="L86" t="s">
        <v>26</v>
      </c>
      <c r="M86">
        <v>1</v>
      </c>
    </row>
    <row r="87" spans="1:13" x14ac:dyDescent="0.25">
      <c r="A87" s="2">
        <v>46303</v>
      </c>
      <c r="B87" s="1" t="str">
        <f ca="1">IF(Información1[[#This Row],[Fecha]]='Ajuste de fechas'!$A$2,"Día actual","Día anterior")</f>
        <v>Día anterior</v>
      </c>
      <c r="C87" t="s">
        <v>8</v>
      </c>
      <c r="D87" t="s">
        <v>9</v>
      </c>
      <c r="E87" t="s">
        <v>74</v>
      </c>
      <c r="F87" t="s">
        <v>13</v>
      </c>
      <c r="G87" t="s">
        <v>73</v>
      </c>
      <c r="H87" t="s">
        <v>37</v>
      </c>
      <c r="I87" t="s">
        <v>10</v>
      </c>
      <c r="J87" t="s">
        <v>28</v>
      </c>
      <c r="K87" t="s">
        <v>11</v>
      </c>
      <c r="L87" t="s">
        <v>26</v>
      </c>
      <c r="M87">
        <v>1</v>
      </c>
    </row>
    <row r="88" spans="1:13" x14ac:dyDescent="0.25">
      <c r="A88" s="2">
        <v>46303</v>
      </c>
      <c r="B88" s="1" t="str">
        <f ca="1">IF(Información1[[#This Row],[Fecha]]='Ajuste de fechas'!$A$2,"Día actual","Día anterior")</f>
        <v>Día anterior</v>
      </c>
      <c r="C88" t="s">
        <v>8</v>
      </c>
      <c r="D88" t="s">
        <v>9</v>
      </c>
      <c r="E88" t="s">
        <v>75</v>
      </c>
      <c r="F88" t="s">
        <v>33</v>
      </c>
      <c r="G88" t="s">
        <v>73</v>
      </c>
      <c r="H88" t="s">
        <v>37</v>
      </c>
      <c r="I88" t="s">
        <v>10</v>
      </c>
      <c r="J88" t="s">
        <v>16</v>
      </c>
      <c r="K88" t="s">
        <v>11</v>
      </c>
      <c r="L88" t="s">
        <v>26</v>
      </c>
      <c r="M88">
        <v>1</v>
      </c>
    </row>
    <row r="89" spans="1:13" x14ac:dyDescent="0.25">
      <c r="A89" s="2">
        <v>46303</v>
      </c>
      <c r="B89" s="1" t="str">
        <f ca="1">IF(Información1[[#This Row],[Fecha]]='Ajuste de fechas'!$A$2,"Día actual","Día anterior")</f>
        <v>Día anterior</v>
      </c>
      <c r="C89" t="s">
        <v>8</v>
      </c>
      <c r="D89" t="s">
        <v>9</v>
      </c>
      <c r="E89" t="s">
        <v>213</v>
      </c>
      <c r="F89" t="s">
        <v>35</v>
      </c>
      <c r="G89" t="s">
        <v>73</v>
      </c>
      <c r="H89" t="s">
        <v>37</v>
      </c>
      <c r="I89" t="s">
        <v>10</v>
      </c>
      <c r="J89" t="s">
        <v>24</v>
      </c>
      <c r="K89" t="s">
        <v>11</v>
      </c>
      <c r="L89" t="s">
        <v>26</v>
      </c>
      <c r="M89">
        <v>1</v>
      </c>
    </row>
    <row r="90" spans="1:13" x14ac:dyDescent="0.25">
      <c r="A90" s="2">
        <v>46303</v>
      </c>
      <c r="B90" s="1" t="str">
        <f ca="1">IF(Información1[[#This Row],[Fecha]]='Ajuste de fechas'!$A$2,"Día actual","Día anterior")</f>
        <v>Día anterior</v>
      </c>
      <c r="C90" t="s">
        <v>8</v>
      </c>
      <c r="D90" t="s">
        <v>9</v>
      </c>
      <c r="E90" t="s">
        <v>91</v>
      </c>
      <c r="F90" t="s">
        <v>12</v>
      </c>
      <c r="G90" t="s">
        <v>73</v>
      </c>
      <c r="H90" t="s">
        <v>37</v>
      </c>
      <c r="I90" t="s">
        <v>10</v>
      </c>
      <c r="J90" t="s">
        <v>24</v>
      </c>
      <c r="K90" t="s">
        <v>11</v>
      </c>
      <c r="L90" t="s">
        <v>26</v>
      </c>
      <c r="M90">
        <v>1</v>
      </c>
    </row>
    <row r="91" spans="1:13" x14ac:dyDescent="0.25">
      <c r="A91" s="2">
        <v>46303</v>
      </c>
      <c r="B91" s="1" t="str">
        <f ca="1">IF(Información1[[#This Row],[Fecha]]='Ajuste de fechas'!$A$2,"Día actual","Día anterior")</f>
        <v>Día anterior</v>
      </c>
      <c r="C91" t="s">
        <v>8</v>
      </c>
      <c r="D91" t="s">
        <v>9</v>
      </c>
      <c r="E91" t="s">
        <v>76</v>
      </c>
      <c r="F91" t="s">
        <v>6</v>
      </c>
      <c r="G91" t="s">
        <v>73</v>
      </c>
      <c r="H91" t="s">
        <v>37</v>
      </c>
      <c r="I91" t="s">
        <v>10</v>
      </c>
      <c r="J91" t="s">
        <v>24</v>
      </c>
      <c r="K91" t="s">
        <v>11</v>
      </c>
      <c r="L91" t="s">
        <v>26</v>
      </c>
      <c r="M91">
        <v>1</v>
      </c>
    </row>
    <row r="92" spans="1:13" x14ac:dyDescent="0.25">
      <c r="A92" s="2">
        <v>46304</v>
      </c>
      <c r="B92" s="1" t="str">
        <f ca="1">IF(Información1[[#This Row],[Fecha]]='Ajuste de fechas'!$A$2,"Día actual","Día anterior")</f>
        <v>Día actual</v>
      </c>
      <c r="C92" t="s">
        <v>57</v>
      </c>
      <c r="D92" t="s">
        <v>58</v>
      </c>
      <c r="E92" t="s">
        <v>214</v>
      </c>
      <c r="F92" t="s">
        <v>89</v>
      </c>
      <c r="G92" t="s">
        <v>79</v>
      </c>
      <c r="H92" t="s">
        <v>37</v>
      </c>
      <c r="I92" t="s">
        <v>7</v>
      </c>
      <c r="J92" t="s">
        <v>24</v>
      </c>
      <c r="K92" t="s">
        <v>59</v>
      </c>
      <c r="L92" t="s">
        <v>34</v>
      </c>
      <c r="M92">
        <v>2</v>
      </c>
    </row>
    <row r="93" spans="1:13" x14ac:dyDescent="0.25">
      <c r="A93" s="2">
        <v>46304</v>
      </c>
      <c r="B93" s="1" t="str">
        <f ca="1">IF(Información1[[#This Row],[Fecha]]='Ajuste de fechas'!$A$2,"Día actual","Día anterior")</f>
        <v>Día actual</v>
      </c>
      <c r="C93" t="s">
        <v>57</v>
      </c>
      <c r="D93" t="s">
        <v>58</v>
      </c>
      <c r="E93" t="s">
        <v>215</v>
      </c>
      <c r="F93" t="s">
        <v>13</v>
      </c>
      <c r="G93" t="s">
        <v>216</v>
      </c>
      <c r="H93" t="s">
        <v>37</v>
      </c>
      <c r="I93" t="s">
        <v>7</v>
      </c>
      <c r="J93" t="s">
        <v>28</v>
      </c>
      <c r="K93" t="s">
        <v>85</v>
      </c>
      <c r="L93" t="s">
        <v>25</v>
      </c>
      <c r="M93">
        <v>2</v>
      </c>
    </row>
    <row r="94" spans="1:13" x14ac:dyDescent="0.25">
      <c r="A94" s="2">
        <v>46304</v>
      </c>
      <c r="B94" s="1" t="str">
        <f ca="1">IF(Información1[[#This Row],[Fecha]]='Ajuste de fechas'!$A$2,"Día actual","Día anterior")</f>
        <v>Día actual</v>
      </c>
      <c r="C94" t="s">
        <v>57</v>
      </c>
      <c r="D94" t="s">
        <v>58</v>
      </c>
      <c r="E94" t="s">
        <v>217</v>
      </c>
      <c r="F94" t="s">
        <v>42</v>
      </c>
      <c r="G94" t="s">
        <v>218</v>
      </c>
      <c r="H94" t="s">
        <v>37</v>
      </c>
      <c r="I94" t="s">
        <v>17</v>
      </c>
      <c r="J94" t="s">
        <v>24</v>
      </c>
      <c r="K94" t="s">
        <v>59</v>
      </c>
      <c r="L94" t="s">
        <v>26</v>
      </c>
      <c r="M94">
        <v>2</v>
      </c>
    </row>
    <row r="95" spans="1:13" x14ac:dyDescent="0.25">
      <c r="A95" s="2">
        <v>46304</v>
      </c>
      <c r="B95" s="1" t="str">
        <f ca="1">IF(Información1[[#This Row],[Fecha]]='Ajuste de fechas'!$A$2,"Día actual","Día anterior")</f>
        <v>Día actual</v>
      </c>
      <c r="C95" t="s">
        <v>57</v>
      </c>
      <c r="D95" t="s">
        <v>58</v>
      </c>
      <c r="E95" t="s">
        <v>219</v>
      </c>
      <c r="F95" t="s">
        <v>35</v>
      </c>
      <c r="G95" t="s">
        <v>143</v>
      </c>
      <c r="H95" t="s">
        <v>37</v>
      </c>
      <c r="I95" t="s">
        <v>7</v>
      </c>
      <c r="J95" t="s">
        <v>24</v>
      </c>
      <c r="K95" t="s">
        <v>85</v>
      </c>
      <c r="L95" t="s">
        <v>25</v>
      </c>
      <c r="M95">
        <v>2</v>
      </c>
    </row>
    <row r="96" spans="1:13" x14ac:dyDescent="0.25">
      <c r="A96" s="2">
        <v>46304</v>
      </c>
      <c r="B96" s="1" t="str">
        <f ca="1">IF(Información1[[#This Row],[Fecha]]='Ajuste de fechas'!$A$2,"Día actual","Día anterior")</f>
        <v>Día actual</v>
      </c>
      <c r="C96" t="s">
        <v>57</v>
      </c>
      <c r="D96" t="s">
        <v>58</v>
      </c>
      <c r="E96" t="s">
        <v>142</v>
      </c>
      <c r="F96" t="s">
        <v>35</v>
      </c>
      <c r="G96" t="s">
        <v>143</v>
      </c>
      <c r="H96" t="s">
        <v>37</v>
      </c>
      <c r="I96" t="s">
        <v>7</v>
      </c>
      <c r="J96" t="s">
        <v>24</v>
      </c>
      <c r="K96" t="s">
        <v>59</v>
      </c>
      <c r="L96" t="s">
        <v>27</v>
      </c>
      <c r="M96">
        <v>2</v>
      </c>
    </row>
    <row r="97" spans="1:13" x14ac:dyDescent="0.25">
      <c r="A97" s="2">
        <v>46304</v>
      </c>
      <c r="B97" s="1" t="str">
        <f ca="1">IF(Información1[[#This Row],[Fecha]]='Ajuste de fechas'!$A$2,"Día actual","Día anterior")</f>
        <v>Día actual</v>
      </c>
      <c r="C97" t="s">
        <v>57</v>
      </c>
      <c r="D97" t="s">
        <v>58</v>
      </c>
      <c r="E97" t="s">
        <v>214</v>
      </c>
      <c r="F97" t="s">
        <v>15</v>
      </c>
      <c r="G97" t="s">
        <v>79</v>
      </c>
      <c r="H97" t="s">
        <v>37</v>
      </c>
      <c r="I97" t="s">
        <v>7</v>
      </c>
      <c r="J97" t="s">
        <v>29</v>
      </c>
      <c r="K97" t="s">
        <v>59</v>
      </c>
      <c r="L97" t="s">
        <v>34</v>
      </c>
      <c r="M97">
        <v>2</v>
      </c>
    </row>
    <row r="98" spans="1:13" x14ac:dyDescent="0.25">
      <c r="A98" s="2">
        <v>46304</v>
      </c>
      <c r="B98" s="1" t="str">
        <f ca="1">IF(Información1[[#This Row],[Fecha]]='Ajuste de fechas'!$A$2,"Día actual","Día anterior")</f>
        <v>Día actual</v>
      </c>
      <c r="C98" t="s">
        <v>57</v>
      </c>
      <c r="D98" t="s">
        <v>58</v>
      </c>
      <c r="E98" t="s">
        <v>220</v>
      </c>
      <c r="F98" t="s">
        <v>13</v>
      </c>
      <c r="G98" t="s">
        <v>221</v>
      </c>
      <c r="H98" t="s">
        <v>37</v>
      </c>
      <c r="I98" t="s">
        <v>7</v>
      </c>
      <c r="J98" t="s">
        <v>28</v>
      </c>
      <c r="K98" t="s">
        <v>85</v>
      </c>
      <c r="L98" t="s">
        <v>25</v>
      </c>
      <c r="M98">
        <v>2</v>
      </c>
    </row>
    <row r="99" spans="1:13" x14ac:dyDescent="0.25">
      <c r="A99" s="2">
        <v>46304</v>
      </c>
      <c r="B99" s="1" t="str">
        <f ca="1">IF(Información1[[#This Row],[Fecha]]='Ajuste de fechas'!$A$2,"Día actual","Día anterior")</f>
        <v>Día actual</v>
      </c>
      <c r="C99" t="s">
        <v>57</v>
      </c>
      <c r="D99" t="s">
        <v>58</v>
      </c>
      <c r="E99" t="s">
        <v>77</v>
      </c>
      <c r="F99" t="s">
        <v>13</v>
      </c>
      <c r="G99" t="s">
        <v>60</v>
      </c>
      <c r="H99" t="s">
        <v>37</v>
      </c>
      <c r="I99" t="s">
        <v>7</v>
      </c>
      <c r="J99" t="s">
        <v>28</v>
      </c>
      <c r="K99" t="s">
        <v>64</v>
      </c>
      <c r="L99" t="s">
        <v>65</v>
      </c>
      <c r="M99">
        <v>2</v>
      </c>
    </row>
    <row r="100" spans="1:13" x14ac:dyDescent="0.25">
      <c r="A100" s="2">
        <v>46304</v>
      </c>
      <c r="B100" s="1" t="str">
        <f ca="1">IF(Información1[[#This Row],[Fecha]]='Ajuste de fechas'!$A$2,"Día actual","Día anterior")</f>
        <v>Día actual</v>
      </c>
      <c r="C100" t="s">
        <v>57</v>
      </c>
      <c r="D100" t="s">
        <v>58</v>
      </c>
      <c r="E100" t="s">
        <v>222</v>
      </c>
      <c r="F100" t="s">
        <v>14</v>
      </c>
      <c r="G100" t="s">
        <v>67</v>
      </c>
      <c r="H100" t="s">
        <v>37</v>
      </c>
      <c r="I100" t="s">
        <v>7</v>
      </c>
      <c r="J100" t="s">
        <v>24</v>
      </c>
      <c r="K100" t="s">
        <v>59</v>
      </c>
      <c r="L100" t="s">
        <v>25</v>
      </c>
      <c r="M100">
        <v>2</v>
      </c>
    </row>
    <row r="101" spans="1:13" x14ac:dyDescent="0.25">
      <c r="A101" s="2">
        <v>46304</v>
      </c>
      <c r="B101" s="1" t="str">
        <f ca="1">IF(Información1[[#This Row],[Fecha]]='Ajuste de fechas'!$A$2,"Día actual","Día anterior")</f>
        <v>Día actual</v>
      </c>
      <c r="C101" t="s">
        <v>57</v>
      </c>
      <c r="D101" t="s">
        <v>58</v>
      </c>
      <c r="E101" t="s">
        <v>223</v>
      </c>
      <c r="F101" t="s">
        <v>224</v>
      </c>
      <c r="G101" t="s">
        <v>225</v>
      </c>
      <c r="H101" t="s">
        <v>37</v>
      </c>
      <c r="I101" t="s">
        <v>7</v>
      </c>
      <c r="J101" t="s">
        <v>16</v>
      </c>
      <c r="K101" t="s">
        <v>85</v>
      </c>
      <c r="L101" t="s">
        <v>25</v>
      </c>
      <c r="M101">
        <v>2</v>
      </c>
    </row>
    <row r="102" spans="1:13" x14ac:dyDescent="0.25">
      <c r="A102" s="2">
        <v>46304</v>
      </c>
      <c r="B102" s="1" t="str">
        <f ca="1">IF(Información1[[#This Row],[Fecha]]='Ajuste de fechas'!$A$2,"Día actual","Día anterior")</f>
        <v>Día actual</v>
      </c>
      <c r="C102" t="s">
        <v>57</v>
      </c>
      <c r="D102" t="s">
        <v>58</v>
      </c>
      <c r="E102" t="s">
        <v>226</v>
      </c>
      <c r="F102" t="s">
        <v>42</v>
      </c>
      <c r="G102" t="s">
        <v>165</v>
      </c>
      <c r="H102" t="s">
        <v>37</v>
      </c>
      <c r="I102" t="s">
        <v>7</v>
      </c>
      <c r="J102" t="s">
        <v>24</v>
      </c>
      <c r="K102" t="s">
        <v>85</v>
      </c>
      <c r="L102" t="s">
        <v>25</v>
      </c>
      <c r="M102">
        <v>2</v>
      </c>
    </row>
    <row r="103" spans="1:13" x14ac:dyDescent="0.25">
      <c r="A103" s="2">
        <v>46304</v>
      </c>
      <c r="B103" s="1" t="str">
        <f ca="1">IF(Información1[[#This Row],[Fecha]]='Ajuste de fechas'!$A$2,"Día actual","Día anterior")</f>
        <v>Día actual</v>
      </c>
      <c r="C103" t="s">
        <v>49</v>
      </c>
      <c r="D103" t="s">
        <v>50</v>
      </c>
      <c r="E103" t="s">
        <v>227</v>
      </c>
      <c r="F103" t="s">
        <v>51</v>
      </c>
      <c r="G103" t="s">
        <v>95</v>
      </c>
      <c r="H103" t="s">
        <v>52</v>
      </c>
      <c r="I103" t="s">
        <v>7</v>
      </c>
      <c r="J103" t="s">
        <v>53</v>
      </c>
      <c r="K103" t="s">
        <v>55</v>
      </c>
      <c r="L103" t="s">
        <v>34</v>
      </c>
      <c r="M103">
        <v>2</v>
      </c>
    </row>
    <row r="104" spans="1:13" x14ac:dyDescent="0.25">
      <c r="A104" s="2">
        <v>46304</v>
      </c>
      <c r="B104" s="1" t="str">
        <f ca="1">IF(Información1[[#This Row],[Fecha]]='Ajuste de fechas'!$A$2,"Día actual","Día anterior")</f>
        <v>Día actual</v>
      </c>
      <c r="C104" t="s">
        <v>49</v>
      </c>
      <c r="D104" t="s">
        <v>50</v>
      </c>
      <c r="E104" t="s">
        <v>228</v>
      </c>
      <c r="F104" t="s">
        <v>229</v>
      </c>
      <c r="G104" t="s">
        <v>81</v>
      </c>
      <c r="H104" t="s">
        <v>52</v>
      </c>
      <c r="I104" t="s">
        <v>7</v>
      </c>
      <c r="J104" t="s">
        <v>16</v>
      </c>
      <c r="K104" t="s">
        <v>55</v>
      </c>
      <c r="L104" t="s">
        <v>25</v>
      </c>
      <c r="M104">
        <v>2</v>
      </c>
    </row>
    <row r="105" spans="1:13" x14ac:dyDescent="0.25">
      <c r="A105" s="2">
        <v>46304</v>
      </c>
      <c r="B105" s="1" t="str">
        <f ca="1">IF(Información1[[#This Row],[Fecha]]='Ajuste de fechas'!$A$2,"Día actual","Día anterior")</f>
        <v>Día actual</v>
      </c>
      <c r="C105" t="s">
        <v>49</v>
      </c>
      <c r="D105" t="s">
        <v>50</v>
      </c>
      <c r="E105" t="s">
        <v>230</v>
      </c>
      <c r="F105" t="s">
        <v>89</v>
      </c>
      <c r="G105" t="s">
        <v>79</v>
      </c>
      <c r="H105" t="s">
        <v>52</v>
      </c>
      <c r="I105" t="s">
        <v>7</v>
      </c>
      <c r="J105" t="s">
        <v>24</v>
      </c>
      <c r="K105" t="s">
        <v>55</v>
      </c>
      <c r="L105" t="s">
        <v>27</v>
      </c>
      <c r="M105">
        <v>2</v>
      </c>
    </row>
    <row r="106" spans="1:13" x14ac:dyDescent="0.25">
      <c r="A106" s="2">
        <v>46304</v>
      </c>
      <c r="B106" s="1" t="str">
        <f ca="1">IF(Información1[[#This Row],[Fecha]]='Ajuste de fechas'!$A$2,"Día actual","Día anterior")</f>
        <v>Día actual</v>
      </c>
      <c r="C106" t="s">
        <v>49</v>
      </c>
      <c r="D106" t="s">
        <v>50</v>
      </c>
      <c r="E106" t="s">
        <v>231</v>
      </c>
      <c r="F106" t="s">
        <v>51</v>
      </c>
      <c r="G106" t="s">
        <v>56</v>
      </c>
      <c r="H106" t="s">
        <v>52</v>
      </c>
      <c r="I106" t="s">
        <v>7</v>
      </c>
      <c r="J106" t="s">
        <v>53</v>
      </c>
      <c r="K106" t="s">
        <v>55</v>
      </c>
      <c r="L106" t="s">
        <v>25</v>
      </c>
      <c r="M106">
        <v>2</v>
      </c>
    </row>
    <row r="107" spans="1:13" x14ac:dyDescent="0.25">
      <c r="A107" s="2">
        <v>46304</v>
      </c>
      <c r="B107" s="1" t="str">
        <f ca="1">IF(Información1[[#This Row],[Fecha]]='Ajuste de fechas'!$A$2,"Día actual","Día anterior")</f>
        <v>Día actual</v>
      </c>
      <c r="C107" t="s">
        <v>49</v>
      </c>
      <c r="D107" t="s">
        <v>50</v>
      </c>
      <c r="E107" t="s">
        <v>232</v>
      </c>
      <c r="F107" t="s">
        <v>35</v>
      </c>
      <c r="G107" t="s">
        <v>93</v>
      </c>
      <c r="H107" t="s">
        <v>52</v>
      </c>
      <c r="I107" t="s">
        <v>17</v>
      </c>
      <c r="J107" t="s">
        <v>24</v>
      </c>
      <c r="K107" t="s">
        <v>55</v>
      </c>
      <c r="L107" t="s">
        <v>26</v>
      </c>
      <c r="M107">
        <v>2</v>
      </c>
    </row>
    <row r="108" spans="1:13" x14ac:dyDescent="0.25">
      <c r="A108" s="2">
        <v>46304</v>
      </c>
      <c r="B108" s="1" t="str">
        <f ca="1">IF(Información1[[#This Row],[Fecha]]='Ajuste de fechas'!$A$2,"Día actual","Día anterior")</f>
        <v>Día actual</v>
      </c>
      <c r="C108" t="s">
        <v>49</v>
      </c>
      <c r="D108" t="s">
        <v>50</v>
      </c>
      <c r="E108" t="s">
        <v>233</v>
      </c>
      <c r="F108" t="s">
        <v>89</v>
      </c>
      <c r="G108" t="s">
        <v>234</v>
      </c>
      <c r="H108" t="s">
        <v>52</v>
      </c>
      <c r="I108" t="s">
        <v>10</v>
      </c>
      <c r="J108" t="s">
        <v>24</v>
      </c>
      <c r="K108" t="s">
        <v>55</v>
      </c>
      <c r="L108" t="s">
        <v>25</v>
      </c>
      <c r="M108">
        <v>2</v>
      </c>
    </row>
    <row r="109" spans="1:13" x14ac:dyDescent="0.25">
      <c r="A109" s="2">
        <v>46304</v>
      </c>
      <c r="B109" s="1" t="str">
        <f ca="1">IF(Información1[[#This Row],[Fecha]]='Ajuste de fechas'!$A$2,"Día actual","Día anterior")</f>
        <v>Día actual</v>
      </c>
      <c r="C109" t="s">
        <v>49</v>
      </c>
      <c r="D109" t="s">
        <v>50</v>
      </c>
      <c r="E109" t="s">
        <v>235</v>
      </c>
      <c r="F109" t="s">
        <v>89</v>
      </c>
      <c r="G109" t="s">
        <v>100</v>
      </c>
      <c r="H109" t="s">
        <v>52</v>
      </c>
      <c r="I109" t="s">
        <v>7</v>
      </c>
      <c r="J109" t="s">
        <v>24</v>
      </c>
      <c r="K109" t="s">
        <v>55</v>
      </c>
      <c r="L109" t="s">
        <v>25</v>
      </c>
      <c r="M109">
        <v>2</v>
      </c>
    </row>
    <row r="110" spans="1:13" x14ac:dyDescent="0.25">
      <c r="A110" s="2">
        <v>46304</v>
      </c>
      <c r="B110" s="1" t="str">
        <f ca="1">IF(Información1[[#This Row],[Fecha]]='Ajuste de fechas'!$A$2,"Día actual","Día anterior")</f>
        <v>Día actual</v>
      </c>
      <c r="C110" t="s">
        <v>49</v>
      </c>
      <c r="D110" t="s">
        <v>50</v>
      </c>
      <c r="E110" t="s">
        <v>236</v>
      </c>
      <c r="F110" t="s">
        <v>35</v>
      </c>
      <c r="G110" t="s">
        <v>84</v>
      </c>
      <c r="H110" t="s">
        <v>52</v>
      </c>
      <c r="I110" t="s">
        <v>7</v>
      </c>
      <c r="J110" t="s">
        <v>24</v>
      </c>
      <c r="K110" t="s">
        <v>54</v>
      </c>
      <c r="L110" t="s">
        <v>25</v>
      </c>
      <c r="M110">
        <v>2</v>
      </c>
    </row>
    <row r="111" spans="1:13" x14ac:dyDescent="0.25">
      <c r="A111" s="2">
        <v>46304</v>
      </c>
      <c r="B111" s="1" t="str">
        <f ca="1">IF(Información1[[#This Row],[Fecha]]='Ajuste de fechas'!$A$2,"Día actual","Día anterior")</f>
        <v>Día actual</v>
      </c>
      <c r="C111" t="s">
        <v>90</v>
      </c>
      <c r="D111" t="s">
        <v>68</v>
      </c>
      <c r="E111" t="s">
        <v>237</v>
      </c>
      <c r="F111" t="s">
        <v>15</v>
      </c>
      <c r="G111" t="s">
        <v>238</v>
      </c>
      <c r="H111" t="s">
        <v>37</v>
      </c>
      <c r="I111" t="s">
        <v>7</v>
      </c>
      <c r="J111" t="s">
        <v>29</v>
      </c>
      <c r="K111" t="s">
        <v>69</v>
      </c>
      <c r="L111" t="s">
        <v>25</v>
      </c>
      <c r="M111">
        <v>1</v>
      </c>
    </row>
    <row r="112" spans="1:13" x14ac:dyDescent="0.25">
      <c r="A112" s="2">
        <v>46304</v>
      </c>
      <c r="B112" s="1" t="str">
        <f ca="1">IF(Información1[[#This Row],[Fecha]]='Ajuste de fechas'!$A$2,"Día actual","Día anterior")</f>
        <v>Día actual</v>
      </c>
      <c r="C112" t="s">
        <v>90</v>
      </c>
      <c r="D112" t="s">
        <v>68</v>
      </c>
      <c r="E112" t="s">
        <v>239</v>
      </c>
      <c r="F112" t="s">
        <v>42</v>
      </c>
      <c r="G112" t="s">
        <v>165</v>
      </c>
      <c r="H112" t="s">
        <v>37</v>
      </c>
      <c r="I112" t="s">
        <v>7</v>
      </c>
      <c r="J112" t="s">
        <v>24</v>
      </c>
      <c r="K112" t="s">
        <v>69</v>
      </c>
      <c r="L112" t="s">
        <v>25</v>
      </c>
      <c r="M112">
        <v>1</v>
      </c>
    </row>
    <row r="113" spans="1:13" x14ac:dyDescent="0.25">
      <c r="A113" s="2">
        <v>46304</v>
      </c>
      <c r="B113" s="1" t="str">
        <f ca="1">IF(Información1[[#This Row],[Fecha]]='Ajuste de fechas'!$A$2,"Día actual","Día anterior")</f>
        <v>Día actual</v>
      </c>
      <c r="C113" t="s">
        <v>90</v>
      </c>
      <c r="D113" t="s">
        <v>68</v>
      </c>
      <c r="E113" t="s">
        <v>240</v>
      </c>
      <c r="F113" t="s">
        <v>15</v>
      </c>
      <c r="G113" t="s">
        <v>241</v>
      </c>
      <c r="H113" t="s">
        <v>37</v>
      </c>
      <c r="I113" t="s">
        <v>7</v>
      </c>
      <c r="J113" t="s">
        <v>29</v>
      </c>
      <c r="K113" t="s">
        <v>69</v>
      </c>
      <c r="L113" t="s">
        <v>25</v>
      </c>
      <c r="M113">
        <v>1</v>
      </c>
    </row>
    <row r="114" spans="1:13" x14ac:dyDescent="0.25">
      <c r="A114" s="2">
        <v>46304</v>
      </c>
      <c r="B114" s="1" t="str">
        <f ca="1">IF(Información1[[#This Row],[Fecha]]='Ajuste de fechas'!$A$2,"Día actual","Día anterior")</f>
        <v>Día actual</v>
      </c>
      <c r="C114" t="s">
        <v>90</v>
      </c>
      <c r="D114" t="s">
        <v>68</v>
      </c>
      <c r="E114" t="s">
        <v>242</v>
      </c>
      <c r="F114" t="s">
        <v>16</v>
      </c>
      <c r="H114" t="s">
        <v>37</v>
      </c>
      <c r="I114" t="s">
        <v>7</v>
      </c>
      <c r="J114" t="s">
        <v>16</v>
      </c>
      <c r="K114" t="s">
        <v>69</v>
      </c>
      <c r="L114" t="s">
        <v>25</v>
      </c>
      <c r="M114">
        <v>1</v>
      </c>
    </row>
    <row r="115" spans="1:13" x14ac:dyDescent="0.25">
      <c r="A115" s="2">
        <v>46304</v>
      </c>
      <c r="B115" s="1" t="str">
        <f ca="1">IF(Información1[[#This Row],[Fecha]]='Ajuste de fechas'!$A$2,"Día actual","Día anterior")</f>
        <v>Día actual</v>
      </c>
      <c r="C115" t="s">
        <v>90</v>
      </c>
      <c r="D115" t="s">
        <v>68</v>
      </c>
      <c r="E115" t="s">
        <v>243</v>
      </c>
      <c r="F115" t="s">
        <v>35</v>
      </c>
      <c r="G115" t="s">
        <v>143</v>
      </c>
      <c r="H115" t="s">
        <v>37</v>
      </c>
      <c r="I115" t="s">
        <v>7</v>
      </c>
      <c r="J115" t="s">
        <v>24</v>
      </c>
      <c r="K115" t="s">
        <v>69</v>
      </c>
      <c r="L115" t="s">
        <v>25</v>
      </c>
      <c r="M115">
        <v>1</v>
      </c>
    </row>
    <row r="116" spans="1:13" x14ac:dyDescent="0.25">
      <c r="A116" s="2">
        <v>46304</v>
      </c>
      <c r="B116" s="1" t="str">
        <f ca="1">IF(Información1[[#This Row],[Fecha]]='Ajuste de fechas'!$A$2,"Día actual","Día anterior")</f>
        <v>Día actual</v>
      </c>
      <c r="C116" t="s">
        <v>90</v>
      </c>
      <c r="D116" t="s">
        <v>68</v>
      </c>
      <c r="E116" t="s">
        <v>244</v>
      </c>
      <c r="F116" t="s">
        <v>35</v>
      </c>
      <c r="G116" t="s">
        <v>245</v>
      </c>
      <c r="H116" t="s">
        <v>37</v>
      </c>
      <c r="I116" t="s">
        <v>7</v>
      </c>
      <c r="J116" t="s">
        <v>24</v>
      </c>
      <c r="K116" t="s">
        <v>69</v>
      </c>
      <c r="L116" t="s">
        <v>25</v>
      </c>
      <c r="M116">
        <v>1</v>
      </c>
    </row>
    <row r="117" spans="1:13" x14ac:dyDescent="0.25">
      <c r="A117" s="2">
        <v>46304</v>
      </c>
      <c r="B117" s="1" t="str">
        <f ca="1">IF(Información1[[#This Row],[Fecha]]='Ajuste de fechas'!$A$2,"Día actual","Día anterior")</f>
        <v>Día actual</v>
      </c>
      <c r="C117" t="s">
        <v>90</v>
      </c>
      <c r="D117" t="s">
        <v>68</v>
      </c>
      <c r="E117" t="s">
        <v>246</v>
      </c>
      <c r="F117" t="s">
        <v>89</v>
      </c>
      <c r="G117" t="s">
        <v>79</v>
      </c>
      <c r="H117" t="s">
        <v>37</v>
      </c>
      <c r="I117" t="s">
        <v>7</v>
      </c>
      <c r="J117" t="s">
        <v>24</v>
      </c>
      <c r="K117" t="s">
        <v>69</v>
      </c>
      <c r="L117" t="s">
        <v>27</v>
      </c>
      <c r="M117">
        <v>1</v>
      </c>
    </row>
    <row r="118" spans="1:13" x14ac:dyDescent="0.25">
      <c r="A118" s="2">
        <v>46304</v>
      </c>
      <c r="B118" s="1" t="str">
        <f ca="1">IF(Información1[[#This Row],[Fecha]]='Ajuste de fechas'!$A$2,"Día actual","Día anterior")</f>
        <v>Día actual</v>
      </c>
      <c r="C118" t="s">
        <v>90</v>
      </c>
      <c r="D118" t="s">
        <v>68</v>
      </c>
      <c r="E118" t="s">
        <v>247</v>
      </c>
      <c r="F118" t="s">
        <v>15</v>
      </c>
      <c r="G118" t="s">
        <v>100</v>
      </c>
      <c r="H118" t="s">
        <v>37</v>
      </c>
      <c r="I118" t="s">
        <v>7</v>
      </c>
      <c r="J118" t="s">
        <v>29</v>
      </c>
      <c r="K118" t="s">
        <v>69</v>
      </c>
      <c r="L118" t="s">
        <v>26</v>
      </c>
      <c r="M118">
        <v>1</v>
      </c>
    </row>
    <row r="119" spans="1:13" x14ac:dyDescent="0.25">
      <c r="A119" s="2">
        <v>46304</v>
      </c>
      <c r="B119" s="1" t="str">
        <f ca="1">IF(Información1[[#This Row],[Fecha]]='Ajuste de fechas'!$A$2,"Día actual","Día anterior")</f>
        <v>Día actual</v>
      </c>
      <c r="C119" t="s">
        <v>90</v>
      </c>
      <c r="D119" t="s">
        <v>68</v>
      </c>
      <c r="E119" t="s">
        <v>248</v>
      </c>
      <c r="F119" t="s">
        <v>15</v>
      </c>
      <c r="G119" t="s">
        <v>100</v>
      </c>
      <c r="H119" t="s">
        <v>37</v>
      </c>
      <c r="I119" t="s">
        <v>7</v>
      </c>
      <c r="J119" t="s">
        <v>29</v>
      </c>
      <c r="K119" t="s">
        <v>69</v>
      </c>
      <c r="L119" t="s">
        <v>25</v>
      </c>
      <c r="M119">
        <v>1</v>
      </c>
    </row>
    <row r="120" spans="1:13" x14ac:dyDescent="0.25">
      <c r="A120" s="2">
        <v>46304</v>
      </c>
      <c r="B120" s="1" t="str">
        <f ca="1">IF(Información1[[#This Row],[Fecha]]='Ajuste de fechas'!$A$2,"Día actual","Día anterior")</f>
        <v>Día actual</v>
      </c>
      <c r="C120" t="s">
        <v>61</v>
      </c>
      <c r="D120" t="s">
        <v>62</v>
      </c>
      <c r="E120" t="s">
        <v>249</v>
      </c>
      <c r="F120" t="s">
        <v>250</v>
      </c>
      <c r="G120" t="s">
        <v>251</v>
      </c>
      <c r="H120" t="s">
        <v>37</v>
      </c>
      <c r="I120" t="s">
        <v>7</v>
      </c>
      <c r="J120" t="s">
        <v>24</v>
      </c>
      <c r="K120" t="s">
        <v>63</v>
      </c>
      <c r="L120" t="s">
        <v>27</v>
      </c>
      <c r="M120">
        <v>1</v>
      </c>
    </row>
    <row r="121" spans="1:13" x14ac:dyDescent="0.25">
      <c r="A121" s="2">
        <v>46304</v>
      </c>
      <c r="B121" s="1" t="str">
        <f ca="1">IF(Información1[[#This Row],[Fecha]]='Ajuste de fechas'!$A$2,"Día actual","Día anterior")</f>
        <v>Día actual</v>
      </c>
      <c r="C121" t="s">
        <v>8</v>
      </c>
      <c r="D121" t="s">
        <v>9</v>
      </c>
      <c r="E121" t="s">
        <v>252</v>
      </c>
      <c r="F121" t="s">
        <v>12</v>
      </c>
      <c r="G121" t="s">
        <v>253</v>
      </c>
      <c r="H121" t="s">
        <v>37</v>
      </c>
      <c r="I121" t="s">
        <v>17</v>
      </c>
      <c r="J121" t="s">
        <v>24</v>
      </c>
      <c r="K121" t="s">
        <v>44</v>
      </c>
      <c r="L121" t="s">
        <v>26</v>
      </c>
      <c r="M121">
        <v>1</v>
      </c>
    </row>
    <row r="122" spans="1:13" x14ac:dyDescent="0.25">
      <c r="A122" s="2">
        <v>46304</v>
      </c>
      <c r="B122" s="1" t="str">
        <f ca="1">IF(Información1[[#This Row],[Fecha]]='Ajuste de fechas'!$A$2,"Día actual","Día anterior")</f>
        <v>Día actual</v>
      </c>
      <c r="C122" t="s">
        <v>8</v>
      </c>
      <c r="D122" t="s">
        <v>9</v>
      </c>
      <c r="E122" t="s">
        <v>254</v>
      </c>
      <c r="F122" t="s">
        <v>12</v>
      </c>
      <c r="G122" t="s">
        <v>253</v>
      </c>
      <c r="H122" t="s">
        <v>37</v>
      </c>
      <c r="I122" t="s">
        <v>17</v>
      </c>
      <c r="J122" t="s">
        <v>24</v>
      </c>
      <c r="K122" t="s">
        <v>44</v>
      </c>
      <c r="L122" t="s">
        <v>26</v>
      </c>
      <c r="M122">
        <v>1</v>
      </c>
    </row>
    <row r="123" spans="1:13" x14ac:dyDescent="0.25">
      <c r="A123" s="2">
        <v>46304</v>
      </c>
      <c r="B123" s="1" t="str">
        <f ca="1">IF(Información1[[#This Row],[Fecha]]='Ajuste de fechas'!$A$2,"Día actual","Día anterior")</f>
        <v>Día actual</v>
      </c>
      <c r="C123" t="s">
        <v>8</v>
      </c>
      <c r="D123" t="s">
        <v>9</v>
      </c>
      <c r="E123" t="s">
        <v>255</v>
      </c>
      <c r="F123" t="s">
        <v>12</v>
      </c>
      <c r="G123" t="s">
        <v>167</v>
      </c>
      <c r="H123" t="s">
        <v>37</v>
      </c>
      <c r="I123" t="s">
        <v>17</v>
      </c>
      <c r="J123" t="s">
        <v>24</v>
      </c>
      <c r="K123" t="s">
        <v>44</v>
      </c>
      <c r="L123" t="s">
        <v>26</v>
      </c>
      <c r="M123">
        <v>1</v>
      </c>
    </row>
    <row r="124" spans="1:13" x14ac:dyDescent="0.25">
      <c r="A124" s="2">
        <v>46304</v>
      </c>
      <c r="B124" s="1" t="str">
        <f ca="1">IF(Información1[[#This Row],[Fecha]]='Ajuste de fechas'!$A$2,"Día actual","Día anterior")</f>
        <v>Día actual</v>
      </c>
      <c r="C124" t="s">
        <v>8</v>
      </c>
      <c r="D124" t="s">
        <v>9</v>
      </c>
      <c r="E124" t="s">
        <v>256</v>
      </c>
      <c r="F124" t="s">
        <v>6</v>
      </c>
      <c r="G124" t="s">
        <v>71</v>
      </c>
      <c r="H124" t="s">
        <v>37</v>
      </c>
      <c r="I124" t="s">
        <v>17</v>
      </c>
      <c r="J124" t="s">
        <v>24</v>
      </c>
      <c r="K124" t="s">
        <v>44</v>
      </c>
      <c r="L124" t="s">
        <v>26</v>
      </c>
      <c r="M124">
        <v>1</v>
      </c>
    </row>
    <row r="125" spans="1:13" x14ac:dyDescent="0.25">
      <c r="A125" s="2">
        <v>46304</v>
      </c>
      <c r="B125" s="1" t="str">
        <f ca="1">IF(Información1[[#This Row],[Fecha]]='Ajuste de fechas'!$A$2,"Día actual","Día anterior")</f>
        <v>Día actual</v>
      </c>
      <c r="C125" t="s">
        <v>8</v>
      </c>
      <c r="D125" t="s">
        <v>9</v>
      </c>
      <c r="E125" t="s">
        <v>257</v>
      </c>
      <c r="F125" t="s">
        <v>6</v>
      </c>
      <c r="G125" t="s">
        <v>258</v>
      </c>
      <c r="H125" t="s">
        <v>37</v>
      </c>
      <c r="I125" t="s">
        <v>17</v>
      </c>
      <c r="J125" t="s">
        <v>24</v>
      </c>
      <c r="K125" t="s">
        <v>44</v>
      </c>
      <c r="L125" t="s">
        <v>26</v>
      </c>
      <c r="M125">
        <v>1</v>
      </c>
    </row>
    <row r="126" spans="1:13" x14ac:dyDescent="0.25">
      <c r="A126" s="2">
        <v>46304</v>
      </c>
      <c r="B126" s="1" t="str">
        <f ca="1">IF(Información1[[#This Row],[Fecha]]='Ajuste de fechas'!$A$2,"Día actual","Día anterior")</f>
        <v>Día actual</v>
      </c>
      <c r="C126" t="s">
        <v>8</v>
      </c>
      <c r="D126" t="s">
        <v>9</v>
      </c>
      <c r="E126" t="s">
        <v>259</v>
      </c>
      <c r="F126" t="s">
        <v>36</v>
      </c>
      <c r="G126" t="s">
        <v>82</v>
      </c>
      <c r="H126" t="s">
        <v>37</v>
      </c>
      <c r="I126" t="s">
        <v>7</v>
      </c>
      <c r="J126" t="s">
        <v>24</v>
      </c>
      <c r="K126" t="s">
        <v>11</v>
      </c>
      <c r="L126" t="s">
        <v>26</v>
      </c>
      <c r="M126">
        <v>1</v>
      </c>
    </row>
    <row r="127" spans="1:13" x14ac:dyDescent="0.25">
      <c r="A127" s="2">
        <v>46304</v>
      </c>
      <c r="B127" s="1" t="str">
        <f ca="1">IF(Información1[[#This Row],[Fecha]]='Ajuste de fechas'!$A$2,"Día actual","Día anterior")</f>
        <v>Día actual</v>
      </c>
      <c r="C127" t="s">
        <v>8</v>
      </c>
      <c r="D127" t="s">
        <v>9</v>
      </c>
      <c r="E127" t="s">
        <v>260</v>
      </c>
      <c r="F127" t="s">
        <v>15</v>
      </c>
      <c r="G127" t="s">
        <v>261</v>
      </c>
      <c r="H127" t="s">
        <v>37</v>
      </c>
      <c r="I127" t="s">
        <v>7</v>
      </c>
      <c r="J127" t="s">
        <v>29</v>
      </c>
      <c r="K127" t="s">
        <v>11</v>
      </c>
      <c r="L127" t="s">
        <v>25</v>
      </c>
      <c r="M127">
        <v>1</v>
      </c>
    </row>
    <row r="128" spans="1:13" x14ac:dyDescent="0.25">
      <c r="A128" s="2">
        <v>46304</v>
      </c>
      <c r="B128" s="1" t="str">
        <f ca="1">IF(Información1[[#This Row],[Fecha]]='Ajuste de fechas'!$A$2,"Día actual","Día anterior")</f>
        <v>Día actual</v>
      </c>
      <c r="C128" t="s">
        <v>8</v>
      </c>
      <c r="D128" t="s">
        <v>9</v>
      </c>
      <c r="E128" t="s">
        <v>262</v>
      </c>
      <c r="F128" t="s">
        <v>14</v>
      </c>
      <c r="G128" t="s">
        <v>263</v>
      </c>
      <c r="H128" t="s">
        <v>37</v>
      </c>
      <c r="I128" t="s">
        <v>7</v>
      </c>
      <c r="J128" t="s">
        <v>24</v>
      </c>
      <c r="K128" t="s">
        <v>11</v>
      </c>
      <c r="L128" t="s">
        <v>27</v>
      </c>
      <c r="M128">
        <v>1</v>
      </c>
    </row>
    <row r="129" spans="1:13" x14ac:dyDescent="0.25">
      <c r="A129" s="2">
        <v>46304</v>
      </c>
      <c r="B129" s="1" t="str">
        <f ca="1">IF(Información1[[#This Row],[Fecha]]='Ajuste de fechas'!$A$2,"Día actual","Día anterior")</f>
        <v>Día actual</v>
      </c>
      <c r="C129" t="s">
        <v>8</v>
      </c>
      <c r="D129" t="s">
        <v>9</v>
      </c>
      <c r="E129" t="s">
        <v>264</v>
      </c>
      <c r="F129" t="s">
        <v>13</v>
      </c>
      <c r="G129" t="s">
        <v>265</v>
      </c>
      <c r="H129" t="s">
        <v>37</v>
      </c>
      <c r="I129" t="s">
        <v>7</v>
      </c>
      <c r="J129" t="s">
        <v>28</v>
      </c>
      <c r="K129" t="s">
        <v>11</v>
      </c>
      <c r="L129" t="s">
        <v>25</v>
      </c>
      <c r="M129">
        <v>1</v>
      </c>
    </row>
    <row r="130" spans="1:13" x14ac:dyDescent="0.25">
      <c r="A130" s="2">
        <v>46304</v>
      </c>
      <c r="B130" s="1" t="str">
        <f ca="1">IF(Información1[[#This Row],[Fecha]]='Ajuste de fechas'!$A$2,"Día actual","Día anterior")</f>
        <v>Día actual</v>
      </c>
      <c r="C130" t="s">
        <v>8</v>
      </c>
      <c r="D130" t="s">
        <v>9</v>
      </c>
      <c r="E130" t="s">
        <v>266</v>
      </c>
      <c r="F130" t="s">
        <v>6</v>
      </c>
      <c r="G130" t="s">
        <v>83</v>
      </c>
      <c r="H130" t="s">
        <v>37</v>
      </c>
      <c r="I130" t="s">
        <v>7</v>
      </c>
      <c r="J130" t="s">
        <v>24</v>
      </c>
      <c r="K130" t="s">
        <v>11</v>
      </c>
      <c r="L130" t="s">
        <v>25</v>
      </c>
      <c r="M130">
        <v>1</v>
      </c>
    </row>
    <row r="131" spans="1:13" x14ac:dyDescent="0.25">
      <c r="A131" s="2">
        <v>46304</v>
      </c>
      <c r="B131" s="1" t="str">
        <f ca="1">IF(Información1[[#This Row],[Fecha]]='Ajuste de fechas'!$A$2,"Día actual","Día anterior")</f>
        <v>Día actual</v>
      </c>
      <c r="C131" t="s">
        <v>8</v>
      </c>
      <c r="D131" t="s">
        <v>9</v>
      </c>
      <c r="E131" t="s">
        <v>267</v>
      </c>
      <c r="F131" t="s">
        <v>87</v>
      </c>
      <c r="G131" t="s">
        <v>66</v>
      </c>
      <c r="H131" t="s">
        <v>37</v>
      </c>
      <c r="I131" t="s">
        <v>7</v>
      </c>
      <c r="J131" t="s">
        <v>24</v>
      </c>
      <c r="K131" t="s">
        <v>11</v>
      </c>
      <c r="L131" t="s">
        <v>27</v>
      </c>
      <c r="M131">
        <v>1</v>
      </c>
    </row>
    <row r="132" spans="1:13" x14ac:dyDescent="0.25">
      <c r="A132" s="2">
        <v>46304</v>
      </c>
      <c r="B132" s="1" t="str">
        <f ca="1">IF(Información1[[#This Row],[Fecha]]='Ajuste de fechas'!$A$2,"Día actual","Día anterior")</f>
        <v>Día actual</v>
      </c>
      <c r="C132" t="s">
        <v>8</v>
      </c>
      <c r="D132" t="s">
        <v>9</v>
      </c>
      <c r="E132" t="s">
        <v>268</v>
      </c>
      <c r="F132" t="s">
        <v>35</v>
      </c>
      <c r="G132" t="s">
        <v>143</v>
      </c>
      <c r="H132" t="s">
        <v>37</v>
      </c>
      <c r="I132" t="s">
        <v>7</v>
      </c>
      <c r="J132" t="s">
        <v>24</v>
      </c>
      <c r="K132" t="s">
        <v>11</v>
      </c>
      <c r="L132" t="s">
        <v>25</v>
      </c>
      <c r="M132">
        <v>1</v>
      </c>
    </row>
    <row r="133" spans="1:13" x14ac:dyDescent="0.25">
      <c r="A133" s="2">
        <v>46304</v>
      </c>
      <c r="B133" s="1" t="str">
        <f ca="1">IF(Información1[[#This Row],[Fecha]]='Ajuste de fechas'!$A$2,"Día actual","Día anterior")</f>
        <v>Día actual</v>
      </c>
      <c r="C133" t="s">
        <v>8</v>
      </c>
      <c r="D133" t="s">
        <v>9</v>
      </c>
      <c r="E133" t="s">
        <v>72</v>
      </c>
      <c r="F133" t="s">
        <v>13</v>
      </c>
      <c r="G133" t="s">
        <v>73</v>
      </c>
      <c r="H133" t="s">
        <v>37</v>
      </c>
      <c r="I133" t="s">
        <v>10</v>
      </c>
      <c r="J133" t="s">
        <v>28</v>
      </c>
      <c r="K133" t="s">
        <v>11</v>
      </c>
      <c r="L133" t="s">
        <v>26</v>
      </c>
      <c r="M133">
        <v>1</v>
      </c>
    </row>
    <row r="134" spans="1:13" x14ac:dyDescent="0.25">
      <c r="A134" s="2">
        <v>46304</v>
      </c>
      <c r="B134" s="1" t="str">
        <f ca="1">IF(Información1[[#This Row],[Fecha]]='Ajuste de fechas'!$A$2,"Día actual","Día anterior")</f>
        <v>Día actual</v>
      </c>
      <c r="C134" t="s">
        <v>8</v>
      </c>
      <c r="D134" t="s">
        <v>9</v>
      </c>
      <c r="E134" t="s">
        <v>74</v>
      </c>
      <c r="F134" t="s">
        <v>13</v>
      </c>
      <c r="G134" t="s">
        <v>73</v>
      </c>
      <c r="H134" t="s">
        <v>37</v>
      </c>
      <c r="I134" t="s">
        <v>10</v>
      </c>
      <c r="J134" t="s">
        <v>28</v>
      </c>
      <c r="K134" t="s">
        <v>11</v>
      </c>
      <c r="L134" t="s">
        <v>26</v>
      </c>
      <c r="M134">
        <v>1</v>
      </c>
    </row>
    <row r="135" spans="1:13" x14ac:dyDescent="0.25">
      <c r="A135" s="2">
        <v>46304</v>
      </c>
      <c r="B135" s="1" t="str">
        <f ca="1">IF(Información1[[#This Row],[Fecha]]='Ajuste de fechas'!$A$2,"Día actual","Día anterior")</f>
        <v>Día actual</v>
      </c>
      <c r="C135" t="s">
        <v>8</v>
      </c>
      <c r="D135" t="s">
        <v>9</v>
      </c>
      <c r="E135" t="s">
        <v>75</v>
      </c>
      <c r="F135" t="s">
        <v>33</v>
      </c>
      <c r="G135" t="s">
        <v>73</v>
      </c>
      <c r="H135" t="s">
        <v>37</v>
      </c>
      <c r="I135" t="s">
        <v>10</v>
      </c>
      <c r="J135" t="s">
        <v>16</v>
      </c>
      <c r="K135" t="s">
        <v>11</v>
      </c>
      <c r="L135" t="s">
        <v>26</v>
      </c>
      <c r="M135">
        <v>1</v>
      </c>
    </row>
    <row r="136" spans="1:13" x14ac:dyDescent="0.25">
      <c r="A136" s="2">
        <v>46304</v>
      </c>
      <c r="B136" s="1" t="str">
        <f ca="1">IF(Información1[[#This Row],[Fecha]]='Ajuste de fechas'!$A$2,"Día actual","Día anterior")</f>
        <v>Día actual</v>
      </c>
      <c r="C136" t="s">
        <v>8</v>
      </c>
      <c r="D136" t="s">
        <v>9</v>
      </c>
      <c r="E136" t="s">
        <v>104</v>
      </c>
      <c r="F136" t="s">
        <v>14</v>
      </c>
      <c r="G136" t="s">
        <v>73</v>
      </c>
      <c r="H136" t="s">
        <v>37</v>
      </c>
      <c r="I136" t="s">
        <v>10</v>
      </c>
      <c r="J136" t="s">
        <v>24</v>
      </c>
      <c r="K136" t="s">
        <v>11</v>
      </c>
      <c r="L136" t="s">
        <v>26</v>
      </c>
      <c r="M136">
        <v>1</v>
      </c>
    </row>
    <row r="137" spans="1:13" x14ac:dyDescent="0.25">
      <c r="A137" s="2">
        <v>46304</v>
      </c>
      <c r="B137" s="1" t="str">
        <f ca="1">IF(Información1[[#This Row],[Fecha]]='Ajuste de fechas'!$A$2,"Día actual","Día anterior")</f>
        <v>Día actual</v>
      </c>
      <c r="C137" t="s">
        <v>8</v>
      </c>
      <c r="D137" t="s">
        <v>9</v>
      </c>
      <c r="E137" t="s">
        <v>213</v>
      </c>
      <c r="F137" t="s">
        <v>35</v>
      </c>
      <c r="G137" t="s">
        <v>73</v>
      </c>
      <c r="H137" t="s">
        <v>37</v>
      </c>
      <c r="I137" t="s">
        <v>10</v>
      </c>
      <c r="J137" t="s">
        <v>24</v>
      </c>
      <c r="K137" t="s">
        <v>11</v>
      </c>
      <c r="L137" t="s">
        <v>26</v>
      </c>
      <c r="M137">
        <v>1</v>
      </c>
    </row>
    <row r="138" spans="1:13" x14ac:dyDescent="0.25">
      <c r="A138" s="2">
        <v>46304</v>
      </c>
      <c r="B138" s="1" t="str">
        <f ca="1">IF(Información1[[#This Row],[Fecha]]='Ajuste de fechas'!$A$2,"Día actual","Día anterior")</f>
        <v>Día actual</v>
      </c>
      <c r="C138" t="s">
        <v>8</v>
      </c>
      <c r="D138" t="s">
        <v>9</v>
      </c>
      <c r="E138" t="s">
        <v>91</v>
      </c>
      <c r="F138" t="s">
        <v>12</v>
      </c>
      <c r="G138" t="s">
        <v>73</v>
      </c>
      <c r="H138" t="s">
        <v>37</v>
      </c>
      <c r="I138" t="s">
        <v>10</v>
      </c>
      <c r="J138" t="s">
        <v>24</v>
      </c>
      <c r="K138" t="s">
        <v>11</v>
      </c>
      <c r="L138" t="s">
        <v>26</v>
      </c>
      <c r="M138">
        <v>1</v>
      </c>
    </row>
    <row r="139" spans="1:13" x14ac:dyDescent="0.25">
      <c r="A139" s="2">
        <v>46304</v>
      </c>
      <c r="B139" s="1" t="str">
        <f ca="1">IF(Información1[[#This Row],[Fecha]]='Ajuste de fechas'!$A$2,"Día actual","Día anterior")</f>
        <v>Día actual</v>
      </c>
      <c r="C139" t="s">
        <v>8</v>
      </c>
      <c r="D139" t="s">
        <v>9</v>
      </c>
      <c r="E139" t="s">
        <v>76</v>
      </c>
      <c r="F139" t="s">
        <v>6</v>
      </c>
      <c r="G139" t="s">
        <v>73</v>
      </c>
      <c r="H139" t="s">
        <v>37</v>
      </c>
      <c r="I139" t="s">
        <v>10</v>
      </c>
      <c r="J139" t="s">
        <v>24</v>
      </c>
      <c r="K139" t="s">
        <v>11</v>
      </c>
      <c r="L139" t="s">
        <v>26</v>
      </c>
      <c r="M139">
        <v>1</v>
      </c>
    </row>
    <row r="140" spans="1:13" x14ac:dyDescent="0.25">
      <c r="A140" s="2">
        <v>46304</v>
      </c>
      <c r="B140" s="1" t="str">
        <f ca="1">IF(Información1[[#This Row],[Fecha]]='Ajuste de fechas'!$A$2,"Día actual","Día anterior")</f>
        <v>Día actual</v>
      </c>
      <c r="C140" t="s">
        <v>38</v>
      </c>
      <c r="D140" t="s">
        <v>43</v>
      </c>
      <c r="E140" t="s">
        <v>269</v>
      </c>
      <c r="F140" t="s">
        <v>6</v>
      </c>
      <c r="G140" t="s">
        <v>83</v>
      </c>
      <c r="H140" t="s">
        <v>37</v>
      </c>
      <c r="I140" t="s">
        <v>7</v>
      </c>
      <c r="J140" t="s">
        <v>24</v>
      </c>
      <c r="K140" t="s">
        <v>40</v>
      </c>
      <c r="L140" t="s">
        <v>27</v>
      </c>
      <c r="M140">
        <v>1</v>
      </c>
    </row>
    <row r="141" spans="1:13" x14ac:dyDescent="0.25">
      <c r="A141" s="2">
        <v>46304</v>
      </c>
      <c r="B141" s="1" t="str">
        <f ca="1">IF(Información1[[#This Row],[Fecha]]='Ajuste de fechas'!$A$2,"Día actual","Día anterior")</f>
        <v>Día actual</v>
      </c>
      <c r="C141" t="s">
        <v>38</v>
      </c>
      <c r="D141" t="s">
        <v>43</v>
      </c>
      <c r="E141" t="s">
        <v>270</v>
      </c>
      <c r="F141" t="s">
        <v>15</v>
      </c>
      <c r="G141" t="s">
        <v>238</v>
      </c>
      <c r="H141" t="s">
        <v>37</v>
      </c>
      <c r="I141" t="s">
        <v>17</v>
      </c>
      <c r="J141" t="s">
        <v>29</v>
      </c>
      <c r="K141" t="s">
        <v>40</v>
      </c>
      <c r="L141" t="s">
        <v>25</v>
      </c>
      <c r="M141">
        <v>1</v>
      </c>
    </row>
    <row r="142" spans="1:13" x14ac:dyDescent="0.25">
      <c r="A142" s="2">
        <v>46304</v>
      </c>
      <c r="B142" s="1" t="str">
        <f ca="1">IF(Información1[[#This Row],[Fecha]]='Ajuste de fechas'!$A$2,"Día actual","Día anterior")</f>
        <v>Día actual</v>
      </c>
      <c r="C142" t="s">
        <v>38</v>
      </c>
      <c r="D142" t="s">
        <v>43</v>
      </c>
      <c r="E142" t="s">
        <v>271</v>
      </c>
      <c r="F142" t="s">
        <v>13</v>
      </c>
      <c r="G142" t="s">
        <v>272</v>
      </c>
      <c r="H142" t="s">
        <v>37</v>
      </c>
      <c r="I142" t="s">
        <v>7</v>
      </c>
      <c r="J142" t="s">
        <v>28</v>
      </c>
      <c r="K142" t="s">
        <v>40</v>
      </c>
      <c r="L142" t="s">
        <v>25</v>
      </c>
      <c r="M142">
        <v>1</v>
      </c>
    </row>
    <row r="143" spans="1:13" x14ac:dyDescent="0.25">
      <c r="A143" s="2">
        <v>46304</v>
      </c>
      <c r="B143" s="1" t="str">
        <f ca="1">IF(Información1[[#This Row],[Fecha]]='Ajuste de fechas'!$A$2,"Día actual","Día anterior")</f>
        <v>Día actual</v>
      </c>
      <c r="C143" t="s">
        <v>46</v>
      </c>
      <c r="D143" t="s">
        <v>47</v>
      </c>
      <c r="E143" t="s">
        <v>273</v>
      </c>
      <c r="F143" t="s">
        <v>15</v>
      </c>
      <c r="G143" t="s">
        <v>79</v>
      </c>
      <c r="H143" t="s">
        <v>37</v>
      </c>
      <c r="I143" t="s">
        <v>7</v>
      </c>
      <c r="J143" t="s">
        <v>29</v>
      </c>
      <c r="K143" t="s">
        <v>48</v>
      </c>
      <c r="L143" t="s">
        <v>34</v>
      </c>
      <c r="M143">
        <v>1</v>
      </c>
    </row>
    <row r="144" spans="1:13" x14ac:dyDescent="0.25">
      <c r="A144" s="2">
        <v>46304</v>
      </c>
      <c r="B144" s="1" t="str">
        <f ca="1">IF(Información1[[#This Row],[Fecha]]='Ajuste de fechas'!$A$2,"Día actual","Día anterior")</f>
        <v>Día actual</v>
      </c>
      <c r="C144" t="s">
        <v>46</v>
      </c>
      <c r="D144" t="s">
        <v>47</v>
      </c>
      <c r="E144" t="s">
        <v>274</v>
      </c>
      <c r="F144" t="s">
        <v>13</v>
      </c>
      <c r="G144" t="s">
        <v>275</v>
      </c>
      <c r="H144" t="s">
        <v>37</v>
      </c>
      <c r="I144" t="s">
        <v>7</v>
      </c>
      <c r="J144" t="s">
        <v>28</v>
      </c>
      <c r="K144" t="s">
        <v>48</v>
      </c>
      <c r="L144" t="s">
        <v>25</v>
      </c>
      <c r="M144">
        <v>1</v>
      </c>
    </row>
    <row r="145" spans="1:13" x14ac:dyDescent="0.25">
      <c r="A145" s="2">
        <v>46304</v>
      </c>
      <c r="B145" s="1" t="str">
        <f ca="1">IF(Información1[[#This Row],[Fecha]]='Ajuste de fechas'!$A$2,"Día actual","Día anterior")</f>
        <v>Día actual</v>
      </c>
      <c r="C145" t="s">
        <v>46</v>
      </c>
      <c r="D145" t="s">
        <v>47</v>
      </c>
      <c r="E145" t="s">
        <v>276</v>
      </c>
      <c r="F145" t="s">
        <v>87</v>
      </c>
      <c r="G145" t="s">
        <v>66</v>
      </c>
      <c r="H145" t="s">
        <v>37</v>
      </c>
      <c r="I145" t="s">
        <v>7</v>
      </c>
      <c r="J145" t="s">
        <v>24</v>
      </c>
      <c r="K145" t="s">
        <v>48</v>
      </c>
      <c r="L145" t="s">
        <v>27</v>
      </c>
      <c r="M145">
        <v>1</v>
      </c>
    </row>
    <row r="146" spans="1:13" x14ac:dyDescent="0.25">
      <c r="A146" s="2">
        <v>46304</v>
      </c>
      <c r="B146" s="1" t="str">
        <f ca="1">IF(Información1[[#This Row],[Fecha]]='Ajuste de fechas'!$A$2,"Día actual","Día anterior")</f>
        <v>Día actual</v>
      </c>
      <c r="C146" t="s">
        <v>46</v>
      </c>
      <c r="D146" t="s">
        <v>47</v>
      </c>
      <c r="E146" t="s">
        <v>277</v>
      </c>
      <c r="F146" t="s">
        <v>178</v>
      </c>
      <c r="G146" t="s">
        <v>278</v>
      </c>
      <c r="H146" t="s">
        <v>37</v>
      </c>
      <c r="I146" t="s">
        <v>10</v>
      </c>
      <c r="J146" t="s">
        <v>24</v>
      </c>
      <c r="K146" t="s">
        <v>48</v>
      </c>
      <c r="L146" t="s">
        <v>26</v>
      </c>
      <c r="M146">
        <v>1</v>
      </c>
    </row>
    <row r="147" spans="1:13" x14ac:dyDescent="0.25">
      <c r="A147" s="2">
        <v>46304</v>
      </c>
      <c r="B147" s="1" t="str">
        <f ca="1">IF(Información1[[#This Row],[Fecha]]='Ajuste de fechas'!$A$2,"Día actual","Día anterior")</f>
        <v>Día actual</v>
      </c>
      <c r="C147" t="s">
        <v>46</v>
      </c>
      <c r="D147" t="s">
        <v>47</v>
      </c>
      <c r="E147" t="s">
        <v>279</v>
      </c>
      <c r="F147" t="s">
        <v>178</v>
      </c>
      <c r="G147" t="s">
        <v>278</v>
      </c>
      <c r="H147" t="s">
        <v>37</v>
      </c>
      <c r="I147" t="s">
        <v>7</v>
      </c>
      <c r="J147" t="s">
        <v>24</v>
      </c>
      <c r="K147" t="s">
        <v>48</v>
      </c>
      <c r="L147" t="s">
        <v>27</v>
      </c>
      <c r="M147">
        <v>1</v>
      </c>
    </row>
    <row r="148" spans="1:13" x14ac:dyDescent="0.25">
      <c r="A148" s="2">
        <v>46304</v>
      </c>
      <c r="B148" s="1" t="str">
        <f ca="1">IF(Información1[[#This Row],[Fecha]]='Ajuste de fechas'!$A$2,"Día actual","Día anterior")</f>
        <v>Día actual</v>
      </c>
      <c r="C148" t="s">
        <v>46</v>
      </c>
      <c r="D148" t="s">
        <v>47</v>
      </c>
      <c r="E148" t="s">
        <v>280</v>
      </c>
      <c r="F148" t="s">
        <v>250</v>
      </c>
      <c r="G148" t="s">
        <v>251</v>
      </c>
      <c r="H148" t="s">
        <v>37</v>
      </c>
      <c r="I148" t="s">
        <v>7</v>
      </c>
      <c r="J148" t="s">
        <v>24</v>
      </c>
      <c r="K148" t="s">
        <v>48</v>
      </c>
      <c r="L148" t="s">
        <v>27</v>
      </c>
      <c r="M148">
        <v>1</v>
      </c>
    </row>
    <row r="149" spans="1:13" x14ac:dyDescent="0.25">
      <c r="A149" s="2">
        <v>46304</v>
      </c>
      <c r="B149" s="1" t="str">
        <f ca="1">IF(Información1[[#This Row],[Fecha]]='Ajuste de fechas'!$A$2,"Día actual","Día anterior")</f>
        <v>Día actual</v>
      </c>
      <c r="C149" t="s">
        <v>46</v>
      </c>
      <c r="D149" t="s">
        <v>47</v>
      </c>
      <c r="E149" t="s">
        <v>281</v>
      </c>
      <c r="F149" t="s">
        <v>36</v>
      </c>
      <c r="G149" t="s">
        <v>282</v>
      </c>
      <c r="H149" t="s">
        <v>37</v>
      </c>
      <c r="I149" t="s">
        <v>7</v>
      </c>
      <c r="J149" t="s">
        <v>24</v>
      </c>
      <c r="K149" t="s">
        <v>48</v>
      </c>
      <c r="L149" t="s">
        <v>27</v>
      </c>
      <c r="M149">
        <v>1</v>
      </c>
    </row>
    <row r="150" spans="1:13" x14ac:dyDescent="0.25">
      <c r="A150" s="2">
        <v>46304</v>
      </c>
      <c r="B150" s="1" t="str">
        <f ca="1">IF(Información1[[#This Row],[Fecha]]='Ajuste de fechas'!$A$2,"Día actual","Día anterior")</f>
        <v>Día actual</v>
      </c>
      <c r="C150" t="s">
        <v>46</v>
      </c>
      <c r="D150" t="s">
        <v>47</v>
      </c>
      <c r="E150" t="s">
        <v>283</v>
      </c>
      <c r="F150" t="s">
        <v>36</v>
      </c>
      <c r="G150" t="s">
        <v>282</v>
      </c>
      <c r="H150" t="s">
        <v>37</v>
      </c>
      <c r="I150" t="s">
        <v>7</v>
      </c>
      <c r="J150" t="s">
        <v>24</v>
      </c>
      <c r="K150" t="s">
        <v>48</v>
      </c>
      <c r="L150" t="s">
        <v>27</v>
      </c>
      <c r="M150">
        <v>1</v>
      </c>
    </row>
    <row r="151" spans="1:13" x14ac:dyDescent="0.25">
      <c r="A151" s="2">
        <v>46304</v>
      </c>
      <c r="B151" s="1" t="str">
        <f ca="1">IF(Información1[[#This Row],[Fecha]]='Ajuste de fechas'!$A$2,"Día actual","Día anterior")</f>
        <v>Día actual</v>
      </c>
      <c r="C151" t="s">
        <v>38</v>
      </c>
      <c r="D151" t="s">
        <v>39</v>
      </c>
      <c r="E151" t="s">
        <v>284</v>
      </c>
      <c r="F151" t="s">
        <v>285</v>
      </c>
      <c r="G151" t="s">
        <v>286</v>
      </c>
      <c r="H151" t="s">
        <v>37</v>
      </c>
      <c r="I151" t="s">
        <v>7</v>
      </c>
      <c r="J151" t="s">
        <v>16</v>
      </c>
      <c r="K151" t="s">
        <v>40</v>
      </c>
      <c r="L151" t="s">
        <v>34</v>
      </c>
      <c r="M151">
        <v>1</v>
      </c>
    </row>
    <row r="152" spans="1:13" x14ac:dyDescent="0.25">
      <c r="A152" s="2">
        <v>46304</v>
      </c>
      <c r="B152" s="1" t="str">
        <f ca="1">IF(Información1[[#This Row],[Fecha]]='Ajuste de fechas'!$A$2,"Día actual","Día anterior")</f>
        <v>Día actual</v>
      </c>
      <c r="C152" t="s">
        <v>38</v>
      </c>
      <c r="D152" t="s">
        <v>39</v>
      </c>
      <c r="E152" t="s">
        <v>287</v>
      </c>
      <c r="F152" t="s">
        <v>14</v>
      </c>
      <c r="G152" t="s">
        <v>288</v>
      </c>
      <c r="H152" t="s">
        <v>37</v>
      </c>
      <c r="I152" t="s">
        <v>10</v>
      </c>
      <c r="J152" t="s">
        <v>24</v>
      </c>
      <c r="K152" t="s">
        <v>40</v>
      </c>
      <c r="L152" t="s">
        <v>27</v>
      </c>
      <c r="M152">
        <v>1</v>
      </c>
    </row>
    <row r="153" spans="1:13" x14ac:dyDescent="0.25">
      <c r="A153" s="2">
        <v>46304</v>
      </c>
      <c r="B153" s="1" t="str">
        <f ca="1">IF(Información1[[#This Row],[Fecha]]='Ajuste de fechas'!$A$2,"Día actual","Día anterior")</f>
        <v>Día actual</v>
      </c>
      <c r="C153" t="s">
        <v>38</v>
      </c>
      <c r="D153" t="s">
        <v>39</v>
      </c>
      <c r="E153" t="s">
        <v>289</v>
      </c>
      <c r="F153" t="s">
        <v>16</v>
      </c>
      <c r="G153" t="s">
        <v>165</v>
      </c>
      <c r="H153" t="s">
        <v>37</v>
      </c>
      <c r="I153" t="s">
        <v>7</v>
      </c>
      <c r="J153" t="s">
        <v>16</v>
      </c>
      <c r="K153" t="s">
        <v>40</v>
      </c>
      <c r="L153" t="s">
        <v>25</v>
      </c>
      <c r="M153">
        <v>1</v>
      </c>
    </row>
    <row r="154" spans="1:13" x14ac:dyDescent="0.25">
      <c r="A154" s="2">
        <v>46304</v>
      </c>
      <c r="B154" s="1" t="str">
        <f ca="1">IF(Información1[[#This Row],[Fecha]]='Ajuste de fechas'!$A$2,"Día actual","Día anterior")</f>
        <v>Día actual</v>
      </c>
      <c r="C154" t="s">
        <v>38</v>
      </c>
      <c r="D154" t="s">
        <v>39</v>
      </c>
      <c r="E154" t="s">
        <v>290</v>
      </c>
      <c r="F154" t="s">
        <v>16</v>
      </c>
      <c r="G154" t="s">
        <v>102</v>
      </c>
      <c r="H154" t="s">
        <v>37</v>
      </c>
      <c r="I154" t="s">
        <v>7</v>
      </c>
      <c r="J154" t="s">
        <v>16</v>
      </c>
      <c r="K154" t="s">
        <v>40</v>
      </c>
      <c r="L154" t="s">
        <v>34</v>
      </c>
      <c r="M154">
        <v>1</v>
      </c>
    </row>
    <row r="155" spans="1:13" x14ac:dyDescent="0.25">
      <c r="A155" s="2">
        <v>46304</v>
      </c>
      <c r="B155" s="1" t="str">
        <f ca="1">IF(Información1[[#This Row],[Fecha]]='Ajuste de fechas'!$A$2,"Día actual","Día anterior")</f>
        <v>Día actual</v>
      </c>
      <c r="C155" t="s">
        <v>38</v>
      </c>
      <c r="D155" t="s">
        <v>39</v>
      </c>
      <c r="E155" t="s">
        <v>291</v>
      </c>
      <c r="F155" t="s">
        <v>33</v>
      </c>
      <c r="G155" t="s">
        <v>101</v>
      </c>
      <c r="H155" t="s">
        <v>37</v>
      </c>
      <c r="I155" t="s">
        <v>17</v>
      </c>
      <c r="J155" t="s">
        <v>16</v>
      </c>
      <c r="K155" t="s">
        <v>44</v>
      </c>
      <c r="L155" t="s">
        <v>26</v>
      </c>
      <c r="M155">
        <v>1</v>
      </c>
    </row>
    <row r="156" spans="1:13" x14ac:dyDescent="0.25">
      <c r="A156" s="2">
        <v>46304</v>
      </c>
      <c r="B156" s="1" t="str">
        <f ca="1">IF(Información1[[#This Row],[Fecha]]='Ajuste de fechas'!$A$2,"Día actual","Día anterior")</f>
        <v>Día actual</v>
      </c>
      <c r="C156" t="s">
        <v>38</v>
      </c>
      <c r="D156" t="s">
        <v>39</v>
      </c>
      <c r="E156" t="s">
        <v>292</v>
      </c>
      <c r="F156" t="s">
        <v>42</v>
      </c>
      <c r="G156" t="s">
        <v>165</v>
      </c>
      <c r="H156" t="s">
        <v>37</v>
      </c>
      <c r="I156" t="s">
        <v>7</v>
      </c>
      <c r="J156" t="s">
        <v>24</v>
      </c>
      <c r="K156" t="s">
        <v>40</v>
      </c>
      <c r="L156" t="s">
        <v>25</v>
      </c>
      <c r="M156">
        <v>1</v>
      </c>
    </row>
    <row r="157" spans="1:13" x14ac:dyDescent="0.25">
      <c r="A157" s="2">
        <v>46304</v>
      </c>
      <c r="B157" s="1" t="str">
        <f ca="1">IF(Información1[[#This Row],[Fecha]]='Ajuste de fechas'!$A$2,"Día actual","Día anterior")</f>
        <v>Día actual</v>
      </c>
      <c r="C157" t="s">
        <v>38</v>
      </c>
      <c r="D157" t="s">
        <v>39</v>
      </c>
      <c r="E157" t="s">
        <v>293</v>
      </c>
      <c r="F157" t="s">
        <v>89</v>
      </c>
      <c r="G157" t="s">
        <v>100</v>
      </c>
      <c r="H157" t="s">
        <v>37</v>
      </c>
      <c r="I157" t="s">
        <v>10</v>
      </c>
      <c r="J157" t="s">
        <v>24</v>
      </c>
      <c r="K157" t="s">
        <v>40</v>
      </c>
      <c r="L157" t="s">
        <v>26</v>
      </c>
      <c r="M157">
        <v>1</v>
      </c>
    </row>
    <row r="158" spans="1:13" x14ac:dyDescent="0.25">
      <c r="A158" s="2">
        <v>46304</v>
      </c>
      <c r="B158" s="1" t="str">
        <f ca="1">IF(Información1[[#This Row],[Fecha]]='Ajuste de fechas'!$A$2,"Día actual","Día anterior")</f>
        <v>Día actual</v>
      </c>
      <c r="C158" t="s">
        <v>38</v>
      </c>
      <c r="D158" t="s">
        <v>39</v>
      </c>
      <c r="E158" t="s">
        <v>294</v>
      </c>
      <c r="F158" t="s">
        <v>15</v>
      </c>
      <c r="G158" t="s">
        <v>100</v>
      </c>
      <c r="H158" t="s">
        <v>37</v>
      </c>
      <c r="I158" t="s">
        <v>10</v>
      </c>
      <c r="J158" t="s">
        <v>29</v>
      </c>
      <c r="K158" t="s">
        <v>40</v>
      </c>
      <c r="L158" t="s">
        <v>26</v>
      </c>
      <c r="M158">
        <v>1</v>
      </c>
    </row>
    <row r="159" spans="1:13" x14ac:dyDescent="0.25">
      <c r="A159" s="2">
        <v>46304</v>
      </c>
      <c r="B159" s="1" t="str">
        <f ca="1">IF(Información1[[#This Row],[Fecha]]='Ajuste de fechas'!$A$2,"Día actual","Día anterior")</f>
        <v>Día actual</v>
      </c>
      <c r="C159" t="s">
        <v>38</v>
      </c>
      <c r="D159" t="s">
        <v>39</v>
      </c>
      <c r="E159" t="s">
        <v>295</v>
      </c>
      <c r="F159" t="s">
        <v>89</v>
      </c>
      <c r="G159" t="s">
        <v>79</v>
      </c>
      <c r="H159" t="s">
        <v>37</v>
      </c>
      <c r="I159" t="s">
        <v>7</v>
      </c>
      <c r="J159" t="s">
        <v>24</v>
      </c>
      <c r="K159" t="s">
        <v>40</v>
      </c>
      <c r="L159" t="s">
        <v>25</v>
      </c>
      <c r="M159">
        <v>1</v>
      </c>
    </row>
    <row r="160" spans="1:13" x14ac:dyDescent="0.25">
      <c r="A160" s="2">
        <v>46304</v>
      </c>
      <c r="B160" s="1" t="str">
        <f ca="1">IF(Información1[[#This Row],[Fecha]]='Ajuste de fechas'!$A$2,"Día actual","Día anterior")</f>
        <v>Día actual</v>
      </c>
      <c r="C160" t="s">
        <v>38</v>
      </c>
      <c r="D160" t="s">
        <v>39</v>
      </c>
      <c r="E160" t="s">
        <v>296</v>
      </c>
      <c r="F160" t="s">
        <v>15</v>
      </c>
      <c r="G160" t="s">
        <v>100</v>
      </c>
      <c r="H160" t="s">
        <v>37</v>
      </c>
      <c r="I160" t="s">
        <v>7</v>
      </c>
      <c r="J160" t="s">
        <v>29</v>
      </c>
      <c r="K160" t="s">
        <v>40</v>
      </c>
      <c r="L160" t="s">
        <v>25</v>
      </c>
      <c r="M16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31</v>
      </c>
      <c r="B1" t="s">
        <v>32</v>
      </c>
    </row>
    <row r="2" spans="1:2" x14ac:dyDescent="0.25">
      <c r="A2" s="2">
        <f ca="1">TODAY()</f>
        <v>46304</v>
      </c>
      <c r="B2" s="2">
        <f ca="1">A2-1</f>
        <v>46303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2026-10-09T23:56:34Z</dcterms:modified>
</cp:coreProperties>
</file>