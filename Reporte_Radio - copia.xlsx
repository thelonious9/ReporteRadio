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6B3C06D4-E543-4575-9FCB-94BA5C60F5CD}"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66" i="2"/>
  <c r="B68" i="2"/>
  <c r="B70" i="2"/>
  <c r="B72" i="2"/>
  <c r="B74" i="2"/>
  <c r="B76" i="2"/>
  <c r="B78" i="2"/>
  <c r="B80" i="2"/>
  <c r="B82" i="2"/>
  <c r="B84" i="2"/>
  <c r="B86" i="2"/>
  <c r="B88" i="2"/>
  <c r="B90" i="2"/>
  <c r="B92" i="2"/>
  <c r="B94" i="2"/>
  <c r="B96" i="2"/>
  <c r="B98" i="2"/>
  <c r="B100" i="2"/>
  <c r="B102" i="2"/>
  <c r="B104" i="2"/>
  <c r="B106" i="2"/>
  <c r="B108" i="2"/>
  <c r="B110" i="2"/>
  <c r="B112" i="2"/>
  <c r="B114" i="2"/>
  <c r="B116" i="2"/>
  <c r="B119" i="2"/>
  <c r="B121" i="2"/>
  <c r="B123" i="2"/>
  <c r="B125" i="2"/>
  <c r="B127"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7" i="2"/>
  <c r="B69" i="2"/>
  <c r="B71" i="2"/>
  <c r="B73" i="2"/>
  <c r="B75" i="2"/>
  <c r="B77" i="2"/>
  <c r="B79" i="2"/>
  <c r="B81" i="2"/>
  <c r="B83" i="2"/>
  <c r="B85" i="2"/>
  <c r="B87" i="2"/>
  <c r="B89" i="2"/>
  <c r="B91" i="2"/>
  <c r="B93" i="2"/>
  <c r="B95" i="2"/>
  <c r="B97" i="2"/>
  <c r="B99" i="2"/>
  <c r="B101" i="2"/>
  <c r="B103" i="2"/>
  <c r="B105" i="2"/>
  <c r="B107" i="2"/>
  <c r="B109" i="2"/>
  <c r="B111" i="2"/>
  <c r="B113" i="2"/>
  <c r="B115" i="2"/>
  <c r="B117" i="2"/>
  <c r="B118" i="2"/>
  <c r="B120" i="2"/>
  <c r="B122" i="2"/>
  <c r="B124" i="2"/>
  <c r="B126"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<sst xmlns="http://schemas.openxmlformats.org/spreadsheetml/2006/main" count="1275" uniqueCount="265">
  <si>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</si>
  <si>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</si>
  <si>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</si>
  <si>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</si>
  <si>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</si>
  <si>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</si>
  <si>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</si>
  <si>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</si>
  <si>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</si>
  <si>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</si>
  <si>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</si>
  <si>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</si>
  <si>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</si>
  <si>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</si>
  <si>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</si>
  <si>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</si>
  <si>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</si>
  <si>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</si>
  <si>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</si>
  <si>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</si>
  <si>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</si>
  <si>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</si>
  <si>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</si>
  <si>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</si>
  <si>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</si>
  <si>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</si>
  <si>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</si>
  <si>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</si>
  <si>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</si>
  <si>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</si>
  <si>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</si>
  <si>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</si>
  <si>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</si>
  <si>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</si>
  <si>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Congreso</t>
  </si>
  <si>
    <t>SSH</t>
  </si>
  <si>
    <t>Enlace Hidalgo2</t>
  </si>
  <si>
    <t>DIFH</t>
  </si>
  <si>
    <t>Ke Buena 106.7 FM</t>
  </si>
  <si>
    <t>Noticias 106.7</t>
  </si>
  <si>
    <t>David Cárdenas</t>
  </si>
  <si>
    <t>OCSAD</t>
  </si>
  <si>
    <t>Procuraduría Municipal del Menor</t>
  </si>
  <si>
    <t>Localización de cuerpo</t>
  </si>
  <si>
    <t>Alerta Meteorológica</t>
  </si>
  <si>
    <t>Turismo</t>
  </si>
  <si>
    <t>La Poderosa Tuxpan 93.1 FM</t>
  </si>
  <si>
    <t>NN Nuestras Noticias Zona Norte</t>
  </si>
  <si>
    <t>Liz Argüelles</t>
  </si>
  <si>
    <t>Atención Afectaciones Por Lluvias</t>
  </si>
  <si>
    <t>Ruta de la Transformación</t>
  </si>
  <si>
    <t>Tauromaquia</t>
  </si>
  <si>
    <t>Radio Lobo 96.7 FM</t>
  </si>
  <si>
    <t>Gina Lorenzo</t>
  </si>
  <si>
    <t>Enlace Noticias</t>
  </si>
  <si>
    <t>Rodolfo López</t>
  </si>
  <si>
    <t>Enfoque Regional Matutino</t>
  </si>
  <si>
    <t>En sesión ordinaria, diputadas y diputados integrantes de la LXVI Legislatura avalaron con 23 votos a favor, dos en contra y una abstención, el acuerdo de la Junta de Gobierno que propone la emisión de la convocatoria de consulta popular en materia de corridas de toros. La legisladora Mónica Leanett Reyes Martínez (Nueva Alianza) explicó que la organización, desarrollo, cómputo y declaración de resultados de la consulta popular estarán a cargo del Instituto Estatal Electoral (IEEH), conforme a la metodología que apruebe dicho órgano, el cual será la única instancia calificadora. También indicó que la difusión de esta actividad se llevará a cabo en los términos, plazos y formas que se determinen en la metodología aprobada por el IEEH; que la pregunta será la siguiente: “¿deben prohibirse las corridas de toros en el estado de Hidalgo?” y que las opciones de respuesta serán: “sí” y “no”. La diputada aseguró que la consulta popular no es una decisión discrecional del Congreso; es un mecanismo de participación ciudadana previsto en la Constitución local y regulado por la Ley de Participación Ciudadana. “El procedimiento ha cumplido todas las etapas legales: presentación de la solicitud, aprobación legislativa, revisión jurisdiccional y declaratoria de procedencia por parte del Tribunal Superior de Justicia”, detalló.</t>
  </si>
  <si>
    <t>Marcha CNTE</t>
  </si>
  <si>
    <t>Monitoreo De Presas</t>
  </si>
  <si>
    <t>Donación de sangre</t>
  </si>
  <si>
    <t>Gobierno del estado</t>
  </si>
  <si>
    <t>Presidencia de la República</t>
  </si>
  <si>
    <t>Alcaldías</t>
  </si>
  <si>
    <t>La Comisión Nacional del Agua (Conagua) tiene identificados 121 sitios vulnerables a inundaciones, los cuales son monitoreados de manera permanente durante la temporada de lluvias para prevenir riesgos a la población. Durante la presentación de las condiciones hidrometeorológicas en la entidad, el coordinador de Saneamiento y Calidad del Agua de la Conagua, Sergio Guzmán Morales, explicó que estos puntos son supervisados dos veces al día como parte de las acciones preventivas implementadas en coordinación con autoridades estatales y municipales.</t>
  </si>
  <si>
    <t>Prevención De Riesgos</t>
  </si>
  <si>
    <t>Con el objetivo de fortalecer las áreas verdes y garantizar una mayor supervivencia del arbolado urbano, el Gobierno Municipal de Tulancingo puso en marcha el Programa de Reforestación 2026, que contempla la plantación de especies adecuadas a las características de la ciudad. A través de la Dirección de Medio Ambiente, se informó que las actividades iniciaron en el jardín La Floresta con la plantación de ficus, acacias y cedros blancos, especies seleccionadas para evitar afectaciones futuras en banquetas, drenajes y otros servicios urbanos. El programa tendrá una duración inicial de tres meses, con posibilidad de extenderse de acuerdo con las condiciones climáticas. Entre las acciones previstas se encuentra la reposición de arbolado afectado durante 2025 y nuevas plantaciones en diversos puntos del municipio, como los bulevares Bicentenario y Tomás Alba Edison, la colonia Quebrachos, la Unidad Habitacional Fidel Velázquez, la Calzada 5 de mayo y los panteones San Miguel y Magisterio 1. Durante este año también se realizaron labores de reforestación en el Jardín de Niños Silvestre Revueltas, en Santa Ana Hueytlalpan, así como la plantación de 60 árboles de pera en el bulevar Nuevo San Nicolás. La Dirección de Medio Ambiente recordó que brinda asesoría gratuita para la correcta plantación de árboles y reiteró la invitación a colonias y localidades interesadas en sumarse a este programa, mediante solicitud presentada a través de sus enlaces vecinales. Las acciones podrán orientarse tanto al embellecimiento de espacios públicos como a la recuperación de áreas verdes en beneficio de la comunidad.</t>
  </si>
  <si>
    <t>Reforestación</t>
  </si>
  <si>
    <t>Una persona privada de la libertad perdió la vida este lunes al interior de los sanitarios del Centro de Reinserción Social (Cereso) de Tulancingo de Bravo, informó la Secretaría de Seguridad Pública de Hidalgo (SSPH). De acuerdo con una tarjeta informativa emitida por la dependencia estatal, los primeros indicios señalan que la causa del fallecimiento apunta a un probable suicidio. La SSPH indicó que el interno recibía atención psicológica especializada desde diciembre de 2025, luego de que en esa fecha intentara quitarse la vida. Asimismo, precisó que al momento de los hechos la persona se encontraba sujeta a un proceso penal por el delito de violación agravada.</t>
  </si>
  <si>
    <t>Muerte en Cereso</t>
  </si>
  <si>
    <t>El chile rayado, uno de los productos más característicos de la Sierra Gorda hidalguense, tendrá por primera vez una celebración dedicada a su historia, producción y valor económico. Del 18 al 20 de junio, el municipio de La Misión realizará el Primer Festival del Chile Rayado, un evento que reunirá actividades culturales, gastronómicas, deportivas y comerciales. El chile rayado se ha convertido en uno de los productos más representativos de la Sierra Gorda debido a sus características particulares de cultivo y elaboración.</t>
  </si>
  <si>
    <t>Indicación geográfica</t>
  </si>
  <si>
    <t>Donación móvil de sangre, ruta que salva vidas en Hidalgo</t>
  </si>
  <si>
    <t>SSPH y C5i recuperan auto robado y aseguran a un hombre en Tizayuca.</t>
  </si>
  <si>
    <t>Recuperación De Vehículos Robados</t>
  </si>
  <si>
    <t>Entregan terneras y vientres ovinos para 12 municipios</t>
  </si>
  <si>
    <t>Saderh</t>
  </si>
  <si>
    <t>Apoyo Al Agro</t>
  </si>
  <si>
    <t>Instalación de Procuradurías Municipales de Protección a NNyA, una reforma necesaria: Edda Vite</t>
  </si>
  <si>
    <t>Ante el incremento en los niveles y las fuertes corrientes de diversos cuerpos de agua, el sistema estatal de protección civil de Hidalgo ha decretado la activación del semáforo amarillo, en fase de prevención y alarma para las regiones del Valle del Mezquital, la Sierra Alta, la zona Otomí-Tepehua y la Huasteca. Al respecto, el gobernador de Hidalgo, Julio Menchaca Salazar, habló al respecto señalando que el pronóstico es que va a iniciar el examen, sigue siendo pronóstico, y que está desplegado a todos los funcionarios públicos, además de que no ha dejado de sesionar el comité de emergencia.</t>
  </si>
  <si>
    <t>SEPH fortalece coordinación con universidades particulares de Hidalgo</t>
  </si>
  <si>
    <t>SEPH</t>
  </si>
  <si>
    <t>Fortalecimiento educativo</t>
  </si>
  <si>
    <t>Entregan terneras y vientres ovinos para 12 municipios. (AUDIO NGP)</t>
  </si>
  <si>
    <t>TV Cable hidalguense Canal 6</t>
  </si>
  <si>
    <t>Contigo Noticias</t>
  </si>
  <si>
    <t>TV local</t>
  </si>
  <si>
    <t>Ultra 102.9 FM</t>
  </si>
  <si>
    <t>Ultra Noticias1</t>
  </si>
  <si>
    <t>Sebiso realiza visitas domiciliarias para selección de beneficiarios</t>
  </si>
  <si>
    <t>Bienestar</t>
  </si>
  <si>
    <t>Programas Del Pueblo</t>
  </si>
  <si>
    <t>Izza Hernández</t>
  </si>
  <si>
    <t>En los próximos días arranará la pavimentación asfáltica de Rincones de la Hacienda, así lo indicó que Secretario de Desarrollo Urbano de Tulancingo.</t>
  </si>
  <si>
    <t>Rehabilitación Vial</t>
  </si>
  <si>
    <t>Acompañados por militantes de todo el estado, Marco Antonio Mendoza y Jenny Márquez tomaron protesta como nuevos dirigentes del PRI Hidalgo. Con una marcha a la que asistieron cientos de personas, Mendoza Bustamante, en fórmula con Jenny Márquez, arribó hasta el icónico Cubo de Colosio, para registrarse como candidatos a la dirigencia estatal del tricolor. Al ser la única fórmula registrada como producto de un ejercicio de unidad en el PRI Hidalgo, Mendoza Bustamante y Márquez Méndez fueron declarados electos y rindieron la protesta estatutaria ante Jorge Meade Ocaranza, secretario de Organización del PRI Nacional.</t>
  </si>
  <si>
    <t>PRI</t>
  </si>
  <si>
    <t>Renovación De Dirigencia</t>
  </si>
  <si>
    <t>Partidos</t>
  </si>
  <si>
    <t>SSPH y C5i recuperan auto robado y aseguran a un hombre en Tizayuca</t>
  </si>
  <si>
    <t>Un microbús de pasajeros volcó sobre la Autopista México-Pachuca, a la altura de la Colonia Colinas de San José, en el municipio de Tlalnepantla, Estado de México; reportan al menos 15 heridos. El accidente fue atendido por elementos de la Guardia Nacional.</t>
  </si>
  <si>
    <t>Accidente Carretero</t>
  </si>
  <si>
    <t>La noche del viernes, tres jóvenes de entre 18 y 19 años de edad resultaron lesionados tras un accidente automovilístico registrado sobre la carretera Tepeji–Quelites. De acuerdo con los primeros reportes, automovilistas que circulaban por la zona se percataron del percance y alertaron a los cuerpos de emergencia, además de solicitar la presencia de elementos del cuerpo de Bomberos, debido a que el vehículo involucrado, un Toyota Corolla, comenzó a incendiarse tras el impacto. El sitio fue acordonado para que la PGJEH realice las investigaciones pertinentes.</t>
  </si>
  <si>
    <t>PGJEH</t>
  </si>
  <si>
    <t>El cuerpo sin vida de una persona fue localizado sobre un camino rústico que conecta a los municipios de Pachuca y San Agustín Tlaxiaca. Se trató del cuerpo de hombre, el cual fue localizado al costado del camino referido; fueron personas que pasaban por la zona quienes hicieron el reporte respectivo a corporaciones de seguridad pública. Al sitio acudieron elementos policiacos acompañados por oficiales de Protección Civil; estos últimos confirmaron que la persona referida ya no contaba con signos vitales. Hasta el momento no se conocen las causas del fallecimiento, por lo que se espera que a partir de las investigaciones por parte de la Procuraduría General de Justicia del Estado de Hidalgo, se establezcan dichas causas junto con las responsabilidades legales.</t>
  </si>
  <si>
    <t>Tres personas perdieron la vida durante un ataque con arma de fuego registrado al interior de un bar ubicado en el municipio de Zacualtipán. El atentado se registró durante la noche del viernes 12 de junio, cuando los hombres armados entraron al bar, y de inmediato comenzaron a disparar hacia los asistentes. Al sitio acudieron elementos policiacos, quienes de inmediato realizaron el aseguramiento del local comercial, al tiempo que se inició operativo de búsqueda de los agresores, con objetivo de detenerlos. En tanto, paramédicos confirmaron el fallecimiento de tres personas, quienes presentaban impactos por arma de fuego en sus cuerpos. Al sitio ya acordonado, arribó personal de la Procuraduría General de Justicia del Estado de Hidalgo para el levantamiento y pruebas y testimoniales, y con ello iniciar las investigaciones respectivas. Hasta el momento no se conoce de personas detenidas, relacionadas con el ataque armado, así como se desconoce el motivo del ataque armado.</t>
  </si>
  <si>
    <t>Ataque Armado</t>
  </si>
  <si>
    <t>Elementos de la Secretaría de Seguridad Pública de Tula localizaron sano y salvo a un joven con autismo, identificado como Christian Ángeles Hernández, originario de Tezontepec de Aldama, quien había sido reportado como extraviado la noche del viernes. El operativo se llevó a cabo después de que la madre del joven informara a las autoridades que desconocía su paradero y manifestara su preocupación debido a su condición. Como parte de las acciones, los recorridos se concentraron en zonas de alta afluencia de personas, entre ellas la Plaza Constitución y la Central de Autobuses de Tula, lugares a los que podría haberse desplazado el joven.</t>
  </si>
  <si>
    <t>Localización de persona</t>
  </si>
  <si>
    <t>Dos personas lesionadas en un accidente vial registrado la semana pasada en la vialidad que conecta con las grutas de Tolantongo, ubicadas en el Valle del Mezquital, fueron trasladadas vía aérea para continuar con sus respectivos tratamientos médicos. El primer traslado fue de una adolescente de 16 años, originaria de Arkansas, Estados Unidos, quien se encontraba internada desde el pasado sábado 6 de junio en el Hospital General del Valle del Mezquital, ubicado en el municipio de Ixmiquilpan. Debido a que la paciente presenta lesiones de gravedad y requiere cuidados intensivos de tercer nivel, el Centro Regulador de Urgencias Médicas de Hidalgo gestionó su traslado inmediato al Hospital General de León, en el estado de Guanajuato. Ello con objetivo de garantizarle un tratamiento altamente especializado y mantenerla cerca de su núcleo familiar. Unas horas después se realizó el traslado, también vía aérea, de un hombre de 52 años de edad, originario del municipio de Tarandacuao, Guanajuato, quien tambiém se encontraba internado en el Hospital General del Valle del Mezquital. El viaje incluyó también el traslado de un familiar acompañante y tuvo como destino el Hospital General Acámbaro “Miguel Hidalgo”, en el estado de Guanajuato, donde el paciente continuará recibiendo atención médica especializada. En ambos casos los traslados se realizaron de forma coordinada entre autoridades federales junto con los gobiernos estatales de Hidalgo y Guanajuato. El pasado sábado 6 de junio se registró el accidente citado en la vialidad de acceso a las Grutas de Tolantongo, dentro del municipio de Cardonal. De acuerdo a reporte inicial, la camioneta Urvan donde viajaban los fallecidos registró una falla mecánica en el sistema de frenado y terminó impactándose contra un autobús de turistas.</t>
  </si>
  <si>
    <t>Puente aéreo</t>
  </si>
  <si>
    <t>Al menos 46 habitantes de la comunidad de Chapula decidieron permanecer en la localidad a pesar de las afectaciones y las condiciones de riesgo causadas por las lluvias de la depresión tropical 2, informó el alcalde de Tianguistengo, Febronio Rodríguez Villegas. En la misma zona, las autoridades estatales y municipales rescataron el 9 de junio a 17 personas mediante el uso de maquinaria pesada para cruzar el cauce del río Tlacolula que cruza la localidad. "Se ha alertado a la comunidad de manera respetuosa porque la gente está con la idea de estar en su localidad (...) sabemos que salirse de su casa no es fácil, pero es necesario en estos tiempos en que el agua nos traiciona". De acuerdo con el alcalde, entre los daños principales se reporta la destrucción de dos puentes provisionales en las localidades de Zacatipán y Tenexco. Mientras que el camino Tianguistengo-Yatipán, ya fue desbloqueado. Rodríguez Villegas explicó que los constantes derrumbes impiden que exista una conectividad terrestre total y permanente; sin embargo, señaló que se trabaja para abrir los tramos afectados, aunque las precipitaciones nocturnas provocan nuevos deslaves que obstruyen las vías de manera recurrente. Para atender a la población damnificada, la autoridad local habilitó un refugio temporal en la cabecera municipal con una capacidad inicial de 40 a 50 personas, donde se proporcionará hospedaje y alimentación, con la opción de ampliar los espacios si la demanda lo requiere.</t>
  </si>
  <si>
    <t>Pese a las advertencias emitidas por Protección Civil, ante un posible riesgo de deslave e inundaciones en las mismas zonas donde dejó daños la vaguada monzónica, el gobernador de Hidalgo, Julio Menchaca Salazar, reconoció que persiste la negativa de las familias asentadas en zonas de riesgo para abandonar sus viviendas. El mandatario señaló que comunidades como Chapula continúan expuestas a inundaciones y desbordamientos debido a su ubicación en los márgenes de ríos, situación que volvió a evidenciarse con las recientes precipitaciones. Consideró que en el caso de Chapula puede ser que “el amor a su terruño es muy grande”; sin embargo, aseguró que el gobierno se ha esforzado en transmitirles el peligro que corren. “La decisión será de cada quien. A nosotros nos preocupa mucho su integridad, su vida y están en el margen de un río”, expresó. Menchaca explicó que el gobierno estatal no contempla desalojos forzosos, aunque mantiene las recomendaciones para que las familias se trasladen a sitios más seguros. Añadió que la federación determinó otorgar apoyos económicos directos a los damnificados registrados para que cada familia decida dónde establecer una nueva vivienda. De acuerdo con el gobernador, existen alrededor de tres mil familias censadas tras las afectaciones provocadas por las lluvias extraordinarias del año pasado. Los beneficiarios han recibido desde despensas y enseres domésticos hasta apoyos económicos para la reconstrucción de su patrimonio.</t>
  </si>
  <si>
    <t>Reubicación de viviendas</t>
  </si>
  <si>
    <t>Después de permanecer cerca de cuatro meses recluido en el Centro de Reinserción Social (Cereso) de Tulancingo, el taxista Víctor Aguilar recuperó su libertad el viernes 12 de junio, luego de que las autoridades determinaran su liberación. Víctor Aguilar fue detenido el pasado 19 de febrero, luego de brindar un servicio de transporte hacia el penal de la región. En aquel momento fue acusado de presuntamente entregar un paquete que contenía sustancias ilícitas, situación por la cual fue puesto a disposición de las autoridades y posteriormente ingresado al Cereso de Tulancingo, donde permaneció durante casi cuatro meses mientras se desarrollaba el proceso legal en su contra. La noticia de su liberación fue compartida por familiares a través de redes sociales, donde expresaron su satisfacción y agradecimiento tras meses de incertidumbre.</t>
  </si>
  <si>
    <t>TSJEH</t>
  </si>
  <si>
    <t>Liberación de detenido</t>
  </si>
  <si>
    <t>Continúa registro para acceder a uniformes, útiles y calzado escolar gratuitos</t>
  </si>
  <si>
    <t>Paquete de apoyos escolares</t>
  </si>
  <si>
    <t>Vía telefónica el reporte de Bombero y Protección Civil con Abner Yáñez informa de las diversas emergencias reportadas por la ciudadanía y que fueron atendidas.</t>
  </si>
  <si>
    <t>Atención a la ciudadanía</t>
  </si>
  <si>
    <t>Debido a las intensas lluvias y granizadas registradas recientemente, alrededor del 35 por ciento del sistema de alumbrado público de Tulancingo resultó afectado, dejando sin iluminación diversos sectores habitacionales y vialidades principales. Ante esta situación, la Dirección de Mantenimiento Urbano implementó acciones inmediatas priorizando la reparación de fotoceldas dañadas, la limpieza de registros y el mantenimiento correctivo del cableado afectado por la acumulación de agua y tierra. Entre las colonias con mayores afectaciones se encuentran Vicente Guerrero, Francisco I. Madero, Paraíso, Jardines del Sur, Los Sabinos y Huapalcalco. Asimismo, se han atendido diversos bulevares donde la acumulación de lodo comprometió el funcionamiento de las luminarias. Como parte de estas acciones, el pasado 11 de junio se realizaron trabajos en Ahuehuetitla, Francisco Villa, Lomas de San Ángel y Ejido Mimila, logrando la recuperación de al menos 60 luminarias. Actualmente, las brigadas continúan las labores de rehabilitación en las colonias Vicente Guerrero, Francisco I. Madero y Lomas de San Ángel, así como en el Bulevar Centenario.</t>
  </si>
  <si>
    <t>La Comisión Nacional del Agua (Conagua), a través de la Dirección Local Hidalgo, informó que el nivel actual de la presa Requena no representa riesgo para la población, durante la Reunión de Coordinación Regional para la Temporada de Lluvias y Ciclones Tropicales 2026. El organismo explicó a autoridades municipales que el almacenamiento de 111.6 por ciento que presenta actualmente el embalse responde a los ajustes que se realizan cada año en las normas de operación para la temporada de lluvias. De acuerdo con la Subgerencia de Hidrología Operativa, la presa cuenta con dos niveles de operación anuales: el Nivel de Aguas Máximo Ordinario (NAMO) de lluvias, vigente desde el 15 de mayo y equivalente a 36.03 millones de metros cúbicos, y el NAMO de estiaje, con una capacidad de 51.57 millones de metros cúbicos. En la reunión participaron representantes de los municipios de Tlahuelilpan, Tula de Allende, Tepeji del Río, Mixquiahuala de Juárez, Tezontepec de Aldama, Atitalaquia y Tlaxcoapan, además de autoridades estatales y federales.</t>
  </si>
  <si>
    <t>Las torrenciales lluvias registradas desde finales de la semana pasada, dejaron afectaciones en caminos e infraestructura de municipios de la Sierra Otomí Tepehua. En algunas zonas de la carretera estatal Tenango-Metepec, en algunos sectores, los desprendimientos llegaron a obstruir aproximadamente la mitad de un carril, por lo que personal de Protección Civil realizó trabajos de limpieza para liberar parcialmente el paso. Las vías de comunicación hacia las comunidades de San Francisco La Laguna, La Palizada, El Lindero, El Progreso, La Loma del Progreso y localidades cercanas se vieron afectados, así como interrupciones en el suministro de energía eléctrica. La noche del pasado jueves 11 de junio, se registró la crecida del río Pantepec, dentro del municipio de Huehuetla, por lo que personal de Protección Civil mantiene recorridos y monitoreo permanente en distintos puntos del municipio para dar seguimiento al comportamiento del afluente. Otros puntos donde existe atención prioritaria, son la Colonia Nueva, Barrio Aztlán, Plan del Recreo, Juntas Chicas, Colonia Arroyo Negro, Santa Inés, Acuautla, Chapingo, Dos Caminos y el Cerro de Chapingo. En el municipio de San Bartolo Tutotepec, un deslave se registró en la carretera estatal que comunica a la cabecera municipal, bloqueando por completo el acceso. Un alud de piedras y lodo cayó sobre la cinta asfáltica, obstruyendo la vía de comunicación a la altura del punto conocido como Puente Camarones. El acceso a la cabecera municipal también resultó afectado en La Plazuela, así como a la colonia Industrial, a Valle Verde y a la colonia Tutotapa. Las autoridades reiteraron el llamado a la ciudadanía para mantenerse informada a través de los canales oficiales y seguir las recomendaciones preventivas durante esta temporada de lluvias.</t>
  </si>
  <si>
    <t>La intensa lluvia registrada la tarde de este sábado 13 de junio, dejó importantes afectaciones sobre todo en los límites municipales de Tulancingo con Cuautepec y Santiago Tulantepec. La zona con mayores afectaciones por arrastre de material y tierra se localizó sobre la carretera Tulancingo–Cuautepec, desde el Circuito Chapultepec hasta el sitio conocido como La Curva. Escurrimientos provenientes de la zona norte del municipio, así como la gran cantidad de agua, provocaron también que se acumulara sobre la vía carretera. En los límites municipales de Tulancingo con Santiago Tulantepec, elementos de Bomberos y Protección Civil atendieron anegamientos en viviendas ubicadas en la zona de Medias Tierras. También fue atendida la caída de una barda en un taller localizado sobre la carretera a Cuautepec, a la altura de la entrada al Circuito Chapultepec. Debido a la gran cantidad de lluvia acumulada en las vialidades citadas provocó que en algunos tramos el agua cubriera buena parte de los vehículos automotores. También fue una importante cantidad de lodo el que se acumuló, debido a que la lluvia arrastró tierra y material hacia las zonas citadas. Protección Civil informó que se realizaron recorridos de supervisión en las colonias Jardines del Sur, Magisterio I y Paraíso Sur, sin que hasta el momento se reporten afectaciones de gravedad.</t>
  </si>
  <si>
    <t>Afectaciones Por Lluvias</t>
  </si>
  <si>
    <t>Canal del Pueblo</t>
  </si>
  <si>
    <t>Vocales Radio</t>
  </si>
  <si>
    <t>En cabina Alberto González comenta con Andrés Torres que de acuerdo a las última encuestas de Masive Caller Morena no está obteniendo buenos resultados en los municipios en cuanto a preferencias con miras a las próximas elecciones. Opina que esto de debe a la falta de buenos resultados. Comentan sobre las posibles alianzas con el PT.</t>
  </si>
  <si>
    <t>Morena</t>
  </si>
  <si>
    <t>Elecciones</t>
  </si>
  <si>
    <t>Andrés Torres</t>
  </si>
  <si>
    <t>En cabina Alberto González comenta que Marco Antonio Mendoza Bustamante rindió protesta como presidente del Comité Directivo Estatal del Partido Revolucionario Institucional (PRI) y viene un trabajo titánico para esta nueva dirigencia.</t>
  </si>
  <si>
    <t>Renovación dirigencia</t>
  </si>
  <si>
    <t>Marco Antonio Mendoza y Jenny Márquez tomaron protesta como nuevos dirigentes del PRI Hidalgo.</t>
  </si>
  <si>
    <t>Hidalgo impulsa con la ONU financiamiento para proyectos metropolitanos de agua</t>
  </si>
  <si>
    <t>ZMVM</t>
  </si>
  <si>
    <t>Fortalecen paz social en Singuilucan con atención y respuesta directa</t>
  </si>
  <si>
    <t>Mesas de acercamiento</t>
  </si>
  <si>
    <t>Hoy el gobernador Julio Menchaca en las instalaciones de la Feria de Pachuca a las 10:45 hará entrega de becas para la transformación estudiantes media superior.</t>
  </si>
  <si>
    <t>Becas Para La Transformación</t>
  </si>
  <si>
    <t>Con una inversión superior a los 156 millones de pesos en infraestructura pública, el gobernador Julio Menchaca Salazar continúa impulsando la transformación de Mineral</t>
  </si>
  <si>
    <t>Terminó la feria de Jacala y hubo muchas quejas por la nueva sede de esta feria y ayer en el baile del cierre de feria hubo "pelea de box, batalla campal" entre unas damas.</t>
  </si>
  <si>
    <t>Feria Patronal</t>
  </si>
  <si>
    <t>Dos policías municipales de Tizayuca fueron detenidos y vinculados a proceso por presunto robo de vehículos, Elementos de la Policía Estatal los aseguraron y fueron puestos a disposición del Ministerio Público.</t>
  </si>
  <si>
    <t>Detención de policía</t>
  </si>
  <si>
    <t>Este fin de semana en Singuilucan (sic) se presentó un ataque al interior del bar “Netos”, dejando como saldo a 3 personas sin vida y ya se realizan las indagatorias pertinentes para dar con los delincuentes.</t>
  </si>
  <si>
    <t>Andrés Torres señala que tienen ya dos meses fuera del aire en el 1010 AM El Vocero Huasteco por falta de diesel y debido a las pifias, al desconocimiento e ignorancia supina del área administrativa de Radio y Televisión de Hidalgo, que insisten en que es más importante todo lo demás que cumplir con nuestro trabajo que es transmitir en las estaciones de radio conforme las concesiones nos lo demandan. De por sí están en "veremos" las concesiones porque no cumplimos por este tipo de fallas, que más bien es un capricho y aquí seguimos hasta que lleguen las demandas, los problemas y entonces sí todo el mundo señalará culpas y dirán que alguien se equivocó, pero no dirán quién seguramente. Como pasó cuando perdimos 11 concesiones en el 2022. Hoy las 5 concesiones están en riesgo porque no transmitimos e internet, porque estamos constantemente saliendo del aire debido a esta falta de combustible y todo esto por ley debimos haberlo garantizado. nosotros cumplimos con nuestro trabajo todas las mañanas y no ponemos pretexto, no importa que nuestro carro no tenga llanta de refacción, no importa que no tengamos camioneta oficial, que usemos nuestro propio vehículo y nuestros propios recursos para venir a trabajar, lo que importa es cumplir con nuestro trabajo.</t>
  </si>
  <si>
    <t>Radiodifusoras</t>
  </si>
  <si>
    <t>Programas del Pueblo</t>
  </si>
  <si>
    <t>Erick Iván Martínez</t>
  </si>
  <si>
    <t>En Pachuca, un sujeto viajaba en una motoneta y sufrió un accidente, presuntamente fue un derrapamiento tras pisar un bache sobre esta vialidad. No traía, según información preliminar, casco, ni chamarra de protección, ni todo el equipamiento necesario para circular en estos vehículos. De acuerdo a los primeros informes, este accidente ocurrió poco antes de las seis de la mañana del domingo, lo que generó movilización de cuerpos de emergencia y elementos de seguridad.</t>
  </si>
  <si>
    <t>Auxilio a la ciudadanía</t>
  </si>
  <si>
    <t>Quedó captado el momento en que un microbús de transporte público volcó sobre la autopista México- Pachuca, a la altura de la Avenida San José, en la zona de San José Ixcuautepec, en el municipio de Tlalnepantla de Baz, en el Estado de México. El accidente de manera preliminar dejó como saldo 13 personas heridas, de las cuales 5 fueron reportadas como graves, por lo que fue necesaria la movilización de ambulancias y cuerpos de emergencia.</t>
  </si>
  <si>
    <t>Lo que debía de ser una noche de fiesta y diversión terminó con momentos de tensión luego de que se registrara una riña entre varios asistentes durante las actividades de esta feria en el municipio de Jacala. De acuerdo con testimonios de personas presentes, el incidente se prolongó por varios minutos, mientras decenas de asistentes, unas de ellas, observaban la situación y otras más intervenían en esta riña. Para muchos, la preocupación no fue únicamente el altercado, sino el tiempo que tardó en llegar las autoridades responsables de la seguridad del evento. Como podemos ver en las imágenes, la riña comenzó entre féminas y esto se fue ampliando y como siempre en un evento público se fueron sumando más personas que finalmente intervinieron en esta riña Y hasta el momento no se tiene información ni de personas lesionadas ni de personas detenidas.</t>
  </si>
  <si>
    <t>La mañana de este lunes se registró un fatal atropellamiento sobre el bulevar Felipe Ángeles a la altura de la Plaza de Toros, esto con dirección a Pachuca. De acuerdo con los primeros reportes, la víctima, un masculino, quien perdió la vida en el lugar tras el impacto. La zona generó movilización de cuerpos de emergencia y autoridades, quienes acudieron para resguardar el área y realiza las diligencias correspondientes. De manera extraoficial, trascendió que la persona presunta responsable que circulaba a bordo de un vehículo Topaz fue detenida por elementos de la policía estatal metros adelante. Esta persona fue puesta a disposición del Ministerio Público para determinar su culpabilidad.</t>
  </si>
  <si>
    <t>Atropellamiento</t>
  </si>
  <si>
    <t>Como parte de las actividades de las rutas de la transformación en mineral del Chico, el gobernador Julio Menchaca encabezó la inauguración del mural "Soplos de libertad", una obra que forma parte del programa Muralismo 2025 y que busca fortalecer la promoción del arte y la cultura en diferentes regiones de Hidalgo. La pieza realizada por el artista hidalguense Jesús Mauricio Laureano fue plasmada en este Pueblo Mágico y está inspirada en elementos representativos de la región, como flores endémicas e imágenes relacionadas con las infancias, de acuerdo con su creador, el objetivo es transmitir un mensaje de identidad, esperanza y participación comunitaria para las nuevas generaciones. Durante el evento, autoridades estatales destacaron que esta obra forma parte de una convocatoria pública mediante la cual nueve artistas hidalguenses fueron seleccionados para desarrollar proyectos de muralismo en distintos municipios del estado. La Secretaría de Cultura informó que estas intervenciones artísticas buscan acercar las expresiones culturales a la población, además de generar espacios de identidad y apropiación social en espacios públicos, por su parte autoridades municipales señalaron que este tipo de proyectos también contribuyen a fortalecer la actividad turística en Mineral del Chico, al incorporar nuevos atractivos culturales para visitantes y habitantes de la región.</t>
  </si>
  <si>
    <t>Muralismo</t>
  </si>
  <si>
    <t>El mandatario estatal Julio Menchaca habló acerca de obras que se desarrollan en el Congreso del Estado, en donde hubo incremento en distintos materiales como el acero. "Afortunadamente en el caso del CASP, esto estuvo bien presupuestado, bien programado, pero hay factores que se van modificando y está considerado dentro de un rango que puede considerarse como normal", dijo. Menchaca señaló que la administración estatal contempla reservas financieras para hacer frente a incrementos en los costos de construcción, situación que puede presentarse por factores económicos nacionales e internacionales. Destacó además que la entidad ha mantenido una política de disciplina financiera, lo que ha permitido avanzar en la reducción de compromisos heredados sin frenar la inversión pública.</t>
  </si>
  <si>
    <t>Salón De Plenos</t>
  </si>
  <si>
    <t>Con el objetivo de impulsar la permanencia escolar y apoyar la formación profesional de las y los jóvenes hidalguenses, el Gobierno de Hidalgo realizó la entrega de las becas para la transformación dirigidas a estudiantes de educación superior. Durante el evento, el Secretario de Educación Pública de Hidalgo, Natividad Castrejón Valdez, informó que este año se destinarán 130 millones de pesos para becas universitarias, beneficiando a 17 mil 400 estudiantes de distintas instituciones de educación superior en la entidad. El funcionario destacó que uno de los principales retos en materia educativa es incrementar la permanencia escolar, ya que actualmente en Hidalgo 39 de cada 100 alumnos que inician la educación primaria logran concluir una carrera universitaria. Por su parte el gobernador Julio Menchaca señaló que Hidalgo se ha consolidado como el segundo estado del país que más apoya con becas a estudiantes de nivel superior como parte de una estrategia para fortalecer el desarrollo académico de la juventud. El mandatario estatal destacó que el presupuesto destinado a programas y acciones en favor de las y los jóvenes ha mantenido un crecimiento constante alcanzando actualmente una inversión de 33 mil millones de pesos en la entidad.</t>
  </si>
  <si>
    <t>Durante la conferencia de prensa matutina, el titular de la secretaría de obras públicas de Hidalgo, Alejandro Sánchez García, informó que actualmente se realiza una inversión de 1700 17000000 de pesos para la rehabilitación de afectaciones ocasionadas por las lluvias. Por su parte, el residente general de Carreteras Alimentadoras en Hidalgo de la Secretaría de Infraestructura, Comunicaciones y Transportes del Gobierno de México, Julio César Rosas, detalló que el gobierno de México destina más de 4 mil millones de pesos para las acciones de reconstrucción derivadas del fenómeno climatológico conocido como vaguada monzónica. En materia educativa, el secretario de Educación Pública de Hidalgo, Natividad Castrejón Valdés, anunció una inversión superior a 265 millones de pesos adicionales al programa FAM potenciado, para fortalecer la infraestructura de aproximadamente 160 planteles de educación básica, beneficiando a más de 35 mil estudiantes en distintas regiones de la entidad.</t>
  </si>
  <si>
    <t>SEP Hidalgo logra 415 mdp para infraestructura educativa</t>
  </si>
  <si>
    <t>Infraestructura escolar</t>
  </si>
  <si>
    <t>Iza Hernández</t>
  </si>
  <si>
    <t>Pobladores de Ixmiquilpan y en pleno día de Tianguis alertaron sobre la presencia de un hombre portando un machete en la mano mientras caminaba por la calle, en la zona centro de Ixmiquilpan Hidalgo. Vecinos y comerciantes alertaron que el sujeto quien aparentemente se encuentra en situación de calle, caminaba sujetando con la mano el machete lo que ha generado miedo y preocupación. Ante estos hechos, se realizó la denuncia a las autoridades para que acudieran, controlarán la situación y verificar si existe riesgo para la población. No obstante, algunos comerciantes señalaron que la respuesta de las corporaciones tardó más de lo esperado, situación que generó inconformidad debido a la cantidad de personas que se encontraban en la zona al momento del incidente. Pidieron se le dé asistencia de salud</t>
  </si>
  <si>
    <t>Detención</t>
  </si>
  <si>
    <t>Dos elementos de la Secretaría de Seguridad Ciudadana (SSC) de Tizayuca fueron detenidos durante un operativo encabezado por agentes de la Policía de Investigación de la Procuraduría General de Justicia del Estado de Hidalgo (PGJEH), al estar presuntamente relacionados con un caso de robo de vehículo ocurrido en la zona industrial del municipio. De acuerdo con información preliminar, los detenidos fueron identificados como José Antonio I.R. y Jorge Alberto H.L., quienes presuntamente contaban con órdenes de aprehensión derivadas de una investigación por el robo de un vehículo. La captura se llevó a cabo mediante un despliegue coordinado en distintos puntos de Tizayuca, donde agentes ministeriales implementaron un importante dispositivo de seguridad para ubicar y asegurar a los oficiales. Hasta el momento, las autoridades no han emitido información oficial sobre los hechos ni sobre el proceso legal que enfrentarán los detenidos, no obstante, se espera que en las próximas horas se dé a conocer su situación jurídica y los avances de la investigación. Las investigaciones continúan para determinar el grado de participación de los detenidos y esclarecer los hechos que dieron origen a las órdenes de aprehensión.</t>
  </si>
  <si>
    <t>En cabina Maricruz García, directora del Zoológico Municipal de Tulancingo informó que el Zoológico de Tulancingo se suma a la campaña nacional “Anota un gol por el medio ambiente”, promovida por la Procuraduría Federal de Protección al Ambiente (PROFEPA) en Hidalgo. y próximamente recibirá envases de plástico y prendas de mezclilla para darles una segunda vida. Los materiales recolectados serán transformados en escobas, manteles y otros productos útiles, promoviendo el reciclaje y la reducción de residuos. Con esta iniciativa, el recinto fortalece su labor de conservación y educación ambiental entre las familias hidalguenses.</t>
  </si>
  <si>
    <t>Campaña de reciclaje</t>
  </si>
  <si>
    <t>Entrevista</t>
  </si>
  <si>
    <t>Ahora vamos a la región de Ixmiquilpan (sic) en donde padres de familia de la Escuela Primaria "20 de Noviembre", ubicada en la comunidad de Zacamulpa, realizaron una protesta a las afueras del plantel educativo para exigir explicaciones a las autoridades escolares tras la desaparición temporal de un alumno de 10 años ocurrida el pasado 9 de junio. Con pancartas y consignas, los manifestantes denunciaron presuntas omisiones por parte del personal responsable de la institución, luego de que, según relataron familiares del menor, el estudiante habría salido o sido retirado del plantel sin que se notificara oportunamente a su madre. Los inconformes señalaron que uno de los aspectos que más preocupa a la comunidad escolar es la aparente falta de protocolos de seguridad para garantizar la protección de los alumnos durante el horario de clases. Asimismo, cuestionaron la actuación de las autoridades educativas al solicitar las grabaciones de las cámaras de vigilancia del día de los hechos, las cuales, según denunciaron, les fueron negadas bajo el argumento de que no había suministro de energía eléctrica en ese momento. La movilización ocurre luego de que la desaparición del menor derivara en la apertura de una carpeta de investigación y en la emisión de la cédula de búsqueda. Durante la protesta, los manifestantes acusaron que la escuela carece de medidas suficientes para garantizar la seguridad de los estudiantes y exigieron una investigación transparente que permita esclarecer lo ocurrido, determinar posibles responsabilidades y evitar que un hecho similar vuelva a repetirse.</t>
  </si>
  <si>
    <t>Exigen localización de persona</t>
  </si>
  <si>
    <t>Un hombre privado de la libertad fue localizado sin vida la mañana de este lunes dentro del Centro de Reinserción Social de Tulancingo, hecho que ya es investigado por las autoridades estatales. De acuerdo con información proporcionada por la Secretaría de Seguridad Pública de Hidalgo, el hallazgo ocurrió en una de las áreas sanitarias del penal. Las primeras indagatorias apuntan a que podría tratarse de un suicidio, aunque serán las investigaciones correspondientes las que determinen las causas oficiales del fallecimiento. La dependencia informó que el interno contaba con antecedentes de intentos de autolesión, por lo que desde finales de 2025 recibía atención psicológica y seguimiento especializado por parte del personal correspondiente. Asimismo, se dio a conocer que la persona se encontraba sujeta a un proceso judicial por el delito de violación agravada. Tras el reporte, autoridades ministeriales iniciaron las diligencias de ley para esclarecer los hechos y recabar los elementos necesarios que permitan determinar cómo ocurrió el deceso. Hasta el momento no se han revelado más detalles sobre la identidad del fallecido ni sobre las circunstancias específicas del caso.</t>
  </si>
  <si>
    <t>Muerte interno</t>
  </si>
  <si>
    <t>Hidalgo, segundo estado con más becas para universitarios: Julio Menchaca</t>
  </si>
  <si>
    <t>En los últimos cuatro años, la Comisión de Derechos Humanos del Estado de Hidalgo ha registrado 169 expedientes relacionados con presuntas irregularidades cometidas por elementos de la Secretaría de Seguridad Pública estatal. La cifra fue dada a conocer por la presidenta del organismo, Ana Karen Parra Bonilla, quien informó que entre los asuntos más recientes se encuentra la investigación abierta tras los hechos ocurridos durante una manifestación de trabajadores del ISSSTE el pasado 5 de junio. De acuerdo con la titular de la Comisión, el caso continúa en análisis luego de que surgieran señalamientos sobre un posible uso excesivo de la fuerza por parte de agentes estatales durante la protesta. Parra Bonilla destacó la necesidad de fortalecer los mecanismos de actuación policial en escenarios de movilización social, por lo que planteó la posibilidad de establecer espacios de coordinación con la corporación estatal para revisar procedimientos y mejorar la atención de este tipo de eventos. La ombudsperson explicó que personal de la Comisión estuvo presente para brindar orientación a los manifestantes y dar seguimiento a los hechos reportados. Posteriormente, la intervención derivó en la apertura de una investigación formal. Asimismo, señaló que la defensa de los derechos humanos implica garantizar tanto el ejercicio de la protesta como el desempeño de las funciones de seguridad pública dentro de los límites establecidos por la ley. La presidenta de la CDHEH enfatizó que el organismo mantendrá el acompañamiento de las investigaciones necesarias para esclarecer lo ocurrido y determinar si existieron vulneraciones a las garantías de las personas involucradas.</t>
  </si>
  <si>
    <t>CDHEH</t>
  </si>
  <si>
    <t>Abuso Policiaco</t>
  </si>
  <si>
    <t>El gobierno de Hidalgo continuará ejecutando proyectos de infraestructura sin recurrir a créditos o financiamientos adicionales, aseguró el gobernador Julio Menchaca Salazar, quien afirmó que las obras en desarrollo cuentan con respaldo económico suficiente para concluirse. Las declaraciones surgieron luego de que se diera a conocer un ajuste en el costo de construcción de la nueva sede de sesiones del Congreso local, cuyo presupuesto aumentó en 20 millones de pesos respecto a la estimación inicial. El mandatario explicó que el cambio fue consecuencia de adecuaciones técnicas realizadas tras observaciones en materia de seguridad estructural, por lo que fue necesario modificar parte del proyecto original para garantizar condiciones adecuadas en el inmueble. Menchaca señaló que la administración estatal contempla reservas financieras para hacer frente a incrementos en los costos de construcción, situación que puede presentarse por factores económicos nacionales e internacionales. Destacó además que la entidad ha mantenido una política de disciplina financiera, lo que ha permitido avanzar en la reducción de compromisos heredados sin frenar la inversión pública. Entre los factores que han impactado los costos de algunas obras mencionó el encarecimiento de materiales de construcción y el aumento en los costos de mano de obra, elementos que obligan a realizar ajustes presupuestales durante la ejecución de los proyectos. Pese a ello, aseguró que las finanzas estatales se mantienen estables y que los recursos destinados a infraestructura están garantizados, por lo que descartó la necesidad de contratar deuda para solventar las obras actualmente en marcha.</t>
  </si>
  <si>
    <t>Disciplina financiera</t>
  </si>
  <si>
    <t>En el marco del Día Mundial de Toma de Conciencia del Abuso y Maltrato en la Vejez, conmemorado cada 15 de junio, la Secretaría de Salud de Hidalgo exhortó a la población a promover el respeto y la protección de los derechos de las personas adultas mayores. La dependencia destacó que esta fecha busca visibilizar problemáticas como el abandono, la discriminación, la violencia y otras formas de vulneración que afectan a este sector de la población, tanto en el ámbito familiar como social. Autoridades de salud señalaron que el maltrato hacia las personas mayores puede presentarse de distintas maneras, entre ellas agresiones físicas, afectaciones psicológicas, abuso económico, negligencia en los cuidados e incluso aislamiento social, situaciones que impactan directamente en su bienestar y calidad de vida. Asimismo, resaltaron la importancia de fomentar una cultura de inclusión y reconocimiento hacia quienes han contribuido al desarrollo de sus comunidades, promoviendo entornos donde puedan vivir con dignidad, seguridad y acceso a servicios básicos. La conmemoración también busca fortalecer la prevención de conductas abusivas, impulsar la denuncia de casos de violencia y generar conciencia sobre la necesidad de garantizar condiciones adecuadas para un envejecimiento saludable y pleno. Finalmente, la Secretaría de Salud reiteró el llamado a la sociedad, instituciones y familias a trabajar de manera conjunta para proteger a las personas adultas mayores y asegurar el respeto de sus derechos humanos.</t>
  </si>
  <si>
    <t>Maltrato en la vejez</t>
  </si>
  <si>
    <t>El gobierno municipal de Mineral de la Reforma emitió un posicionamiento sobre los hechos ocurridos al término de la más reciente sesión ordinaria de Cabildo, donde se registró una confrontación relacionada con la organización de la feria de la colonia 11 de Julio. De acuerdo con la administración municipal, un hombre identificado como Raúl “N” acudió a las instalaciones de la Teleaula acompañado por familiares para exigir la devolución de la organización de las festividades de dicha colonia. En el lugar también se encontraba Teresa “N”, quien actualmente encabeza los preparativos del evento. Según el comunicado, entre ambas partes surgió una discusión derivada de diferencias previas y señalamientos mutuos. La situación motivó la intervención de autoridades municipales, quienes solicitaron a los involucrados mantener el orden y retirarse del recinto. El Ayuntamiento señaló que Teresa “N” había presentado anteriormente denuncias por presuntas amenazas en contra de Raúl “N”, por lo que solicitó la presencia de elementos de Seguridad Ciudadana al considerar que existían medidas de restricción relacionadas con el caso. Tras el arribo de los policías, se intentó que el hombre abandonara el lugar; sin embargo, la situación generó nuevas confrontaciones verbales. En el comunicado también se menciona la participación de integrantes del Cabildo, entre ellos una regidora del PAN y un regidor de Movimiento Ciudadano, quienes expresaron posturas distintas respecto a la actuación de las autoridades. La administración municipal indicó que previamente se promovieron mesas de diálogo para buscar una solución al conflicto relacionado con la feria de la colonia 11 de Julio, aunque los desacuerdos entre las partes persistieron.</t>
  </si>
  <si>
    <t>Riña</t>
  </si>
  <si>
    <t>Una disputa relacionada con la organización de la feria de la colonia 11 de Julio generó momentos de tensión al concluir una sesión ordinaria de Cabildo en Mineral de la Reforma, informó el gobierno municipal. Según la versión oficial, un vecino identificado como Raúl “N” acudió a la Teleaula municipal acompañado de familiares para solicitar que le fuera devuelta la coordinación de los festejos. En el lugar también se encontraba Teresa “N”, quien actualmente encabeza la organización del evento y quien previamente interpuso denuncias por presuntas amenazas en contra del hombre. El Ayuntamiento señaló que durante el encuentro ambas partes sostuvieron un intercambio de señalamientos, situación que motivó la intervención de autoridades municipales para evitar que el conflicto escalara. Ante el altercado, el secretario general, Pablo Jaramillo, solicitó mantener el orden, mientras que el alcalde pidió a los involucrados abandonar el recinto. Posteriormente, Teresa “N” solicitó apoyo de la Secretaría de Seguridad Ciudadana al señalar que existe una medida de restricción vigente contra Raúl “N”. Elementos policiacos acudieron al sitio y pidieron al hombre retirarse; sin embargo, durante la intervención, la regidora panista Marlene Puertas Ramírez expresó inconformidad con la actuación de los agentes, de acuerdo con el comunicado emitido por la administración municipal. El gobierno local indicó que anteriormente promovió reuniones entre las partes para intentar resolver las diferencias sobre la organización de la feria, aunque los acercamientos no lograron alcanzar acuerdos.</t>
  </si>
  <si>
    <t>Comerciantes ambulantes que fueron trasladados de la Plaza Constitución a una nueva explanada comercial se manifestaron este lunes en la sede de la Presidencia Municipal de Pachuca para exponer las dificultades que enfrentan desde su reubicación. Los vendedores aseguraron que gran parte de la ciudadanía desconoce dónde se encuentra el espacio habilitado junto al Mercado Benito Juárez, lo que ha impactado negativamente en sus ingresos debido a la baja afluencia de compradores. A esta situación se suman las condiciones climáticas de las últimas semanas, pues las lluvias han reducido aún más la presencia de clientes en la zona, afectando las ventas de quienes dependen del comercio diario. Durante la movilización, los manifestantes también solicitaron al gobierno municipal limitar la entrega de permisos a comerciantes provenientes de otros estados, al considerar que ello incrementa la competencia en un momento complicado para quienes ya aceptaron su traslado. La protesta fue encabezada por Óscar Pelcastre, líder de la Federación de Organizaciones Independientes del Estado de Hidalgo (FOIDEH), quien ingresó a la Casa Rule acompañado de representantes del grupo para dialogar con funcionarios municipales. El traslado de los vendedores se concretó en abril de este año como parte de las acciones emprendidas por el ayuntamiento para reorganizar el comercio informal en el Centro Histórico de Pachuca. Antes de ello, decenas de comerciantes habían sido retirados de calles y espacios públicos de la zona centro.</t>
  </si>
  <si>
    <t>Ambulantaje</t>
  </si>
  <si>
    <t>Radioescucha: un llamado para que abran el río ya que actualmente se encuentra cerrado bloqueando la salida del agua. Alguna persona tomó posesión de este sitio y lo bloqueó. Esto es donde inicia el Circuito Chapultepec en la bajada de la Secundaria Técnica 56.</t>
  </si>
  <si>
    <t>Desazolve</t>
  </si>
  <si>
    <t>Radioescucha</t>
  </si>
  <si>
    <t>Con el objetivo de brindar alternativas de regularización antes de que concluya el año, el Departamento de Ejecución Fiscal realiza recorridos en distintas colonias del municipio para establecer un acercamiento directo con propietarios de inmuebles que forman parte de la cartera vencida, informándoles sobre los mecanismos disponibles para ponerse al corriente en sus contribuciones. La estrategia busca privilegiar el diálogo y la atención personalizada, ofreciendo opciones que permitan a los ciudadanos regularizar el pago de su predial de manera accesible y sin afectar su economía familiar. Entre las facilidades se encuentran convenios para el pago en parcialidades, siempre que estos se concreten dentro del presente ejercicio fiscal. El Gobierno de Tulancingo señala que, como parte de la revisión de la cartera vencida, se ha detectado que algunos adeudos corresponden a inmuebles cuyos propietarios han fallecido, propiedades intestadas, viviendas abandonadas o predios sujetos a procesos hipotecarios, situaciones que requieren atención específica para su regularización. De acuerdo con datos de la Secretaría de Tesorería y Administración, durante el presente año se han visitado 78 colonias y entregado 2 mil 263 invitaciones de pago, labor que continuará en diversos sectores del municipio durante los próximos meses.</t>
  </si>
  <si>
    <t>Predial</t>
  </si>
  <si>
    <t>Las fuertes lluvias registradas en Apan han dejado afectaciones en la comunidad de Chimalpa Tlalayote, donde el escurrimiento de agua proveniente de la zona montañosa ha ocasionado anegamientos en vialidades y viviendas. De acuerdo a los últimos reportes de Protección Civil el agua descendió desde la zona que divide a las comunidades de Lázaro Cárdenas y Chimalpa provocando la saturación de la carretera Apan-Calpulalpan y de vialidades aledañas. Posteriormente, el escurrimiento continuó hacia la zona de la Alameda, donde se registró el desbordamiento de un jagüey que afectó viviendas cercanas y distintos espacios de la comunidad. Tras esta contingencia la Comisión de Agua Potable y Alcantarillado del Municipio de Apan (CAAPAN) desplegó trabajos de limpieza y desazolve en la red de drenaje. De igual forma, el área de Sanidad Municipal, en coordinación con personal de la Comisión para la Protección contra Riesgos Sanitarios del Estado de Hidalgo (COPRISEH), realizó visitas domiciliarias para emitir recomendaciones preventivas y proteger la salud de la población. Las autoridades también llevaron a cabo pruebas de calidad del agua e iniciaron trabajos de cloración de la red de distribución con el objetivo de garantizar condiciones seguras para el restablecimiento del servicio.</t>
  </si>
  <si>
    <t>Lluvias dejan afectaciones en 46 caminos de Hidalgo; nueve permanecen cerrados. Las recientes lluvias registradas en Hidalgo han provocado derrumbes y afectaciones en distintos tramos carreteros de la entidad, informó el secretario de Infraestructura Pública y Desarrollo Urbano Sostenible, Alejandro Sánchez García. Durante una conferencia de prensa, el funcionario detalló que se han contabilizado aproximadamente 8 mil 610 metros cúbicos de material desprendido en carreteras a consecuencia de las precipitaciones. De acuerdo con el reporte presentado, un total de 46 caminos han registrado algún tipo de contingencia relacionada con las lluvias. De estos, 20 ya fueron atendidos en su totalidad y se encuentran operando con normalidad. Sin embargo, nueve vialidades continúan cerradas debido a las condiciones de riesgo que persisten en las zonas afectadas, mientras que brigadas de la dependencia mantienen labores de limpieza, retiro de escombros y evaluación de daños. Las autoridades estatales señalaron que los trabajos continuarán en los puntos con mayores afectaciones para restablecer la circulación y garantizar la seguridad de quienes transitan por la red carretera de Hidalgo.</t>
  </si>
  <si>
    <t>Las autoridades federales mantienen vigilancia permanente en diferentes regiones de Hidalgo luego de detectar 121 sitios con potencial de inundación durante la actual temporada de lluvias, informó la Comisión Nacional del Agua (Conagua). De acuerdo con la dependencia, los puntos de mayor atención se concentran en municipios de la Huasteca, la Sierra Otomí-Tepehua, además de las regiones de Pachuca y Tula, donde se realizan recorridos y seguimiento constante para prevenir afectaciones a la población. Además de los puntos vulnerables, Conagua supervisa el comportamiento de las presas más importantes del estado. Actualmente, los embalses de Taxhimay, Requena, Endhó y La Esperanza presentan almacenamientos superiores a su capacidad ordinaria; no obstante, las autoridades descartaron riesgos inmediatos al tratarse de infraestructura destinada principalmente a actividades agrícolas. La dependencia también mantiene especial atención sobre el río Tula, considerado una zona estratégica debido a los antecedentes de contingencias registradas en años pasados. Para ello, existe coordinación continua con instancias del Valle de México y un sistema de observación permanente de los niveles del afluente. Según datos oficiales, las obras realizadas en el cauce del río entre 2022 y 2024 permitieron incrementar significativamente su capacidad hidráulica, pasando de 300 a 500 metros cúbicos por segundo, con el objetivo de disminuir el riesgo de inundaciones. Hasta ahora, los escurrimientos registrados durante esta temporada se mantienen dentro de parámetros seguros, por lo que no existe peligro de desbordamiento, indicaron autoridades de Conagua.</t>
  </si>
  <si>
    <t>Se reunió la dirigente de la UNTA, Martha López Ríos con el presidente municipal de Pachuca, Jorge Reyes y el diputado Andrés Velázquez y dicen que ya traen acuerdos.</t>
  </si>
  <si>
    <t>Reunión con actores políticos</t>
  </si>
  <si>
    <t>Vía telefónica Milton Cortés menciona que las obras que se realizan en la zona centro de Pachuca y la zona sur siguen generando una movilidad complicada.</t>
  </si>
  <si>
    <t>Milton Cortés</t>
  </si>
  <si>
    <t>Vía telefónica Milton Cortés informa que Oscar Pelcastre, alias "El Perro" junto a su hija Jeazul Pelcastre acudieron a la presidencia municipal de Pachuca para exigir espacios en la vía pública, porque el espacio que fue proporcionado por ayuntamiento les ha sido insuficiente y la gente no acude al lugar, lo que les ha generado pérdidas económicas. Señaló que se cuenta con 150 permisos para trabajar en la vía pública y exigen que se cumplan los acuerdos respecto a la construcción y condiciones del mercado destinado para los comerciantes ambulantes. De no atender sus demandas se volverán a instalar en la Plaza Constitución. Se acercan eventos político como el informe de la alcalde y las fiestas patrias y seguramente esto provocará la visibilidad cada vez más de los comerciantes.</t>
  </si>
  <si>
    <t>Radioescucha, Rod Mendoza: aunque las mejoras del Sistema de Transporte Metropolitano prometían maravilla , aún no se logran satisfacer las necesidades. La frecuencia sigue siendo pobre, creo que deben de reconfigurarse las rutas de as alimentadoras, ampliarlas a pun tos más concurridos para evitar trasbordos y esperas. Los domingos incluir la $T y ampliar el horario. Ayer se lanzó una nueva ruta alimentaria 20b (sic), ,e parece buena. (51.38-52.06)</t>
  </si>
  <si>
    <t>Semot</t>
  </si>
  <si>
    <t>Deficiencias Tuzobús</t>
  </si>
  <si>
    <t>Andrés Torres habla de la diferencia entre el periodismo y la propaganda, misma que muchos hacen mal, y en este sentido critica que en los boletines hay "puros adjetivos, en el mismo párrafo cambian los tiempos verbales, no conocen un punto y coma, no conocen un sujeto, verbo y predicado desde lejos; simple y llanamente transcriben los discursos y ahí están los errores y la comunicación trunca, que es lo que está pasando ¿Por qué no permea? porque no saben comunicar, no se entienden sus mensajes y eso es desde saber leer y escribir. Así de grave está la cosa." Manda a corte de televisión y durante la transmisión de Facebook sigue comentando que "y si no me creen, lean los boletines de hoy. No se les entiende nada. los boletines que mandó Comunicación Social de Gobierno del Estado. (45.21-46.57)</t>
  </si>
  <si>
    <t>Comunicación gubernamental</t>
  </si>
  <si>
    <t>Simpatizantes del diputado federal, Cuauhtémoc Ochoa recorrió Cubitos y parte de Real de Minas, en las Terrazas en Pachuca solicitando se sumen a su proyecto político y para esto les solicitaban su credencial de elector.</t>
  </si>
  <si>
    <t>Aspirantes</t>
  </si>
  <si>
    <t>Sucesión Gubernamental</t>
  </si>
  <si>
    <t>Sucesión gubernamental</t>
  </si>
  <si>
    <t>Radioescucha, Gustavo Perlín: que se pongan a trabajar los directivos de Radio y Televisión. Andrés Torres responde a este comentario: nada más que no se roben lo que hay, nada más que no agarren lo que no es suyo, con eso es suficiente. Que no trabajen, ya nos echamos 4 años con alana Austria de nada. nada más que no se roben lo que hay, ya nada más les falta llevarse los focos. (39.41- 39.59)</t>
  </si>
  <si>
    <t>Desvío de recursos</t>
  </si>
  <si>
    <t>Radioescucha, Liz Valdespino: lamentable que una institución como Radio y TV de Hidalgo la dejen morir porque no está en sus prioridades. Andrés Torres responde que "sigue siendo un trampolín político y mientras usen Radio y Televisión de Hidalgo para el siguiente puesto o para poner al amigo del amigo para que cobre está complicado. Tienen que poner a alguien que por lo menos conozca el estado, que si le preguntas algo no responda -es que mi carro no tiene llanta de refacción-. Que esa sea la prioridad de un Director General, pedir que su carro tenga llanta de refacción. un carro utilitario porque pues no pone su carro." (38.43-39.30)</t>
  </si>
  <si>
    <t>Mal desempeño</t>
  </si>
  <si>
    <t>Radioescucha: En Tasquillo tenemos una Unidad Básica de Rehabilitación y nuestro presidente quiere meter una Procuraduría del Menor, Nosotros como padres de familia no queremos que se instale este servicio. El presidente es muy grosero y nos dijo que lo va a poner porque las instalaciones pertenecen al municipio y él lo puede destinar para lo que quiera ¿a dónde podemos acudir para que no se instale esta unidad? Andrés Torres le recomienda al radioescucha denunciar al alcalde porque no puede hacer lo que quiera y solicitar a través del Cabildo que les enseñe el proyecto y que le recuerden lo que pasó por querer poner ahí un Cereso.</t>
  </si>
  <si>
    <t>En el Cardonal se llevará el Festival del Chile Rayado del 18 al 20 de junio en La Misión. Agradece al alcalde Israel Villeda por la invitación.</t>
  </si>
  <si>
    <t>Festival Gastronómico</t>
  </si>
  <si>
    <t>Andrés Torres menciona que "en Tulancingo tampoco hay señal de televisión (del Canal del Pueblo) también por problemas técnicos que no quieren arreglar. No hay televisión en la región de Tulancingo, no hay radio en la Huasteca; entonces ¿Qué están haciendo? ¿a qué se dedican en Radio y Televisión de Hidalgo? porque tampoco hay programación. mientras que en las 5 estaciones de radio tenemos programación diferente, que bueno, se acaban de enterar hace 8 días. No lo sabían, imagínese usted." (14.05-14.43)</t>
  </si>
  <si>
    <t>Andrés Torres señala que "el 1010 AM El Vocero Huasteco sigue fuera del aire por un capricho, porque no quieren comprar diesel, porque los combustibles son para los directores y sigue fuera del aire nuestra estación bilingüe de Náhuatl y Castellano. No podemos estar en contacto, lo cual es un delito y es sancionable porque es una deuda social porque está tipificado en la ley. no podemos estar comunicados con nuestras comunidades indígenas en la Huasteca para avisarles de la vaguada monzónica, de estas tremendas lluvias , las crecidas de ríos. Es un asunto criminal, pero la dirección de administración dice que ese no es su problema. El Vocero Huasteco fue la primera estación que recuperamos y por un capricho no quieren encenderla. A ver si cuando nos avisen que nos van a quitar la concesión recientemente adquirida, entonces se ponen a trabajar. Lo denuncio todos los días, tengo dos meses denunciándolo todos los días y nadie me hace caso, lo cual me preocupa porque quiere decir que nadie ve este programa. A ver si alguien en la Contraloría, a ver si alguien en gobierno del Estado hace su trabajo y ponemos al aire una estación que es una estación indígena y que además está en riesgo porque no tiene transmisión en internet lo cual está obligado en la concesión, pero tampoco lo quieren hacer. Nosotros estamos aquí todos los días haciendo nuestro trabajo y no pedimos carro oficial con llantita de refacción y sí sé cuántos trabajadores hay en Radio y televisión, no como cuando le preguntan y no sabe. Yo sí tengo vergüenza profesional." (11.40- 13.48)</t>
  </si>
  <si>
    <t>Un trágico accidente vial cobró la vida de un hombre la mañana de este lunes, luego de ser atropellado cuando intentaba cruzar el bulevar Felipe Ángeles, una de las principales arterias de la capital hidalguense. De acuerdo con los reportes emitidos por la policía municipal, el percance ocurrió a la altura de la Plaza de Toros, dónde el peatón intentaba atravesar la vialidad cuando fue impactado de manera frontal por un vehículo en movimiento. Debido a la fuerza del golpe, el cuerpo de la víctima sufrió lesiones de extrema gravedad, confirmándose que perdió una de sus extremidades inferiores tras el impacto y quedó semidesnudo sobre la carpeta asfáltica. Paramédicos y elementos de seguridad que arribaron al sitio confirmaron que el sujeto ya no contaba con signos vitales, por lo que falleció de forma instantánea en el lugar de los hechos. La zona fue debidamente acordonada por las autoridades locales para evitar otros incidentes y resguardar la escena. Horas más tarde personal de la Procuraduría General de Justicia del Estado de Hidalgo (PGJEH), se encargaron de realizar las indagatorias correspondientes, el peritaje terrestre y el levantamiento del cuerpo.</t>
  </si>
  <si>
    <t>Levantamiento De Cuerpo</t>
  </si>
  <si>
    <t>La Subsecretaría de Protección Civil y Gestión de Riesgos informa a la población que, para este 16 de junio de 2026, se prevén intervalos de chubascos con lluvias puntuales fuertes de 25 a 50 mm en las regiones norte y sureste del estado. Asimismo, se pronostican temperaturas máximas de 35 a 40 °C en las regiones norte y este, así como viento de dirección variable de 10 a 20 km/h con rachas de 30 a 40 km/h. Ante estas condiciones, se exhorta a la ciudadanía a mantener medidas preventivas, especialmente en zonas susceptibles a encharcamientos, escurrimientos, caída de ramas u objetos y afectaciones derivadas del viento y del calor. Se recomienda a la población: Por lluvias- Evitar cruzar calles inundadas, vados, ríos, arroyos o corrientes de agua, ni a pie ni en vehículo. No realizar traslados innecesarios mientras se presenten lluvias. Conducir con precaución, reducir la velocidad y mantener distancia entre vehículos. Mantener limpias coladeras, desagües y azoteas. No tirar basura en la vía pública; si observas residuos en la calle, recógelos y deposítalos en su lugar para ayudar a prevenir taponamientos.</t>
  </si>
  <si>
    <t>Decomisan 3 mil 470 dosis de distintas drogas</t>
  </si>
  <si>
    <t>Reunión Gabinete De Seguridad</t>
  </si>
  <si>
    <t>El día del hoy en el Congreso se planteará la iniciativa para declarar el tercer sábado del mes de junio como el Día del chile rayado.</t>
  </si>
  <si>
    <t>Iniciativa</t>
  </si>
  <si>
    <t>Becas para la Transformación</t>
  </si>
  <si>
    <t>Conmemora IAAMEH el Día Mundial de Toma de Conciencia del Abuso y Maltrato en la Vejez 2026</t>
  </si>
  <si>
    <t>Violentómetro</t>
  </si>
  <si>
    <t>La Coordinadora Nacional de Trabajadores de la Educación (CNTE) ha endurecido sus protestas y mantiene un plantón indefinido en el Zócalo de la Ciudad de México tras evaluar como insuficientes las propuestas del gobierno federal. Las movilizaciones han causado el cierre de vialidades clave y pérdidas económicas millonarias.</t>
  </si>
  <si>
    <t>Locutor Jesús Riveros da lectura a comentario de radioescucha que reporta, que el día de ayer en San Bartolo Tututepec un taxista le gritó y ofendió y los oficiales no hicieron nada; Jesús Riveros responde que va a compartir el número de la Semot para el reporte correspondiente y recuerda, que la propia secretaria ha dicho en los micrófonos de la NQ, que es importante realizar los reportes de manera directa y oficial.</t>
  </si>
  <si>
    <t>Queja transporte público</t>
  </si>
  <si>
    <t>Locutor Jesús Riveros da lectura a comentario de radioescucha que reporta, que abordó una colectiva ruta Tecocomulco-Tulancingo con placa número A57815 y el chofer le cobró 20 pesos de pasaje cuando la tarifa es de 12 pesos, cabe hacer mención que es adulto mayor.</t>
  </si>
  <si>
    <t>Presentó Navor Alberto Rojas Mancera su renuncia a la delegación en Hidalgo de la Procuraduría Federal del Consumidor (Profeco), tras reconocer que buscará un cargo de elección popular. Rojas indicó que tiene puesta la mira en una diputación federal o en la presidencia municipal de Pachuca.</t>
  </si>
  <si>
    <t>Habitantes del municipio de San Salvador externaron su preocupación ante el incremento de la inseguridad, luego de que este día un sujeto presuntamente intentó ingresar a robar en una casa habitación ubicada en la localidad de El Tablón. De acuerdo con la información, una de las propietarias de la vivienda denunció que un masculino ingresó a su hogar, sin embargo huyó en una motocicleta tras ser descubierto. El hombre fue descrito de complexión delgada y estatura alta. Portaba pantalón de mezclilla, chamarra negra, guantes negros, botas de trabajo color camel y un casco negro. Este hecho se suma a los ocurridos en semanas anteriores en la comunidad de San Antonio Zaragoza, en donde apenas el pasado 6 de junio se reportó el intento de robo de una camioneta. Mientras que en mayo un sujeto fue detenido por los pobladores luego de intentar hurtar una motocicleta. Y en abril tuvieron lugar dos hechos, el robo dentro de una carnicería y el saqueo a una unidad del transporte público.</t>
  </si>
  <si>
    <t>Inseguridad</t>
  </si>
  <si>
    <t>Respecto a la reciente renuncia de Navor Rojas a la delegación en Hidalgo de la Profeco, David cárdenas comnetó que ya comienzan a darse los movimientos, se había destacado que quien tenga la intención de participar, tiene que dejar el cargo. En ese sentido, el día de ayer, después de un evento, le preguntaban al gobernador Julio Menchaca Salazar que muchos no se ha decidido y hubo quien también consideró que, mientras estén en funciones, son mencionados, están participando en sus encargos y entonces, al día, siguen mencionando sus nombres, pero, por el otro lado, vemos esa participación no abierta en lo que es su área de competencia y la otra es que se han incrementado las participaciones en plataformas de redes sociales.</t>
  </si>
  <si>
    <t>Hay comunicación en todas las localidades hidalguenses tras el paso de “Boris”: SIPDUS (AUDIO ASG)</t>
  </si>
  <si>
    <t>Inicia Secturh nuevas capacitaciones para el sector turístico de Hidalgo</t>
  </si>
  <si>
    <t>Capacitación turística</t>
  </si>
  <si>
    <t>Hidalgo, segundo estado con más becas para universitarios: Julio Menchaca. (AUDIO JMS).</t>
  </si>
  <si>
    <t>Gabinete de Seguridad de Hidalgo frena a narcomenudistas en 11 municipios</t>
  </si>
  <si>
    <t>Combate Al Huachicol</t>
  </si>
  <si>
    <t>Una persona privada de la libertad fue localizada sin vida en los sanitarios del Centro de Reinserción Social de Tulancingo, de acuerdo con los primeros reportes. Las autoridades investigan el caso bajo la hipótesis de un probable suicidio. El interno se encontraba sujeto a proceso penal por el delito de violación agravada y recibió atención psicológica especializada desde diciembre de 2025 tras un intento previo de quitarse la vida. La muerte ocurrió durante la mañana de ayer lunes y activó los protocolos de investigación al interior del penal.</t>
  </si>
  <si>
    <t>Un hombre fue asegurado por elementos estatales tras ser sorprendido transportando 225 litros de hidrocarburo de aparente procedencia ilícita en la comunidad de Lázaro Cárdenas en Tezontepec de Aldama. Los agentes detectaron una camioneta que circulaba sobre esta vía a exceso de velocidad. Al intentar realizar una revisión, el conductor se negó, por lo que los oficiales efectuaron una inspección más exhaustiva. Durante la intervención localizaron diversos contenedores con un total de 225 litros de huachicol.</t>
  </si>
  <si>
    <t>El subsecretario de Protección Civil del Estado, Román Bernal, informó que el Comité de Emergencias permanece activo ante las lluvias recientes. Se atendieron afectaciones en 21 municipios, además de 22 derrumbes registrados en carreteras de la zona serrana del Estado. En las últimas 96 horas en el Estado tuvimos la presencia de lluvias fuertes e intensas, lo cual ha provocado derrumbes, deslaves, así como crecimiento de los ríos. Román Bernal también dijo que esta semana se esperan más lluvias en territorio hidalguense. Para esta semana continúan las lluvias fuertes, pero con menor intensidad que la semana pasada. Las mismas recomendaciones son no tratar de cruzar los cuerpos de agua que nos estamos presentando, así modernizar nuestras casas de habitación, saber en dónde estamos habitando y minimizar el riesgo. AUDIO DE APOYO.</t>
  </si>
  <si>
    <t>El subdirector técnico de Conagua en Hidalgo Sergio Guzmán Morales informó que diariamente se monitorea siete presas estratégicas aunque algunas presas registran niveles superiores al 100% de su capacidad el funcionario aseguró que no existe riesgo para la población aguas abajo ya que operan dentro de parámetros normales y cuentan con sistemas permanentes de desfogue. AUDIO DE APOYO.</t>
  </si>
  <si>
    <t>Tepeji del Río como parte de las acciones para fortalecer la infraestructura educativa en Hidalgo, el secretario Natividad Castrejón anunció la construcción de una techumbre en la Escuela Primaria Enrique Corona en Tepeji del Río, además del inicio de los trabajos de rehabilitación del comedor y la habilitación de la biblioteca escolar. Con una inversión superior a los 415 millones de pesos, el gobierno de Hidalgo reforzará la infraestructura de educación básica durante este 2026. El secretario de Educación Natividad Castrejón Valdés informó que los recursos permitirán mejorar escuelas de preescolar, primaria y secundaria en distintas regiones del estado. Detalló que mediante el Fondo de Aportaciones Múltiples se invertirán 150 millones de pesos en 87 planteles de 41 municipios, mientras que el programa FAM potenciado apostará otros 265 millones para ampliar la cobertura de obras en cerca de 160 escuelas. Algunos edificios nuevos, algunas obras complementarias, pero bueno eso es lo que teníamos planeado para el año. AUDIO DE APOYO</t>
  </si>
  <si>
    <t>Un grupo de comerciantes ambulantes que habían sido reubicados se manifestaron afuera de la presidencia municipal de Pachuca para denunciar una disminución en sus ventas y solicitar una audiencia con el alcalde para plantear sus inquietudes. Estuvieron liderados por Oscar Pelcastre, líder de la FOIDE. Y aquí está la autorización y firmado efectivamente por presidencia municipal. Si no hay una solución, no es amenaza ni nada, vamos a tomar nuestras áreas de trabajo porque presidencia municipal no va a cumplir los acuerdos que definitivamente habíamos tenido. Tenemos 150 términos en el primer cuadro de la ciudad que se ganó ante el tribunal. A mí me engañaron que iban a recibir hoy a tales horas y yo efectivamente no hemos recibido nada. AUDIO DE APOYO</t>
  </si>
  <si>
    <t>El gobernador, Julio Menchaca Salazar encabezó la primera entrega del programa becas para la transformación 2026, que va a beneficiar a más de 17 mil estudiantes de educación superior en universidades públicas de Hidalgo. Durante el evento, el mandatario destacó que la entidad es el segundo estado del país que más apoya con becas a nivel superior y señaló que la inversión en educación ha crecido de manera importante durante su administración. AUDIO DE APOYO Por su parte, el secretario de Educación Pública Natividad Castrejón informó que este año se destinan 130 millones de pesos al programa para respaldar a 17 mil 400 jóvenes y reducir la deserción escolar. En esta primera etapa se entregaron 11 mil 700 apoyos equivalentes a 71 millones de pesos. Autoridades estatales señalaron que estas becas buscan ampliar las oportunidades educativas y garantizar que más estudiantes continúen su formación profesional. AUDIO DE APOYO</t>
  </si>
  <si>
    <t>Durante la última semana, el Gabinete de Seguridad de Hidalgo detuvo a 18 personas vinculadas con actividades de narcomenudeo y aseguró 3470 dosis de distintas drogas, además de siete básculas grameras, informó el gobernador Julio Menchaca Salazar. En la reunión semanal de seguridad, el mandatario destacó que los operativos se realizaron en 11 municipios. En Tulancingo fueron detenidas tres personas relacionadas con el robo a una joyería, recuperándose la mercancía sustraída y un arma de fuego. Asimismo, gracias a un reporte al 911, fue capturado un presunto ladrón de vehículos sobre la carretera México-Pachuca. En Tizayuca también se logró la detención de una persona señalada por el asalto a una farmacia recuperando el dinero robado. Las autoridades informaron además la localización de siete personas con ficha de búsqueda y continúan las investigaciones por el homicidio de tres personas en Zacualtipán.</t>
  </si>
  <si>
    <t>El gobernador habló y anunció que el próximo fin de semana se pone en funcionamiento la unidad deportiva de alto rendimiento. “No es que el sábado lo hacen, este va a haber una carrera, parece que es de la Plaza Fuertes a la Ciudad Deportiva para ya ponerla en funcionamiento. Es una emoción considerable, pero es otro espacio. Además, para poder, por un lado, atender a la juventud, a todos los sectores deportistas, pero vamos a tener una villa en donde se van a poder hospedar los deportistas de alto rendimiento del interior del estado para que puedan competir en las competencias nacionales e internacionales, pues con mucho mejor preparación”. AUDIO DE APOYO</t>
  </si>
  <si>
    <t>Ciudad deportiva</t>
  </si>
  <si>
    <t>El fin de semana me tocó ver por ahí algunos actores políticos que ya se hacen presentes. Hay unas dinámicas familiares en las plazas públicas y es que mire, al parecer la encuesta para elegir a los candidatos va a ser que si tú lo conoces o no, ese es uno de los filtros. Por eso, pues hay que salir en las fotos. De este tema de las elecciones habló el gobernador. AUDIO DE APOYO JMS</t>
  </si>
  <si>
    <t>Hoy hablemos del tema del tren México- Querétaro. Usted recuerda que va a pasar por nuestro estado. En días pasados se dijo que se iba a realizar una consulta informativa sobre el proyecto, sobre este tren México-Querétaro, y estaba programada en la comunidad indígena de San Ildefonso en Tepeji del Río. Bueno, esta consulta informativa fue cancelada debido a la falta de consenso entre los habitantes. Pobladores han señalado que la decisión se derivó del incumplimiento de compromisos asumidos por las autoridades federales desde finales de 2025, entre ellos la construcción de un camino artesanal de 8 kilómetros hacia el cerro del Chantepec, la atención al conflicto agrario con el ejido de conejos y la transferencia de la concesión del pozo Las Peras a la comunidad. Aunque una parte de la población estaba dispuesta a escuchar la información sobre el proyecto ferroviario, el desacuerdo entre los habitantes impidió que se desarrollara la reunión. Como en todo conflicto social, hay quienes tienen intereses personales que ejercen cierta presión para que se cumplan sus caprichos. AUDIOS DE APOYO DE VECINOS.</t>
  </si>
  <si>
    <t>Tren México Querétaro</t>
  </si>
  <si>
    <t>Un conflicto vecinal estalló en Mineral de la Reforma, luego que un hombre con orden de restricción irrumpió al concluir la sesión del cabildo con la finalidad de exigir el control de la feria de la colonia 11 de Julio. El hombre arribó acompañado de familiares al término de la cuadragésima tercera sesión ordinaria de cabildo, donde también se encontraba Teresa “N”, actual responsable de las festividades de esa localidad, quien había presentado previamente carpetas de investigación por amenazas de muerte en contra de Raúl “N”, situación que derivó en medidas de restricción. La confrontación verbal entre ambas partes elevó la tensión en la tele aula, ubicada en Pachuquilla, por lo que inicialmente el secretario general, Pablo Jaramillo, solicitó mantener el orden. Posteriormente, el presidente municipal, Eduardo Medécigo, solicitó a los involucrados retirarse del lugar. La administración municipal detalló que anteriormente se realizaron mesas de diálogo entre las partes para tratar el conflicto relacionado con la organización de la feria de la colonia 11 de Julio; sin embargo, sostuvo que las diferencias persistieron y derivaron en denuncias por amenazas.</t>
  </si>
  <si>
    <t>Locutor Jesús Riveros da lectura a comentario de radioescucha que reporta, que el día de ayer hicieron ir a los alumnos de la UTEC a Pachuca para recibir una tarjeta en la cual les hicieron firmar que tenía seis mil pesos de apoyo y resulta, que, al activarla, la tarjeta está en ceros, pregunta ¿Qué se puede hacer?</t>
  </si>
  <si>
    <t>Locutor Juan Carlos Santamaría responde al comentario de radioescucha respecto al depósito de becas, con información del área de Becas de la Coordinación de comunicación Social de la SEPH que han confirmado con el área de becas que el depósito ya se hizo, pero que, si hay alguna duda, alguna situación particular que comentar pueden comunicarse la siguiente número 7717172510 ext 4799.</t>
  </si>
  <si>
    <t>Ayer por la tarde se confirmaba que un interno de 50 años de edad, del Cereso de Tulancingo fue encontrado sin vida. De acuerdo con los primeros reportes, fue localizado suspendido del cuello en uno de los baños y aunque fue trasladado al Consultorio Médico del Cereso, minutos más tarde se confirmó que ya no contaba con signos vitales. Por lo anterior, se notificó la Ministerio Público para que iniciara las dirigencias correspondientes, posteriormente se dio aviso a los familiares del fallecido. De acuerdo con las primeras investigaciones, se apunta a que podría haber sido un suicidio, se dio a conocer que el interno enfrentaba un proceso penal por el delito de violación agravada y que, anteriormente, ya había atentado contra su vida, por lo que, recibía atención psicológica. Con este caso, suman ya tres suicidios registrados en el Cereso de Tulancingo en un periodo de nueve meses.</t>
  </si>
  <si>
    <t>Hidalgo define a quienes vigilarán la legalidad, la transparencia y el combate a la corrupción durante los próximos cuatro años.</t>
  </si>
  <si>
    <t>Contraloría</t>
  </si>
  <si>
    <t>Órgano Interno de Control</t>
  </si>
  <si>
    <t>SSPH detiene a hombre que transportaba hidrocarburo ilícito en Tezontepec de Aldama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</si>
</sst>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27" tableType="queryTable" totalsRowShown="0">
  <autoFilter ref="A1:M127"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27"/>
  <sheetViews>
    <sheetView tabSelected="1" workbookViewId="0">
      <selection activeCell="B2" sqref="B2"/>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46188</v>
      </c>
      <c r="B2" s="1" t="str">
        <f ca="1">IF(Información1[[#This Row],[Fecha]]='Ajuste de fechas'!$A$2,"Día actual","Día anterior")</f>
        <v>Día anterior</v>
      </c>
      <c r="C2" s="3" t="s">
        <v>31</v>
      </c>
      <c r="D2" t="s">
        <v>36</v>
      </c>
      <c r="E2" s="3" t="s">
        <v>64</v>
      </c>
      <c r="F2" s="3" t="s">
        <v>11</v>
      </c>
      <c r="G2" s="3" t="s">
        <v>65</v>
      </c>
      <c r="H2" s="3" t="s">
        <v>8</v>
      </c>
      <c r="I2" s="3" t="s">
        <v>7</v>
      </c>
      <c r="J2" s="3" t="s">
        <v>62</v>
      </c>
      <c r="K2" s="3" t="s">
        <v>32</v>
      </c>
      <c r="L2" s="3" t="s">
        <v>24</v>
      </c>
      <c r="M2">
        <v>1</v>
      </c>
    </row>
    <row r="3" spans="1:13" x14ac:dyDescent="0.25">
      <c r="A3" s="2">
        <v>46188</v>
      </c>
      <c r="B3" s="1" t="str">
        <f ca="1">IF(Información1[[#This Row],[Fecha]]='Ajuste de fechas'!$A$2,"Día actual","Día anterior")</f>
        <v>Día anterior</v>
      </c>
      <c r="C3" s="3" t="s">
        <v>31</v>
      </c>
      <c r="D3" t="s">
        <v>36</v>
      </c>
      <c r="E3" s="3" t="s">
        <v>66</v>
      </c>
      <c r="F3" s="3" t="s">
        <v>10</v>
      </c>
      <c r="G3" s="3" t="s">
        <v>67</v>
      </c>
      <c r="H3" s="3" t="s">
        <v>8</v>
      </c>
      <c r="I3" s="3" t="s">
        <v>7</v>
      </c>
      <c r="J3" s="3" t="s">
        <v>63</v>
      </c>
      <c r="K3" s="3" t="s">
        <v>32</v>
      </c>
      <c r="L3" s="3" t="s">
        <v>24</v>
      </c>
      <c r="M3">
        <v>1</v>
      </c>
    </row>
    <row r="4" spans="1:13" x14ac:dyDescent="0.25">
      <c r="A4" s="2">
        <v>46188</v>
      </c>
      <c r="B4" s="1" t="str">
        <f ca="1">IF(Información1[[#This Row],[Fecha]]='Ajuste de fechas'!$A$2,"Día actual","Día anterior")</f>
        <v>Día anterior</v>
      </c>
      <c r="C4" s="3" t="s">
        <v>31</v>
      </c>
      <c r="D4" t="s">
        <v>36</v>
      </c>
      <c r="E4" s="3" t="s">
        <v>68</v>
      </c>
      <c r="F4" s="3" t="s">
        <v>12</v>
      </c>
      <c r="G4" s="3" t="s">
        <v>69</v>
      </c>
      <c r="H4" s="3" t="s">
        <v>8</v>
      </c>
      <c r="I4" s="3" t="s">
        <v>7</v>
      </c>
      <c r="J4" s="3" t="s">
        <v>61</v>
      </c>
      <c r="K4" s="3" t="s">
        <v>32</v>
      </c>
      <c r="L4" s="3" t="s">
        <v>24</v>
      </c>
      <c r="M4">
        <v>1</v>
      </c>
    </row>
    <row r="5" spans="1:13" x14ac:dyDescent="0.25">
      <c r="A5" s="2">
        <v>46188</v>
      </c>
      <c r="B5" s="1" t="str">
        <f ca="1">IF(Información1[[#This Row],[Fecha]]='Ajuste de fechas'!$A$2,"Día actual","Día anterior")</f>
        <v>Día anterior</v>
      </c>
      <c r="C5" s="3" t="s">
        <v>38</v>
      </c>
      <c r="D5" t="s">
        <v>39</v>
      </c>
      <c r="E5" s="3" t="s">
        <v>70</v>
      </c>
      <c r="F5" s="3" t="s">
        <v>10</v>
      </c>
      <c r="G5" s="3" t="s">
        <v>71</v>
      </c>
      <c r="H5" s="3" t="s">
        <v>8</v>
      </c>
      <c r="I5" s="3" t="s">
        <v>7</v>
      </c>
      <c r="J5" s="3" t="s">
        <v>63</v>
      </c>
      <c r="K5" s="3" t="s">
        <v>40</v>
      </c>
      <c r="L5" s="3" t="s">
        <v>24</v>
      </c>
      <c r="M5">
        <v>1</v>
      </c>
    </row>
    <row r="6" spans="1:13" x14ac:dyDescent="0.25">
      <c r="A6" s="2">
        <v>46188</v>
      </c>
      <c r="B6" s="1" t="str">
        <f ca="1">IF(Información1[[#This Row],[Fecha]]='Ajuste de fechas'!$A$2,"Día actual","Día anterior")</f>
        <v>Día anterior</v>
      </c>
      <c r="C6" s="3" t="s">
        <v>38</v>
      </c>
      <c r="D6" t="s">
        <v>39</v>
      </c>
      <c r="E6" s="3" t="s">
        <v>72</v>
      </c>
      <c r="F6" s="3" t="s">
        <v>41</v>
      </c>
      <c r="G6" s="3" t="s">
        <v>60</v>
      </c>
      <c r="H6" s="3" t="s">
        <v>8</v>
      </c>
      <c r="I6" s="3" t="s">
        <v>7</v>
      </c>
      <c r="J6" s="3" t="s">
        <v>61</v>
      </c>
      <c r="K6" s="3" t="s">
        <v>40</v>
      </c>
      <c r="L6" s="3" t="s">
        <v>26</v>
      </c>
      <c r="M6">
        <v>1</v>
      </c>
    </row>
    <row r="7" spans="1:13" x14ac:dyDescent="0.25">
      <c r="A7" s="2">
        <v>46188</v>
      </c>
      <c r="B7" s="1" t="str">
        <f ca="1">IF(Información1[[#This Row],[Fecha]]='Ajuste de fechas'!$A$2,"Día actual","Día anterior")</f>
        <v>Día anterior</v>
      </c>
      <c r="C7" s="3" t="s">
        <v>38</v>
      </c>
      <c r="D7" t="s">
        <v>39</v>
      </c>
      <c r="E7" s="3" t="s">
        <v>73</v>
      </c>
      <c r="F7" s="3" t="s">
        <v>12</v>
      </c>
      <c r="G7" s="3" t="s">
        <v>74</v>
      </c>
      <c r="H7" s="3" t="s">
        <v>8</v>
      </c>
      <c r="I7" s="3" t="s">
        <v>7</v>
      </c>
      <c r="J7" s="3" t="s">
        <v>61</v>
      </c>
      <c r="K7" s="3" t="s">
        <v>40</v>
      </c>
      <c r="L7" s="3" t="s">
        <v>26</v>
      </c>
      <c r="M7">
        <v>1</v>
      </c>
    </row>
    <row r="8" spans="1:13" x14ac:dyDescent="0.25">
      <c r="A8" s="2">
        <v>46188</v>
      </c>
      <c r="B8" s="1" t="str">
        <f ca="1">IF(Información1[[#This Row],[Fecha]]='Ajuste de fechas'!$A$2,"Día actual","Día anterior")</f>
        <v>Día anterior</v>
      </c>
      <c r="C8" s="3" t="s">
        <v>38</v>
      </c>
      <c r="D8" t="s">
        <v>39</v>
      </c>
      <c r="E8" s="3" t="s">
        <v>75</v>
      </c>
      <c r="F8" s="3" t="s">
        <v>76</v>
      </c>
      <c r="G8" s="3" t="s">
        <v>77</v>
      </c>
      <c r="H8" s="3" t="s">
        <v>8</v>
      </c>
      <c r="I8" s="3" t="s">
        <v>7</v>
      </c>
      <c r="J8" s="3" t="s">
        <v>61</v>
      </c>
      <c r="K8" s="3" t="s">
        <v>40</v>
      </c>
      <c r="L8" s="3" t="s">
        <v>26</v>
      </c>
      <c r="M8">
        <v>1</v>
      </c>
    </row>
    <row r="9" spans="1:13" x14ac:dyDescent="0.25">
      <c r="A9" s="2">
        <v>46188</v>
      </c>
      <c r="B9" s="1" t="str">
        <f ca="1">IF(Información1[[#This Row],[Fecha]]='Ajuste de fechas'!$A$2,"Día actual","Día anterior")</f>
        <v>Día anterior</v>
      </c>
      <c r="C9" s="3" t="s">
        <v>38</v>
      </c>
      <c r="D9" t="s">
        <v>39</v>
      </c>
      <c r="E9" s="3" t="s">
        <v>78</v>
      </c>
      <c r="F9" s="3" t="s">
        <v>37</v>
      </c>
      <c r="G9" s="3" t="s">
        <v>42</v>
      </c>
      <c r="H9" s="3" t="s">
        <v>8</v>
      </c>
      <c r="I9" s="3" t="s">
        <v>7</v>
      </c>
      <c r="J9" s="3" t="s">
        <v>61</v>
      </c>
      <c r="K9" s="3" t="s">
        <v>40</v>
      </c>
      <c r="L9" s="3" t="s">
        <v>26</v>
      </c>
      <c r="M9">
        <v>1</v>
      </c>
    </row>
    <row r="10" spans="1:13" x14ac:dyDescent="0.25">
      <c r="A10" s="2">
        <v>46188</v>
      </c>
      <c r="B10" s="1" t="str">
        <f ca="1">IF(Información1[[#This Row],[Fecha]]='Ajuste de fechas'!$A$2,"Día actual","Día anterior")</f>
        <v>Día anterior</v>
      </c>
      <c r="C10" s="3" t="s">
        <v>46</v>
      </c>
      <c r="D10" t="s">
        <v>47</v>
      </c>
      <c r="E10" s="3" t="s">
        <v>79</v>
      </c>
      <c r="F10" s="3" t="s">
        <v>9</v>
      </c>
      <c r="G10" s="3" t="s">
        <v>65</v>
      </c>
      <c r="H10" s="3" t="s">
        <v>8</v>
      </c>
      <c r="I10" s="3" t="s">
        <v>7</v>
      </c>
      <c r="J10" s="3" t="s">
        <v>61</v>
      </c>
      <c r="K10" s="3" t="s">
        <v>48</v>
      </c>
      <c r="L10" s="3" t="s">
        <v>24</v>
      </c>
      <c r="M10">
        <v>1</v>
      </c>
    </row>
    <row r="11" spans="1:13" x14ac:dyDescent="0.25">
      <c r="A11" s="2">
        <v>46188</v>
      </c>
      <c r="B11" s="1" t="str">
        <f ca="1">IF(Información1[[#This Row],[Fecha]]='Ajuste de fechas'!$A$2,"Día actual","Día anterior")</f>
        <v>Día anterior</v>
      </c>
      <c r="C11" s="3" t="s">
        <v>46</v>
      </c>
      <c r="D11" t="s">
        <v>47</v>
      </c>
      <c r="E11" s="3" t="s">
        <v>80</v>
      </c>
      <c r="F11" s="3" t="s">
        <v>81</v>
      </c>
      <c r="G11" s="3" t="s">
        <v>82</v>
      </c>
      <c r="H11" s="3" t="s">
        <v>8</v>
      </c>
      <c r="I11" s="3" t="s">
        <v>7</v>
      </c>
      <c r="J11" s="3" t="s">
        <v>61</v>
      </c>
      <c r="K11" s="3" t="s">
        <v>48</v>
      </c>
      <c r="L11" s="3" t="s">
        <v>26</v>
      </c>
      <c r="M11">
        <v>1</v>
      </c>
    </row>
    <row r="12" spans="1:13" x14ac:dyDescent="0.25">
      <c r="A12" s="2">
        <v>46188</v>
      </c>
      <c r="B12" s="1" t="str">
        <f ca="1">IF(Información1[[#This Row],[Fecha]]='Ajuste de fechas'!$A$2,"Día actual","Día anterior")</f>
        <v>Día anterior</v>
      </c>
      <c r="C12" s="3" t="s">
        <v>46</v>
      </c>
      <c r="D12" t="s">
        <v>47</v>
      </c>
      <c r="E12" s="3" t="s">
        <v>83</v>
      </c>
      <c r="F12" s="3" t="s">
        <v>76</v>
      </c>
      <c r="G12" s="3" t="s">
        <v>77</v>
      </c>
      <c r="H12" s="3" t="s">
        <v>8</v>
      </c>
      <c r="I12" s="3" t="s">
        <v>7</v>
      </c>
      <c r="J12" s="3" t="s">
        <v>61</v>
      </c>
      <c r="K12" s="3" t="s">
        <v>48</v>
      </c>
      <c r="L12" s="3" t="s">
        <v>26</v>
      </c>
      <c r="M12">
        <v>1</v>
      </c>
    </row>
    <row r="13" spans="1:13" x14ac:dyDescent="0.25">
      <c r="A13" s="2">
        <v>46188</v>
      </c>
      <c r="B13" s="1" t="str">
        <f ca="1">IF(Información1[[#This Row],[Fecha]]='Ajuste de fechas'!$A$2,"Día actual","Día anterior")</f>
        <v>Día anterior</v>
      </c>
      <c r="C13" s="3" t="s">
        <v>52</v>
      </c>
      <c r="D13" t="s">
        <v>54</v>
      </c>
      <c r="E13" s="3" t="s">
        <v>80</v>
      </c>
      <c r="F13" s="3" t="s">
        <v>81</v>
      </c>
      <c r="G13" s="3" t="s">
        <v>82</v>
      </c>
      <c r="H13" s="3" t="s">
        <v>8</v>
      </c>
      <c r="I13" s="3" t="s">
        <v>7</v>
      </c>
      <c r="J13" s="3" t="s">
        <v>61</v>
      </c>
      <c r="K13" s="3" t="s">
        <v>53</v>
      </c>
      <c r="L13" s="3" t="s">
        <v>26</v>
      </c>
      <c r="M13">
        <v>1</v>
      </c>
    </row>
    <row r="14" spans="1:13" x14ac:dyDescent="0.25">
      <c r="A14" s="2">
        <v>46188</v>
      </c>
      <c r="B14" s="1" t="str">
        <f ca="1">IF(Información1[[#This Row],[Fecha]]='Ajuste de fechas'!$A$2,"Día actual","Día anterior")</f>
        <v>Día anterior</v>
      </c>
      <c r="C14" s="3" t="s">
        <v>87</v>
      </c>
      <c r="D14" t="s">
        <v>88</v>
      </c>
      <c r="E14" s="3" t="s">
        <v>89</v>
      </c>
      <c r="F14" s="3" t="s">
        <v>90</v>
      </c>
      <c r="G14" s="3" t="s">
        <v>91</v>
      </c>
      <c r="H14" s="3" t="s">
        <v>8</v>
      </c>
      <c r="I14" s="3" t="s">
        <v>7</v>
      </c>
      <c r="J14" s="3" t="s">
        <v>61</v>
      </c>
      <c r="K14" s="3" t="s">
        <v>92</v>
      </c>
      <c r="L14" s="3" t="s">
        <v>26</v>
      </c>
      <c r="M14">
        <v>1</v>
      </c>
    </row>
    <row r="15" spans="1:13" x14ac:dyDescent="0.25">
      <c r="A15" s="2">
        <v>46188</v>
      </c>
      <c r="B15" s="1" t="str">
        <f ca="1">IF(Información1[[#This Row],[Fecha]]='Ajuste de fechas'!$A$2,"Día actual","Día anterior")</f>
        <v>Día anterior</v>
      </c>
      <c r="C15" s="3" t="s">
        <v>87</v>
      </c>
      <c r="D15" t="s">
        <v>88</v>
      </c>
      <c r="E15" s="3" t="s">
        <v>93</v>
      </c>
      <c r="F15" s="3" t="s">
        <v>10</v>
      </c>
      <c r="G15" s="3" t="s">
        <v>94</v>
      </c>
      <c r="H15" s="3" t="s">
        <v>8</v>
      </c>
      <c r="I15" s="3" t="s">
        <v>7</v>
      </c>
      <c r="J15" s="3" t="s">
        <v>63</v>
      </c>
      <c r="K15" s="3" t="s">
        <v>92</v>
      </c>
      <c r="L15" s="3" t="s">
        <v>24</v>
      </c>
      <c r="M15">
        <v>1</v>
      </c>
    </row>
    <row r="16" spans="1:13" x14ac:dyDescent="0.25">
      <c r="A16" s="2">
        <v>46188</v>
      </c>
      <c r="B16" s="1" t="str">
        <f ca="1">IF(Información1[[#This Row],[Fecha]]='Ajuste de fechas'!$A$2,"Día actual","Día anterior")</f>
        <v>Día anterior</v>
      </c>
      <c r="C16" s="3" t="s">
        <v>87</v>
      </c>
      <c r="D16" t="s">
        <v>88</v>
      </c>
      <c r="E16" s="3" t="s">
        <v>95</v>
      </c>
      <c r="F16" s="3" t="s">
        <v>96</v>
      </c>
      <c r="G16" s="3" t="s">
        <v>97</v>
      </c>
      <c r="H16" s="3" t="s">
        <v>8</v>
      </c>
      <c r="I16" s="3" t="s">
        <v>7</v>
      </c>
      <c r="J16" s="3" t="s">
        <v>98</v>
      </c>
      <c r="K16" s="3" t="s">
        <v>92</v>
      </c>
      <c r="L16" s="3" t="s">
        <v>24</v>
      </c>
      <c r="M16">
        <v>1</v>
      </c>
    </row>
    <row r="17" spans="1:13" x14ac:dyDescent="0.25">
      <c r="A17" s="2">
        <v>46188</v>
      </c>
      <c r="B17" s="1" t="str">
        <f ca="1">IF(Información1[[#This Row],[Fecha]]='Ajuste de fechas'!$A$2,"Día actual","Día anterior")</f>
        <v>Día anterior</v>
      </c>
      <c r="C17" s="3" t="s">
        <v>87</v>
      </c>
      <c r="D17" t="s">
        <v>88</v>
      </c>
      <c r="E17" s="3" t="s">
        <v>99</v>
      </c>
      <c r="F17" s="3" t="s">
        <v>12</v>
      </c>
      <c r="G17" s="3" t="s">
        <v>74</v>
      </c>
      <c r="H17" s="3" t="s">
        <v>8</v>
      </c>
      <c r="I17" s="3" t="s">
        <v>7</v>
      </c>
      <c r="J17" s="3" t="s">
        <v>61</v>
      </c>
      <c r="K17" s="3" t="s">
        <v>92</v>
      </c>
      <c r="L17" s="3" t="s">
        <v>26</v>
      </c>
      <c r="M17">
        <v>1</v>
      </c>
    </row>
    <row r="18" spans="1:13" x14ac:dyDescent="0.25">
      <c r="A18" s="2">
        <v>46188</v>
      </c>
      <c r="B18" s="1" t="str">
        <f ca="1">IF(Información1[[#This Row],[Fecha]]='Ajuste de fechas'!$A$2,"Día actual","Día anterior")</f>
        <v>Día anterior</v>
      </c>
      <c r="C18" s="3" t="s">
        <v>87</v>
      </c>
      <c r="D18" t="s">
        <v>88</v>
      </c>
      <c r="E18" s="3" t="s">
        <v>100</v>
      </c>
      <c r="F18" s="3" t="s">
        <v>11</v>
      </c>
      <c r="G18" s="3" t="s">
        <v>101</v>
      </c>
      <c r="H18" s="3" t="s">
        <v>8</v>
      </c>
      <c r="I18" s="3" t="s">
        <v>7</v>
      </c>
      <c r="J18" s="3" t="s">
        <v>62</v>
      </c>
      <c r="K18" s="3" t="s">
        <v>92</v>
      </c>
      <c r="L18" s="3" t="s">
        <v>24</v>
      </c>
      <c r="M18">
        <v>1</v>
      </c>
    </row>
    <row r="19" spans="1:13" x14ac:dyDescent="0.25">
      <c r="A19" s="2">
        <v>46188</v>
      </c>
      <c r="B19" s="1" t="str">
        <f ca="1">IF(Información1[[#This Row],[Fecha]]='Ajuste de fechas'!$A$2,"Día actual","Día anterior")</f>
        <v>Día anterior</v>
      </c>
      <c r="C19" s="3" t="s">
        <v>87</v>
      </c>
      <c r="D19" t="s">
        <v>88</v>
      </c>
      <c r="E19" s="3" t="s">
        <v>102</v>
      </c>
      <c r="F19" s="3" t="s">
        <v>103</v>
      </c>
      <c r="G19" s="3" t="s">
        <v>101</v>
      </c>
      <c r="H19" s="3" t="s">
        <v>8</v>
      </c>
      <c r="I19" s="3" t="s">
        <v>7</v>
      </c>
      <c r="J19" s="3" t="s">
        <v>61</v>
      </c>
      <c r="K19" s="3" t="s">
        <v>92</v>
      </c>
      <c r="L19" s="3" t="s">
        <v>24</v>
      </c>
      <c r="M19">
        <v>1</v>
      </c>
    </row>
    <row r="20" spans="1:13" x14ac:dyDescent="0.25">
      <c r="A20" s="2">
        <v>46188</v>
      </c>
      <c r="B20" s="1" t="str">
        <f ca="1">IF(Información1[[#This Row],[Fecha]]='Ajuste de fechas'!$A$2,"Día actual","Día anterior")</f>
        <v>Día anterior</v>
      </c>
      <c r="C20" s="3" t="s">
        <v>87</v>
      </c>
      <c r="D20" t="s">
        <v>88</v>
      </c>
      <c r="E20" s="3" t="s">
        <v>104</v>
      </c>
      <c r="F20" s="3" t="s">
        <v>103</v>
      </c>
      <c r="G20" s="3" t="s">
        <v>43</v>
      </c>
      <c r="H20" s="3" t="s">
        <v>8</v>
      </c>
      <c r="I20" s="3" t="s">
        <v>7</v>
      </c>
      <c r="J20" s="3" t="s">
        <v>61</v>
      </c>
      <c r="K20" s="3" t="s">
        <v>92</v>
      </c>
      <c r="L20" s="3" t="s">
        <v>24</v>
      </c>
      <c r="M20">
        <v>1</v>
      </c>
    </row>
    <row r="21" spans="1:13" x14ac:dyDescent="0.25">
      <c r="A21" s="2">
        <v>46188</v>
      </c>
      <c r="B21" s="1" t="str">
        <f ca="1">IF(Información1[[#This Row],[Fecha]]='Ajuste de fechas'!$A$2,"Día actual","Día anterior")</f>
        <v>Día anterior</v>
      </c>
      <c r="C21" s="3" t="s">
        <v>87</v>
      </c>
      <c r="D21" t="s">
        <v>88</v>
      </c>
      <c r="E21" s="3" t="s">
        <v>105</v>
      </c>
      <c r="F21" s="3" t="s">
        <v>103</v>
      </c>
      <c r="G21" s="3" t="s">
        <v>106</v>
      </c>
      <c r="H21" s="3" t="s">
        <v>8</v>
      </c>
      <c r="I21" s="3" t="s">
        <v>14</v>
      </c>
      <c r="J21" s="3" t="s">
        <v>61</v>
      </c>
      <c r="K21" s="3" t="s">
        <v>92</v>
      </c>
      <c r="L21" s="3" t="s">
        <v>24</v>
      </c>
      <c r="M21">
        <v>1</v>
      </c>
    </row>
    <row r="22" spans="1:13" x14ac:dyDescent="0.25">
      <c r="A22" s="2">
        <v>46188</v>
      </c>
      <c r="B22" s="1" t="str">
        <f ca="1">IF(Información1[[#This Row],[Fecha]]='Ajuste de fechas'!$A$2,"Día actual","Día anterior")</f>
        <v>Día anterior</v>
      </c>
      <c r="C22" s="3" t="s">
        <v>87</v>
      </c>
      <c r="D22" t="s">
        <v>88</v>
      </c>
      <c r="E22" s="3" t="s">
        <v>107</v>
      </c>
      <c r="F22" s="3" t="s">
        <v>10</v>
      </c>
      <c r="G22" s="3" t="s">
        <v>108</v>
      </c>
      <c r="H22" s="3" t="s">
        <v>8</v>
      </c>
      <c r="I22" s="3" t="s">
        <v>7</v>
      </c>
      <c r="J22" s="3" t="s">
        <v>63</v>
      </c>
      <c r="K22" s="3" t="s">
        <v>92</v>
      </c>
      <c r="L22" s="3" t="s">
        <v>24</v>
      </c>
      <c r="M22">
        <v>1</v>
      </c>
    </row>
    <row r="23" spans="1:13" x14ac:dyDescent="0.25">
      <c r="A23" s="2">
        <v>46188</v>
      </c>
      <c r="B23" s="1" t="str">
        <f ca="1">IF(Información1[[#This Row],[Fecha]]='Ajuste de fechas'!$A$2,"Día actual","Día anterior")</f>
        <v>Día anterior</v>
      </c>
      <c r="C23" s="3" t="s">
        <v>87</v>
      </c>
      <c r="D23" t="s">
        <v>88</v>
      </c>
      <c r="E23" s="3" t="s">
        <v>109</v>
      </c>
      <c r="F23" s="3" t="s">
        <v>41</v>
      </c>
      <c r="G23" s="3" t="s">
        <v>110</v>
      </c>
      <c r="H23" s="3" t="s">
        <v>8</v>
      </c>
      <c r="I23" s="3" t="s">
        <v>7</v>
      </c>
      <c r="J23" s="3" t="s">
        <v>61</v>
      </c>
      <c r="K23" s="3" t="s">
        <v>92</v>
      </c>
      <c r="L23" s="3" t="s">
        <v>24</v>
      </c>
      <c r="M23">
        <v>1</v>
      </c>
    </row>
    <row r="24" spans="1:13" x14ac:dyDescent="0.25">
      <c r="A24" s="2">
        <v>46188</v>
      </c>
      <c r="B24" s="1" t="str">
        <f ca="1">IF(Información1[[#This Row],[Fecha]]='Ajuste de fechas'!$A$2,"Día actual","Día anterior")</f>
        <v>Día anterior</v>
      </c>
      <c r="C24" s="3" t="s">
        <v>87</v>
      </c>
      <c r="D24" t="s">
        <v>88</v>
      </c>
      <c r="E24" s="3" t="s">
        <v>111</v>
      </c>
      <c r="F24" s="3" t="s">
        <v>10</v>
      </c>
      <c r="G24" s="3" t="s">
        <v>49</v>
      </c>
      <c r="H24" s="3" t="s">
        <v>8</v>
      </c>
      <c r="I24" s="3" t="s">
        <v>7</v>
      </c>
      <c r="J24" s="3" t="s">
        <v>63</v>
      </c>
      <c r="K24" s="3" t="s">
        <v>92</v>
      </c>
      <c r="L24" s="3" t="s">
        <v>24</v>
      </c>
      <c r="M24">
        <v>1</v>
      </c>
    </row>
    <row r="25" spans="1:13" x14ac:dyDescent="0.25">
      <c r="A25" s="2">
        <v>46188</v>
      </c>
      <c r="B25" s="1" t="str">
        <f ca="1">IF(Información1[[#This Row],[Fecha]]='Ajuste de fechas'!$A$2,"Día actual","Día anterior")</f>
        <v>Día anterior</v>
      </c>
      <c r="C25" s="3" t="s">
        <v>87</v>
      </c>
      <c r="D25" t="s">
        <v>88</v>
      </c>
      <c r="E25" s="3" t="s">
        <v>112</v>
      </c>
      <c r="F25" s="3" t="s">
        <v>15</v>
      </c>
      <c r="G25" s="3" t="s">
        <v>113</v>
      </c>
      <c r="H25" s="3" t="s">
        <v>8</v>
      </c>
      <c r="I25" s="3" t="s">
        <v>7</v>
      </c>
      <c r="J25" s="3" t="s">
        <v>61</v>
      </c>
      <c r="K25" s="3" t="s">
        <v>92</v>
      </c>
      <c r="L25" s="3" t="s">
        <v>24</v>
      </c>
      <c r="M25">
        <v>1</v>
      </c>
    </row>
    <row r="26" spans="1:13" x14ac:dyDescent="0.25">
      <c r="A26" s="2">
        <v>46188</v>
      </c>
      <c r="B26" s="1" t="str">
        <f ca="1">IF(Información1[[#This Row],[Fecha]]='Ajuste de fechas'!$A$2,"Día actual","Día anterior")</f>
        <v>Día anterior</v>
      </c>
      <c r="C26" s="3" t="s">
        <v>87</v>
      </c>
      <c r="D26" t="s">
        <v>88</v>
      </c>
      <c r="E26" s="3" t="s">
        <v>114</v>
      </c>
      <c r="F26" s="3" t="s">
        <v>115</v>
      </c>
      <c r="G26" s="3" t="s">
        <v>116</v>
      </c>
      <c r="H26" s="3" t="s">
        <v>8</v>
      </c>
      <c r="I26" s="3" t="s">
        <v>7</v>
      </c>
      <c r="J26" s="3" t="s">
        <v>13</v>
      </c>
      <c r="K26" s="3" t="s">
        <v>92</v>
      </c>
      <c r="L26" s="3" t="s">
        <v>24</v>
      </c>
      <c r="M26">
        <v>1</v>
      </c>
    </row>
    <row r="27" spans="1:13" x14ac:dyDescent="0.25">
      <c r="A27" s="2">
        <v>46188</v>
      </c>
      <c r="B27" s="1" t="str">
        <f ca="1">IF(Información1[[#This Row],[Fecha]]='Ajuste de fechas'!$A$2,"Día actual","Día anterior")</f>
        <v>Día anterior</v>
      </c>
      <c r="C27" s="3" t="s">
        <v>87</v>
      </c>
      <c r="D27" t="s">
        <v>88</v>
      </c>
      <c r="E27" s="3" t="s">
        <v>117</v>
      </c>
      <c r="F27" s="3" t="s">
        <v>81</v>
      </c>
      <c r="G27" s="3" t="s">
        <v>118</v>
      </c>
      <c r="H27" s="3" t="s">
        <v>8</v>
      </c>
      <c r="I27" s="3" t="s">
        <v>7</v>
      </c>
      <c r="J27" s="3" t="s">
        <v>61</v>
      </c>
      <c r="K27" s="3" t="s">
        <v>92</v>
      </c>
      <c r="L27" s="3" t="s">
        <v>26</v>
      </c>
      <c r="M27">
        <v>1</v>
      </c>
    </row>
    <row r="28" spans="1:13" x14ac:dyDescent="0.25">
      <c r="A28" s="2">
        <v>46188</v>
      </c>
      <c r="B28" s="1" t="str">
        <f ca="1">IF(Información1[[#This Row],[Fecha]]='Ajuste de fechas'!$A$2,"Día actual","Día anterior")</f>
        <v>Día anterior</v>
      </c>
      <c r="C28" s="3" t="s">
        <v>87</v>
      </c>
      <c r="D28" t="s">
        <v>88</v>
      </c>
      <c r="E28" s="3" t="s">
        <v>119</v>
      </c>
      <c r="F28" s="3" t="s">
        <v>10</v>
      </c>
      <c r="G28" s="3" t="s">
        <v>120</v>
      </c>
      <c r="H28" s="3" t="s">
        <v>8</v>
      </c>
      <c r="I28" s="3" t="s">
        <v>7</v>
      </c>
      <c r="J28" s="3" t="s">
        <v>63</v>
      </c>
      <c r="K28" s="3" t="s">
        <v>92</v>
      </c>
      <c r="L28" s="3" t="s">
        <v>24</v>
      </c>
      <c r="M28">
        <v>1</v>
      </c>
    </row>
    <row r="29" spans="1:13" x14ac:dyDescent="0.25">
      <c r="A29" s="2">
        <v>46188</v>
      </c>
      <c r="B29" s="1" t="str">
        <f ca="1">IF(Información1[[#This Row],[Fecha]]='Ajuste de fechas'!$A$2,"Día actual","Día anterior")</f>
        <v>Día anterior</v>
      </c>
      <c r="C29" s="3" t="s">
        <v>87</v>
      </c>
      <c r="D29" t="s">
        <v>88</v>
      </c>
      <c r="E29" s="3" t="s">
        <v>121</v>
      </c>
      <c r="F29" s="3" t="s">
        <v>10</v>
      </c>
      <c r="G29" s="3" t="s">
        <v>49</v>
      </c>
      <c r="H29" s="3" t="s">
        <v>8</v>
      </c>
      <c r="I29" s="3" t="s">
        <v>7</v>
      </c>
      <c r="J29" s="3" t="s">
        <v>63</v>
      </c>
      <c r="K29" s="3" t="s">
        <v>92</v>
      </c>
      <c r="L29" s="3" t="s">
        <v>24</v>
      </c>
      <c r="M29">
        <v>1</v>
      </c>
    </row>
    <row r="30" spans="1:13" x14ac:dyDescent="0.25">
      <c r="A30" s="2">
        <v>46188</v>
      </c>
      <c r="B30" s="1" t="str">
        <f ca="1">IF(Información1[[#This Row],[Fecha]]='Ajuste de fechas'!$A$2,"Día actual","Día anterior")</f>
        <v>Día anterior</v>
      </c>
      <c r="C30" s="3" t="s">
        <v>87</v>
      </c>
      <c r="D30" t="s">
        <v>88</v>
      </c>
      <c r="E30" s="3" t="s">
        <v>122</v>
      </c>
      <c r="F30" s="3" t="s">
        <v>11</v>
      </c>
      <c r="G30" s="3" t="s">
        <v>59</v>
      </c>
      <c r="H30" s="3" t="s">
        <v>8</v>
      </c>
      <c r="I30" s="3" t="s">
        <v>7</v>
      </c>
      <c r="J30" s="3" t="s">
        <v>62</v>
      </c>
      <c r="K30" s="3" t="s">
        <v>92</v>
      </c>
      <c r="L30" s="3" t="s">
        <v>24</v>
      </c>
      <c r="M30">
        <v>1</v>
      </c>
    </row>
    <row r="31" spans="1:13" x14ac:dyDescent="0.25">
      <c r="A31" s="2">
        <v>46188</v>
      </c>
      <c r="B31" s="1" t="str">
        <f ca="1">IF(Información1[[#This Row],[Fecha]]='Ajuste de fechas'!$A$2,"Día actual","Día anterior")</f>
        <v>Día anterior</v>
      </c>
      <c r="C31" s="3" t="s">
        <v>87</v>
      </c>
      <c r="D31" t="s">
        <v>88</v>
      </c>
      <c r="E31" s="3" t="s">
        <v>123</v>
      </c>
      <c r="F31" s="3" t="s">
        <v>9</v>
      </c>
      <c r="G31" s="3" t="s">
        <v>49</v>
      </c>
      <c r="H31" s="3" t="s">
        <v>8</v>
      </c>
      <c r="I31" s="3" t="s">
        <v>7</v>
      </c>
      <c r="J31" s="3" t="s">
        <v>61</v>
      </c>
      <c r="K31" s="3" t="s">
        <v>92</v>
      </c>
      <c r="L31" s="3" t="s">
        <v>24</v>
      </c>
      <c r="M31">
        <v>1</v>
      </c>
    </row>
    <row r="32" spans="1:13" x14ac:dyDescent="0.25">
      <c r="A32" s="2">
        <v>46188</v>
      </c>
      <c r="B32" s="1" t="str">
        <f ca="1">IF(Información1[[#This Row],[Fecha]]='Ajuste de fechas'!$A$2,"Día actual","Día anterior")</f>
        <v>Día anterior</v>
      </c>
      <c r="C32" s="3" t="s">
        <v>87</v>
      </c>
      <c r="D32" t="s">
        <v>88</v>
      </c>
      <c r="E32" s="3" t="s">
        <v>124</v>
      </c>
      <c r="F32" s="3" t="s">
        <v>10</v>
      </c>
      <c r="G32" s="3" t="s">
        <v>125</v>
      </c>
      <c r="H32" s="3" t="s">
        <v>8</v>
      </c>
      <c r="I32" s="3" t="s">
        <v>7</v>
      </c>
      <c r="J32" s="3" t="s">
        <v>63</v>
      </c>
      <c r="K32" s="3" t="s">
        <v>92</v>
      </c>
      <c r="L32" s="3" t="s">
        <v>24</v>
      </c>
      <c r="M32">
        <v>1</v>
      </c>
    </row>
    <row r="33" spans="1:13" x14ac:dyDescent="0.25">
      <c r="A33" s="2">
        <v>46188</v>
      </c>
      <c r="B33" s="1" t="str">
        <f ca="1">IF(Información1[[#This Row],[Fecha]]='Ajuste de fechas'!$A$2,"Día actual","Día anterior")</f>
        <v>Día anterior</v>
      </c>
      <c r="C33" s="3" t="s">
        <v>126</v>
      </c>
      <c r="D33" t="s">
        <v>127</v>
      </c>
      <c r="E33" s="3" t="s">
        <v>128</v>
      </c>
      <c r="F33" s="3" t="s">
        <v>129</v>
      </c>
      <c r="G33" s="3" t="s">
        <v>130</v>
      </c>
      <c r="H33" s="3" t="s">
        <v>86</v>
      </c>
      <c r="I33" s="3" t="s">
        <v>14</v>
      </c>
      <c r="J33" s="3" t="s">
        <v>98</v>
      </c>
      <c r="K33" s="3" t="s">
        <v>131</v>
      </c>
      <c r="L33" s="3" t="s">
        <v>25</v>
      </c>
      <c r="M33">
        <v>1</v>
      </c>
    </row>
    <row r="34" spans="1:13" x14ac:dyDescent="0.25">
      <c r="A34" s="2">
        <v>46188</v>
      </c>
      <c r="B34" s="1" t="str">
        <f ca="1">IF(Información1[[#This Row],[Fecha]]='Ajuste de fechas'!$A$2,"Día actual","Día anterior")</f>
        <v>Día anterior</v>
      </c>
      <c r="C34" s="3" t="s">
        <v>126</v>
      </c>
      <c r="D34" t="s">
        <v>127</v>
      </c>
      <c r="E34" s="3" t="s">
        <v>132</v>
      </c>
      <c r="F34" s="3" t="s">
        <v>96</v>
      </c>
      <c r="G34" s="3" t="s">
        <v>133</v>
      </c>
      <c r="H34" s="3" t="s">
        <v>86</v>
      </c>
      <c r="I34" s="3" t="s">
        <v>7</v>
      </c>
      <c r="J34" s="3" t="s">
        <v>98</v>
      </c>
      <c r="K34" s="3" t="s">
        <v>131</v>
      </c>
      <c r="L34" s="3" t="s">
        <v>25</v>
      </c>
      <c r="M34">
        <v>1</v>
      </c>
    </row>
    <row r="35" spans="1:13" x14ac:dyDescent="0.25">
      <c r="A35" s="2">
        <v>46188</v>
      </c>
      <c r="B35" s="1" t="str">
        <f ca="1">IF(Información1[[#This Row],[Fecha]]='Ajuste de fechas'!$A$2,"Día actual","Día anterior")</f>
        <v>Día anterior</v>
      </c>
      <c r="C35" s="3" t="s">
        <v>126</v>
      </c>
      <c r="D35" t="s">
        <v>127</v>
      </c>
      <c r="E35" s="3" t="s">
        <v>75</v>
      </c>
      <c r="F35" s="3" t="s">
        <v>76</v>
      </c>
      <c r="G35" s="3" t="s">
        <v>77</v>
      </c>
      <c r="H35" s="3" t="s">
        <v>86</v>
      </c>
      <c r="I35" s="3" t="s">
        <v>7</v>
      </c>
      <c r="J35" s="3" t="s">
        <v>61</v>
      </c>
      <c r="K35" s="3" t="s">
        <v>131</v>
      </c>
      <c r="L35" s="3" t="s">
        <v>26</v>
      </c>
      <c r="M35">
        <v>1</v>
      </c>
    </row>
    <row r="36" spans="1:13" x14ac:dyDescent="0.25">
      <c r="A36" s="2">
        <v>46188</v>
      </c>
      <c r="B36" s="1" t="str">
        <f ca="1">IF(Información1[[#This Row],[Fecha]]='Ajuste de fechas'!$A$2,"Día actual","Día anterior")</f>
        <v>Día anterior</v>
      </c>
      <c r="C36" s="3" t="s">
        <v>126</v>
      </c>
      <c r="D36" t="s">
        <v>127</v>
      </c>
      <c r="E36" s="3" t="s">
        <v>78</v>
      </c>
      <c r="F36" s="3" t="s">
        <v>37</v>
      </c>
      <c r="G36" s="3" t="s">
        <v>42</v>
      </c>
      <c r="H36" s="3" t="s">
        <v>86</v>
      </c>
      <c r="I36" s="3" t="s">
        <v>7</v>
      </c>
      <c r="J36" s="3" t="s">
        <v>61</v>
      </c>
      <c r="K36" s="3" t="s">
        <v>131</v>
      </c>
      <c r="L36" s="3" t="s">
        <v>26</v>
      </c>
      <c r="M36">
        <v>1</v>
      </c>
    </row>
    <row r="37" spans="1:13" x14ac:dyDescent="0.25">
      <c r="A37" s="2">
        <v>46188</v>
      </c>
      <c r="B37" s="1" t="str">
        <f ca="1">IF(Información1[[#This Row],[Fecha]]='Ajuste de fechas'!$A$2,"Día actual","Día anterior")</f>
        <v>Día anterior</v>
      </c>
      <c r="C37" s="3" t="s">
        <v>126</v>
      </c>
      <c r="D37" t="s">
        <v>127</v>
      </c>
      <c r="E37" s="3" t="s">
        <v>80</v>
      </c>
      <c r="F37" s="3" t="s">
        <v>81</v>
      </c>
      <c r="G37" s="3" t="s">
        <v>82</v>
      </c>
      <c r="H37" s="3" t="s">
        <v>86</v>
      </c>
      <c r="I37" s="3" t="s">
        <v>7</v>
      </c>
      <c r="J37" s="3" t="s">
        <v>61</v>
      </c>
      <c r="K37" s="3" t="s">
        <v>131</v>
      </c>
      <c r="L37" s="3" t="s">
        <v>26</v>
      </c>
      <c r="M37">
        <v>1</v>
      </c>
    </row>
    <row r="38" spans="1:13" x14ac:dyDescent="0.25">
      <c r="A38" s="2">
        <v>46188</v>
      </c>
      <c r="B38" s="1" t="str">
        <f ca="1">IF(Información1[[#This Row],[Fecha]]='Ajuste de fechas'!$A$2,"Día actual","Día anterior")</f>
        <v>Día anterior</v>
      </c>
      <c r="C38" s="3" t="s">
        <v>126</v>
      </c>
      <c r="D38" t="s">
        <v>127</v>
      </c>
      <c r="E38" s="3" t="s">
        <v>134</v>
      </c>
      <c r="F38" s="3" t="s">
        <v>96</v>
      </c>
      <c r="G38" s="3" t="s">
        <v>97</v>
      </c>
      <c r="H38" s="3" t="s">
        <v>86</v>
      </c>
      <c r="I38" s="3" t="s">
        <v>7</v>
      </c>
      <c r="J38" s="3" t="s">
        <v>98</v>
      </c>
      <c r="K38" s="3" t="s">
        <v>131</v>
      </c>
      <c r="L38" s="3" t="s">
        <v>24</v>
      </c>
      <c r="M38">
        <v>1</v>
      </c>
    </row>
    <row r="39" spans="1:13" x14ac:dyDescent="0.25">
      <c r="A39" s="2">
        <v>46188</v>
      </c>
      <c r="B39" s="1" t="str">
        <f ca="1">IF(Información1[[#This Row],[Fecha]]='Ajuste de fechas'!$A$2,"Día actual","Día anterior")</f>
        <v>Día anterior</v>
      </c>
      <c r="C39" s="3" t="s">
        <v>126</v>
      </c>
      <c r="D39" t="s">
        <v>127</v>
      </c>
      <c r="E39" s="3" t="s">
        <v>135</v>
      </c>
      <c r="F39" s="3" t="s">
        <v>17</v>
      </c>
      <c r="G39" s="3" t="s">
        <v>136</v>
      </c>
      <c r="H39" s="3" t="s">
        <v>86</v>
      </c>
      <c r="I39" s="3" t="s">
        <v>7</v>
      </c>
      <c r="J39" s="3" t="s">
        <v>61</v>
      </c>
      <c r="K39" s="3" t="s">
        <v>131</v>
      </c>
      <c r="L39" s="3" t="s">
        <v>26</v>
      </c>
      <c r="M39">
        <v>1</v>
      </c>
    </row>
    <row r="40" spans="1:13" x14ac:dyDescent="0.25">
      <c r="A40" s="2">
        <v>46188</v>
      </c>
      <c r="B40" s="1" t="str">
        <f ca="1">IF(Información1[[#This Row],[Fecha]]='Ajuste de fechas'!$A$2,"Día actual","Día anterior")</f>
        <v>Día anterior</v>
      </c>
      <c r="C40" s="3" t="s">
        <v>126</v>
      </c>
      <c r="D40" t="s">
        <v>127</v>
      </c>
      <c r="E40" s="3" t="s">
        <v>137</v>
      </c>
      <c r="F40" s="3" t="s">
        <v>9</v>
      </c>
      <c r="G40" s="3" t="s">
        <v>138</v>
      </c>
      <c r="H40" s="3" t="s">
        <v>86</v>
      </c>
      <c r="I40" s="3" t="s">
        <v>7</v>
      </c>
      <c r="J40" s="3" t="s">
        <v>61</v>
      </c>
      <c r="K40" s="3" t="s">
        <v>131</v>
      </c>
      <c r="L40" s="3" t="s">
        <v>26</v>
      </c>
      <c r="M40">
        <v>1</v>
      </c>
    </row>
    <row r="41" spans="1:13" x14ac:dyDescent="0.25">
      <c r="A41" s="2">
        <v>46188</v>
      </c>
      <c r="B41" s="1" t="str">
        <f ca="1">IF(Información1[[#This Row],[Fecha]]='Ajuste de fechas'!$A$2,"Día actual","Día anterior")</f>
        <v>Día anterior</v>
      </c>
      <c r="C41" s="3" t="s">
        <v>126</v>
      </c>
      <c r="D41" t="s">
        <v>127</v>
      </c>
      <c r="E41" s="3" t="s">
        <v>139</v>
      </c>
      <c r="F41" s="3" t="s">
        <v>15</v>
      </c>
      <c r="G41" s="3" t="s">
        <v>140</v>
      </c>
      <c r="H41" s="3" t="s">
        <v>86</v>
      </c>
      <c r="I41" s="3" t="s">
        <v>7</v>
      </c>
      <c r="J41" s="3" t="s">
        <v>61</v>
      </c>
      <c r="K41" s="3" t="s">
        <v>131</v>
      </c>
      <c r="L41" s="3" t="s">
        <v>24</v>
      </c>
      <c r="M41">
        <v>1</v>
      </c>
    </row>
    <row r="42" spans="1:13" x14ac:dyDescent="0.25">
      <c r="A42" s="2">
        <v>46188</v>
      </c>
      <c r="B42" s="1" t="str">
        <f ca="1">IF(Información1[[#This Row],[Fecha]]='Ajuste de fechas'!$A$2,"Día actual","Día anterior")</f>
        <v>Día anterior</v>
      </c>
      <c r="C42" s="3" t="s">
        <v>126</v>
      </c>
      <c r="D42" t="s">
        <v>127</v>
      </c>
      <c r="E42" s="3" t="s">
        <v>141</v>
      </c>
      <c r="F42" s="3" t="s">
        <v>15</v>
      </c>
      <c r="G42" s="3" t="s">
        <v>50</v>
      </c>
      <c r="H42" s="3" t="s">
        <v>86</v>
      </c>
      <c r="I42" s="3" t="s">
        <v>7</v>
      </c>
      <c r="J42" s="3" t="s">
        <v>61</v>
      </c>
      <c r="K42" s="3" t="s">
        <v>131</v>
      </c>
      <c r="L42" s="3" t="s">
        <v>26</v>
      </c>
      <c r="M42">
        <v>1</v>
      </c>
    </row>
    <row r="43" spans="1:13" x14ac:dyDescent="0.25">
      <c r="A43" s="2">
        <v>46188</v>
      </c>
      <c r="B43" s="1" t="str">
        <f ca="1">IF(Información1[[#This Row],[Fecha]]='Ajuste de fechas'!$A$2,"Día actual","Día anterior")</f>
        <v>Día anterior</v>
      </c>
      <c r="C43" s="3" t="s">
        <v>126</v>
      </c>
      <c r="D43" t="s">
        <v>127</v>
      </c>
      <c r="E43" s="3" t="s">
        <v>142</v>
      </c>
      <c r="F43" s="3" t="s">
        <v>10</v>
      </c>
      <c r="G43" s="3" t="s">
        <v>143</v>
      </c>
      <c r="H43" s="3" t="s">
        <v>86</v>
      </c>
      <c r="I43" s="3" t="s">
        <v>14</v>
      </c>
      <c r="J43" s="3" t="s">
        <v>63</v>
      </c>
      <c r="K43" s="3" t="s">
        <v>131</v>
      </c>
      <c r="L43" s="3" t="s">
        <v>24</v>
      </c>
      <c r="M43">
        <v>1</v>
      </c>
    </row>
    <row r="44" spans="1:13" x14ac:dyDescent="0.25">
      <c r="A44" s="2">
        <v>46188</v>
      </c>
      <c r="B44" s="1" t="str">
        <f ca="1">IF(Información1[[#This Row],[Fecha]]='Ajuste de fechas'!$A$2,"Día actual","Día anterior")</f>
        <v>Día anterior</v>
      </c>
      <c r="C44" s="3" t="s">
        <v>126</v>
      </c>
      <c r="D44" t="s">
        <v>127</v>
      </c>
      <c r="E44" s="3" t="s">
        <v>144</v>
      </c>
      <c r="F44" s="3" t="s">
        <v>10</v>
      </c>
      <c r="G44" s="3" t="s">
        <v>145</v>
      </c>
      <c r="H44" s="3" t="s">
        <v>86</v>
      </c>
      <c r="I44" s="3" t="s">
        <v>7</v>
      </c>
      <c r="J44" s="3" t="s">
        <v>63</v>
      </c>
      <c r="K44" s="3" t="s">
        <v>131</v>
      </c>
      <c r="L44" s="3" t="s">
        <v>24</v>
      </c>
      <c r="M44">
        <v>1</v>
      </c>
    </row>
    <row r="45" spans="1:13" x14ac:dyDescent="0.25">
      <c r="A45" s="2">
        <v>46188</v>
      </c>
      <c r="B45" s="1" t="str">
        <f ca="1">IF(Información1[[#This Row],[Fecha]]='Ajuste de fechas'!$A$2,"Día actual","Día anterior")</f>
        <v>Día anterior</v>
      </c>
      <c r="C45" s="3" t="s">
        <v>126</v>
      </c>
      <c r="D45" t="s">
        <v>127</v>
      </c>
      <c r="E45" s="3" t="s">
        <v>146</v>
      </c>
      <c r="F45" s="3" t="s">
        <v>103</v>
      </c>
      <c r="G45" s="3" t="s">
        <v>106</v>
      </c>
      <c r="H45" s="3" t="s">
        <v>86</v>
      </c>
      <c r="I45" s="3" t="s">
        <v>14</v>
      </c>
      <c r="J45" s="3" t="s">
        <v>61</v>
      </c>
      <c r="K45" s="3" t="s">
        <v>131</v>
      </c>
      <c r="L45" s="3" t="s">
        <v>24</v>
      </c>
      <c r="M45">
        <v>1</v>
      </c>
    </row>
    <row r="46" spans="1:13" x14ac:dyDescent="0.25">
      <c r="A46" s="2">
        <v>46188</v>
      </c>
      <c r="B46" s="1" t="str">
        <f ca="1">IF(Información1[[#This Row],[Fecha]]='Ajuste de fechas'!$A$2,"Día actual","Día anterior")</f>
        <v>Día anterior</v>
      </c>
      <c r="C46" s="3" t="s">
        <v>126</v>
      </c>
      <c r="D46" t="s">
        <v>127</v>
      </c>
      <c r="E46" s="3" t="s">
        <v>147</v>
      </c>
      <c r="F46" s="3" t="s">
        <v>9</v>
      </c>
      <c r="G46" s="3" t="s">
        <v>148</v>
      </c>
      <c r="H46" s="3" t="s">
        <v>86</v>
      </c>
      <c r="I46" s="3" t="s">
        <v>14</v>
      </c>
      <c r="J46" s="3" t="s">
        <v>61</v>
      </c>
      <c r="K46" s="3" t="s">
        <v>131</v>
      </c>
      <c r="L46" s="3" t="s">
        <v>25</v>
      </c>
      <c r="M46">
        <v>1</v>
      </c>
    </row>
    <row r="47" spans="1:13" x14ac:dyDescent="0.25">
      <c r="A47" s="2">
        <v>46188</v>
      </c>
      <c r="B47" s="1" t="str">
        <f ca="1">IF(Información1[[#This Row],[Fecha]]='Ajuste de fechas'!$A$2,"Día actual","Día anterior")</f>
        <v>Día anterior</v>
      </c>
      <c r="C47" s="3" t="s">
        <v>84</v>
      </c>
      <c r="D47" t="s">
        <v>85</v>
      </c>
      <c r="E47" s="3" t="s">
        <v>135</v>
      </c>
      <c r="F47" s="3" t="s">
        <v>17</v>
      </c>
      <c r="G47" s="3" t="s">
        <v>136</v>
      </c>
      <c r="H47" s="3" t="s">
        <v>86</v>
      </c>
      <c r="I47" s="3" t="s">
        <v>7</v>
      </c>
      <c r="J47" s="3" t="s">
        <v>61</v>
      </c>
      <c r="K47" s="3" t="s">
        <v>30</v>
      </c>
      <c r="L47" s="3" t="s">
        <v>26</v>
      </c>
      <c r="M47">
        <v>1</v>
      </c>
    </row>
    <row r="48" spans="1:13" x14ac:dyDescent="0.25">
      <c r="A48" s="2">
        <v>46188</v>
      </c>
      <c r="B48" s="1" t="str">
        <f ca="1">IF(Información1[[#This Row],[Fecha]]='Ajuste de fechas'!$A$2,"Día actual","Día anterior")</f>
        <v>Día anterior</v>
      </c>
      <c r="C48" s="3" t="s">
        <v>84</v>
      </c>
      <c r="D48" t="s">
        <v>85</v>
      </c>
      <c r="E48" s="3" t="s">
        <v>89</v>
      </c>
      <c r="F48" s="3" t="s">
        <v>90</v>
      </c>
      <c r="G48" s="3" t="s">
        <v>149</v>
      </c>
      <c r="H48" s="3" t="s">
        <v>86</v>
      </c>
      <c r="I48" s="3" t="s">
        <v>7</v>
      </c>
      <c r="J48" s="3" t="s">
        <v>61</v>
      </c>
      <c r="K48" s="3" t="s">
        <v>30</v>
      </c>
      <c r="L48" s="3" t="s">
        <v>26</v>
      </c>
      <c r="M48">
        <v>1</v>
      </c>
    </row>
    <row r="49" spans="1:13" x14ac:dyDescent="0.25">
      <c r="A49" s="2">
        <v>46188</v>
      </c>
      <c r="B49" s="1" t="str">
        <f ca="1">IF(Información1[[#This Row],[Fecha]]='Ajuste de fechas'!$A$2,"Día actual","Día anterior")</f>
        <v>Día anterior</v>
      </c>
      <c r="C49" s="3" t="s">
        <v>84</v>
      </c>
      <c r="D49" t="s">
        <v>150</v>
      </c>
      <c r="E49" s="3" t="s">
        <v>151</v>
      </c>
      <c r="F49" s="3" t="s">
        <v>10</v>
      </c>
      <c r="G49" s="3" t="s">
        <v>152</v>
      </c>
      <c r="H49" s="3" t="s">
        <v>86</v>
      </c>
      <c r="I49" s="3" t="s">
        <v>7</v>
      </c>
      <c r="J49" s="3" t="s">
        <v>63</v>
      </c>
      <c r="K49" s="3" t="s">
        <v>30</v>
      </c>
      <c r="L49" s="3" t="s">
        <v>24</v>
      </c>
      <c r="M49">
        <v>1</v>
      </c>
    </row>
    <row r="50" spans="1:13" x14ac:dyDescent="0.25">
      <c r="A50" s="2">
        <v>46188</v>
      </c>
      <c r="B50" s="1" t="str">
        <f ca="1">IF(Información1[[#This Row],[Fecha]]='Ajuste de fechas'!$A$2,"Día actual","Día anterior")</f>
        <v>Día anterior</v>
      </c>
      <c r="C50" s="3" t="s">
        <v>84</v>
      </c>
      <c r="D50" t="s">
        <v>150</v>
      </c>
      <c r="E50" s="3" t="s">
        <v>153</v>
      </c>
      <c r="F50" s="3" t="s">
        <v>13</v>
      </c>
      <c r="G50" s="3" t="s">
        <v>101</v>
      </c>
      <c r="H50" s="3" t="s">
        <v>86</v>
      </c>
      <c r="I50" s="3" t="s">
        <v>7</v>
      </c>
      <c r="J50" s="3" t="s">
        <v>13</v>
      </c>
      <c r="K50" s="3" t="s">
        <v>30</v>
      </c>
      <c r="L50" s="3" t="s">
        <v>24</v>
      </c>
      <c r="M50">
        <v>1</v>
      </c>
    </row>
    <row r="51" spans="1:13" x14ac:dyDescent="0.25">
      <c r="A51" s="2">
        <v>46188</v>
      </c>
      <c r="B51" s="1" t="str">
        <f ca="1">IF(Información1[[#This Row],[Fecha]]='Ajuste de fechas'!$A$2,"Día actual","Día anterior")</f>
        <v>Día anterior</v>
      </c>
      <c r="C51" s="3" t="s">
        <v>84</v>
      </c>
      <c r="D51" t="s">
        <v>150</v>
      </c>
      <c r="E51" s="3" t="s">
        <v>154</v>
      </c>
      <c r="F51" s="3" t="s">
        <v>10</v>
      </c>
      <c r="G51" s="3" t="s">
        <v>152</v>
      </c>
      <c r="H51" s="3" t="s">
        <v>86</v>
      </c>
      <c r="I51" s="3" t="s">
        <v>14</v>
      </c>
      <c r="J51" s="3" t="s">
        <v>63</v>
      </c>
      <c r="K51" s="3" t="s">
        <v>30</v>
      </c>
      <c r="L51" s="3" t="s">
        <v>24</v>
      </c>
      <c r="M51">
        <v>1</v>
      </c>
    </row>
    <row r="52" spans="1:13" x14ac:dyDescent="0.25">
      <c r="A52" s="2">
        <v>46188</v>
      </c>
      <c r="B52" s="1" t="str">
        <f ca="1">IF(Información1[[#This Row],[Fecha]]='Ajuste de fechas'!$A$2,"Día actual","Día anterior")</f>
        <v>Día anterior</v>
      </c>
      <c r="C52" s="3" t="s">
        <v>84</v>
      </c>
      <c r="D52" t="s">
        <v>150</v>
      </c>
      <c r="E52" s="3" t="s">
        <v>155</v>
      </c>
      <c r="F52" s="3" t="s">
        <v>103</v>
      </c>
      <c r="G52" s="3" t="s">
        <v>156</v>
      </c>
      <c r="H52" s="3" t="s">
        <v>86</v>
      </c>
      <c r="I52" s="3" t="s">
        <v>7</v>
      </c>
      <c r="J52" s="3" t="s">
        <v>61</v>
      </c>
      <c r="K52" s="3" t="s">
        <v>30</v>
      </c>
      <c r="L52" s="3" t="s">
        <v>24</v>
      </c>
      <c r="M52">
        <v>1</v>
      </c>
    </row>
    <row r="53" spans="1:13" x14ac:dyDescent="0.25">
      <c r="A53" s="2">
        <v>46188</v>
      </c>
      <c r="B53" s="1" t="str">
        <f ca="1">IF(Información1[[#This Row],[Fecha]]='Ajuste de fechas'!$A$2,"Día actual","Día anterior")</f>
        <v>Día anterior</v>
      </c>
      <c r="C53" s="3" t="s">
        <v>84</v>
      </c>
      <c r="D53" t="s">
        <v>85</v>
      </c>
      <c r="E53" s="3" t="s">
        <v>57</v>
      </c>
      <c r="F53" s="3" t="s">
        <v>34</v>
      </c>
      <c r="G53" s="3" t="s">
        <v>51</v>
      </c>
      <c r="H53" s="3" t="s">
        <v>86</v>
      </c>
      <c r="I53" s="3" t="s">
        <v>7</v>
      </c>
      <c r="J53" s="3" t="s">
        <v>13</v>
      </c>
      <c r="K53" s="3" t="s">
        <v>30</v>
      </c>
      <c r="L53" s="3" t="s">
        <v>24</v>
      </c>
      <c r="M53">
        <v>1</v>
      </c>
    </row>
    <row r="54" spans="1:13" x14ac:dyDescent="0.25">
      <c r="A54" s="2">
        <v>46188</v>
      </c>
      <c r="B54" s="1" t="str">
        <f ca="1">IF(Información1[[#This Row],[Fecha]]='Ajuste de fechas'!$A$2,"Día actual","Día anterior")</f>
        <v>Día anterior</v>
      </c>
      <c r="C54" s="3" t="s">
        <v>84</v>
      </c>
      <c r="D54" t="s">
        <v>85</v>
      </c>
      <c r="E54" s="3" t="s">
        <v>78</v>
      </c>
      <c r="F54" s="3" t="s">
        <v>37</v>
      </c>
      <c r="G54" s="3" t="s">
        <v>42</v>
      </c>
      <c r="H54" s="3" t="s">
        <v>86</v>
      </c>
      <c r="I54" s="3" t="s">
        <v>7</v>
      </c>
      <c r="J54" s="3" t="s">
        <v>61</v>
      </c>
      <c r="K54" s="3" t="s">
        <v>30</v>
      </c>
      <c r="L54" s="3" t="s">
        <v>26</v>
      </c>
      <c r="M54">
        <v>1</v>
      </c>
    </row>
    <row r="55" spans="1:13" x14ac:dyDescent="0.25">
      <c r="A55" s="2">
        <v>46188</v>
      </c>
      <c r="B55" s="1" t="str">
        <f ca="1">IF(Información1[[#This Row],[Fecha]]='Ajuste de fechas'!$A$2,"Día actual","Día anterior")</f>
        <v>Día anterior</v>
      </c>
      <c r="C55" s="3" t="s">
        <v>84</v>
      </c>
      <c r="D55" t="s">
        <v>85</v>
      </c>
      <c r="E55" s="3" t="s">
        <v>157</v>
      </c>
      <c r="F55" s="3" t="s">
        <v>15</v>
      </c>
      <c r="G55" s="3" t="s">
        <v>158</v>
      </c>
      <c r="H55" s="3" t="s">
        <v>86</v>
      </c>
      <c r="I55" s="3" t="s">
        <v>7</v>
      </c>
      <c r="J55" s="3" t="s">
        <v>61</v>
      </c>
      <c r="K55" s="3" t="s">
        <v>30</v>
      </c>
      <c r="L55" s="3" t="s">
        <v>24</v>
      </c>
      <c r="M55">
        <v>1</v>
      </c>
    </row>
    <row r="56" spans="1:13" x14ac:dyDescent="0.25">
      <c r="A56" s="2">
        <v>46188</v>
      </c>
      <c r="B56" s="1" t="str">
        <f ca="1">IF(Información1[[#This Row],[Fecha]]='Ajuste de fechas'!$A$2,"Día actual","Día anterior")</f>
        <v>Día anterior</v>
      </c>
      <c r="C56" s="3" t="s">
        <v>84</v>
      </c>
      <c r="D56" t="s">
        <v>85</v>
      </c>
      <c r="E56" s="3" t="s">
        <v>159</v>
      </c>
      <c r="F56" s="3" t="s">
        <v>15</v>
      </c>
      <c r="G56" s="3" t="s">
        <v>160</v>
      </c>
      <c r="H56" s="3" t="s">
        <v>86</v>
      </c>
      <c r="I56" s="3" t="s">
        <v>7</v>
      </c>
      <c r="J56" s="3" t="s">
        <v>61</v>
      </c>
      <c r="K56" s="3" t="s">
        <v>30</v>
      </c>
      <c r="L56" s="3" t="s">
        <v>24</v>
      </c>
      <c r="M56">
        <v>1</v>
      </c>
    </row>
    <row r="57" spans="1:13" x14ac:dyDescent="0.25">
      <c r="A57" s="2">
        <v>46188</v>
      </c>
      <c r="B57" s="1" t="str">
        <f ca="1">IF(Información1[[#This Row],[Fecha]]='Ajuste de fechas'!$A$2,"Día actual","Día anterior")</f>
        <v>Día anterior</v>
      </c>
      <c r="C57" s="3" t="s">
        <v>84</v>
      </c>
      <c r="D57" t="s">
        <v>85</v>
      </c>
      <c r="E57" s="3" t="s">
        <v>161</v>
      </c>
      <c r="F57" s="3" t="s">
        <v>15</v>
      </c>
      <c r="G57" s="3" t="s">
        <v>140</v>
      </c>
      <c r="H57" s="3" t="s">
        <v>86</v>
      </c>
      <c r="I57" s="3" t="s">
        <v>7</v>
      </c>
      <c r="J57" s="3" t="s">
        <v>61</v>
      </c>
      <c r="K57" s="3" t="s">
        <v>30</v>
      </c>
      <c r="L57" s="3" t="s">
        <v>24</v>
      </c>
      <c r="M57">
        <v>1</v>
      </c>
    </row>
    <row r="58" spans="1:13" x14ac:dyDescent="0.25">
      <c r="A58" s="2">
        <v>46188</v>
      </c>
      <c r="B58" s="1" t="str">
        <f ca="1">IF(Información1[[#This Row],[Fecha]]='Ajuste de fechas'!$A$2,"Día actual","Día anterior")</f>
        <v>Día anterior</v>
      </c>
      <c r="C58" s="3" t="s">
        <v>84</v>
      </c>
      <c r="D58" t="s">
        <v>85</v>
      </c>
      <c r="E58" s="3" t="s">
        <v>162</v>
      </c>
      <c r="F58" s="3" t="s">
        <v>41</v>
      </c>
      <c r="G58" s="3" t="s">
        <v>49</v>
      </c>
      <c r="H58" s="3" t="s">
        <v>86</v>
      </c>
      <c r="I58" s="3" t="s">
        <v>7</v>
      </c>
      <c r="J58" s="3" t="s">
        <v>61</v>
      </c>
      <c r="K58" s="3" t="s">
        <v>30</v>
      </c>
      <c r="L58" s="3" t="s">
        <v>24</v>
      </c>
      <c r="M58">
        <v>1</v>
      </c>
    </row>
    <row r="59" spans="1:13" x14ac:dyDescent="0.25">
      <c r="A59" s="2">
        <v>46189</v>
      </c>
      <c r="B59" s="1" t="str">
        <f ca="1">IF(Información1[[#This Row],[Fecha]]='Ajuste de fechas'!$A$2,"Día actual","Día anterior")</f>
        <v>Día actual</v>
      </c>
      <c r="C59" s="3" t="s">
        <v>87</v>
      </c>
      <c r="D59" t="s">
        <v>88</v>
      </c>
      <c r="E59" s="3" t="s">
        <v>163</v>
      </c>
      <c r="F59" s="3" t="s">
        <v>81</v>
      </c>
      <c r="G59" s="3" t="s">
        <v>164</v>
      </c>
      <c r="H59" s="3" t="s">
        <v>8</v>
      </c>
      <c r="I59" s="3" t="s">
        <v>7</v>
      </c>
      <c r="J59" s="3" t="s">
        <v>61</v>
      </c>
      <c r="K59" s="3" t="s">
        <v>165</v>
      </c>
      <c r="L59" s="3" t="s">
        <v>26</v>
      </c>
      <c r="M59">
        <v>1</v>
      </c>
    </row>
    <row r="60" spans="1:13" x14ac:dyDescent="0.25">
      <c r="A60" s="2">
        <v>46189</v>
      </c>
      <c r="B60" s="1" t="str">
        <f ca="1">IF(Información1[[#This Row],[Fecha]]='Ajuste de fechas'!$A$2,"Día actual","Día anterior")</f>
        <v>Día actual</v>
      </c>
      <c r="C60" s="3" t="s">
        <v>87</v>
      </c>
      <c r="D60" t="s">
        <v>88</v>
      </c>
      <c r="E60" s="3" t="s">
        <v>166</v>
      </c>
      <c r="F60" s="3" t="s">
        <v>10</v>
      </c>
      <c r="G60" s="3" t="s">
        <v>167</v>
      </c>
      <c r="H60" s="3" t="s">
        <v>8</v>
      </c>
      <c r="I60" s="3" t="s">
        <v>7</v>
      </c>
      <c r="J60" s="3" t="s">
        <v>63</v>
      </c>
      <c r="K60" s="3" t="s">
        <v>165</v>
      </c>
      <c r="L60" s="3" t="s">
        <v>24</v>
      </c>
      <c r="M60">
        <v>1</v>
      </c>
    </row>
    <row r="61" spans="1:13" x14ac:dyDescent="0.25">
      <c r="A61" s="2">
        <v>46189</v>
      </c>
      <c r="B61" s="1" t="str">
        <f ca="1">IF(Información1[[#This Row],[Fecha]]='Ajuste de fechas'!$A$2,"Día actual","Día anterior")</f>
        <v>Día actual</v>
      </c>
      <c r="C61" s="3" t="s">
        <v>87</v>
      </c>
      <c r="D61" t="s">
        <v>88</v>
      </c>
      <c r="E61" s="3" t="s">
        <v>168</v>
      </c>
      <c r="F61" s="3" t="s">
        <v>103</v>
      </c>
      <c r="G61" s="3" t="s">
        <v>145</v>
      </c>
      <c r="H61" s="3" t="s">
        <v>8</v>
      </c>
      <c r="I61" s="3" t="s">
        <v>7</v>
      </c>
      <c r="J61" s="3" t="s">
        <v>61</v>
      </c>
      <c r="K61" s="3" t="s">
        <v>165</v>
      </c>
      <c r="L61" s="3" t="s">
        <v>24</v>
      </c>
      <c r="M61">
        <v>1</v>
      </c>
    </row>
    <row r="62" spans="1:13" x14ac:dyDescent="0.25">
      <c r="A62" s="2">
        <v>46189</v>
      </c>
      <c r="B62" s="1" t="str">
        <f ca="1">IF(Información1[[#This Row],[Fecha]]='Ajuste de fechas'!$A$2,"Día actual","Día anterior")</f>
        <v>Día actual</v>
      </c>
      <c r="C62" s="3" t="s">
        <v>87</v>
      </c>
      <c r="D62" t="s">
        <v>88</v>
      </c>
      <c r="E62" s="3" t="s">
        <v>169</v>
      </c>
      <c r="F62" s="3" t="s">
        <v>10</v>
      </c>
      <c r="G62" s="3" t="s">
        <v>170</v>
      </c>
      <c r="H62" s="3" t="s">
        <v>8</v>
      </c>
      <c r="I62" s="3" t="s">
        <v>7</v>
      </c>
      <c r="J62" s="3" t="s">
        <v>63</v>
      </c>
      <c r="K62" s="3" t="s">
        <v>165</v>
      </c>
      <c r="L62" s="3" t="s">
        <v>171</v>
      </c>
      <c r="M62">
        <v>1</v>
      </c>
    </row>
    <row r="63" spans="1:13" x14ac:dyDescent="0.25">
      <c r="A63" s="2">
        <v>46189</v>
      </c>
      <c r="B63" s="1" t="str">
        <f ca="1">IF(Información1[[#This Row],[Fecha]]='Ajuste de fechas'!$A$2,"Día actual","Día anterior")</f>
        <v>Día actual</v>
      </c>
      <c r="C63" s="3" t="s">
        <v>87</v>
      </c>
      <c r="D63" t="s">
        <v>88</v>
      </c>
      <c r="E63" s="3" t="s">
        <v>172</v>
      </c>
      <c r="F63" s="3" t="s">
        <v>81</v>
      </c>
      <c r="G63" s="3" t="s">
        <v>173</v>
      </c>
      <c r="H63" s="3" t="s">
        <v>8</v>
      </c>
      <c r="I63" s="3" t="s">
        <v>14</v>
      </c>
      <c r="J63" s="3" t="s">
        <v>61</v>
      </c>
      <c r="K63" s="3" t="s">
        <v>165</v>
      </c>
      <c r="L63" s="3" t="s">
        <v>24</v>
      </c>
      <c r="M63">
        <v>1</v>
      </c>
    </row>
    <row r="64" spans="1:13" x14ac:dyDescent="0.25">
      <c r="A64" s="2">
        <v>46189</v>
      </c>
      <c r="B64" s="1" t="str">
        <f ca="1">IF(Información1[[#This Row],[Fecha]]='Ajuste de fechas'!$A$2,"Día actual","Día anterior")</f>
        <v>Día actual</v>
      </c>
      <c r="C64" s="3" t="s">
        <v>87</v>
      </c>
      <c r="D64" t="s">
        <v>88</v>
      </c>
      <c r="E64" s="3" t="s">
        <v>174</v>
      </c>
      <c r="F64" s="3" t="s">
        <v>12</v>
      </c>
      <c r="G64" s="3" t="s">
        <v>175</v>
      </c>
      <c r="H64" s="3" t="s">
        <v>8</v>
      </c>
      <c r="I64" s="3" t="s">
        <v>7</v>
      </c>
      <c r="J64" s="3" t="s">
        <v>61</v>
      </c>
      <c r="K64" s="3" t="s">
        <v>165</v>
      </c>
      <c r="L64" s="3" t="s">
        <v>24</v>
      </c>
      <c r="M64">
        <v>1</v>
      </c>
    </row>
    <row r="65" spans="1:13" x14ac:dyDescent="0.25">
      <c r="A65" s="2">
        <v>46189</v>
      </c>
      <c r="B65" s="1" t="str">
        <f ca="1">IF(Información1[[#This Row],[Fecha]]='Ajuste de fechas'!$A$2,"Día actual","Día anterior")</f>
        <v>Día actual</v>
      </c>
      <c r="C65" s="3" t="s">
        <v>87</v>
      </c>
      <c r="D65" t="s">
        <v>88</v>
      </c>
      <c r="E65" s="3" t="s">
        <v>176</v>
      </c>
      <c r="F65" s="3" t="s">
        <v>15</v>
      </c>
      <c r="G65" s="3" t="s">
        <v>140</v>
      </c>
      <c r="H65" s="3" t="s">
        <v>8</v>
      </c>
      <c r="I65" s="3" t="s">
        <v>7</v>
      </c>
      <c r="J65" s="3" t="s">
        <v>61</v>
      </c>
      <c r="K65" s="3" t="s">
        <v>165</v>
      </c>
      <c r="L65" s="3" t="s">
        <v>26</v>
      </c>
      <c r="M65">
        <v>1</v>
      </c>
    </row>
    <row r="66" spans="1:13" x14ac:dyDescent="0.25">
      <c r="A66" s="2">
        <v>46189</v>
      </c>
      <c r="B66" s="1" t="str">
        <f ca="1">IF(Información1[[#This Row],[Fecha]]='Ajuste de fechas'!$A$2,"Día actual","Día anterior")</f>
        <v>Día actual</v>
      </c>
      <c r="C66" s="3" t="s">
        <v>87</v>
      </c>
      <c r="D66" t="s">
        <v>88</v>
      </c>
      <c r="E66" s="3" t="s">
        <v>177</v>
      </c>
      <c r="F66" s="3" t="s">
        <v>178</v>
      </c>
      <c r="G66" s="3" t="s">
        <v>179</v>
      </c>
      <c r="H66" s="3" t="s">
        <v>8</v>
      </c>
      <c r="I66" s="3" t="s">
        <v>7</v>
      </c>
      <c r="J66" s="3" t="s">
        <v>13</v>
      </c>
      <c r="K66" s="3" t="s">
        <v>165</v>
      </c>
      <c r="L66" s="3" t="s">
        <v>24</v>
      </c>
      <c r="M66">
        <v>1</v>
      </c>
    </row>
    <row r="67" spans="1:13" x14ac:dyDescent="0.25">
      <c r="A67" s="2">
        <v>46189</v>
      </c>
      <c r="B67" s="1" t="str">
        <f ca="1">IF(Información1[[#This Row],[Fecha]]='Ajuste de fechas'!$A$2,"Día actual","Día anterior")</f>
        <v>Día actual</v>
      </c>
      <c r="C67" s="3" t="s">
        <v>87</v>
      </c>
      <c r="D67" t="s">
        <v>88</v>
      </c>
      <c r="E67" s="3" t="s">
        <v>180</v>
      </c>
      <c r="F67" s="3" t="s">
        <v>15</v>
      </c>
      <c r="G67" s="3" t="s">
        <v>181</v>
      </c>
      <c r="H67" s="3" t="s">
        <v>8</v>
      </c>
      <c r="I67" s="3" t="s">
        <v>7</v>
      </c>
      <c r="J67" s="3" t="s">
        <v>61</v>
      </c>
      <c r="K67" s="3" t="s">
        <v>165</v>
      </c>
      <c r="L67" s="3" t="s">
        <v>24</v>
      </c>
      <c r="M67">
        <v>1</v>
      </c>
    </row>
    <row r="68" spans="1:13" x14ac:dyDescent="0.25">
      <c r="A68" s="2">
        <v>46189</v>
      </c>
      <c r="B68" s="1" t="str">
        <f ca="1">IF(Información1[[#This Row],[Fecha]]='Ajuste de fechas'!$A$2,"Día actual","Día anterior")</f>
        <v>Día actual</v>
      </c>
      <c r="C68" s="3" t="s">
        <v>87</v>
      </c>
      <c r="D68" t="s">
        <v>88</v>
      </c>
      <c r="E68" s="3" t="s">
        <v>182</v>
      </c>
      <c r="F68" s="3" t="s">
        <v>35</v>
      </c>
      <c r="G68" s="3" t="s">
        <v>183</v>
      </c>
      <c r="H68" s="3" t="s">
        <v>8</v>
      </c>
      <c r="I68" s="3" t="s">
        <v>7</v>
      </c>
      <c r="J68" s="3" t="s">
        <v>61</v>
      </c>
      <c r="K68" s="3" t="s">
        <v>165</v>
      </c>
      <c r="L68" s="3" t="s">
        <v>24</v>
      </c>
      <c r="M68">
        <v>1</v>
      </c>
    </row>
    <row r="69" spans="1:13" x14ac:dyDescent="0.25">
      <c r="A69" s="2">
        <v>46189</v>
      </c>
      <c r="B69" s="1" t="str">
        <f ca="1">IF(Información1[[#This Row],[Fecha]]='Ajuste de fechas'!$A$2,"Día actual","Día anterior")</f>
        <v>Día actual</v>
      </c>
      <c r="C69" s="3" t="s">
        <v>87</v>
      </c>
      <c r="D69" t="s">
        <v>88</v>
      </c>
      <c r="E69" s="3" t="s">
        <v>184</v>
      </c>
      <c r="F69" s="3" t="s">
        <v>10</v>
      </c>
      <c r="G69" s="3" t="s">
        <v>185</v>
      </c>
      <c r="H69" s="3" t="s">
        <v>8</v>
      </c>
      <c r="I69" s="3" t="s">
        <v>14</v>
      </c>
      <c r="J69" s="3" t="s">
        <v>63</v>
      </c>
      <c r="K69" s="3" t="s">
        <v>165</v>
      </c>
      <c r="L69" s="3" t="s">
        <v>24</v>
      </c>
      <c r="M69">
        <v>1</v>
      </c>
    </row>
    <row r="70" spans="1:13" x14ac:dyDescent="0.25">
      <c r="A70" s="2">
        <v>46189</v>
      </c>
      <c r="B70" s="1" t="str">
        <f ca="1">IF(Información1[[#This Row],[Fecha]]='Ajuste de fechas'!$A$2,"Día actual","Día anterior")</f>
        <v>Día actual</v>
      </c>
      <c r="C70" s="3" t="s">
        <v>87</v>
      </c>
      <c r="D70" t="s">
        <v>88</v>
      </c>
      <c r="E70" s="3" t="s">
        <v>186</v>
      </c>
      <c r="F70" s="3" t="s">
        <v>10</v>
      </c>
      <c r="G70" s="3" t="s">
        <v>185</v>
      </c>
      <c r="H70" s="3" t="s">
        <v>8</v>
      </c>
      <c r="I70" s="3" t="s">
        <v>14</v>
      </c>
      <c r="J70" s="3" t="s">
        <v>63</v>
      </c>
      <c r="K70" s="3" t="s">
        <v>165</v>
      </c>
      <c r="L70" s="3" t="s">
        <v>24</v>
      </c>
      <c r="M70">
        <v>1</v>
      </c>
    </row>
    <row r="71" spans="1:13" x14ac:dyDescent="0.25">
      <c r="A71" s="2">
        <v>46189</v>
      </c>
      <c r="B71" s="1" t="str">
        <f ca="1">IF(Información1[[#This Row],[Fecha]]='Ajuste de fechas'!$A$2,"Día actual","Día anterior")</f>
        <v>Día actual</v>
      </c>
      <c r="C71" s="3" t="s">
        <v>87</v>
      </c>
      <c r="D71" t="s">
        <v>88</v>
      </c>
      <c r="E71" s="3" t="s">
        <v>187</v>
      </c>
      <c r="F71" s="3" t="s">
        <v>10</v>
      </c>
      <c r="G71" s="3" t="s">
        <v>188</v>
      </c>
      <c r="H71" s="3" t="s">
        <v>8</v>
      </c>
      <c r="I71" s="3" t="s">
        <v>7</v>
      </c>
      <c r="J71" s="3" t="s">
        <v>63</v>
      </c>
      <c r="K71" s="3" t="s">
        <v>165</v>
      </c>
      <c r="L71" s="3" t="s">
        <v>24</v>
      </c>
      <c r="M71">
        <v>1</v>
      </c>
    </row>
    <row r="72" spans="1:13" x14ac:dyDescent="0.25">
      <c r="A72" s="2">
        <v>46189</v>
      </c>
      <c r="B72" s="1" t="str">
        <f ca="1">IF(Información1[[#This Row],[Fecha]]='Ajuste de fechas'!$A$2,"Día actual","Día anterior")</f>
        <v>Día actual</v>
      </c>
      <c r="C72" s="3" t="s">
        <v>87</v>
      </c>
      <c r="D72" t="s">
        <v>88</v>
      </c>
      <c r="E72" s="3" t="s">
        <v>189</v>
      </c>
      <c r="F72" s="3" t="s">
        <v>10</v>
      </c>
      <c r="G72" s="3" t="s">
        <v>190</v>
      </c>
      <c r="H72" s="3" t="s">
        <v>8</v>
      </c>
      <c r="I72" s="3" t="s">
        <v>7</v>
      </c>
      <c r="J72" s="3" t="s">
        <v>63</v>
      </c>
      <c r="K72" s="3" t="s">
        <v>191</v>
      </c>
      <c r="L72" s="3" t="s">
        <v>24</v>
      </c>
      <c r="M72">
        <v>1</v>
      </c>
    </row>
    <row r="73" spans="1:13" x14ac:dyDescent="0.25">
      <c r="A73" s="2">
        <v>46189</v>
      </c>
      <c r="B73" s="1" t="str">
        <f ca="1">IF(Información1[[#This Row],[Fecha]]='Ajuste de fechas'!$A$2,"Día actual","Día anterior")</f>
        <v>Día actual</v>
      </c>
      <c r="C73" s="3" t="s">
        <v>87</v>
      </c>
      <c r="D73" t="s">
        <v>88</v>
      </c>
      <c r="E73" s="3" t="s">
        <v>119</v>
      </c>
      <c r="F73" s="3" t="s">
        <v>10</v>
      </c>
      <c r="G73" s="3" t="s">
        <v>152</v>
      </c>
      <c r="H73" s="3" t="s">
        <v>8</v>
      </c>
      <c r="I73" s="3" t="s">
        <v>7</v>
      </c>
      <c r="J73" s="3" t="s">
        <v>63</v>
      </c>
      <c r="K73" s="3" t="s">
        <v>92</v>
      </c>
      <c r="L73" s="3" t="s">
        <v>24</v>
      </c>
      <c r="M73">
        <v>1</v>
      </c>
    </row>
    <row r="74" spans="1:13" x14ac:dyDescent="0.25">
      <c r="A74" s="2">
        <v>46189</v>
      </c>
      <c r="B74" s="1" t="str">
        <f ca="1">IF(Información1[[#This Row],[Fecha]]='Ajuste de fechas'!$A$2,"Día actual","Día anterior")</f>
        <v>Día actual</v>
      </c>
      <c r="C74" s="3" t="s">
        <v>87</v>
      </c>
      <c r="D74" t="s">
        <v>88</v>
      </c>
      <c r="E74" s="3" t="s">
        <v>192</v>
      </c>
      <c r="F74" s="3" t="s">
        <v>10</v>
      </c>
      <c r="G74" s="3" t="s">
        <v>193</v>
      </c>
      <c r="H74" s="3" t="s">
        <v>8</v>
      </c>
      <c r="I74" s="3" t="s">
        <v>7</v>
      </c>
      <c r="J74" s="3" t="s">
        <v>63</v>
      </c>
      <c r="K74" s="3" t="s">
        <v>92</v>
      </c>
      <c r="L74" s="3" t="s">
        <v>24</v>
      </c>
      <c r="M74">
        <v>1</v>
      </c>
    </row>
    <row r="75" spans="1:13" x14ac:dyDescent="0.25">
      <c r="A75" s="2">
        <v>46189</v>
      </c>
      <c r="B75" s="1" t="str">
        <f ca="1">IF(Información1[[#This Row],[Fecha]]='Ajuste de fechas'!$A$2,"Día actual","Día anterior")</f>
        <v>Día actual</v>
      </c>
      <c r="C75" s="3" t="s">
        <v>87</v>
      </c>
      <c r="D75" t="s">
        <v>88</v>
      </c>
      <c r="E75" s="3" t="s">
        <v>194</v>
      </c>
      <c r="F75" s="3" t="s">
        <v>10</v>
      </c>
      <c r="G75" s="3" t="s">
        <v>49</v>
      </c>
      <c r="H75" s="3" t="s">
        <v>8</v>
      </c>
      <c r="I75" s="3" t="s">
        <v>7</v>
      </c>
      <c r="J75" s="3" t="s">
        <v>63</v>
      </c>
      <c r="K75" s="3" t="s">
        <v>92</v>
      </c>
      <c r="L75" s="3" t="s">
        <v>24</v>
      </c>
      <c r="M75">
        <v>1</v>
      </c>
    </row>
    <row r="76" spans="1:13" x14ac:dyDescent="0.25">
      <c r="A76" s="2">
        <v>46189</v>
      </c>
      <c r="B76" s="1" t="str">
        <f ca="1">IF(Información1[[#This Row],[Fecha]]='Ajuste de fechas'!$A$2,"Día actual","Día anterior")</f>
        <v>Día actual</v>
      </c>
      <c r="C76" s="3" t="s">
        <v>87</v>
      </c>
      <c r="D76" t="s">
        <v>88</v>
      </c>
      <c r="E76" s="3" t="s">
        <v>195</v>
      </c>
      <c r="F76" s="3" t="s">
        <v>41</v>
      </c>
      <c r="G76" s="3" t="s">
        <v>49</v>
      </c>
      <c r="H76" s="3" t="s">
        <v>8</v>
      </c>
      <c r="I76" s="3" t="s">
        <v>7</v>
      </c>
      <c r="J76" s="3" t="s">
        <v>61</v>
      </c>
      <c r="K76" s="3" t="s">
        <v>92</v>
      </c>
      <c r="L76" s="3" t="s">
        <v>24</v>
      </c>
      <c r="M76">
        <v>1</v>
      </c>
    </row>
    <row r="77" spans="1:13" x14ac:dyDescent="0.25">
      <c r="A77" s="2">
        <v>46189</v>
      </c>
      <c r="B77" s="1" t="str">
        <f ca="1">IF(Información1[[#This Row],[Fecha]]='Ajuste de fechas'!$A$2,"Día actual","Día anterior")</f>
        <v>Día actual</v>
      </c>
      <c r="C77" s="3" t="s">
        <v>87</v>
      </c>
      <c r="D77" t="s">
        <v>88</v>
      </c>
      <c r="E77" s="3" t="s">
        <v>196</v>
      </c>
      <c r="F77" s="3" t="s">
        <v>41</v>
      </c>
      <c r="G77" s="3" t="s">
        <v>59</v>
      </c>
      <c r="H77" s="3" t="s">
        <v>8</v>
      </c>
      <c r="I77" s="3" t="s">
        <v>7</v>
      </c>
      <c r="J77" s="3" t="s">
        <v>61</v>
      </c>
      <c r="K77" s="3" t="s">
        <v>92</v>
      </c>
      <c r="L77" s="3" t="s">
        <v>24</v>
      </c>
      <c r="M77">
        <v>1</v>
      </c>
    </row>
    <row r="78" spans="1:13" x14ac:dyDescent="0.25">
      <c r="A78" s="2">
        <v>46189</v>
      </c>
      <c r="B78" s="1" t="str">
        <f ca="1">IF(Información1[[#This Row],[Fecha]]='Ajuste de fechas'!$A$2,"Día actual","Día anterior")</f>
        <v>Día actual</v>
      </c>
      <c r="C78" s="3" t="s">
        <v>126</v>
      </c>
      <c r="D78" t="s">
        <v>127</v>
      </c>
      <c r="E78" s="3" t="s">
        <v>197</v>
      </c>
      <c r="F78" s="3" t="s">
        <v>34</v>
      </c>
      <c r="G78" s="3" t="s">
        <v>198</v>
      </c>
      <c r="H78" s="3" t="s">
        <v>86</v>
      </c>
      <c r="I78" s="3" t="s">
        <v>7</v>
      </c>
      <c r="J78" s="3" t="s">
        <v>13</v>
      </c>
      <c r="K78" s="3" t="s">
        <v>131</v>
      </c>
      <c r="L78" s="3" t="s">
        <v>24</v>
      </c>
      <c r="M78">
        <v>1</v>
      </c>
    </row>
    <row r="79" spans="1:13" x14ac:dyDescent="0.25">
      <c r="A79" s="2">
        <v>46189</v>
      </c>
      <c r="B79" s="1" t="str">
        <f ca="1">IF(Información1[[#This Row],[Fecha]]='Ajuste de fechas'!$A$2,"Día actual","Día anterior")</f>
        <v>Día actual</v>
      </c>
      <c r="C79" s="3" t="s">
        <v>126</v>
      </c>
      <c r="D79" t="s">
        <v>127</v>
      </c>
      <c r="E79" s="3" t="s">
        <v>197</v>
      </c>
      <c r="F79" s="3" t="s">
        <v>10</v>
      </c>
      <c r="G79" s="3" t="s">
        <v>198</v>
      </c>
      <c r="H79" s="3" t="s">
        <v>86</v>
      </c>
      <c r="I79" s="3" t="s">
        <v>7</v>
      </c>
      <c r="J79" s="3" t="s">
        <v>63</v>
      </c>
      <c r="K79" s="3" t="s">
        <v>131</v>
      </c>
      <c r="L79" s="3" t="s">
        <v>24</v>
      </c>
      <c r="M79">
        <v>1</v>
      </c>
    </row>
    <row r="80" spans="1:13" x14ac:dyDescent="0.25">
      <c r="A80" s="2">
        <v>46189</v>
      </c>
      <c r="B80" s="1" t="str">
        <f ca="1">IF(Información1[[#This Row],[Fecha]]='Ajuste de fechas'!$A$2,"Día actual","Día anterior")</f>
        <v>Día actual</v>
      </c>
      <c r="C80" s="3" t="s">
        <v>126</v>
      </c>
      <c r="D80" t="s">
        <v>127</v>
      </c>
      <c r="E80" s="3" t="s">
        <v>199</v>
      </c>
      <c r="F80" s="3" t="s">
        <v>6</v>
      </c>
      <c r="G80" s="3" t="s">
        <v>94</v>
      </c>
      <c r="H80" s="3" t="s">
        <v>86</v>
      </c>
      <c r="I80" s="3" t="s">
        <v>14</v>
      </c>
      <c r="J80" s="3" t="s">
        <v>61</v>
      </c>
      <c r="K80" s="3" t="s">
        <v>200</v>
      </c>
      <c r="L80" s="3" t="s">
        <v>25</v>
      </c>
      <c r="M80">
        <v>1</v>
      </c>
    </row>
    <row r="81" spans="1:13" x14ac:dyDescent="0.25">
      <c r="A81" s="2">
        <v>46189</v>
      </c>
      <c r="B81" s="1" t="str">
        <f ca="1">IF(Información1[[#This Row],[Fecha]]='Ajuste de fechas'!$A$2,"Día actual","Día anterior")</f>
        <v>Día actual</v>
      </c>
      <c r="C81" s="3" t="s">
        <v>126</v>
      </c>
      <c r="D81" t="s">
        <v>127</v>
      </c>
      <c r="E81" s="3" t="s">
        <v>201</v>
      </c>
      <c r="F81" s="3" t="s">
        <v>10</v>
      </c>
      <c r="G81" s="3" t="s">
        <v>188</v>
      </c>
      <c r="H81" s="3" t="s">
        <v>86</v>
      </c>
      <c r="I81" s="3" t="s">
        <v>14</v>
      </c>
      <c r="J81" s="3" t="s">
        <v>63</v>
      </c>
      <c r="K81" s="3" t="s">
        <v>200</v>
      </c>
      <c r="L81" s="3" t="s">
        <v>24</v>
      </c>
      <c r="M81">
        <v>1</v>
      </c>
    </row>
    <row r="82" spans="1:13" x14ac:dyDescent="0.25">
      <c r="A82" s="2">
        <v>46189</v>
      </c>
      <c r="B82" s="1" t="str">
        <f ca="1">IF(Información1[[#This Row],[Fecha]]='Ajuste de fechas'!$A$2,"Día actual","Día anterior")</f>
        <v>Día actual</v>
      </c>
      <c r="C82" s="3" t="s">
        <v>126</v>
      </c>
      <c r="D82" t="s">
        <v>127</v>
      </c>
      <c r="E82" s="3" t="s">
        <v>202</v>
      </c>
      <c r="F82" s="3" t="s">
        <v>203</v>
      </c>
      <c r="G82" s="3" t="s">
        <v>204</v>
      </c>
      <c r="H82" s="3" t="s">
        <v>86</v>
      </c>
      <c r="I82" s="3" t="s">
        <v>14</v>
      </c>
      <c r="J82" s="3" t="s">
        <v>61</v>
      </c>
      <c r="K82" s="3" t="s">
        <v>191</v>
      </c>
      <c r="L82" s="3" t="s">
        <v>25</v>
      </c>
      <c r="M82">
        <v>1</v>
      </c>
    </row>
    <row r="83" spans="1:13" x14ac:dyDescent="0.25">
      <c r="A83" s="2">
        <v>46189</v>
      </c>
      <c r="B83" s="1" t="str">
        <f ca="1">IF(Información1[[#This Row],[Fecha]]='Ajuste de fechas'!$A$2,"Día actual","Día anterior")</f>
        <v>Día actual</v>
      </c>
      <c r="C83" s="3" t="s">
        <v>126</v>
      </c>
      <c r="D83" t="s">
        <v>127</v>
      </c>
      <c r="E83" s="3" t="s">
        <v>205</v>
      </c>
      <c r="F83" s="3" t="s">
        <v>41</v>
      </c>
      <c r="G83" s="3" t="s">
        <v>206</v>
      </c>
      <c r="H83" s="3" t="s">
        <v>86</v>
      </c>
      <c r="I83" s="3" t="s">
        <v>14</v>
      </c>
      <c r="J83" s="3" t="s">
        <v>61</v>
      </c>
      <c r="K83" s="3" t="s">
        <v>131</v>
      </c>
      <c r="L83" s="3" t="s">
        <v>25</v>
      </c>
      <c r="M83">
        <v>1</v>
      </c>
    </row>
    <row r="84" spans="1:13" x14ac:dyDescent="0.25">
      <c r="A84" s="2">
        <v>46189</v>
      </c>
      <c r="B84" s="1" t="str">
        <f ca="1">IF(Información1[[#This Row],[Fecha]]='Ajuste de fechas'!$A$2,"Día actual","Día anterior")</f>
        <v>Día actual</v>
      </c>
      <c r="C84" s="3" t="s">
        <v>126</v>
      </c>
      <c r="D84" t="s">
        <v>127</v>
      </c>
      <c r="E84" s="3" t="s">
        <v>207</v>
      </c>
      <c r="F84" s="3" t="s">
        <v>208</v>
      </c>
      <c r="G84" s="3" t="s">
        <v>209</v>
      </c>
      <c r="H84" s="3" t="s">
        <v>86</v>
      </c>
      <c r="I84" s="3" t="s">
        <v>7</v>
      </c>
      <c r="J84" s="3" t="s">
        <v>210</v>
      </c>
      <c r="K84" s="3" t="s">
        <v>131</v>
      </c>
      <c r="L84" s="3" t="s">
        <v>24</v>
      </c>
      <c r="M84">
        <v>1</v>
      </c>
    </row>
    <row r="85" spans="1:13" x14ac:dyDescent="0.25">
      <c r="A85" s="2">
        <v>46189</v>
      </c>
      <c r="B85" s="1" t="str">
        <f ca="1">IF(Información1[[#This Row],[Fecha]]='Ajuste de fechas'!$A$2,"Día actual","Día anterior")</f>
        <v>Día actual</v>
      </c>
      <c r="C85" s="3" t="s">
        <v>126</v>
      </c>
      <c r="D85" t="s">
        <v>127</v>
      </c>
      <c r="E85" s="3" t="s">
        <v>211</v>
      </c>
      <c r="F85" s="3" t="s">
        <v>9</v>
      </c>
      <c r="G85" s="3" t="s">
        <v>212</v>
      </c>
      <c r="H85" s="3" t="s">
        <v>86</v>
      </c>
      <c r="I85" s="3" t="s">
        <v>14</v>
      </c>
      <c r="J85" s="3" t="s">
        <v>61</v>
      </c>
      <c r="K85" s="3" t="s">
        <v>131</v>
      </c>
      <c r="L85" s="3" t="s">
        <v>25</v>
      </c>
      <c r="M85">
        <v>1</v>
      </c>
    </row>
    <row r="86" spans="1:13" x14ac:dyDescent="0.25">
      <c r="A86" s="2">
        <v>46189</v>
      </c>
      <c r="B86" s="1" t="str">
        <f ca="1">IF(Información1[[#This Row],[Fecha]]='Ajuste de fechas'!$A$2,"Día actual","Día anterior")</f>
        <v>Día actual</v>
      </c>
      <c r="C86" s="3" t="s">
        <v>126</v>
      </c>
      <c r="D86" t="s">
        <v>127</v>
      </c>
      <c r="E86" s="3" t="s">
        <v>213</v>
      </c>
      <c r="F86" s="3" t="s">
        <v>9</v>
      </c>
      <c r="G86" s="3" t="s">
        <v>214</v>
      </c>
      <c r="H86" s="3" t="s">
        <v>86</v>
      </c>
      <c r="I86" s="3" t="s">
        <v>14</v>
      </c>
      <c r="J86" s="3" t="s">
        <v>61</v>
      </c>
      <c r="K86" s="3" t="s">
        <v>131</v>
      </c>
      <c r="L86" s="3" t="s">
        <v>25</v>
      </c>
      <c r="M86">
        <v>1</v>
      </c>
    </row>
    <row r="87" spans="1:13" x14ac:dyDescent="0.25">
      <c r="A87" s="2">
        <v>46189</v>
      </c>
      <c r="B87" s="1" t="str">
        <f ca="1">IF(Información1[[#This Row],[Fecha]]='Ajuste de fechas'!$A$2,"Día actual","Día anterior")</f>
        <v>Día actual</v>
      </c>
      <c r="C87" s="3" t="s">
        <v>126</v>
      </c>
      <c r="D87" t="s">
        <v>127</v>
      </c>
      <c r="E87" s="3" t="s">
        <v>215</v>
      </c>
      <c r="F87" s="3" t="s">
        <v>10</v>
      </c>
      <c r="G87" s="3" t="s">
        <v>42</v>
      </c>
      <c r="H87" s="3" t="s">
        <v>86</v>
      </c>
      <c r="I87" s="3" t="s">
        <v>14</v>
      </c>
      <c r="J87" s="3" t="s">
        <v>63</v>
      </c>
      <c r="K87" s="3" t="s">
        <v>191</v>
      </c>
      <c r="L87" s="3" t="s">
        <v>25</v>
      </c>
      <c r="M87">
        <v>1</v>
      </c>
    </row>
    <row r="88" spans="1:13" x14ac:dyDescent="0.25">
      <c r="A88" s="2">
        <v>46189</v>
      </c>
      <c r="B88" s="1" t="str">
        <f ca="1">IF(Información1[[#This Row],[Fecha]]='Ajuste de fechas'!$A$2,"Día actual","Día anterior")</f>
        <v>Día actual</v>
      </c>
      <c r="C88" s="3" t="s">
        <v>126</v>
      </c>
      <c r="D88" t="s">
        <v>127</v>
      </c>
      <c r="E88" s="3" t="s">
        <v>216</v>
      </c>
      <c r="F88" s="3" t="s">
        <v>10</v>
      </c>
      <c r="G88" s="3" t="s">
        <v>217</v>
      </c>
      <c r="H88" s="3" t="s">
        <v>86</v>
      </c>
      <c r="I88" s="3" t="s">
        <v>7</v>
      </c>
      <c r="J88" s="3" t="s">
        <v>63</v>
      </c>
      <c r="K88" s="3" t="s">
        <v>131</v>
      </c>
      <c r="L88" s="3" t="s">
        <v>24</v>
      </c>
      <c r="M88">
        <v>1</v>
      </c>
    </row>
    <row r="89" spans="1:13" x14ac:dyDescent="0.25">
      <c r="A89" s="2">
        <v>46189</v>
      </c>
      <c r="B89" s="1" t="str">
        <f ca="1">IF(Información1[[#This Row],[Fecha]]='Ajuste de fechas'!$A$2,"Día actual","Día anterior")</f>
        <v>Día actual</v>
      </c>
      <c r="C89" s="3" t="s">
        <v>126</v>
      </c>
      <c r="D89" t="s">
        <v>127</v>
      </c>
      <c r="E89" s="3" t="s">
        <v>218</v>
      </c>
      <c r="F89" s="3" t="s">
        <v>9</v>
      </c>
      <c r="G89" s="3" t="s">
        <v>126</v>
      </c>
      <c r="H89" s="3" t="s">
        <v>86</v>
      </c>
      <c r="I89" s="3" t="s">
        <v>14</v>
      </c>
      <c r="J89" s="3" t="s">
        <v>61</v>
      </c>
      <c r="K89" s="3" t="s">
        <v>131</v>
      </c>
      <c r="L89" s="3" t="s">
        <v>25</v>
      </c>
      <c r="M89">
        <v>1</v>
      </c>
    </row>
    <row r="90" spans="1:13" x14ac:dyDescent="0.25">
      <c r="A90" s="2">
        <v>46189</v>
      </c>
      <c r="B90" s="1" t="str">
        <f ca="1">IF(Información1[[#This Row],[Fecha]]='Ajuste de fechas'!$A$2,"Día actual","Día anterior")</f>
        <v>Día actual</v>
      </c>
      <c r="C90" s="3" t="s">
        <v>126</v>
      </c>
      <c r="D90" t="s">
        <v>127</v>
      </c>
      <c r="E90" s="3" t="s">
        <v>219</v>
      </c>
      <c r="F90" s="3" t="s">
        <v>9</v>
      </c>
      <c r="G90" s="3" t="s">
        <v>148</v>
      </c>
      <c r="H90" s="3" t="s">
        <v>86</v>
      </c>
      <c r="I90" s="3" t="s">
        <v>14</v>
      </c>
      <c r="J90" s="3" t="s">
        <v>61</v>
      </c>
      <c r="K90" s="3" t="s">
        <v>131</v>
      </c>
      <c r="L90" s="3" t="s">
        <v>25</v>
      </c>
      <c r="M90">
        <v>1</v>
      </c>
    </row>
    <row r="91" spans="1:13" x14ac:dyDescent="0.25">
      <c r="A91" s="2">
        <v>46189</v>
      </c>
      <c r="B91" s="1" t="str">
        <f ca="1">IF(Información1[[#This Row],[Fecha]]='Ajuste de fechas'!$A$2,"Día actual","Día anterior")</f>
        <v>Día actual</v>
      </c>
      <c r="C91" s="3" t="s">
        <v>126</v>
      </c>
      <c r="D91" t="s">
        <v>127</v>
      </c>
      <c r="E91" s="3" t="s">
        <v>220</v>
      </c>
      <c r="F91" s="3" t="s">
        <v>103</v>
      </c>
      <c r="G91" s="3" t="s">
        <v>221</v>
      </c>
      <c r="H91" s="3" t="s">
        <v>86</v>
      </c>
      <c r="I91" s="3" t="s">
        <v>7</v>
      </c>
      <c r="J91" s="3" t="s">
        <v>61</v>
      </c>
      <c r="K91" s="3" t="s">
        <v>131</v>
      </c>
      <c r="L91" s="3" t="s">
        <v>24</v>
      </c>
      <c r="M91">
        <v>1</v>
      </c>
    </row>
    <row r="92" spans="1:13" x14ac:dyDescent="0.25">
      <c r="A92" s="2">
        <v>46189</v>
      </c>
      <c r="B92" s="1" t="str">
        <f ca="1">IF(Información1[[#This Row],[Fecha]]='Ajuste de fechas'!$A$2,"Día actual","Día anterior")</f>
        <v>Día actual</v>
      </c>
      <c r="C92" s="3" t="s">
        <v>126</v>
      </c>
      <c r="D92" t="s">
        <v>127</v>
      </c>
      <c r="E92" s="3" t="s">
        <v>222</v>
      </c>
      <c r="F92" s="3" t="s">
        <v>9</v>
      </c>
      <c r="G92" s="3" t="s">
        <v>44</v>
      </c>
      <c r="H92" s="3" t="s">
        <v>86</v>
      </c>
      <c r="I92" s="3" t="s">
        <v>7</v>
      </c>
      <c r="J92" s="3" t="s">
        <v>61</v>
      </c>
      <c r="K92" s="3" t="s">
        <v>131</v>
      </c>
      <c r="L92" s="3" t="s">
        <v>24</v>
      </c>
      <c r="M92">
        <v>1</v>
      </c>
    </row>
    <row r="93" spans="1:13" x14ac:dyDescent="0.25">
      <c r="A93" s="2">
        <v>46189</v>
      </c>
      <c r="B93" s="1" t="str">
        <f ca="1">IF(Información1[[#This Row],[Fecha]]='Ajuste de fechas'!$A$2,"Día actual","Día anterior")</f>
        <v>Día actual</v>
      </c>
      <c r="C93" s="3" t="s">
        <v>126</v>
      </c>
      <c r="D93" t="s">
        <v>127</v>
      </c>
      <c r="E93" s="3" t="s">
        <v>223</v>
      </c>
      <c r="F93" s="3" t="s">
        <v>15</v>
      </c>
      <c r="G93" s="3" t="s">
        <v>224</v>
      </c>
      <c r="H93" s="3" t="s">
        <v>86</v>
      </c>
      <c r="I93" s="3" t="s">
        <v>7</v>
      </c>
      <c r="J93" s="3" t="s">
        <v>61</v>
      </c>
      <c r="K93" s="3" t="s">
        <v>131</v>
      </c>
      <c r="L93" s="3" t="s">
        <v>26</v>
      </c>
      <c r="M93">
        <v>1</v>
      </c>
    </row>
    <row r="94" spans="1:13" x14ac:dyDescent="0.25">
      <c r="A94" s="2">
        <v>46189</v>
      </c>
      <c r="B94" s="1" t="str">
        <f ca="1">IF(Información1[[#This Row],[Fecha]]='Ajuste de fechas'!$A$2,"Día actual","Día anterior")</f>
        <v>Día actual</v>
      </c>
      <c r="C94" s="3" t="s">
        <v>126</v>
      </c>
      <c r="D94" t="s">
        <v>127</v>
      </c>
      <c r="E94" s="3" t="s">
        <v>225</v>
      </c>
      <c r="F94" s="3" t="s">
        <v>34</v>
      </c>
      <c r="G94" s="3" t="s">
        <v>226</v>
      </c>
      <c r="H94" s="3" t="s">
        <v>86</v>
      </c>
      <c r="I94" s="3" t="s">
        <v>7</v>
      </c>
      <c r="J94" s="3" t="s">
        <v>13</v>
      </c>
      <c r="K94" s="3" t="s">
        <v>131</v>
      </c>
      <c r="L94" s="3" t="s">
        <v>24</v>
      </c>
      <c r="M94">
        <v>1</v>
      </c>
    </row>
    <row r="95" spans="1:13" x14ac:dyDescent="0.25">
      <c r="A95" s="2">
        <v>46189</v>
      </c>
      <c r="B95" s="1" t="str">
        <f ca="1">IF(Información1[[#This Row],[Fecha]]='Ajuste de fechas'!$A$2,"Día actual","Día anterior")</f>
        <v>Día actual</v>
      </c>
      <c r="C95" s="3" t="s">
        <v>126</v>
      </c>
      <c r="D95" t="s">
        <v>127</v>
      </c>
      <c r="E95" s="3" t="s">
        <v>176</v>
      </c>
      <c r="F95" s="3" t="s">
        <v>15</v>
      </c>
      <c r="G95" s="3" t="s">
        <v>227</v>
      </c>
      <c r="H95" s="3" t="s">
        <v>86</v>
      </c>
      <c r="I95" s="3" t="s">
        <v>7</v>
      </c>
      <c r="J95" s="3" t="s">
        <v>61</v>
      </c>
      <c r="K95" s="3" t="s">
        <v>131</v>
      </c>
      <c r="L95" s="3" t="s">
        <v>26</v>
      </c>
      <c r="M95">
        <v>1</v>
      </c>
    </row>
    <row r="96" spans="1:13" x14ac:dyDescent="0.25">
      <c r="A96" s="2">
        <v>46189</v>
      </c>
      <c r="B96" s="1" t="str">
        <f ca="1">IF(Información1[[#This Row],[Fecha]]='Ajuste de fechas'!$A$2,"Día actual","Día anterior")</f>
        <v>Día actual</v>
      </c>
      <c r="C96" s="3" t="s">
        <v>52</v>
      </c>
      <c r="D96" t="s">
        <v>54</v>
      </c>
      <c r="E96" s="3" t="s">
        <v>228</v>
      </c>
      <c r="F96" s="3" t="s">
        <v>90</v>
      </c>
      <c r="G96" s="3" t="s">
        <v>229</v>
      </c>
      <c r="H96" s="3" t="s">
        <v>8</v>
      </c>
      <c r="I96" s="3" t="s">
        <v>7</v>
      </c>
      <c r="J96" s="3" t="s">
        <v>61</v>
      </c>
      <c r="K96" s="3" t="s">
        <v>53</v>
      </c>
      <c r="L96" s="3" t="s">
        <v>26</v>
      </c>
      <c r="M96">
        <v>1</v>
      </c>
    </row>
    <row r="97" spans="1:13" x14ac:dyDescent="0.25">
      <c r="A97" s="2">
        <v>46189</v>
      </c>
      <c r="B97" s="1" t="str">
        <f ca="1">IF(Información1[[#This Row],[Fecha]]='Ajuste de fechas'!$A$2,"Día actual","Día anterior")</f>
        <v>Día actual</v>
      </c>
      <c r="C97" s="3" t="s">
        <v>31</v>
      </c>
      <c r="D97" t="s">
        <v>36</v>
      </c>
      <c r="E97" s="3" t="s">
        <v>230</v>
      </c>
      <c r="F97" s="3" t="s">
        <v>11</v>
      </c>
      <c r="G97" s="3" t="s">
        <v>58</v>
      </c>
      <c r="H97" s="3" t="s">
        <v>8</v>
      </c>
      <c r="I97" s="3" t="s">
        <v>7</v>
      </c>
      <c r="J97" s="3" t="s">
        <v>62</v>
      </c>
      <c r="K97" s="3" t="s">
        <v>32</v>
      </c>
      <c r="L97" s="3" t="s">
        <v>24</v>
      </c>
      <c r="M97">
        <v>1</v>
      </c>
    </row>
    <row r="98" spans="1:13" x14ac:dyDescent="0.25">
      <c r="A98" s="2">
        <v>46189</v>
      </c>
      <c r="B98" s="1" t="str">
        <f ca="1">IF(Información1[[#This Row],[Fecha]]='Ajuste de fechas'!$A$2,"Día actual","Día anterior")</f>
        <v>Día actual</v>
      </c>
      <c r="C98" s="3" t="s">
        <v>31</v>
      </c>
      <c r="D98" t="s">
        <v>36</v>
      </c>
      <c r="E98" s="3" t="s">
        <v>231</v>
      </c>
      <c r="F98" s="3" t="s">
        <v>203</v>
      </c>
      <c r="G98" s="3" t="s">
        <v>232</v>
      </c>
      <c r="H98" s="3" t="s">
        <v>8</v>
      </c>
      <c r="I98" s="3" t="s">
        <v>7</v>
      </c>
      <c r="J98" s="3" t="s">
        <v>61</v>
      </c>
      <c r="K98" s="3" t="s">
        <v>191</v>
      </c>
      <c r="L98" s="3" t="s">
        <v>25</v>
      </c>
      <c r="M98">
        <v>1</v>
      </c>
    </row>
    <row r="99" spans="1:13" x14ac:dyDescent="0.25">
      <c r="A99" s="2">
        <v>46189</v>
      </c>
      <c r="B99" s="1" t="str">
        <f ca="1">IF(Información1[[#This Row],[Fecha]]='Ajuste de fechas'!$A$2,"Día actual","Día anterior")</f>
        <v>Día actual</v>
      </c>
      <c r="C99" s="3" t="s">
        <v>31</v>
      </c>
      <c r="D99" t="s">
        <v>36</v>
      </c>
      <c r="E99" s="3" t="s">
        <v>233</v>
      </c>
      <c r="F99" s="3" t="s">
        <v>203</v>
      </c>
      <c r="G99" s="3" t="s">
        <v>232</v>
      </c>
      <c r="H99" s="3" t="s">
        <v>8</v>
      </c>
      <c r="I99" s="3" t="s">
        <v>7</v>
      </c>
      <c r="J99" s="3" t="s">
        <v>61</v>
      </c>
      <c r="K99" s="3" t="s">
        <v>191</v>
      </c>
      <c r="L99" s="3" t="s">
        <v>25</v>
      </c>
      <c r="M99">
        <v>1</v>
      </c>
    </row>
    <row r="100" spans="1:13" x14ac:dyDescent="0.25">
      <c r="A100" s="2">
        <v>46189</v>
      </c>
      <c r="B100" s="1" t="str">
        <f ca="1">IF(Información1[[#This Row],[Fecha]]='Ajuste de fechas'!$A$2,"Día actual","Día anterior")</f>
        <v>Día actual</v>
      </c>
      <c r="C100" s="3" t="s">
        <v>38</v>
      </c>
      <c r="D100" t="s">
        <v>39</v>
      </c>
      <c r="E100" s="3" t="s">
        <v>234</v>
      </c>
      <c r="F100" s="3" t="s">
        <v>11</v>
      </c>
      <c r="G100" s="3" t="s">
        <v>208</v>
      </c>
      <c r="H100" s="3" t="s">
        <v>8</v>
      </c>
      <c r="I100" s="3" t="s">
        <v>7</v>
      </c>
      <c r="J100" s="3" t="s">
        <v>62</v>
      </c>
      <c r="K100" s="3" t="s">
        <v>40</v>
      </c>
      <c r="L100" s="3" t="s">
        <v>24</v>
      </c>
      <c r="M100">
        <v>1</v>
      </c>
    </row>
    <row r="101" spans="1:13" x14ac:dyDescent="0.25">
      <c r="A101" s="2">
        <v>46189</v>
      </c>
      <c r="B101" s="1" t="str">
        <f ca="1">IF(Información1[[#This Row],[Fecha]]='Ajuste de fechas'!$A$2,"Día actual","Día anterior")</f>
        <v>Día actual</v>
      </c>
      <c r="C101" s="3" t="s">
        <v>38</v>
      </c>
      <c r="D101" t="s">
        <v>39</v>
      </c>
      <c r="E101" s="3" t="s">
        <v>64</v>
      </c>
      <c r="F101" s="3" t="s">
        <v>11</v>
      </c>
      <c r="G101" s="3" t="s">
        <v>65</v>
      </c>
      <c r="H101" s="3" t="s">
        <v>8</v>
      </c>
      <c r="I101" s="3" t="s">
        <v>7</v>
      </c>
      <c r="J101" s="3" t="s">
        <v>62</v>
      </c>
      <c r="K101" s="3" t="s">
        <v>40</v>
      </c>
      <c r="L101" s="3" t="s">
        <v>24</v>
      </c>
      <c r="M101">
        <v>1</v>
      </c>
    </row>
    <row r="102" spans="1:13" x14ac:dyDescent="0.25">
      <c r="A102" s="2">
        <v>46189</v>
      </c>
      <c r="B102" s="1" t="str">
        <f ca="1">IF(Información1[[#This Row],[Fecha]]='Ajuste de fechas'!$A$2,"Día actual","Día anterior")</f>
        <v>Día actual</v>
      </c>
      <c r="C102" s="3" t="s">
        <v>38</v>
      </c>
      <c r="D102" t="s">
        <v>39</v>
      </c>
      <c r="E102" s="3" t="s">
        <v>235</v>
      </c>
      <c r="F102" s="3" t="s">
        <v>10</v>
      </c>
      <c r="G102" s="3" t="s">
        <v>236</v>
      </c>
      <c r="H102" s="3" t="s">
        <v>8</v>
      </c>
      <c r="I102" s="3" t="s">
        <v>14</v>
      </c>
      <c r="J102" s="3" t="s">
        <v>63</v>
      </c>
      <c r="K102" s="3" t="s">
        <v>40</v>
      </c>
      <c r="L102" s="3" t="s">
        <v>24</v>
      </c>
      <c r="M102">
        <v>1</v>
      </c>
    </row>
    <row r="103" spans="1:13" x14ac:dyDescent="0.25">
      <c r="A103" s="2">
        <v>46189</v>
      </c>
      <c r="B103" s="1" t="str">
        <f ca="1">IF(Información1[[#This Row],[Fecha]]='Ajuste de fechas'!$A$2,"Día actual","Día anterior")</f>
        <v>Día actual</v>
      </c>
      <c r="C103" s="3" t="s">
        <v>38</v>
      </c>
      <c r="D103" t="s">
        <v>39</v>
      </c>
      <c r="E103" s="3" t="s">
        <v>237</v>
      </c>
      <c r="F103" s="3" t="s">
        <v>15</v>
      </c>
      <c r="G103" s="3" t="s">
        <v>208</v>
      </c>
      <c r="H103" s="3" t="s">
        <v>8</v>
      </c>
      <c r="I103" s="3" t="s">
        <v>7</v>
      </c>
      <c r="J103" s="3" t="s">
        <v>61</v>
      </c>
      <c r="K103" s="3" t="s">
        <v>40</v>
      </c>
      <c r="L103" s="3" t="s">
        <v>25</v>
      </c>
      <c r="M103">
        <v>1</v>
      </c>
    </row>
    <row r="104" spans="1:13" x14ac:dyDescent="0.25">
      <c r="A104" s="2">
        <v>46189</v>
      </c>
      <c r="B104" s="1" t="str">
        <f ca="1">IF(Información1[[#This Row],[Fecha]]='Ajuste de fechas'!$A$2,"Día actual","Día anterior")</f>
        <v>Día actual</v>
      </c>
      <c r="C104" s="3" t="s">
        <v>38</v>
      </c>
      <c r="D104" t="s">
        <v>39</v>
      </c>
      <c r="E104" s="3" t="s">
        <v>238</v>
      </c>
      <c r="F104" s="3" t="s">
        <v>41</v>
      </c>
      <c r="G104" s="3" t="s">
        <v>49</v>
      </c>
      <c r="H104" s="3" t="s">
        <v>8</v>
      </c>
      <c r="I104" s="3" t="s">
        <v>7</v>
      </c>
      <c r="J104" s="3" t="s">
        <v>61</v>
      </c>
      <c r="K104" s="3" t="s">
        <v>40</v>
      </c>
      <c r="L104" s="3" t="s">
        <v>26</v>
      </c>
      <c r="M104">
        <v>1</v>
      </c>
    </row>
    <row r="105" spans="1:13" x14ac:dyDescent="0.25">
      <c r="A105" s="2">
        <v>46189</v>
      </c>
      <c r="B105" s="1" t="str">
        <f ca="1">IF(Información1[[#This Row],[Fecha]]='Ajuste de fechas'!$A$2,"Día actual","Día anterior")</f>
        <v>Día actual</v>
      </c>
      <c r="C105" s="3" t="s">
        <v>38</v>
      </c>
      <c r="D105" t="s">
        <v>39</v>
      </c>
      <c r="E105" s="3" t="s">
        <v>239</v>
      </c>
      <c r="F105" s="3" t="s">
        <v>45</v>
      </c>
      <c r="G105" s="3" t="s">
        <v>240</v>
      </c>
      <c r="H105" s="3" t="s">
        <v>8</v>
      </c>
      <c r="I105" s="3" t="s">
        <v>7</v>
      </c>
      <c r="J105" s="3" t="s">
        <v>61</v>
      </c>
      <c r="K105" s="3" t="s">
        <v>40</v>
      </c>
      <c r="L105" s="3" t="s">
        <v>26</v>
      </c>
      <c r="M105">
        <v>1</v>
      </c>
    </row>
    <row r="106" spans="1:13" x14ac:dyDescent="0.25">
      <c r="A106" s="2">
        <v>46189</v>
      </c>
      <c r="B106" s="1" t="str">
        <f ca="1">IF(Información1[[#This Row],[Fecha]]='Ajuste de fechas'!$A$2,"Día actual","Día anterior")</f>
        <v>Día actual</v>
      </c>
      <c r="C106" s="3" t="s">
        <v>38</v>
      </c>
      <c r="D106" t="s">
        <v>39</v>
      </c>
      <c r="E106" s="3" t="s">
        <v>241</v>
      </c>
      <c r="F106" s="3" t="s">
        <v>15</v>
      </c>
      <c r="G106" s="3" t="s">
        <v>140</v>
      </c>
      <c r="H106" s="3" t="s">
        <v>8</v>
      </c>
      <c r="I106" s="3" t="s">
        <v>7</v>
      </c>
      <c r="J106" s="3" t="s">
        <v>61</v>
      </c>
      <c r="K106" s="3" t="s">
        <v>40</v>
      </c>
      <c r="L106" s="3" t="s">
        <v>26</v>
      </c>
      <c r="M106">
        <v>1</v>
      </c>
    </row>
    <row r="107" spans="1:13" x14ac:dyDescent="0.25">
      <c r="A107" s="2">
        <v>46189</v>
      </c>
      <c r="B107" s="1" t="str">
        <f ca="1">IF(Información1[[#This Row],[Fecha]]='Ajuste de fechas'!$A$2,"Día actual","Día anterior")</f>
        <v>Día actual</v>
      </c>
      <c r="C107" s="3" t="s">
        <v>38</v>
      </c>
      <c r="D107" t="s">
        <v>39</v>
      </c>
      <c r="E107" s="3" t="s">
        <v>242</v>
      </c>
      <c r="F107" s="3" t="s">
        <v>12</v>
      </c>
      <c r="G107" s="3" t="s">
        <v>243</v>
      </c>
      <c r="H107" s="3" t="s">
        <v>8</v>
      </c>
      <c r="I107" s="3" t="s">
        <v>7</v>
      </c>
      <c r="J107" s="3" t="s">
        <v>61</v>
      </c>
      <c r="K107" s="3" t="s">
        <v>40</v>
      </c>
      <c r="L107" s="3" t="s">
        <v>26</v>
      </c>
      <c r="M107">
        <v>1</v>
      </c>
    </row>
    <row r="108" spans="1:13" x14ac:dyDescent="0.25">
      <c r="A108" s="2">
        <v>46189</v>
      </c>
      <c r="B108" s="1" t="str">
        <f ca="1">IF(Información1[[#This Row],[Fecha]]='Ajuste de fechas'!$A$2,"Día actual","Día anterior")</f>
        <v>Día actual</v>
      </c>
      <c r="C108" s="3" t="s">
        <v>16</v>
      </c>
      <c r="D108" t="s">
        <v>56</v>
      </c>
      <c r="E108" s="3" t="s">
        <v>244</v>
      </c>
      <c r="F108" s="3" t="s">
        <v>12</v>
      </c>
      <c r="G108" s="3" t="s">
        <v>69</v>
      </c>
      <c r="H108" s="3" t="s">
        <v>8</v>
      </c>
      <c r="I108" s="3" t="s">
        <v>7</v>
      </c>
      <c r="J108" s="3" t="s">
        <v>61</v>
      </c>
      <c r="K108" s="3" t="s">
        <v>55</v>
      </c>
      <c r="L108" s="3" t="s">
        <v>24</v>
      </c>
      <c r="M108">
        <v>1</v>
      </c>
    </row>
    <row r="109" spans="1:13" x14ac:dyDescent="0.25">
      <c r="A109" s="2">
        <v>46189</v>
      </c>
      <c r="B109" s="1" t="str">
        <f ca="1">IF(Información1[[#This Row],[Fecha]]='Ajuste de fechas'!$A$2,"Día actual","Día anterior")</f>
        <v>Día actual</v>
      </c>
      <c r="C109" s="3" t="s">
        <v>16</v>
      </c>
      <c r="D109" t="s">
        <v>56</v>
      </c>
      <c r="E109" s="3" t="s">
        <v>245</v>
      </c>
      <c r="F109" s="3" t="s">
        <v>12</v>
      </c>
      <c r="G109" s="3" t="s">
        <v>243</v>
      </c>
      <c r="H109" s="3" t="s">
        <v>8</v>
      </c>
      <c r="I109" s="3" t="s">
        <v>7</v>
      </c>
      <c r="J109" s="3" t="s">
        <v>61</v>
      </c>
      <c r="K109" s="3" t="s">
        <v>55</v>
      </c>
      <c r="L109" s="3" t="s">
        <v>24</v>
      </c>
      <c r="M109">
        <v>1</v>
      </c>
    </row>
    <row r="110" spans="1:13" x14ac:dyDescent="0.25">
      <c r="A110" s="2">
        <v>46189</v>
      </c>
      <c r="B110" s="1" t="str">
        <f ca="1">IF(Información1[[#This Row],[Fecha]]='Ajuste de fechas'!$A$2,"Día actual","Día anterior")</f>
        <v>Día actual</v>
      </c>
      <c r="C110" s="3" t="s">
        <v>16</v>
      </c>
      <c r="D110" t="s">
        <v>56</v>
      </c>
      <c r="E110" s="3" t="s">
        <v>246</v>
      </c>
      <c r="F110" s="3" t="s">
        <v>9</v>
      </c>
      <c r="G110" s="3" t="s">
        <v>49</v>
      </c>
      <c r="H110" s="3" t="s">
        <v>8</v>
      </c>
      <c r="I110" s="3" t="s">
        <v>7</v>
      </c>
      <c r="J110" s="3" t="s">
        <v>61</v>
      </c>
      <c r="K110" s="3" t="s">
        <v>55</v>
      </c>
      <c r="L110" s="3" t="s">
        <v>24</v>
      </c>
      <c r="M110">
        <v>1</v>
      </c>
    </row>
    <row r="111" spans="1:13" x14ac:dyDescent="0.25">
      <c r="A111" s="2">
        <v>46189</v>
      </c>
      <c r="B111" s="1" t="str">
        <f ca="1">IF(Información1[[#This Row],[Fecha]]='Ajuste de fechas'!$A$2,"Día actual","Día anterior")</f>
        <v>Día actual</v>
      </c>
      <c r="C111" s="3" t="s">
        <v>16</v>
      </c>
      <c r="D111" t="s">
        <v>56</v>
      </c>
      <c r="E111" s="3" t="s">
        <v>247</v>
      </c>
      <c r="F111" s="3" t="s">
        <v>11</v>
      </c>
      <c r="G111" s="3" t="s">
        <v>59</v>
      </c>
      <c r="H111" s="3" t="s">
        <v>8</v>
      </c>
      <c r="I111" s="3" t="s">
        <v>7</v>
      </c>
      <c r="J111" s="3" t="s">
        <v>62</v>
      </c>
      <c r="K111" s="3" t="s">
        <v>55</v>
      </c>
      <c r="L111" s="3" t="s">
        <v>24</v>
      </c>
      <c r="M111">
        <v>1</v>
      </c>
    </row>
    <row r="112" spans="1:13" x14ac:dyDescent="0.25">
      <c r="A112" s="2">
        <v>46189</v>
      </c>
      <c r="B112" s="1" t="str">
        <f ca="1">IF(Información1[[#This Row],[Fecha]]='Ajuste de fechas'!$A$2,"Día actual","Día anterior")</f>
        <v>Día actual</v>
      </c>
      <c r="C112" s="3" t="s">
        <v>16</v>
      </c>
      <c r="D112" t="s">
        <v>56</v>
      </c>
      <c r="E112" s="3" t="s">
        <v>248</v>
      </c>
      <c r="F112" s="3" t="s">
        <v>81</v>
      </c>
      <c r="G112" s="3" t="s">
        <v>164</v>
      </c>
      <c r="H112" s="3" t="s">
        <v>8</v>
      </c>
      <c r="I112" s="3" t="s">
        <v>7</v>
      </c>
      <c r="J112" s="3" t="s">
        <v>61</v>
      </c>
      <c r="K112" s="3" t="s">
        <v>55</v>
      </c>
      <c r="L112" s="3" t="s">
        <v>24</v>
      </c>
      <c r="M112">
        <v>1</v>
      </c>
    </row>
    <row r="113" spans="1:13" x14ac:dyDescent="0.25">
      <c r="A113" s="2">
        <v>46189</v>
      </c>
      <c r="B113" s="1" t="str">
        <f ca="1">IF(Información1[[#This Row],[Fecha]]='Ajuste de fechas'!$A$2,"Día actual","Día anterior")</f>
        <v>Día actual</v>
      </c>
      <c r="C113" s="3" t="s">
        <v>16</v>
      </c>
      <c r="D113" t="s">
        <v>56</v>
      </c>
      <c r="E113" s="3" t="s">
        <v>249</v>
      </c>
      <c r="F113" s="3" t="s">
        <v>10</v>
      </c>
      <c r="G113" s="3" t="s">
        <v>188</v>
      </c>
      <c r="H113" s="3" t="s">
        <v>8</v>
      </c>
      <c r="I113" s="3" t="s">
        <v>14</v>
      </c>
      <c r="J113" s="3" t="s">
        <v>63</v>
      </c>
      <c r="K113" s="3" t="s">
        <v>55</v>
      </c>
      <c r="L113" s="3" t="s">
        <v>24</v>
      </c>
      <c r="M113">
        <v>1</v>
      </c>
    </row>
    <row r="114" spans="1:13" x14ac:dyDescent="0.25">
      <c r="A114" s="2">
        <v>46189</v>
      </c>
      <c r="B114" s="1" t="str">
        <f ca="1">IF(Información1[[#This Row],[Fecha]]='Ajuste de fechas'!$A$2,"Día actual","Día anterior")</f>
        <v>Día actual</v>
      </c>
      <c r="C114" s="3" t="s">
        <v>16</v>
      </c>
      <c r="D114" t="s">
        <v>56</v>
      </c>
      <c r="E114" s="3" t="s">
        <v>250</v>
      </c>
      <c r="F114" s="3" t="s">
        <v>15</v>
      </c>
      <c r="G114" s="3" t="s">
        <v>140</v>
      </c>
      <c r="H114" s="3" t="s">
        <v>8</v>
      </c>
      <c r="I114" s="3" t="s">
        <v>7</v>
      </c>
      <c r="J114" s="3" t="s">
        <v>61</v>
      </c>
      <c r="K114" s="3" t="s">
        <v>55</v>
      </c>
      <c r="L114" s="3" t="s">
        <v>24</v>
      </c>
      <c r="M114">
        <v>1</v>
      </c>
    </row>
    <row r="115" spans="1:13" x14ac:dyDescent="0.25">
      <c r="A115" s="2">
        <v>46189</v>
      </c>
      <c r="B115" s="1" t="str">
        <f ca="1">IF(Información1[[#This Row],[Fecha]]='Ajuste de fechas'!$A$2,"Día actual","Día anterior")</f>
        <v>Día actual</v>
      </c>
      <c r="C115" s="3" t="s">
        <v>16</v>
      </c>
      <c r="D115" t="s">
        <v>56</v>
      </c>
      <c r="E115" s="3" t="s">
        <v>251</v>
      </c>
      <c r="F115" s="3" t="s">
        <v>15</v>
      </c>
      <c r="G115" s="3" t="s">
        <v>224</v>
      </c>
      <c r="H115" s="3" t="s">
        <v>8</v>
      </c>
      <c r="I115" s="3" t="s">
        <v>7</v>
      </c>
      <c r="J115" s="3" t="s">
        <v>61</v>
      </c>
      <c r="K115" s="3" t="s">
        <v>55</v>
      </c>
      <c r="L115" s="3" t="s">
        <v>24</v>
      </c>
      <c r="M115">
        <v>1</v>
      </c>
    </row>
    <row r="116" spans="1:13" x14ac:dyDescent="0.25">
      <c r="A116" s="2">
        <v>46189</v>
      </c>
      <c r="B116" s="1" t="str">
        <f ca="1">IF(Información1[[#This Row],[Fecha]]='Ajuste de fechas'!$A$2,"Día actual","Día anterior")</f>
        <v>Día actual</v>
      </c>
      <c r="C116" s="3" t="s">
        <v>16</v>
      </c>
      <c r="D116" t="s">
        <v>56</v>
      </c>
      <c r="E116" s="3" t="s">
        <v>252</v>
      </c>
      <c r="F116" s="3" t="s">
        <v>15</v>
      </c>
      <c r="G116" s="3" t="s">
        <v>253</v>
      </c>
      <c r="H116" s="3" t="s">
        <v>8</v>
      </c>
      <c r="I116" s="3" t="s">
        <v>7</v>
      </c>
      <c r="J116" s="3" t="s">
        <v>61</v>
      </c>
      <c r="K116" s="3" t="s">
        <v>55</v>
      </c>
      <c r="L116" s="3" t="s">
        <v>24</v>
      </c>
      <c r="M116">
        <v>1</v>
      </c>
    </row>
    <row r="117" spans="1:13" x14ac:dyDescent="0.25">
      <c r="A117" s="2">
        <v>46189</v>
      </c>
      <c r="B117" s="1" t="str">
        <f ca="1">IF(Información1[[#This Row],[Fecha]]='Ajuste de fechas'!$A$2,"Día actual","Día anterior")</f>
        <v>Día actual</v>
      </c>
      <c r="C117" s="3" t="s">
        <v>16</v>
      </c>
      <c r="D117" t="s">
        <v>56</v>
      </c>
      <c r="E117" s="3" t="s">
        <v>254</v>
      </c>
      <c r="F117" s="3" t="s">
        <v>15</v>
      </c>
      <c r="G117" s="3" t="s">
        <v>208</v>
      </c>
      <c r="H117" s="3" t="s">
        <v>8</v>
      </c>
      <c r="I117" s="3" t="s">
        <v>7</v>
      </c>
      <c r="J117" s="3" t="s">
        <v>61</v>
      </c>
      <c r="K117" s="3" t="s">
        <v>55</v>
      </c>
      <c r="L117" s="3" t="s">
        <v>24</v>
      </c>
      <c r="M117">
        <v>1</v>
      </c>
    </row>
    <row r="118" spans="1:13" x14ac:dyDescent="0.25">
      <c r="A118" s="2">
        <v>46189</v>
      </c>
      <c r="B118" s="1" t="str">
        <f ca="1">IF(Información1[[#This Row],[Fecha]]='Ajuste de fechas'!$A$2,"Día actual","Día anterior")</f>
        <v>Día actual</v>
      </c>
      <c r="C118" s="3" t="s">
        <v>16</v>
      </c>
      <c r="D118" t="s">
        <v>56</v>
      </c>
      <c r="E118" s="3" t="s">
        <v>255</v>
      </c>
      <c r="F118" s="3" t="s">
        <v>11</v>
      </c>
      <c r="G118" s="3" t="s">
        <v>256</v>
      </c>
      <c r="H118" s="3" t="s">
        <v>8</v>
      </c>
      <c r="I118" s="3" t="s">
        <v>14</v>
      </c>
      <c r="J118" s="3" t="s">
        <v>62</v>
      </c>
      <c r="K118" s="3" t="s">
        <v>55</v>
      </c>
      <c r="L118" s="3" t="s">
        <v>24</v>
      </c>
      <c r="M118">
        <v>1</v>
      </c>
    </row>
    <row r="119" spans="1:13" x14ac:dyDescent="0.25">
      <c r="A119" s="2">
        <v>46189</v>
      </c>
      <c r="B119" s="1" t="str">
        <f ca="1">IF(Información1[[#This Row],[Fecha]]='Ajuste de fechas'!$A$2,"Día actual","Día anterior")</f>
        <v>Día actual</v>
      </c>
      <c r="C119" s="3" t="s">
        <v>31</v>
      </c>
      <c r="D119" t="s">
        <v>33</v>
      </c>
      <c r="E119" s="3" t="s">
        <v>257</v>
      </c>
      <c r="F119" s="3" t="s">
        <v>10</v>
      </c>
      <c r="G119" s="3" t="s">
        <v>185</v>
      </c>
      <c r="H119" s="3" t="s">
        <v>8</v>
      </c>
      <c r="I119" s="3" t="s">
        <v>7</v>
      </c>
      <c r="J119" s="3" t="s">
        <v>63</v>
      </c>
      <c r="K119" s="3" t="s">
        <v>32</v>
      </c>
      <c r="L119" s="3" t="s">
        <v>24</v>
      </c>
      <c r="M119">
        <v>1</v>
      </c>
    </row>
    <row r="120" spans="1:13" x14ac:dyDescent="0.25">
      <c r="A120" s="2">
        <v>46189</v>
      </c>
      <c r="B120" s="1" t="str">
        <f ca="1">IF(Información1[[#This Row],[Fecha]]='Ajuste de fechas'!$A$2,"Día actual","Día anterior")</f>
        <v>Día actual</v>
      </c>
      <c r="C120" s="3" t="s">
        <v>31</v>
      </c>
      <c r="D120" t="s">
        <v>33</v>
      </c>
      <c r="E120" s="3" t="s">
        <v>239</v>
      </c>
      <c r="F120" s="3" t="s">
        <v>45</v>
      </c>
      <c r="G120" s="3" t="s">
        <v>240</v>
      </c>
      <c r="H120" s="3" t="s">
        <v>8</v>
      </c>
      <c r="I120" s="3" t="s">
        <v>7</v>
      </c>
      <c r="J120" s="3" t="s">
        <v>61</v>
      </c>
      <c r="K120" s="3" t="s">
        <v>30</v>
      </c>
      <c r="L120" s="3" t="s">
        <v>26</v>
      </c>
      <c r="M120">
        <v>1</v>
      </c>
    </row>
    <row r="121" spans="1:13" x14ac:dyDescent="0.25">
      <c r="A121" s="2">
        <v>46189</v>
      </c>
      <c r="B121" s="1" t="str">
        <f ca="1">IF(Información1[[#This Row],[Fecha]]='Ajuste de fechas'!$A$2,"Día actual","Día anterior")</f>
        <v>Día actual</v>
      </c>
      <c r="C121" s="3" t="s">
        <v>31</v>
      </c>
      <c r="D121" t="s">
        <v>33</v>
      </c>
      <c r="E121" s="3" t="s">
        <v>258</v>
      </c>
      <c r="F121" s="3" t="s">
        <v>81</v>
      </c>
      <c r="G121" s="3" t="s">
        <v>140</v>
      </c>
      <c r="H121" s="3" t="s">
        <v>8</v>
      </c>
      <c r="I121" s="3" t="s">
        <v>14</v>
      </c>
      <c r="J121" s="3" t="s">
        <v>61</v>
      </c>
      <c r="K121" s="3" t="s">
        <v>191</v>
      </c>
      <c r="L121" s="3" t="s">
        <v>25</v>
      </c>
      <c r="M121">
        <v>1</v>
      </c>
    </row>
    <row r="122" spans="1:13" x14ac:dyDescent="0.25">
      <c r="A122" s="2">
        <v>46189</v>
      </c>
      <c r="B122" s="1" t="str">
        <f ca="1">IF(Información1[[#This Row],[Fecha]]='Ajuste de fechas'!$A$2,"Día actual","Día anterior")</f>
        <v>Día actual</v>
      </c>
      <c r="C122" s="3" t="s">
        <v>31</v>
      </c>
      <c r="D122" t="s">
        <v>33</v>
      </c>
      <c r="E122" s="3" t="s">
        <v>259</v>
      </c>
      <c r="F122" s="3" t="s">
        <v>81</v>
      </c>
      <c r="G122" s="3" t="s">
        <v>140</v>
      </c>
      <c r="H122" s="3" t="s">
        <v>8</v>
      </c>
      <c r="I122" s="3" t="s">
        <v>7</v>
      </c>
      <c r="J122" s="3" t="s">
        <v>61</v>
      </c>
      <c r="K122" s="3" t="s">
        <v>30</v>
      </c>
      <c r="L122" s="3" t="s">
        <v>25</v>
      </c>
      <c r="M122">
        <v>1</v>
      </c>
    </row>
    <row r="123" spans="1:13" x14ac:dyDescent="0.25">
      <c r="A123" s="2">
        <v>46189</v>
      </c>
      <c r="B123" s="1" t="str">
        <f ca="1">IF(Información1[[#This Row],[Fecha]]='Ajuste de fechas'!$A$2,"Día actual","Día anterior")</f>
        <v>Día actual</v>
      </c>
      <c r="C123" s="3" t="s">
        <v>31</v>
      </c>
      <c r="D123" t="s">
        <v>33</v>
      </c>
      <c r="E123" s="3" t="s">
        <v>260</v>
      </c>
      <c r="F123" s="3" t="s">
        <v>12</v>
      </c>
      <c r="G123" s="3" t="s">
        <v>69</v>
      </c>
      <c r="H123" s="3" t="s">
        <v>8</v>
      </c>
      <c r="I123" s="3" t="s">
        <v>7</v>
      </c>
      <c r="J123" s="3" t="s">
        <v>61</v>
      </c>
      <c r="K123" s="3" t="s">
        <v>32</v>
      </c>
      <c r="L123" s="3" t="s">
        <v>24</v>
      </c>
      <c r="M123">
        <v>1</v>
      </c>
    </row>
    <row r="124" spans="1:13" x14ac:dyDescent="0.25">
      <c r="A124" s="2">
        <v>46189</v>
      </c>
      <c r="B124" s="1" t="str">
        <f ca="1">IF(Información1[[#This Row],[Fecha]]='Ajuste de fechas'!$A$2,"Día actual","Día anterior")</f>
        <v>Día actual</v>
      </c>
      <c r="C124" s="3" t="s">
        <v>31</v>
      </c>
      <c r="D124" t="s">
        <v>33</v>
      </c>
      <c r="E124" s="3" t="s">
        <v>261</v>
      </c>
      <c r="F124" s="3" t="s">
        <v>262</v>
      </c>
      <c r="G124" s="3" t="s">
        <v>263</v>
      </c>
      <c r="H124" s="3" t="s">
        <v>8</v>
      </c>
      <c r="I124" s="3" t="s">
        <v>7</v>
      </c>
      <c r="J124" s="3" t="s">
        <v>61</v>
      </c>
      <c r="K124" s="3" t="s">
        <v>30</v>
      </c>
      <c r="L124" s="3" t="s">
        <v>26</v>
      </c>
      <c r="M124">
        <v>1</v>
      </c>
    </row>
    <row r="125" spans="1:13" x14ac:dyDescent="0.25">
      <c r="A125" s="2">
        <v>46189</v>
      </c>
      <c r="B125" s="1" t="str">
        <f ca="1">IF(Información1[[#This Row],[Fecha]]='Ajuste de fechas'!$A$2,"Día actual","Día anterior")</f>
        <v>Día actual</v>
      </c>
      <c r="C125" s="3" t="s">
        <v>31</v>
      </c>
      <c r="D125" t="s">
        <v>33</v>
      </c>
      <c r="E125" s="3" t="s">
        <v>241</v>
      </c>
      <c r="F125" s="3" t="s">
        <v>15</v>
      </c>
      <c r="G125" s="3" t="s">
        <v>140</v>
      </c>
      <c r="H125" s="3" t="s">
        <v>8</v>
      </c>
      <c r="I125" s="3" t="s">
        <v>7</v>
      </c>
      <c r="J125" s="3" t="s">
        <v>61</v>
      </c>
      <c r="K125" s="3" t="s">
        <v>30</v>
      </c>
      <c r="L125" s="3" t="s">
        <v>26</v>
      </c>
      <c r="M125">
        <v>1</v>
      </c>
    </row>
    <row r="126" spans="1:13" x14ac:dyDescent="0.25">
      <c r="A126" s="2">
        <v>46189</v>
      </c>
      <c r="B126" s="1" t="str">
        <f ca="1">IF(Información1[[#This Row],[Fecha]]='Ajuste de fechas'!$A$2,"Día actual","Día anterior")</f>
        <v>Día actual</v>
      </c>
      <c r="C126" s="3" t="s">
        <v>31</v>
      </c>
      <c r="D126" t="s">
        <v>33</v>
      </c>
      <c r="E126" s="3" t="s">
        <v>264</v>
      </c>
      <c r="F126" s="3" t="s">
        <v>12</v>
      </c>
      <c r="G126" s="3" t="s">
        <v>243</v>
      </c>
      <c r="H126" s="3" t="s">
        <v>8</v>
      </c>
      <c r="I126" s="3" t="s">
        <v>7</v>
      </c>
      <c r="J126" s="3" t="s">
        <v>61</v>
      </c>
      <c r="K126" s="3" t="s">
        <v>30</v>
      </c>
      <c r="L126" s="3" t="s">
        <v>26</v>
      </c>
      <c r="M126">
        <v>1</v>
      </c>
    </row>
    <row r="127" spans="1:13" x14ac:dyDescent="0.25">
      <c r="A127" s="2">
        <v>46189</v>
      </c>
      <c r="B127" s="1" t="str">
        <f ca="1">IF(Información1[[#This Row],[Fecha]]='Ajuste de fechas'!$A$2,"Día actual","Día anterior")</f>
        <v>Día actual</v>
      </c>
      <c r="C127" s="3" t="s">
        <v>31</v>
      </c>
      <c r="D127" t="s">
        <v>33</v>
      </c>
      <c r="E127" s="3" t="s">
        <v>242</v>
      </c>
      <c r="F127" s="3" t="s">
        <v>15</v>
      </c>
      <c r="G127" s="3" t="s">
        <v>224</v>
      </c>
      <c r="H127" s="3" t="s">
        <v>8</v>
      </c>
      <c r="I127" s="3" t="s">
        <v>7</v>
      </c>
      <c r="J127" s="3" t="s">
        <v>61</v>
      </c>
      <c r="K127" s="3" t="s">
        <v>30</v>
      </c>
      <c r="L127" s="3" t="s">
        <v>26</v>
      </c>
      <c r="M12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46189</v>
      </c>
      <c r="B2" s="2">
        <f ca="1">A2-1</f>
        <v>46188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2026-06-16T22:36:43Z</dcterms:modified>
</cp:coreProperties>
</file>