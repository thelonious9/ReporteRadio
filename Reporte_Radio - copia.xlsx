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EA9234B-6EB4-4936-82E8-8D67E249B36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167" i="2"/>
  <c r="B169" i="2"/>
  <c r="B172" i="2"/>
  <c r="B175" i="2"/>
  <c r="B178" i="2"/>
  <c r="B181" i="2"/>
  <c r="B184" i="2"/>
  <c r="B188" i="2"/>
  <c r="B190" i="2"/>
  <c r="B193" i="2"/>
  <c r="B194" i="2"/>
  <c r="B197" i="2"/>
  <c r="B201" i="2"/>
  <c r="B204" i="2"/>
  <c r="B207" i="2"/>
  <c r="B209" i="2"/>
  <c r="B211" i="2"/>
  <c r="B214"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62" i="2"/>
  <c r="B164" i="2"/>
  <c r="B166" i="2"/>
  <c r="B170" i="2"/>
  <c r="B174" i="2"/>
  <c r="B177" i="2"/>
  <c r="B180" i="2"/>
  <c r="B183" i="2"/>
  <c r="B187" i="2"/>
  <c r="B191" i="2"/>
  <c r="B196" i="2"/>
  <c r="B199" i="2"/>
  <c r="B202" i="2"/>
  <c r="B205" i="2"/>
  <c r="B208" i="2"/>
  <c r="B212" i="2"/>
  <c r="B216"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3" i="2"/>
  <c r="B165" i="2"/>
  <c r="B168" i="2"/>
  <c r="B171" i="2"/>
  <c r="B173" i="2"/>
  <c r="B176" i="2"/>
  <c r="B179" i="2"/>
  <c r="B182" i="2"/>
  <c r="B185" i="2"/>
  <c r="B186" i="2"/>
  <c r="B189" i="2"/>
  <c r="B192" i="2"/>
  <c r="B195" i="2"/>
  <c r="B198" i="2"/>
  <c r="B200" i="2"/>
  <c r="B203" i="2"/>
  <c r="B206" i="2"/>
  <c r="B210" i="2"/>
  <c r="B213" i="2"/>
  <c r="B21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<sst xmlns="http://schemas.openxmlformats.org/spreadsheetml/2006/main" count="2165" uniqueCount="372">
  <si>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</si>
  <si>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</si>
  <si>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</si>
  <si>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</si>
  <si>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</si>
  <si>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</si>
  <si>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</si>
  <si>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</si>
  <si>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</si>
  <si>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</si>
  <si>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</si>
  <si>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</si>
  <si>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</si>
  <si>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</si>
  <si>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</si>
  <si>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</si>
  <si>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</si>
  <si>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</si>
  <si>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</si>
  <si>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</si>
  <si>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</si>
  <si>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</si>
  <si>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</si>
  <si>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</si>
  <si>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</si>
  <si>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</si>
  <si>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</si>
  <si>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</si>
  <si>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</si>
  <si>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</si>
  <si>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</si>
  <si>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Alerta Meteorológica</t>
  </si>
  <si>
    <t>La Poderosa Tuxpan 93.1 FM</t>
  </si>
  <si>
    <t>NN Nuestras Noticias Zona Norte</t>
  </si>
  <si>
    <t>Liz Argüelles</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</si>
  <si>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</si>
  <si>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</si>
  <si>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</si>
  <si>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</si>
  <si>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</si>
  <si>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</si>
  <si>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</si>
  <si>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</si>
  <si>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</si>
  <si>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</si>
  <si>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</si>
  <si>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</si>
  <si>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</si>
  <si>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</si>
  <si>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</si>
  <si>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</si>
  <si>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Combate a la delincuencia</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</si>
  <si>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</si>
  <si>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</si>
  <si>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</si>
  <si>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</si>
  <si>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</si>
  <si>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</si>
  <si>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</si>
  <si>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</si>
  <si>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</si>
  <si>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</si>
  <si>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</si>
  <si>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</si>
  <si>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</si>
  <si>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</si>
  <si>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Enfoque Regional Meridiano</t>
  </si>
  <si>
    <t>Jesús González</t>
  </si>
  <si>
    <t>Turismo</t>
  </si>
  <si>
    <t>Mundial De Futbol</t>
  </si>
  <si>
    <t>Relleno Sanitario</t>
  </si>
  <si>
    <t>Inclusión</t>
  </si>
  <si>
    <t>Exigencia de obra</t>
  </si>
  <si>
    <t>Combate Al Huachicol</t>
  </si>
  <si>
    <t>Abasto De Agua</t>
  </si>
  <si>
    <t>Milton Cortés</t>
  </si>
  <si>
    <t>Enfoque Regional Matutino</t>
  </si>
  <si>
    <t>Rodolfo López</t>
  </si>
  <si>
    <t>Alteración tarifa de transporte</t>
  </si>
  <si>
    <t>Asistencia de parto</t>
  </si>
  <si>
    <t>DIFH</t>
  </si>
  <si>
    <t>Centros De Acopio</t>
  </si>
  <si>
    <t>Radio Lobo 96.7 FM</t>
  </si>
  <si>
    <t>Enlace Noticias</t>
  </si>
  <si>
    <t>Gina Lorenzo</t>
  </si>
  <si>
    <t>Gobierno</t>
  </si>
  <si>
    <t>Mesas de acercamiento</t>
  </si>
  <si>
    <t>Muralismo</t>
  </si>
  <si>
    <t>Tauromaquia</t>
  </si>
  <si>
    <t>Atropellamiento</t>
  </si>
  <si>
    <t>Rehabilitación Vial</t>
  </si>
  <si>
    <t>Búsqueda de personas</t>
  </si>
  <si>
    <t>Una fuerte movilización de los cuerpos de emergencia se registró tras el reporte de un incendio en un deshuesadero de autos ubicado sobre la carretera Mixquiahuala-Tlahuelilpan. El siniestro fue detectado durante la madrugada de este martes por recorridos de vigilancia de la policía municipal, al observar que el fuego consumía varios vehículos almacenados en el inmueble. Elementos de Protección Civil y Bomberos de Mixquiahuala acudieron prontamente al sitio para controlar las llamas y evitar que se propagaran a áreas aledañas. Hasta el momento, las causas que originaron el incendio siguen siendo desconocidas y, afortunadamente, no se reportan personas lesionadas.</t>
  </si>
  <si>
    <t>Control de incendios</t>
  </si>
  <si>
    <t>Queja transporte público</t>
  </si>
  <si>
    <t>Prevención De Enfermedades</t>
  </si>
  <si>
    <t>Entrevista pautada</t>
  </si>
  <si>
    <t>TV Cable hidalguense Canal 6</t>
  </si>
  <si>
    <t>Contigo Noticias</t>
  </si>
  <si>
    <t>Juan Carlos Santamaria</t>
  </si>
  <si>
    <t>Contraloría</t>
  </si>
  <si>
    <t>STPSH</t>
  </si>
  <si>
    <t>Parque Fotovoltaico</t>
  </si>
  <si>
    <t>Atención A Manifestantes</t>
  </si>
  <si>
    <t>Radiodifusoras</t>
  </si>
  <si>
    <t>El Instituto Hidalguense de Educación (IHE) impartió el taller teórico-práctico «Sensorama» a docentes de los Centros de Atención Múltiple (CAM) y de la Unidad de Servicios de Apoyo a la Educación Regular (USAER) de la región Tula-Tepeji, con el propósito de fortalecer las estrategias pedagógicas para la atención de estudiantes con discapacidad y otras condiciones que requieren apoyos específicos.El secretario de Educación Pública de Hidalgo y titular del IHE, Natividad Castrejón Valdez, destacó que la formación continua del personal docente fortalece una educación con equidad e inclusión, al brindar herramientas que permitan responder de manera pertinente a las necesidades de las y los estudiantes y favorecer su desarrollo integral.La actividad fue organizada por la Dirección General de Fortalecimiento Educativo, a través de la Subdirección de Educación Artística y Servicios Culturales, como parte de las acciones que impulsa el Instituto para fortalecer la práctica docente, en concordancia con los principios de la Nueva Escuela Mexicana (NEM).Desde la disciplina de las artes visuales, el taller abordó temas relacionados con la creatividad como herramienta pedagógica, la percepción corporal y espacial, así como estrategias para la atención de estudiantes con síndrome de Down, trastorno del espectro autista (TEA) y otras condiciones que requieren apoyos educativos específicos.</t>
  </si>
  <si>
    <t>Radioescucha reporta falta de agua en colonia Prismas</t>
  </si>
  <si>
    <t>Radioescucha manda audio y vuelve a reportar un fuerte olor en el drenaje del canal pluvial que cruza Infonavit Santa Julia; pide apoyo de Caasim o de otra autoridad.</t>
  </si>
  <si>
    <t>Enlace clima Luis García de la Conagua en la Republica Mexicana e Hidalgo, zona huasteca máxima de 32 mínima de 19, para la Sierra 26 máxima mínima de 16, Altiplano máxima de 19 mínima de 8, para Pachuca y Tizayuca 21 mínima de 10, en la Zona Tepehua máxima de 26 mínima de 16, Valle de Tulancingo máxima de 20 mínima de 9 en el Valle del Mezquital máxima 25 mínimas de 11 , Huichapan y Tecozayutla máxima 23 y mínima de 11</t>
  </si>
  <si>
    <t>Presidente Municipal de Pachuca, Jorge Alberto Reyes, están arrancando el programa “Colonia x Colonia” es una estrategia para llevar servicios de gobierno municipal directamente a las colonias de Pachuca, y hoy arranca a las 11:00 a. m. en el quiosco en San Miguel El Cerezo.</t>
  </si>
  <si>
    <t>Automovilista atropella a cinco personas durante los festejos por el triunfo de México en la glorieta principal de Viñedos, municipio de Zempoala.El conductor fue retenido y agredido por varios ciudadanos.</t>
  </si>
  <si>
    <t>Radioescucha Alejandro Tovar, se comunica y reporta que se formó una grieta por la vuelta del río en la carretera Tula-Tepeji; conduzca con precaución.</t>
  </si>
  <si>
    <t>Auxilio vial</t>
  </si>
  <si>
    <t>Radioescucha Carmen Ávila, de aquí de Tula de Allende, quien nos reporta una grieta cerca de la gasolinera de la calle Lázaro Cárdenas; menciona que no hay una patrulla o alguien que pueda estar al pendiente abanderando la zona. Hace un llamado a las autoridades municipales para que atendan esta situación. Gracias a Carmen Ávila por el reporte, ahí queda el llamado para que en la Presidencia Municipal tomen nota.</t>
  </si>
  <si>
    <t>Alianza Icathi-Canacar impulsa la profesionalización en el sector de autotransporte AUDIO APOYO</t>
  </si>
  <si>
    <t>Capacitación Para El Trabajo</t>
  </si>
  <si>
    <t>Se instalaron Los centros de acopió permanecerán habilitados en distintos puntos de Pachuca, entre ellos las oficinas centrales del sistema DIF Hidalgo, el Hospital del Niño DIF en el centro de rehabilitación de Hidalgo, AUDIO VIDEO</t>
  </si>
  <si>
    <t>El gobernador Julio Menchaca convocó a la ciudadanía a sumarse a la campaña de ayuda humanitaria para apoyar a las familias afectadas por los sismos en Venezuela en los centros de acopio instalados por el gobierno del estado., AUDIO APOYO JMS</t>
  </si>
  <si>
    <t>La Secretaría de Seguridad Pública de Hidalgo detuvo en Tula de Allende a un presunto generador de violencia durante un operativo de inteligencia. La acción fue resultado de labores de investigación y del seguimiento realizado por el C5i. El aseguramiento ocurrió en la colonia El Carmen, donde policías estatales interceptaron una camioneta que circulaba a exceso de velocidad. Durante la inspección localizaron un arma corta calibre 9 milímetros con cartuchos útiles, además de 166 dosis de presunta cocaína y 150 dosis de marihuana. El detenido, la droga, el arma y la unidad quedaron a disposición del Ministerio Público para dar seguimiento a las investigaciones y definir su situación jurídica.</t>
  </si>
  <si>
    <t>SSPH captura a presunto generador de violencia vinculado a hechos de alto impacto</t>
  </si>
  <si>
    <t>PGJEH aseguran 59 mil 409 dosis de driga en Mineral de la Refroma;hay dos personas detenidas</t>
  </si>
  <si>
    <t>Gobierno de Hidalgo refrenda coordinación con la Guardia Nacional para fortalecer la paz y la seguridad, AUDIO APOYO</t>
  </si>
  <si>
    <t>Conmemoración Aniversario</t>
  </si>
  <si>
    <t>En otros temas, en el marco del séptimo aniversario de la Guardia Nacional, el gobernador de Hidalgo, Julio Menchaca Salazar, refrendó el compromiso de mantener una coordinación permanente con esta corporación y con las Fuerzas Armadas para fortalecer la seguridad y la paz en la entidad. Durante la ceremonia, el mandatario reconoció la labor de la Guardia Nacional y recordó su apoyo a la población durante las afectaciones provocadas por la vaguada monzónica de octubre del año pasado; además, destacó que participó en el proceso legislativo que dio origen a esta institución cuando presidía la Comisión de Justicia del Senado:“La Guardia Nacional ha tenido también un proceso de incorporación a las Fuerzas Armadas. Fuerzas Armadas que el estado de Hidalgo tiene en gran aprecio, con un gran reconocimiento, porque en momentos muy complicados para nuestro estado —en una lluvia torrencial, en la vaguada monzónica de octubre del año pasado— junto con el Ejército Mexicano, con la Fuerza Aérea, la Guardia Nacional y todas las instituciones federales acudieron en apoyo de la sociedad”. AUDIOS DE APOYO</t>
  </si>
  <si>
    <t>Gobierno de Hidalgo refrenda coordinación con la Guardia Nacional para fortalecer la paz y la seguridad</t>
  </si>
  <si>
    <t>El consumo de drogas como cristal, fentanilo y cocaína registra un incremento en Hidalgo, principalmente entre adolescentes y jóvenes, de acuerdo con especialistas y datos recientes sobre adicciones en la entidad. De hecho, platicando con algunas personas que se dedican a la rehabilitación en centros especializados y autorizados, han señalado que en al menos los últimos 10 años este tipo de adicciones ya se presentan en adolescentes de 12, 13 o hasta 14 años, y que son adicciones muy profundas, difíciles de atender por el nivel de dependencia y porque son menores de edad. Los estimulantes de tipo anfetamínico, como el cristal, se mantienen como las principales causas de ingreso a estos centros de rehabilitación, por lo que es necesario participar como sociedad para frenar el consumo entre los jóvenes.Y hay un tema que hay que reconocer, y usted lo sabe si es padre o madre de familia de algún adolescentes cada vez más recurrente escuchar casos de venta y distribución de sustancias en escuelas públicas y privadas; en secundarias, telesecundarias y educación básica, donde los mismos alumnos denuncian que en sus planteles ya se vende droga. La tendencia ha ido hacia el consumo de cristal y anfetaminas, además de la cocaína y pastillas de tipo anestésico. El cristal es lo que más vemos por su facilidad de acceso y su bajo precio económico. AUDIO APOYO</t>
  </si>
  <si>
    <t>Consumo De Drogas</t>
  </si>
  <si>
    <t>Vamos a hablar ahora de la presa Endhó, que presenta la mayor concentración de microplásticos detectada en la región y niveles prácticamente nulos de oxígeno, una condición que pone en riesgo los suelos agrícolas del Valle del Mezquital, donde sus aguas se utilizan para el riego de cultivos. Estos micro y nanoplásticos se conocen como contaminantes emergentes. Desde hace ya más de 20 años a nivel mundial se están haciendo estudios para detectar este tipo de componentes en los cuerpos de agua. Sabemos que la presa Endhó y la región de Tula sufren una contaminación importante. El investigador de la Escuela Superior de Tepeji del Río, de la Universidad Autónoma del Estado de Hidalgo (UAEH), Giovanni Enrique Bornacelli Camargo, encabeza un estudio sobre la calidad del agua en la zona Tula-Tepeji: En Endhó los niveles de contaminación son casi el doble de lo que hay en Requena y en el río Tepeji. Sorpresas, digamos, no es que sean muchas, porque es algo que uno espera ya por la situación ecológica que sabemos que hay alrededor de estos cuerpos de agua. Digamos que los niveles de contaminación sí deben de ser de los más altos a nivel mundial. Uno de los datos que tenemos es que uno de los cuerpos de agua más contaminados en el mundo está en China; nuestros análisis indican que estamos rebasando por un poco a ese cuerpo de agua. Finalmente, el especialista hizo un llamado enérgico para que las autoridades gubernamentales reconozcan el valor de los grupos científicos regionales y los integren de forma activa en el diseño de soluciones para las crisis ecológicas locales. El investigador expuso las limitaciones presupuestales y la falta de infraestructura avanzada que padecen los centros de la periferia, detallando que la carencia de laboratorios equipados en la zona los obliga constantemente a realizar trayectos de hasta tres horas hacia Pachuca, el Estado de México o la Ciudad de México con el único fin de validar sus resultados y calibrar sus muestras, una barrera logística que frena el avance de las investigaciones científicas que el estado de Hidalgo requiere con urgencia.</t>
  </si>
  <si>
    <t>Contaminación Tula</t>
  </si>
  <si>
    <t>Los casos de dengue en Hidalgo registran una disminución del 88.5 por ciento en comparación con el mismo periodo del año pasado, informó la Secretaría de Salud estatal. La titular de la dependencia, Vanessa Escalante Arroyo, señaló que al corte de la semana epidemiológica 23 de este 2026 se han confirmado únicamente cuatro casos y no se reportan defunciones, frente a los 35 contagios registrados en el mismo periodo de 2025. Destacó que este resultado obedece al fortalecimiento de las acciones de prevención con control larvario en más de 427 mil viviendas, la nebulización en más de 77 mil casas y la vigilancia permanente en municipios de mayor riesgo. Los casos confirmados se ubican en Huejutla, San Felipe Orizatlán y Yahualica. La Secretaría de Salud reiteró el llamado a la población a eliminar criaderos de mosquito mediante la estrategia “Lava, tapa, voltea y tira” para evitar nuevos contagios.</t>
  </si>
  <si>
    <t>SSH</t>
  </si>
  <si>
    <t>Dengue</t>
  </si>
  <si>
    <t>La Secretaría de Salud de Hidalgo (SSH), informó que al corte de la semana epidemiológica 23, la entidad registra cuatro casos confirmados de dengue y ninguna defunción, mientras que durante el mismo periodo de 2025 se notificaron 35, lo que representa una reducción del 88.5 por ciento.Puntualizó que los casos confirmados se concentran en la Jurisdicción Sanitaria de Huejutla, en los municipios de Huejutla, San Felipe Orizatlán y Yahualica, donde se mantienen acciones permanentes de vigilancia epidemiológica y control vectorial.Al respecto la titular de la dependencia, Vanesa Escalante detalló dentro de la estrategia, el fortalecimiento de acciones de control larvario en 427 mil 289 viviendas, con lo que se protegió a 838 mil 543 personas; además, se realizaron 55 mil 35 encuestas entomológicas y 37 mil 692 verificaciones para identificar oportunamente la presencia del mosquito transmisor y reforzar las medidas preventivas en las zonas de mayor riesgo.</t>
  </si>
  <si>
    <t>Radioescucha reporta fuga de agua en Campestre Villas del Álamo, lleva ya 3 dias , previamente ya se eporto con Caasim, pero aun no vienen arreglar</t>
  </si>
  <si>
    <t>Fuga De Agua</t>
  </si>
  <si>
    <t>Radioescucha reporta que nuevamente se rompio el drenaje en Plazuela Patoni</t>
  </si>
  <si>
    <t>Fuga De Drenaje</t>
  </si>
  <si>
    <t>Gabinete de Seguridas refuerza acciones contra el robo de hidrocarburo con destrucciónde túneles</t>
  </si>
  <si>
    <t>Huachitúnel</t>
  </si>
  <si>
    <t>Radioescucha reporta que el día de ayer por la tarde se solicitó el apoyo de una patrulla para ir a checar una camioneta muy sospechosa; los tripulantes estaban observando las casas y traían escaleras. Se realizaron 4 reportes y en más de 2 horas nunca se presentó ninguna unidad y, ya que entran a robar a las casas, siempre dicen que jamás se solicitó el apoyo. Esto en la colonia Piracantos, en calle Arrayán.</t>
  </si>
  <si>
    <t>Inatención</t>
  </si>
  <si>
    <t>El gobernador Julio Menchaca Salazar lamentó que la empresa Desarrollos Fotovoltaicos del México del Centro, desistiera del proyecto parque solar Tulancingo, que contemplaba la construcción de un complejo fotovoltaico en el municipio de Singuilucan y cuyo expediente fue archivado por la autoridad ambiental federal. AUDIO APOYO JMS</t>
  </si>
  <si>
    <t>Impulsa IHM estrategia regional para fortalecer la perspectiva de género municipios</t>
  </si>
  <si>
    <t>Perspectiva de género</t>
  </si>
  <si>
    <t>Despacho del Gobernador y Pemex rehabilitarán el bulevar Refinería en Tula, AUDIO APOYO</t>
  </si>
  <si>
    <t>Despacho</t>
  </si>
  <si>
    <t>Con una inversión cercana a los 13 millones de pesos, el gobierno de Hidalgo y Petróleos Mexicanos (Pemex) rehabilitarán el bulevar Refinería en Tula de Allende, una de las principales vialidades del municipio. El coordinador de Gestión y Vinculación de Proyectos Especiales de la Secretaría del Despacho, Fernando Alvera Juárez, informó que los trabajos contemplan el reencarpetamiento con alrededor de mil toneladas de asfalto y el uso de maquinaria donada por Pemex, como resultado de las gestiones encabezadas por el secretario Alejandro Velázquez Mendoza:Durante el anuncio, autoridades estatales y municipales destacaron que la obra mejorará la movilidad y beneficiará a miles de automovilistas que diariamente transitan por esta vía. Por su parte, representantes de Pemex señalaron que estas acciones forman parte del compromiso de la empresa con las comunidades donde mantienen operaciones, mientras que el alcalde Cristian Martínez Reséndiz reconoció el trabajo conjunto entre la paraestatal y el gobierno de Hidalgo para impulsar el desarrollo en la región. AUDIO DE APOYO</t>
  </si>
  <si>
    <t>Radioescucha Sr. Juan reporta que los semáforos de Prismas y Nuevo Hidalgo con dirección a Tulipanes, ya que no funcionan bien</t>
  </si>
  <si>
    <t>Semaforización</t>
  </si>
  <si>
    <t>El presidente municipal de Mineral de la Reforma, Eduardo Medécigo Rubio, encabezó el inicio de actividades del Aprendimóvil, una unidad itinerante que durante los próximos ocho meses recorrerá distintos puntos del municipio para acercar actividades educativas, culturales, deportivas y recreativas a la población.Acompañado por la presidenta honorífica del Patronato del Sistema DIF Municipal, Samantha Esparza Hernández, y por el coordinador de la Red de Ciudades del Aprendizaje de la Unesco en Latinoamérica, Luis González Arenal, el alcalde explicó que el vehículo visitará plazas públicas, parques, mercados, centros comunitarios y otros espacios para fomentar el aprendizaje en la vida cotidiana.Durante el arranque, realizado ante estudiantes de la primaria "Cuauhtémoc" de Pachuquilla, Medécigo destacó que su administración trabaja para construir un municipio con mejores oportunidades para las nuevas generaciones mediante estrategias que combinan el aprendizaje con el juego.</t>
  </si>
  <si>
    <t>Unidad Móvil</t>
  </si>
  <si>
    <t>La Secretaría de Salud en Hidalgo reforzó las acciones de prevención y vigilancia para reducir los casos de enfermedades diarreicas agudas en la entidad mediante campañas de higiene, capacitación al personal médico y operativos en zonas de mayor riesgo. La titular de la dependencia, Vanessa Escalante Arroyo, informó que las medidas incluyen promover el lavado frecuente de manos, el consumo de agua potable o hervida, la correcta preparación de alimentos y la detección oportuna de síntomas para evitar complicaciones. De acuerdo con el Sistema Nacional de Vigilancia Epidemiológica, hasta la semana 23 Hidalgo acumula 33,366 casos de enfermedades diarreicas agudas. Los municipios con mayor incidencia son Pachuca, Tulancingo de Bravo, Ixmiquilpan, Actopan y Tula de Allende. La dependencia exhortó a la población a mantenerse bien hidratada y acudir de inmediato a la unidad médica más cercana ante diarrea persistente, vómito, fiebre, sangre en las evacuaciones o signos de deshidratación.</t>
  </si>
  <si>
    <t>Vigilancia Sanitaria</t>
  </si>
  <si>
    <t>UTSH fortalece la formación clínica de estudiantes del área de la salud</t>
  </si>
  <si>
    <t>Vinculación Académica</t>
  </si>
  <si>
    <t>NQ 90.1 FM</t>
  </si>
  <si>
    <t>Enlace Hidalgo2</t>
  </si>
  <si>
    <t>El Servicio Meteorológico Nacional (SMN) pronosticó para este lunes 29 de junio una jornada marcada por lluvias intensas, tormentas eléctricas, posible caída de granizo y fuertes rachas de viento en gran parte del país, mientras que el calor extremo continuará afectando al noroeste y norte de México con temperaturas de hasta 45 grados Celsius. Las condiciones meteorológicas son provocadas por la interacción de canales de baja presión, una circulación ciclónica, una vaguada en niveles altos de la atmósfera, el ingreso de humedad del océano Pacífico y el Golfo de México, además del avance de la onda tropical número 13 frente al Pacífico sur mexicano. El pronóstico coloca a Guerrero como la entidad con las precipitaciones más severas del día, donde se esperan lluvias intensas de 75 a 150 milímetros, principalmente en la zona este del estado. Mientras tanto, Zacatecas, Aguascalientes, San Luis Potosí, Nayarit, Querétaro, Hidalgo, Puebla, Tlaxcala, Morelos, Ciudad de México, Tamaulipas, Veracruz y Chiapas registrarán lluvias fuertes.</t>
  </si>
  <si>
    <t>Jesús Riveros</t>
  </si>
  <si>
    <t>Habitantes de Jaltepec y colonias aledañas se manifestaron en la Presidencia Municipal de Tulancingo para exigir obras de pavimentación y servicios básicos. Tras no llegar a acuerdos con los secretarios del Ayuntamiento, los inconformes amenazaron con bloquear e impedir la realización de la Expo Feria de este año.</t>
  </si>
  <si>
    <t>Sin realizarse entrevista pautada con Jorge Valverde Islas, Auditor Superior del Estado, se anunció entrevista por parte de locutor Jesús Riveros, pero auditor no se comunicó.</t>
  </si>
  <si>
    <t>Cuenta pública</t>
  </si>
  <si>
    <t>Entrevista no cumplida</t>
  </si>
  <si>
    <t>Ke Buena 106.7 FM</t>
  </si>
  <si>
    <t>Noticias 106.7</t>
  </si>
  <si>
    <t>Durante la sesión de cabildo celebrada la tarde de este martes en el municipio de Progreso de Obregón, regidores de oposición exhibieron diversas deficiencias en el servicio municipal de recolección de basura, al señalar la falta de unidades, retrasos constantes en las rutas y la necesidad de fortalecer tanto la atención a la ciudadanía como el manejo de los residuos sólidos en el municipio. El tema surgió durante la discusión de diversos puntos relacionados con el sitio de aprovechamiento de residuos sólidos del municipio, donde los integrantes de la asamblea coincidieron en la necesidad de fortalecer el sistema de recolección. El regidor José Luis Hernández Uranga expuso que son constantes las quejas de ciudadanos porque los camiones recolectores no pasan conforme a los días establecidos e, incluso, hay colonias donde el servicio llega a retrasarse por semanas. Señaló que esta situación favorece la acumulación de residuos en la vía pública, con las consecuentes afectaciones sanitarias y ambientales, además de abrir la puerta a que recolectores particulares aprovechen la necesidad de la población para cobrar entre 50 y 60 pesos por llevarse los desechos. Por ello, propuso la adquisición de nuevas unidades para Servicios Públicos y el análisis de mecanismos para regular las tarifas que aplican los particulares, así como supervisar que los residuos realmente lleguen al sitio de disposición final.</t>
  </si>
  <si>
    <t>Recolección De Basura</t>
  </si>
  <si>
    <t>David Cárdenas</t>
  </si>
  <si>
    <t>El Colegio de Bachilleres del Estado de Hidalgo iniciará el próximo ciclo de graduaciones de la generación 2023 – 2026, donde aproximadamente 10 mil estudiantes recibirán la documentación con la cual acreditan la terminación de su formación académica de nivel Medio Superior dentro de esta institución educativa. Durante este periodo de graduaciones que comprenderá del 1 al 16 de julio el director general de este organismo Rubén López Valdez, mencionó que realizará una gira de trabajo por las cinco zonas que conforman el subsistema con el objetivo de estar presente en las ceremonias de graduación de diversos centros educativos. También instruyó a personal directivo para que hagan lo propio con el resto de planteles y CEMSaDs, a fin de cubrir la mayoría de eventos cívicos y acompañar a los futuros egresados durante el proceso de entrega recepción de documentos.</t>
  </si>
  <si>
    <t>Graduación</t>
  </si>
  <si>
    <t>Entrevista vía telefónica Jorge Valverde Islas, Auditor Superior del Estado - Habló sobre las observaciones realizadas durante la primera entrega de los Informes Individuales de Auditoría de la Cuenta Pública 2025 ante la Comisión Inspectora de la Auditoría Superior del Estado de Hidalgo. Informó que se concluyeron 85 auditorías, clasificadas en 39 financieras, 39 de cumplimiento, cuatro de inversiones físicas y tres al desempeño. Como resultado, se emitieron 443 recomendaciones y 202 pliegos de observaciones derivados de auditorías financieras, de cumplimiento e inversiones físicas, los cuales se encuentran pendientes de solventar. En este sentido el auditor indicó que las entidades fiscalizadas cuentan con un plazo de 30 días hábiles a partir de la notificación de su informe individual para presentar la documentación que acredite la solventación de las observaciones correspondientes. Destacó que uno de los principales problemas es que los encargados de la administración pública municipal no cuentan con los perfiles adecuados para la ejecución de recurso público, lo anterior, lo explicó, al informar que estas observaciones las ha detectado de manera personal al asistir directamente a los municipios, “Durante mi gestión he sido un auditor de territorio y no de escritorio”, concluyó.</t>
  </si>
  <si>
    <t>Se gradúa la 16.a generación de la Casa de la Mujer Hidalguense</t>
  </si>
  <si>
    <t>Luego del robo registrado la noche del pasado jueves en el parque acuático Dios Padre, en el municipio de Ixmiquilpan, autoridades estatales acordaron reforzar la seguridad en todo el corredor turístico de balnearios con el objetivo de brindar mayor protección tanto a trabajadores como a visitantes de cara a la próxima temporada vacacional de verano. De acuerdo a información proporcionada por socios del parque acuático, el acuerdo se alcanzó tras la manifestación realizada este lunes en la ciudad de Pachuca, en donde exigieron mayor seguridad y el esclarecimiento de los hechos. Los manifestantes fueron atendidos por el titular de la Procuraduría General de Justicia del Estado de Hidalgo (PGJEH), Francisco Fernández Hasbun, con quien sostuvieron una mesa de diálogo. Como resultado de la misma, se determinó fortalecer la presencia de la policía estatal en los balnearios y parques acuáticos, así como en todo el corredor turístico de la región. Además, de manera paralela, los propios socios y representantes administrativos del parque acuático Dios Padre implementarán medidas internas para reforzar la vigilancia y garantizar la seguridad de los trabajadores y de los bañistas. Cabe recordar que fue la noche del jueves 25 de junio cuando el tesorero del parque acuático Dios Padre fue interceptado por sujetos desconocidos, quienes presuntamente lo privaron de la libertad y lo obligaron a ingresar a las instalaciones del balneario para abrir la caja fuerte y entregar el dinero en efectivo. Tras apoderarse del recurso, los responsables huyeron del lugar.</t>
  </si>
  <si>
    <t>Asalto a balneario</t>
  </si>
  <si>
    <t>SSPH captura a presunto generador de violencia vinculado a hechos de alto impacto.</t>
  </si>
  <si>
    <t>Asegura PGJEH 59 mil 409 dosis de drogas, en Mineral de la Reforma; hay dos personas detenidas.</t>
  </si>
  <si>
    <t>Fortalece Hidalgo acciones contra el dengue y reduce 88.5 % los casos</t>
  </si>
  <si>
    <t>Hidalgo plantea plan prospectivo rumbo a 2040</t>
  </si>
  <si>
    <t>Plan 2040</t>
  </si>
  <si>
    <t>Despacho del Gobernador y Pemex rehabilitarán el bulevar Refinería en Tula</t>
  </si>
  <si>
    <t>Enlace Hidalgo1</t>
  </si>
  <si>
    <t>El Gobierno Municipal de Tulancingo firmó un convenio de colaboración con el Instituto Catastral del Estado de Hidalgo para impulsar la modernización del sistema catastral del municipio. La firma del acuerdo fue encabezada por la presidenta municipal, Lorena García Cázares, y el director general del Instituto Catastral del Estado de Hidalgo, Armando Cano Moreno, quien destacó que la coordinación entre los distintos órdenes de gobierno es fundamental para consolidar un catastro moderno, eficiente y confiable, que responda a las necesidades de la ciudadanía. El convenio tendrá una vigencia de un año, con posibilidad de renovación en julio de 2027, y permitirá fortalecer la colaboración administrativa entre ambas instituciones mediante el intercambio e integración de información territorial con fines multifinalitarios. Estas herramientas facilitarán una mejor planeación urbana, el ordenamiento territorial y una toma de decisiones más eficiente en beneficio de la población.</t>
  </si>
  <si>
    <t>Firma De Convenio</t>
  </si>
  <si>
    <t>Durante los festejos por el triunfo de la Selección Mexicana, el conductor de una camioneta Toyota negra embistió a un grupo de aficionados en la glorieta del fraccionamiento Los Viñedos, en Zempoala, Hidalgo. El incidente dejó un saldo preliminar de cinco personas lesionadas y provocó la furia de la multitud.</t>
  </si>
  <si>
    <t>Ciudadanos de Tulancingo se manifiestan en la presidencia por falta de obras, puden dialogar con la presidenta pero son atendidos por el Secretario municipal. La manifestación se lleva en un marco Pacífico pero con hartazgo por la falta de obras y la poca claridad de las autoridades.</t>
  </si>
  <si>
    <t>Entrevista vía telefónica Luis García Lechuga, director del Área Electromecánica Industrial de la Universidad Tecnológica de Tulancingo - Habló sobre la nueva oferta académica en la licenciatura en Ingeniería Ambiental y Sustentabilidad, carrera está diseñada para formar profesionistas capaces de desarrollar soluciones ecológicas y proyectos sostenibles que respondan a los retos ambientales actuales.</t>
  </si>
  <si>
    <t>Oferta educativa</t>
  </si>
  <si>
    <t>SSPH ejecuta cateos simultáneos en Pachuca y Mineral de la Reforma; cuatro personas aseguradas</t>
  </si>
  <si>
    <t>Combate Al Narcomenudeo</t>
  </si>
  <si>
    <t>Gabinete de Seguridad fortalece acciones contra el robo de hidrocarburo con la destrucción de túneles.</t>
  </si>
  <si>
    <t>Accidente de patrulla</t>
  </si>
  <si>
    <t>Inseguridad Carretera</t>
  </si>
  <si>
    <t>En el marco de la conmemoración por el séptimo aniversario de la Guardia Nacional, el gobernador Julio Menchaca Salazar, refrendó el compromiso de su administración para mantener una coordinación permanente con esta institución y con las Fuerzas Armadas, a fin de fortalecer las acciones en favor de la seguridad, la paz y el bienestar de las y los hidalguenses. El mandatario estatal manifestó su reconocimiento a esta fuerza de seguridad, la cual —junto con todas las instituciones federales— acudió en apoyo de la sociedad tras la vaguada monzónica de octubre del año pasado. En ese contexto, resaltó el profesionalismo y compromiso de sus integrantes. Durante la ceremonia conmemorativa, el gobernador recordó que, como presidente de la Comisión de Justicia del Senado de la República, participó en el proceso legislativo que dio origen a esta institución, creada para atender una de las principales demandas de la ciudadanía: contar con una corporación que contribuyera al combate de la inseguridad y la impunidad. Por otra parte, Menchaca Salazar, subrayó que la seguridad es una responsabilidad compartida entre los tres órdenes de gobierno y la sociedad; por lo que llamó a fortalecer la confianza ciudadana en las instituciones encargadas de proteger a la población. En su mensaje, el coordinador estatal de la Guardia Nacional en Hidalgo, Abel Arriola Cervantes, recordó que el 30 de junio fue instituido como el Día de la Guardia Nacional, al conmemorarse el despliegue oficial de esta fuerza en 2019. Finalmente, aseveró que, a siete años de su creación, la institución mantiene firme su compromiso de actuar con honor, lealtad, disciplina, profesionalismo y respeto a los derechos humanos, contribuyendo a preservar la seguridad, el orden público y la paz social en beneficio de las y los mexicanos.</t>
  </si>
  <si>
    <t>Conmemoración aniversario</t>
  </si>
  <si>
    <t>En Zempoala aficionados que celebraban el triunfo de la Selección Mexicana en el Mundial fueron embestidos por un automóvil. Lo que comenzó como un festejo por el triunfo de la Selección Mexicana de Futbol terminó en una escena de caos la noche de este martes 30 de junio, en el fraccionamiento Viñedos, en Zempoala, donde un automóvil embistió a un grupo de aficionados, dejando cinco personas lesionadas. Tras el incidente el sujeto fue golpeado por persona que se encontraban en el lugar y la policía municipal lo rescató para ser puesto a disposición de las autoridades.</t>
  </si>
  <si>
    <t>Radioescucha pide que la Secretaría de Movilidad y Transporte a que haga presencia en el polígono de la Colonia Guadalupe, porque los micos (sic) levantan pasaje en doble fila y los autos se estacionan hasta en 3 filas.</t>
  </si>
  <si>
    <t>Sobre las quejas de habitantes que denuncian malos trabajos realizado en la zona de Las glorias en Tulancingo por parte de la CAAMT, el organismo operado señala que se realizó la reparación provisional de una fuga y está programado a terminarse el día de mañana.</t>
  </si>
  <si>
    <t>Reparación De Tubería</t>
  </si>
  <si>
    <t>Vecinos de la comunidad de Jaltepec, junto con habitantes de Vista Real y Las Glorias, se manifiestan en la Presidencia Municipal de Tulancingo para exigir obras públicas. al respecto el departamento de Comunicación del ayuntamiento de Tulancingo informa que los manifestantes ingresaron sin oposición y que en este momento se sostiene u diálogo con los manifestantes ara ver cuáles son su peticiones y cuáles son las atenciones que se brindarían.</t>
  </si>
  <si>
    <t>Un hombre fue detenido por elementos de la Secretaría de Seguridad Pública, Tránsito y Vialidad de Pachuca luego de ser señalado por presuntas actividades de narcomenudeo en la colonia Antonio del Castillo. La movilización policial se originó a partir del reporte de una ciudadana, quien alertó a los oficiales sobre un individuo que, presuntamente, comercializaba sustancias ilícitas en la vía pública. Al acudir al lugar, los agentes localizaron a la persona señalada y realizaron una inspección preventiva conforme a los protocolos establecidos. Durante la revisión encontraron seis bolsas tipo ziploc que contenían una sustancia granulada con características similares al narcótico conocido como cristal. Además de las presuntas dosis de droga, los policías aseguraron una báscula gramera y una hoja con diversas anotaciones que podrían estar relacionadas con la actividad ilícita investigada. Tras el aseguramiento, el sospechoso fue puesto a disposición del Ministerio Público junto con los indicios decomisados, a fin de que se integren las investigaciones correspondientes y se determine su situación jurídica.</t>
  </si>
  <si>
    <t>Existen ya líneas de investigación respecto al robo de aproximadamente 9 millones de pesos registrado al interior del balneario Dios Padre, informó el encargado de la Procuraduría General de Justicia del Estado de Hidalgo (PGJEH), Francisco Fernández Hasbun. Señaló que desde que se inició la carpeta de investigación, la dependencia mantiene reuniones con los representantes del balneario, ubicado en el municipio de Ixmiquilpan. Fernández Hasbun confirmó que los responsables ingresaron a las oficinas administrativas del balneario, donde se encontraba el dinero. “No puedo explicar el modo de operar hasta que tengamos detenidas a las personas que cometieron el delito”, señaló. Asimismo, indicó que ya existen indicios importantes sobre los probables responsables, pero se reservó informar si ya fueron plenamente identificados o si existen órdenes de aprehensión hacia presuntos responsables. El funcionario señaló que los socios del balneario se encuentran preocupados debido a que esos recursos corresponden, entre otros conceptos, a fondos destinados para pensiones, jubilaciones y apoyos por enfermedad.</t>
  </si>
  <si>
    <t>Asanto a balneario</t>
  </si>
  <si>
    <t>Un video grabado por una camara de seguridad ha generado polémica en redes sociales, luego de que aparentemente contradice la versión oficial emitida por la Secretaría de Seguridad Ciudadana de Tizayuca sobre el accidente de un motociclista ocurrido durante una persecución. De acuerdo con las imágenes del vídeo, una patrulla impacta al joven motociclista, provocando que saliera proyectado junto con su unidad y rodara varios metros sobre el pavimento, generándole lesiones y una fractura en la pierna. Esta versión difiere de la presentada por la autoridad municipal, la cual señaló que el conductor perdió el control de la motocicleta y derrapó mientras intentaba evadir a los oficiales. La versión oficial indica que, durante el operativo "Relámpago", elementos de Tránsito Municipal marcaron el alto a una motocicleta que circulaba presuntamente a exceso de velocidad, sin placas y sin casco de seguridad. Según el comunicado, el conductor hizo caso omiso a las indicaciones, intentó escapar y terminó derrapando. Asimismo, la autoridad informó que el motociclista, un adolescente de 16 años, fue atendido por personal de Protección Civil y trasladado a la Clínica 33 del IMSS con una probable fractura en la pierna derecha. También aseguró que la actuación de los elementos se realizó conforme a los protocolos establecidos y que el menor quedó a disposición de la autoridad competente para el deslinde de responsabilidades. Sin embargo, el video difundido por ciudadanos ha provocado que usuarios cuestionen la versión oficial y pidan que se investigue el actuar de los elementos involucrados para esclarecer cómo ocurrieron realmente los hechos.</t>
  </si>
  <si>
    <t>18 túneles para robo de hidrocarburo han sido detectados en once municipios del Estado de Hidalgo, cuatro de los cuales ya han sido inhabilitados por autoridades de seguridad pública y especialistas en el tema. Autoridades señalaron que todos los túneles detectados estaban a tomas clandestinas de gasolina o gas, con objetivo de sustraer el combustible ilegalmente. Los municipios donde se han detectado dichos túneles son Atitalaquia, Nopala, Tepeji del Río, Tlanalapa, Tlaxcoapan y Tepetitlán; en Tula, Mineral de la Reforma, Tepeapulco y Pachuca, se han detectado dos en cada caso, y en Cuautepec, cuatro en total. Lo anterior fue informado por Guillermo Olivares Reyna, titular de la Secretaría General de Gobierno en Hidalgo, durante la clausura de uno de estos túneles. Además del túnel de Pachuca, ya fueron inhabilitados dos en Cuautepec y otro más se encuentra en proceso de intervención en Tlaxcoapan. Uno de los hallazgos más recientes de túneles usados para robo de hidrocarburo ocurrió en el municipio de Pachuca, informó Román Bernal Díaz, subsecretario de Protección Civil y Gestión de Riesgos de Hidalgo, Román Bernal Díaz. Explicó que el túnel fue descubierto antes de llegar a la vialidad principal y que ya contaba con una manguera conectada a un ducto de combustible de 14 pulgadas. La excavación tenía una profundidad aproximada de tres metros, mientras que el acceso medía cuatro metros. “Es un riesgo latente porque se encuentra dentro de la zona urbana de la capital. Lo que queremos es que la población conozca que se está trabajando y que, ante cualquier excavación irregular, informe de inmediato a las autoridades”. Cuando se detecta un túnel, la entrada se cubre inicialmente con tierra para impedir el acceso; sin embargo, gran parte de la excavación permanece abierta hasta concluir el proceso judicial. Una vez liberado el sitio, explicó personal de Protección Civil, se destruye la estructura subterránea, posteriormente se rellena y compacta el terreno para evitar que vuelva a ser utilizada, especialmente cuando se ubica cerca de zonas habitacionales. En otros casos, como aquellos que pasan por debajo de viviendas, las autoridades analizan alternativas como el relleno con concreto.</t>
  </si>
  <si>
    <t>Radioescucha pregunta si es está permitido por la SEPH, que en una escuela pública se hagan actividades de reforzamiento para los alumnos, pues les dijeron que tendrán que asistir la mitad de un grupo un día y la otra mitad otro día.</t>
  </si>
  <si>
    <t>Queja padres de familia</t>
  </si>
  <si>
    <t>Hidalgo acumula 120 incendios forestales y 3 mil 130 hectáreas afectadas entre enero y el 22 de junio de 2026, cifras que colocan a la entidad cerca de igualar los daños registrados durante todo 2025, cuando se contabilizaron 144 siniestros y 3 mil 758 hectáreas impactadas por el fuego. De acuerdo con el último reporte sobre incendios de la Comisión Nacional Forestal (Conafor), la superficie dañada este año ya representa el 83.3 por ciento de las hectáreas afectadas durante todo el año pasado, mientras que el número de incendios equivale también al 83.3 por ciento de los 144 siniestros registrados en 2025. La estadística muestra que, a falta de más de seis meses para concluir el año, Hidalgo se encuentra a solo 628 hectáreas de alcanzar la superficie afectada que reportó al cierre de 2025 y a 24 incendios de igualar el número total de incidentes registrados el año pasado. Según la Conafor, durante 2026 las llamas han afectado principalmente vegetación arbustiva, con 2 mil 177 hectáreas dañadas, seguida por 719 hectáreas de vegetación herbácea, 177 hectáreas de renuevo forestal y 56 hectáreas de hojarasca. Además, Hidalgo se ubica entre las diez entidades del país con mayor número de incendios en ecosistemas sensibles al fuego, al registrar 45 eventos de este tipo durante el periodo analizado. De manera general, Hidalgo ocupa el lugar 18 en número de incendios y el lugar 20 en superficie afectada. A nivel nacional, la Conafor reportó 4 mil 933 incendios forestales y una superficie afectada de 381 mil 622 hectáreas entre enero y junio de 2026.</t>
  </si>
  <si>
    <t>Incendios forestales</t>
  </si>
  <si>
    <t>Erika Ortigoza Vázquez, titular de la Comisión Estatal de Biodiversidad de Hidalgo (Coesbioh) aseguró que hasta el momento no ha recibido ninguna notificación formal ni ha existido acercamiento alguno por parte de organizaciones vinculadas con la tauromaquia, luego de que estas anunciaran la posibilidad de emprender acciones legales por las opiniones emitidas respecto al impacto ambiental y ecológico de la tauromaquia. El pasado mes de mayo, integrantes de Tauromaquia Mexicana Hidalgo anunciaron que emprenderían acciones legales contra la titular de Coesbioh, al considerar que sus declaraciones sobre tauromaquia fueron irresponsables y sin sustento. Al respecto, la funcionaria precisó que nunca realizó declaraciones personales sobre el tema, sino que emitió una opinión técnica a solicitud del presidente de la Comisión de Medio Ambiente del Congreso de Hidalgo, Avelino Tovar, documento que, subrayó, carece de carácter obligatorio y únicamente reúne información científica previamente publicada.</t>
  </si>
  <si>
    <t>El gobernador de Hidalgo, Julio Menchaca Salazar, lamentó el desistimiento de la empresa que construiría un parque fotovoltaico en el municipio de Singuilucan y agregó que, para evitar un escenario similar en Tecozautla, el proyecto debe socializarse. Lo anterior, luego de que Desarrollos Fotovoltaicos de México del Centro S.A.P.I. de C.V. retiró el procedimiento de evaluación de impacto ambiental del “Parque Solar Tulancingo” que tendría capacidad para generar 118 megawatts durante 25 años. "Sería una lástima porque es una energía que no contamina y que han sido malinformadas algunas comunidades con algo que ecológicamente no causa ningún daño", expresó. Menchaca Salazar señaló que hasta el momento no ha recibido una notificación oficial sobre la renuncia de dicha compañía nacional. Sin embargo, explicó que la entidad cuenta con condiciones para la generación de energía porque después de Tamaulipas, Hidalgo es uno de los estados con mayor calidad de radiación solar del país, lo que despertó el interés de la industria energética. Respecto a otro parque fotovoltaico que se construirá, pero en el municipio de Tecozautla, donde habitantes de la comunidad de San Joaquín promovieron un amparo para frenar la edificación, Menchaca Salazar consideró que la oposición es por falta de información. Afirmó que los proyectos de este tipo cuentan con estudios de impacto ambiental y evaluaciones de las autoridades federales y estatales. Por ello, añadió que socializarán el tema mediante la difusión de ejemplos de parques solares que actualmente operan sin generar afectaciones ambientales.</t>
  </si>
  <si>
    <t>La Auditoría Superior de la Federación (ASF) revisó cómo el Gobierno de Hidalgo distribuyó y pagó las participaciones federales a sus municipios durante la Cuenta Pública 2025, en una operación que involucró 6 mil 567 millones 686 mil 913 pesos. Aunque la revisión concluyó que, en términos generales, el gobierno estatal realizó una gestión adecuada en la entrega de esos recursos, la ASF identificó áreas de mejora relacionadas con los criterios de transparencia y con la forma en que se administraron algunos pagos. La auditoría 968, denominada Distribución de las Participaciones Federales, revisó el 100% de los recursos asignados a Hidalgo por este concepto. Las participaciones son recursos federales que los estados reciben y posteriormente distribuyen a los municipios para financiar servicios, obras y operación pública. De acuerdo con el dictamen, la ASF determinó 20 resultados durante la revisión. En 17 de ellos no encontró irregularidades y tres fueron solventados por el Gobierno de Hidalgo antes de que se emitiera el informe final, sin embargo, el órgano fiscalizador señaló que los recursos del Fondo General de Participaciones fueron ministrados a los municipios en dos pagos, cuando ese esquema no está señalado en la normativa aplicable. También detectó que la entidad no describió el procedimiento utilizado para determinar el coeficiente de la variable del Índice de Marginación ni precisó el año del coeficiente empleado para distribuir los ajustes cuatrimestrales y las diferencias trimestrales. A esto se sumó una observación sobre la información utilizada para el Índice de Transparencia Hacendaria Municipal. Ello debido a que la fuente de datos no correspondía con lo previsto en el acuerdo que regula la distribución de recursos provenientes del Fondo de Compensación para los Municipios del Estado de Hidalgo durante el ejercicio fiscal 2025. Pese a estas observaciones, la ASF no reportó recursos pendientes por aclarar ni recuperaciones derivadas de la auditoría específica practicada a Hidalgo.</t>
  </si>
  <si>
    <t>La Auditoría Superior del Estado de Hidalgo detectó observaciones s por más de 46.3 millones de pesos durante la primera revisión de la cuenta publica 2025, siendo los municipios de Pachuca, Tula y Tulancingo los que concentran los montos más elevados. Durante la entrega de los informes individuales, el titular de la Auditoría Superior del Estado de Hidalgo, Jorge Valverde Islas informó que del monto observado poco más de 32 millones de pesos corresponden a administraciones municipales. Tula de Allende encabeza la lista por 17 17 millones 671 mil 86.16 pesos; Tulancingo de Bravo, con cinco millones 743 mil 297.26 pesos; y Pachuca, con cinco millones 43 mil 614.20 pesos. Figura también Zapotlán y Mineral del Monte con montos menores. La revisión incluyó también 85 auditorías practicadas a municipios, organismos descentralizados, entidades paraestatales y un organismo autónomo. Como parte del proceso también se evaluó el despeño de diversas instituciones públicas. en el caso de organismos descentralizados municipales las observaciones ascienden a más de 9 millones de pesos, mientas que las entidades paraestatales y organismos autónomos también acumulan poco más de 5.3 millones de pesos. Entre estas últimas destacan Radio y Televisión de Hidalgo y la Universidad Politécnica de la Energía, por registrar los montos observados más altos. Como resultado, la misma Auditoría Superior emitió 43 recomendaciones y 202 pliegos de observaciones que deberán ser atendidos por las entidades fiscalizadas. Jorge Valverde aclaró que la entidades fiscalizadas no representan por sí mismas un desvío de recursos, ya que cuentan con 30 días hábiles a partir de la notificación de su informe individual para presentar la documentación que acredite la solventación de las observaciones correspondientes.</t>
  </si>
  <si>
    <t>Observaciones ASEH</t>
  </si>
  <si>
    <t>CAAMT informa que el Pozo Rayuela 2 se encuentra fuera de operación de manera temporal por la reparación de una fuga en la línea de conducción de 8". Esta situación afecta el suministro de agua en las colonias: Ampliación Santa Teresa, Ampliación San Juan, Santa Teresa y Bella Vista. Nuestro personal ya trabaja para reparar la fuga y restablecer el servicio lo antes posible. Agradecemos su comprensión.</t>
  </si>
  <si>
    <t>Autoridades municipales de Huehuetla se comprometieron con habitantes de la zona norte de dicha demarcación, iniciar la habilitación de un puente peatonal para poder realizar movilidad. Lo anterior ocurrió luego de realizarse manifestación durante la mañana del martes 30 de junio, exigiendo a las autoridades para atender las vialidades, afectadas tras el registro de lluvias. En entrevista con Ultra Noticias Hidalgo, Felipe Naranjo Mendoza, profesor la Educación Primaria Escuela “Veintiuno de Marzo”, ubicada en la localidad de La Esperanza 1, una de las afectadas por el estado de las vialidades, señaló que la situación ya es desesperante. Ello debido a que las lluvias han provocado deslaves, que han complicado la circulación vehicular, debido a la caída de piedras y tierra. Uno de los temas más graves ha sido la caída en cuatro ocasiones desde el mes de octubre del año pasado del puente Zicatlán, dejando incomunicadas localidades en la zona norte del municipio. La caída del puente ha generado problemas para el traslado de personas que requieren atención médica, en algunos casos de emergencia; así como la movilidad en general, tanto para cuestiones personales, como laborales y educativas. El docente señaló que también existen problemas para el surtido de alimentos y productos de limpieza y sanitización, incluso teniendo por días situaciones de desabasto total. “Actualmente, el transporte da la vuelta hasta el Estado de Puebla para entrar o salir de la zona, lo que implica invertir mucho tiempo, lo que hace complicada la vida, sobre todo en la atención de emergencias o situaciones prioritarias”, enfatizó. Naranjo Mendoza señaló que en días recientes, autoridades de los tres órdenes de gobierno les presentaron a los vecinos de la zona los planos para la construcción de un puente peatonal para servicio de la población de la zona norte del municipio. La construcción del puente peatonal está proyectada para llevarse a cabo en aproximadamente siete meses, “pero van retrasadas otras obras, entonces, creemos que el tiempo de construcción puede llevar hasta un año”. Una de las propuestas es la colocación de tubos de mayor diámetro sobre el cuerpo de agua donde se ubica el puente afectado en por lo menos cuatro ocasiones para que en caso de una crecida, fluyan las descargas pluviales. Tras los acuerdos, los pobladores confiaron que paulatinamente se estén realizando el resto de las obras viales pendientes para la demarcación.</t>
  </si>
  <si>
    <t>Colapso de puente</t>
  </si>
  <si>
    <t>Hidalgo se ubicó entre las entidades con mayor número de carpetas de investigación por el delito de violación durante los primeros cinco meses de 2026, al registrar 383 expedientes, de acuerdo con cifras del Secretariado Ejecutivo del Sistema Nacional de Seguridad Pública. Los datos, reportados por la Procuraduría General de Justicia del Estado de Hidalgo (PGJEH), colocan a la entidad en el sexto lugar nacional. Del total de investigaciones, 218 corresponden al delito de violación simple y 165 a violación equiparada. A nivel nacional se iniciaron 8 mil 253 carpetas de investigación por ambos delitos entre enero y mayo. El Estado de México encabezó la lista con mil 125 casos, seguido por la Ciudad de México con 944, Nuevo León con 551, Chihuahua con 521 y Guanajuato con 464. Después aparece Hidalgo con 383 expedientes. En contraste, Tlaxcala y Yucatán fueron las entidades con menor incidencia registrada durante ese periodo, con ocho y 18 carpetas de investigación, respectivamente. De acuerdo con el Código Penal del Estado de Hidalgo, la violación se configura cuando una persona obliga a otra, mediante violencia física o moral, a sostener relaciones sexuales. Este delito contempla sanciones que van de siete a 20 años de prisión, además de una multa económica. Las autoridades federales han señalado que las cifras oficiales representan únicamente los casos denunciados, ya que existe un importante subregistro debido a que muchas víctimas no acuden ante las autoridades por temor, desconfianza o por considerar que el proceso de denuncia es complejo. Ante este panorama, el Gobierno de México ha impulsado campañas para promover la denuncia y brindar acompañamiento a las víctimas, con el objetivo de facilitar el acceso a la justicia y combatir la violencia sexual.</t>
  </si>
  <si>
    <t>Incidencia Delictiva</t>
  </si>
  <si>
    <t>El miedo, la dependencia económica y el temor a las represalias continúan siendo los principales obstáculos para que las víctimas de violencia familiar rompan el círculo de agresiones. En Tulancingo, alrededor del 25 por ciento de las mujeres que inician un proceso de atención en el Centro Especializado de Atención a la Violencia Familiar (CEAVIF) decide no continuarlo. La directora del CEAVIF, Alhexia Merchan Veytia, explicó que muchas usuarias desisten de recibir apoyo porque prefieren permanecer en el entorno donde viven la violencia o temen las consecuencias de denunciar. Ante ello, el objetivo del centro es acompañarlas para que recuperen su confianza, fortalezcan su autoestima y conozcan las herramientas con las que cuentan para salir de esa situación. De enero a junio de este año, el organismo ha otorgado 645 servicios, entre ellos 183 asesorías jurídicas, 120 atenciones psicológicas, 322 participaciones en pláticas de orientación y prevención, además del resguardo temporal de 20 personas. Aunque la atención está dirigida principalmente a mujeres, adolescentes y sus familias, la directora indicó que cerca del 7 por ciento de las personas que solicitan apoyo son hombres, quienes también reciben acompañamiento especializado. El CEAVIF ofrece de manera gratuita atención psicológica, jurídica, tanatológica y, cuando es necesario, refugio temporal para personas que enfrentan violencia familiar.</t>
  </si>
  <si>
    <t>Violencia familiar</t>
  </si>
  <si>
    <t>Tenemos el día de hoy conferencia de prensa (sic) sobre la entrega de un simulador de quinta rueda al plantel de ICATHI en Mineral de la Reforma.</t>
  </si>
  <si>
    <t>Vía telefónica Milton Cortés informa que los festejos por el triunfo de la Selección Mexicana ha dejado accidentes, personas heridas y tres personas muertas en todo el país. En Hidalgo, lamentablemente en el municipio de Zempoala un conductor perdió el control de su vehículo, luego de que al parecer le rociaron espuma en los ojos y lesionó a 5 personas.</t>
  </si>
  <si>
    <t>El día de hoy el gobernador Julio Menchaca a las 11 de la mañana en el Centro Estatal de Maquinaria y Desarrollo, hará entrega de infraestructura, maquinaria y equipamiento para el fortalecimiento de las operaciones del Poder Ejecutivo del Estado de Hidalgo.</t>
  </si>
  <si>
    <t>Agenda gobernador</t>
  </si>
  <si>
    <t>El Secretario de Gobierno, Guillermo Olivares Reyna estará el día de hoy por la tarde en el municipio de Acaxochitlán, a donde levará las Mesas por la Paz</t>
  </si>
  <si>
    <t>Se reporta fuga de hidrocarburo en una toma clandestina en la comunidad de San Juan Tizahuapan, en el municipio de Epazoyucan.</t>
  </si>
  <si>
    <t>Fuga de hidrocarburo</t>
  </si>
  <si>
    <t>Andrés Torres comenta que no hay internet en Radio y Televisión, por lo que no pueden seguir su página (vocalesonline.com. mx) que es su guía y tienen que usar sus "datos" (internet móvil).</t>
  </si>
  <si>
    <t>Conectividad a internet</t>
  </si>
  <si>
    <t>Andrés Torres respecto a la inhabilitación de un túnel localizado en Pachuca a un costado de la carretera antigua a La Paz, dice que estas acciones dan muestra de que el combate contra el crimen y prácticas ilícitas va en serio.</t>
  </si>
  <si>
    <t>En el Hidalgo se detectaron e inhabilitaron un total de 18 túneles utilizados por grupos criminales para el robo de combustible, según informó el secretario de Gobierno de la entidad, Guillermo Olivares Reyna, durante la clausura y destrucción de uno de estos pasadizos subterráneos. De acuerdo con el funcionario, el municipio de Cuautepec de Hinojosa encabeza la lista con la mayor incidencia, sumando cuatro túneles asegurados. Le siguen Pachuca, Tula de Allende, Mineral de la Reforma y Tepeapulco, con dos infraestructuras clandestinas cada uno. Por su parte, Tepeji del Río, Tlanalapa, Tlaxcoapan, Tepetitlán, Nopala de Villagrán y Atitalaquia registran un túnel detectado por demarcación. El hallazgo en la capital: un vivero como fachada Como parte de estas acciones, las autoridades procedieron a la destrucción y sellado definitivo de un túnel localizado en Pachuca, el cual fue descubierto en agosto de 2023 a un costado de la antigua carretera a La Paz. La infraestructura operaba bajo la fachada de un vivero comercial y conectaba directamente de forma subterránea con un ducto de Petróleos Mexicanos (Pemex). La ubicación del sitio fue posible gracias a una denuncia ciudadana que alertó sobre diversas irregularidades en el inmueble. Derivado de la denuncia, se desplegó un operativo coordinado entre elementos de la Secretaría de la Defensa Nacional (Sedena), la Fiscalía General de la República (FGR) y la Policía Estatal de Hidalgo y la intervención concluyó con la captura de tres personas presuntamente vinculadas al delito de robo de hidrocarburo. En su momento, en dicho lugar, las fuerzas del orden aseguraron 280 litros de gasolina almacenada, 30 metros de manguera de alta presión, diversos contenedores para la distribución del combustible, así como una camioneta marca Chevrolet. Una vez concluidas las indagatorias y peritajes correspondientes por parte del Ministerio Público Federal, el Gobierno del Estado determinó el sellado total de la estructura, con el argumento de que las condiciones del túnel representaban un riesgo latente de explosión o derrumbe para la población aledaña, por lo cual dicha acción se llevó a cabo este martes.</t>
  </si>
  <si>
    <t>Radio Tlanchinol está nuevamente al aire en el 94.1 FM, ya se reestableció la energía eléctrica. El 1010 AM El Vocero huasteco sigue fuera del aire hace más de dos meses, debido a que no hay combustible.</t>
  </si>
  <si>
    <t>Una celebración deportiva terminó en tragedia la noche de ayer, luego de que un automóvil embistió a una multitud en el fraccionamiento Viñedos, perteneciente al municipio de Zempoala, dejando un saldo de cinco personas lesionadas y civiles enardecidos. Un grupo de aficionados se encontraba reunido en la vía pública festejando el triunfo de la selección Mexicana de Fútbol, cuando el conductor de un vehículo particular avanzó contra la muchedumbre, impactando de manera directa a los asistentes. Tras el percance, los testigos alertaron de inmediato a los números de emergencia, por lo arribaron paramédicos, quienes brindaron los primeros auxilios a los lesionados. La situación se tornó tensa cuando vecinos y testigos del incidente impidieron la huida del automovilista quienes arremetió físicamente contra el conductor y causó destrozos significativos a la carrocería de la unidad. Elementos de la policía municipal intervinieron para asegurar al individuo y evitar un hecho mayor. Trasladando al responsable al ministerio público, donde se iniciará la carpeta de investigación correspondiente para deslindar responsabilidades y determinar su situación jurídica en las próximas horas.</t>
  </si>
  <si>
    <t>Asegura PGJEH 59 mil 409 dosis de drogas, en Mineral de la Reforma; hay dos personas detenidas</t>
  </si>
  <si>
    <t>El presidente municipal de Mineral de la Reforma, Eduardo Medécigo Rubio, encabezó el inicio de actividades del Aprendimóvil, una unidad itinerante que durante los próximos ocho meses recorrerá distintos puntos del municipio para acercar actividades educativas, culturales, deportivas y recreativas a la población. Acompañado por la presidenta honorífica del Patronato del Sistema DIF Municipal, Samantha Esparza Hernández, y por el coordinador de la Red de Ciudades del Aprendizaje de la Unesco en Latinoamérica, Luis González Arenal, el alcalde explicó que el vehículo visitará plazas públicas, parques, mercados, centros comunitarios y otros espacios para fomentar el aprendizaje en la vida cotidiana. Durante el arranque, realizado ante estudiantes de la primaria "Cuauhtémoc" de Pachuquilla, Medécigo destacó que su administración trabaja para construir un municipio con mejores oportunidades para las nuevas generaciones mediante estrategias que combinan el aprendizaje con el juego.</t>
  </si>
  <si>
    <t>Ciudades del Aprendizaje</t>
  </si>
  <si>
    <t>Las acciones de prevención y combate al dengue en Hidalgo han permitido una importante reducción en el número de casos registrados durante este año. De acuerdo con la Secretaría de Salud Estatal, hasta la semana epidemiológica número 23 de 2026, se han confirmado únicamente cuatro casos de dengue en la entidad, lo que representa una disminución del 88.5% en comparación con el mismo período del año pasado, cuando se contabilizaban 35 casos. Como parte de la estrategia implementada, brigadas de salud realizaron acciones de control del mosquito transmisor en cientos de miles de viviendas mediante la eliminación de criaderos, encuestas entomológicas, verificaciones sanitarias, nebulizaciones y rociados focalizados en zonas consideradas de mayor riesgo. Actualmente, los casos confirmados se concentran en municipios de la Huasteca hidalguense como Huejutla, San Felipe Orizatlán y Yahualica, donde continúan las labores permanentes de vigilancia epidemiológica y control vectorial para evitar nuevos contagios. Autoridades de salud recordaron que la participación de la ciudadanía sigue siendo fundamental para prevenir la reproducción del mosquito transmisor del dengue. Por ello, mantienen el llamado a aplicar la estrategia conocida como lava, tapa, voltea y tira, que consiste en eliminar recipientes donde pueda acumularse agua, mantener patios limpios y permitir el acceso al personal de salud debidamente identificado cuando realice labores preventivas.</t>
  </si>
  <si>
    <t>El gobernador de Hidalgo, Julio Menchaca Salazar, descartó la aplicación de Ley Seca en el estado. A pesar de incidentes ocurridos en Zempoala durante los festejos de la Selección Mexicana, el mandatario apeló a la responsabilidad ciudadana, afirmando que las prohibiciones no garantizan un menor número de incidentes y prefirió no restringir la venta de bebidas alcohólicas.</t>
  </si>
  <si>
    <t>Ley seca</t>
  </si>
  <si>
    <t>Hoy, miércoles primero de julio, se llevó a cabo la entrega e inauguración de infraestructura, maquinaria y equipamiento para el fortalecimiento operativo del Poder Ejecutivo del Estado de Hidalgo, en las instalaciones del Centro Estatal de Maquinaria para el Desarrollo, ubicado en la carretera Tilcuautla, en el municipio de San Agustín Tlaxiaca. El acto reunió a autoridades estatales para presentar la nueva infraestructura y el equipamiento que permitirá fortalecer la capacidad operativa de distintas dependencias, con el propósito de optimizar la atención a la ciudadanía y mejorar la ejecución de obras y servicios públicos en la entidad. Orlando Ángeles Pérez, titular de la Oficialía Mayor del Estado de Hidalgo, informó que gracias a una inversión de 365 millones de pesos, durante los últimos cuatro años se incorporaron 124 nuevas unidades. Asimismo, destacó que administrar los recursos públicos con austeridad y transparencia significa proteger el patrimonio que pertenece a las y los hidalguenses. Por su parte, Alejandro Sánchez García, Secretario de Infraestructura Pública y Desarrollo Urbano Sostenible, señaló que durante más de 2 décadas las labores operativas se realizaron en instalaciones con espacio y equipamiento insuficientes. Por lo que esta nueva infraestructura representa un paso importante para dignificar las condiciones de trabajo del personal y fortalecer la capacidad de respuesta de la dependencia. Posteriormente, Julio Menchaca Salazar, gobernador constitucional del estado de Hidalgo, encabezó la entrega simbólica de la nueva maquinaria y durante su mensaje, subrayó que estas acciones responden a las necesidades de fortalecer el patrimonio del estado mediante infraestructura propia, reduciendo los elevados costos por el concepto de renta y generando instalaciones que pertenezcan al servicio de las y los hidalguenses a largo plazo.</t>
  </si>
  <si>
    <t>Entrega de instalaciones</t>
  </si>
  <si>
    <t>Habitantes del municipio de Mixquiahuala, prendieron fuego a una vivienda localizada en la comunidad de El Danfhí, vivienda señalada como refugio de presuntos delincuentes. De acuerdo con los primeros reportes, los habitantes tenían plenamente identificado el inmueble, el cual presuntamente era utilizado por un grupo delictivo local para almacenar objetos robados. Cansados de la inseguridad, los colonos se organizaron para encarar a los sospechosos en su propio escondite. ​Sin embargo, la convocatoria a una reunión vecinal difundida previamente a través de redes sociales alertó a los presuntos ladrones. Al percatarse del movimiento comunitario, los implicados desalojaron la vivienda y emprendieron la huida minutos antes de la llegada del contingente. Al encontrar el sitio vacío, los inconformes ingresaron al inmueble, sustrajeron los artículos que se encontraban en el interior —presuntamente de procedencia ilícita— y les prendieron fuego en la vía pública como medida de protesta y advertencia ante la ola de robos que azota a la región. Al sitio acudió la PGJEH inició levantamiento de pruebas y testimoniales, para con ello, iniciar las investigaciones del caso.</t>
  </si>
  <si>
    <t>Justicia Por Propia Mano</t>
  </si>
  <si>
    <t>Un adolescente de apenas 17 años fue asesinado a tiros la tarde de este miércoles en el interior de una vivienda en la comunidad de Achichilco, lo que detonó una fuerte movilización de cuerpos policiales de los tres órdenes de gobierno. Los hechos se registraron cuando vecinos de la zona reportaron detonaciones de arma de fuego al número de emergencias 911. Al arribar al sitio, elementos de la Policía Municipal y paramédicos de Protección Civil localizaron el cuerpo del menor —cuya identidad ha sido reservada por las autoridades— presentando múltiples impactos de proyectil de arma de fuego. Pese a los esfuerzos de los técnicos en urgencias médicas, el joven ya no contaba con signos vitales, por lo que la zona fue acordonada de inmediato en espera de los servicios periciales. Personal de la Procuraduría General de Justicia del Estado de Hidalgo, adscrito a la división de investigación y peritos en criminalística de campo, se dio cita en la escena del crimen para el levantamiento de indicios, casquillos percutidos y el traslado del cuerpo al Servicio Médico Forense. Hasta el cierre de esta edición, las autoridades estatales no han establecido el móvil oficial del asesinato, ni se reportan personas detenidas por este ataque directo; sin embargo, no se descarta un ajuste de cuentas relacionado con el panorama delictivo que impera en la región.</t>
  </si>
  <si>
    <t>Ejecuciones</t>
  </si>
  <si>
    <t>Un médico urgenciólogo adscrito al Hospital Regional de la Huasteca, perteneciente al sistema IMSS-Bienestar y ubicado en Huejutla, fue vinculado a proceso por su presunta responsabilidad en el delito de discriminación en agravio de una médica internista que realiza sus prácticas profesionales en ese centro hospitalario. El imputado, identificado con las iniciales Carlos “N”, es señalado de haber ejercido de manera constante violencia verbal y expresiones consideradas vejatorias, presuntamente encaminadas a menoscabar la capacidad profesional de la víctima por el hecho de ser mujer. La determinación fue emitida por la autoridad judicial al concluir la segunda audiencia del caso, luego de que el juez valoró los datos de prueba presentados por la representación social y consideró que existían elementos suficientes para iniciar el proceso penal en su contra.</t>
  </si>
  <si>
    <t>Vinculación A Proceso</t>
  </si>
  <si>
    <t>Una rápida movilización de elementos de la Secretaría de Seguridad Pública, Tránsito y Vialidad de Pachuca permitió brindar apoyo a una mujer que se encontraba en labor de parto, luego de que su esposo solicitara auxilio mientras se trasladaban en un vehículo por la capital hidalguense. La atención se originó a partir de un reporte emitido por el Centro de Control, Comando, Comunicaciones, Cómputo, Coordinación e Inteligencia (C5), mediante el cual se alertó sobre una emergencia médica a bordo de un automóvil Chevrolet Cavalier rojo. Al llegar al sitio, los policías localizaron a la mujer, identificada con las iniciales Y.G.A.T., quien ya recibía atención por parte de una enfermera del Instituto Mexicano del Seguro Social (IMSS) que se encontraba en el lugar y decidió mantener en reserva su identidad. Los oficiales colaboraron en las maniobras de apoyo y coordinaron la atención de la emergencia para garantizar que la paciente recibiera asistencia médica oportuna.</t>
  </si>
  <si>
    <t>Daniel Martínez comenta que el canción recolector de basura ya se desatascó en el camino de Rincones de la Hacienda, en Jaltepec, pero ahora se reporta que se atascó un camión de refrescos. Señala que entiende la necesidad de reparar el camino principal, pero también la molestia de la población porque no pensaron en reparara primero el camino alterno antes de iniciar la obra.</t>
  </si>
  <si>
    <t>Vialidad En Mal Estado</t>
  </si>
  <si>
    <t>La STPSH destaca vinculación con ferias y jornadas de empleo</t>
  </si>
  <si>
    <t>Vinculación Laboral</t>
  </si>
  <si>
    <t>Tras el desacuerdo ciudadano para la construcción del relleno sanitario en Tula, integrantes del Congreso de Hidalgo emitió un exhorto urgente a la Semarnath, Conagua y el ayuntamiento de Tezontepec de Aldama a realizar acciones de inspección, verificación y transparencia para proteger los recursos hídricos. Con 24 votos a favor, integrantes de la 66 Legislatura validaron el acuerdo económico de urgente y obvia resolución ante la problemática social generada por el sitio de disposición final de residuos sólidos urbanos ubicado en el paraje Siete Mezquites, en la comunidad de Teocalco, en Tula. “La defensa del recurso hídrico tiene que ser pareja esté el riesgo donde esté. El Congreso no viene a emitir sentencias anticipadas, ni asumir posturas en especulaciones, nuestro deber es vigilar que las autoridades competentes actúen con transparencia, con apego a la ley y con sustento científico”, expresó el diputado Avelino Tovar Iglesias. Tras la visita de pobladores de Tezontepec de Aldama la semana pasada al Congreso local, la Comisión Permanente de Medio Ambiente, Recursos Naturales y Cambio Climático emitió el acuerdo económico que solicita cuatro cosas. Primero, que la Procuraduría de Protección al Ambiente del Estado inspeccione el sitio, verifique el cumplimiento de la norma ambiental y de la NOM 083 y haga público su resultado. Además, que la Comisión Nacional del Agua (Conagua) emita su opinión técnica sobre el eventual riesgo para el acuífero y para los manantiales de Cerro Colorado, y que ese resultado lo conozca la ciudadanía. Que la Secretaría de Medio Ambiente y Recursos Naturales de Hidalgo (Semarnath) entregue y haga públicos los documentos que sustentan el expediente técnico, incluida la Manifestación de Impacto Ambiental. También, que el ayuntamiento de Tezontepec de Aldama informe del estado del tiradero a cielo abierto y de los sitios clandestinos en su territorio a unos metros de los manantiales y presente un programa de clausura y saneamiento.</t>
  </si>
  <si>
    <t>Las manifestaciones en contra por el relleno sanitario en Tula no obedecen a ningún interés político, ya que la preocupación es de toda la ciudadanía sin importar colores porque el tema del agua es un derecho humano, señaló la presidenta municipal de Tezontepec de Aldama, Ana María Rivera Contreras. Tras el exhorto urgente que emitió el Congreso de Hidalgo a la Semarnath, Conagua y al ayuntamiento de Tezontepec de Aldama para realizar acciones de inspección, verificación y transparencia respecto al relleno sanitario, la alcaldesa indicó que acudió al recinto legislativo para “dar la cara” ante los señalamientos contra su municipio. Luego que la titular de la Secretaría de Medio Ambiente y Recursos Naturales de Hidalgo (Semarnath), Mónica Mixtega Trejo, informó que se detectó un tiradero de basura clandestino en la comunidad Huitel en Tezontepec de Aldama, la presidenta municipal comentó que el tema de esos sitios clandestinos no es solo de su municipio. Recordó que en 2024 fue clausurado un tiradero clandestino ubicado en el paraje Cerro de la Cruz, el cual operaba desde el año 2007, sin embargo, las Procuradurías Federal y Estatal de Protección al Ambiente (Profepa y Proespa) emitieron sanciones al municipio, y a la actual administración municipal le tocó pagar una multa de más de un millón de pesos, y a partir de ahí empezaron un plan municipal de saneamiento. “Los demás (sitios) no pertenecen al municipio, son minas abandonadas donde va la ciudadanía (a tirar residuos), se han hecho diferentes acciones. Son minas abandonadas, son predios particulares, no pertenecen al municipio, el único fue el que mencioné”, explicó. Rivera Contreras mencionó que la inconformidad contra la construcción del relleno sanitario de Tula es porque no les informaron que fuera de tipo regional, y la vez que tuvieron la primer plática en Sermanth, el presidente municipal de Tula, Cristhian Martínez les dijo que era un proyecto municipal, y ahora les dicen que funcionará en apoyo a los municipios de la región. Sobre el comentario de la secretaria de Medio Ambiente estatal sobre que el descontento se debía a un interés político o económico, la alcaldesa descartó ese señalamiento, ya que dijo, al Congreso local asistieron todos los integrantes del ayuntamiento, compuesto por diferentes fracciones políticas.</t>
  </si>
  <si>
    <t>El presidente municipal de Pachuca, Jorge Alberto Reyes Hernández, informó que el festejo realizado la noche del martes en la Plaza Independencia, tras el triunfo de la Selección Mexicana, concluyó con saldo blanco, pese a que al menos tres personas resultaron con golpes y una joven se fracturó la nariz. En entrevista con medios de comunicación, el alcalde explicó que una mujer resultó lesionada en la nariz por el impacto de una lata de espuma y otras dos o tres personas sufrieron golpes menores por el lanzamiento de objetos al momento de la euforia. Sin embargo, Reyes Hernández destacó que no se registraron riñas entre particulares, daños al Reloj Monumental ni afectaciones a vehículos o infraestructura pública, por lo que calificó como positivo el resultado del operativo de seguridad. No obstante, llamó a la ciudadanía a celebrar con responsabilidad, luego de que una persona escaló un poste de alumbrado público, acción que calificó como un riesgo innecesario. Además, recordó los incidentes ocurridos recientemente en otros estados y en uno de los fraccionamientos de Zempoala, donde un vehículo atropelló a varias personas durante una celebración. Respecto a la posibilidad de aplicar ley seca o restringir la venta de bebidas alcohólicas durante el próximo partido de la Selección Mexicana, señaló que la medida aún se encuentra en análisis. "No lo puedo descartar porque debemos seguir observando el comportamiento de las personas y evaluar los operativos", indicó luego de ser cuestionado por reporte de bebidas alcohólicas en la vía pública durante las celebraciones por el triunfo de la selección mexicana. Sobre reportes de cristalazos y robos en vehículos estacionados cerca de bares y restaurantes durante los festejos, el edil aseguró que, hasta la mañana de este miércoles, no existían denuncias formales. Sin embargo, confirmó que ya solicitaron las grabaciones de videovigilancia tras detectarse personas que presuntamente vigilaban automóviles en un restaurante. Asimismo, exhortó a propietarios de bares y restaurantes a reforzar la vigilancia en sus estacionamientos para prevenir delitos durante este tipo de eventos, que atraen una importante afluencia de personas.</t>
  </si>
  <si>
    <t>La Procuraduría General de Justicia del Estado de Hidalgo (PGJEH) detuvo a un hombre por su presunta responsabilidad en las lesiones causadas a un adolescente durante los festejos del Mundial realizados en el fraccionamiento Viñedos. Francisco Fernández Hasbún, encargado del despacho de la PGJEH, explicó que el presunto responsable fue puesto a disposición del Ministerio Público desde la noche de ayer y que, hasta el momento, existe una denuncia presentada por un menor de edad que resultó afectado. “Tenemos una persona puesta a disposición del Ministerio Público desde ayer y hay un menor de edad que está con lesiones. Es un adolescente y estamos trabajando sobre eso. Hasta ahorita es la única persona que ha denunciado”, indicó. Fernández Hasbún señaló que la situación jurídica del detenido dependerá de la evolución médica de la víctima, ya que la clasificación de las lesiones determinará el delito que se le imputará. El Ministerio Público cuenta con un plazo de 48 horas, a partir de la detención para definir la situación legal del implicado. El procurador agregó que, en caso de que otras personas presenten denuncias por hechos ocurridos durante los festejos, estas serán integradas a la investigación. De acuerdo con los primeros reportes, un automóvil embistió a un grupo de aficionados que se encontraba reunido en la vía pública. Paramédicos acudieron al lugar para atender a los heridos. Tras el incidente, vecinos y testigos evitaron que el conductor huyera y causaron daños al vehículo. Posteriormente, elementos de la Policía Municipal aseguraron al presunto responsable y lo pusieron a disposición del Ministerio Público.</t>
  </si>
  <si>
    <t>El Gobernador del Estado de Hidalgo, Julio Menchaca Salazar, calificó como inconcebible que una persona pierda la vida o su patrimonio a raíz de los festejos por el triunfo de la selección nacional de futbol, ante Ecuador, el pasado martes 30 de junio. Por lo cual solicitó que no se caiga en los excesos al momento de los festejos de este y otro tipo, evitando situaciones que puedan derivar en agresiones o accidentes. “La solicitud muy respetuosa es de no excederse en los festejos, de no agredir a las personas y de respetar los espacios de las personas”, enfatizó. Menchaca Salazar enfatizó que el futbol debe entenderse como un deporte y un motivo de alegría colectiva, no como una causa de violencia. “Debe de ser un motivo de júbilo; es inconcebible que a partir de un festejo haya personas que pierdan la vida, personas agredidas o daños a la propiedad”. El titular del Poder Ejecutivo estatal descartó aplicar ley seca con motivo de los festejos deportivos u otros, señalando que confía en la responsabilidad ciudadana, pues lo que se prohíbe es más atractivo”. Aunque dijo que existe trabajo permanente por parte de las corporaciones de seguridad y Protección Civil, sus integrantes deben atender otras emergencias que se presentan en la entidad. Al referirse a la posibilidad de instalar pantallas gigantes para el próximo encuentro de la selección mexicana de futbol, el próximo domingo 5 de julio, indicó que correspondería a los municipios analizar esa opción.</t>
  </si>
  <si>
    <t>La Comisión Nacional del Agua (Conagua) informó que la superficie cubierta por lirio acuático en la presa Endhó se redujo de manera importante como resultado de las acciones implementadas dentro del Plan Maestro de Recuperación de este cuerpo de agua. Según datos obtenidos mediante imágenes satelitales y análisis de la Comisión Nacional para el Conocimiento y Uso de la Biodiversidad (Conabio), la maleza pasó de ocupar alrededor de 900 hectáreas en octubre de 2025 a 443 hectáreas en junio de este año, lo que representa una disminución superior al 50 por ciento. La dependencia atribuyó estos resultados a ocho meses de trabajos ininterrumpidos de limpieza, en los que se retiraron 105 mil metros cúbicos de lirio acuático con el apoyo de maquinaria especializada, como excavadoras, retroexcavadoras, cargadores frontales, bandas transportadoras y camiones de volteo. Como parte de las acciones complementarias, también continúa la campaña para el control del mosquito Culex, iniciada el pasado 1 de mayo. Hasta el momento, las labores han beneficiado a 27 comunidades cercanas a la presa, mediante fumigaciones terrestres y aéreas, además de intervenciones en miles de viviendas. Conagua detalló que 16 localidades ya recibieron una sexta aplicación de insecticida, mientras que otras 11 avanzan en la quinta etapa del programa. Para estas tareas se emplean equipos de termonebulización, tecnología ULV, aspersión manual y drones, con el propósito de hacer más eficiente el control del insecto y reducir el impacto ambiental.</t>
  </si>
  <si>
    <t>Control lirio acuático</t>
  </si>
  <si>
    <t>Las autoridades de Protección Civil de Hidalgo advirtieron que decenas de familias continúan habitando en sitios considerados de alto riesgo, por lo que reiteraron el llamado a trasladarse a lugares seguros para evitar que futuras lluvias pongan en peligro su vida. El subsecretario de Protección Civil y Gestión de Riesgos, Román Bernal Díaz, informó que, tras las afectaciones ocasionadas por las intensas precipitaciones de 2025, se han evaluado más de 40 zonas vulnerables distribuidas en 28 municipios del estado. Explicó que, como parte del programa de reconstrucción impulsado por la Secretaría de Desarrollo Agrario, Territorial y Urbano (Sedatu), las autoridades revisarán los terrenos donde se proyecta construir viviendas para las familias afectadas, con el propósito de garantizar que se encuentren fuera de cualquier área de riesgo. Señaló que uno de los casos más complejos es el de Tianguistengo, donde la topografía de la región ha dificultado encontrar espacios adecuados para la reubicación de quienes perdieron o dañaron su patrimonio. El funcionario recordó que muchas viviendas se localizan en laderas inestables o cerca de cauces que durante la temporada de lluvias pueden registrar deslaves, caída de rocas o desbordamientos. Finalmente, insistió en que las recomendaciones emitidas por Protección Civil buscan prevenir pérdidas humanas, ya que fenómenos similares a los registrados el año pasado podrían repetirse en cualquier momento.</t>
  </si>
  <si>
    <t>Reubicación de viviendas</t>
  </si>
  <si>
    <t>Daniel Martínez comenta que a través de WhastApp ha recibido muchos videos e imágenes de colectivas y vehículos e incluso de un camión recolector de basura que se han quedado atascados en Rincones de la Hacienda en la comunidad de Jaltepec. Asimismo, dice que hay varias comunidades que están en la misma situación como es la de San Nicolás El Chico, que hace más de un año habitantes entregaron un pliego petitorio que no ha sido respondido hasta el momento.</t>
  </si>
  <si>
    <t>Vía telefónica una habitante de Rincones de la Hacienda Tercera Sección informó que no cuentan con un camino adecuado para poder transitar a la ciudad de Tulancingo y por las mismas condiciones la integridad de las personas se ve comprometida. a pregunta expresa confirma que el camión recolector de basura y otros vehículos han quedado atascados en esa vía. Señala que padece cáncer y las malas condiciones del camino le dificulta salir en caso de emergencia. Asimismo dijo que se está haciendo la reparación del camino principal, por lo que está cerrado, y la vía alterna está muy mal planeada pues pone en riesgo la integridad de la población. Pide a las autoridades competentes hagan algo.</t>
  </si>
  <si>
    <t>Capacita IHE a docentes de Educación Especial de la región Tula-Tepeji</t>
  </si>
  <si>
    <t>Educación especial</t>
  </si>
  <si>
    <t>Vía telefónica Héctor, vecino de Jaltepec comenta que el libramiento hacia Jaltepec tiene cráteres y hay nula seguridad. Asevera que as patrullas solo se paran en la forrajera y es todo, "no tenemos presencia policiaca y que como habitante de este lugar le gustaría que pusieran atención en estos temas y no nada más hagan bacheo cuando va a ser la feria".</t>
  </si>
  <si>
    <t>Por medio de un comunicado, el Gobierno Municipal de Tulancingo rechazó “cualquier intento de utilizar demandas ciudadanas como instrumento de presión o confrontación para favorecer intereses personales o de grupo, por encima del interés general”. El posicionamiento fue presentado luego de que un grupo de habitantes de la localidad de Jaltepec, perteneciente al municipio de Tulancingo, se manifestó en la sede de presidencia municipal para exigir al gobierno local una serie de obras y acciones. A bordo de autobuses, los manifestantes arribaron al edificio público la mañana del miércoles 1 de julio; al llegar, mostraron cartulinas con parte de sus demandas, sobre todo señalando obra pública y seguridad. Funcionarios municipales atendieron a los manifestantes, llevando a cabo una reunión donde el Secretario General del Ayuntamiento, Edmundo Aguilar Aranda, señaló que uno de los proyectos contemplados en este año es la pavimentación del acceso principal a la colonia Emiliano Zapata. Ello en el tramo donde se localizan la Unidad Deportiva y la Telesecundaria 278, pero dicha propuesta no fue aceptada por los manifestantes. Aguilar Aranda señaló que el recurso disponible era el único con el que contaba la administración para iniciar el proyecto, lo que no convenció a los manifestantes. Los manifestantes se retiraron de la sede de la alcaldía sin aceptar las propuestas presentadas y por tanto, sin concretar ningún acuerdo con las autoridades. Poco antes de retirarse, los mismos manifestantes recorrieron parte del edificio de presidencia municipal gritando consignas señalando que no permitirían la realización de la Expo Feria, contemplada para llevarse a cabo a partir de finales del presente mes de julio. En el comunicado señala que el Gobierno de Tulancingo conoció formalmente el verdadero pliego petitorio hasta concluir el encuentro con los manifestantes. “El Gobierno de Tulancingo hace una clara distinción entre las legítimas necesidades de las familias de Jaltepec, que han sido atendidas mediante diversas mesas de trabajo, y la participación de actores con intereses políticos que estuvieron presentes durante la reunión”. “Entre ellos se identificó al señor Pedro Soto Ortega, padre del exalcalde Julio Soto Márquez y del actual síndico hacendario municipal, Pedro Hiram Soto, así como a exfuncionarios de la administración anterior”, se señala en la parte final del comunicado. Finalmente, se señaló que “las decisiones del Gobierno Municipal se toman con base en criterios técnicos, financieros y de justicia social, nunca bajo presiones políticas ni condicionamientos ajenos al bienestar de la población”. Estableció que los canales de comunicación con los vecinos de Jaltepec continuarán abiertos.</t>
  </si>
  <si>
    <t>La falta de pavimentación, problemas en el suministro de agua potable, deficiencias en el drenaje y el deterioro de los servicios públicos motivaron la manifestación de habitantes de Jaltepec y colonias de los alrededores en presidencia municipal de Tulancingo, la mañana de este miércoles. Desde las primeras horas de atención del Ayuntamiento, los manifestantes arribaron con pancartas al tercer piso del edificio municipal , fueron atendidos por funcionarios del gobierno municipal. El secretario general municipal recibió a una comisión de vecinos e hizo un llamado a mantener el diálogo en un ambiente de respeto y de manera pacífica. No obstante, los habitantes respondieron que no acudían a negociar sus demandas, sino a exigir soluciones concretas. Más tarde, los manifestantes siguieron con el diálogo en el auditorio de la presidencia, poco más de dos horas con autoridades municipales, entre ellas los titulares de la Comisión de Agua y Alcantarillado del Municipio de Tulancingo (CAAMT), Obras Públicas y Servicios Municipales. Durante la reunión, las autoridades informaron que Jaltepec se encuentra contemplado para la ejecución de obras durante 2027 y, mientras tanto, propusieron realizar trabajos de nivelación y emparejamiento de calles. La propuesta fue rechazada por los vecinos, quienes insistieron en que requieren pavimentaciones y acciones inmediatas. La otra cara de la Expo Feria Tulancingo: inundaciones y gastos extra para habitantes de Las Glorias. Al concluir el encuentro no se alcanzó ningún acuerdo. Los funcionarios se retiraron del lugar; por ello, los habitantes señalaron que continuarán la protesta hasta que exista un compromiso formal para ejecutar las obras que solicitan</t>
  </si>
  <si>
    <t>Las investigaciones para localizar a los trabajadores de la Comisión Federal de Electricidad (CFE) desaparecidos continúan, mientras las autoridades de Hidalgo mantienen coordinación con otras entidades ante la posibilidad de que ambos se encuentren fuera del estado. El encargado del despacho de la Procuraduría General de Justicia del Estado de Hidalgo, Francisco Fernández Hasbun, informó que la carpeta de investigación contiene información relevante; sin embargo, señaló que por el momento no puede ser revelada para no afectar las diligencias. Asimismo, indicó que las camionetas oficiales en las que viajaban Adolfo López Saldaña, de 40 años, y Marco Antonio Sarmiento García, de 60 años, permanecen bajo resguardo de las autoridades y serán entregadas una vez que concluyan los peritajes correspondientes. De manera paralela, continúan los operativos de búsqueda en Tenango de Doria y otros puntos de la región, con la participación de la Policía Estatal, corporaciones municipales, la Guardia Nacional y la Fiscalía General de la República (FGR), instancia que encabeza las investigaciones. Por su parte, el secretario de Seguridad Pública de Hidalgo, Salvador Cruz Neri, aseguró que las acciones de búsqueda no serán suspendidas hasta localizar a ambos trabajadores. Añadió que los recorridos se realizan de forma permanente, en coordinación con autoridades de Puebla, debido a que la desaparición ocurrió en una zona cercana a los límites entre ambas entidades.</t>
  </si>
  <si>
    <t>Daniel Martínez e Izza Hernández, respecto a la fala de transporte transporte colectivo para personas con discapacidad en Tulancingo y otras partes del estado comentan que aún falta mucho por hacer en temas de inclusión. Destacan que ni en Pachuca se cuenta con tantas unidades adaptadas, solo 8 del Tuzobús. Daniel Martínez: y del Tuzobús nada más (8), rutas háganle bolas como puedan. Ocho unidades en Pachuca y cero en Tulancingo, pfff!!! (en tono de lamento)</t>
  </si>
  <si>
    <t>Movilidad incluyente</t>
  </si>
  <si>
    <t>De aproximadamente un millar de unidades para transporte colectivo de pasajeros que ofrecen servicio para municipios del Valle de Tulancingo, ninguna está adaptada para servicio a personas con discapacidad o con necesidades especiales de movilidad. Sólo existen tres unidades de transporte individual (taxi), adaptadas para servicio a este sector de la población; los vehículos están asignados al sitio del Centro de Rehabilitación Integral Regional, ubicado en Santiago Tulantepec. En recorrido realizado por Ultra Noticias Hidalgo, algunos operadores de transporte colectivo de pasajeros reconocieron que en promedio, el diez por ciento de los usuarios son personas con discapacidad temporal o permanente, así como adultos mayores, que requieren atención especial a sus necesidades de movilidad. Se calcula que cada unidad para transporta a un promedio de 190 pasajeros diariamente en aproximadamente 70 rutas que prestan servicio en la región Tulancingo. Algunos de los operadores consultados señalaron que han comentado con los concesionarios o representantes de rutas la necesidad de contar con unidades adaptadas para servicio a este grupo de población, pero sin reacción alguna hasta el momento. La Ley del Sistema de Transporte para el Estado de Hidalgo en su última reforma publicada en el Periódico Oficial del Estado de Hidalgo el 19 de abril del 2004, no contempla ninguna obligación de que las rutas de transporte público de pasajeros tengan algún porcentaje de unidades adaptadas. Sólo el numeral 2 del artículo 48, señala que está considerado el servicio de transporte en educación Especial: “Es el que se destina al traslado de alumnos discapacitados o de centros de educación especial”, se señala. En ciudades como Guadalajara, Aguascalientes y Mérida, por ejemplo, existen unidades adaptadas para servicio a personas con discapacidad permanente o temporal, así como con necesidades especiales de movilidad. En Pachuca, sólo están adaptadas ocho unidades del Sistema de Transporte Metropolitano, antes conocido como Tuzobús.</t>
  </si>
  <si>
    <t>Andrés Torres en respuesta a un radioescucha (no da lectura al aire del comentario) señala que hoy Radio y Televisión se encuentra en el ojo del huracán y hay muchas, muchas publicaciones todos los días.</t>
  </si>
  <si>
    <t>Mara Olvera y su columna Ajedrez Político habla que la participación ciudadana en el gobierno de Julio Menchaca ha roto los paradigmas, con lo que, la aprobación del gobernador ha aumentado, gracias a las acciones para dar respuesta a las necesidades del gobernador. El proyecto de alternancia de Julio Menchaca ha roto todos los esquemas políticos del antiguo régimen, creando las bases de la evolución social para que la participación ciudadana constituya la nueva visión del porvenir de Hidalgo.</t>
  </si>
  <si>
    <t>Nuevo modelo de gobierno</t>
  </si>
  <si>
    <t>Mara Olvera</t>
  </si>
  <si>
    <t>Vía telefónica Milton Cortés informó que el diputado Miguel Moreno presentó una iniciativa para declarar el segundo domingo de julio como el Día Estatal de la Barbacoa, con el propósito de reconocer y preservar esta tradición gastronómica que forma parte de la identidad, cultura e historia del estado. La propuesta también busca fortalecer el turismo y reconocer el trabajo de las familias que mantienen vivo este legado ancestral.</t>
  </si>
  <si>
    <t>Iniciativa</t>
  </si>
  <si>
    <t>Realiza IHE Feria de la Salud para fortalecer hábitos saludables en la niñez</t>
  </si>
  <si>
    <t>Vida Saludable</t>
  </si>
  <si>
    <t>Uplaph trabaja en alternativas para mejorar la movilidad en Pachuca</t>
  </si>
  <si>
    <t>Ordenamiento Territorial</t>
  </si>
  <si>
    <t>Radioescucha, Samperio Ortiz: un llamado al ex Tuzobús que sigue igual o peor. de nada han servido las nuevas unidades ya que no hay horarios que se cumplan.</t>
  </si>
  <si>
    <t>Deficiencias Tuzobús</t>
  </si>
  <si>
    <t>Andrés Torres comenta que el gobernador ha hecho mención que en las administraciones pasadas había secretarios que rentaban edificios, maquinaria, tenían servicios de proveeduría y esto era muy oneroso para el gobierno y actualmente ya no era viables para ser ocupados. en este sentido destaca que en la administración de Julio Menchaca se hizo un análisis para verificar y reducir la renta de estos inmuebles y un buen ejemplo es que el gobernador vive en su casa y no necesitó irse a vivir a la "Casa de Gobierno", espacio que se rehabilitó para albergar oficinas del Transporte. Estas acciones han servido para ahorrar 8 millones de pesos y una vez que estén listas las nuevas instalaciones el ahorro será mayor.</t>
  </si>
  <si>
    <t>RecuperaciónRecuperación Del Patrimonio</t>
  </si>
  <si>
    <t>Menchaca Salazar fortalece capacidad operativa del gobierno de Hidalgo</t>
  </si>
  <si>
    <t>En Tolcayuca andan muy ocupados realizando los videos de la obra de la red de agua potable que han logrado gestionar y realizar junto con el gobierno. Estas imágenes serán presentadas en el informe del gobernador Julio Menchaca.</t>
  </si>
  <si>
    <t>Informe De Gobierno</t>
  </si>
  <si>
    <t>Andrés Torres comenta que en Radio Tlanchinol están al aire de forma intermitente debido a los constantes cortes de luz que hay en al zona y porque no hay diesel para la planta de luz, situación que es responsabilidad del área administrativa y no de la de la Dirección de Radio. Situación que han estado reportando responsablemente.</t>
  </si>
  <si>
    <t>Andrés Torres comenta que casi se cumplen res meses fura del aire en el 1010 AM El Vocero huasteco, esto debido a las razones que ya ha explicado antes ( No sirve el transformador y no hay diesel para la panta de luz).</t>
  </si>
  <si>
    <t>Viviendas afectadas, negocios inundados y vehículos varados fue el saldo que dejó una tormenta registrada la tarde de este miércoles en la capital hidalguense. De acuerdo con reportes del personal de emergencia, una de las zonas que sufrió el mayor impacto fue el sector que comprende las colonias Rojo Gómez y Piracantos, en estos puntos, los niveles del agua superaron las banquetas e ingresaron a diversos establecimientos comerciales y casas habitación, causando severas afectaciones materiales. La infraestructura vial también se vio rebasada por la cantidad de precipitación, en el bulevar Felipe Ángeles, específicamente a la altura del Estadio Hidalgo, las autoridades se vieron en la necesidad de implementar un cierre vehicular total en ambos sentidos debido a la crecida del agua, la cual dejó atrapados a varios automovilistas. Elementos de la secretaría de seguridad pública municipal, desplegaron un operativo en las zonas críticas para auxiliar a peatones y estudiantes que quedaron varados, ayudándoles a cruzar las calles inundadas y resguardando su integridad física.</t>
  </si>
  <si>
    <t>Afectaciones Por Lluvias</t>
  </si>
  <si>
    <t>Una investigación de la UAEH reveló que la presa Endhó registra la mayor concentración de residuos plásticos entre los cuerpos de agua analizados en la región Tula-Tepeji, además de presentar niveles de oxigenación prácticamente nulos, lo que refleja el deterioro ambiental que enfrenta. El estudio advierte que el agua de la presa utilizada para el riego de cultivos en el Valle del Mezquital contiene partículas de microplásticos que podrían llegar a los suelos agrícolas. El estudio es encabezado por Giovanni Enrique Bornacelli Camargo, investigador de la Escuela Superior de Tepeji del Río, de la Universidad Autónoma del Estado de Hidalgo (UAEH) y por el estudiante Jesús Barreitos Ángeles. AUDIO ENTREVISTA</t>
  </si>
  <si>
    <t>UAEH</t>
  </si>
  <si>
    <t>Informa conductor Jesús González que el día de hoy en el evento de videomapping en Pachuca, el gobernador Julio Menchaca estará presente.</t>
  </si>
  <si>
    <t>Video Mapping</t>
  </si>
  <si>
    <t>La pasión mundialista continúa en Hidalgo con homenajes a leyendas del fútbol a través del videomapping</t>
  </si>
  <si>
    <t>El gobernador del Estado de Hidalgo, Julio Menchaca Salazar, descartó aplicar ley seca con motivo de los festejos deportivos; señaló que confía en la responsabilidad ciudadana y un ambiente de convivencia. AUDIO APOYO JMS</t>
  </si>
  <si>
    <t>En el tema de la supuesta multa que recibirían integrantes del cabildo de Tula, regidores, regidoras, síndicas y el presidente municipal, el alcalde Cristian Martínez dijo que se está atendiendo el tema, AUDIO APOYO</t>
  </si>
  <si>
    <t>Multas</t>
  </si>
  <si>
    <t>El presidente municipal de Tula, Cristhian Martínez, fue cuestionado por las observaciones que le realizó la ASEH, y señaló que la administración atenderá puntualmente las observaciones realizadas a su gobierno por la auditoría en relación a la cuenta pública 2025, por lo que descartó dificultades. AUDIO APOYO</t>
  </si>
  <si>
    <t>Entrevista vía telefónica a Jorge Valverde Islas, Auditor Superior del Estado, con el tema : Cuenta Pública. Comentó que el día martes estuvo en el congreso del estado, en donde por ley se entregaron los resultados de la cuenta pública 2025. En este primer corte presentó el primer avance de 42 entidades auditadas, se acumularon 46 millones de observaciones. El municipio de Tula con mayor número de observaciones, con 17 millones 671 mil 86.16 pesos,Tulancingo de Bravo, con 5 millones 743 mil 297.26 pesos; y Pachuca de Soto, con 5 millones 43 mil 614.20 pesos. En cuanto a organismos descentralizados municipales, el importe asciende a 9 millones 6 mil 566.52 pesos, siendo los de mayor monto la Comisión de Agua y Saneamiento de Ajacuba, con 3 millones 486 mil 209.81 pesos, y el Instituto Municipal para la Prevención de Adicciones de Pachuca de Soto, con más de un millón de pesos. En este sentido, el auditor indicó que las entidades fiscalizadas cuentan con un plazo de 30 días hábiles a partir de la notificación de su informe individual para presentar la documentación que acredite la solventación de las observaciones correspondientes. En caso de que no se solventen algunos temas, se pasan al área de investigación y se hacen los análisis respectivos para ver si las observaciones dan para una posible denuncia penal o para un informe de presunta responsabilidad administrativa. Se llevará a cabo más entregas para el congreso el 30 de junio y después el 30 de octubre y el 20 de febrero, y finalizamos la cuenta pública 2025, para empezar a trabajar después en la 2026. También informo que el día lunes se firmó convenio con la Auditoría Superior de la Federación después de que este convenio se dejó de realizar en el 2018; esto nos va a permitir poder fiscalizar recursos federales a los municipios.</t>
  </si>
  <si>
    <t>En Huehuetla se realizará Jornada de la Salud con atención médica gratuita</t>
  </si>
  <si>
    <t>Jornada de salud</t>
  </si>
  <si>
    <t>Menchaca Salazar fortalece capacidad operativa del gobierno de Hidalgo (AUDIO JMS)</t>
  </si>
  <si>
    <t>En Achichilco, municipio de Tezontepec de Aldama. Un hombre fue asesinado a balazos en su casa, durante la tarde del miércoles. Hombres armados irrumpieron en la vivienda y dispararon, dándole muerte. Ya se inició la carpeta de investigación para esclarecer los hechos.</t>
  </si>
  <si>
    <t>El presidente nacional de la Cámara de Autotransportes de Carga, Augusto Ramos Melo, advirtió que en México se registra un asalto cada 50 minutos, uno cada 50 minutos contra unidades de carga, siendo 10 estados, entre ellos Hidalgo, los estados con mayor incidencia al centrarse ya cerca del 90% de los robos. Hidalgo no se queda atrás, está dentro de los 10 estados en donde se concentra el 96% de los robos en el país.Ramos Melo explicó que los asaltos son más violentos si se concentran en el centro del país. Ahí está concentrado el S-10, esos 10 estados representan realmente el 96% de todos los robos en el país. AUDIO DE APOYO</t>
  </si>
  <si>
    <t>Vecinos de Tepeji del Río se manifestaron ayer en la sesión de Cabildo para exigir obras y que estás sean de calidad. Se dirigieron a los regidores ya que se les indicó que la presidenta Tania Valdés no se encontraba en el lugar. Después de varias horas vecinos y regidores de oposición acordaron que el próximo jueves volverán y cerrarán las instalaciones del municipio como medida de presión. AUDIOS DE manifestantes y regidores</t>
  </si>
  <si>
    <t>En otros temas, habitantes de las colonias Jaltepec, Vista Real y Las Glorias se manifestaron este martes frente a la presidencia municipal de Tulancingo para exigir mejores servicios públicos y denunciar la falta de cumplimiento a los compromisos para rehabilitar realidades. Los inconformes, pues están cansados, señalaron que pese a las solicitudes realizadas a las autoridades municipales, persisten diversas carencias que afectan su calidad de vida, por lo que demandaron una respuesta inmediata. La protesta fue atendida por el secretario municipal, quien dialogó con una comisión de vecinos.Sin embargo, durante el encuentro, los ánimos se tensaron debido a la inconformidad de los manifestantes, quienes insistieron en obtener solicitudes concretas y fechas para atender sus demandas. La protesta fue atendida por el secretario municipal, quien dialogó con una comisión de vecinos, quienes insistieron en obtener solicitudes concretas y fechas para atender sus demandas. AUDIO DE APOYO</t>
  </si>
  <si>
    <t>Exigen rehabilitación vial</t>
  </si>
  <si>
    <t>Tras tres días de protesta, concluyó el bloqueo y la retención de unidades del transporte público en la comunidad de Santa María Magdalena, en el municipio de Tepeji del Río. Luego de que autoridades estatales y concesionarios acordaran fijar una tarifa de 14 pesos, la movilización inició cuando usuarios denunciaron un incremento del pasaje de 11 a 17 pesos, al considerar que el aumento era arbitrario y excedía la tarifa autorizada. Después de bloquear, de retener las unidades, fueron escuchados por las autoridades y ya en una mesa de diálogo en Pachuca, en la que participaron representantes de la comunidad, autoridades y transportistas, se alcanzó el acuerdo que permitió liberar las combis y restablecer el servicio. Los habitantes señalaron que permanecerán atentos al cumplimiento de los compromisos pactados para que no se anden pasando de lanza.</t>
  </si>
  <si>
    <t>Elementos de la Policía Ministerial del Estado de Hidalgo ejecutaron un orden de aprehensión contra Héctor VH, ex titular del Instituto de la Defensoría Pública de Nuevo León, por su presunta responsabilidad en el delito de violencia vicaria y violación. De acuerdo con la información del Centro Nacional de Detenciones de la Secretaría de Seguridad Pública, Héctor N fue detenido este miércoles a las 15 horas en Tehuetlán, Hidalgo. La detención deriva de la causa penal 137-2026, iniciada tras la denuncia presentada por Jéssica VZ, expareja del imputado, quien denunció que éste se llevó a sus dos hijos, ambos de 5 años de edad, con el argumento de salir de vacaciones y posteriormente se negó a regresarlos.Según la denuncia, los menores habrían sido sustraídos de la Ciudad de México en diciembre de 2024 y trasladados a Nuevo León, donde han permanecido sin que la madre pueda convivir con ellos. Este exfuncionario de Nuevo León, Héctor N, era trabajador del ahora gobernador de Nuevo León, Samuel García. Es la información que está resultando al momento.</t>
  </si>
  <si>
    <t>Aprehensión</t>
  </si>
  <si>
    <t>Sin duda, el Estado de Hidalgo ha venido combatiendo el problema del huachicol ya desde hace al menos 10 años, donde se dijo que se iba a atacar de manera directa. Y con estos trabajos se ha descubierto que ahora los delincuentes, los huachicoleros, pues han optado por otras estrategias ante la contingencia, el trabajo que se ha hecho con cuerpos de seguridad. ¿De qué le estoy hablando? Ya se han encontrado cerca de 18 túneles huachicoleros en el Estado en este combate a la delincuencia.En Pachuca de Soto, el Gabinete de Seguridad, integrado por servidores públicos del ámbito estatal y federal, acudieron al lugar donde se encontraba un túnel con toma clandestina sellada que permanecía abierta. De acuerdo con información oficial, este túnel subterráneo habría operado durante aproximadamente dos años. Imagínense usted cuánto combustible no se ordeñó de esta toma, tiempo en el que presuntamente fue utilizado para la ordeña de ductos de combustible para el huachicol.Ya le comentaba, Hidalgo acumula 18 túneles huachicoleros identificados en distintos municipios, lo que sin duda pone en evidencia la persistencia de las operaciones relacionadas con el robo de hidrocarburo en la región. ¿Y cuánto los delincuentes le están invirtiendo para encontrar la forma de seguir ordeñando? AUDIO DE APOYO</t>
  </si>
  <si>
    <t>Gabinete de Seguridad</t>
  </si>
  <si>
    <t>Siguiendo con este tema, la secretaria del Medio Ambiente e Hidalgo, Mónica Mixtega, habló sobre la trituración de este lirio en la presa Endhó. AUDIO DE APOYO</t>
  </si>
  <si>
    <t>El gobierno de México reportó una reducción histórica del Lirio acuático en la presa Endhó de acuerdo con la Conagua. La superficie afectada pasó de novecientos hectáreas en octubre de dos mil veinticinco a cuatrocientos cuarenta y tres hectáreas en junio de este año, gracias al retiro de más de ciento cinco mil metros cúbicos de maleza. Además, la campaña permanente de fumigación ha beneficiado a veintisiete comunidades ribereñas. AUDIO DE APOYO</t>
  </si>
  <si>
    <t>Hablemos de Tula, de la de los trabajos que se están realizando en este cuerpo de agua. Durante la conferencia mañanera, la presidenta de México, Claudia Sheinbaum Pardo, dijo que se está trabajando en el saneamiento del río Tula. “Lo que se está haciendo tanto en la presa Endo como en el río Tula, como en el Valle del Mezquital, porque se está trabajando muchísimo por parte de la Conagua en el saneamiento de toda esa zona”. AUDIO DE APOYO</t>
  </si>
  <si>
    <t>Saneamiento río Tula</t>
  </si>
  <si>
    <t>La secretaria de Hacienda del estado, Esther Ramírez, informó que finalizó el programa de Refrendo Vehicular con beneficios, en el mismo se logró una recaudación de 650 millones de pesos. AUDIO DE APOYO.</t>
  </si>
  <si>
    <t>Hacienda</t>
  </si>
  <si>
    <t>Refrendo Vehicular</t>
  </si>
  <si>
    <t>COMENTA LOCUTOR QUE: El esta de acuerdo con lo mencionado por el gobernador y cita el hecho de que en Ixmiquilpan zarandearon una patrulla y en Actopan se pelearon dos mujeres, festejemos con mesura.</t>
  </si>
  <si>
    <t>El gobernador de Hidalgo, Julio Menchaca Salazar, lamentó los hechos ocurridos en Zempoala, donde un automovilista arrolló a ciudadanos que festejaban el triunfo de México e invitó a la ciudadanía a no excederse en los festejos y respetar a terceras personas. AUDIO DE APOYO.</t>
  </si>
  <si>
    <t>La barbacoa hidalguense podría tener su propio día oficial, sí, como lo escucha, un día especial a nivel estatal para la barbacoa, este platillo riquísimo, típico de la región del Valle del Mezquital, pero que ya se ha extendido a otras regiones del estado. Diputados presentaron una iniciativa para declarar el segundo domingo de julio como el día estatal de la barbacoa, con el fin de reconocer su valor cultural, turístico y económico. AUDIO DE APOYO.</t>
  </si>
  <si>
    <t>El gobierno de Hidalgo estatal puso en marcha nuevas oficinas, almacenes y maquinaria para mejorar la atención a la población, destacó el gobernador Julio Menchaca. AUDIO DE APOYO “Prefiero el estar siendo sujeto de una crítica por la adquisición de maquinaria, por la construcción de inmuebles, por el mejor equipamiento, por las mejores condiciones laborales a simplemente nadar de muertito y dejar que las cosas sigan como estuvieron, en complicidad durante mucho tiempo.”</t>
  </si>
  <si>
    <t>Conductor Eulalio Larrieta pide que la policía de tránsito y vialidad chequee el paso peatonal que está aquí, de los Portales al Teatro, aquí en Plaza Juárez, ya que está muy peligroso; ya lo comenté en otras ocasiones.</t>
  </si>
  <si>
    <t>Seguridad peatonal</t>
  </si>
  <si>
    <t>Radioescucha comenta que ya quitaron los conos del retorno para el Tuzobús en Siglo XXI, pide a las autoridades que les corresponda checar eso, ya que el semáforo para peatones es muy peligroso y sin los conos aún más; cada que queremos cruzar nos avientan los carros.</t>
  </si>
  <si>
    <t>Balizamiento</t>
  </si>
  <si>
    <t>Radioescucha comenta: ¿Se podría regularizar la velocidad de las micros, de los taxis, de los vehículos particulares y camiones de carga pesada?, ya que en la zona centro se pasan las boyas, no respetan y siempre van a exceso de velocidad.</t>
  </si>
  <si>
    <t>Radioescucha reporta que Caasim no ha ido a checar el drenaje tapado en calle Quintana Roo del Barrio del Mosco.</t>
  </si>
  <si>
    <t>Drenaje tapado</t>
  </si>
  <si>
    <t>Radioescucha reporta en Boulevard Felipe Ángeles por Plaza Bicentenario , nadie acurre arreglar el registro sin tapa</t>
  </si>
  <si>
    <t>Alcantarillado</t>
  </si>
  <si>
    <t>Radioescucha Melitón Sanchez comenta : Otro incremento en el estacionamiento de Galerias</t>
  </si>
  <si>
    <t>Cobro de estacionamiento</t>
  </si>
  <si>
    <t>Ante el inicio de la temporada de lluvias, IMSS Bienestar Hidalgo exhorta a la población a reforzar las medidas de prevención y autocuidado para reducir riesgos a la salud asociados con la humedad, la contaminación del agua y la acumulación de recipientes que pueden convertirse en criaderos de mosquitos.La jefa de Servicios de Atención a la Salud de IMSS Bienestar Hidalgo, María Concepción Centeno Ramos, explicó que durante esta época del año pueden incrementarse los casos de enfermedades gastrointestinales, infecciones respiratorias y padecimientos transmitidos por vector, por lo que resulta fundamental fortalecer las acciones preventivas desde el hogar.</t>
  </si>
  <si>
    <t>El presidente municipal de Pachuca, Jorge Alberto Reyes, informó sobre el inicio de la campaña “Colonia x Colonia”, la cual busca llevar servicios de gobierno municipal directamente a las colonias de Pachuca. Ayer iniciaron en la colonia San Miguel Cerezo.AUDIO APOYO</t>
  </si>
  <si>
    <t>Policia estal refuerza monitoreo y apoyo preventivo por lluvias</t>
  </si>
  <si>
    <t>El diputado Miguel Ángel Moreno Zamora presentó una iniciativa para declarar el segundo domingo de julio como el Día Estatal de la Barbacoa en Hidalgo, con el propósito de reconocer, preservar, promover y difundir una de las expresiones gastronómicas más representativas de la entidad.Durante una conferencia de prensa, el legislador destacó que la barbacoa forma parte del legado ancestral de los pueblos originarios y representa un símbolo de identidad, además de constituir una importante fuente de ingresos para cientos de familias hidalguenses.Asimismo, resaltó la relevancia de la Feria de la Barbacoa de Actopan, con más de cinco décadas de historia, al considerar que impulsa el turismo, preserva las tradiciones y fortalece la economía local.</t>
  </si>
  <si>
    <t>Comenta Eulalio Larrieta: Debemos respetar; si no se respetan, las cosas se complican. Imagínense si alguien viene enfermo, debemos tener mucho cuidado en ello. Por ejemplo, lo que pasó en Los Cabos, sobre la familia que estaba también festejando y pasa en su carro y empiezan a mover su coche, se jala y golpea a unas personas , lo detienen y la gente lo golpea en el hospital, pierde la vida de los golpes que le dieron. Iba con sus hijos; imagínense la impotencia de la mujer, o también pensar en las personas que perdieron la vida en la CDMX por asfixia.</t>
  </si>
  <si>
    <t>Tras el incidente ocurrido en el fraccionamiento Viñedos, durante los festejos por el Juego de la Selección Mexicana, en donde una persona resultó lesionada tras ser embestida por un vehículo, el gobernador Julio Menchaca hizo un exhorto a la ciudadanía a realizar festejos en plazas públicas con orden y respeto para evitar accidentes. Detalló que existe coordinación entre policías estatales, municipales y protección civil para atender emergencias o incidentes derivados de estos festejos. AUDIO APOYO JMS</t>
  </si>
  <si>
    <t>El gobierno de Reino Unido emitió una alerta de viaje para los aficionados que asistan al partido México vs. Inglaterra del Mundial 2026, a celebrarse el domingo 5 de julio en el Estadio Ciudad de México. Paralelamente, la presidenta Claudia Sheinbaum defendió que el país es seguro para el turismo. La mandataria mexicana aseguró que "es seguro visitar el país" y destacó que el turismo ha crecido de manera importante. Tras los trágicos incidentes viales que dejaron cuatro fallecidos durante los festejos de la Selección Mexicana, Sheinbaum indicó que el gobierno de la Ciudad de México instaló medidas adicionales y más pantallas en Paseo de la Reforma para evitar aglomeraciones en un solo punto.</t>
  </si>
  <si>
    <t>El Gobierno del Reino Unido emitió una alerta de seguridad para sus ciudadanos previo al partido de octavos de final entre México e Inglaterra (programado para el 5 de julio de 2026), advirtiendo sobre el robo de celulares, bebidas adulteradas, los riesgos en eventos multitudinarios y la violencia en 11 estados del país.</t>
  </si>
  <si>
    <t>El Comité Ejecutivo Estatal del PVEM en Hidalgo separó temporalmente de su cargo a Fátima Michelle Melo Arteaga (secretaria de Vinculación Ciudadana y excandidata a diputada local). Esta medida se tomó tras su detención en el municipio de Tetepango por su presunta participación en detonaciones de arma de fuego.</t>
  </si>
  <si>
    <t>PVEM</t>
  </si>
  <si>
    <t>Destitución</t>
  </si>
  <si>
    <t>Partidos</t>
  </si>
  <si>
    <t>La Secretaría de Educación Pública (SEP) informó que el ciclo escolar 2025-2026 concluirá el miércoles 15 de julio de 2026. Posteriormente, los días 16 y 17 de julio se llevará a cabo el Taller Intensivo para Personal Docente, lo que marca el cierre formal de actividades escolares. Tras este periodo, iniciarán las vacaciones de verano para estudiantes de nivel básico en todo el país.</t>
  </si>
  <si>
    <t>Regreso A Clases</t>
  </si>
  <si>
    <t>La Casa de la Cultura de Progreso de Obregón fue saqueada la madrugada de este miércoles luego de que presuntos ladrones sustrajeran equipo de cómputo, herramientas y material de albañilería. Los objetos robados eran utilizados en los trabajos de rehabilitación del recinto. Hasta ahora, las autoridades no han reportado el monto de lo robado, tampoco si existen detenidos. Tampoco se han detallado las circunstancias del hurto. El robo ocurre un mes después de que el cabildo de Progreso de Obregón aprobara la adhesión del municipio al Mando Coordinado, esquema que busca reforzar la seguridad con corporaciones estatales. Además, se da meses después de la detención en mayo de nueve policías municipales por homicidio calificado y lesiones, mientras el exdirector de Seguridad Pública, Juan José Escamilla Hernández, permanece prófugo. Ambos casos mantienen la atención sobre la crisis de seguridad en el municipio.</t>
  </si>
  <si>
    <t>Asalto a oficinas</t>
  </si>
  <si>
    <t>poco más de dos años del inicio de la actual administración municipal, el gobierno de Ixmiquilpan encabezado por el alcalde Emmanuel Hernández Pascual concretó esta mañana un nuevo relevo en la Secretaría de Seguridad Pública al nombrar a Efraín González Pereyra como nuevo titular de la corporación. Con este nombramiento suman tres los cambios dentro del área. En un mensaje publicado a través de su página oficial de Facebook, el presidente municipal aseguró que el movimiento obedece a un cambio de estrategia en el combate contra la delincuencia y para fortalecer la seguridad en la demarcación.</t>
  </si>
  <si>
    <t>Nombramientos</t>
  </si>
  <si>
    <t>El gobernador de Hidalgo, Julio Menchaca Salazar, condenó los hechos ocurridos en el fraccionamiento Los Viñedos, en el municipio de Zempoala, donde un automovilista arrolló a ciudadanos que celebraban el triunfo de la Selección Mexicana. El mandatario hizo un llamado a la prudencia, pidiendo a la población no excederse en los festejos y respetar a terceras personas para evitar que la euforia ponga en riesgo la seguridad de la ciudadanía.</t>
  </si>
  <si>
    <t>El legislador Avelino Tovar Iglesias y la legisladora María Guadalupe Cruz Montaño (PVEM) presentaron la iniciativa que modifica la Ley de Hacienda para los Municipios del Estado de Hidalgo, con el propósito de promover la mejora regulatoria de los 84 municipios, sin que pierdan su capacidad recaudatoria, estableciendo un esquema donde el municipio fortalezca su hacienda, mediante el pago de derechos de refrendo, pero que libere al comerciante de la carga administrativa de tramitar dictámenes técnicos cada 12 meses.</t>
  </si>
  <si>
    <t>En sesión ordinaria, diputadas y diputados integrantes de la LXVI Legislatura avalaron con 24 votos a favor, cero en contra y cero abstenciones, el acuerdo económico que exhorta a los 84 ayuntamientos en materia de supervisión de ferias, promovido por la legisladora Cynthia Citlali Delgado Mendoza (Morena), emitido por la primera Comisión Permanente de Fortalecimiento y Desarrollo Municipal. La legisladora María del Rosario Guerrero Martínez (Morena) recordó que se les solicita fortalecer acciones de supervisión y vigilancia en ferias y otros eventos, además de promover mecanismos de información y coordinación con los comités organizadores para prevenir conductas que afecten el orden público, la seguridad, la protección de las personas consumidoras o generar afectaciones económicas.</t>
  </si>
  <si>
    <t>Exhorto</t>
  </si>
  <si>
    <t>Secretaría de Cultura abre convocatoria del Programa Muralismo 2026</t>
  </si>
  <si>
    <t>Cultura</t>
  </si>
  <si>
    <t>Gabinete de Seguridad fortalece acciones contra el robo de hidrocarburo con la destrucción de túneles</t>
  </si>
  <si>
    <t>Hidalgo obtiene resultados sin observaciones en la primera entrega de la Cuenta Pública 2025 de la ASF</t>
  </si>
  <si>
    <t>La barbacoa, uno de los platillos más emblemáticos de Hidalgo, podría contar con una fecha oficial para reconocer su importancia cultural y gastronómica. El diputado Miguel Ángel Moreno Zamora presentó una iniciativa para declarar el segundo domingo de julio de cada año como el Día Estatal de la Barbacoa, con el objetivo de preservar y promover esta tradición que forma parte de la identidad hidalguense.</t>
  </si>
  <si>
    <t>La falta de pavimentación, problemas en el suministro de agua potable, deficiencias en el drenaje y el deterioro de los servicios públicos motivaron la manifestación de habitantes de Jaltepec y colonias de los alrededores en presidencia municipal de Tulancingo, la mañana de este miércoles. Durante la protesta, los vecinos fueron recibidos por funcionarios municipales y por el secretario general del Ayuntamiento, Luis Edmundo Aguilar Aranda, aunque manifestaron su inconformidad por la ausencia de la alcaldesa. Los inconformes también advirtieron que, si sus demandas continúan sin ser atendidas, analizarán realizar acciones para impedir o boicotear el desarrollo de la Feria Internacional de Tulancingo 2026, uno de los eventos económicos, turísticos y culturales más importantes del municipio. Luego de la manifestación realizada, el Gobierno de Tulancingo emitió un comunicado en el que aseguró que mantiene abiertos los canales de diálogo con la comunidad y comentó que continuará atendiendo sus necesidades con base en la planeación y la disponibilidad presupuestal. De acuerdo con el Gobierno Municipal, durante la reunión sostenida con los manifestantes los servidores públicos presentaron una propuesta para adelantar la primera etapa de una obra que originalmente estaba contemplada para ejecutarse en 2027.</t>
  </si>
  <si>
    <t>El Ayuntamiento de Pachuca puso en marcha el programa “Colonia x Colonia”, una estrategia con la que busca acercar los servicios municipales a la población mediante jornadas de atención directa en las colonias. La primera edición se realizó en el quiosco de San Miguel El Cerezo. El alcalde señaló que el objetivo del programa es facilitar el acceso de la ciudadanía a los servicios públicos mediante la presencia de las dependencias municipales en las colonias.</t>
  </si>
  <si>
    <t>Una serie de operativos coordinados por la Secretaría de Seguridad Ciudadana (SSC) de Mineral de la Reforma contra el narcomenudeo y el delito local dejó como saldo la detención de seis personas vinculadas al comercio de drogas al menudeo, además de la captura de dos sujetos adicionales por robo calificado y amenazas. Los golpes policiales se derivaron de denuncias vecinales anónimas.</t>
  </si>
  <si>
    <t>Tras la difusión de un video en el que se observa cómo presuntamente un sujeto atropelló a un grupo de personas que festejaban el pase a octavos de final de la selección mexicana en el Mundial de Futbol, el encargado de la Procuraduría General de Justicia del Estado de Hidalgo (PGJEH), Francisco Fernández Hasbún, confirmó que una persona fue detenida y un menor de edad resultó con heridas. En entrevista, el titular de la PGJEH explicó que al presunto responsable se le acusa del delito de lesiones, además de que, al momento, solo un ciudadano ha presentado una querella por lo ocurrido. “Hasta ahorita es la única persona que ha denunciado; si llegaran a denunciar más, derivado de ese hecho, se los informo (…) dependiendo de las lesiones, se le va a presentar (ante un juez)”, afirmó el titular de la PGJEH y dijo que este miércoles se podría tener mayor información sobre el caso.</t>
  </si>
  <si>
    <t>Uplaph trabaja en alternativas para mejorar la movilidad en Pachuca.</t>
  </si>
  <si>
    <t>Locutor Juan Carlos Santamaría informó sobre la maquinaria que entregó el Gobierno del Estado para incrementar y fortalecer su capacidad operativa, con el propósito de brindar mejores servicios a la población.</t>
  </si>
  <si>
    <t>Videollamada permite asistir con éxito un parto de emergencia en Pachuca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</si>
</sst>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6" tableType="queryTable" totalsRowShown="0">
  <autoFilter ref="A1:M216"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6"/>
  <sheetViews>
    <sheetView tabSelected="1" topLeftCell="A181" workbookViewId="0">
      <selection activeCell="D216" sqref="D216"/>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20.85546875" bestFit="1" customWidth="1"/>
    <col min="7" max="7" width="39.5703125" bestFit="1" customWidth="1"/>
    <col min="8" max="8" width="11" bestFit="1" customWidth="1"/>
    <col min="9" max="9" width="11.140625" bestFit="1" customWidth="1"/>
    <col min="10" max="10" width="25.7109375" bestFit="1" customWidth="1"/>
    <col min="11" max="11" width="22.28515625" bestFit="1" customWidth="1"/>
    <col min="12" max="12" width="21.42578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46204</v>
      </c>
      <c r="B2" s="1" t="str">
        <f ca="1">IF(Información1[[#This Row],[Fecha]]='Ajuste de fechas'!$A$2,"Día actual","Día anterior")</f>
        <v>Día anterior</v>
      </c>
      <c r="C2" s="3" t="s">
        <v>16</v>
      </c>
      <c r="D2" t="s">
        <v>66</v>
      </c>
      <c r="E2" s="3" t="s">
        <v>105</v>
      </c>
      <c r="F2" s="3" t="s">
        <v>38</v>
      </c>
      <c r="G2" s="3" t="s">
        <v>71</v>
      </c>
      <c r="H2" s="3" t="s">
        <v>8</v>
      </c>
      <c r="I2" s="3" t="s">
        <v>7</v>
      </c>
      <c r="J2" s="3" t="s">
        <v>35</v>
      </c>
      <c r="K2" s="3" t="s">
        <v>67</v>
      </c>
      <c r="L2" s="3" t="s">
        <v>24</v>
      </c>
      <c r="M2">
        <v>1</v>
      </c>
    </row>
    <row r="3" spans="1:13" x14ac:dyDescent="0.25">
      <c r="A3" s="2">
        <v>46204</v>
      </c>
      <c r="B3" s="1" t="str">
        <f ca="1">IF(Información1[[#This Row],[Fecha]]='Ajuste de fechas'!$A$2,"Día actual","Día anterior")</f>
        <v>Día anterior</v>
      </c>
      <c r="C3" s="3" t="s">
        <v>54</v>
      </c>
      <c r="D3" t="s">
        <v>55</v>
      </c>
      <c r="E3" s="3" t="s">
        <v>106</v>
      </c>
      <c r="F3" s="3" t="s">
        <v>6</v>
      </c>
      <c r="G3" s="3" t="s">
        <v>74</v>
      </c>
      <c r="H3" s="3" t="s">
        <v>8</v>
      </c>
      <c r="I3" s="3" t="s">
        <v>14</v>
      </c>
      <c r="J3" s="3" t="s">
        <v>35</v>
      </c>
      <c r="K3" s="3" t="s">
        <v>49</v>
      </c>
      <c r="L3" s="3" t="s">
        <v>25</v>
      </c>
      <c r="M3">
        <v>1</v>
      </c>
    </row>
    <row r="4" spans="1:13" x14ac:dyDescent="0.25">
      <c r="A4" s="2">
        <v>46204</v>
      </c>
      <c r="B4" s="1" t="str">
        <f ca="1">IF(Información1[[#This Row],[Fecha]]='Ajuste de fechas'!$A$2,"Día actual","Día anterior")</f>
        <v>Día anterior</v>
      </c>
      <c r="C4" s="3" t="s">
        <v>54</v>
      </c>
      <c r="D4" t="s">
        <v>55</v>
      </c>
      <c r="E4" s="3" t="s">
        <v>107</v>
      </c>
      <c r="F4" s="3" t="s">
        <v>6</v>
      </c>
      <c r="G4" s="3" t="s">
        <v>74</v>
      </c>
      <c r="H4" s="3" t="s">
        <v>8</v>
      </c>
      <c r="I4" s="3" t="s">
        <v>14</v>
      </c>
      <c r="J4" s="3" t="s">
        <v>35</v>
      </c>
      <c r="K4" s="3" t="s">
        <v>49</v>
      </c>
      <c r="L4" s="3" t="s">
        <v>25</v>
      </c>
      <c r="M4">
        <v>1</v>
      </c>
    </row>
    <row r="5" spans="1:13" x14ac:dyDescent="0.25">
      <c r="A5" s="2">
        <v>46204</v>
      </c>
      <c r="B5" s="1" t="str">
        <f ca="1">IF(Información1[[#This Row],[Fecha]]='Ajuste de fechas'!$A$2,"Día actual","Día anterior")</f>
        <v>Día anterior</v>
      </c>
      <c r="C5" s="3" t="s">
        <v>16</v>
      </c>
      <c r="D5" t="s">
        <v>66</v>
      </c>
      <c r="E5" s="3" t="s">
        <v>108</v>
      </c>
      <c r="F5" s="3" t="s">
        <v>11</v>
      </c>
      <c r="G5" s="3" t="s">
        <v>31</v>
      </c>
      <c r="H5" s="3" t="s">
        <v>8</v>
      </c>
      <c r="I5" s="3" t="s">
        <v>7</v>
      </c>
      <c r="J5" s="3" t="s">
        <v>36</v>
      </c>
      <c r="K5" s="3" t="s">
        <v>67</v>
      </c>
      <c r="L5" s="3" t="s">
        <v>24</v>
      </c>
      <c r="M5">
        <v>1</v>
      </c>
    </row>
    <row r="6" spans="1:13" x14ac:dyDescent="0.25">
      <c r="A6" s="2">
        <v>46204</v>
      </c>
      <c r="B6" s="1" t="str">
        <f ca="1">IF(Información1[[#This Row],[Fecha]]='Ajuste de fechas'!$A$2,"Día actual","Día anterior")</f>
        <v>Día anterior</v>
      </c>
      <c r="C6" s="3" t="s">
        <v>54</v>
      </c>
      <c r="D6" t="s">
        <v>55</v>
      </c>
      <c r="E6" s="3" t="s">
        <v>109</v>
      </c>
      <c r="F6" s="3" t="s">
        <v>10</v>
      </c>
      <c r="G6" s="3" t="s">
        <v>58</v>
      </c>
      <c r="H6" s="3" t="s">
        <v>8</v>
      </c>
      <c r="I6" s="3" t="s">
        <v>7</v>
      </c>
      <c r="J6" s="3" t="s">
        <v>37</v>
      </c>
      <c r="K6" s="3" t="s">
        <v>56</v>
      </c>
      <c r="L6" s="3" t="s">
        <v>24</v>
      </c>
      <c r="M6">
        <v>1</v>
      </c>
    </row>
    <row r="7" spans="1:13" x14ac:dyDescent="0.25">
      <c r="A7" s="2">
        <v>46204</v>
      </c>
      <c r="B7" s="1" t="str">
        <f ca="1">IF(Información1[[#This Row],[Fecha]]='Ajuste de fechas'!$A$2,"Día actual","Día anterior")</f>
        <v>Día anterior</v>
      </c>
      <c r="C7" s="3" t="s">
        <v>54</v>
      </c>
      <c r="D7" t="s">
        <v>55</v>
      </c>
      <c r="E7" s="3" t="s">
        <v>57</v>
      </c>
      <c r="F7" s="3" t="s">
        <v>10</v>
      </c>
      <c r="G7" s="3" t="s">
        <v>58</v>
      </c>
      <c r="H7" s="3" t="s">
        <v>8</v>
      </c>
      <c r="I7" s="3" t="s">
        <v>53</v>
      </c>
      <c r="J7" s="3" t="s">
        <v>37</v>
      </c>
      <c r="K7" s="3" t="s">
        <v>56</v>
      </c>
      <c r="L7" s="3" t="s">
        <v>25</v>
      </c>
      <c r="M7">
        <v>1</v>
      </c>
    </row>
    <row r="8" spans="1:13" x14ac:dyDescent="0.25">
      <c r="A8" s="2">
        <v>46204</v>
      </c>
      <c r="B8" s="1" t="str">
        <f ca="1">IF(Información1[[#This Row],[Fecha]]='Ajuste de fechas'!$A$2,"Día actual","Día anterior")</f>
        <v>Día anterior</v>
      </c>
      <c r="C8" s="3" t="s">
        <v>54</v>
      </c>
      <c r="D8" t="s">
        <v>55</v>
      </c>
      <c r="E8" s="3" t="s">
        <v>59</v>
      </c>
      <c r="F8" s="3" t="s">
        <v>10</v>
      </c>
      <c r="G8" s="3" t="s">
        <v>58</v>
      </c>
      <c r="H8" s="3" t="s">
        <v>8</v>
      </c>
      <c r="I8" s="3" t="s">
        <v>53</v>
      </c>
      <c r="J8" s="3" t="s">
        <v>37</v>
      </c>
      <c r="K8" s="3" t="s">
        <v>56</v>
      </c>
      <c r="L8" s="3" t="s">
        <v>25</v>
      </c>
      <c r="M8">
        <v>1</v>
      </c>
    </row>
    <row r="9" spans="1:13" x14ac:dyDescent="0.25">
      <c r="A9" s="2">
        <v>46204</v>
      </c>
      <c r="B9" s="1" t="str">
        <f ca="1">IF(Información1[[#This Row],[Fecha]]='Ajuste de fechas'!$A$2,"Día actual","Día anterior")</f>
        <v>Día anterior</v>
      </c>
      <c r="C9" s="3" t="s">
        <v>54</v>
      </c>
      <c r="D9" t="s">
        <v>55</v>
      </c>
      <c r="E9" s="3" t="s">
        <v>60</v>
      </c>
      <c r="F9" s="3" t="s">
        <v>38</v>
      </c>
      <c r="G9" s="3" t="s">
        <v>58</v>
      </c>
      <c r="H9" s="3" t="s">
        <v>8</v>
      </c>
      <c r="I9" s="3" t="s">
        <v>53</v>
      </c>
      <c r="J9" s="3" t="s">
        <v>35</v>
      </c>
      <c r="K9" s="3" t="s">
        <v>56</v>
      </c>
      <c r="L9" s="3" t="s">
        <v>25</v>
      </c>
      <c r="M9">
        <v>1</v>
      </c>
    </row>
    <row r="10" spans="1:13" x14ac:dyDescent="0.25">
      <c r="A10" s="2">
        <v>46204</v>
      </c>
      <c r="B10" s="1" t="str">
        <f ca="1">IF(Información1[[#This Row],[Fecha]]='Ajuste de fechas'!$A$2,"Día actual","Día anterior")</f>
        <v>Día anterior</v>
      </c>
      <c r="C10" s="3" t="s">
        <v>54</v>
      </c>
      <c r="D10" t="s">
        <v>55</v>
      </c>
      <c r="E10" s="3" t="s">
        <v>64</v>
      </c>
      <c r="F10" s="3" t="s">
        <v>30</v>
      </c>
      <c r="G10" s="3" t="s">
        <v>58</v>
      </c>
      <c r="H10" s="3" t="s">
        <v>8</v>
      </c>
      <c r="I10" s="3" t="s">
        <v>53</v>
      </c>
      <c r="J10" s="3" t="s">
        <v>13</v>
      </c>
      <c r="K10" s="3" t="s">
        <v>56</v>
      </c>
      <c r="L10" s="3" t="s">
        <v>25</v>
      </c>
      <c r="M10">
        <v>1</v>
      </c>
    </row>
    <row r="11" spans="1:13" x14ac:dyDescent="0.25">
      <c r="A11" s="2">
        <v>46204</v>
      </c>
      <c r="B11" s="1" t="str">
        <f ca="1">IF(Información1[[#This Row],[Fecha]]='Ajuste de fechas'!$A$2,"Día actual","Día anterior")</f>
        <v>Día anterior</v>
      </c>
      <c r="C11" s="3" t="s">
        <v>54</v>
      </c>
      <c r="D11" t="s">
        <v>55</v>
      </c>
      <c r="E11" s="3" t="s">
        <v>61</v>
      </c>
      <c r="F11" s="3" t="s">
        <v>9</v>
      </c>
      <c r="G11" s="3" t="s">
        <v>58</v>
      </c>
      <c r="H11" s="3" t="s">
        <v>8</v>
      </c>
      <c r="I11" s="3" t="s">
        <v>53</v>
      </c>
      <c r="J11" s="3" t="s">
        <v>35</v>
      </c>
      <c r="K11" s="3" t="s">
        <v>56</v>
      </c>
      <c r="L11" s="3" t="s">
        <v>25</v>
      </c>
      <c r="M11">
        <v>1</v>
      </c>
    </row>
    <row r="12" spans="1:13" x14ac:dyDescent="0.25">
      <c r="A12" s="2">
        <v>46204</v>
      </c>
      <c r="B12" s="1" t="str">
        <f ca="1">IF(Información1[[#This Row],[Fecha]]='Ajuste de fechas'!$A$2,"Día actual","Día anterior")</f>
        <v>Día anterior</v>
      </c>
      <c r="C12" s="3" t="s">
        <v>54</v>
      </c>
      <c r="D12" t="s">
        <v>55</v>
      </c>
      <c r="E12" s="3" t="s">
        <v>62</v>
      </c>
      <c r="F12" s="3" t="s">
        <v>50</v>
      </c>
      <c r="G12" s="3" t="s">
        <v>58</v>
      </c>
      <c r="H12" s="3" t="s">
        <v>8</v>
      </c>
      <c r="I12" s="3" t="s">
        <v>53</v>
      </c>
      <c r="J12" s="3" t="s">
        <v>35</v>
      </c>
      <c r="K12" s="3" t="s">
        <v>56</v>
      </c>
      <c r="L12" s="3" t="s">
        <v>25</v>
      </c>
      <c r="M12">
        <v>1</v>
      </c>
    </row>
    <row r="13" spans="1:13" x14ac:dyDescent="0.25">
      <c r="A13" s="2">
        <v>46204</v>
      </c>
      <c r="B13" s="1" t="str">
        <f ca="1">IF(Información1[[#This Row],[Fecha]]='Ajuste de fechas'!$A$2,"Día actual","Día anterior")</f>
        <v>Día anterior</v>
      </c>
      <c r="C13" s="3" t="s">
        <v>54</v>
      </c>
      <c r="D13" t="s">
        <v>55</v>
      </c>
      <c r="E13" s="3" t="s">
        <v>63</v>
      </c>
      <c r="F13" s="3" t="s">
        <v>6</v>
      </c>
      <c r="G13" s="3" t="s">
        <v>58</v>
      </c>
      <c r="H13" s="3" t="s">
        <v>8</v>
      </c>
      <c r="I13" s="3" t="s">
        <v>53</v>
      </c>
      <c r="J13" s="3" t="s">
        <v>35</v>
      </c>
      <c r="K13" s="3" t="s">
        <v>56</v>
      </c>
      <c r="L13" s="3" t="s">
        <v>25</v>
      </c>
      <c r="M13">
        <v>1</v>
      </c>
    </row>
    <row r="14" spans="1:13" x14ac:dyDescent="0.25">
      <c r="A14" s="2">
        <v>46204</v>
      </c>
      <c r="B14" s="1" t="str">
        <f ca="1">IF(Información1[[#This Row],[Fecha]]='Ajuste de fechas'!$A$2,"Día actual","Día anterior")</f>
        <v>Día anterior</v>
      </c>
      <c r="C14" s="3" t="s">
        <v>54</v>
      </c>
      <c r="D14" t="s">
        <v>55</v>
      </c>
      <c r="E14" s="3" t="s">
        <v>110</v>
      </c>
      <c r="F14" s="3" t="s">
        <v>10</v>
      </c>
      <c r="G14" s="3" t="s">
        <v>89</v>
      </c>
      <c r="H14" s="3" t="s">
        <v>8</v>
      </c>
      <c r="I14" s="3" t="s">
        <v>7</v>
      </c>
      <c r="J14" s="3" t="s">
        <v>37</v>
      </c>
      <c r="K14" s="3" t="s">
        <v>56</v>
      </c>
      <c r="L14" s="3" t="s">
        <v>24</v>
      </c>
      <c r="M14">
        <v>1</v>
      </c>
    </row>
    <row r="15" spans="1:13" x14ac:dyDescent="0.25">
      <c r="A15" s="2">
        <v>46204</v>
      </c>
      <c r="B15" s="1" t="str">
        <f ca="1">IF(Información1[[#This Row],[Fecha]]='Ajuste de fechas'!$A$2,"Día actual","Día anterior")</f>
        <v>Día anterior</v>
      </c>
      <c r="C15" s="3" t="s">
        <v>16</v>
      </c>
      <c r="D15" t="s">
        <v>76</v>
      </c>
      <c r="E15" s="3" t="s">
        <v>111</v>
      </c>
      <c r="F15" s="3" t="s">
        <v>10</v>
      </c>
      <c r="G15" s="3" t="s">
        <v>112</v>
      </c>
      <c r="H15" s="3" t="s">
        <v>8</v>
      </c>
      <c r="I15" s="3" t="s">
        <v>7</v>
      </c>
      <c r="J15" s="3" t="s">
        <v>37</v>
      </c>
      <c r="K15" s="3" t="s">
        <v>49</v>
      </c>
      <c r="L15" s="3" t="s">
        <v>24</v>
      </c>
      <c r="M15">
        <v>1</v>
      </c>
    </row>
    <row r="16" spans="1:13" x14ac:dyDescent="0.25">
      <c r="A16" s="2">
        <v>46204</v>
      </c>
      <c r="B16" s="1" t="str">
        <f ca="1">IF(Información1[[#This Row],[Fecha]]='Ajuste de fechas'!$A$2,"Día actual","Día anterior")</f>
        <v>Día anterior</v>
      </c>
      <c r="C16" s="3" t="s">
        <v>16</v>
      </c>
      <c r="D16" t="s">
        <v>76</v>
      </c>
      <c r="E16" s="3" t="s">
        <v>113</v>
      </c>
      <c r="F16" s="3" t="s">
        <v>10</v>
      </c>
      <c r="G16" s="3" t="s">
        <v>112</v>
      </c>
      <c r="H16" s="3" t="s">
        <v>8</v>
      </c>
      <c r="I16" s="3" t="s">
        <v>7</v>
      </c>
      <c r="J16" s="3" t="s">
        <v>37</v>
      </c>
      <c r="K16" s="3" t="s">
        <v>77</v>
      </c>
      <c r="L16" s="3" t="s">
        <v>24</v>
      </c>
      <c r="M16">
        <v>1</v>
      </c>
    </row>
    <row r="17" spans="1:13" x14ac:dyDescent="0.25">
      <c r="A17" s="2">
        <v>46204</v>
      </c>
      <c r="B17" s="1" t="str">
        <f ca="1">IF(Información1[[#This Row],[Fecha]]='Ajuste de fechas'!$A$2,"Día actual","Día anterior")</f>
        <v>Día anterior</v>
      </c>
      <c r="C17" s="3" t="s">
        <v>32</v>
      </c>
      <c r="D17" t="s">
        <v>33</v>
      </c>
      <c r="E17" s="3" t="s">
        <v>114</v>
      </c>
      <c r="F17" s="3" t="s">
        <v>101</v>
      </c>
      <c r="G17" s="3" t="s">
        <v>115</v>
      </c>
      <c r="H17" s="3" t="s">
        <v>8</v>
      </c>
      <c r="I17" s="3" t="s">
        <v>7</v>
      </c>
      <c r="J17" s="3" t="s">
        <v>35</v>
      </c>
      <c r="K17" s="3" t="s">
        <v>34</v>
      </c>
      <c r="L17" s="3" t="s">
        <v>26</v>
      </c>
      <c r="M17">
        <v>1</v>
      </c>
    </row>
    <row r="18" spans="1:13" x14ac:dyDescent="0.25">
      <c r="A18" s="2">
        <v>46204</v>
      </c>
      <c r="B18" s="1" t="str">
        <f ca="1">IF(Información1[[#This Row],[Fecha]]='Ajuste de fechas'!$A$2,"Día actual","Día anterior")</f>
        <v>Día anterior</v>
      </c>
      <c r="C18" s="3" t="s">
        <v>16</v>
      </c>
      <c r="D18" t="s">
        <v>66</v>
      </c>
      <c r="E18" s="3" t="s">
        <v>116</v>
      </c>
      <c r="F18" s="3" t="s">
        <v>80</v>
      </c>
      <c r="G18" s="3" t="s">
        <v>81</v>
      </c>
      <c r="H18" s="3" t="s">
        <v>8</v>
      </c>
      <c r="I18" s="3" t="s">
        <v>7</v>
      </c>
      <c r="J18" s="3" t="s">
        <v>35</v>
      </c>
      <c r="K18" s="3" t="s">
        <v>67</v>
      </c>
      <c r="L18" s="3" t="s">
        <v>24</v>
      </c>
      <c r="M18">
        <v>1</v>
      </c>
    </row>
    <row r="19" spans="1:13" x14ac:dyDescent="0.25">
      <c r="A19" s="2">
        <v>46204</v>
      </c>
      <c r="B19" s="1" t="str">
        <f ca="1">IF(Información1[[#This Row],[Fecha]]='Ajuste de fechas'!$A$2,"Día actual","Día anterior")</f>
        <v>Día anterior</v>
      </c>
      <c r="C19" s="3" t="s">
        <v>16</v>
      </c>
      <c r="D19" t="s">
        <v>66</v>
      </c>
      <c r="E19" s="3" t="s">
        <v>117</v>
      </c>
      <c r="F19" s="3" t="s">
        <v>15</v>
      </c>
      <c r="G19" s="3" t="s">
        <v>81</v>
      </c>
      <c r="H19" s="3" t="s">
        <v>8</v>
      </c>
      <c r="I19" s="3" t="s">
        <v>7</v>
      </c>
      <c r="J19" s="3" t="s">
        <v>35</v>
      </c>
      <c r="K19" s="3" t="s">
        <v>67</v>
      </c>
      <c r="L19" s="3" t="s">
        <v>24</v>
      </c>
      <c r="M19">
        <v>1</v>
      </c>
    </row>
    <row r="20" spans="1:13" x14ac:dyDescent="0.25">
      <c r="A20" s="2">
        <v>46204</v>
      </c>
      <c r="B20" s="1" t="str">
        <f ca="1">IF(Información1[[#This Row],[Fecha]]='Ajuste de fechas'!$A$2,"Día actual","Día anterior")</f>
        <v>Día anterior</v>
      </c>
      <c r="C20" s="3" t="s">
        <v>16</v>
      </c>
      <c r="D20" t="s">
        <v>76</v>
      </c>
      <c r="E20" s="3" t="s">
        <v>118</v>
      </c>
      <c r="F20" s="3" t="s">
        <v>12</v>
      </c>
      <c r="G20" s="3" t="s">
        <v>51</v>
      </c>
      <c r="H20" s="3" t="s">
        <v>8</v>
      </c>
      <c r="I20" s="3" t="s">
        <v>7</v>
      </c>
      <c r="J20" s="3" t="s">
        <v>35</v>
      </c>
      <c r="K20" s="3" t="s">
        <v>77</v>
      </c>
      <c r="L20" s="3" t="s">
        <v>24</v>
      </c>
      <c r="M20">
        <v>1</v>
      </c>
    </row>
    <row r="21" spans="1:13" x14ac:dyDescent="0.25">
      <c r="A21" s="2">
        <v>46204</v>
      </c>
      <c r="B21" s="1" t="str">
        <f ca="1">IF(Información1[[#This Row],[Fecha]]='Ajuste de fechas'!$A$2,"Día actual","Día anterior")</f>
        <v>Día anterior</v>
      </c>
      <c r="C21" s="3" t="s">
        <v>54</v>
      </c>
      <c r="D21" t="s">
        <v>55</v>
      </c>
      <c r="E21" s="3" t="s">
        <v>119</v>
      </c>
      <c r="F21" s="3" t="s">
        <v>12</v>
      </c>
      <c r="G21" s="3" t="s">
        <v>51</v>
      </c>
      <c r="H21" s="3" t="s">
        <v>8</v>
      </c>
      <c r="I21" s="3" t="s">
        <v>7</v>
      </c>
      <c r="J21" s="3" t="s">
        <v>35</v>
      </c>
      <c r="K21" s="3" t="s">
        <v>56</v>
      </c>
      <c r="L21" s="3" t="s">
        <v>26</v>
      </c>
      <c r="M21">
        <v>1</v>
      </c>
    </row>
    <row r="22" spans="1:13" x14ac:dyDescent="0.25">
      <c r="A22" s="2">
        <v>46204</v>
      </c>
      <c r="B22" s="1" t="str">
        <f ca="1">IF(Información1[[#This Row],[Fecha]]='Ajuste de fechas'!$A$2,"Día actual","Día anterior")</f>
        <v>Día anterior</v>
      </c>
      <c r="C22" s="3" t="s">
        <v>54</v>
      </c>
      <c r="D22" t="s">
        <v>55</v>
      </c>
      <c r="E22" s="3" t="s">
        <v>120</v>
      </c>
      <c r="F22" s="3" t="s">
        <v>42</v>
      </c>
      <c r="G22" s="3" t="s">
        <v>73</v>
      </c>
      <c r="H22" s="3" t="s">
        <v>8</v>
      </c>
      <c r="I22" s="3" t="s">
        <v>7</v>
      </c>
      <c r="J22" s="3" t="s">
        <v>35</v>
      </c>
      <c r="K22" s="3" t="s">
        <v>56</v>
      </c>
      <c r="L22" s="3" t="s">
        <v>26</v>
      </c>
      <c r="M22">
        <v>1</v>
      </c>
    </row>
    <row r="23" spans="1:13" x14ac:dyDescent="0.25">
      <c r="A23" s="2">
        <v>46204</v>
      </c>
      <c r="B23" s="1" t="str">
        <f ca="1">IF(Información1[[#This Row],[Fecha]]='Ajuste de fechas'!$A$2,"Día actual","Día anterior")</f>
        <v>Día anterior</v>
      </c>
      <c r="C23" s="3" t="s">
        <v>32</v>
      </c>
      <c r="D23" t="s">
        <v>33</v>
      </c>
      <c r="E23" s="3" t="s">
        <v>121</v>
      </c>
      <c r="F23" s="3" t="s">
        <v>15</v>
      </c>
      <c r="G23" s="3" t="s">
        <v>122</v>
      </c>
      <c r="H23" s="3" t="s">
        <v>8</v>
      </c>
      <c r="I23" s="3" t="s">
        <v>7</v>
      </c>
      <c r="J23" s="3" t="s">
        <v>35</v>
      </c>
      <c r="K23" s="3" t="s">
        <v>34</v>
      </c>
      <c r="L23" s="3" t="s">
        <v>26</v>
      </c>
      <c r="M23">
        <v>1</v>
      </c>
    </row>
    <row r="24" spans="1:13" x14ac:dyDescent="0.25">
      <c r="A24" s="2">
        <v>46204</v>
      </c>
      <c r="B24" s="1" t="str">
        <f ca="1">IF(Información1[[#This Row],[Fecha]]='Ajuste de fechas'!$A$2,"Día actual","Día anterior")</f>
        <v>Día anterior</v>
      </c>
      <c r="C24" s="3" t="s">
        <v>16</v>
      </c>
      <c r="D24" t="s">
        <v>76</v>
      </c>
      <c r="E24" s="3" t="s">
        <v>123</v>
      </c>
      <c r="F24" s="3" t="s">
        <v>15</v>
      </c>
      <c r="G24" s="3" t="s">
        <v>122</v>
      </c>
      <c r="H24" s="3" t="s">
        <v>8</v>
      </c>
      <c r="I24" s="3" t="s">
        <v>7</v>
      </c>
      <c r="J24" s="3" t="s">
        <v>35</v>
      </c>
      <c r="K24" s="3" t="s">
        <v>77</v>
      </c>
      <c r="L24" s="3" t="s">
        <v>24</v>
      </c>
      <c r="M24">
        <v>1</v>
      </c>
    </row>
    <row r="25" spans="1:13" x14ac:dyDescent="0.25">
      <c r="A25" s="2">
        <v>46204</v>
      </c>
      <c r="B25" s="1" t="str">
        <f ca="1">IF(Información1[[#This Row],[Fecha]]='Ajuste de fechas'!$A$2,"Día actual","Día anterior")</f>
        <v>Día anterior</v>
      </c>
      <c r="C25" s="3" t="s">
        <v>54</v>
      </c>
      <c r="D25" t="s">
        <v>55</v>
      </c>
      <c r="E25" s="3" t="s">
        <v>124</v>
      </c>
      <c r="F25" s="3" t="s">
        <v>15</v>
      </c>
      <c r="G25" s="3" t="s">
        <v>122</v>
      </c>
      <c r="H25" s="3" t="s">
        <v>8</v>
      </c>
      <c r="I25" s="3" t="s">
        <v>7</v>
      </c>
      <c r="J25" s="3" t="s">
        <v>35</v>
      </c>
      <c r="K25" s="3" t="s">
        <v>56</v>
      </c>
      <c r="L25" s="3" t="s">
        <v>26</v>
      </c>
      <c r="M25">
        <v>1</v>
      </c>
    </row>
    <row r="26" spans="1:13" x14ac:dyDescent="0.25">
      <c r="A26" s="2">
        <v>46204</v>
      </c>
      <c r="B26" s="1" t="str">
        <f ca="1">IF(Información1[[#This Row],[Fecha]]='Ajuste de fechas'!$A$2,"Día actual","Día anterior")</f>
        <v>Día anterior</v>
      </c>
      <c r="C26" s="3" t="s">
        <v>16</v>
      </c>
      <c r="D26" t="s">
        <v>76</v>
      </c>
      <c r="E26" s="3" t="s">
        <v>125</v>
      </c>
      <c r="F26" s="3" t="s">
        <v>13</v>
      </c>
      <c r="G26" s="3" t="s">
        <v>126</v>
      </c>
      <c r="H26" s="3" t="s">
        <v>8</v>
      </c>
      <c r="I26" s="3" t="s">
        <v>7</v>
      </c>
      <c r="J26" s="3" t="s">
        <v>13</v>
      </c>
      <c r="K26" s="3" t="s">
        <v>77</v>
      </c>
      <c r="L26" s="3" t="s">
        <v>24</v>
      </c>
      <c r="M26">
        <v>1</v>
      </c>
    </row>
    <row r="27" spans="1:13" x14ac:dyDescent="0.25">
      <c r="A27" s="2">
        <v>46204</v>
      </c>
      <c r="B27" s="1" t="str">
        <f ca="1">IF(Información1[[#This Row],[Fecha]]='Ajuste de fechas'!$A$2,"Día actual","Día anterior")</f>
        <v>Día anterior</v>
      </c>
      <c r="C27" s="3" t="s">
        <v>16</v>
      </c>
      <c r="D27" t="s">
        <v>76</v>
      </c>
      <c r="E27" s="3" t="s">
        <v>127</v>
      </c>
      <c r="F27" s="3" t="s">
        <v>13</v>
      </c>
      <c r="G27" s="3" t="s">
        <v>128</v>
      </c>
      <c r="H27" s="3" t="s">
        <v>8</v>
      </c>
      <c r="I27" s="3" t="s">
        <v>7</v>
      </c>
      <c r="J27" s="3" t="s">
        <v>13</v>
      </c>
      <c r="K27" s="3" t="s">
        <v>77</v>
      </c>
      <c r="L27" s="3" t="s">
        <v>24</v>
      </c>
      <c r="M27">
        <v>1</v>
      </c>
    </row>
    <row r="28" spans="1:13" x14ac:dyDescent="0.25">
      <c r="A28" s="2">
        <v>46204</v>
      </c>
      <c r="B28" s="1" t="str">
        <f ca="1">IF(Información1[[#This Row],[Fecha]]='Ajuste de fechas'!$A$2,"Día actual","Día anterior")</f>
        <v>Día anterior</v>
      </c>
      <c r="C28" s="3" t="s">
        <v>16</v>
      </c>
      <c r="D28" t="s">
        <v>76</v>
      </c>
      <c r="E28" s="3" t="s">
        <v>129</v>
      </c>
      <c r="F28" s="3" t="s">
        <v>130</v>
      </c>
      <c r="G28" s="3" t="s">
        <v>131</v>
      </c>
      <c r="H28" s="3" t="s">
        <v>8</v>
      </c>
      <c r="I28" s="3" t="s">
        <v>7</v>
      </c>
      <c r="J28" s="3" t="s">
        <v>35</v>
      </c>
      <c r="K28" s="3" t="s">
        <v>77</v>
      </c>
      <c r="L28" s="3" t="s">
        <v>24</v>
      </c>
      <c r="M28">
        <v>1</v>
      </c>
    </row>
    <row r="29" spans="1:13" x14ac:dyDescent="0.25">
      <c r="A29" s="2">
        <v>46204</v>
      </c>
      <c r="B29" s="1" t="str">
        <f ca="1">IF(Información1[[#This Row],[Fecha]]='Ajuste de fechas'!$A$2,"Día actual","Día anterior")</f>
        <v>Día anterior</v>
      </c>
      <c r="C29" s="3" t="s">
        <v>54</v>
      </c>
      <c r="D29" t="s">
        <v>55</v>
      </c>
      <c r="E29" s="3" t="s">
        <v>132</v>
      </c>
      <c r="F29" s="3" t="s">
        <v>130</v>
      </c>
      <c r="G29" s="3" t="s">
        <v>131</v>
      </c>
      <c r="H29" s="3" t="s">
        <v>8</v>
      </c>
      <c r="I29" s="3" t="s">
        <v>7</v>
      </c>
      <c r="J29" s="3" t="s">
        <v>35</v>
      </c>
      <c r="K29" s="3" t="s">
        <v>56</v>
      </c>
      <c r="L29" s="3" t="s">
        <v>24</v>
      </c>
      <c r="M29">
        <v>1</v>
      </c>
    </row>
    <row r="30" spans="1:13" x14ac:dyDescent="0.25">
      <c r="A30" s="2">
        <v>46204</v>
      </c>
      <c r="B30" s="1" t="str">
        <f ca="1">IF(Información1[[#This Row],[Fecha]]='Ajuste de fechas'!$A$2,"Día actual","Día anterior")</f>
        <v>Día anterior</v>
      </c>
      <c r="C30" s="3" t="s">
        <v>54</v>
      </c>
      <c r="D30" t="s">
        <v>55</v>
      </c>
      <c r="E30" s="3" t="s">
        <v>133</v>
      </c>
      <c r="F30" s="3" t="s">
        <v>6</v>
      </c>
      <c r="G30" s="3" t="s">
        <v>134</v>
      </c>
      <c r="H30" s="3" t="s">
        <v>8</v>
      </c>
      <c r="I30" s="3" t="s">
        <v>14</v>
      </c>
      <c r="J30" s="3" t="s">
        <v>35</v>
      </c>
      <c r="K30" s="3" t="s">
        <v>49</v>
      </c>
      <c r="L30" s="3" t="s">
        <v>25</v>
      </c>
      <c r="M30">
        <v>1</v>
      </c>
    </row>
    <row r="31" spans="1:13" x14ac:dyDescent="0.25">
      <c r="A31" s="2">
        <v>46204</v>
      </c>
      <c r="B31" s="1" t="str">
        <f ca="1">IF(Información1[[#This Row],[Fecha]]='Ajuste de fechas'!$A$2,"Día actual","Día anterior")</f>
        <v>Día anterior</v>
      </c>
      <c r="C31" s="3" t="s">
        <v>54</v>
      </c>
      <c r="D31" t="s">
        <v>55</v>
      </c>
      <c r="E31" s="3" t="s">
        <v>135</v>
      </c>
      <c r="F31" s="3" t="s">
        <v>6</v>
      </c>
      <c r="G31" s="3" t="s">
        <v>136</v>
      </c>
      <c r="H31" s="3" t="s">
        <v>8</v>
      </c>
      <c r="I31" s="3" t="s">
        <v>14</v>
      </c>
      <c r="J31" s="3" t="s">
        <v>35</v>
      </c>
      <c r="K31" s="3" t="s">
        <v>49</v>
      </c>
      <c r="L31" s="3" t="s">
        <v>25</v>
      </c>
      <c r="M31">
        <v>1</v>
      </c>
    </row>
    <row r="32" spans="1:13" x14ac:dyDescent="0.25">
      <c r="A32" s="2">
        <v>46204</v>
      </c>
      <c r="B32" s="1" t="str">
        <f ca="1">IF(Información1[[#This Row],[Fecha]]='Ajuste de fechas'!$A$2,"Día actual","Día anterior")</f>
        <v>Día anterior</v>
      </c>
      <c r="C32" s="3" t="s">
        <v>54</v>
      </c>
      <c r="D32" t="s">
        <v>55</v>
      </c>
      <c r="E32" s="3" t="s">
        <v>137</v>
      </c>
      <c r="F32" s="3" t="s">
        <v>9</v>
      </c>
      <c r="G32" s="3" t="s">
        <v>138</v>
      </c>
      <c r="H32" s="3" t="s">
        <v>8</v>
      </c>
      <c r="I32" s="3" t="s">
        <v>7</v>
      </c>
      <c r="J32" s="3" t="s">
        <v>35</v>
      </c>
      <c r="K32" s="3" t="s">
        <v>56</v>
      </c>
      <c r="L32" s="3" t="s">
        <v>26</v>
      </c>
      <c r="M32">
        <v>1</v>
      </c>
    </row>
    <row r="33" spans="1:13" x14ac:dyDescent="0.25">
      <c r="A33" s="2">
        <v>46204</v>
      </c>
      <c r="B33" s="1" t="str">
        <f ca="1">IF(Información1[[#This Row],[Fecha]]='Ajuste de fechas'!$A$2,"Día actual","Día anterior")</f>
        <v>Día anterior</v>
      </c>
      <c r="C33" s="3" t="s">
        <v>54</v>
      </c>
      <c r="D33" t="s">
        <v>55</v>
      </c>
      <c r="E33" s="3" t="s">
        <v>139</v>
      </c>
      <c r="F33" s="3" t="s">
        <v>10</v>
      </c>
      <c r="G33" s="3" t="s">
        <v>140</v>
      </c>
      <c r="H33" s="3" t="s">
        <v>8</v>
      </c>
      <c r="I33" s="3" t="s">
        <v>14</v>
      </c>
      <c r="J33" s="3" t="s">
        <v>37</v>
      </c>
      <c r="K33" s="3" t="s">
        <v>49</v>
      </c>
      <c r="L33" s="3" t="s">
        <v>25</v>
      </c>
      <c r="M33">
        <v>1</v>
      </c>
    </row>
    <row r="34" spans="1:13" x14ac:dyDescent="0.25">
      <c r="A34" s="2">
        <v>46204</v>
      </c>
      <c r="B34" s="1" t="str">
        <f ca="1">IF(Información1[[#This Row],[Fecha]]='Ajuste de fechas'!$A$2,"Día actual","Día anterior")</f>
        <v>Día anterior</v>
      </c>
      <c r="C34" s="3" t="s">
        <v>16</v>
      </c>
      <c r="D34" t="s">
        <v>66</v>
      </c>
      <c r="E34" s="3" t="s">
        <v>141</v>
      </c>
      <c r="F34" s="3" t="s">
        <v>15</v>
      </c>
      <c r="G34" s="3" t="s">
        <v>102</v>
      </c>
      <c r="H34" s="3" t="s">
        <v>8</v>
      </c>
      <c r="I34" s="3" t="s">
        <v>7</v>
      </c>
      <c r="J34" s="3" t="s">
        <v>35</v>
      </c>
      <c r="K34" s="3" t="s">
        <v>67</v>
      </c>
      <c r="L34" s="3" t="s">
        <v>24</v>
      </c>
      <c r="M34">
        <v>1</v>
      </c>
    </row>
    <row r="35" spans="1:13" x14ac:dyDescent="0.25">
      <c r="A35" s="2">
        <v>46204</v>
      </c>
      <c r="B35" s="1" t="str">
        <f ca="1">IF(Información1[[#This Row],[Fecha]]='Ajuste de fechas'!$A$2,"Día actual","Día anterior")</f>
        <v>Día anterior</v>
      </c>
      <c r="C35" s="3" t="s">
        <v>16</v>
      </c>
      <c r="D35" t="s">
        <v>66</v>
      </c>
      <c r="E35" s="3" t="s">
        <v>142</v>
      </c>
      <c r="F35" s="3" t="s">
        <v>9</v>
      </c>
      <c r="G35" s="3" t="s">
        <v>143</v>
      </c>
      <c r="H35" s="3" t="s">
        <v>8</v>
      </c>
      <c r="I35" s="3" t="s">
        <v>7</v>
      </c>
      <c r="J35" s="3" t="s">
        <v>35</v>
      </c>
      <c r="K35" s="3" t="s">
        <v>67</v>
      </c>
      <c r="L35" s="3" t="s">
        <v>26</v>
      </c>
      <c r="M35">
        <v>1</v>
      </c>
    </row>
    <row r="36" spans="1:13" x14ac:dyDescent="0.25">
      <c r="A36" s="2">
        <v>46204</v>
      </c>
      <c r="B36" s="1" t="str">
        <f ca="1">IF(Información1[[#This Row],[Fecha]]='Ajuste de fechas'!$A$2,"Día actual","Día anterior")</f>
        <v>Día anterior</v>
      </c>
      <c r="C36" s="3" t="s">
        <v>32</v>
      </c>
      <c r="D36" t="s">
        <v>33</v>
      </c>
      <c r="E36" s="3" t="s">
        <v>144</v>
      </c>
      <c r="F36" s="3" t="s">
        <v>145</v>
      </c>
      <c r="G36" s="3" t="s">
        <v>90</v>
      </c>
      <c r="H36" s="3" t="s">
        <v>8</v>
      </c>
      <c r="I36" s="3" t="s">
        <v>7</v>
      </c>
      <c r="J36" s="3" t="s">
        <v>35</v>
      </c>
      <c r="K36" s="3" t="s">
        <v>34</v>
      </c>
      <c r="L36" s="3" t="s">
        <v>26</v>
      </c>
      <c r="M36">
        <v>1</v>
      </c>
    </row>
    <row r="37" spans="1:13" x14ac:dyDescent="0.25">
      <c r="A37" s="2">
        <v>46204</v>
      </c>
      <c r="B37" s="1" t="str">
        <f ca="1">IF(Información1[[#This Row],[Fecha]]='Ajuste de fechas'!$A$2,"Día actual","Día anterior")</f>
        <v>Día anterior</v>
      </c>
      <c r="C37" s="3" t="s">
        <v>16</v>
      </c>
      <c r="D37" t="s">
        <v>76</v>
      </c>
      <c r="E37" s="3" t="s">
        <v>146</v>
      </c>
      <c r="F37" s="3" t="s">
        <v>11</v>
      </c>
      <c r="G37" s="3" t="s">
        <v>90</v>
      </c>
      <c r="H37" s="3" t="s">
        <v>8</v>
      </c>
      <c r="I37" s="3" t="s">
        <v>7</v>
      </c>
      <c r="J37" s="3" t="s">
        <v>36</v>
      </c>
      <c r="K37" s="3" t="s">
        <v>77</v>
      </c>
      <c r="L37" s="3" t="s">
        <v>24</v>
      </c>
      <c r="M37">
        <v>1</v>
      </c>
    </row>
    <row r="38" spans="1:13" x14ac:dyDescent="0.25">
      <c r="A38" s="2">
        <v>46204</v>
      </c>
      <c r="B38" s="1" t="str">
        <f ca="1">IF(Información1[[#This Row],[Fecha]]='Ajuste de fechas'!$A$2,"Día actual","Día anterior")</f>
        <v>Día anterior</v>
      </c>
      <c r="C38" s="3" t="s">
        <v>54</v>
      </c>
      <c r="D38" t="s">
        <v>55</v>
      </c>
      <c r="E38" s="3" t="s">
        <v>147</v>
      </c>
      <c r="F38" s="3" t="s">
        <v>10</v>
      </c>
      <c r="G38" s="3" t="s">
        <v>148</v>
      </c>
      <c r="H38" s="3" t="s">
        <v>8</v>
      </c>
      <c r="I38" s="3" t="s">
        <v>14</v>
      </c>
      <c r="J38" s="3" t="s">
        <v>37</v>
      </c>
      <c r="K38" s="3" t="s">
        <v>49</v>
      </c>
      <c r="L38" s="3" t="s">
        <v>25</v>
      </c>
      <c r="M38">
        <v>1</v>
      </c>
    </row>
    <row r="39" spans="1:13" x14ac:dyDescent="0.25">
      <c r="A39" s="2">
        <v>46204</v>
      </c>
      <c r="B39" s="1" t="str">
        <f ca="1">IF(Información1[[#This Row],[Fecha]]='Ajuste de fechas'!$A$2,"Día actual","Día anterior")</f>
        <v>Día anterior</v>
      </c>
      <c r="C39" s="3" t="s">
        <v>54</v>
      </c>
      <c r="D39" t="s">
        <v>55</v>
      </c>
      <c r="E39" s="3" t="s">
        <v>149</v>
      </c>
      <c r="F39" s="3" t="s">
        <v>10</v>
      </c>
      <c r="G39" s="3" t="s">
        <v>150</v>
      </c>
      <c r="H39" s="3" t="s">
        <v>8</v>
      </c>
      <c r="I39" s="3" t="s">
        <v>7</v>
      </c>
      <c r="J39" s="3" t="s">
        <v>37</v>
      </c>
      <c r="K39" s="3" t="s">
        <v>56</v>
      </c>
      <c r="L39" s="3" t="s">
        <v>24</v>
      </c>
      <c r="M39">
        <v>1</v>
      </c>
    </row>
    <row r="40" spans="1:13" x14ac:dyDescent="0.25">
      <c r="A40" s="2">
        <v>46204</v>
      </c>
      <c r="B40" s="1" t="str">
        <f ca="1">IF(Información1[[#This Row],[Fecha]]='Ajuste de fechas'!$A$2,"Día actual","Día anterior")</f>
        <v>Día anterior</v>
      </c>
      <c r="C40" s="3" t="s">
        <v>16</v>
      </c>
      <c r="D40" t="s">
        <v>76</v>
      </c>
      <c r="E40" s="3" t="s">
        <v>151</v>
      </c>
      <c r="F40" s="3" t="s">
        <v>130</v>
      </c>
      <c r="G40" s="3" t="s">
        <v>152</v>
      </c>
      <c r="H40" s="3" t="s">
        <v>8</v>
      </c>
      <c r="I40" s="3" t="s">
        <v>7</v>
      </c>
      <c r="J40" s="3" t="s">
        <v>35</v>
      </c>
      <c r="K40" s="3" t="s">
        <v>77</v>
      </c>
      <c r="L40" s="3" t="s">
        <v>24</v>
      </c>
      <c r="M40">
        <v>1</v>
      </c>
    </row>
    <row r="41" spans="1:13" x14ac:dyDescent="0.25">
      <c r="A41" s="2">
        <v>46204</v>
      </c>
      <c r="B41" s="1" t="str">
        <f ca="1">IF(Información1[[#This Row],[Fecha]]='Ajuste de fechas'!$A$2,"Día actual","Día anterior")</f>
        <v>Día anterior</v>
      </c>
      <c r="C41" s="3" t="s">
        <v>82</v>
      </c>
      <c r="D41" t="s">
        <v>83</v>
      </c>
      <c r="E41" s="3" t="s">
        <v>153</v>
      </c>
      <c r="F41" s="3" t="s">
        <v>38</v>
      </c>
      <c r="G41" s="3" t="s">
        <v>154</v>
      </c>
      <c r="H41" s="3" t="s">
        <v>8</v>
      </c>
      <c r="I41" s="3" t="s">
        <v>7</v>
      </c>
      <c r="J41" s="3" t="s">
        <v>35</v>
      </c>
      <c r="K41" s="3" t="s">
        <v>84</v>
      </c>
      <c r="L41" s="3" t="s">
        <v>26</v>
      </c>
      <c r="M41">
        <v>1</v>
      </c>
    </row>
    <row r="42" spans="1:13" x14ac:dyDescent="0.25">
      <c r="A42" s="2">
        <v>46204</v>
      </c>
      <c r="B42" s="1" t="str">
        <f ca="1">IF(Información1[[#This Row],[Fecha]]='Ajuste de fechas'!$A$2,"Día actual","Día anterior")</f>
        <v>Día anterior</v>
      </c>
      <c r="C42" s="3" t="s">
        <v>155</v>
      </c>
      <c r="D42" t="s">
        <v>156</v>
      </c>
      <c r="E42" s="3" t="s">
        <v>157</v>
      </c>
      <c r="F42" s="3" t="s">
        <v>11</v>
      </c>
      <c r="G42" s="3" t="s">
        <v>31</v>
      </c>
      <c r="H42" s="3" t="s">
        <v>8</v>
      </c>
      <c r="I42" s="3" t="s">
        <v>7</v>
      </c>
      <c r="J42" s="3" t="s">
        <v>36</v>
      </c>
      <c r="K42" s="3" t="s">
        <v>158</v>
      </c>
      <c r="L42" s="3" t="s">
        <v>24</v>
      </c>
      <c r="M42">
        <v>1</v>
      </c>
    </row>
    <row r="43" spans="1:13" x14ac:dyDescent="0.25">
      <c r="A43" s="2">
        <v>46204</v>
      </c>
      <c r="B43" s="1" t="str">
        <f ca="1">IF(Información1[[#This Row],[Fecha]]='Ajuste de fechas'!$A$2,"Día actual","Día anterior")</f>
        <v>Día anterior</v>
      </c>
      <c r="C43" s="3" t="s">
        <v>155</v>
      </c>
      <c r="D43" t="s">
        <v>156</v>
      </c>
      <c r="E43" s="3" t="s">
        <v>159</v>
      </c>
      <c r="F43" s="3" t="s">
        <v>10</v>
      </c>
      <c r="G43" s="3" t="s">
        <v>72</v>
      </c>
      <c r="H43" s="3" t="s">
        <v>8</v>
      </c>
      <c r="I43" s="3" t="s">
        <v>14</v>
      </c>
      <c r="J43" s="3" t="s">
        <v>37</v>
      </c>
      <c r="K43" s="3" t="s">
        <v>158</v>
      </c>
      <c r="L43" s="3" t="s">
        <v>24</v>
      </c>
      <c r="M43">
        <v>1</v>
      </c>
    </row>
    <row r="44" spans="1:13" x14ac:dyDescent="0.25">
      <c r="A44" s="2">
        <v>46204</v>
      </c>
      <c r="B44" s="1" t="str">
        <f ca="1">IF(Información1[[#This Row],[Fecha]]='Ajuste de fechas'!$A$2,"Día actual","Día anterior")</f>
        <v>Día anterior</v>
      </c>
      <c r="C44" s="3" t="s">
        <v>155</v>
      </c>
      <c r="D44" t="s">
        <v>156</v>
      </c>
      <c r="E44" s="3" t="s">
        <v>160</v>
      </c>
      <c r="F44" s="3" t="s">
        <v>30</v>
      </c>
      <c r="G44" s="3" t="s">
        <v>161</v>
      </c>
      <c r="H44" s="3" t="s">
        <v>8</v>
      </c>
      <c r="I44" s="3" t="s">
        <v>14</v>
      </c>
      <c r="J44" s="3" t="s">
        <v>13</v>
      </c>
      <c r="K44" s="3" t="s">
        <v>158</v>
      </c>
      <c r="L44" s="3" t="s">
        <v>162</v>
      </c>
      <c r="M44">
        <v>1</v>
      </c>
    </row>
    <row r="45" spans="1:13" x14ac:dyDescent="0.25">
      <c r="A45" s="2">
        <v>46204</v>
      </c>
      <c r="B45" s="1" t="str">
        <f ca="1">IF(Información1[[#This Row],[Fecha]]='Ajuste de fechas'!$A$2,"Día actual","Día anterior")</f>
        <v>Día anterior</v>
      </c>
      <c r="C45" s="3" t="s">
        <v>163</v>
      </c>
      <c r="D45" t="s">
        <v>164</v>
      </c>
      <c r="E45" s="3" t="s">
        <v>165</v>
      </c>
      <c r="F45" s="3" t="s">
        <v>10</v>
      </c>
      <c r="G45" s="3" t="s">
        <v>166</v>
      </c>
      <c r="H45" s="3" t="s">
        <v>8</v>
      </c>
      <c r="I45" s="3" t="s">
        <v>7</v>
      </c>
      <c r="J45" s="3" t="s">
        <v>37</v>
      </c>
      <c r="K45" s="3" t="s">
        <v>167</v>
      </c>
      <c r="L45" s="3" t="s">
        <v>24</v>
      </c>
      <c r="M45">
        <v>1</v>
      </c>
    </row>
    <row r="46" spans="1:13" x14ac:dyDescent="0.25">
      <c r="A46" s="2">
        <v>46204</v>
      </c>
      <c r="B46" s="1" t="str">
        <f ca="1">IF(Información1[[#This Row],[Fecha]]='Ajuste de fechas'!$A$2,"Día actual","Día anterior")</f>
        <v>Día anterior</v>
      </c>
      <c r="C46" s="3" t="s">
        <v>163</v>
      </c>
      <c r="D46" t="s">
        <v>164</v>
      </c>
      <c r="E46" s="3" t="s">
        <v>168</v>
      </c>
      <c r="F46" s="3" t="s">
        <v>38</v>
      </c>
      <c r="G46" s="3" t="s">
        <v>169</v>
      </c>
      <c r="H46" s="3" t="s">
        <v>8</v>
      </c>
      <c r="I46" s="3" t="s">
        <v>7</v>
      </c>
      <c r="J46" s="3" t="s">
        <v>35</v>
      </c>
      <c r="K46" s="3" t="s">
        <v>167</v>
      </c>
      <c r="L46" s="3" t="s">
        <v>24</v>
      </c>
      <c r="M46">
        <v>1</v>
      </c>
    </row>
    <row r="47" spans="1:13" x14ac:dyDescent="0.25">
      <c r="A47" s="2">
        <v>46204</v>
      </c>
      <c r="B47" s="1" t="str">
        <f ca="1">IF(Información1[[#This Row],[Fecha]]='Ajuste de fechas'!$A$2,"Día actual","Día anterior")</f>
        <v>Día anterior</v>
      </c>
      <c r="C47" s="3" t="s">
        <v>163</v>
      </c>
      <c r="D47" t="s">
        <v>164</v>
      </c>
      <c r="E47" s="3" t="s">
        <v>170</v>
      </c>
      <c r="F47" s="3" t="s">
        <v>30</v>
      </c>
      <c r="G47" s="3" t="s">
        <v>161</v>
      </c>
      <c r="H47" s="3" t="s">
        <v>8</v>
      </c>
      <c r="I47" s="3" t="s">
        <v>53</v>
      </c>
      <c r="J47" s="3" t="s">
        <v>13</v>
      </c>
      <c r="K47" s="3" t="s">
        <v>167</v>
      </c>
      <c r="L47" s="3" t="s">
        <v>96</v>
      </c>
      <c r="M47">
        <v>1</v>
      </c>
    </row>
    <row r="48" spans="1:13" x14ac:dyDescent="0.25">
      <c r="A48" s="2">
        <v>46204</v>
      </c>
      <c r="B48" s="1" t="str">
        <f ca="1">IF(Información1[[#This Row],[Fecha]]='Ajuste de fechas'!$A$2,"Día actual","Día anterior")</f>
        <v>Día anterior</v>
      </c>
      <c r="C48" s="3" t="s">
        <v>163</v>
      </c>
      <c r="D48" t="s">
        <v>164</v>
      </c>
      <c r="E48" s="3" t="s">
        <v>171</v>
      </c>
      <c r="F48" s="3" t="s">
        <v>80</v>
      </c>
      <c r="G48" s="3" t="s">
        <v>169</v>
      </c>
      <c r="H48" s="3" t="s">
        <v>8</v>
      </c>
      <c r="I48" s="3" t="s">
        <v>7</v>
      </c>
      <c r="J48" s="3" t="s">
        <v>35</v>
      </c>
      <c r="K48" s="3" t="s">
        <v>167</v>
      </c>
      <c r="L48" s="3" t="s">
        <v>26</v>
      </c>
      <c r="M48">
        <v>1</v>
      </c>
    </row>
    <row r="49" spans="1:13" x14ac:dyDescent="0.25">
      <c r="A49" s="2">
        <v>46204</v>
      </c>
      <c r="B49" s="1" t="str">
        <f ca="1">IF(Información1[[#This Row],[Fecha]]='Ajuste de fechas'!$A$2,"Día actual","Día anterior")</f>
        <v>Día anterior</v>
      </c>
      <c r="C49" s="3" t="s">
        <v>163</v>
      </c>
      <c r="D49" t="s">
        <v>164</v>
      </c>
      <c r="E49" s="3" t="s">
        <v>172</v>
      </c>
      <c r="F49" s="3" t="s">
        <v>42</v>
      </c>
      <c r="G49" s="3" t="s">
        <v>173</v>
      </c>
      <c r="H49" s="3" t="s">
        <v>8</v>
      </c>
      <c r="I49" s="3" t="s">
        <v>7</v>
      </c>
      <c r="J49" s="3" t="s">
        <v>35</v>
      </c>
      <c r="K49" s="3" t="s">
        <v>167</v>
      </c>
      <c r="L49" s="3" t="s">
        <v>24</v>
      </c>
      <c r="M49">
        <v>1</v>
      </c>
    </row>
    <row r="50" spans="1:13" x14ac:dyDescent="0.25">
      <c r="A50" s="2">
        <v>46204</v>
      </c>
      <c r="B50" s="1" t="str">
        <f ca="1">IF(Información1[[#This Row],[Fecha]]='Ajuste de fechas'!$A$2,"Día actual","Día anterior")</f>
        <v>Día anterior</v>
      </c>
      <c r="C50" s="3" t="s">
        <v>163</v>
      </c>
      <c r="D50" t="s">
        <v>164</v>
      </c>
      <c r="E50" s="3" t="s">
        <v>174</v>
      </c>
      <c r="F50" s="3" t="s">
        <v>12</v>
      </c>
      <c r="G50" s="3" t="s">
        <v>51</v>
      </c>
      <c r="H50" s="3" t="s">
        <v>8</v>
      </c>
      <c r="I50" s="3" t="s">
        <v>7</v>
      </c>
      <c r="J50" s="3" t="s">
        <v>35</v>
      </c>
      <c r="K50" s="3" t="s">
        <v>167</v>
      </c>
      <c r="L50" s="3" t="s">
        <v>26</v>
      </c>
      <c r="M50">
        <v>1</v>
      </c>
    </row>
    <row r="51" spans="1:13" x14ac:dyDescent="0.25">
      <c r="A51" s="2">
        <v>46204</v>
      </c>
      <c r="B51" s="1" t="str">
        <f ca="1">IF(Información1[[#This Row],[Fecha]]='Ajuste de fechas'!$A$2,"Día actual","Día anterior")</f>
        <v>Día anterior</v>
      </c>
      <c r="C51" s="3" t="s">
        <v>163</v>
      </c>
      <c r="D51" t="s">
        <v>164</v>
      </c>
      <c r="E51" s="3" t="s">
        <v>175</v>
      </c>
      <c r="F51" s="3" t="s">
        <v>42</v>
      </c>
      <c r="G51" s="3" t="s">
        <v>73</v>
      </c>
      <c r="H51" s="3" t="s">
        <v>8</v>
      </c>
      <c r="I51" s="3" t="s">
        <v>7</v>
      </c>
      <c r="J51" s="3" t="s">
        <v>35</v>
      </c>
      <c r="K51" s="3" t="s">
        <v>167</v>
      </c>
      <c r="L51" s="3" t="s">
        <v>26</v>
      </c>
      <c r="M51">
        <v>1</v>
      </c>
    </row>
    <row r="52" spans="1:13" x14ac:dyDescent="0.25">
      <c r="A52" s="2">
        <v>46204</v>
      </c>
      <c r="B52" s="1" t="str">
        <f ca="1">IF(Información1[[#This Row],[Fecha]]='Ajuste de fechas'!$A$2,"Día actual","Día anterior")</f>
        <v>Día anterior</v>
      </c>
      <c r="C52" s="3" t="s">
        <v>163</v>
      </c>
      <c r="D52" t="s">
        <v>164</v>
      </c>
      <c r="E52" s="3" t="s">
        <v>176</v>
      </c>
      <c r="F52" s="3" t="s">
        <v>130</v>
      </c>
      <c r="G52" s="3" t="s">
        <v>131</v>
      </c>
      <c r="H52" s="3" t="s">
        <v>8</v>
      </c>
      <c r="I52" s="3" t="s">
        <v>7</v>
      </c>
      <c r="J52" s="3" t="s">
        <v>35</v>
      </c>
      <c r="K52" s="3" t="s">
        <v>167</v>
      </c>
      <c r="L52" s="3" t="s">
        <v>26</v>
      </c>
      <c r="M52">
        <v>1</v>
      </c>
    </row>
    <row r="53" spans="1:13" x14ac:dyDescent="0.25">
      <c r="A53" s="2">
        <v>46204</v>
      </c>
      <c r="B53" s="1" t="str">
        <f ca="1">IF(Información1[[#This Row],[Fecha]]='Ajuste de fechas'!$A$2,"Día actual","Día anterior")</f>
        <v>Día anterior</v>
      </c>
      <c r="C53" s="3" t="s">
        <v>163</v>
      </c>
      <c r="D53" t="s">
        <v>164</v>
      </c>
      <c r="E53" s="3" t="s">
        <v>177</v>
      </c>
      <c r="F53" s="3" t="s">
        <v>17</v>
      </c>
      <c r="G53" s="3" t="s">
        <v>178</v>
      </c>
      <c r="H53" s="3" t="s">
        <v>8</v>
      </c>
      <c r="I53" s="3" t="s">
        <v>7</v>
      </c>
      <c r="J53" s="3" t="s">
        <v>35</v>
      </c>
      <c r="K53" s="3" t="s">
        <v>167</v>
      </c>
      <c r="L53" s="3" t="s">
        <v>26</v>
      </c>
      <c r="M53">
        <v>1</v>
      </c>
    </row>
    <row r="54" spans="1:13" x14ac:dyDescent="0.25">
      <c r="A54" s="2">
        <v>46204</v>
      </c>
      <c r="B54" s="1" t="str">
        <f ca="1">IF(Información1[[#This Row],[Fecha]]='Ajuste de fechas'!$A$2,"Día actual","Día anterior")</f>
        <v>Día anterior</v>
      </c>
      <c r="C54" s="3" t="s">
        <v>163</v>
      </c>
      <c r="D54" t="s">
        <v>164</v>
      </c>
      <c r="E54" s="3" t="s">
        <v>179</v>
      </c>
      <c r="F54" s="3" t="s">
        <v>145</v>
      </c>
      <c r="G54" s="3" t="s">
        <v>90</v>
      </c>
      <c r="H54" s="3" t="s">
        <v>8</v>
      </c>
      <c r="I54" s="3" t="s">
        <v>7</v>
      </c>
      <c r="J54" s="3" t="s">
        <v>35</v>
      </c>
      <c r="K54" s="3" t="s">
        <v>167</v>
      </c>
      <c r="L54" s="3" t="s">
        <v>26</v>
      </c>
      <c r="M54">
        <v>1</v>
      </c>
    </row>
    <row r="55" spans="1:13" x14ac:dyDescent="0.25">
      <c r="A55" s="2">
        <v>46204</v>
      </c>
      <c r="B55" s="1" t="str">
        <f ca="1">IF(Información1[[#This Row],[Fecha]]='Ajuste de fechas'!$A$2,"Día actual","Día anterior")</f>
        <v>Día anterior</v>
      </c>
      <c r="C55" s="3" t="s">
        <v>163</v>
      </c>
      <c r="D55" t="s">
        <v>164</v>
      </c>
      <c r="E55" s="3" t="s">
        <v>124</v>
      </c>
      <c r="F55" s="3" t="s">
        <v>15</v>
      </c>
      <c r="G55" s="3" t="s">
        <v>122</v>
      </c>
      <c r="H55" s="3" t="s">
        <v>8</v>
      </c>
      <c r="I55" s="3" t="s">
        <v>7</v>
      </c>
      <c r="J55" s="3" t="s">
        <v>35</v>
      </c>
      <c r="K55" s="3" t="s">
        <v>167</v>
      </c>
      <c r="L55" s="3" t="s">
        <v>26</v>
      </c>
      <c r="M55">
        <v>1</v>
      </c>
    </row>
    <row r="56" spans="1:13" x14ac:dyDescent="0.25">
      <c r="A56" s="2">
        <v>46204</v>
      </c>
      <c r="B56" s="1" t="str">
        <f ca="1">IF(Información1[[#This Row],[Fecha]]='Ajuste de fechas'!$A$2,"Día actual","Día anterior")</f>
        <v>Día anterior</v>
      </c>
      <c r="C56" s="3" t="s">
        <v>155</v>
      </c>
      <c r="D56" t="s">
        <v>180</v>
      </c>
      <c r="E56" s="3" t="s">
        <v>181</v>
      </c>
      <c r="F56" s="3" t="s">
        <v>10</v>
      </c>
      <c r="G56" s="3" t="s">
        <v>182</v>
      </c>
      <c r="H56" s="3" t="s">
        <v>8</v>
      </c>
      <c r="I56" s="3" t="s">
        <v>7</v>
      </c>
      <c r="J56" s="3" t="s">
        <v>37</v>
      </c>
      <c r="K56" s="3" t="s">
        <v>158</v>
      </c>
      <c r="L56" s="3" t="s">
        <v>24</v>
      </c>
      <c r="M56">
        <v>1</v>
      </c>
    </row>
    <row r="57" spans="1:13" x14ac:dyDescent="0.25">
      <c r="A57" s="2">
        <v>46204</v>
      </c>
      <c r="B57" s="1" t="str">
        <f ca="1">IF(Información1[[#This Row],[Fecha]]='Ajuste de fechas'!$A$2,"Día actual","Día anterior")</f>
        <v>Día anterior</v>
      </c>
      <c r="C57" s="3" t="s">
        <v>155</v>
      </c>
      <c r="D57" t="s">
        <v>180</v>
      </c>
      <c r="E57" s="3" t="s">
        <v>183</v>
      </c>
      <c r="F57" s="3" t="s">
        <v>10</v>
      </c>
      <c r="G57" s="3" t="s">
        <v>89</v>
      </c>
      <c r="H57" s="3" t="s">
        <v>8</v>
      </c>
      <c r="I57" s="3" t="s">
        <v>7</v>
      </c>
      <c r="J57" s="3" t="s">
        <v>37</v>
      </c>
      <c r="K57" s="3" t="s">
        <v>158</v>
      </c>
      <c r="L57" s="3" t="s">
        <v>24</v>
      </c>
      <c r="M57">
        <v>1</v>
      </c>
    </row>
    <row r="58" spans="1:13" x14ac:dyDescent="0.25">
      <c r="A58" s="2">
        <v>46204</v>
      </c>
      <c r="B58" s="1" t="str">
        <f ca="1">IF(Información1[[#This Row],[Fecha]]='Ajuste de fechas'!$A$2,"Día actual","Día anterior")</f>
        <v>Día anterior</v>
      </c>
      <c r="C58" s="3" t="s">
        <v>155</v>
      </c>
      <c r="D58" t="s">
        <v>180</v>
      </c>
      <c r="E58" s="3" t="s">
        <v>184</v>
      </c>
      <c r="F58" s="3" t="s">
        <v>10</v>
      </c>
      <c r="G58" s="3" t="s">
        <v>72</v>
      </c>
      <c r="H58" s="3" t="s">
        <v>8</v>
      </c>
      <c r="I58" s="3" t="s">
        <v>14</v>
      </c>
      <c r="J58" s="3" t="s">
        <v>37</v>
      </c>
      <c r="K58" s="3" t="s">
        <v>158</v>
      </c>
      <c r="L58" s="3" t="s">
        <v>24</v>
      </c>
      <c r="M58">
        <v>1</v>
      </c>
    </row>
    <row r="59" spans="1:13" x14ac:dyDescent="0.25">
      <c r="A59" s="2">
        <v>46204</v>
      </c>
      <c r="B59" s="1" t="str">
        <f ca="1">IF(Información1[[#This Row],[Fecha]]='Ajuste de fechas'!$A$2,"Día actual","Día anterior")</f>
        <v>Día anterior</v>
      </c>
      <c r="C59" s="3" t="s">
        <v>155</v>
      </c>
      <c r="D59" t="s">
        <v>180</v>
      </c>
      <c r="E59" s="3" t="s">
        <v>185</v>
      </c>
      <c r="F59" s="3" t="s">
        <v>38</v>
      </c>
      <c r="G59" s="3" t="s">
        <v>186</v>
      </c>
      <c r="H59" s="3" t="s">
        <v>8</v>
      </c>
      <c r="I59" s="3" t="s">
        <v>7</v>
      </c>
      <c r="J59" s="3" t="s">
        <v>35</v>
      </c>
      <c r="K59" s="3" t="s">
        <v>99</v>
      </c>
      <c r="L59" s="3" t="s">
        <v>48</v>
      </c>
      <c r="M59">
        <v>1</v>
      </c>
    </row>
    <row r="60" spans="1:13" x14ac:dyDescent="0.25">
      <c r="A60" s="2">
        <v>46204</v>
      </c>
      <c r="B60" s="1" t="str">
        <f ca="1">IF(Información1[[#This Row],[Fecha]]='Ajuste de fechas'!$A$2,"Día actual","Día anterior")</f>
        <v>Día anterior</v>
      </c>
      <c r="C60" s="3" t="s">
        <v>155</v>
      </c>
      <c r="D60" t="s">
        <v>180</v>
      </c>
      <c r="E60" s="3" t="s">
        <v>124</v>
      </c>
      <c r="F60" s="3" t="s">
        <v>15</v>
      </c>
      <c r="G60" s="3" t="s">
        <v>122</v>
      </c>
      <c r="H60" s="3" t="s">
        <v>8</v>
      </c>
      <c r="I60" s="3" t="s">
        <v>7</v>
      </c>
      <c r="J60" s="3" t="s">
        <v>35</v>
      </c>
      <c r="K60" s="3" t="s">
        <v>99</v>
      </c>
      <c r="L60" s="3" t="s">
        <v>26</v>
      </c>
      <c r="M60">
        <v>1</v>
      </c>
    </row>
    <row r="61" spans="1:13" x14ac:dyDescent="0.25">
      <c r="A61" s="2">
        <v>46204</v>
      </c>
      <c r="B61" s="1" t="str">
        <f ca="1">IF(Información1[[#This Row],[Fecha]]='Ajuste de fechas'!$A$2,"Día actual","Día anterior")</f>
        <v>Día anterior</v>
      </c>
      <c r="C61" s="3" t="s">
        <v>155</v>
      </c>
      <c r="D61" t="s">
        <v>180</v>
      </c>
      <c r="E61" s="3" t="s">
        <v>187</v>
      </c>
      <c r="F61" s="3" t="s">
        <v>12</v>
      </c>
      <c r="G61" s="3" t="s">
        <v>188</v>
      </c>
      <c r="H61" s="3" t="s">
        <v>8</v>
      </c>
      <c r="I61" s="3" t="s">
        <v>7</v>
      </c>
      <c r="J61" s="3" t="s">
        <v>35</v>
      </c>
      <c r="K61" s="3" t="s">
        <v>99</v>
      </c>
      <c r="L61" s="3" t="s">
        <v>26</v>
      </c>
      <c r="M61">
        <v>1</v>
      </c>
    </row>
    <row r="62" spans="1:13" x14ac:dyDescent="0.25">
      <c r="A62" s="2">
        <v>46204</v>
      </c>
      <c r="B62" s="1" t="str">
        <f ca="1">IF(Información1[[#This Row],[Fecha]]='Ajuste de fechas'!$A$2,"Día actual","Día anterior")</f>
        <v>Día anterior</v>
      </c>
      <c r="C62" s="3" t="s">
        <v>155</v>
      </c>
      <c r="D62" t="s">
        <v>180</v>
      </c>
      <c r="E62" s="3" t="s">
        <v>176</v>
      </c>
      <c r="F62" s="3" t="s">
        <v>130</v>
      </c>
      <c r="G62" s="3" t="s">
        <v>131</v>
      </c>
      <c r="H62" s="3" t="s">
        <v>8</v>
      </c>
      <c r="I62" s="3" t="s">
        <v>7</v>
      </c>
      <c r="J62" s="3" t="s">
        <v>35</v>
      </c>
      <c r="K62" s="3" t="s">
        <v>99</v>
      </c>
      <c r="L62" s="3" t="s">
        <v>26</v>
      </c>
      <c r="M62">
        <v>1</v>
      </c>
    </row>
    <row r="63" spans="1:13" x14ac:dyDescent="0.25">
      <c r="A63" s="2">
        <v>46204</v>
      </c>
      <c r="B63" s="1" t="str">
        <f ca="1">IF(Información1[[#This Row],[Fecha]]='Ajuste de fechas'!$A$2,"Día actual","Día anterior")</f>
        <v>Día anterior</v>
      </c>
      <c r="C63" s="3" t="s">
        <v>155</v>
      </c>
      <c r="D63" t="s">
        <v>180</v>
      </c>
      <c r="E63" s="3" t="s">
        <v>175</v>
      </c>
      <c r="F63" s="3" t="s">
        <v>42</v>
      </c>
      <c r="G63" s="3" t="s">
        <v>73</v>
      </c>
      <c r="H63" s="3" t="s">
        <v>8</v>
      </c>
      <c r="I63" s="3" t="s">
        <v>7</v>
      </c>
      <c r="J63" s="3" t="s">
        <v>35</v>
      </c>
      <c r="K63" s="3" t="s">
        <v>99</v>
      </c>
      <c r="L63" s="3" t="s">
        <v>26</v>
      </c>
      <c r="M63">
        <v>1</v>
      </c>
    </row>
    <row r="64" spans="1:13" x14ac:dyDescent="0.25">
      <c r="A64" s="2">
        <v>46204</v>
      </c>
      <c r="B64" s="1" t="str">
        <f ca="1">IF(Información1[[#This Row],[Fecha]]='Ajuste de fechas'!$A$2,"Día actual","Día anterior")</f>
        <v>Día anterior</v>
      </c>
      <c r="C64" s="3" t="s">
        <v>155</v>
      </c>
      <c r="D64" t="s">
        <v>180</v>
      </c>
      <c r="E64" s="3" t="s">
        <v>189</v>
      </c>
      <c r="F64" s="3" t="s">
        <v>9</v>
      </c>
      <c r="G64" s="3" t="s">
        <v>138</v>
      </c>
      <c r="H64" s="3" t="s">
        <v>8</v>
      </c>
      <c r="I64" s="3" t="s">
        <v>7</v>
      </c>
      <c r="J64" s="3" t="s">
        <v>35</v>
      </c>
      <c r="K64" s="3" t="s">
        <v>99</v>
      </c>
      <c r="L64" s="3" t="s">
        <v>26</v>
      </c>
      <c r="M64">
        <v>1</v>
      </c>
    </row>
    <row r="65" spans="1:13" x14ac:dyDescent="0.25">
      <c r="A65" s="2">
        <v>46204</v>
      </c>
      <c r="B65" s="1" t="str">
        <f ca="1">IF(Información1[[#This Row],[Fecha]]='Ajuste de fechas'!$A$2,"Día actual","Día anterior")</f>
        <v>Día anterior</v>
      </c>
      <c r="C65" s="3" t="s">
        <v>155</v>
      </c>
      <c r="D65" t="s">
        <v>180</v>
      </c>
      <c r="E65" s="3" t="s">
        <v>174</v>
      </c>
      <c r="F65" s="3" t="s">
        <v>12</v>
      </c>
      <c r="G65" s="3" t="s">
        <v>51</v>
      </c>
      <c r="H65" s="3" t="s">
        <v>8</v>
      </c>
      <c r="I65" s="3" t="s">
        <v>7</v>
      </c>
      <c r="J65" s="3" t="s">
        <v>35</v>
      </c>
      <c r="K65" s="3" t="s">
        <v>99</v>
      </c>
      <c r="L65" s="3" t="s">
        <v>26</v>
      </c>
      <c r="M65">
        <v>1</v>
      </c>
    </row>
    <row r="66" spans="1:13" x14ac:dyDescent="0.25">
      <c r="A66" s="2">
        <v>46204</v>
      </c>
      <c r="B66" s="1" t="str">
        <f ca="1">IF(Información1[[#This Row],[Fecha]]='Ajuste de fechas'!$A$2,"Día actual","Día anterior")</f>
        <v>Día anterior</v>
      </c>
      <c r="C66" s="3" t="s">
        <v>40</v>
      </c>
      <c r="D66" t="s">
        <v>41</v>
      </c>
      <c r="E66" s="3" t="s">
        <v>192</v>
      </c>
      <c r="F66" s="3" t="s">
        <v>15</v>
      </c>
      <c r="G66" s="3" t="s">
        <v>193</v>
      </c>
      <c r="H66" s="3" t="s">
        <v>8</v>
      </c>
      <c r="I66" s="3" t="s">
        <v>7</v>
      </c>
      <c r="J66" s="3" t="s">
        <v>35</v>
      </c>
      <c r="K66" s="3" t="s">
        <v>65</v>
      </c>
      <c r="L66" s="3" t="s">
        <v>24</v>
      </c>
      <c r="M66">
        <v>1</v>
      </c>
    </row>
    <row r="67" spans="1:13" x14ac:dyDescent="0.25">
      <c r="A67" s="2">
        <v>46204</v>
      </c>
      <c r="B67" s="1" t="str">
        <f ca="1">IF(Información1[[#This Row],[Fecha]]='Ajuste de fechas'!$A$2,"Día actual","Día anterior")</f>
        <v>Día anterior</v>
      </c>
      <c r="C67" s="3" t="s">
        <v>40</v>
      </c>
      <c r="D67" t="s">
        <v>41</v>
      </c>
      <c r="E67" s="3" t="s">
        <v>194</v>
      </c>
      <c r="F67" s="3" t="s">
        <v>10</v>
      </c>
      <c r="G67" s="3" t="s">
        <v>89</v>
      </c>
      <c r="H67" s="3" t="s">
        <v>8</v>
      </c>
      <c r="I67" s="3" t="s">
        <v>7</v>
      </c>
      <c r="J67" s="3" t="s">
        <v>37</v>
      </c>
      <c r="K67" s="3" t="s">
        <v>65</v>
      </c>
      <c r="L67" s="3" t="s">
        <v>24</v>
      </c>
      <c r="M67">
        <v>1</v>
      </c>
    </row>
    <row r="68" spans="1:13" x14ac:dyDescent="0.25">
      <c r="A68" s="2">
        <v>46204</v>
      </c>
      <c r="B68" s="1" t="str">
        <f ca="1">IF(Información1[[#This Row],[Fecha]]='Ajuste de fechas'!$A$2,"Día actual","Día anterior")</f>
        <v>Día anterior</v>
      </c>
      <c r="C68" s="3" t="s">
        <v>40</v>
      </c>
      <c r="D68" t="s">
        <v>41</v>
      </c>
      <c r="E68" s="3" t="s">
        <v>195</v>
      </c>
      <c r="F68" s="3" t="s">
        <v>50</v>
      </c>
      <c r="G68" s="3" t="s">
        <v>94</v>
      </c>
      <c r="H68" s="3" t="s">
        <v>8</v>
      </c>
      <c r="I68" s="3" t="s">
        <v>14</v>
      </c>
      <c r="J68" s="3" t="s">
        <v>35</v>
      </c>
      <c r="K68" s="3" t="s">
        <v>65</v>
      </c>
      <c r="L68" s="3" t="s">
        <v>25</v>
      </c>
      <c r="M68">
        <v>1</v>
      </c>
    </row>
    <row r="69" spans="1:13" x14ac:dyDescent="0.25">
      <c r="A69" s="2">
        <v>46204</v>
      </c>
      <c r="B69" s="1" t="str">
        <f ca="1">IF(Información1[[#This Row],[Fecha]]='Ajuste de fechas'!$A$2,"Día actual","Día anterior")</f>
        <v>Día anterior</v>
      </c>
      <c r="C69" s="3" t="s">
        <v>40</v>
      </c>
      <c r="D69" t="s">
        <v>41</v>
      </c>
      <c r="E69" s="3" t="s">
        <v>196</v>
      </c>
      <c r="F69" s="3" t="s">
        <v>10</v>
      </c>
      <c r="G69" s="3" t="s">
        <v>197</v>
      </c>
      <c r="H69" s="3" t="s">
        <v>8</v>
      </c>
      <c r="I69" s="3" t="s">
        <v>7</v>
      </c>
      <c r="J69" s="3" t="s">
        <v>37</v>
      </c>
      <c r="K69" s="3" t="s">
        <v>65</v>
      </c>
      <c r="L69" s="3" t="s">
        <v>24</v>
      </c>
      <c r="M69">
        <v>1</v>
      </c>
    </row>
    <row r="70" spans="1:13" x14ac:dyDescent="0.25">
      <c r="A70" s="2">
        <v>46204</v>
      </c>
      <c r="B70" s="1" t="str">
        <f ca="1">IF(Información1[[#This Row],[Fecha]]='Ajuste de fechas'!$A$2,"Día actual","Día anterior")</f>
        <v>Día anterior</v>
      </c>
      <c r="C70" s="3" t="s">
        <v>40</v>
      </c>
      <c r="D70" t="s">
        <v>41</v>
      </c>
      <c r="E70" s="3" t="s">
        <v>198</v>
      </c>
      <c r="F70" s="3" t="s">
        <v>10</v>
      </c>
      <c r="G70" s="3" t="s">
        <v>103</v>
      </c>
      <c r="H70" s="3" t="s">
        <v>8</v>
      </c>
      <c r="I70" s="3" t="s">
        <v>7</v>
      </c>
      <c r="J70" s="3" t="s">
        <v>37</v>
      </c>
      <c r="K70" s="3" t="s">
        <v>65</v>
      </c>
      <c r="L70" s="3" t="s">
        <v>24</v>
      </c>
      <c r="M70">
        <v>1</v>
      </c>
    </row>
    <row r="71" spans="1:13" x14ac:dyDescent="0.25">
      <c r="A71" s="2">
        <v>46204</v>
      </c>
      <c r="B71" s="1" t="str">
        <f ca="1">IF(Información1[[#This Row],[Fecha]]='Ajuste de fechas'!$A$2,"Día actual","Día anterior")</f>
        <v>Día anterior</v>
      </c>
      <c r="C71" s="3" t="s">
        <v>40</v>
      </c>
      <c r="D71" t="s">
        <v>41</v>
      </c>
      <c r="E71" s="3" t="s">
        <v>92</v>
      </c>
      <c r="F71" s="3" t="s">
        <v>10</v>
      </c>
      <c r="G71" s="3" t="s">
        <v>93</v>
      </c>
      <c r="H71" s="3" t="s">
        <v>8</v>
      </c>
      <c r="I71" s="3" t="s">
        <v>7</v>
      </c>
      <c r="J71" s="3" t="s">
        <v>37</v>
      </c>
      <c r="K71" s="3" t="s">
        <v>65</v>
      </c>
      <c r="L71" s="3" t="s">
        <v>24</v>
      </c>
      <c r="M71">
        <v>1</v>
      </c>
    </row>
    <row r="72" spans="1:13" x14ac:dyDescent="0.25">
      <c r="A72" s="2">
        <v>46204</v>
      </c>
      <c r="B72" s="1" t="str">
        <f ca="1">IF(Información1[[#This Row],[Fecha]]='Ajuste de fechas'!$A$2,"Día actual","Día anterior")</f>
        <v>Día anterior</v>
      </c>
      <c r="C72" s="3" t="s">
        <v>40</v>
      </c>
      <c r="D72" t="s">
        <v>41</v>
      </c>
      <c r="E72" s="3" t="s">
        <v>199</v>
      </c>
      <c r="F72" s="3" t="s">
        <v>10</v>
      </c>
      <c r="G72" s="3" t="s">
        <v>188</v>
      </c>
      <c r="H72" s="3" t="s">
        <v>8</v>
      </c>
      <c r="I72" s="3" t="s">
        <v>7</v>
      </c>
      <c r="J72" s="3" t="s">
        <v>37</v>
      </c>
      <c r="K72" s="3" t="s">
        <v>65</v>
      </c>
      <c r="L72" s="3" t="s">
        <v>24</v>
      </c>
      <c r="M72">
        <v>1</v>
      </c>
    </row>
    <row r="73" spans="1:13" x14ac:dyDescent="0.25">
      <c r="A73" s="2">
        <v>46204</v>
      </c>
      <c r="B73" s="1" t="str">
        <f ca="1">IF(Información1[[#This Row],[Fecha]]='Ajuste de fechas'!$A$2,"Día actual","Día anterior")</f>
        <v>Día anterior</v>
      </c>
      <c r="C73" s="3" t="s">
        <v>40</v>
      </c>
      <c r="D73" t="s">
        <v>41</v>
      </c>
      <c r="E73" s="3" t="s">
        <v>119</v>
      </c>
      <c r="F73" s="3" t="s">
        <v>12</v>
      </c>
      <c r="G73" s="3" t="s">
        <v>51</v>
      </c>
      <c r="H73" s="3" t="s">
        <v>8</v>
      </c>
      <c r="I73" s="3" t="s">
        <v>7</v>
      </c>
      <c r="J73" s="3" t="s">
        <v>35</v>
      </c>
      <c r="K73" s="3" t="s">
        <v>65</v>
      </c>
      <c r="L73" s="3" t="s">
        <v>26</v>
      </c>
      <c r="M73">
        <v>1</v>
      </c>
    </row>
    <row r="74" spans="1:13" x14ac:dyDescent="0.25">
      <c r="A74" s="2">
        <v>46204</v>
      </c>
      <c r="B74" s="1" t="str">
        <f ca="1">IF(Información1[[#This Row],[Fecha]]='Ajuste de fechas'!$A$2,"Día actual","Día anterior")</f>
        <v>Día anterior</v>
      </c>
      <c r="C74" s="3" t="s">
        <v>40</v>
      </c>
      <c r="D74" t="s">
        <v>41</v>
      </c>
      <c r="E74" s="3" t="s">
        <v>200</v>
      </c>
      <c r="F74" s="3" t="s">
        <v>42</v>
      </c>
      <c r="G74" s="3" t="s">
        <v>201</v>
      </c>
      <c r="H74" s="3" t="s">
        <v>8</v>
      </c>
      <c r="I74" s="3" t="s">
        <v>7</v>
      </c>
      <c r="J74" s="3" t="s">
        <v>35</v>
      </c>
      <c r="K74" s="3" t="s">
        <v>65</v>
      </c>
      <c r="L74" s="3" t="s">
        <v>24</v>
      </c>
      <c r="M74">
        <v>1</v>
      </c>
    </row>
    <row r="75" spans="1:13" x14ac:dyDescent="0.25">
      <c r="A75" s="2">
        <v>46204</v>
      </c>
      <c r="B75" s="1" t="str">
        <f ca="1">IF(Información1[[#This Row],[Fecha]]='Ajuste de fechas'!$A$2,"Día actual","Día anterior")</f>
        <v>Día anterior</v>
      </c>
      <c r="C75" s="3" t="s">
        <v>40</v>
      </c>
      <c r="D75" t="s">
        <v>41</v>
      </c>
      <c r="E75" s="3" t="s">
        <v>202</v>
      </c>
      <c r="F75" s="3" t="s">
        <v>10</v>
      </c>
      <c r="G75" s="3" t="s">
        <v>190</v>
      </c>
      <c r="H75" s="3" t="s">
        <v>8</v>
      </c>
      <c r="I75" s="3" t="s">
        <v>14</v>
      </c>
      <c r="J75" s="3" t="s">
        <v>37</v>
      </c>
      <c r="K75" s="3" t="s">
        <v>65</v>
      </c>
      <c r="L75" s="3" t="s">
        <v>24</v>
      </c>
      <c r="M75">
        <v>1</v>
      </c>
    </row>
    <row r="76" spans="1:13" x14ac:dyDescent="0.25">
      <c r="A76" s="2">
        <v>46204</v>
      </c>
      <c r="B76" s="1" t="str">
        <f ca="1">IF(Información1[[#This Row],[Fecha]]='Ajuste de fechas'!$A$2,"Día actual","Día anterior")</f>
        <v>Día anterior</v>
      </c>
      <c r="C76" s="3" t="s">
        <v>40</v>
      </c>
      <c r="D76" t="s">
        <v>41</v>
      </c>
      <c r="E76" s="3" t="s">
        <v>203</v>
      </c>
      <c r="F76" s="3" t="s">
        <v>9</v>
      </c>
      <c r="G76" s="3" t="s">
        <v>138</v>
      </c>
      <c r="H76" s="3" t="s">
        <v>8</v>
      </c>
      <c r="I76" s="3" t="s">
        <v>7</v>
      </c>
      <c r="J76" s="3" t="s">
        <v>35</v>
      </c>
      <c r="K76" s="3" t="s">
        <v>65</v>
      </c>
      <c r="L76" s="3" t="s">
        <v>24</v>
      </c>
      <c r="M76">
        <v>1</v>
      </c>
    </row>
    <row r="77" spans="1:13" x14ac:dyDescent="0.25">
      <c r="A77" s="2">
        <v>46204</v>
      </c>
      <c r="B77" s="1" t="str">
        <f ca="1">IF(Información1[[#This Row],[Fecha]]='Ajuste de fechas'!$A$2,"Día actual","Día anterior")</f>
        <v>Día anterior</v>
      </c>
      <c r="C77" s="3" t="s">
        <v>40</v>
      </c>
      <c r="D77" t="s">
        <v>41</v>
      </c>
      <c r="E77" s="3" t="s">
        <v>204</v>
      </c>
      <c r="F77" s="3" t="s">
        <v>38</v>
      </c>
      <c r="G77" s="3" t="s">
        <v>205</v>
      </c>
      <c r="H77" s="3" t="s">
        <v>8</v>
      </c>
      <c r="I77" s="3" t="s">
        <v>7</v>
      </c>
      <c r="J77" s="3" t="s">
        <v>35</v>
      </c>
      <c r="K77" s="3" t="s">
        <v>49</v>
      </c>
      <c r="L77" s="3" t="s">
        <v>24</v>
      </c>
      <c r="M77">
        <v>1</v>
      </c>
    </row>
    <row r="78" spans="1:13" x14ac:dyDescent="0.25">
      <c r="A78" s="2">
        <v>46204</v>
      </c>
      <c r="B78" s="1" t="str">
        <f ca="1">IF(Información1[[#This Row],[Fecha]]='Ajuste de fechas'!$A$2,"Día actual","Día anterior")</f>
        <v>Día anterior</v>
      </c>
      <c r="C78" s="3" t="s">
        <v>40</v>
      </c>
      <c r="D78" t="s">
        <v>41</v>
      </c>
      <c r="E78" s="3" t="s">
        <v>206</v>
      </c>
      <c r="F78" s="3" t="s">
        <v>11</v>
      </c>
      <c r="G78" s="3" t="s">
        <v>207</v>
      </c>
      <c r="H78" s="3" t="s">
        <v>8</v>
      </c>
      <c r="I78" s="3" t="s">
        <v>7</v>
      </c>
      <c r="J78" s="3" t="s">
        <v>36</v>
      </c>
      <c r="K78" s="3" t="s">
        <v>65</v>
      </c>
      <c r="L78" s="3" t="s">
        <v>24</v>
      </c>
      <c r="M78">
        <v>1</v>
      </c>
    </row>
    <row r="79" spans="1:13" x14ac:dyDescent="0.25">
      <c r="A79" s="2">
        <v>46204</v>
      </c>
      <c r="B79" s="1" t="str">
        <f ca="1">IF(Información1[[#This Row],[Fecha]]='Ajuste de fechas'!$A$2,"Día actual","Día anterior")</f>
        <v>Día anterior</v>
      </c>
      <c r="C79" s="3" t="s">
        <v>40</v>
      </c>
      <c r="D79" t="s">
        <v>41</v>
      </c>
      <c r="E79" s="3" t="s">
        <v>208</v>
      </c>
      <c r="F79" s="3" t="s">
        <v>52</v>
      </c>
      <c r="G79" s="3" t="s">
        <v>88</v>
      </c>
      <c r="H79" s="3" t="s">
        <v>8</v>
      </c>
      <c r="I79" s="3" t="s">
        <v>7</v>
      </c>
      <c r="J79" s="3" t="s">
        <v>35</v>
      </c>
      <c r="K79" s="3" t="s">
        <v>65</v>
      </c>
      <c r="L79" s="3" t="s">
        <v>24</v>
      </c>
      <c r="M79">
        <v>1</v>
      </c>
    </row>
    <row r="80" spans="1:13" x14ac:dyDescent="0.25">
      <c r="A80" s="2">
        <v>46204</v>
      </c>
      <c r="B80" s="1" t="str">
        <f ca="1">IF(Información1[[#This Row],[Fecha]]='Ajuste de fechas'!$A$2,"Día actual","Día anterior")</f>
        <v>Día anterior</v>
      </c>
      <c r="C80" s="3" t="s">
        <v>40</v>
      </c>
      <c r="D80" t="s">
        <v>41</v>
      </c>
      <c r="E80" s="3" t="s">
        <v>209</v>
      </c>
      <c r="F80" s="3" t="s">
        <v>15</v>
      </c>
      <c r="G80" s="3" t="s">
        <v>102</v>
      </c>
      <c r="H80" s="3" t="s">
        <v>8</v>
      </c>
      <c r="I80" s="3" t="s">
        <v>7</v>
      </c>
      <c r="J80" s="3" t="s">
        <v>35</v>
      </c>
      <c r="K80" s="3" t="s">
        <v>65</v>
      </c>
      <c r="L80" s="3" t="s">
        <v>24</v>
      </c>
      <c r="M80">
        <v>1</v>
      </c>
    </row>
    <row r="81" spans="1:13" x14ac:dyDescent="0.25">
      <c r="A81" s="2">
        <v>46204</v>
      </c>
      <c r="B81" s="1" t="str">
        <f ca="1">IF(Información1[[#This Row],[Fecha]]='Ajuste de fechas'!$A$2,"Día actual","Día anterior")</f>
        <v>Día anterior</v>
      </c>
      <c r="C81" s="3" t="s">
        <v>40</v>
      </c>
      <c r="D81" t="s">
        <v>41</v>
      </c>
      <c r="E81" s="3" t="s">
        <v>210</v>
      </c>
      <c r="F81" s="3" t="s">
        <v>100</v>
      </c>
      <c r="G81" s="3" t="s">
        <v>161</v>
      </c>
      <c r="H81" s="3" t="s">
        <v>8</v>
      </c>
      <c r="I81" s="3" t="s">
        <v>53</v>
      </c>
      <c r="J81" s="3" t="s">
        <v>35</v>
      </c>
      <c r="K81" s="3" t="s">
        <v>65</v>
      </c>
      <c r="L81" s="3" t="s">
        <v>24</v>
      </c>
      <c r="M81">
        <v>1</v>
      </c>
    </row>
    <row r="82" spans="1:13" x14ac:dyDescent="0.25">
      <c r="A82" s="2">
        <v>46204</v>
      </c>
      <c r="B82" s="1" t="str">
        <f ca="1">IF(Información1[[#This Row],[Fecha]]='Ajuste de fechas'!$A$2,"Día actual","Día anterior")</f>
        <v>Día anterior</v>
      </c>
      <c r="C82" s="3" t="s">
        <v>40</v>
      </c>
      <c r="D82" t="s">
        <v>41</v>
      </c>
      <c r="E82" s="3" t="s">
        <v>211</v>
      </c>
      <c r="F82" s="3" t="s">
        <v>30</v>
      </c>
      <c r="G82" s="3" t="s">
        <v>212</v>
      </c>
      <c r="H82" s="3" t="s">
        <v>8</v>
      </c>
      <c r="I82" s="3" t="s">
        <v>7</v>
      </c>
      <c r="J82" s="3" t="s">
        <v>13</v>
      </c>
      <c r="K82" s="3" t="s">
        <v>65</v>
      </c>
      <c r="L82" s="3" t="s">
        <v>24</v>
      </c>
      <c r="M82">
        <v>1</v>
      </c>
    </row>
    <row r="83" spans="1:13" x14ac:dyDescent="0.25">
      <c r="A83" s="2">
        <v>46204</v>
      </c>
      <c r="B83" s="1" t="str">
        <f ca="1">IF(Información1[[#This Row],[Fecha]]='Ajuste de fechas'!$A$2,"Día actual","Día anterior")</f>
        <v>Día anterior</v>
      </c>
      <c r="C83" s="3" t="s">
        <v>40</v>
      </c>
      <c r="D83" t="s">
        <v>41</v>
      </c>
      <c r="E83" s="3" t="s">
        <v>43</v>
      </c>
      <c r="F83" s="3" t="s">
        <v>10</v>
      </c>
      <c r="G83" s="3" t="s">
        <v>47</v>
      </c>
      <c r="H83" s="3" t="s">
        <v>8</v>
      </c>
      <c r="I83" s="3" t="s">
        <v>7</v>
      </c>
      <c r="J83" s="3" t="s">
        <v>37</v>
      </c>
      <c r="K83" s="3" t="s">
        <v>65</v>
      </c>
      <c r="L83" s="3" t="s">
        <v>24</v>
      </c>
      <c r="M83">
        <v>1</v>
      </c>
    </row>
    <row r="84" spans="1:13" x14ac:dyDescent="0.25">
      <c r="A84" s="2">
        <v>46204</v>
      </c>
      <c r="B84" s="1" t="str">
        <f ca="1">IF(Información1[[#This Row],[Fecha]]='Ajuste de fechas'!$A$2,"Día actual","Día anterior")</f>
        <v>Día anterior</v>
      </c>
      <c r="C84" s="3" t="s">
        <v>40</v>
      </c>
      <c r="D84" t="s">
        <v>41</v>
      </c>
      <c r="E84" s="3" t="s">
        <v>213</v>
      </c>
      <c r="F84" s="3" t="s">
        <v>10</v>
      </c>
      <c r="G84" s="3" t="s">
        <v>197</v>
      </c>
      <c r="H84" s="3" t="s">
        <v>8</v>
      </c>
      <c r="I84" s="3" t="s">
        <v>7</v>
      </c>
      <c r="J84" s="3" t="s">
        <v>37</v>
      </c>
      <c r="K84" s="3" t="s">
        <v>65</v>
      </c>
      <c r="L84" s="3" t="s">
        <v>24</v>
      </c>
      <c r="M84">
        <v>1</v>
      </c>
    </row>
    <row r="85" spans="1:13" x14ac:dyDescent="0.25">
      <c r="A85" s="2">
        <v>46204</v>
      </c>
      <c r="B85" s="1" t="str">
        <f ca="1">IF(Información1[[#This Row],[Fecha]]='Ajuste de fechas'!$A$2,"Día actual","Día anterior")</f>
        <v>Día anterior</v>
      </c>
      <c r="C85" s="3" t="s">
        <v>40</v>
      </c>
      <c r="D85" t="s">
        <v>41</v>
      </c>
      <c r="E85" s="3" t="s">
        <v>214</v>
      </c>
      <c r="F85" s="3" t="s">
        <v>10</v>
      </c>
      <c r="G85" s="3" t="s">
        <v>215</v>
      </c>
      <c r="H85" s="3" t="s">
        <v>8</v>
      </c>
      <c r="I85" s="3" t="s">
        <v>7</v>
      </c>
      <c r="J85" s="3" t="s">
        <v>37</v>
      </c>
      <c r="K85" s="3" t="s">
        <v>65</v>
      </c>
      <c r="L85" s="3" t="s">
        <v>24</v>
      </c>
      <c r="M85">
        <v>1</v>
      </c>
    </row>
    <row r="86" spans="1:13" x14ac:dyDescent="0.25">
      <c r="A86" s="2">
        <v>46204</v>
      </c>
      <c r="B86" s="1" t="str">
        <f ca="1">IF(Información1[[#This Row],[Fecha]]='Ajuste de fechas'!$A$2,"Día actual","Día anterior")</f>
        <v>Día anterior</v>
      </c>
      <c r="C86" s="3" t="s">
        <v>40</v>
      </c>
      <c r="D86" t="s">
        <v>41</v>
      </c>
      <c r="E86" s="3" t="s">
        <v>216</v>
      </c>
      <c r="F86" s="3" t="s">
        <v>42</v>
      </c>
      <c r="G86" s="3" t="s">
        <v>217</v>
      </c>
      <c r="H86" s="3" t="s">
        <v>8</v>
      </c>
      <c r="I86" s="3" t="s">
        <v>7</v>
      </c>
      <c r="J86" s="3" t="s">
        <v>35</v>
      </c>
      <c r="K86" s="3" t="s">
        <v>65</v>
      </c>
      <c r="L86" s="3" t="s">
        <v>24</v>
      </c>
      <c r="M86">
        <v>1</v>
      </c>
    </row>
    <row r="87" spans="1:13" x14ac:dyDescent="0.25">
      <c r="A87" s="2">
        <v>46204</v>
      </c>
      <c r="B87" s="1" t="str">
        <f ca="1">IF(Información1[[#This Row],[Fecha]]='Ajuste de fechas'!$A$2,"Día actual","Día anterior")</f>
        <v>Día anterior</v>
      </c>
      <c r="C87" s="3" t="s">
        <v>40</v>
      </c>
      <c r="D87" t="s">
        <v>41</v>
      </c>
      <c r="E87" s="3" t="s">
        <v>218</v>
      </c>
      <c r="F87" s="3" t="s">
        <v>10</v>
      </c>
      <c r="G87" s="3" t="s">
        <v>219</v>
      </c>
      <c r="H87" s="3" t="s">
        <v>8</v>
      </c>
      <c r="I87" s="3" t="s">
        <v>7</v>
      </c>
      <c r="J87" s="3" t="s">
        <v>37</v>
      </c>
      <c r="K87" s="3" t="s">
        <v>65</v>
      </c>
      <c r="L87" s="3" t="s">
        <v>24</v>
      </c>
      <c r="M87">
        <v>1</v>
      </c>
    </row>
    <row r="88" spans="1:13" x14ac:dyDescent="0.25">
      <c r="A88" s="2">
        <v>46204</v>
      </c>
      <c r="B88" s="1" t="str">
        <f ca="1">IF(Información1[[#This Row],[Fecha]]='Ajuste de fechas'!$A$2,"Día actual","Día anterior")</f>
        <v>Día anterior</v>
      </c>
      <c r="C88" s="3" t="s">
        <v>44</v>
      </c>
      <c r="D88" t="s">
        <v>45</v>
      </c>
      <c r="E88" s="3" t="s">
        <v>220</v>
      </c>
      <c r="F88" s="3" t="s">
        <v>101</v>
      </c>
      <c r="G88" s="3" t="s">
        <v>115</v>
      </c>
      <c r="H88" s="3" t="s">
        <v>39</v>
      </c>
      <c r="I88" s="3" t="s">
        <v>7</v>
      </c>
      <c r="J88" s="3" t="s">
        <v>35</v>
      </c>
      <c r="K88" s="3" t="s">
        <v>46</v>
      </c>
      <c r="L88" s="3" t="s">
        <v>24</v>
      </c>
      <c r="M88">
        <v>1</v>
      </c>
    </row>
    <row r="89" spans="1:13" x14ac:dyDescent="0.25">
      <c r="A89" s="2">
        <v>46204</v>
      </c>
      <c r="B89" s="1" t="str">
        <f ca="1">IF(Información1[[#This Row],[Fecha]]='Ajuste de fechas'!$A$2,"Día actual","Día anterior")</f>
        <v>Día anterior</v>
      </c>
      <c r="C89" s="3" t="s">
        <v>44</v>
      </c>
      <c r="D89" t="s">
        <v>45</v>
      </c>
      <c r="E89" s="3" t="s">
        <v>221</v>
      </c>
      <c r="F89" s="3" t="s">
        <v>10</v>
      </c>
      <c r="G89" s="3" t="s">
        <v>89</v>
      </c>
      <c r="H89" s="3" t="s">
        <v>39</v>
      </c>
      <c r="I89" s="3" t="s">
        <v>7</v>
      </c>
      <c r="J89" s="3" t="s">
        <v>37</v>
      </c>
      <c r="K89" s="3" t="s">
        <v>75</v>
      </c>
      <c r="L89" s="3" t="s">
        <v>24</v>
      </c>
      <c r="M89">
        <v>1</v>
      </c>
    </row>
    <row r="90" spans="1:13" x14ac:dyDescent="0.25">
      <c r="A90" s="2">
        <v>46204</v>
      </c>
      <c r="B90" s="1" t="str">
        <f ca="1">IF(Información1[[#This Row],[Fecha]]='Ajuste de fechas'!$A$2,"Día actual","Día anterior")</f>
        <v>Día anterior</v>
      </c>
      <c r="C90" s="3" t="s">
        <v>44</v>
      </c>
      <c r="D90" t="s">
        <v>45</v>
      </c>
      <c r="E90" s="3" t="s">
        <v>222</v>
      </c>
      <c r="F90" s="3" t="s">
        <v>15</v>
      </c>
      <c r="G90" s="3" t="s">
        <v>223</v>
      </c>
      <c r="H90" s="3" t="s">
        <v>39</v>
      </c>
      <c r="I90" s="3" t="s">
        <v>7</v>
      </c>
      <c r="J90" s="3" t="s">
        <v>35</v>
      </c>
      <c r="K90" s="3" t="s">
        <v>46</v>
      </c>
      <c r="L90" s="3" t="s">
        <v>24</v>
      </c>
      <c r="M90">
        <v>1</v>
      </c>
    </row>
    <row r="91" spans="1:13" x14ac:dyDescent="0.25">
      <c r="A91" s="2">
        <v>46204</v>
      </c>
      <c r="B91" s="1" t="str">
        <f ca="1">IF(Información1[[#This Row],[Fecha]]='Ajuste de fechas'!$A$2,"Día actual","Día anterior")</f>
        <v>Día anterior</v>
      </c>
      <c r="C91" s="3" t="s">
        <v>44</v>
      </c>
      <c r="D91" t="s">
        <v>45</v>
      </c>
      <c r="E91" s="3" t="s">
        <v>224</v>
      </c>
      <c r="F91" s="3" t="s">
        <v>9</v>
      </c>
      <c r="G91" s="3" t="s">
        <v>86</v>
      </c>
      <c r="H91" s="3" t="s">
        <v>39</v>
      </c>
      <c r="I91" s="3" t="s">
        <v>7</v>
      </c>
      <c r="J91" s="3" t="s">
        <v>35</v>
      </c>
      <c r="K91" s="3" t="s">
        <v>46</v>
      </c>
      <c r="L91" s="3" t="s">
        <v>24</v>
      </c>
      <c r="M91">
        <v>1</v>
      </c>
    </row>
    <row r="92" spans="1:13" x14ac:dyDescent="0.25">
      <c r="A92" s="2">
        <v>46204</v>
      </c>
      <c r="B92" s="1" t="str">
        <f ca="1">IF(Información1[[#This Row],[Fecha]]='Ajuste de fechas'!$A$2,"Día actual","Día anterior")</f>
        <v>Día anterior</v>
      </c>
      <c r="C92" s="3" t="s">
        <v>44</v>
      </c>
      <c r="D92" t="s">
        <v>45</v>
      </c>
      <c r="E92" s="3" t="s">
        <v>177</v>
      </c>
      <c r="F92" s="3" t="s">
        <v>17</v>
      </c>
      <c r="G92" s="3" t="s">
        <v>178</v>
      </c>
      <c r="H92" s="3" t="s">
        <v>39</v>
      </c>
      <c r="I92" s="3" t="s">
        <v>7</v>
      </c>
      <c r="J92" s="3" t="s">
        <v>35</v>
      </c>
      <c r="K92" s="3" t="s">
        <v>46</v>
      </c>
      <c r="L92" s="3" t="s">
        <v>26</v>
      </c>
      <c r="M92">
        <v>1</v>
      </c>
    </row>
    <row r="93" spans="1:13" x14ac:dyDescent="0.25">
      <c r="A93" s="2">
        <v>46204</v>
      </c>
      <c r="B93" s="1" t="str">
        <f ca="1">IF(Información1[[#This Row],[Fecha]]='Ajuste de fechas'!$A$2,"Día actual","Día anterior")</f>
        <v>Día anterior</v>
      </c>
      <c r="C93" s="3" t="s">
        <v>44</v>
      </c>
      <c r="D93" t="s">
        <v>45</v>
      </c>
      <c r="E93" s="3" t="s">
        <v>119</v>
      </c>
      <c r="F93" s="3" t="s">
        <v>12</v>
      </c>
      <c r="G93" s="3" t="s">
        <v>51</v>
      </c>
      <c r="H93" s="3" t="s">
        <v>39</v>
      </c>
      <c r="I93" s="3" t="s">
        <v>7</v>
      </c>
      <c r="J93" s="3" t="s">
        <v>35</v>
      </c>
      <c r="K93" s="3" t="s">
        <v>46</v>
      </c>
      <c r="L93" s="3" t="s">
        <v>26</v>
      </c>
      <c r="M93">
        <v>1</v>
      </c>
    </row>
    <row r="94" spans="1:13" x14ac:dyDescent="0.25">
      <c r="A94" s="2">
        <v>46204</v>
      </c>
      <c r="B94" s="1" t="str">
        <f ca="1">IF(Información1[[#This Row],[Fecha]]='Ajuste de fechas'!$A$2,"Día actual","Día anterior")</f>
        <v>Día anterior</v>
      </c>
      <c r="C94" s="3" t="s">
        <v>44</v>
      </c>
      <c r="D94" t="s">
        <v>45</v>
      </c>
      <c r="E94" s="3" t="s">
        <v>225</v>
      </c>
      <c r="F94" s="3" t="s">
        <v>11</v>
      </c>
      <c r="G94" s="3" t="s">
        <v>226</v>
      </c>
      <c r="H94" s="3" t="s">
        <v>39</v>
      </c>
      <c r="I94" s="3" t="s">
        <v>7</v>
      </c>
      <c r="J94" s="3" t="s">
        <v>36</v>
      </c>
      <c r="K94" s="3" t="s">
        <v>46</v>
      </c>
      <c r="L94" s="3" t="s">
        <v>24</v>
      </c>
      <c r="M94">
        <v>1</v>
      </c>
    </row>
    <row r="95" spans="1:13" x14ac:dyDescent="0.25">
      <c r="A95" s="2">
        <v>46204</v>
      </c>
      <c r="B95" s="1" t="str">
        <f ca="1">IF(Información1[[#This Row],[Fecha]]='Ajuste de fechas'!$A$2,"Día actual","Día anterior")</f>
        <v>Día anterior</v>
      </c>
      <c r="C95" s="3" t="s">
        <v>44</v>
      </c>
      <c r="D95" t="s">
        <v>45</v>
      </c>
      <c r="E95" s="3" t="s">
        <v>227</v>
      </c>
      <c r="F95" s="3" t="s">
        <v>9</v>
      </c>
      <c r="G95" s="3" t="s">
        <v>228</v>
      </c>
      <c r="H95" s="3" t="s">
        <v>39</v>
      </c>
      <c r="I95" s="3" t="s">
        <v>14</v>
      </c>
      <c r="J95" s="3" t="s">
        <v>35</v>
      </c>
      <c r="K95" s="3" t="s">
        <v>46</v>
      </c>
      <c r="L95" s="3" t="s">
        <v>25</v>
      </c>
      <c r="M95">
        <v>1</v>
      </c>
    </row>
    <row r="96" spans="1:13" x14ac:dyDescent="0.25">
      <c r="A96" s="2">
        <v>46204</v>
      </c>
      <c r="B96" s="1" t="str">
        <f ca="1">IF(Información1[[#This Row],[Fecha]]='Ajuste de fechas'!$A$2,"Día actual","Día anterior")</f>
        <v>Día anterior</v>
      </c>
      <c r="C96" s="3" t="s">
        <v>44</v>
      </c>
      <c r="D96" t="s">
        <v>45</v>
      </c>
      <c r="E96" s="3" t="s">
        <v>229</v>
      </c>
      <c r="F96" s="3" t="s">
        <v>85</v>
      </c>
      <c r="G96" s="3" t="s">
        <v>138</v>
      </c>
      <c r="H96" s="3" t="s">
        <v>39</v>
      </c>
      <c r="I96" s="3" t="s">
        <v>53</v>
      </c>
      <c r="J96" s="3" t="s">
        <v>35</v>
      </c>
      <c r="K96" s="3" t="s">
        <v>46</v>
      </c>
      <c r="L96" s="3" t="s">
        <v>25</v>
      </c>
      <c r="M96">
        <v>1</v>
      </c>
    </row>
    <row r="97" spans="1:13" x14ac:dyDescent="0.25">
      <c r="A97" s="2">
        <v>46204</v>
      </c>
      <c r="B97" s="1" t="str">
        <f ca="1">IF(Información1[[#This Row],[Fecha]]='Ajuste de fechas'!$A$2,"Día actual","Día anterior")</f>
        <v>Día anterior</v>
      </c>
      <c r="C97" s="3" t="s">
        <v>44</v>
      </c>
      <c r="D97" t="s">
        <v>45</v>
      </c>
      <c r="E97" s="3" t="s">
        <v>230</v>
      </c>
      <c r="F97" s="3" t="s">
        <v>9</v>
      </c>
      <c r="G97" s="3" t="s">
        <v>138</v>
      </c>
      <c r="H97" s="3" t="s">
        <v>39</v>
      </c>
      <c r="I97" s="3" t="s">
        <v>7</v>
      </c>
      <c r="J97" s="3" t="s">
        <v>35</v>
      </c>
      <c r="K97" s="3" t="s">
        <v>46</v>
      </c>
      <c r="L97" s="3" t="s">
        <v>24</v>
      </c>
      <c r="M97">
        <v>1</v>
      </c>
    </row>
    <row r="98" spans="1:13" x14ac:dyDescent="0.25">
      <c r="A98" s="2">
        <v>46204</v>
      </c>
      <c r="B98" s="1" t="str">
        <f ca="1">IF(Información1[[#This Row],[Fecha]]='Ajuste de fechas'!$A$2,"Día actual","Día anterior")</f>
        <v>Día anterior</v>
      </c>
      <c r="C98" s="3" t="s">
        <v>44</v>
      </c>
      <c r="D98" t="s">
        <v>45</v>
      </c>
      <c r="E98" s="3" t="s">
        <v>124</v>
      </c>
      <c r="F98" s="3" t="s">
        <v>15</v>
      </c>
      <c r="G98" s="3" t="s">
        <v>193</v>
      </c>
      <c r="H98" s="3" t="s">
        <v>39</v>
      </c>
      <c r="I98" s="3" t="s">
        <v>7</v>
      </c>
      <c r="J98" s="3" t="s">
        <v>35</v>
      </c>
      <c r="K98" s="3" t="s">
        <v>46</v>
      </c>
      <c r="L98" s="3" t="s">
        <v>26</v>
      </c>
      <c r="M98">
        <v>1</v>
      </c>
    </row>
    <row r="99" spans="1:13" x14ac:dyDescent="0.25">
      <c r="A99" s="2">
        <v>46204</v>
      </c>
      <c r="B99" s="1" t="str">
        <f ca="1">IF(Información1[[#This Row],[Fecha]]='Ajuste de fechas'!$A$2,"Día actual","Día anterior")</f>
        <v>Día anterior</v>
      </c>
      <c r="C99" s="3" t="s">
        <v>44</v>
      </c>
      <c r="D99" t="s">
        <v>45</v>
      </c>
      <c r="E99" s="3" t="s">
        <v>231</v>
      </c>
      <c r="F99" s="3" t="s">
        <v>9</v>
      </c>
      <c r="G99" s="3" t="s">
        <v>104</v>
      </c>
      <c r="H99" s="3" t="s">
        <v>39</v>
      </c>
      <c r="I99" s="3" t="s">
        <v>7</v>
      </c>
      <c r="J99" s="3" t="s">
        <v>35</v>
      </c>
      <c r="K99" s="3" t="s">
        <v>46</v>
      </c>
      <c r="L99" s="3" t="s">
        <v>24</v>
      </c>
      <c r="M99">
        <v>1</v>
      </c>
    </row>
    <row r="100" spans="1:13" x14ac:dyDescent="0.25">
      <c r="A100" s="2">
        <v>46204</v>
      </c>
      <c r="B100" s="1" t="str">
        <f ca="1">IF(Información1[[#This Row],[Fecha]]='Ajuste de fechas'!$A$2,"Día actual","Día anterior")</f>
        <v>Día anterior</v>
      </c>
      <c r="C100" s="3" t="s">
        <v>44</v>
      </c>
      <c r="D100" t="s">
        <v>45</v>
      </c>
      <c r="E100" s="3" t="s">
        <v>232</v>
      </c>
      <c r="F100" s="3" t="s">
        <v>10</v>
      </c>
      <c r="G100" s="3" t="s">
        <v>89</v>
      </c>
      <c r="H100" s="3" t="s">
        <v>39</v>
      </c>
      <c r="I100" s="3" t="s">
        <v>7</v>
      </c>
      <c r="J100" s="3" t="s">
        <v>37</v>
      </c>
      <c r="K100" s="3" t="s">
        <v>46</v>
      </c>
      <c r="L100" s="3" t="s">
        <v>24</v>
      </c>
      <c r="M100">
        <v>1</v>
      </c>
    </row>
    <row r="101" spans="1:13" x14ac:dyDescent="0.25">
      <c r="A101" s="2">
        <v>46204</v>
      </c>
      <c r="B101" s="1" t="str">
        <f ca="1">IF(Información1[[#This Row],[Fecha]]='Ajuste de fechas'!$A$2,"Día actual","Día anterior")</f>
        <v>Día anterior</v>
      </c>
      <c r="C101" s="3" t="s">
        <v>97</v>
      </c>
      <c r="D101" t="s">
        <v>98</v>
      </c>
      <c r="E101" s="3" t="s">
        <v>187</v>
      </c>
      <c r="F101" s="3" t="s">
        <v>12</v>
      </c>
      <c r="G101" s="3" t="s">
        <v>188</v>
      </c>
      <c r="H101" s="3" t="s">
        <v>39</v>
      </c>
      <c r="I101" s="3" t="s">
        <v>7</v>
      </c>
      <c r="J101" s="3" t="s">
        <v>35</v>
      </c>
      <c r="K101" s="3" t="s">
        <v>99</v>
      </c>
      <c r="L101" s="3" t="s">
        <v>26</v>
      </c>
      <c r="M101">
        <v>1</v>
      </c>
    </row>
    <row r="102" spans="1:13" x14ac:dyDescent="0.25">
      <c r="A102" s="2">
        <v>46204</v>
      </c>
      <c r="B102" s="1" t="str">
        <f ca="1">IF(Información1[[#This Row],[Fecha]]='Ajuste de fechas'!$A$2,"Día actual","Día anterior")</f>
        <v>Día anterior</v>
      </c>
      <c r="C102" s="3" t="s">
        <v>97</v>
      </c>
      <c r="D102" t="s">
        <v>98</v>
      </c>
      <c r="E102" s="3" t="s">
        <v>233</v>
      </c>
      <c r="F102" s="3" t="s">
        <v>42</v>
      </c>
      <c r="G102" s="3" t="s">
        <v>188</v>
      </c>
      <c r="H102" s="3" t="s">
        <v>39</v>
      </c>
      <c r="I102" s="3" t="s">
        <v>7</v>
      </c>
      <c r="J102" s="3" t="s">
        <v>35</v>
      </c>
      <c r="K102" s="3" t="s">
        <v>99</v>
      </c>
      <c r="L102" s="3" t="s">
        <v>26</v>
      </c>
      <c r="M102">
        <v>1</v>
      </c>
    </row>
    <row r="103" spans="1:13" x14ac:dyDescent="0.25">
      <c r="A103" s="2">
        <v>46204</v>
      </c>
      <c r="B103" s="1" t="str">
        <f ca="1">IF(Información1[[#This Row],[Fecha]]='Ajuste de fechas'!$A$2,"Día actual","Día anterior")</f>
        <v>Día anterior</v>
      </c>
      <c r="C103" s="3" t="s">
        <v>97</v>
      </c>
      <c r="D103" t="s">
        <v>98</v>
      </c>
      <c r="E103" s="3" t="s">
        <v>153</v>
      </c>
      <c r="F103" s="3" t="s">
        <v>38</v>
      </c>
      <c r="G103" s="3" t="s">
        <v>154</v>
      </c>
      <c r="H103" s="3" t="s">
        <v>39</v>
      </c>
      <c r="I103" s="3" t="s">
        <v>7</v>
      </c>
      <c r="J103" s="3" t="s">
        <v>35</v>
      </c>
      <c r="K103" s="3" t="s">
        <v>99</v>
      </c>
      <c r="L103" s="3" t="s">
        <v>26</v>
      </c>
      <c r="M103">
        <v>1</v>
      </c>
    </row>
    <row r="104" spans="1:13" x14ac:dyDescent="0.25">
      <c r="A104" s="2">
        <v>46204</v>
      </c>
      <c r="B104" s="1" t="str">
        <f ca="1">IF(Información1[[#This Row],[Fecha]]='Ajuste de fechas'!$A$2,"Día actual","Día anterior")</f>
        <v>Día anterior</v>
      </c>
      <c r="C104" s="3" t="s">
        <v>97</v>
      </c>
      <c r="D104" t="s">
        <v>98</v>
      </c>
      <c r="E104" s="3" t="s">
        <v>177</v>
      </c>
      <c r="F104" s="3" t="s">
        <v>17</v>
      </c>
      <c r="G104" s="3" t="s">
        <v>178</v>
      </c>
      <c r="H104" s="3" t="s">
        <v>39</v>
      </c>
      <c r="I104" s="3" t="s">
        <v>7</v>
      </c>
      <c r="J104" s="3" t="s">
        <v>35</v>
      </c>
      <c r="K104" s="3" t="s">
        <v>99</v>
      </c>
      <c r="L104" s="3" t="s">
        <v>26</v>
      </c>
      <c r="M104">
        <v>1</v>
      </c>
    </row>
    <row r="105" spans="1:13" x14ac:dyDescent="0.25">
      <c r="A105" s="2">
        <v>46204</v>
      </c>
      <c r="B105" s="1" t="str">
        <f ca="1">IF(Información1[[#This Row],[Fecha]]='Ajuste de fechas'!$A$2,"Día actual","Día anterior")</f>
        <v>Día anterior</v>
      </c>
      <c r="C105" s="3" t="s">
        <v>97</v>
      </c>
      <c r="D105" t="s">
        <v>98</v>
      </c>
      <c r="E105" s="3" t="s">
        <v>234</v>
      </c>
      <c r="F105" s="3" t="s">
        <v>10</v>
      </c>
      <c r="G105" s="3" t="s">
        <v>235</v>
      </c>
      <c r="H105" s="3" t="s">
        <v>39</v>
      </c>
      <c r="I105" s="3" t="s">
        <v>7</v>
      </c>
      <c r="J105" s="3" t="s">
        <v>37</v>
      </c>
      <c r="K105" s="3" t="s">
        <v>99</v>
      </c>
      <c r="L105" s="3" t="s">
        <v>24</v>
      </c>
      <c r="M105">
        <v>1</v>
      </c>
    </row>
    <row r="106" spans="1:13" x14ac:dyDescent="0.25">
      <c r="A106" s="2">
        <v>46204</v>
      </c>
      <c r="B106" s="1" t="str">
        <f ca="1">IF(Información1[[#This Row],[Fecha]]='Ajuste de fechas'!$A$2,"Día actual","Día anterior")</f>
        <v>Día anterior</v>
      </c>
      <c r="C106" s="3" t="s">
        <v>97</v>
      </c>
      <c r="D106" t="s">
        <v>98</v>
      </c>
      <c r="E106" s="3" t="s">
        <v>171</v>
      </c>
      <c r="F106" s="3" t="s">
        <v>80</v>
      </c>
      <c r="G106" s="3" t="s">
        <v>169</v>
      </c>
      <c r="H106" s="3" t="s">
        <v>39</v>
      </c>
      <c r="I106" s="3" t="s">
        <v>7</v>
      </c>
      <c r="J106" s="3" t="s">
        <v>35</v>
      </c>
      <c r="K106" s="3" t="s">
        <v>99</v>
      </c>
      <c r="L106" s="3" t="s">
        <v>26</v>
      </c>
      <c r="M106">
        <v>1</v>
      </c>
    </row>
    <row r="107" spans="1:13" x14ac:dyDescent="0.25">
      <c r="A107" s="2">
        <v>46204</v>
      </c>
      <c r="B107" s="1" t="str">
        <f ca="1">IF(Información1[[#This Row],[Fecha]]='Ajuste de fechas'!$A$2,"Día actual","Día anterior")</f>
        <v>Día anterior</v>
      </c>
      <c r="C107" s="3" t="s">
        <v>97</v>
      </c>
      <c r="D107" t="s">
        <v>98</v>
      </c>
      <c r="E107" s="3" t="s">
        <v>236</v>
      </c>
      <c r="F107" s="3" t="s">
        <v>130</v>
      </c>
      <c r="G107" s="3" t="s">
        <v>131</v>
      </c>
      <c r="H107" s="3" t="s">
        <v>39</v>
      </c>
      <c r="I107" s="3" t="s">
        <v>7</v>
      </c>
      <c r="J107" s="3" t="s">
        <v>35</v>
      </c>
      <c r="K107" s="3" t="s">
        <v>99</v>
      </c>
      <c r="L107" s="3" t="s">
        <v>24</v>
      </c>
      <c r="M107">
        <v>1</v>
      </c>
    </row>
    <row r="108" spans="1:13" x14ac:dyDescent="0.25">
      <c r="A108" s="2">
        <v>46204</v>
      </c>
      <c r="B108" s="1" t="str">
        <f ca="1">IF(Información1[[#This Row],[Fecha]]='Ajuste de fechas'!$A$2,"Día actual","Día anterior")</f>
        <v>Día anterior</v>
      </c>
      <c r="C108" s="3" t="s">
        <v>97</v>
      </c>
      <c r="D108" t="s">
        <v>98</v>
      </c>
      <c r="E108" s="3" t="s">
        <v>124</v>
      </c>
      <c r="F108" s="3" t="s">
        <v>15</v>
      </c>
      <c r="G108" s="3" t="s">
        <v>122</v>
      </c>
      <c r="H108" s="3" t="s">
        <v>39</v>
      </c>
      <c r="I108" s="3" t="s">
        <v>7</v>
      </c>
      <c r="J108" s="3" t="s">
        <v>35</v>
      </c>
      <c r="K108" s="3" t="s">
        <v>99</v>
      </c>
      <c r="L108" s="3" t="s">
        <v>26</v>
      </c>
      <c r="M108">
        <v>1</v>
      </c>
    </row>
    <row r="109" spans="1:13" x14ac:dyDescent="0.25">
      <c r="A109" s="2">
        <v>46204</v>
      </c>
      <c r="B109" s="1" t="str">
        <f ca="1">IF(Información1[[#This Row],[Fecha]]='Ajuste de fechas'!$A$2,"Día actual","Día anterior")</f>
        <v>Día anterior</v>
      </c>
      <c r="C109" s="3" t="s">
        <v>97</v>
      </c>
      <c r="D109" t="s">
        <v>98</v>
      </c>
      <c r="E109" s="3" t="s">
        <v>237</v>
      </c>
      <c r="F109" s="3" t="s">
        <v>15</v>
      </c>
      <c r="G109" s="3" t="s">
        <v>238</v>
      </c>
      <c r="H109" s="3" t="s">
        <v>39</v>
      </c>
      <c r="I109" s="3" t="s">
        <v>7</v>
      </c>
      <c r="J109" s="3" t="s">
        <v>35</v>
      </c>
      <c r="K109" s="3" t="s">
        <v>99</v>
      </c>
      <c r="L109" s="3" t="s">
        <v>24</v>
      </c>
      <c r="M109">
        <v>1</v>
      </c>
    </row>
    <row r="110" spans="1:13" x14ac:dyDescent="0.25">
      <c r="A110" s="2">
        <v>46204</v>
      </c>
      <c r="B110" s="1" t="str">
        <f ca="1">IF(Información1[[#This Row],[Fecha]]='Ajuste de fechas'!$A$2,"Día actual","Día anterior")</f>
        <v>Día anterior</v>
      </c>
      <c r="C110" s="3" t="s">
        <v>97</v>
      </c>
      <c r="D110" t="s">
        <v>98</v>
      </c>
      <c r="E110" s="3" t="s">
        <v>239</v>
      </c>
      <c r="F110" s="3" t="s">
        <v>15</v>
      </c>
      <c r="G110" s="3" t="s">
        <v>240</v>
      </c>
      <c r="H110" s="3" t="s">
        <v>39</v>
      </c>
      <c r="I110" s="3" t="s">
        <v>7</v>
      </c>
      <c r="J110" s="3" t="s">
        <v>35</v>
      </c>
      <c r="K110" s="3" t="s">
        <v>99</v>
      </c>
      <c r="L110" s="3" t="s">
        <v>24</v>
      </c>
      <c r="M110">
        <v>1</v>
      </c>
    </row>
    <row r="111" spans="1:13" x14ac:dyDescent="0.25">
      <c r="A111" s="2">
        <v>46205</v>
      </c>
      <c r="B111" s="1" t="str">
        <f ca="1">IF(Información1[[#This Row],[Fecha]]='Ajuste de fechas'!$A$2,"Día actual","Día anterior")</f>
        <v>Día actual</v>
      </c>
      <c r="C111" s="3" t="s">
        <v>40</v>
      </c>
      <c r="D111" t="s">
        <v>41</v>
      </c>
      <c r="E111" s="3" t="s">
        <v>241</v>
      </c>
      <c r="F111" s="3" t="s">
        <v>42</v>
      </c>
      <c r="G111" s="3" t="s">
        <v>242</v>
      </c>
      <c r="H111" s="3" t="s">
        <v>8</v>
      </c>
      <c r="I111" s="3" t="s">
        <v>14</v>
      </c>
      <c r="J111" s="3" t="s">
        <v>35</v>
      </c>
      <c r="K111" s="3" t="s">
        <v>65</v>
      </c>
      <c r="L111" s="3" t="s">
        <v>24</v>
      </c>
      <c r="M111">
        <v>1</v>
      </c>
    </row>
    <row r="112" spans="1:13" x14ac:dyDescent="0.25">
      <c r="A112" s="2">
        <v>46205</v>
      </c>
      <c r="B112" s="1" t="str">
        <f ca="1">IF(Información1[[#This Row],[Fecha]]='Ajuste de fechas'!$A$2,"Día actual","Día anterior")</f>
        <v>Día actual</v>
      </c>
      <c r="C112" s="3" t="s">
        <v>40</v>
      </c>
      <c r="D112" t="s">
        <v>41</v>
      </c>
      <c r="E112" s="3" t="s">
        <v>243</v>
      </c>
      <c r="F112" s="3" t="s">
        <v>42</v>
      </c>
      <c r="G112" s="3" t="s">
        <v>244</v>
      </c>
      <c r="H112" s="3" t="s">
        <v>8</v>
      </c>
      <c r="I112" s="3" t="s">
        <v>14</v>
      </c>
      <c r="J112" s="3" t="s">
        <v>35</v>
      </c>
      <c r="K112" s="3" t="s">
        <v>65</v>
      </c>
      <c r="L112" s="3" t="s">
        <v>24</v>
      </c>
      <c r="M112">
        <v>1</v>
      </c>
    </row>
    <row r="113" spans="1:13" x14ac:dyDescent="0.25">
      <c r="A113" s="2">
        <v>46205</v>
      </c>
      <c r="B113" s="1" t="str">
        <f ca="1">IF(Información1[[#This Row],[Fecha]]='Ajuste de fechas'!$A$2,"Día actual","Día anterior")</f>
        <v>Día actual</v>
      </c>
      <c r="C113" s="3" t="s">
        <v>40</v>
      </c>
      <c r="D113" t="s">
        <v>41</v>
      </c>
      <c r="E113" s="3" t="s">
        <v>245</v>
      </c>
      <c r="F113" s="3" t="s">
        <v>42</v>
      </c>
      <c r="G113" s="3" t="s">
        <v>246</v>
      </c>
      <c r="H113" s="3" t="s">
        <v>8</v>
      </c>
      <c r="I113" s="3" t="s">
        <v>7</v>
      </c>
      <c r="J113" s="3" t="s">
        <v>35</v>
      </c>
      <c r="K113" s="3" t="s">
        <v>65</v>
      </c>
      <c r="L113" s="3" t="s">
        <v>24</v>
      </c>
      <c r="M113">
        <v>1</v>
      </c>
    </row>
    <row r="114" spans="1:13" x14ac:dyDescent="0.25">
      <c r="A114" s="2">
        <v>46205</v>
      </c>
      <c r="B114" s="1" t="str">
        <f ca="1">IF(Información1[[#This Row],[Fecha]]='Ajuste de fechas'!$A$2,"Día actual","Día anterior")</f>
        <v>Día actual</v>
      </c>
      <c r="C114" s="3" t="s">
        <v>40</v>
      </c>
      <c r="D114" t="s">
        <v>41</v>
      </c>
      <c r="E114" s="3" t="s">
        <v>247</v>
      </c>
      <c r="F114" s="3" t="s">
        <v>10</v>
      </c>
      <c r="G114" s="3" t="s">
        <v>79</v>
      </c>
      <c r="H114" s="3" t="s">
        <v>8</v>
      </c>
      <c r="I114" s="3" t="s">
        <v>7</v>
      </c>
      <c r="J114" s="3" t="s">
        <v>37</v>
      </c>
      <c r="K114" s="3" t="s">
        <v>65</v>
      </c>
      <c r="L114" s="3" t="s">
        <v>24</v>
      </c>
      <c r="M114">
        <v>1</v>
      </c>
    </row>
    <row r="115" spans="1:13" x14ac:dyDescent="0.25">
      <c r="A115" s="2">
        <v>46205</v>
      </c>
      <c r="B115" s="1" t="str">
        <f ca="1">IF(Información1[[#This Row],[Fecha]]='Ajuste de fechas'!$A$2,"Día actual","Día anterior")</f>
        <v>Día actual</v>
      </c>
      <c r="C115" s="3" t="s">
        <v>40</v>
      </c>
      <c r="D115" t="s">
        <v>41</v>
      </c>
      <c r="E115" s="3" t="s">
        <v>248</v>
      </c>
      <c r="F115" s="3" t="s">
        <v>10</v>
      </c>
      <c r="G115" s="3" t="s">
        <v>249</v>
      </c>
      <c r="H115" s="3" t="s">
        <v>8</v>
      </c>
      <c r="I115" s="3" t="s">
        <v>14</v>
      </c>
      <c r="J115" s="3" t="s">
        <v>37</v>
      </c>
      <c r="K115" s="3" t="s">
        <v>65</v>
      </c>
      <c r="L115" s="3" t="s">
        <v>24</v>
      </c>
      <c r="M115">
        <v>1</v>
      </c>
    </row>
    <row r="116" spans="1:13" x14ac:dyDescent="0.25">
      <c r="A116" s="2">
        <v>46205</v>
      </c>
      <c r="B116" s="1" t="str">
        <f ca="1">IF(Información1[[#This Row],[Fecha]]='Ajuste de fechas'!$A$2,"Día actual","Día anterior")</f>
        <v>Día actual</v>
      </c>
      <c r="C116" s="3" t="s">
        <v>40</v>
      </c>
      <c r="D116" t="s">
        <v>41</v>
      </c>
      <c r="E116" s="3" t="s">
        <v>250</v>
      </c>
      <c r="F116" s="3" t="s">
        <v>101</v>
      </c>
      <c r="G116" s="3" t="s">
        <v>251</v>
      </c>
      <c r="H116" s="3" t="s">
        <v>8</v>
      </c>
      <c r="I116" s="3" t="s">
        <v>7</v>
      </c>
      <c r="J116" s="3" t="s">
        <v>35</v>
      </c>
      <c r="K116" s="3" t="s">
        <v>65</v>
      </c>
      <c r="L116" s="3" t="s">
        <v>26</v>
      </c>
      <c r="M116">
        <v>1</v>
      </c>
    </row>
    <row r="117" spans="1:13" x14ac:dyDescent="0.25">
      <c r="A117" s="2">
        <v>46205</v>
      </c>
      <c r="B117" s="1" t="str">
        <f ca="1">IF(Información1[[#This Row],[Fecha]]='Ajuste de fechas'!$A$2,"Día actual","Día anterior")</f>
        <v>Día actual</v>
      </c>
      <c r="C117" s="3" t="s">
        <v>40</v>
      </c>
      <c r="D117" t="s">
        <v>41</v>
      </c>
      <c r="E117" s="3" t="s">
        <v>252</v>
      </c>
      <c r="F117" s="3" t="s">
        <v>52</v>
      </c>
      <c r="G117" s="3" t="s">
        <v>70</v>
      </c>
      <c r="H117" s="3" t="s">
        <v>8</v>
      </c>
      <c r="I117" s="3" t="s">
        <v>7</v>
      </c>
      <c r="J117" s="3" t="s">
        <v>35</v>
      </c>
      <c r="K117" s="3" t="s">
        <v>65</v>
      </c>
      <c r="L117" s="3" t="s">
        <v>24</v>
      </c>
      <c r="M117">
        <v>1</v>
      </c>
    </row>
    <row r="118" spans="1:13" x14ac:dyDescent="0.25">
      <c r="A118" s="2">
        <v>46205</v>
      </c>
      <c r="B118" s="1" t="str">
        <f ca="1">IF(Información1[[#This Row],[Fecha]]='Ajuste de fechas'!$A$2,"Día actual","Día anterior")</f>
        <v>Día actual</v>
      </c>
      <c r="C118" s="3" t="s">
        <v>40</v>
      </c>
      <c r="D118" t="s">
        <v>41</v>
      </c>
      <c r="E118" s="3" t="s">
        <v>253</v>
      </c>
      <c r="F118" s="3" t="s">
        <v>52</v>
      </c>
      <c r="G118" s="3" t="s">
        <v>70</v>
      </c>
      <c r="H118" s="3" t="s">
        <v>8</v>
      </c>
      <c r="I118" s="3" t="s">
        <v>14</v>
      </c>
      <c r="J118" s="3" t="s">
        <v>35</v>
      </c>
      <c r="K118" s="3" t="s">
        <v>65</v>
      </c>
      <c r="L118" s="3" t="s">
        <v>24</v>
      </c>
      <c r="M118">
        <v>1</v>
      </c>
    </row>
    <row r="119" spans="1:13" x14ac:dyDescent="0.25">
      <c r="A119" s="2">
        <v>46205</v>
      </c>
      <c r="B119" s="1" t="str">
        <f ca="1">IF(Información1[[#This Row],[Fecha]]='Ajuste de fechas'!$A$2,"Día actual","Día anterior")</f>
        <v>Día actual</v>
      </c>
      <c r="C119" s="3" t="s">
        <v>40</v>
      </c>
      <c r="D119" t="s">
        <v>41</v>
      </c>
      <c r="E119" s="3" t="s">
        <v>253</v>
      </c>
      <c r="F119" s="3" t="s">
        <v>10</v>
      </c>
      <c r="G119" s="3" t="s">
        <v>70</v>
      </c>
      <c r="H119" s="3" t="s">
        <v>8</v>
      </c>
      <c r="I119" s="3" t="s">
        <v>7</v>
      </c>
      <c r="J119" s="3" t="s">
        <v>37</v>
      </c>
      <c r="K119" s="3" t="s">
        <v>65</v>
      </c>
      <c r="L119" s="3" t="s">
        <v>24</v>
      </c>
      <c r="M119">
        <v>1</v>
      </c>
    </row>
    <row r="120" spans="1:13" x14ac:dyDescent="0.25">
      <c r="A120" s="2">
        <v>46205</v>
      </c>
      <c r="B120" s="1" t="str">
        <f ca="1">IF(Información1[[#This Row],[Fecha]]='Ajuste de fechas'!$A$2,"Día actual","Día anterior")</f>
        <v>Día actual</v>
      </c>
      <c r="C120" s="3" t="s">
        <v>40</v>
      </c>
      <c r="D120" t="s">
        <v>41</v>
      </c>
      <c r="E120" s="3" t="s">
        <v>254</v>
      </c>
      <c r="F120" s="3" t="s">
        <v>10</v>
      </c>
      <c r="G120" s="3" t="s">
        <v>238</v>
      </c>
      <c r="H120" s="3" t="s">
        <v>8</v>
      </c>
      <c r="I120" s="3" t="s">
        <v>7</v>
      </c>
      <c r="J120" s="3" t="s">
        <v>37</v>
      </c>
      <c r="K120" s="3" t="s">
        <v>65</v>
      </c>
      <c r="L120" s="3" t="s">
        <v>24</v>
      </c>
      <c r="M120">
        <v>1</v>
      </c>
    </row>
    <row r="121" spans="1:13" x14ac:dyDescent="0.25">
      <c r="A121" s="2">
        <v>46205</v>
      </c>
      <c r="B121" s="1" t="str">
        <f ca="1">IF(Información1[[#This Row],[Fecha]]='Ajuste de fechas'!$A$2,"Día actual","Día anterior")</f>
        <v>Día actual</v>
      </c>
      <c r="C121" s="3" t="s">
        <v>40</v>
      </c>
      <c r="D121" t="s">
        <v>41</v>
      </c>
      <c r="E121" s="3" t="s">
        <v>255</v>
      </c>
      <c r="F121" s="3" t="s">
        <v>42</v>
      </c>
      <c r="G121" s="3" t="s">
        <v>89</v>
      </c>
      <c r="H121" s="3" t="s">
        <v>8</v>
      </c>
      <c r="I121" s="3" t="s">
        <v>7</v>
      </c>
      <c r="J121" s="3" t="s">
        <v>35</v>
      </c>
      <c r="K121" s="3" t="s">
        <v>65</v>
      </c>
      <c r="L121" s="3" t="s">
        <v>24</v>
      </c>
      <c r="M121">
        <v>1</v>
      </c>
    </row>
    <row r="122" spans="1:13" x14ac:dyDescent="0.25">
      <c r="A122" s="2">
        <v>46205</v>
      </c>
      <c r="B122" s="1" t="str">
        <f ca="1">IF(Información1[[#This Row],[Fecha]]='Ajuste de fechas'!$A$2,"Día actual","Día anterior")</f>
        <v>Día actual</v>
      </c>
      <c r="C122" s="3" t="s">
        <v>40</v>
      </c>
      <c r="D122" t="s">
        <v>41</v>
      </c>
      <c r="E122" s="3" t="s">
        <v>256</v>
      </c>
      <c r="F122" s="3" t="s">
        <v>15</v>
      </c>
      <c r="G122" s="3" t="s">
        <v>69</v>
      </c>
      <c r="H122" s="3" t="s">
        <v>8</v>
      </c>
      <c r="I122" s="3" t="s">
        <v>7</v>
      </c>
      <c r="J122" s="3" t="s">
        <v>35</v>
      </c>
      <c r="K122" s="3" t="s">
        <v>65</v>
      </c>
      <c r="L122" s="3" t="s">
        <v>24</v>
      </c>
      <c r="M122">
        <v>1</v>
      </c>
    </row>
    <row r="123" spans="1:13" x14ac:dyDescent="0.25">
      <c r="A123" s="2">
        <v>46205</v>
      </c>
      <c r="B123" s="1" t="str">
        <f ca="1">IF(Información1[[#This Row],[Fecha]]='Ajuste de fechas'!$A$2,"Día actual","Día anterior")</f>
        <v>Día actual</v>
      </c>
      <c r="C123" s="3" t="s">
        <v>40</v>
      </c>
      <c r="D123" t="s">
        <v>41</v>
      </c>
      <c r="E123" s="3" t="s">
        <v>257</v>
      </c>
      <c r="F123" s="3" t="s">
        <v>11</v>
      </c>
      <c r="G123" s="3" t="s">
        <v>258</v>
      </c>
      <c r="H123" s="3" t="s">
        <v>8</v>
      </c>
      <c r="I123" s="3" t="s">
        <v>7</v>
      </c>
      <c r="J123" s="3" t="s">
        <v>36</v>
      </c>
      <c r="K123" s="3" t="s">
        <v>65</v>
      </c>
      <c r="L123" s="3" t="s">
        <v>24</v>
      </c>
      <c r="M123">
        <v>1</v>
      </c>
    </row>
    <row r="124" spans="1:13" x14ac:dyDescent="0.25">
      <c r="A124" s="2">
        <v>46205</v>
      </c>
      <c r="B124" s="1" t="str">
        <f ca="1">IF(Información1[[#This Row],[Fecha]]='Ajuste de fechas'!$A$2,"Día actual","Día anterior")</f>
        <v>Día actual</v>
      </c>
      <c r="C124" s="3" t="s">
        <v>40</v>
      </c>
      <c r="D124" t="s">
        <v>41</v>
      </c>
      <c r="E124" s="3" t="s">
        <v>259</v>
      </c>
      <c r="F124" s="3" t="s">
        <v>9</v>
      </c>
      <c r="G124" s="3" t="s">
        <v>260</v>
      </c>
      <c r="H124" s="3" t="s">
        <v>8</v>
      </c>
      <c r="I124" s="3" t="s">
        <v>7</v>
      </c>
      <c r="J124" s="3" t="s">
        <v>35</v>
      </c>
      <c r="K124" s="3" t="s">
        <v>65</v>
      </c>
      <c r="L124" s="3" t="s">
        <v>24</v>
      </c>
      <c r="M124">
        <v>1</v>
      </c>
    </row>
    <row r="125" spans="1:13" x14ac:dyDescent="0.25">
      <c r="A125" s="2">
        <v>46205</v>
      </c>
      <c r="B125" s="1" t="str">
        <f ca="1">IF(Información1[[#This Row],[Fecha]]='Ajuste de fechas'!$A$2,"Día actual","Día anterior")</f>
        <v>Día actual</v>
      </c>
      <c r="C125" s="3" t="s">
        <v>40</v>
      </c>
      <c r="D125" t="s">
        <v>41</v>
      </c>
      <c r="E125" s="3" t="s">
        <v>261</v>
      </c>
      <c r="F125" s="3" t="s">
        <v>10</v>
      </c>
      <c r="G125" s="3" t="s">
        <v>249</v>
      </c>
      <c r="H125" s="3" t="s">
        <v>8</v>
      </c>
      <c r="I125" s="3" t="s">
        <v>14</v>
      </c>
      <c r="J125" s="3" t="s">
        <v>37</v>
      </c>
      <c r="K125" s="3" t="s">
        <v>65</v>
      </c>
      <c r="L125" s="3" t="s">
        <v>24</v>
      </c>
      <c r="M125">
        <v>1</v>
      </c>
    </row>
    <row r="126" spans="1:13" x14ac:dyDescent="0.25">
      <c r="A126" s="2">
        <v>46205</v>
      </c>
      <c r="B126" s="1" t="str">
        <f ca="1">IF(Información1[[#This Row],[Fecha]]='Ajuste de fechas'!$A$2,"Día actual","Día anterior")</f>
        <v>Día actual</v>
      </c>
      <c r="C126" s="3" t="s">
        <v>40</v>
      </c>
      <c r="D126" t="s">
        <v>41</v>
      </c>
      <c r="E126" s="3" t="s">
        <v>262</v>
      </c>
      <c r="F126" s="3" t="s">
        <v>10</v>
      </c>
      <c r="G126" s="3" t="s">
        <v>90</v>
      </c>
      <c r="H126" s="3" t="s">
        <v>8</v>
      </c>
      <c r="I126" s="3" t="s">
        <v>14</v>
      </c>
      <c r="J126" s="3" t="s">
        <v>37</v>
      </c>
      <c r="K126" s="3" t="s">
        <v>49</v>
      </c>
      <c r="L126" s="3" t="s">
        <v>25</v>
      </c>
      <c r="M126">
        <v>1</v>
      </c>
    </row>
    <row r="127" spans="1:13" x14ac:dyDescent="0.25">
      <c r="A127" s="2">
        <v>46205</v>
      </c>
      <c r="B127" s="1" t="str">
        <f ca="1">IF(Información1[[#This Row],[Fecha]]='Ajuste de fechas'!$A$2,"Día actual","Día anterior")</f>
        <v>Día actual</v>
      </c>
      <c r="C127" s="3" t="s">
        <v>40</v>
      </c>
      <c r="D127" t="s">
        <v>41</v>
      </c>
      <c r="E127" s="3" t="s">
        <v>263</v>
      </c>
      <c r="F127" s="3" t="s">
        <v>38</v>
      </c>
      <c r="G127" s="3" t="s">
        <v>264</v>
      </c>
      <c r="H127" s="3" t="s">
        <v>8</v>
      </c>
      <c r="I127" s="3" t="s">
        <v>7</v>
      </c>
      <c r="J127" s="3" t="s">
        <v>35</v>
      </c>
      <c r="K127" s="3" t="s">
        <v>65</v>
      </c>
      <c r="L127" s="3" t="s">
        <v>26</v>
      </c>
      <c r="M127">
        <v>1</v>
      </c>
    </row>
    <row r="128" spans="1:13" x14ac:dyDescent="0.25">
      <c r="A128" s="2">
        <v>46205</v>
      </c>
      <c r="B128" s="1" t="str">
        <f ca="1">IF(Información1[[#This Row],[Fecha]]='Ajuste de fechas'!$A$2,"Día actual","Día anterior")</f>
        <v>Día actual</v>
      </c>
      <c r="C128" s="3" t="s">
        <v>40</v>
      </c>
      <c r="D128" t="s">
        <v>41</v>
      </c>
      <c r="E128" s="3" t="s">
        <v>43</v>
      </c>
      <c r="F128" s="3" t="s">
        <v>10</v>
      </c>
      <c r="G128" s="3" t="s">
        <v>47</v>
      </c>
      <c r="H128" s="3" t="s">
        <v>8</v>
      </c>
      <c r="I128" s="3" t="s">
        <v>7</v>
      </c>
      <c r="J128" s="3" t="s">
        <v>37</v>
      </c>
      <c r="K128" s="3" t="s">
        <v>65</v>
      </c>
      <c r="L128" s="3" t="s">
        <v>24</v>
      </c>
      <c r="M128">
        <v>1</v>
      </c>
    </row>
    <row r="129" spans="1:13" x14ac:dyDescent="0.25">
      <c r="A129" s="2">
        <v>46205</v>
      </c>
      <c r="B129" s="1" t="str">
        <f ca="1">IF(Información1[[#This Row],[Fecha]]='Ajuste de fechas'!$A$2,"Día actual","Día anterior")</f>
        <v>Día actual</v>
      </c>
      <c r="C129" s="3" t="s">
        <v>40</v>
      </c>
      <c r="D129" t="s">
        <v>41</v>
      </c>
      <c r="E129" s="3" t="s">
        <v>265</v>
      </c>
      <c r="F129" s="3" t="s">
        <v>10</v>
      </c>
      <c r="G129" s="3" t="s">
        <v>90</v>
      </c>
      <c r="H129" s="3" t="s">
        <v>8</v>
      </c>
      <c r="I129" s="3" t="s">
        <v>14</v>
      </c>
      <c r="J129" s="3" t="s">
        <v>37</v>
      </c>
      <c r="K129" s="3" t="s">
        <v>49</v>
      </c>
      <c r="L129" s="3" t="s">
        <v>25</v>
      </c>
      <c r="M129">
        <v>1</v>
      </c>
    </row>
    <row r="130" spans="1:13" x14ac:dyDescent="0.25">
      <c r="A130" s="2">
        <v>46205</v>
      </c>
      <c r="B130" s="1" t="str">
        <f ca="1">IF(Información1[[#This Row],[Fecha]]='Ajuste de fechas'!$A$2,"Día actual","Día anterior")</f>
        <v>Día actual</v>
      </c>
      <c r="C130" s="3" t="s">
        <v>40</v>
      </c>
      <c r="D130" t="s">
        <v>41</v>
      </c>
      <c r="E130" s="3" t="s">
        <v>266</v>
      </c>
      <c r="F130" s="3" t="s">
        <v>10</v>
      </c>
      <c r="G130" s="3" t="s">
        <v>103</v>
      </c>
      <c r="H130" s="3" t="s">
        <v>8</v>
      </c>
      <c r="I130" s="3" t="s">
        <v>7</v>
      </c>
      <c r="J130" s="3" t="s">
        <v>37</v>
      </c>
      <c r="K130" s="3" t="s">
        <v>65</v>
      </c>
      <c r="L130" s="3" t="s">
        <v>24</v>
      </c>
      <c r="M130">
        <v>1</v>
      </c>
    </row>
    <row r="131" spans="1:13" x14ac:dyDescent="0.25">
      <c r="A131" s="2">
        <v>46205</v>
      </c>
      <c r="B131" s="1" t="str">
        <f ca="1">IF(Información1[[#This Row],[Fecha]]='Ajuste de fechas'!$A$2,"Día actual","Día anterior")</f>
        <v>Día actual</v>
      </c>
      <c r="C131" s="3" t="s">
        <v>40</v>
      </c>
      <c r="D131" t="s">
        <v>41</v>
      </c>
      <c r="E131" s="3" t="s">
        <v>267</v>
      </c>
      <c r="F131" s="3" t="s">
        <v>10</v>
      </c>
      <c r="G131" s="3" t="s">
        <v>103</v>
      </c>
      <c r="H131" s="3" t="s">
        <v>8</v>
      </c>
      <c r="I131" s="3" t="s">
        <v>7</v>
      </c>
      <c r="J131" s="3" t="s">
        <v>37</v>
      </c>
      <c r="K131" s="3" t="s">
        <v>65</v>
      </c>
      <c r="L131" s="3" t="s">
        <v>24</v>
      </c>
      <c r="M131">
        <v>1</v>
      </c>
    </row>
    <row r="132" spans="1:13" x14ac:dyDescent="0.25">
      <c r="A132" s="2">
        <v>46205</v>
      </c>
      <c r="B132" s="1" t="str">
        <f ca="1">IF(Información1[[#This Row],[Fecha]]='Ajuste de fechas'!$A$2,"Día actual","Día anterior")</f>
        <v>Día actual</v>
      </c>
      <c r="C132" s="3" t="s">
        <v>40</v>
      </c>
      <c r="D132" t="s">
        <v>41</v>
      </c>
      <c r="E132" s="3" t="s">
        <v>268</v>
      </c>
      <c r="F132" s="3" t="s">
        <v>42</v>
      </c>
      <c r="G132" s="3" t="s">
        <v>91</v>
      </c>
      <c r="H132" s="3" t="s">
        <v>8</v>
      </c>
      <c r="I132" s="3" t="s">
        <v>7</v>
      </c>
      <c r="J132" s="3" t="s">
        <v>35</v>
      </c>
      <c r="K132" s="3" t="s">
        <v>65</v>
      </c>
      <c r="L132" s="3" t="s">
        <v>24</v>
      </c>
      <c r="M132">
        <v>1</v>
      </c>
    </row>
    <row r="133" spans="1:13" x14ac:dyDescent="0.25">
      <c r="A133" s="2">
        <v>46205</v>
      </c>
      <c r="B133" s="1" t="str">
        <f ca="1">IF(Información1[[#This Row],[Fecha]]='Ajuste de fechas'!$A$2,"Día actual","Día anterior")</f>
        <v>Día actual</v>
      </c>
      <c r="C133" s="3" t="s">
        <v>40</v>
      </c>
      <c r="D133" t="s">
        <v>41</v>
      </c>
      <c r="E133" s="3" t="s">
        <v>269</v>
      </c>
      <c r="F133" s="3" t="s">
        <v>50</v>
      </c>
      <c r="G133" s="3" t="s">
        <v>270</v>
      </c>
      <c r="H133" s="3" t="s">
        <v>8</v>
      </c>
      <c r="I133" s="3" t="s">
        <v>14</v>
      </c>
      <c r="J133" s="3" t="s">
        <v>35</v>
      </c>
      <c r="K133" s="3" t="s">
        <v>65</v>
      </c>
      <c r="L133" s="3" t="s">
        <v>25</v>
      </c>
      <c r="M133">
        <v>1</v>
      </c>
    </row>
    <row r="134" spans="1:13" x14ac:dyDescent="0.25">
      <c r="A134" s="2">
        <v>46205</v>
      </c>
      <c r="B134" s="1" t="str">
        <f ca="1">IF(Información1[[#This Row],[Fecha]]='Ajuste de fechas'!$A$2,"Día actual","Día anterior")</f>
        <v>Día actual</v>
      </c>
      <c r="C134" s="3" t="s">
        <v>40</v>
      </c>
      <c r="D134" t="s">
        <v>41</v>
      </c>
      <c r="E134" s="3" t="s">
        <v>271</v>
      </c>
      <c r="F134" s="3" t="s">
        <v>50</v>
      </c>
      <c r="G134" s="3" t="s">
        <v>270</v>
      </c>
      <c r="H134" s="3" t="s">
        <v>8</v>
      </c>
      <c r="I134" s="3" t="s">
        <v>14</v>
      </c>
      <c r="J134" s="3" t="s">
        <v>35</v>
      </c>
      <c r="K134" s="3" t="s">
        <v>65</v>
      </c>
      <c r="L134" s="3" t="s">
        <v>24</v>
      </c>
      <c r="M134">
        <v>1</v>
      </c>
    </row>
    <row r="135" spans="1:13" x14ac:dyDescent="0.25">
      <c r="A135" s="2">
        <v>46205</v>
      </c>
      <c r="B135" s="1" t="str">
        <f ca="1">IF(Información1[[#This Row],[Fecha]]='Ajuste de fechas'!$A$2,"Día actual","Día anterior")</f>
        <v>Día actual</v>
      </c>
      <c r="C135" s="3" t="s">
        <v>44</v>
      </c>
      <c r="D135" t="s">
        <v>45</v>
      </c>
      <c r="E135" s="3" t="s">
        <v>272</v>
      </c>
      <c r="F135" s="3" t="s">
        <v>9</v>
      </c>
      <c r="G135" s="3" t="s">
        <v>212</v>
      </c>
      <c r="H135" s="3" t="s">
        <v>39</v>
      </c>
      <c r="I135" s="3" t="s">
        <v>14</v>
      </c>
      <c r="J135" s="3" t="s">
        <v>35</v>
      </c>
      <c r="K135" s="3" t="s">
        <v>46</v>
      </c>
      <c r="L135" s="3" t="s">
        <v>25</v>
      </c>
      <c r="M135">
        <v>1</v>
      </c>
    </row>
    <row r="136" spans="1:13" x14ac:dyDescent="0.25">
      <c r="A136" s="2">
        <v>46205</v>
      </c>
      <c r="B136" s="1" t="str">
        <f ca="1">IF(Información1[[#This Row],[Fecha]]='Ajuste de fechas'!$A$2,"Día actual","Día anterior")</f>
        <v>Día actual</v>
      </c>
      <c r="C136" s="3" t="s">
        <v>44</v>
      </c>
      <c r="D136" t="s">
        <v>45</v>
      </c>
      <c r="E136" s="3" t="s">
        <v>273</v>
      </c>
      <c r="F136" s="3" t="s">
        <v>15</v>
      </c>
      <c r="G136" s="3" t="s">
        <v>274</v>
      </c>
      <c r="H136" s="3" t="s">
        <v>39</v>
      </c>
      <c r="I136" s="3" t="s">
        <v>53</v>
      </c>
      <c r="J136" s="3" t="s">
        <v>35</v>
      </c>
      <c r="K136" s="3" t="s">
        <v>275</v>
      </c>
      <c r="L136" s="3" t="s">
        <v>25</v>
      </c>
      <c r="M136">
        <v>1</v>
      </c>
    </row>
    <row r="137" spans="1:13" x14ac:dyDescent="0.25">
      <c r="A137" s="2">
        <v>46205</v>
      </c>
      <c r="B137" s="1" t="str">
        <f ca="1">IF(Información1[[#This Row],[Fecha]]='Ajuste de fechas'!$A$2,"Día actual","Día anterior")</f>
        <v>Día actual</v>
      </c>
      <c r="C137" s="3" t="s">
        <v>44</v>
      </c>
      <c r="D137" t="s">
        <v>45</v>
      </c>
      <c r="E137" s="3" t="s">
        <v>276</v>
      </c>
      <c r="F137" s="3" t="s">
        <v>30</v>
      </c>
      <c r="G137" s="3" t="s">
        <v>277</v>
      </c>
      <c r="H137" s="3" t="s">
        <v>39</v>
      </c>
      <c r="I137" s="3" t="s">
        <v>7</v>
      </c>
      <c r="J137" s="3" t="s">
        <v>13</v>
      </c>
      <c r="K137" s="3" t="s">
        <v>46</v>
      </c>
      <c r="L137" s="3" t="s">
        <v>24</v>
      </c>
      <c r="M137">
        <v>1</v>
      </c>
    </row>
    <row r="138" spans="1:13" x14ac:dyDescent="0.25">
      <c r="A138" s="2">
        <v>46205</v>
      </c>
      <c r="B138" s="1" t="str">
        <f ca="1">IF(Información1[[#This Row],[Fecha]]='Ajuste de fechas'!$A$2,"Día actual","Día anterior")</f>
        <v>Día actual</v>
      </c>
      <c r="C138" s="3" t="s">
        <v>44</v>
      </c>
      <c r="D138" t="s">
        <v>45</v>
      </c>
      <c r="E138" s="3" t="s">
        <v>263</v>
      </c>
      <c r="F138" s="3" t="s">
        <v>38</v>
      </c>
      <c r="G138" s="3" t="s">
        <v>264</v>
      </c>
      <c r="H138" s="3" t="s">
        <v>39</v>
      </c>
      <c r="I138" s="3" t="s">
        <v>7</v>
      </c>
      <c r="J138" s="3" t="s">
        <v>35</v>
      </c>
      <c r="K138" s="3" t="s">
        <v>46</v>
      </c>
      <c r="L138" s="3" t="s">
        <v>26</v>
      </c>
      <c r="M138">
        <v>1</v>
      </c>
    </row>
    <row r="139" spans="1:13" x14ac:dyDescent="0.25">
      <c r="A139" s="2">
        <v>46205</v>
      </c>
      <c r="B139" s="1" t="str">
        <f ca="1">IF(Información1[[#This Row],[Fecha]]='Ajuste de fechas'!$A$2,"Día actual","Día anterior")</f>
        <v>Día actual</v>
      </c>
      <c r="C139" s="3" t="s">
        <v>44</v>
      </c>
      <c r="D139" t="s">
        <v>45</v>
      </c>
      <c r="E139" s="3" t="s">
        <v>278</v>
      </c>
      <c r="F139" s="3" t="s">
        <v>38</v>
      </c>
      <c r="G139" s="3" t="s">
        <v>279</v>
      </c>
      <c r="H139" s="3" t="s">
        <v>39</v>
      </c>
      <c r="I139" s="3" t="s">
        <v>7</v>
      </c>
      <c r="J139" s="3" t="s">
        <v>35</v>
      </c>
      <c r="K139" s="3" t="s">
        <v>46</v>
      </c>
      <c r="L139" s="3" t="s">
        <v>26</v>
      </c>
      <c r="M139">
        <v>1</v>
      </c>
    </row>
    <row r="140" spans="1:13" x14ac:dyDescent="0.25">
      <c r="A140" s="2">
        <v>46205</v>
      </c>
      <c r="B140" s="1" t="str">
        <f ca="1">IF(Información1[[#This Row],[Fecha]]='Ajuste de fechas'!$A$2,"Día actual","Día anterior")</f>
        <v>Día actual</v>
      </c>
      <c r="C140" s="3" t="s">
        <v>44</v>
      </c>
      <c r="D140" t="s">
        <v>45</v>
      </c>
      <c r="E140" s="3" t="s">
        <v>280</v>
      </c>
      <c r="F140" s="3" t="s">
        <v>17</v>
      </c>
      <c r="G140" s="3" t="s">
        <v>281</v>
      </c>
      <c r="H140" s="3" t="s">
        <v>39</v>
      </c>
      <c r="I140" s="3" t="s">
        <v>7</v>
      </c>
      <c r="J140" s="3" t="s">
        <v>35</v>
      </c>
      <c r="K140" s="3" t="s">
        <v>46</v>
      </c>
      <c r="L140" s="3" t="s">
        <v>26</v>
      </c>
      <c r="M140">
        <v>1</v>
      </c>
    </row>
    <row r="141" spans="1:13" x14ac:dyDescent="0.25">
      <c r="A141" s="2">
        <v>46205</v>
      </c>
      <c r="B141" s="1" t="str">
        <f ca="1">IF(Información1[[#This Row],[Fecha]]='Ajuste de fechas'!$A$2,"Día actual","Día anterior")</f>
        <v>Día actual</v>
      </c>
      <c r="C141" s="3" t="s">
        <v>44</v>
      </c>
      <c r="D141" t="s">
        <v>45</v>
      </c>
      <c r="E141" s="3" t="s">
        <v>282</v>
      </c>
      <c r="F141" s="3" t="s">
        <v>50</v>
      </c>
      <c r="G141" s="3" t="s">
        <v>283</v>
      </c>
      <c r="H141" s="3" t="s">
        <v>39</v>
      </c>
      <c r="I141" s="3" t="s">
        <v>14</v>
      </c>
      <c r="J141" s="3" t="s">
        <v>35</v>
      </c>
      <c r="K141" s="3" t="s">
        <v>49</v>
      </c>
      <c r="L141" s="3" t="s">
        <v>25</v>
      </c>
      <c r="M141">
        <v>1</v>
      </c>
    </row>
    <row r="142" spans="1:13" x14ac:dyDescent="0.25">
      <c r="A142" s="2">
        <v>46205</v>
      </c>
      <c r="B142" s="1" t="str">
        <f ca="1">IF(Información1[[#This Row],[Fecha]]='Ajuste de fechas'!$A$2,"Día actual","Día anterior")</f>
        <v>Día actual</v>
      </c>
      <c r="C142" s="3" t="s">
        <v>44</v>
      </c>
      <c r="D142" t="s">
        <v>45</v>
      </c>
      <c r="E142" s="3" t="s">
        <v>284</v>
      </c>
      <c r="F142" s="3" t="s">
        <v>15</v>
      </c>
      <c r="G142" s="3" t="s">
        <v>285</v>
      </c>
      <c r="H142" s="3" t="s">
        <v>39</v>
      </c>
      <c r="I142" s="3" t="s">
        <v>53</v>
      </c>
      <c r="J142" s="3" t="s">
        <v>35</v>
      </c>
      <c r="K142" s="3" t="s">
        <v>46</v>
      </c>
      <c r="L142" s="3" t="s">
        <v>25</v>
      </c>
      <c r="M142">
        <v>1</v>
      </c>
    </row>
    <row r="143" spans="1:13" x14ac:dyDescent="0.25">
      <c r="A143" s="2">
        <v>46205</v>
      </c>
      <c r="B143" s="1" t="str">
        <f ca="1">IF(Información1[[#This Row],[Fecha]]='Ajuste de fechas'!$A$2,"Día actual","Día anterior")</f>
        <v>Día actual</v>
      </c>
      <c r="C143" s="3" t="s">
        <v>44</v>
      </c>
      <c r="D143" t="s">
        <v>45</v>
      </c>
      <c r="E143" s="3" t="s">
        <v>286</v>
      </c>
      <c r="F143" s="3" t="s">
        <v>15</v>
      </c>
      <c r="G143" s="3" t="s">
        <v>240</v>
      </c>
      <c r="H143" s="3" t="s">
        <v>39</v>
      </c>
      <c r="I143" s="3" t="s">
        <v>7</v>
      </c>
      <c r="J143" s="3" t="s">
        <v>35</v>
      </c>
      <c r="K143" s="3" t="s">
        <v>46</v>
      </c>
      <c r="L143" s="3" t="s">
        <v>26</v>
      </c>
      <c r="M143">
        <v>1</v>
      </c>
    </row>
    <row r="144" spans="1:13" x14ac:dyDescent="0.25">
      <c r="A144" s="2">
        <v>46205</v>
      </c>
      <c r="B144" s="1" t="str">
        <f ca="1">IF(Información1[[#This Row],[Fecha]]='Ajuste de fechas'!$A$2,"Día actual","Día anterior")</f>
        <v>Día actual</v>
      </c>
      <c r="C144" s="3" t="s">
        <v>44</v>
      </c>
      <c r="D144" t="s">
        <v>45</v>
      </c>
      <c r="E144" s="3" t="s">
        <v>287</v>
      </c>
      <c r="F144" s="3" t="s">
        <v>13</v>
      </c>
      <c r="G144" s="3" t="s">
        <v>288</v>
      </c>
      <c r="H144" s="3" t="s">
        <v>39</v>
      </c>
      <c r="I144" s="3" t="s">
        <v>7</v>
      </c>
      <c r="J144" s="3" t="s">
        <v>13</v>
      </c>
      <c r="K144" s="3" t="s">
        <v>46</v>
      </c>
      <c r="L144" s="3" t="s">
        <v>15</v>
      </c>
      <c r="M144">
        <v>1</v>
      </c>
    </row>
    <row r="145" spans="1:13" x14ac:dyDescent="0.25">
      <c r="A145" s="2">
        <v>46205</v>
      </c>
      <c r="B145" s="1" t="str">
        <f ca="1">IF(Información1[[#This Row],[Fecha]]='Ajuste de fechas'!$A$2,"Día actual","Día anterior")</f>
        <v>Día actual</v>
      </c>
      <c r="C145" s="3" t="s">
        <v>44</v>
      </c>
      <c r="D145" t="s">
        <v>45</v>
      </c>
      <c r="E145" s="3" t="s">
        <v>289</v>
      </c>
      <c r="F145" s="3" t="s">
        <v>9</v>
      </c>
      <c r="G145" s="3" t="s">
        <v>104</v>
      </c>
      <c r="H145" s="3" t="s">
        <v>39</v>
      </c>
      <c r="I145" s="3" t="s">
        <v>14</v>
      </c>
      <c r="J145" s="3" t="s">
        <v>35</v>
      </c>
      <c r="K145" s="3" t="s">
        <v>46</v>
      </c>
      <c r="L145" s="3" t="s">
        <v>25</v>
      </c>
      <c r="M145">
        <v>1</v>
      </c>
    </row>
    <row r="146" spans="1:13" x14ac:dyDescent="0.25">
      <c r="A146" s="2">
        <v>46205</v>
      </c>
      <c r="B146" s="1" t="str">
        <f ca="1">IF(Información1[[#This Row],[Fecha]]='Ajuste de fechas'!$A$2,"Día actual","Día anterior")</f>
        <v>Día actual</v>
      </c>
      <c r="C146" s="3" t="s">
        <v>44</v>
      </c>
      <c r="D146" t="s">
        <v>45</v>
      </c>
      <c r="E146" s="3" t="s">
        <v>290</v>
      </c>
      <c r="F146" s="3" t="s">
        <v>9</v>
      </c>
      <c r="G146" s="3" t="s">
        <v>104</v>
      </c>
      <c r="H146" s="3" t="s">
        <v>39</v>
      </c>
      <c r="I146" s="3" t="s">
        <v>14</v>
      </c>
      <c r="J146" s="3" t="s">
        <v>35</v>
      </c>
      <c r="K146" s="3" t="s">
        <v>46</v>
      </c>
      <c r="L146" s="3" t="s">
        <v>25</v>
      </c>
      <c r="M146">
        <v>1</v>
      </c>
    </row>
    <row r="147" spans="1:13" x14ac:dyDescent="0.25">
      <c r="A147" s="2">
        <v>46205</v>
      </c>
      <c r="B147" s="1" t="str">
        <f ca="1">IF(Información1[[#This Row],[Fecha]]='Ajuste de fechas'!$A$2,"Día actual","Día anterior")</f>
        <v>Día actual</v>
      </c>
      <c r="C147" s="3" t="s">
        <v>44</v>
      </c>
      <c r="D147" t="s">
        <v>45</v>
      </c>
      <c r="E147" s="3" t="s">
        <v>291</v>
      </c>
      <c r="F147" s="3" t="s">
        <v>10</v>
      </c>
      <c r="G147" s="3" t="s">
        <v>292</v>
      </c>
      <c r="H147" s="3" t="s">
        <v>39</v>
      </c>
      <c r="I147" s="3" t="s">
        <v>53</v>
      </c>
      <c r="J147" s="3" t="s">
        <v>37</v>
      </c>
      <c r="K147" s="3" t="s">
        <v>46</v>
      </c>
      <c r="L147" s="3" t="s">
        <v>24</v>
      </c>
      <c r="M147">
        <v>1</v>
      </c>
    </row>
    <row r="148" spans="1:13" x14ac:dyDescent="0.25">
      <c r="A148" s="2">
        <v>46205</v>
      </c>
      <c r="B148" s="1" t="str">
        <f ca="1">IF(Información1[[#This Row],[Fecha]]='Ajuste de fechas'!$A$2,"Día actual","Día anterior")</f>
        <v>Día actual</v>
      </c>
      <c r="C148" s="3" t="s">
        <v>16</v>
      </c>
      <c r="D148" t="s">
        <v>66</v>
      </c>
      <c r="E148" s="3" t="s">
        <v>293</v>
      </c>
      <c r="F148" s="3" t="s">
        <v>294</v>
      </c>
      <c r="G148" s="3" t="s">
        <v>128</v>
      </c>
      <c r="H148" s="3" t="s">
        <v>8</v>
      </c>
      <c r="I148" s="3" t="s">
        <v>7</v>
      </c>
      <c r="J148" s="3" t="s">
        <v>13</v>
      </c>
      <c r="K148" s="3" t="s">
        <v>67</v>
      </c>
      <c r="L148" s="3" t="s">
        <v>24</v>
      </c>
      <c r="M148">
        <v>1</v>
      </c>
    </row>
    <row r="149" spans="1:13" x14ac:dyDescent="0.25">
      <c r="A149" s="2">
        <v>46205</v>
      </c>
      <c r="B149" s="1" t="str">
        <f ca="1">IF(Información1[[#This Row],[Fecha]]='Ajuste de fechas'!$A$2,"Día actual","Día anterior")</f>
        <v>Día actual</v>
      </c>
      <c r="C149" s="3" t="s">
        <v>16</v>
      </c>
      <c r="D149" t="s">
        <v>66</v>
      </c>
      <c r="E149" s="3" t="s">
        <v>295</v>
      </c>
      <c r="F149" s="3" t="s">
        <v>15</v>
      </c>
      <c r="G149" s="3" t="s">
        <v>296</v>
      </c>
      <c r="H149" s="3" t="s">
        <v>8</v>
      </c>
      <c r="I149" s="3" t="s">
        <v>7</v>
      </c>
      <c r="J149" s="3" t="s">
        <v>35</v>
      </c>
      <c r="K149" s="3" t="s">
        <v>67</v>
      </c>
      <c r="L149" s="3" t="s">
        <v>24</v>
      </c>
      <c r="M149">
        <v>1</v>
      </c>
    </row>
    <row r="150" spans="1:13" x14ac:dyDescent="0.25">
      <c r="A150" s="2">
        <v>46205</v>
      </c>
      <c r="B150" s="1" t="str">
        <f ca="1">IF(Información1[[#This Row],[Fecha]]='Ajuste de fechas'!$A$2,"Día actual","Día anterior")</f>
        <v>Día actual</v>
      </c>
      <c r="C150" s="3" t="s">
        <v>16</v>
      </c>
      <c r="D150" t="s">
        <v>66</v>
      </c>
      <c r="E150" s="3" t="s">
        <v>297</v>
      </c>
      <c r="F150" s="3" t="s">
        <v>68</v>
      </c>
      <c r="G150" s="3" t="s">
        <v>296</v>
      </c>
      <c r="H150" s="3" t="s">
        <v>8</v>
      </c>
      <c r="I150" s="3" t="s">
        <v>7</v>
      </c>
      <c r="J150" s="3" t="s">
        <v>35</v>
      </c>
      <c r="K150" s="3" t="s">
        <v>67</v>
      </c>
      <c r="L150" s="3" t="s">
        <v>26</v>
      </c>
      <c r="M150">
        <v>1</v>
      </c>
    </row>
    <row r="151" spans="1:13" x14ac:dyDescent="0.25">
      <c r="A151" s="2">
        <v>46205</v>
      </c>
      <c r="B151" s="1" t="str">
        <f ca="1">IF(Información1[[#This Row],[Fecha]]='Ajuste de fechas'!$A$2,"Día actual","Día anterior")</f>
        <v>Día actual</v>
      </c>
      <c r="C151" s="3" t="s">
        <v>16</v>
      </c>
      <c r="D151" t="s">
        <v>66</v>
      </c>
      <c r="E151" s="3" t="s">
        <v>298</v>
      </c>
      <c r="F151" s="3" t="s">
        <v>15</v>
      </c>
      <c r="G151" s="3" t="s">
        <v>238</v>
      </c>
      <c r="H151" s="3" t="s">
        <v>8</v>
      </c>
      <c r="I151" s="3" t="s">
        <v>7</v>
      </c>
      <c r="J151" s="3" t="s">
        <v>35</v>
      </c>
      <c r="K151" s="3" t="s">
        <v>67</v>
      </c>
      <c r="L151" s="3" t="s">
        <v>24</v>
      </c>
      <c r="M151">
        <v>1</v>
      </c>
    </row>
    <row r="152" spans="1:13" x14ac:dyDescent="0.25">
      <c r="A152" s="2">
        <v>46205</v>
      </c>
      <c r="B152" s="1" t="str">
        <f ca="1">IF(Información1[[#This Row],[Fecha]]='Ajuste de fechas'!$A$2,"Día actual","Día anterior")</f>
        <v>Día actual</v>
      </c>
      <c r="C152" s="3" t="s">
        <v>16</v>
      </c>
      <c r="D152" t="s">
        <v>66</v>
      </c>
      <c r="E152" s="3" t="s">
        <v>299</v>
      </c>
      <c r="F152" s="3" t="s">
        <v>10</v>
      </c>
      <c r="G152" s="3" t="s">
        <v>300</v>
      </c>
      <c r="H152" s="3" t="s">
        <v>8</v>
      </c>
      <c r="I152" s="3" t="s">
        <v>7</v>
      </c>
      <c r="J152" s="3" t="s">
        <v>37</v>
      </c>
      <c r="K152" s="3" t="s">
        <v>67</v>
      </c>
      <c r="L152" s="3" t="s">
        <v>24</v>
      </c>
      <c r="M152">
        <v>1</v>
      </c>
    </row>
    <row r="153" spans="1:13" x14ac:dyDescent="0.25">
      <c r="A153" s="2">
        <v>46205</v>
      </c>
      <c r="B153" s="1" t="str">
        <f ca="1">IF(Información1[[#This Row],[Fecha]]='Ajuste de fechas'!$A$2,"Día actual","Día anterior")</f>
        <v>Día actual</v>
      </c>
      <c r="C153" s="3" t="s">
        <v>16</v>
      </c>
      <c r="D153" t="s">
        <v>66</v>
      </c>
      <c r="E153" s="3" t="s">
        <v>301</v>
      </c>
      <c r="F153" s="3" t="s">
        <v>10</v>
      </c>
      <c r="G153" s="3" t="s">
        <v>161</v>
      </c>
      <c r="H153" s="3" t="s">
        <v>8</v>
      </c>
      <c r="I153" s="3" t="s">
        <v>7</v>
      </c>
      <c r="J153" s="3" t="s">
        <v>37</v>
      </c>
      <c r="K153" s="3" t="s">
        <v>67</v>
      </c>
      <c r="L153" s="3" t="s">
        <v>24</v>
      </c>
      <c r="M153">
        <v>1</v>
      </c>
    </row>
    <row r="154" spans="1:13" x14ac:dyDescent="0.25">
      <c r="A154" s="2">
        <v>46205</v>
      </c>
      <c r="B154" s="1" t="str">
        <f ca="1">IF(Información1[[#This Row],[Fecha]]='Ajuste de fechas'!$A$2,"Día actual","Día anterior")</f>
        <v>Día actual</v>
      </c>
      <c r="C154" s="3" t="s">
        <v>16</v>
      </c>
      <c r="D154" t="s">
        <v>66</v>
      </c>
      <c r="E154" s="3" t="s">
        <v>302</v>
      </c>
      <c r="F154" s="3" t="s">
        <v>30</v>
      </c>
      <c r="G154" s="3" t="s">
        <v>161</v>
      </c>
      <c r="H154" s="3" t="s">
        <v>8</v>
      </c>
      <c r="I154" s="3" t="s">
        <v>53</v>
      </c>
      <c r="J154" s="3" t="s">
        <v>13</v>
      </c>
      <c r="K154" s="3" t="s">
        <v>67</v>
      </c>
      <c r="L154" s="3" t="s">
        <v>96</v>
      </c>
      <c r="M154">
        <v>1</v>
      </c>
    </row>
    <row r="155" spans="1:13" x14ac:dyDescent="0.25">
      <c r="A155" s="2">
        <v>46205</v>
      </c>
      <c r="B155" s="1" t="str">
        <f ca="1">IF(Información1[[#This Row],[Fecha]]='Ajuste de fechas'!$A$2,"Día actual","Día anterior")</f>
        <v>Día actual</v>
      </c>
      <c r="C155" s="3" t="s">
        <v>32</v>
      </c>
      <c r="D155" t="s">
        <v>33</v>
      </c>
      <c r="E155" s="3" t="s">
        <v>303</v>
      </c>
      <c r="F155" s="3" t="s">
        <v>130</v>
      </c>
      <c r="G155" s="3" t="s">
        <v>304</v>
      </c>
      <c r="H155" s="3" t="s">
        <v>8</v>
      </c>
      <c r="I155" s="3" t="s">
        <v>7</v>
      </c>
      <c r="J155" s="3" t="s">
        <v>35</v>
      </c>
      <c r="K155" s="3" t="s">
        <v>34</v>
      </c>
      <c r="L155" s="3" t="s">
        <v>26</v>
      </c>
      <c r="M155">
        <v>1</v>
      </c>
    </row>
    <row r="156" spans="1:13" x14ac:dyDescent="0.25">
      <c r="A156" s="2">
        <v>46205</v>
      </c>
      <c r="B156" s="1" t="str">
        <f ca="1">IF(Información1[[#This Row],[Fecha]]='Ajuste de fechas'!$A$2,"Día actual","Día anterior")</f>
        <v>Día actual</v>
      </c>
      <c r="C156" s="3" t="s">
        <v>32</v>
      </c>
      <c r="D156" t="s">
        <v>33</v>
      </c>
      <c r="E156" s="3" t="s">
        <v>305</v>
      </c>
      <c r="F156" s="3" t="s">
        <v>15</v>
      </c>
      <c r="G156" s="3" t="s">
        <v>240</v>
      </c>
      <c r="H156" s="3" t="s">
        <v>8</v>
      </c>
      <c r="I156" s="3" t="s">
        <v>7</v>
      </c>
      <c r="J156" s="3" t="s">
        <v>35</v>
      </c>
      <c r="K156" s="3" t="s">
        <v>34</v>
      </c>
      <c r="L156" s="3" t="s">
        <v>26</v>
      </c>
      <c r="M156">
        <v>1</v>
      </c>
    </row>
    <row r="157" spans="1:13" x14ac:dyDescent="0.25">
      <c r="A157" s="2">
        <v>46205</v>
      </c>
      <c r="B157" s="1" t="str">
        <f ca="1">IF(Información1[[#This Row],[Fecha]]='Ajuste de fechas'!$A$2,"Día actual","Día anterior")</f>
        <v>Día actual</v>
      </c>
      <c r="C157" s="3" t="s">
        <v>16</v>
      </c>
      <c r="D157" t="s">
        <v>76</v>
      </c>
      <c r="E157" s="3" t="s">
        <v>306</v>
      </c>
      <c r="F157" s="3" t="s">
        <v>10</v>
      </c>
      <c r="G157" s="3" t="s">
        <v>244</v>
      </c>
      <c r="H157" s="3" t="s">
        <v>8</v>
      </c>
      <c r="I157" s="3" t="s">
        <v>14</v>
      </c>
      <c r="J157" s="3" t="s">
        <v>37</v>
      </c>
      <c r="K157" s="3" t="s">
        <v>77</v>
      </c>
      <c r="L157" s="3" t="s">
        <v>24</v>
      </c>
      <c r="M157">
        <v>1</v>
      </c>
    </row>
    <row r="158" spans="1:13" x14ac:dyDescent="0.25">
      <c r="A158" s="2">
        <v>46205</v>
      </c>
      <c r="B158" s="1" t="str">
        <f ca="1">IF(Información1[[#This Row],[Fecha]]='Ajuste de fechas'!$A$2,"Día actual","Día anterior")</f>
        <v>Día actual</v>
      </c>
      <c r="C158" s="3" t="s">
        <v>16</v>
      </c>
      <c r="D158" t="s">
        <v>76</v>
      </c>
      <c r="E158" s="3" t="s">
        <v>307</v>
      </c>
      <c r="F158" s="3" t="s">
        <v>11</v>
      </c>
      <c r="G158" s="3" t="s">
        <v>191</v>
      </c>
      <c r="H158" s="3" t="s">
        <v>8</v>
      </c>
      <c r="I158" s="3" t="s">
        <v>14</v>
      </c>
      <c r="J158" s="3" t="s">
        <v>36</v>
      </c>
      <c r="K158" s="3" t="s">
        <v>77</v>
      </c>
      <c r="L158" s="3" t="s">
        <v>24</v>
      </c>
      <c r="M158">
        <v>1</v>
      </c>
    </row>
    <row r="159" spans="1:13" x14ac:dyDescent="0.25">
      <c r="A159" s="2">
        <v>46205</v>
      </c>
      <c r="B159" s="1" t="str">
        <f ca="1">IF(Información1[[#This Row],[Fecha]]='Ajuste de fechas'!$A$2,"Día actual","Día anterior")</f>
        <v>Día actual</v>
      </c>
      <c r="C159" s="3" t="s">
        <v>16</v>
      </c>
      <c r="D159" t="s">
        <v>76</v>
      </c>
      <c r="E159" s="3" t="s">
        <v>308</v>
      </c>
      <c r="F159" s="3" t="s">
        <v>10</v>
      </c>
      <c r="G159" s="3" t="s">
        <v>72</v>
      </c>
      <c r="H159" s="3" t="s">
        <v>8</v>
      </c>
      <c r="I159" s="3" t="s">
        <v>7</v>
      </c>
      <c r="J159" s="3" t="s">
        <v>37</v>
      </c>
      <c r="K159" s="3" t="s">
        <v>77</v>
      </c>
      <c r="L159" s="3" t="s">
        <v>24</v>
      </c>
      <c r="M159">
        <v>1</v>
      </c>
    </row>
    <row r="160" spans="1:13" x14ac:dyDescent="0.25">
      <c r="A160" s="2">
        <v>46205</v>
      </c>
      <c r="B160" s="1" t="str">
        <f ca="1">IF(Información1[[#This Row],[Fecha]]='Ajuste de fechas'!$A$2,"Día actual","Día anterior")</f>
        <v>Día actual</v>
      </c>
      <c r="C160" s="3" t="s">
        <v>16</v>
      </c>
      <c r="D160" t="s">
        <v>76</v>
      </c>
      <c r="E160" s="3" t="s">
        <v>309</v>
      </c>
      <c r="F160" s="3" t="s">
        <v>10</v>
      </c>
      <c r="G160" s="3" t="s">
        <v>310</v>
      </c>
      <c r="H160" s="3" t="s">
        <v>8</v>
      </c>
      <c r="I160" s="3" t="s">
        <v>7</v>
      </c>
      <c r="J160" s="3" t="s">
        <v>37</v>
      </c>
      <c r="K160" s="3" t="s">
        <v>77</v>
      </c>
      <c r="L160" s="3" t="s">
        <v>24</v>
      </c>
      <c r="M160">
        <v>1</v>
      </c>
    </row>
    <row r="161" spans="1:13" x14ac:dyDescent="0.25">
      <c r="A161" s="2">
        <v>46205</v>
      </c>
      <c r="B161" s="1" t="str">
        <f ca="1">IF(Información1[[#This Row],[Fecha]]='Ajuste de fechas'!$A$2,"Día actual","Día anterior")</f>
        <v>Día actual</v>
      </c>
      <c r="C161" s="3" t="s">
        <v>16</v>
      </c>
      <c r="D161" t="s">
        <v>76</v>
      </c>
      <c r="E161" s="3" t="s">
        <v>311</v>
      </c>
      <c r="F161" s="3" t="s">
        <v>50</v>
      </c>
      <c r="G161" s="3" t="s">
        <v>78</v>
      </c>
      <c r="H161" s="3" t="s">
        <v>8</v>
      </c>
      <c r="I161" s="3" t="s">
        <v>7</v>
      </c>
      <c r="J161" s="3" t="s">
        <v>35</v>
      </c>
      <c r="K161" s="3" t="s">
        <v>77</v>
      </c>
      <c r="L161" s="3" t="s">
        <v>24</v>
      </c>
      <c r="M161">
        <v>1</v>
      </c>
    </row>
    <row r="162" spans="1:13" x14ac:dyDescent="0.25">
      <c r="A162" s="2">
        <v>46205</v>
      </c>
      <c r="B162" s="1" t="str">
        <f ca="1">IF(Información1[[#This Row],[Fecha]]='Ajuste de fechas'!$A$2,"Día actual","Día anterior")</f>
        <v>Día actual</v>
      </c>
      <c r="C162" s="3" t="s">
        <v>16</v>
      </c>
      <c r="D162" t="s">
        <v>76</v>
      </c>
      <c r="E162" s="3" t="s">
        <v>312</v>
      </c>
      <c r="F162" s="3" t="s">
        <v>42</v>
      </c>
      <c r="G162" s="3" t="s">
        <v>313</v>
      </c>
      <c r="H162" s="3" t="s">
        <v>8</v>
      </c>
      <c r="I162" s="3" t="s">
        <v>7</v>
      </c>
      <c r="J162" s="3" t="s">
        <v>35</v>
      </c>
      <c r="K162" s="3" t="s">
        <v>77</v>
      </c>
      <c r="L162" s="3" t="s">
        <v>24</v>
      </c>
      <c r="M162">
        <v>1</v>
      </c>
    </row>
    <row r="163" spans="1:13" x14ac:dyDescent="0.25">
      <c r="A163" s="2">
        <v>46205</v>
      </c>
      <c r="B163" s="1" t="str">
        <f ca="1">IF(Información1[[#This Row],[Fecha]]='Ajuste de fechas'!$A$2,"Día actual","Día anterior")</f>
        <v>Día actual</v>
      </c>
      <c r="C163" s="3" t="s">
        <v>16</v>
      </c>
      <c r="D163" t="s">
        <v>76</v>
      </c>
      <c r="E163" s="3" t="s">
        <v>314</v>
      </c>
      <c r="F163" s="3" t="s">
        <v>315</v>
      </c>
      <c r="G163" s="3" t="s">
        <v>138</v>
      </c>
      <c r="H163" s="3" t="s">
        <v>8</v>
      </c>
      <c r="I163" s="3" t="s">
        <v>7</v>
      </c>
      <c r="J163" s="3" t="s">
        <v>35</v>
      </c>
      <c r="K163" s="3" t="s">
        <v>77</v>
      </c>
      <c r="L163" s="3" t="s">
        <v>24</v>
      </c>
      <c r="M163">
        <v>1</v>
      </c>
    </row>
    <row r="164" spans="1:13" x14ac:dyDescent="0.25">
      <c r="A164" s="2">
        <v>46205</v>
      </c>
      <c r="B164" s="1" t="str">
        <f ca="1">IF(Información1[[#This Row],[Fecha]]='Ajuste de fechas'!$A$2,"Día actual","Día anterior")</f>
        <v>Día actual</v>
      </c>
      <c r="C164" s="3" t="s">
        <v>16</v>
      </c>
      <c r="D164" t="s">
        <v>76</v>
      </c>
      <c r="E164" s="3" t="s">
        <v>316</v>
      </c>
      <c r="F164" s="3" t="s">
        <v>52</v>
      </c>
      <c r="G164" s="3" t="s">
        <v>258</v>
      </c>
      <c r="H164" s="3" t="s">
        <v>8</v>
      </c>
      <c r="I164" s="3" t="s">
        <v>7</v>
      </c>
      <c r="J164" s="3" t="s">
        <v>35</v>
      </c>
      <c r="K164" s="3" t="s">
        <v>77</v>
      </c>
      <c r="L164" s="3" t="s">
        <v>24</v>
      </c>
      <c r="M164">
        <v>1</v>
      </c>
    </row>
    <row r="165" spans="1:13" x14ac:dyDescent="0.25">
      <c r="A165" s="2">
        <v>46205</v>
      </c>
      <c r="B165" s="1" t="str">
        <f ca="1">IF(Información1[[#This Row],[Fecha]]='Ajuste de fechas'!$A$2,"Día actual","Día anterior")</f>
        <v>Día actual</v>
      </c>
      <c r="C165" s="3" t="s">
        <v>16</v>
      </c>
      <c r="D165" t="s">
        <v>76</v>
      </c>
      <c r="E165" s="3" t="s">
        <v>317</v>
      </c>
      <c r="F165" s="3" t="s">
        <v>11</v>
      </c>
      <c r="G165" s="3" t="s">
        <v>258</v>
      </c>
      <c r="H165" s="3" t="s">
        <v>8</v>
      </c>
      <c r="I165" s="3" t="s">
        <v>7</v>
      </c>
      <c r="J165" s="3" t="s">
        <v>36</v>
      </c>
      <c r="K165" s="3" t="s">
        <v>77</v>
      </c>
      <c r="L165" s="3" t="s">
        <v>24</v>
      </c>
      <c r="M165">
        <v>1</v>
      </c>
    </row>
    <row r="166" spans="1:13" x14ac:dyDescent="0.25">
      <c r="A166" s="2">
        <v>46205</v>
      </c>
      <c r="B166" s="1" t="str">
        <f ca="1">IF(Información1[[#This Row],[Fecha]]='Ajuste de fechas'!$A$2,"Día actual","Día anterior")</f>
        <v>Día actual</v>
      </c>
      <c r="C166" s="3" t="s">
        <v>16</v>
      </c>
      <c r="D166" t="s">
        <v>76</v>
      </c>
      <c r="E166" s="3" t="s">
        <v>318</v>
      </c>
      <c r="F166" s="3" t="s">
        <v>11</v>
      </c>
      <c r="G166" s="3" t="s">
        <v>319</v>
      </c>
      <c r="H166" s="3" t="s">
        <v>8</v>
      </c>
      <c r="I166" s="3" t="s">
        <v>7</v>
      </c>
      <c r="J166" s="3" t="s">
        <v>36</v>
      </c>
      <c r="K166" s="3" t="s">
        <v>77</v>
      </c>
      <c r="L166" s="3" t="s">
        <v>24</v>
      </c>
      <c r="M166">
        <v>1</v>
      </c>
    </row>
    <row r="167" spans="1:13" x14ac:dyDescent="0.25">
      <c r="A167" s="2">
        <v>46205</v>
      </c>
      <c r="B167" s="1" t="str">
        <f ca="1">IF(Información1[[#This Row],[Fecha]]='Ajuste de fechas'!$A$2,"Día actual","Día anterior")</f>
        <v>Día actual</v>
      </c>
      <c r="C167" s="3" t="s">
        <v>16</v>
      </c>
      <c r="D167" t="s">
        <v>76</v>
      </c>
      <c r="E167" s="3" t="s">
        <v>320</v>
      </c>
      <c r="F167" s="3" t="s">
        <v>321</v>
      </c>
      <c r="G167" s="3" t="s">
        <v>322</v>
      </c>
      <c r="H167" s="3" t="s">
        <v>8</v>
      </c>
      <c r="I167" s="3" t="s">
        <v>7</v>
      </c>
      <c r="J167" s="3" t="s">
        <v>35</v>
      </c>
      <c r="K167" s="3" t="s">
        <v>77</v>
      </c>
      <c r="L167" s="3" t="s">
        <v>24</v>
      </c>
      <c r="M167">
        <v>1</v>
      </c>
    </row>
    <row r="168" spans="1:13" x14ac:dyDescent="0.25">
      <c r="A168" s="2">
        <v>46205</v>
      </c>
      <c r="B168" s="1" t="str">
        <f ca="1">IF(Información1[[#This Row],[Fecha]]='Ajuste de fechas'!$A$2,"Día actual","Día anterior")</f>
        <v>Día actual</v>
      </c>
      <c r="C168" s="3" t="s">
        <v>16</v>
      </c>
      <c r="D168" t="s">
        <v>76</v>
      </c>
      <c r="E168" s="3" t="s">
        <v>323</v>
      </c>
      <c r="F168" s="3" t="s">
        <v>13</v>
      </c>
      <c r="G168" s="3" t="s">
        <v>69</v>
      </c>
      <c r="H168" s="3" t="s">
        <v>8</v>
      </c>
      <c r="I168" s="3" t="s">
        <v>7</v>
      </c>
      <c r="J168" s="3" t="s">
        <v>13</v>
      </c>
      <c r="K168" s="3" t="s">
        <v>77</v>
      </c>
      <c r="L168" s="3" t="s">
        <v>25</v>
      </c>
      <c r="M168">
        <v>1</v>
      </c>
    </row>
    <row r="169" spans="1:13" x14ac:dyDescent="0.25">
      <c r="A169" s="2">
        <v>46205</v>
      </c>
      <c r="B169" s="1" t="str">
        <f ca="1">IF(Información1[[#This Row],[Fecha]]='Ajuste de fechas'!$A$2,"Día actual","Día anterior")</f>
        <v>Día actual</v>
      </c>
      <c r="C169" s="3" t="s">
        <v>16</v>
      </c>
      <c r="D169" t="s">
        <v>76</v>
      </c>
      <c r="E169" s="3" t="s">
        <v>324</v>
      </c>
      <c r="F169" s="3" t="s">
        <v>15</v>
      </c>
      <c r="G169" s="3" t="s">
        <v>69</v>
      </c>
      <c r="H169" s="3" t="s">
        <v>8</v>
      </c>
      <c r="I169" s="3" t="s">
        <v>7</v>
      </c>
      <c r="J169" s="3" t="s">
        <v>35</v>
      </c>
      <c r="K169" s="3" t="s">
        <v>77</v>
      </c>
      <c r="L169" s="3" t="s">
        <v>24</v>
      </c>
      <c r="M169">
        <v>1</v>
      </c>
    </row>
    <row r="170" spans="1:13" x14ac:dyDescent="0.25">
      <c r="A170" s="2">
        <v>46205</v>
      </c>
      <c r="B170" s="1" t="str">
        <f ca="1">IF(Información1[[#This Row],[Fecha]]='Ajuste de fechas'!$A$2,"Día actual","Día anterior")</f>
        <v>Día actual</v>
      </c>
      <c r="C170" s="3" t="s">
        <v>16</v>
      </c>
      <c r="D170" t="s">
        <v>76</v>
      </c>
      <c r="E170" s="3" t="s">
        <v>325</v>
      </c>
      <c r="F170" s="3" t="s">
        <v>30</v>
      </c>
      <c r="G170" s="3" t="s">
        <v>277</v>
      </c>
      <c r="H170" s="3" t="s">
        <v>8</v>
      </c>
      <c r="I170" s="3" t="s">
        <v>7</v>
      </c>
      <c r="J170" s="3" t="s">
        <v>13</v>
      </c>
      <c r="K170" s="3" t="s">
        <v>77</v>
      </c>
      <c r="L170" s="3" t="s">
        <v>24</v>
      </c>
      <c r="M170">
        <v>1</v>
      </c>
    </row>
    <row r="171" spans="1:13" x14ac:dyDescent="0.25">
      <c r="A171" s="2">
        <v>46205</v>
      </c>
      <c r="B171" s="1" t="str">
        <f ca="1">IF(Información1[[#This Row],[Fecha]]='Ajuste de fechas'!$A$2,"Día actual","Día anterior")</f>
        <v>Día actual</v>
      </c>
      <c r="C171" s="3" t="s">
        <v>16</v>
      </c>
      <c r="D171" t="s">
        <v>76</v>
      </c>
      <c r="E171" s="3" t="s">
        <v>326</v>
      </c>
      <c r="F171" s="3" t="s">
        <v>15</v>
      </c>
      <c r="G171" s="3" t="s">
        <v>240</v>
      </c>
      <c r="H171" s="3" t="s">
        <v>8</v>
      </c>
      <c r="I171" s="3" t="s">
        <v>7</v>
      </c>
      <c r="J171" s="3" t="s">
        <v>35</v>
      </c>
      <c r="K171" s="3" t="s">
        <v>77</v>
      </c>
      <c r="L171" s="3" t="s">
        <v>24</v>
      </c>
      <c r="M171">
        <v>1</v>
      </c>
    </row>
    <row r="172" spans="1:13" x14ac:dyDescent="0.25">
      <c r="A172" s="2">
        <v>46205</v>
      </c>
      <c r="B172" s="1" t="str">
        <f ca="1">IF(Información1[[#This Row],[Fecha]]='Ajuste de fechas'!$A$2,"Día actual","Día anterior")</f>
        <v>Día actual</v>
      </c>
      <c r="C172" s="3" t="s">
        <v>54</v>
      </c>
      <c r="D172" t="s">
        <v>55</v>
      </c>
      <c r="E172" s="3" t="s">
        <v>327</v>
      </c>
      <c r="F172" s="3" t="s">
        <v>10</v>
      </c>
      <c r="G172" s="3" t="s">
        <v>328</v>
      </c>
      <c r="H172" s="3" t="s">
        <v>8</v>
      </c>
      <c r="I172" s="3" t="s">
        <v>14</v>
      </c>
      <c r="J172" s="3" t="s">
        <v>37</v>
      </c>
      <c r="K172" s="3" t="s">
        <v>56</v>
      </c>
      <c r="L172" s="3" t="s">
        <v>25</v>
      </c>
      <c r="M172">
        <v>1</v>
      </c>
    </row>
    <row r="173" spans="1:13" x14ac:dyDescent="0.25">
      <c r="A173" s="2">
        <v>46205</v>
      </c>
      <c r="B173" s="1" t="str">
        <f ca="1">IF(Información1[[#This Row],[Fecha]]='Ajuste de fechas'!$A$2,"Día actual","Día anterior")</f>
        <v>Día actual</v>
      </c>
      <c r="C173" s="3" t="s">
        <v>54</v>
      </c>
      <c r="D173" t="s">
        <v>55</v>
      </c>
      <c r="E173" s="3" t="s">
        <v>329</v>
      </c>
      <c r="F173" s="3" t="s">
        <v>50</v>
      </c>
      <c r="G173" s="3" t="s">
        <v>330</v>
      </c>
      <c r="H173" s="3" t="s">
        <v>8</v>
      </c>
      <c r="I173" s="3" t="s">
        <v>14</v>
      </c>
      <c r="J173" s="3" t="s">
        <v>35</v>
      </c>
      <c r="K173" s="3" t="s">
        <v>49</v>
      </c>
      <c r="L173" s="3" t="s">
        <v>25</v>
      </c>
      <c r="M173">
        <v>1</v>
      </c>
    </row>
    <row r="174" spans="1:13" x14ac:dyDescent="0.25">
      <c r="A174" s="2">
        <v>46205</v>
      </c>
      <c r="B174" s="1" t="str">
        <f ca="1">IF(Información1[[#This Row],[Fecha]]='Ajuste de fechas'!$A$2,"Día actual","Día anterior")</f>
        <v>Día actual</v>
      </c>
      <c r="C174" s="3" t="s">
        <v>54</v>
      </c>
      <c r="D174" t="s">
        <v>55</v>
      </c>
      <c r="E174" s="3" t="s">
        <v>331</v>
      </c>
      <c r="F174" s="3" t="s">
        <v>50</v>
      </c>
      <c r="G174" s="3" t="s">
        <v>94</v>
      </c>
      <c r="H174" s="3" t="s">
        <v>8</v>
      </c>
      <c r="I174" s="3" t="s">
        <v>14</v>
      </c>
      <c r="J174" s="3" t="s">
        <v>35</v>
      </c>
      <c r="K174" s="3" t="s">
        <v>49</v>
      </c>
      <c r="L174" s="3" t="s">
        <v>25</v>
      </c>
      <c r="M174">
        <v>1</v>
      </c>
    </row>
    <row r="175" spans="1:13" x14ac:dyDescent="0.25">
      <c r="A175" s="2">
        <v>46205</v>
      </c>
      <c r="B175" s="1" t="str">
        <f ca="1">IF(Información1[[#This Row],[Fecha]]='Ajuste de fechas'!$A$2,"Día actual","Día anterior")</f>
        <v>Día actual</v>
      </c>
      <c r="C175" s="3" t="s">
        <v>54</v>
      </c>
      <c r="D175" t="s">
        <v>55</v>
      </c>
      <c r="E175" s="3" t="s">
        <v>332</v>
      </c>
      <c r="F175" s="3" t="s">
        <v>6</v>
      </c>
      <c r="G175" s="3" t="s">
        <v>333</v>
      </c>
      <c r="H175" s="3" t="s">
        <v>8</v>
      </c>
      <c r="I175" s="3" t="s">
        <v>14</v>
      </c>
      <c r="J175" s="3" t="s">
        <v>35</v>
      </c>
      <c r="K175" s="3" t="s">
        <v>49</v>
      </c>
      <c r="L175" s="3" t="s">
        <v>25</v>
      </c>
      <c r="M175">
        <v>1</v>
      </c>
    </row>
    <row r="176" spans="1:13" x14ac:dyDescent="0.25">
      <c r="A176" s="2">
        <v>46205</v>
      </c>
      <c r="B176" s="1" t="str">
        <f ca="1">IF(Información1[[#This Row],[Fecha]]='Ajuste de fechas'!$A$2,"Día actual","Día anterior")</f>
        <v>Día actual</v>
      </c>
      <c r="C176" s="3" t="s">
        <v>54</v>
      </c>
      <c r="D176" t="s">
        <v>55</v>
      </c>
      <c r="E176" s="3" t="s">
        <v>334</v>
      </c>
      <c r="F176" s="3" t="s">
        <v>6</v>
      </c>
      <c r="G176" s="3" t="s">
        <v>335</v>
      </c>
      <c r="H176" s="3" t="s">
        <v>8</v>
      </c>
      <c r="I176" s="3" t="s">
        <v>14</v>
      </c>
      <c r="J176" s="3" t="s">
        <v>35</v>
      </c>
      <c r="K176" s="3" t="s">
        <v>49</v>
      </c>
      <c r="L176" s="3" t="s">
        <v>25</v>
      </c>
      <c r="M176">
        <v>1</v>
      </c>
    </row>
    <row r="177" spans="1:13" x14ac:dyDescent="0.25">
      <c r="A177" s="2">
        <v>46205</v>
      </c>
      <c r="B177" s="1" t="str">
        <f ca="1">IF(Información1[[#This Row],[Fecha]]='Ajuste de fechas'!$A$2,"Día actual","Día anterior")</f>
        <v>Día actual</v>
      </c>
      <c r="C177" s="3" t="s">
        <v>54</v>
      </c>
      <c r="D177" t="s">
        <v>55</v>
      </c>
      <c r="E177" s="3" t="s">
        <v>336</v>
      </c>
      <c r="F177" s="3" t="s">
        <v>10</v>
      </c>
      <c r="G177" s="3" t="s">
        <v>337</v>
      </c>
      <c r="H177" s="3" t="s">
        <v>8</v>
      </c>
      <c r="I177" s="3" t="s">
        <v>7</v>
      </c>
      <c r="J177" s="3" t="s">
        <v>37</v>
      </c>
      <c r="K177" s="3" t="s">
        <v>49</v>
      </c>
      <c r="L177" s="3" t="s">
        <v>25</v>
      </c>
      <c r="M177">
        <v>1</v>
      </c>
    </row>
    <row r="178" spans="1:13" x14ac:dyDescent="0.25">
      <c r="A178" s="2">
        <v>46205</v>
      </c>
      <c r="B178" s="1" t="str">
        <f ca="1">IF(Información1[[#This Row],[Fecha]]='Ajuste de fechas'!$A$2,"Día actual","Día anterior")</f>
        <v>Día actual</v>
      </c>
      <c r="C178" s="3" t="s">
        <v>54</v>
      </c>
      <c r="D178" t="s">
        <v>55</v>
      </c>
      <c r="E178" s="3" t="s">
        <v>280</v>
      </c>
      <c r="F178" s="3" t="s">
        <v>17</v>
      </c>
      <c r="G178" s="3" t="s">
        <v>281</v>
      </c>
      <c r="H178" s="3" t="s">
        <v>8</v>
      </c>
      <c r="I178" s="3" t="s">
        <v>7</v>
      </c>
      <c r="J178" s="3" t="s">
        <v>35</v>
      </c>
      <c r="K178" s="3" t="s">
        <v>56</v>
      </c>
      <c r="L178" s="3" t="s">
        <v>26</v>
      </c>
      <c r="M178">
        <v>1</v>
      </c>
    </row>
    <row r="179" spans="1:13" x14ac:dyDescent="0.25">
      <c r="A179" s="2">
        <v>46205</v>
      </c>
      <c r="B179" s="1" t="str">
        <f ca="1">IF(Información1[[#This Row],[Fecha]]='Ajuste de fechas'!$A$2,"Día actual","Día anterior")</f>
        <v>Día actual</v>
      </c>
      <c r="C179" s="3" t="s">
        <v>54</v>
      </c>
      <c r="D179" t="s">
        <v>55</v>
      </c>
      <c r="E179" s="3" t="s">
        <v>338</v>
      </c>
      <c r="F179" s="3" t="s">
        <v>11</v>
      </c>
      <c r="G179" s="3" t="s">
        <v>95</v>
      </c>
      <c r="H179" s="3" t="s">
        <v>8</v>
      </c>
      <c r="I179" s="3" t="s">
        <v>7</v>
      </c>
      <c r="J179" s="3" t="s">
        <v>36</v>
      </c>
      <c r="K179" s="3" t="s">
        <v>56</v>
      </c>
      <c r="L179" s="3" t="s">
        <v>24</v>
      </c>
      <c r="M179">
        <v>1</v>
      </c>
    </row>
    <row r="180" spans="1:13" x14ac:dyDescent="0.25">
      <c r="A180" s="2">
        <v>46205</v>
      </c>
      <c r="B180" s="1" t="str">
        <f ca="1">IF(Información1[[#This Row],[Fecha]]='Ajuste de fechas'!$A$2,"Día actual","Día anterior")</f>
        <v>Día actual</v>
      </c>
      <c r="C180" s="3" t="s">
        <v>54</v>
      </c>
      <c r="D180" t="s">
        <v>55</v>
      </c>
      <c r="E180" s="3" t="s">
        <v>339</v>
      </c>
      <c r="F180" s="3" t="s">
        <v>10</v>
      </c>
      <c r="G180" s="3" t="s">
        <v>58</v>
      </c>
      <c r="H180" s="3" t="s">
        <v>8</v>
      </c>
      <c r="I180" s="3" t="s">
        <v>7</v>
      </c>
      <c r="J180" s="3" t="s">
        <v>37</v>
      </c>
      <c r="K180" s="3" t="s">
        <v>56</v>
      </c>
      <c r="L180" s="3" t="s">
        <v>24</v>
      </c>
      <c r="M180">
        <v>1</v>
      </c>
    </row>
    <row r="181" spans="1:13" x14ac:dyDescent="0.25">
      <c r="A181" s="2">
        <v>46205</v>
      </c>
      <c r="B181" s="1" t="str">
        <f ca="1">IF(Información1[[#This Row],[Fecha]]='Ajuste de fechas'!$A$2,"Día actual","Día anterior")</f>
        <v>Día actual</v>
      </c>
      <c r="C181" s="3" t="s">
        <v>54</v>
      </c>
      <c r="D181" t="s">
        <v>55</v>
      </c>
      <c r="E181" s="3" t="s">
        <v>340</v>
      </c>
      <c r="F181" s="3" t="s">
        <v>12</v>
      </c>
      <c r="G181" s="3" t="s">
        <v>47</v>
      </c>
      <c r="H181" s="3" t="s">
        <v>8</v>
      </c>
      <c r="I181" s="3" t="s">
        <v>7</v>
      </c>
      <c r="J181" s="3" t="s">
        <v>35</v>
      </c>
      <c r="K181" s="3" t="s">
        <v>56</v>
      </c>
      <c r="L181" s="3" t="s">
        <v>26</v>
      </c>
      <c r="M181">
        <v>1</v>
      </c>
    </row>
    <row r="182" spans="1:13" x14ac:dyDescent="0.25">
      <c r="A182" s="2">
        <v>46205</v>
      </c>
      <c r="B182" s="1" t="str">
        <f ca="1">IF(Información1[[#This Row],[Fecha]]='Ajuste de fechas'!$A$2,"Día actual","Día anterior")</f>
        <v>Día actual</v>
      </c>
      <c r="C182" s="3" t="s">
        <v>54</v>
      </c>
      <c r="D182" t="s">
        <v>55</v>
      </c>
      <c r="E182" s="3" t="s">
        <v>341</v>
      </c>
      <c r="F182" s="3" t="s">
        <v>30</v>
      </c>
      <c r="G182" s="3" t="s">
        <v>277</v>
      </c>
      <c r="H182" s="3" t="s">
        <v>8</v>
      </c>
      <c r="I182" s="3" t="s">
        <v>7</v>
      </c>
      <c r="J182" s="3" t="s">
        <v>13</v>
      </c>
      <c r="K182" s="3" t="s">
        <v>56</v>
      </c>
      <c r="L182" s="3" t="s">
        <v>24</v>
      </c>
      <c r="M182">
        <v>1</v>
      </c>
    </row>
    <row r="183" spans="1:13" x14ac:dyDescent="0.25">
      <c r="A183" s="2">
        <v>46205</v>
      </c>
      <c r="B183" s="1" t="str">
        <f ca="1">IF(Información1[[#This Row],[Fecha]]='Ajuste de fechas'!$A$2,"Día actual","Día anterior")</f>
        <v>Día actual</v>
      </c>
      <c r="C183" s="3" t="s">
        <v>54</v>
      </c>
      <c r="D183" t="s">
        <v>55</v>
      </c>
      <c r="E183" s="3" t="s">
        <v>342</v>
      </c>
      <c r="F183" s="3" t="s">
        <v>13</v>
      </c>
      <c r="G183" s="3" t="s">
        <v>69</v>
      </c>
      <c r="H183" s="3" t="s">
        <v>8</v>
      </c>
      <c r="I183" s="3" t="s">
        <v>7</v>
      </c>
      <c r="J183" s="3" t="s">
        <v>13</v>
      </c>
      <c r="K183" s="3" t="s">
        <v>56</v>
      </c>
      <c r="L183" s="3" t="s">
        <v>25</v>
      </c>
      <c r="M183">
        <v>1</v>
      </c>
    </row>
    <row r="184" spans="1:13" x14ac:dyDescent="0.25">
      <c r="A184" s="2">
        <v>46205</v>
      </c>
      <c r="B184" s="1" t="str">
        <f ca="1">IF(Información1[[#This Row],[Fecha]]='Ajuste de fechas'!$A$2,"Día actual","Día anterior")</f>
        <v>Día actual</v>
      </c>
      <c r="C184" s="3" t="s">
        <v>54</v>
      </c>
      <c r="D184" t="s">
        <v>55</v>
      </c>
      <c r="E184" s="3" t="s">
        <v>343</v>
      </c>
      <c r="F184" s="3" t="s">
        <v>15</v>
      </c>
      <c r="G184" s="3" t="s">
        <v>69</v>
      </c>
      <c r="H184" s="3" t="s">
        <v>8</v>
      </c>
      <c r="I184" s="3" t="s">
        <v>7</v>
      </c>
      <c r="J184" s="3" t="s">
        <v>35</v>
      </c>
      <c r="K184" s="3" t="s">
        <v>56</v>
      </c>
      <c r="L184" s="3" t="s">
        <v>24</v>
      </c>
      <c r="M184">
        <v>1</v>
      </c>
    </row>
    <row r="185" spans="1:13" x14ac:dyDescent="0.25">
      <c r="A185" s="2">
        <v>46205</v>
      </c>
      <c r="B185" s="1" t="str">
        <f ca="1">IF(Información1[[#This Row],[Fecha]]='Ajuste de fechas'!$A$2,"Día actual","Día anterior")</f>
        <v>Día actual</v>
      </c>
      <c r="C185" s="3" t="s">
        <v>54</v>
      </c>
      <c r="D185" t="s">
        <v>55</v>
      </c>
      <c r="E185" s="3" t="s">
        <v>57</v>
      </c>
      <c r="F185" s="3" t="s">
        <v>10</v>
      </c>
      <c r="G185" s="3" t="s">
        <v>58</v>
      </c>
      <c r="H185" s="3" t="s">
        <v>8</v>
      </c>
      <c r="I185" s="3" t="s">
        <v>53</v>
      </c>
      <c r="J185" s="3" t="s">
        <v>37</v>
      </c>
      <c r="K185" s="3" t="s">
        <v>56</v>
      </c>
      <c r="L185" s="3" t="s">
        <v>25</v>
      </c>
      <c r="M185">
        <v>1</v>
      </c>
    </row>
    <row r="186" spans="1:13" x14ac:dyDescent="0.25">
      <c r="A186" s="2">
        <v>46205</v>
      </c>
      <c r="B186" s="1" t="str">
        <f ca="1">IF(Información1[[#This Row],[Fecha]]='Ajuste de fechas'!$A$2,"Día actual","Día anterior")</f>
        <v>Día actual</v>
      </c>
      <c r="C186" s="3" t="s">
        <v>54</v>
      </c>
      <c r="D186" t="s">
        <v>55</v>
      </c>
      <c r="E186" s="3" t="s">
        <v>59</v>
      </c>
      <c r="F186" s="3" t="s">
        <v>10</v>
      </c>
      <c r="G186" s="3" t="s">
        <v>58</v>
      </c>
      <c r="H186" s="3" t="s">
        <v>8</v>
      </c>
      <c r="I186" s="3" t="s">
        <v>53</v>
      </c>
      <c r="J186" s="3" t="s">
        <v>37</v>
      </c>
      <c r="K186" s="3" t="s">
        <v>56</v>
      </c>
      <c r="L186" s="3" t="s">
        <v>25</v>
      </c>
      <c r="M186">
        <v>1</v>
      </c>
    </row>
    <row r="187" spans="1:13" x14ac:dyDescent="0.25">
      <c r="A187" s="2">
        <v>46205</v>
      </c>
      <c r="B187" s="1" t="str">
        <f ca="1">IF(Información1[[#This Row],[Fecha]]='Ajuste de fechas'!$A$2,"Día actual","Día anterior")</f>
        <v>Día actual</v>
      </c>
      <c r="C187" s="3" t="s">
        <v>54</v>
      </c>
      <c r="D187" t="s">
        <v>55</v>
      </c>
      <c r="E187" s="3" t="s">
        <v>60</v>
      </c>
      <c r="F187" s="3" t="s">
        <v>38</v>
      </c>
      <c r="G187" s="3" t="s">
        <v>58</v>
      </c>
      <c r="H187" s="3" t="s">
        <v>8</v>
      </c>
      <c r="I187" s="3" t="s">
        <v>53</v>
      </c>
      <c r="J187" s="3" t="s">
        <v>35</v>
      </c>
      <c r="K187" s="3" t="s">
        <v>56</v>
      </c>
      <c r="L187" s="3" t="s">
        <v>25</v>
      </c>
      <c r="M187">
        <v>1</v>
      </c>
    </row>
    <row r="188" spans="1:13" x14ac:dyDescent="0.25">
      <c r="A188" s="2">
        <v>46205</v>
      </c>
      <c r="B188" s="1" t="str">
        <f ca="1">IF(Información1[[#This Row],[Fecha]]='Ajuste de fechas'!$A$2,"Día actual","Día anterior")</f>
        <v>Día actual</v>
      </c>
      <c r="C188" s="3" t="s">
        <v>54</v>
      </c>
      <c r="D188" t="s">
        <v>55</v>
      </c>
      <c r="E188" s="3" t="s">
        <v>64</v>
      </c>
      <c r="F188" s="3" t="s">
        <v>30</v>
      </c>
      <c r="G188" s="3" t="s">
        <v>58</v>
      </c>
      <c r="H188" s="3" t="s">
        <v>8</v>
      </c>
      <c r="I188" s="3" t="s">
        <v>53</v>
      </c>
      <c r="J188" s="3" t="s">
        <v>13</v>
      </c>
      <c r="K188" s="3" t="s">
        <v>56</v>
      </c>
      <c r="L188" s="3" t="s">
        <v>25</v>
      </c>
      <c r="M188">
        <v>1</v>
      </c>
    </row>
    <row r="189" spans="1:13" x14ac:dyDescent="0.25">
      <c r="A189" s="2">
        <v>46205</v>
      </c>
      <c r="B189" s="1" t="str">
        <f ca="1">IF(Información1[[#This Row],[Fecha]]='Ajuste de fechas'!$A$2,"Día actual","Día anterior")</f>
        <v>Día actual</v>
      </c>
      <c r="C189" s="3" t="s">
        <v>54</v>
      </c>
      <c r="D189" t="s">
        <v>55</v>
      </c>
      <c r="E189" s="3" t="s">
        <v>61</v>
      </c>
      <c r="F189" s="3" t="s">
        <v>9</v>
      </c>
      <c r="G189" s="3" t="s">
        <v>58</v>
      </c>
      <c r="H189" s="3" t="s">
        <v>8</v>
      </c>
      <c r="I189" s="3" t="s">
        <v>53</v>
      </c>
      <c r="J189" s="3" t="s">
        <v>35</v>
      </c>
      <c r="K189" s="3" t="s">
        <v>56</v>
      </c>
      <c r="L189" s="3" t="s">
        <v>25</v>
      </c>
      <c r="M189">
        <v>1</v>
      </c>
    </row>
    <row r="190" spans="1:13" x14ac:dyDescent="0.25">
      <c r="A190" s="2">
        <v>46205</v>
      </c>
      <c r="B190" s="1" t="str">
        <f ca="1">IF(Información1[[#This Row],[Fecha]]='Ajuste de fechas'!$A$2,"Día actual","Día anterior")</f>
        <v>Día actual</v>
      </c>
      <c r="C190" s="3" t="s">
        <v>54</v>
      </c>
      <c r="D190" t="s">
        <v>55</v>
      </c>
      <c r="E190" s="3" t="s">
        <v>62</v>
      </c>
      <c r="F190" s="3" t="s">
        <v>50</v>
      </c>
      <c r="G190" s="3" t="s">
        <v>58</v>
      </c>
      <c r="H190" s="3" t="s">
        <v>8</v>
      </c>
      <c r="I190" s="3" t="s">
        <v>53</v>
      </c>
      <c r="J190" s="3" t="s">
        <v>35</v>
      </c>
      <c r="K190" s="3" t="s">
        <v>56</v>
      </c>
      <c r="L190" s="3" t="s">
        <v>25</v>
      </c>
      <c r="M190">
        <v>1</v>
      </c>
    </row>
    <row r="191" spans="1:13" x14ac:dyDescent="0.25">
      <c r="A191" s="2">
        <v>46205</v>
      </c>
      <c r="B191" s="1" t="str">
        <f ca="1">IF(Información1[[#This Row],[Fecha]]='Ajuste de fechas'!$A$2,"Día actual","Día anterior")</f>
        <v>Día actual</v>
      </c>
      <c r="C191" s="3" t="s">
        <v>54</v>
      </c>
      <c r="D191" t="s">
        <v>55</v>
      </c>
      <c r="E191" s="3" t="s">
        <v>63</v>
      </c>
      <c r="F191" s="3" t="s">
        <v>6</v>
      </c>
      <c r="G191" s="3" t="s">
        <v>58</v>
      </c>
      <c r="H191" s="3" t="s">
        <v>8</v>
      </c>
      <c r="I191" s="3" t="s">
        <v>53</v>
      </c>
      <c r="J191" s="3" t="s">
        <v>35</v>
      </c>
      <c r="K191" s="3" t="s">
        <v>56</v>
      </c>
      <c r="L191" s="3" t="s">
        <v>25</v>
      </c>
      <c r="M191">
        <v>1</v>
      </c>
    </row>
    <row r="192" spans="1:13" x14ac:dyDescent="0.25">
      <c r="A192" s="2">
        <v>46205</v>
      </c>
      <c r="B192" s="1" t="str">
        <f ca="1">IF(Información1[[#This Row],[Fecha]]='Ajuste de fechas'!$A$2,"Día actual","Día anterior")</f>
        <v>Día actual</v>
      </c>
      <c r="C192" s="3" t="s">
        <v>163</v>
      </c>
      <c r="D192" t="s">
        <v>164</v>
      </c>
      <c r="E192" s="3" t="s">
        <v>344</v>
      </c>
      <c r="F192" s="3" t="s">
        <v>11</v>
      </c>
      <c r="G192" s="3" t="s">
        <v>69</v>
      </c>
      <c r="H192" s="3" t="s">
        <v>8</v>
      </c>
      <c r="I192" s="3" t="s">
        <v>7</v>
      </c>
      <c r="J192" s="3" t="s">
        <v>36</v>
      </c>
      <c r="K192" s="3" t="s">
        <v>167</v>
      </c>
      <c r="L192" s="3" t="s">
        <v>24</v>
      </c>
      <c r="M192">
        <v>1</v>
      </c>
    </row>
    <row r="193" spans="1:13" x14ac:dyDescent="0.25">
      <c r="A193" s="2">
        <v>46205</v>
      </c>
      <c r="B193" s="1" t="str">
        <f ca="1">IF(Información1[[#This Row],[Fecha]]='Ajuste de fechas'!$A$2,"Día actual","Día anterior")</f>
        <v>Día actual</v>
      </c>
      <c r="C193" s="3" t="s">
        <v>163</v>
      </c>
      <c r="D193" t="s">
        <v>164</v>
      </c>
      <c r="E193" s="3" t="s">
        <v>345</v>
      </c>
      <c r="F193" s="3" t="s">
        <v>11</v>
      </c>
      <c r="G193" s="3" t="s">
        <v>69</v>
      </c>
      <c r="H193" s="3" t="s">
        <v>8</v>
      </c>
      <c r="I193" s="3" t="s">
        <v>14</v>
      </c>
      <c r="J193" s="3" t="s">
        <v>36</v>
      </c>
      <c r="K193" s="3" t="s">
        <v>167</v>
      </c>
      <c r="L193" s="3" t="s">
        <v>24</v>
      </c>
      <c r="M193">
        <v>1</v>
      </c>
    </row>
    <row r="194" spans="1:13" x14ac:dyDescent="0.25">
      <c r="A194" s="2">
        <v>46205</v>
      </c>
      <c r="B194" s="1" t="str">
        <f ca="1">IF(Información1[[#This Row],[Fecha]]='Ajuste de fechas'!$A$2,"Día actual","Día anterior")</f>
        <v>Día actual</v>
      </c>
      <c r="C194" s="3" t="s">
        <v>163</v>
      </c>
      <c r="D194" t="s">
        <v>164</v>
      </c>
      <c r="E194" s="3" t="s">
        <v>346</v>
      </c>
      <c r="F194" s="3" t="s">
        <v>347</v>
      </c>
      <c r="G194" s="3" t="s">
        <v>348</v>
      </c>
      <c r="H194" s="3" t="s">
        <v>8</v>
      </c>
      <c r="I194" s="3" t="s">
        <v>7</v>
      </c>
      <c r="J194" s="3" t="s">
        <v>349</v>
      </c>
      <c r="K194" s="3" t="s">
        <v>167</v>
      </c>
      <c r="L194" s="3" t="s">
        <v>24</v>
      </c>
      <c r="M194">
        <v>1</v>
      </c>
    </row>
    <row r="195" spans="1:13" x14ac:dyDescent="0.25">
      <c r="A195" s="2">
        <v>46205</v>
      </c>
      <c r="B195" s="1" t="str">
        <f ca="1">IF(Información1[[#This Row],[Fecha]]='Ajuste de fechas'!$A$2,"Día actual","Día anterior")</f>
        <v>Día actual</v>
      </c>
      <c r="C195" s="3" t="s">
        <v>163</v>
      </c>
      <c r="D195" t="s">
        <v>164</v>
      </c>
      <c r="E195" s="3" t="s">
        <v>350</v>
      </c>
      <c r="F195" s="3" t="s">
        <v>11</v>
      </c>
      <c r="G195" s="3" t="s">
        <v>351</v>
      </c>
      <c r="H195" s="3" t="s">
        <v>8</v>
      </c>
      <c r="I195" s="3" t="s">
        <v>7</v>
      </c>
      <c r="J195" s="3" t="s">
        <v>36</v>
      </c>
      <c r="K195" s="3" t="s">
        <v>167</v>
      </c>
      <c r="L195" s="3" t="s">
        <v>24</v>
      </c>
      <c r="M195">
        <v>1</v>
      </c>
    </row>
    <row r="196" spans="1:13" x14ac:dyDescent="0.25">
      <c r="A196" s="2">
        <v>46205</v>
      </c>
      <c r="B196" s="1" t="str">
        <f ca="1">IF(Información1[[#This Row],[Fecha]]='Ajuste de fechas'!$A$2,"Día actual","Día anterior")</f>
        <v>Día actual</v>
      </c>
      <c r="C196" s="3" t="s">
        <v>163</v>
      </c>
      <c r="D196" t="s">
        <v>164</v>
      </c>
      <c r="E196" s="3" t="s">
        <v>352</v>
      </c>
      <c r="F196" s="3" t="s">
        <v>10</v>
      </c>
      <c r="G196" s="3" t="s">
        <v>353</v>
      </c>
      <c r="H196" s="3" t="s">
        <v>8</v>
      </c>
      <c r="I196" s="3" t="s">
        <v>14</v>
      </c>
      <c r="J196" s="3" t="s">
        <v>37</v>
      </c>
      <c r="K196" s="3" t="s">
        <v>167</v>
      </c>
      <c r="L196" s="3" t="s">
        <v>24</v>
      </c>
      <c r="M196">
        <v>1</v>
      </c>
    </row>
    <row r="197" spans="1:13" x14ac:dyDescent="0.25">
      <c r="A197" s="2">
        <v>46205</v>
      </c>
      <c r="B197" s="1" t="str">
        <f ca="1">IF(Información1[[#This Row],[Fecha]]='Ajuste de fechas'!$A$2,"Día actual","Día anterior")</f>
        <v>Día actual</v>
      </c>
      <c r="C197" s="3" t="s">
        <v>163</v>
      </c>
      <c r="D197" t="s">
        <v>164</v>
      </c>
      <c r="E197" s="3" t="s">
        <v>354</v>
      </c>
      <c r="F197" s="3" t="s">
        <v>10</v>
      </c>
      <c r="G197" s="3" t="s">
        <v>355</v>
      </c>
      <c r="H197" s="3" t="s">
        <v>8</v>
      </c>
      <c r="I197" s="3" t="s">
        <v>7</v>
      </c>
      <c r="J197" s="3" t="s">
        <v>37</v>
      </c>
      <c r="K197" s="3" t="s">
        <v>167</v>
      </c>
      <c r="L197" s="3" t="s">
        <v>24</v>
      </c>
      <c r="M197">
        <v>1</v>
      </c>
    </row>
    <row r="198" spans="1:13" x14ac:dyDescent="0.25">
      <c r="A198" s="2">
        <v>46205</v>
      </c>
      <c r="B198" s="1" t="str">
        <f ca="1">IF(Información1[[#This Row],[Fecha]]='Ajuste de fechas'!$A$2,"Día actual","Día anterior")</f>
        <v>Día actual</v>
      </c>
      <c r="C198" s="3" t="s">
        <v>163</v>
      </c>
      <c r="D198" t="s">
        <v>164</v>
      </c>
      <c r="E198" s="3" t="s">
        <v>356</v>
      </c>
      <c r="F198" s="3" t="s">
        <v>15</v>
      </c>
      <c r="G198" s="3" t="s">
        <v>69</v>
      </c>
      <c r="H198" s="3" t="s">
        <v>8</v>
      </c>
      <c r="I198" s="3" t="s">
        <v>7</v>
      </c>
      <c r="J198" s="3" t="s">
        <v>35</v>
      </c>
      <c r="K198" s="3" t="s">
        <v>167</v>
      </c>
      <c r="L198" s="3" t="s">
        <v>24</v>
      </c>
      <c r="M198">
        <v>1</v>
      </c>
    </row>
    <row r="199" spans="1:13" x14ac:dyDescent="0.25">
      <c r="A199" s="2">
        <v>46205</v>
      </c>
      <c r="B199" s="1" t="str">
        <f ca="1">IF(Información1[[#This Row],[Fecha]]='Ajuste de fechas'!$A$2,"Día actual","Día anterior")</f>
        <v>Día actual</v>
      </c>
      <c r="C199" s="3" t="s">
        <v>163</v>
      </c>
      <c r="D199" t="s">
        <v>164</v>
      </c>
      <c r="E199" s="3" t="s">
        <v>357</v>
      </c>
      <c r="F199" s="3" t="s">
        <v>30</v>
      </c>
      <c r="G199" s="3" t="s">
        <v>277</v>
      </c>
      <c r="H199" s="3" t="s">
        <v>8</v>
      </c>
      <c r="I199" s="3" t="s">
        <v>7</v>
      </c>
      <c r="J199" s="3" t="s">
        <v>13</v>
      </c>
      <c r="K199" s="3" t="s">
        <v>167</v>
      </c>
      <c r="L199" s="3" t="s">
        <v>24</v>
      </c>
      <c r="M199">
        <v>1</v>
      </c>
    </row>
    <row r="200" spans="1:13" x14ac:dyDescent="0.25">
      <c r="A200" s="2">
        <v>46205</v>
      </c>
      <c r="B200" s="1" t="str">
        <f ca="1">IF(Información1[[#This Row],[Fecha]]='Ajuste de fechas'!$A$2,"Día actual","Día anterior")</f>
        <v>Día actual</v>
      </c>
      <c r="C200" s="3" t="s">
        <v>163</v>
      </c>
      <c r="D200" t="s">
        <v>164</v>
      </c>
      <c r="E200" s="3" t="s">
        <v>358</v>
      </c>
      <c r="F200" s="3" t="s">
        <v>30</v>
      </c>
      <c r="G200" s="3" t="s">
        <v>359</v>
      </c>
      <c r="H200" s="3" t="s">
        <v>8</v>
      </c>
      <c r="I200" s="3" t="s">
        <v>7</v>
      </c>
      <c r="J200" s="3" t="s">
        <v>13</v>
      </c>
      <c r="K200" s="3" t="s">
        <v>167</v>
      </c>
      <c r="L200" s="3" t="s">
        <v>24</v>
      </c>
      <c r="M200">
        <v>1</v>
      </c>
    </row>
    <row r="201" spans="1:13" x14ac:dyDescent="0.25">
      <c r="A201" s="2">
        <v>46205</v>
      </c>
      <c r="B201" s="1" t="str">
        <f ca="1">IF(Información1[[#This Row],[Fecha]]='Ajuste de fechas'!$A$2,"Día actual","Día anterior")</f>
        <v>Día actual</v>
      </c>
      <c r="C201" s="3" t="s">
        <v>163</v>
      </c>
      <c r="D201" t="s">
        <v>164</v>
      </c>
      <c r="E201" s="3" t="s">
        <v>360</v>
      </c>
      <c r="F201" s="3" t="s">
        <v>361</v>
      </c>
      <c r="G201" s="3" t="s">
        <v>87</v>
      </c>
      <c r="H201" s="3" t="s">
        <v>8</v>
      </c>
      <c r="I201" s="3" t="s">
        <v>7</v>
      </c>
      <c r="J201" s="3" t="s">
        <v>35</v>
      </c>
      <c r="K201" s="3" t="s">
        <v>167</v>
      </c>
      <c r="L201" s="3" t="s">
        <v>26</v>
      </c>
      <c r="M201">
        <v>1</v>
      </c>
    </row>
    <row r="202" spans="1:13" x14ac:dyDescent="0.25">
      <c r="A202" s="2">
        <v>46205</v>
      </c>
      <c r="B202" s="1" t="str">
        <f ca="1">IF(Información1[[#This Row],[Fecha]]='Ajuste de fechas'!$A$2,"Día actual","Día anterior")</f>
        <v>Día actual</v>
      </c>
      <c r="C202" s="3" t="s">
        <v>163</v>
      </c>
      <c r="D202" t="s">
        <v>164</v>
      </c>
      <c r="E202" s="3" t="s">
        <v>263</v>
      </c>
      <c r="F202" s="3" t="s">
        <v>38</v>
      </c>
      <c r="G202" s="3" t="s">
        <v>264</v>
      </c>
      <c r="H202" s="3" t="s">
        <v>8</v>
      </c>
      <c r="I202" s="3" t="s">
        <v>7</v>
      </c>
      <c r="J202" s="3" t="s">
        <v>35</v>
      </c>
      <c r="K202" s="3" t="s">
        <v>167</v>
      </c>
      <c r="L202" s="3" t="s">
        <v>26</v>
      </c>
      <c r="M202">
        <v>1</v>
      </c>
    </row>
    <row r="203" spans="1:13" x14ac:dyDescent="0.25">
      <c r="A203" s="2">
        <v>46205</v>
      </c>
      <c r="B203" s="1" t="str">
        <f ca="1">IF(Información1[[#This Row],[Fecha]]='Ajuste de fechas'!$A$2,"Día actual","Día anterior")</f>
        <v>Día actual</v>
      </c>
      <c r="C203" s="3" t="s">
        <v>163</v>
      </c>
      <c r="D203" t="s">
        <v>164</v>
      </c>
      <c r="E203" s="3" t="s">
        <v>362</v>
      </c>
      <c r="F203" s="3" t="s">
        <v>9</v>
      </c>
      <c r="G203" s="3" t="s">
        <v>138</v>
      </c>
      <c r="H203" s="3" t="s">
        <v>8</v>
      </c>
      <c r="I203" s="3" t="s">
        <v>7</v>
      </c>
      <c r="J203" s="3" t="s">
        <v>35</v>
      </c>
      <c r="K203" s="3" t="s">
        <v>167</v>
      </c>
      <c r="L203" s="3" t="s">
        <v>26</v>
      </c>
      <c r="M203">
        <v>1</v>
      </c>
    </row>
    <row r="204" spans="1:13" x14ac:dyDescent="0.25">
      <c r="A204" s="2">
        <v>46205</v>
      </c>
      <c r="B204" s="1" t="str">
        <f ca="1">IF(Información1[[#This Row],[Fecha]]='Ajuste de fechas'!$A$2,"Día actual","Día anterior")</f>
        <v>Día actual</v>
      </c>
      <c r="C204" s="3" t="s">
        <v>163</v>
      </c>
      <c r="D204" t="s">
        <v>164</v>
      </c>
      <c r="E204" s="3" t="s">
        <v>363</v>
      </c>
      <c r="F204" s="3" t="s">
        <v>100</v>
      </c>
      <c r="G204" s="3" t="s">
        <v>161</v>
      </c>
      <c r="H204" s="3" t="s">
        <v>8</v>
      </c>
      <c r="I204" s="3" t="s">
        <v>7</v>
      </c>
      <c r="J204" s="3" t="s">
        <v>35</v>
      </c>
      <c r="K204" s="3" t="s">
        <v>167</v>
      </c>
      <c r="L204" s="3" t="s">
        <v>26</v>
      </c>
      <c r="M204">
        <v>1</v>
      </c>
    </row>
    <row r="205" spans="1:13" x14ac:dyDescent="0.25">
      <c r="A205" s="2">
        <v>46205</v>
      </c>
      <c r="B205" s="1" t="str">
        <f ca="1">IF(Información1[[#This Row],[Fecha]]='Ajuste de fechas'!$A$2,"Día actual","Día anterior")</f>
        <v>Día actual</v>
      </c>
      <c r="C205" s="3" t="s">
        <v>163</v>
      </c>
      <c r="D205" t="s">
        <v>164</v>
      </c>
      <c r="E205" s="3" t="s">
        <v>364</v>
      </c>
      <c r="F205" s="3" t="s">
        <v>30</v>
      </c>
      <c r="G205" s="3" t="s">
        <v>277</v>
      </c>
      <c r="H205" s="3" t="s">
        <v>8</v>
      </c>
      <c r="I205" s="3" t="s">
        <v>7</v>
      </c>
      <c r="J205" s="3" t="s">
        <v>13</v>
      </c>
      <c r="K205" s="3" t="s">
        <v>167</v>
      </c>
      <c r="L205" s="3" t="s">
        <v>24</v>
      </c>
      <c r="M205">
        <v>1</v>
      </c>
    </row>
    <row r="206" spans="1:13" x14ac:dyDescent="0.25">
      <c r="A206" s="2">
        <v>46205</v>
      </c>
      <c r="B206" s="1" t="str">
        <f ca="1">IF(Información1[[#This Row],[Fecha]]='Ajuste de fechas'!$A$2,"Día actual","Día anterior")</f>
        <v>Día actual</v>
      </c>
      <c r="C206" s="3" t="s">
        <v>163</v>
      </c>
      <c r="D206" t="s">
        <v>164</v>
      </c>
      <c r="E206" s="3" t="s">
        <v>305</v>
      </c>
      <c r="F206" s="3" t="s">
        <v>15</v>
      </c>
      <c r="G206" s="3" t="s">
        <v>240</v>
      </c>
      <c r="H206" s="3" t="s">
        <v>8</v>
      </c>
      <c r="I206" s="3" t="s">
        <v>7</v>
      </c>
      <c r="J206" s="3" t="s">
        <v>35</v>
      </c>
      <c r="K206" s="3" t="s">
        <v>167</v>
      </c>
      <c r="L206" s="3" t="s">
        <v>26</v>
      </c>
      <c r="M206">
        <v>1</v>
      </c>
    </row>
    <row r="207" spans="1:13" x14ac:dyDescent="0.25">
      <c r="A207" s="2">
        <v>46205</v>
      </c>
      <c r="B207" s="1" t="str">
        <f ca="1">IF(Información1[[#This Row],[Fecha]]='Ajuste de fechas'!$A$2,"Día actual","Día anterior")</f>
        <v>Día actual</v>
      </c>
      <c r="C207" s="3" t="s">
        <v>155</v>
      </c>
      <c r="D207" t="s">
        <v>180</v>
      </c>
      <c r="E207" s="3" t="s">
        <v>365</v>
      </c>
      <c r="F207" s="3" t="s">
        <v>10</v>
      </c>
      <c r="G207" s="3" t="s">
        <v>72</v>
      </c>
      <c r="H207" s="3" t="s">
        <v>8</v>
      </c>
      <c r="I207" s="3" t="s">
        <v>7</v>
      </c>
      <c r="J207" s="3" t="s">
        <v>37</v>
      </c>
      <c r="K207" s="3" t="s">
        <v>158</v>
      </c>
      <c r="L207" s="3" t="s">
        <v>24</v>
      </c>
      <c r="M207">
        <v>1</v>
      </c>
    </row>
    <row r="208" spans="1:13" x14ac:dyDescent="0.25">
      <c r="A208" s="2">
        <v>46205</v>
      </c>
      <c r="B208" s="1" t="str">
        <f ca="1">IF(Información1[[#This Row],[Fecha]]='Ajuste de fechas'!$A$2,"Día actual","Día anterior")</f>
        <v>Día actual</v>
      </c>
      <c r="C208" s="3" t="s">
        <v>155</v>
      </c>
      <c r="D208" t="s">
        <v>180</v>
      </c>
      <c r="E208" s="3" t="s">
        <v>366</v>
      </c>
      <c r="F208" s="3" t="s">
        <v>10</v>
      </c>
      <c r="G208" s="3" t="s">
        <v>58</v>
      </c>
      <c r="H208" s="3" t="s">
        <v>8</v>
      </c>
      <c r="I208" s="3" t="s">
        <v>7</v>
      </c>
      <c r="J208" s="3" t="s">
        <v>37</v>
      </c>
      <c r="K208" s="3" t="s">
        <v>158</v>
      </c>
      <c r="L208" s="3" t="s">
        <v>24</v>
      </c>
      <c r="M208">
        <v>1</v>
      </c>
    </row>
    <row r="209" spans="1:13" x14ac:dyDescent="0.25">
      <c r="A209" s="2">
        <v>46205</v>
      </c>
      <c r="B209" s="1" t="str">
        <f ca="1">IF(Información1[[#This Row],[Fecha]]='Ajuste de fechas'!$A$2,"Día actual","Día anterior")</f>
        <v>Día actual</v>
      </c>
      <c r="C209" s="3" t="s">
        <v>155</v>
      </c>
      <c r="D209" t="s">
        <v>180</v>
      </c>
      <c r="E209" s="3" t="s">
        <v>367</v>
      </c>
      <c r="F209" s="3" t="s">
        <v>10</v>
      </c>
      <c r="G209" s="3" t="s">
        <v>188</v>
      </c>
      <c r="H209" s="3" t="s">
        <v>8</v>
      </c>
      <c r="I209" s="3" t="s">
        <v>7</v>
      </c>
      <c r="J209" s="3" t="s">
        <v>37</v>
      </c>
      <c r="K209" s="3" t="s">
        <v>158</v>
      </c>
      <c r="L209" s="3" t="s">
        <v>24</v>
      </c>
      <c r="M209">
        <v>1</v>
      </c>
    </row>
    <row r="210" spans="1:13" x14ac:dyDescent="0.25">
      <c r="A210" s="2">
        <v>46205</v>
      </c>
      <c r="B210" s="1" t="str">
        <f ca="1">IF(Información1[[#This Row],[Fecha]]='Ajuste de fechas'!$A$2,"Día actual","Día anterior")</f>
        <v>Día actual</v>
      </c>
      <c r="C210" s="3" t="s">
        <v>155</v>
      </c>
      <c r="D210" t="s">
        <v>180</v>
      </c>
      <c r="E210" s="3" t="s">
        <v>368</v>
      </c>
      <c r="F210" s="3" t="s">
        <v>42</v>
      </c>
      <c r="G210" s="3" t="s">
        <v>89</v>
      </c>
      <c r="H210" s="3" t="s">
        <v>8</v>
      </c>
      <c r="I210" s="3" t="s">
        <v>7</v>
      </c>
      <c r="J210" s="3" t="s">
        <v>35</v>
      </c>
      <c r="K210" s="3" t="s">
        <v>158</v>
      </c>
      <c r="L210" s="3" t="s">
        <v>24</v>
      </c>
      <c r="M210">
        <v>1</v>
      </c>
    </row>
    <row r="211" spans="1:13" x14ac:dyDescent="0.25">
      <c r="A211" s="2">
        <v>46205</v>
      </c>
      <c r="B211" s="1" t="str">
        <f ca="1">IF(Información1[[#This Row],[Fecha]]='Ajuste de fechas'!$A$2,"Día actual","Día anterior")</f>
        <v>Día actual</v>
      </c>
      <c r="C211" s="3" t="s">
        <v>155</v>
      </c>
      <c r="D211" t="s">
        <v>180</v>
      </c>
      <c r="E211" s="3" t="s">
        <v>360</v>
      </c>
      <c r="F211" s="3" t="s">
        <v>361</v>
      </c>
      <c r="G211" s="3" t="s">
        <v>87</v>
      </c>
      <c r="H211" s="3" t="s">
        <v>8</v>
      </c>
      <c r="I211" s="3" t="s">
        <v>7</v>
      </c>
      <c r="J211" s="3" t="s">
        <v>35</v>
      </c>
      <c r="K211" s="3" t="s">
        <v>99</v>
      </c>
      <c r="L211" s="3" t="s">
        <v>26</v>
      </c>
      <c r="M211">
        <v>1</v>
      </c>
    </row>
    <row r="212" spans="1:13" x14ac:dyDescent="0.25">
      <c r="A212" s="2">
        <v>46205</v>
      </c>
      <c r="B212" s="1" t="str">
        <f ca="1">IF(Información1[[#This Row],[Fecha]]='Ajuste de fechas'!$A$2,"Día actual","Día anterior")</f>
        <v>Día actual</v>
      </c>
      <c r="C212" s="3" t="s">
        <v>155</v>
      </c>
      <c r="D212" t="s">
        <v>180</v>
      </c>
      <c r="E212" s="3" t="s">
        <v>278</v>
      </c>
      <c r="F212" s="3" t="s">
        <v>38</v>
      </c>
      <c r="G212" s="3" t="s">
        <v>279</v>
      </c>
      <c r="H212" s="3" t="s">
        <v>8</v>
      </c>
      <c r="I212" s="3" t="s">
        <v>7</v>
      </c>
      <c r="J212" s="3" t="s">
        <v>35</v>
      </c>
      <c r="K212" s="3" t="s">
        <v>99</v>
      </c>
      <c r="L212" s="3" t="s">
        <v>26</v>
      </c>
      <c r="M212">
        <v>1</v>
      </c>
    </row>
    <row r="213" spans="1:13" x14ac:dyDescent="0.25">
      <c r="A213" s="2">
        <v>46205</v>
      </c>
      <c r="B213" s="1" t="str">
        <f ca="1">IF(Información1[[#This Row],[Fecha]]='Ajuste de fechas'!$A$2,"Día actual","Día anterior")</f>
        <v>Día actual</v>
      </c>
      <c r="C213" s="3" t="s">
        <v>155</v>
      </c>
      <c r="D213" t="s">
        <v>180</v>
      </c>
      <c r="E213" s="3" t="s">
        <v>369</v>
      </c>
      <c r="F213" s="3" t="s">
        <v>17</v>
      </c>
      <c r="G213" s="3" t="s">
        <v>281</v>
      </c>
      <c r="H213" s="3" t="s">
        <v>8</v>
      </c>
      <c r="I213" s="3" t="s">
        <v>7</v>
      </c>
      <c r="J213" s="3" t="s">
        <v>35</v>
      </c>
      <c r="K213" s="3" t="s">
        <v>99</v>
      </c>
      <c r="L213" s="3" t="s">
        <v>26</v>
      </c>
      <c r="M213">
        <v>1</v>
      </c>
    </row>
    <row r="214" spans="1:13" x14ac:dyDescent="0.25">
      <c r="A214" s="2">
        <v>46205</v>
      </c>
      <c r="B214" s="1" t="str">
        <f ca="1">IF(Información1[[#This Row],[Fecha]]='Ajuste de fechas'!$A$2,"Día actual","Día anterior")</f>
        <v>Día actual</v>
      </c>
      <c r="C214" s="3" t="s">
        <v>155</v>
      </c>
      <c r="D214" t="s">
        <v>180</v>
      </c>
      <c r="E214" s="3" t="s">
        <v>305</v>
      </c>
      <c r="F214" s="3" t="s">
        <v>15</v>
      </c>
      <c r="G214" s="3" t="s">
        <v>240</v>
      </c>
      <c r="H214" s="3" t="s">
        <v>8</v>
      </c>
      <c r="I214" s="3" t="s">
        <v>7</v>
      </c>
      <c r="J214" s="3" t="s">
        <v>35</v>
      </c>
      <c r="K214" s="3" t="s">
        <v>99</v>
      </c>
      <c r="L214" s="3" t="s">
        <v>26</v>
      </c>
      <c r="M214">
        <v>1</v>
      </c>
    </row>
    <row r="215" spans="1:13" x14ac:dyDescent="0.25">
      <c r="A215" s="2">
        <v>46205</v>
      </c>
      <c r="B215" s="1" t="str">
        <f ca="1">IF(Información1[[#This Row],[Fecha]]='Ajuste de fechas'!$A$2,"Día actual","Día anterior")</f>
        <v>Día actual</v>
      </c>
      <c r="C215" s="3" t="s">
        <v>155</v>
      </c>
      <c r="D215" t="s">
        <v>180</v>
      </c>
      <c r="E215" s="3" t="s">
        <v>370</v>
      </c>
      <c r="F215" s="3" t="s">
        <v>15</v>
      </c>
      <c r="G215" s="3" t="s">
        <v>240</v>
      </c>
      <c r="H215" s="3" t="s">
        <v>8</v>
      </c>
      <c r="I215" s="3" t="s">
        <v>7</v>
      </c>
      <c r="J215" s="3" t="s">
        <v>35</v>
      </c>
      <c r="K215" s="3" t="s">
        <v>99</v>
      </c>
      <c r="L215" s="3" t="s">
        <v>25</v>
      </c>
      <c r="M215">
        <v>1</v>
      </c>
    </row>
    <row r="216" spans="1:13" x14ac:dyDescent="0.25">
      <c r="A216" s="2">
        <v>46205</v>
      </c>
      <c r="B216" s="1" t="str">
        <f ca="1">IF(Información1[[#This Row],[Fecha]]='Ajuste de fechas'!$A$2,"Día actual","Día anterior")</f>
        <v>Día actual</v>
      </c>
      <c r="C216" s="3" t="s">
        <v>155</v>
      </c>
      <c r="D216" t="s">
        <v>180</v>
      </c>
      <c r="E216" s="3" t="s">
        <v>371</v>
      </c>
      <c r="F216" s="3" t="s">
        <v>12</v>
      </c>
      <c r="G216" s="3" t="s">
        <v>79</v>
      </c>
      <c r="H216" s="3" t="s">
        <v>8</v>
      </c>
      <c r="I216" s="3" t="s">
        <v>7</v>
      </c>
      <c r="J216" s="3" t="s">
        <v>35</v>
      </c>
      <c r="K216" s="3" t="s">
        <v>99</v>
      </c>
      <c r="L216" s="3" t="s">
        <v>26</v>
      </c>
      <c r="M21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46205</v>
      </c>
      <c r="B2" s="2">
        <f ca="1">A2-1</f>
        <v>46204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2026-07-02T22:17:28Z</dcterms:modified>
</cp:coreProperties>
</file>