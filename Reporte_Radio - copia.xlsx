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71FF8DF6-4C64-455F-AA28-7FD10A3B8603}"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Radio!$A$1:$M$140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112" i="2"/>
  <c r="B116" i="2"/>
  <c r="B118" i="2"/>
  <c r="B122" i="2"/>
  <c r="B125" i="2"/>
  <c r="B128" i="2"/>
  <c r="B133" i="2"/>
  <c r="B136" i="2"/>
  <c r="B139"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106" i="2"/>
  <c r="B108" i="2"/>
  <c r="B110" i="2"/>
  <c r="B113" i="2"/>
  <c r="B115" i="2"/>
  <c r="B120" i="2"/>
  <c r="B123" i="2"/>
  <c r="B126" i="2"/>
  <c r="B129" i="2"/>
  <c r="B131" i="2"/>
  <c r="B134" i="2"/>
  <c r="B137" i="2"/>
  <c r="B140"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7" i="2"/>
  <c r="B109" i="2"/>
  <c r="B111" i="2"/>
  <c r="B114" i="2"/>
  <c r="B117" i="2"/>
  <c r="B119" i="2"/>
  <c r="B121" i="2"/>
  <c r="B124" i="2"/>
  <c r="B127" i="2"/>
  <c r="B130" i="2"/>
  <c r="B132" i="2"/>
  <c r="B135" i="2"/>
  <c r="B13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<sst xmlns="http://schemas.openxmlformats.org/spreadsheetml/2006/main" count="1405" uniqueCount="272">
  <si>
    <t>Fecha</t>
  </si>
  <si>
    <t>Titular</t>
  </si>
  <si>
    <t>Dependencia</t>
  </si>
  <si>
    <t>Canal</t>
  </si>
  <si>
    <t>Tema</t>
  </si>
  <si>
    <t>Estatus</t>
  </si>
  <si>
    <t>Sipdus</t>
  </si>
  <si>
    <t>Informativa</t>
  </si>
  <si>
    <t>Acir 92.5 FM</t>
  </si>
  <si>
    <t>Panorama Informativo Pachuca</t>
  </si>
  <si>
    <t>Positiva</t>
  </si>
  <si>
    <t>Eulalio Larrieta</t>
  </si>
  <si>
    <t>Semot</t>
  </si>
  <si>
    <t>Ayuntamiento</t>
  </si>
  <si>
    <t>SEPH</t>
  </si>
  <si>
    <t>Presidencia</t>
  </si>
  <si>
    <t>Otros</t>
  </si>
  <si>
    <t>Negativa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</si>
  <si>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</si>
  <si>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</si>
  <si>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</si>
  <si>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</si>
  <si>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</si>
  <si>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</si>
  <si>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</si>
  <si>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</si>
  <si>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</si>
  <si>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</si>
  <si>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</si>
  <si>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</si>
  <si>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</si>
  <si>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</si>
  <si>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</si>
  <si>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</si>
  <si>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</si>
  <si>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Segobh</t>
  </si>
  <si>
    <t>SSH</t>
  </si>
  <si>
    <t>RADIO LOCAL</t>
  </si>
  <si>
    <t>NQ 90.1 FM</t>
  </si>
  <si>
    <t>Enlace Hidalgo1</t>
  </si>
  <si>
    <t>Jesús Riveros</t>
  </si>
  <si>
    <t>Juan Carlos Santamaría</t>
  </si>
  <si>
    <t>PGJEH</t>
  </si>
  <si>
    <t>Enlace Hidalgo2</t>
  </si>
  <si>
    <t>Radioescucha</t>
  </si>
  <si>
    <t>Ke Buena 106.7 FM</t>
  </si>
  <si>
    <t>Noticias 106.7</t>
  </si>
  <si>
    <t>David Cárdenas</t>
  </si>
  <si>
    <t>Canal del Pueblo</t>
  </si>
  <si>
    <t>Vocales Radio</t>
  </si>
  <si>
    <t>Morena</t>
  </si>
  <si>
    <t>TV LOCAL</t>
  </si>
  <si>
    <t>Partidos</t>
  </si>
  <si>
    <t>Aldo Falcón</t>
  </si>
  <si>
    <t>Andrés Torres</t>
  </si>
  <si>
    <t>Candidaturas</t>
  </si>
  <si>
    <t>Ultra 102.9 FM</t>
  </si>
  <si>
    <t>Ultra Noticias1</t>
  </si>
  <si>
    <t>Daniel Martínez</t>
  </si>
  <si>
    <t>Radio Lobo 96.7 FM</t>
  </si>
  <si>
    <t>Enlace Noticias</t>
  </si>
  <si>
    <t>Gina Lorenzo</t>
  </si>
  <si>
    <t>Enfoque Regional Meridiano</t>
  </si>
  <si>
    <t>Jesús González</t>
  </si>
  <si>
    <t>Abasto de agua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</si>
  <si>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</si>
  <si>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</si>
  <si>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</si>
  <si>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Carlos Gamiño por estar al pendiente de temas.</t>
  </si>
  <si>
    <t>Eulalio Larrieta agradece Paola García y Lic. Sarahi Pineda, por estar atentas a los mensajes de la ciudadanía y por atenderlos.</t>
  </si>
  <si>
    <t>Localización de cuerpo</t>
  </si>
  <si>
    <t>SSPH</t>
  </si>
  <si>
    <t>Súper Stéreo 100.5 FM</t>
  </si>
  <si>
    <t>Eulalio Larrieta agradece a Cristian Yahir Castañeda supervisor de la región Pachuca quien nos va atender los reportes que correspondan a la SEMOT</t>
  </si>
  <si>
    <t>Radiodifusoras</t>
  </si>
  <si>
    <t>Comparecencias</t>
  </si>
  <si>
    <t>Eulalio Larrieta agradece a Edith Balderas de la Secretaria de Educación Pública.</t>
  </si>
  <si>
    <t>Ataque Armado</t>
  </si>
  <si>
    <t>Cultura</t>
  </si>
  <si>
    <t>Contraloría</t>
  </si>
  <si>
    <t>Eulalio Larrieta agradece a Jair Martínez de la SEGOBH, porque esta al pendiente de lo que se necesite y los reportes.</t>
  </si>
  <si>
    <t>IEEH</t>
  </si>
  <si>
    <t>Protesta sindical</t>
  </si>
  <si>
    <t>Saderh</t>
  </si>
  <si>
    <t>Apoyo Al Agro</t>
  </si>
  <si>
    <t>Tamiz neonatal</t>
  </si>
  <si>
    <t>Planeación</t>
  </si>
  <si>
    <t>Simplificación de trámites</t>
  </si>
  <si>
    <t>Enfoque Regional Matutino</t>
  </si>
  <si>
    <t>Christian García</t>
  </si>
  <si>
    <t>Abasto De Medicamentos</t>
  </si>
  <si>
    <t>Vacunación</t>
  </si>
  <si>
    <t>Narcolaboratorio</t>
  </si>
  <si>
    <t>Gobierno</t>
  </si>
  <si>
    <t>Atención A Manifestantes</t>
  </si>
  <si>
    <t>Luminarias</t>
  </si>
  <si>
    <t>Rescate secuestro</t>
  </si>
  <si>
    <t>Más y mejores espacios para aprender; Natividad Castrejón entrega obra educativa por 12.9 mdp en Huichapan</t>
  </si>
  <si>
    <t>Entrega de infraestructura escolar</t>
  </si>
  <si>
    <t>Empleotón 2026 impulsa inclusión laboral en Hidalgo</t>
  </si>
  <si>
    <t>STPSH</t>
  </si>
  <si>
    <t>Inclusión laboral</t>
  </si>
  <si>
    <t>Izza Hernández</t>
  </si>
  <si>
    <t>Senado aprueba prohibir celulares en escuelas de educación básica; uso en bachillerato se decidirá mediante asambleas. El dictamen establece que los dispositivos electrónicos solo podrán utilizarse en actividades educativas previamente programadas con objetivos pedagógicos</t>
  </si>
  <si>
    <t>Regulación de dispositivos digitales</t>
  </si>
  <si>
    <t>Una balacera registrada la noche de este domingo 11 de octubre en Tula, Hidalgo, dejó un saldo preliminar de una persona fallecida y tres más heridas por arma de fuego, además de daños en vehículos y una patrulla. De acuerdo con los primeros reportes, una persona perdió la vida mientras se encontraba a bordo de una camioneta Mazda gris, estacionada frente a una taquería. De manera extraoficial, trascendió que la víctima habría quedado en medio del fuego cruzado mientras viajaba en su vehículo; sin embargo, esta versión no ha sido confirmada oficialmente. Dos personas más resultaron heridas por disparos de arma de fuego al interior de un domicilio ubicado sobre la calle 1 de Mayo. A estos hechos se suma una mujer lesionada en ambas piernas, aunque hasta el momento no se ha informado oficialmente sobre su estado de salud. La balacera también habría provocado daños en varios vehículos, incluida una patrulla, mientras que en el tramo carretero conocido como El Cielito fueron reportados objetos ponchallantas, lo que generó afectaciones para algunos automovilistas. Tras los reportes de las detonaciones, se desplegaron corporaciones de seguridad y servicios de emergencia para atender la situación y realizar las diligencias correspondientes. Hasta el momento, no se ha confirmado la identidad de la persona fallecida, el estado de salud de las personas heridas, así como si existen personas detenidas por estos hechos.</t>
  </si>
  <si>
    <t>Una mujer que presuntamente fue privada de la libertad en la colonia La Cañada, dentro de la ciudad de Tulancingo, fue rescatada en el barrio de Otontepec, perteneciente a la comunidad de Santa Ana Hueytlalpan, en el municipio de Acaxochitlá. De acuerdo con el testimonio de la víctima, alrededor de las 7:00 de la mañana, fue amagada y obligada a subir a un automóvil de color rojo. En dicha unidad fue trasladada hasta la localidad citada, donde elementos policíacos y de atención de emergencias de ambos municipios implementaron un operativo en respuesta al reporte recibido. La mujer finalmente fue liberada en el operativo, contando con la participación de paramédicos de la Cruz Roja local. El presunto responsable se atrincheró en un domicilio y, de acuerdo con fuentes policiales consultadas, disparó contra los oficiales policíacos; tras aplicar protocolos, el sujeto fue detenido para ser puesto a disposición de las autoridades ministeriales y que estas determinen sus responsabilidades legales. Afortunadamente, se reporta a la mujer en buen estado de salud.</t>
  </si>
  <si>
    <t>Tres personas fueron encontradas sin vida y con quemaduras al interior de una vivienda en la comunidad de Palo Hueco, dentro del municipio de Tepeapulco, durante la madrugada de este lunes, luego de que se reportara un incendio en el inmueble. Tras recibir el llamado de emergencia, elementos de la Policía Municipal y de Protección Civil acudieron al lugar para atender el siniestro y realizar las labores para sofocar las llamas. Sin embargo, durante las acciones de atención, los cuerpos de emergencia localizaron tres cuerpos calcinados en el interior de la vivienda, así como un mensaje con amenazas, cuyo contenido y posible relación con los hechos no han sido esclarecidos. Ante el hallazgo, se notificó a la Procuraduría General de Justicia del Estado de Hidalgo para iniciar las investigaciones correspondientes y al Servicio Médico Forense para el levantamiento y traslado de los cuerpos. Hasta el momento, no se ha revelado la identidad de las víctimas ni se ha informado sobre posibles personas detenidas por estos hechos.</t>
  </si>
  <si>
    <t>Un túnel que comunicaba dos espacios dentro de un mismo terreno y diversos indicios de procesamiento de droga sintética fueron localizados durante un cateo realizado en la colonia Guadalupe Victoria, en Cuautepec de Hinojosa, Hidalgo. El operativo fue encabezado por elementos de la Secretaría de Seguridad Pública de Hidalgo (SSPH), en coordinación con la Procuraduría General de Justicia del estado, la Secretaría de la Defensa Nacional y la Guardia Nacional, tras labores de inteligencia. De acuerdo con la información oficial, los inmuebles aparentaban ser propiedades independientes desde el exterior; sin embargo, durante la inspección se descubrió que ambos estaban conectados por un pasadizo subterráneo que iniciaba en el baño de uno de los espacios y llegaba hasta el otro. En el lugar también fueron aseguradas 489 dosis de presuntas drogas: 406 de hierba seca con características similares a la marihuana y 83 de una sustancia granulada con características propias del cristal. Además, las autoridades encontraron un dispositivo artesanal aparentemente utilizado para calentar precursores químicos, dos tinacos con capacidad de mil 100 litros cada uno, ollas con residuos de cocción de presunta metanfetamina, restos de una pasta que aún no terminaba de secarse y utensilios para filtrar y procesar sustancias. Los objetos y materiales localizados quedaron a disposición de las autoridades correspondientes, que continuarán con las investigaciones para establecer qué actividades se realizaban en el predio y determinar las posibles responsabilidades. La SSPH indicó que el aseguramiento forma parte de las acciones coordinadas para combatir la producción y distribución de drogas en Hidalgo.</t>
  </si>
  <si>
    <t>Se confirmó la localización con vida de Isabella Reyes Escalona, una niña de apenas 4 años que había sido reportada como desaparecida en el estado de Hidalgo. La pequeña era buscada desde finales de julio, cuando se perdió el rastro de su paradero, lo que generó preocupación y movilizó los esfuerzos para dar con ella. El hallazgo fue confirmado por una tía de la menor, identificada como Vanessa, quien agradeció la difusión de la ficha de búsqueda y confirmó que la menor se encuentra sana y salva, en compañía de su familia:</t>
  </si>
  <si>
    <t>Exigen localización de persona</t>
  </si>
  <si>
    <t>Una mujer de 36 años de edad dio a luz a bordo de una ambulancia de Protección Civil en el municipio de Huasca de Ocampo, luego de que labores de parto se aceleraran cuando era trasladada de urgencia hacia el nosocomio de Tulancingo. De hecho, todo esto se registró cuando la paciente de 39 semanas de gestación y originaria del poblado de Río Seco, perteneciente a la localidad Tepextedoria, presentó contracciones avanzadas en el trayecto al no poder esperarla llegada al hospital, pues el personal socorrista tuvo que detener la marcha y reaccionar de inmediato. Ese alumbramiento se concretó precisamente con éxito a la altura del centro del municipio de Actopan, donde los paramédicos asistieron a la madre y también recibieron a un bebé de género masculino. Y de acuerdo con el reporte inicial de los cuerpos de auxilio, el recién nacido llegó al mundo en excelentes condiciones y tras brindar los primeros cuidados neonatales y también estabilizar a la madre, pues ambos fueron trasladados a un hospital, al hospital de de aquí de Tulancingo para poder recibir la valoración y la atención médica correspondiente. Eso fue lo que pasó pues con este caso, Daniel, que de alguna forma sí, sí, pues, vaya, sorprende afortunadamente todo salió excelente.</t>
  </si>
  <si>
    <t>Asistencia de parto</t>
  </si>
  <si>
    <t>En ejercicio de sus facultades y ante la vacante en la titularidad del Órgano Interno de Control del Municipio, el Gobierno de Tulancingo, emitió este lunes 12 de octubre la convocatoria pública abierta para seleccionar a la persona. La convocatoria, que es difundida a través de la página web oficial del municipio https://tulancingo.gob.mx/wp-content/uploads/2026/07/cedula_de_control.pdf y redes sociales, establece las bases, los requisitos, la documentación necesaria, las etapas y los plazos del procedimiento. El proceso será coordinado por una comisión especial del Ayuntamiento y contempla la participación de personas con perfil profesional y experiencia en materia jurídica, de fiscalización o administrativa. Entre los principales requisitos se encuentran contar con título profesional en Derecho, Contaduría Pública o carrera equivalente, así como acreditar la experiencia que establece la convocatoria; tener pleno ejercicio de los derechos políticos y civiles, modo honesto de vivir y no contar con inhabilitación vigente. Asimismo, las personas aspirantes no deberán haber sido sancionadas mediante un procedimiento de responsabilidad administrativa relacionado con el encargo. Tampoco podrán haber sido adherentes o afiliadas a un partido político durante el año previo a la designación, ni haber ocupado cargos de dirección partidista en los ámbitos nacional, estatal o municipal durante ese mismo periodo. De igual manera, no deberán haber sido registradas como candidatas ni haber desempeñado cargos de elección popular durante los cuatro años anteriores a la designación. Como parte de la evaluación, deberán presentar un ensayo sobre transparencia, rendición de cuentas y combate a la corrupción. Este documento será turnado a cada integrante del Pleno del Ayuntamiento para su análisis, y las personas aspirantes deberán presentar y defender su propuesta ante dicho órgano colegiado, conforme al calendario establecido. Del 13 al 16 de octubre se llevará a cabo la recepción de documentos y registro de aspirantes; del 16 al 19 de octubre, revisión de expedientes; 20 de octubre: informe de las personas registradas; mientras que 21 de octubre se realizará la publicación de las personas que cumplieron los requisitos, para que el 22 y 23 de octubre se realice la presentación y defensa de los ensayos ante el Pleno del Ayuntamiento.</t>
  </si>
  <si>
    <t>Convocatoria</t>
  </si>
  <si>
    <t>Este lunes 12 de octubre entró en vigor una nueva modalidad para la recolección de basura en la Central de Abastos PIFSAL, en Tulancingo, con la que se busca evitar la acumulación de residuos en espacios públicos. La medida establece horarios y puntos específicos para entregar los desechos, además de prohibir que sean depositados en el sendero intermunicipal ubicado a la altura de la central. La disposición se da en medio de diversos reportes de locatarios, quienes señalan que personas ajenas a la zona acuden en sus vehículos para arrojar bolsas de basura sobre el andador, sin importarles las condiciones de limpieza del lugar. De acuerdo con los comerciantes, algunos automovilistas se detienen en el sitio únicamente para deshacerse de sus residuos, una práctica que genera inconformidad entre quienes trabajan diariamente en esta área comercial. Con el nuevo esquema, los locatarios de las bodegas interiores deberán colocar su basura en la entrada de sus establecimientos al finalizar sus actividades. En los negocios ubicados en el tramo que conecta PIFSAL con la zona del ferrocarril, los residuos tendrán que colocarse detrás de los comercios y entregarse directamente al personal recolector cuando llegue el camión. El servicio funcionará de lunes a sábado, de 6:00 a 7:00 de la mañana y de 17:00 a 18:00 horas; los domingos no habrá recolección. Las autoridades municipales advirtieron que incumplir las disposiciones puede derivar en sanciones, incluida la suspensión temporal de actividades, con medidas más severas en caso de reincidencia. Como parte de las acciones complementarias, personal municipal realizó trabajos de recorte de vegetación en la ciclopista y se prevé pintar las guarniciones en los próximos días. Mientras tanto, los reportes de los comerciantes apuntan a que, además de ordenar la recolección, será necesario evitar que el andador continúe siendo utilizado para arrojar basura de manera irregular.</t>
  </si>
  <si>
    <t>Recolección De Basura</t>
  </si>
  <si>
    <t>El día de ayer el eh legisladores y legisladores federales de Movimiento de Regeneración Nacional acudieron a la Fiscalía General de la República para presentar una denuncia hacia la senadora de la República Carolina Viggiano Austria por presunto enriquecimiento ilícito, simulación fiscal y operaciones con recursos de procedencia ilícita. De acuerdo con el diputado Ricardo Crespo Arroyo, los presuntos ilícitos estarían relacionados con la utilización de empresas fachada para ocultar el origen de los recursos utilizados en la adquisición y el mantenimiento de un inmueble ubicado en Lomas de Chapultepec en la Ciudad de México con un valor estimado de 1.3 millones de dólares. Los legisladores indicaron que en la denuncia presentada ante la Unidad de Investigación y Litigación (FGR), se señala a la priísta y a su núcleo familiar. Crespo Arroyo señaló que la denuncia fue impulsada a raíz de información que se publicó en el periódico El Universal y del trabajo coordinado de Morena de Movimiento de Regeneración Nacional. Informaron que las supuestas empresas fachada presuntamente están asentadas en Monterrey, Nuevo León, y estarían vinculadas con otras 80 empresas señaladas como fantasma. El dirigente estatal de Morena, Marco Rico, señaló que también se presentó una denuncia ante el Servicio de Administración Tributaria con el propósito de que las autoridades fiscales revisen los hechos y determinen si existen irregularidades. Rico afirmó que ya existe una presunta secuencia de hechos que debe investigarse y pidió a la fiscalía esclarecer si hay elementos para determinar la comisión de algún delito.</t>
  </si>
  <si>
    <t>Enriquecimiento ilícito</t>
  </si>
  <si>
    <t>Radioescucha: en el Centro de Salud de Paraíso no tienen material para las pruebas de glucosa desde hace meses. Tampoco hay losartán.</t>
  </si>
  <si>
    <t>Dos movilizaciones se registraron este lunes en las inmediaciones del Congreso del Estado de Hidalgo, donde manifestantes exigieron la liberación de tres personas que enfrentan procesos judiciales y las protestas coincidieron de hecho con la comparecencia del secretario de gobierno Guillermo Olivares Reina, todo esto como parte de la glosa del cuarto informe del gobernador Julio Menchaca Salazar. Pero por un lado simpatizantes del exalcalde de Tlaxcoapan Miguel Ángel López Hernández se pronunciaron a favor de su liberación, luego de que el ex funcionario iniciara una huelga de hambre la semana pasada en el Cereso de Actopan, donde permanece recluido desde noviembre del 2024. A través de un escrito dirigido a sus familiares y a la ciudadanía, López Hernández señaló que considera ser víctima de su de una presunta persecución política y solicitó también que se revisen los procesos penales en su contra. También afirmó haber pues obtenido resoluciones favorables en tres causas judiciales y cuestionó también la falta de nuevos medicamentos cuando, según su versión, pues estaba cerca de recuperar su libertad. Pero así el exalcalde gobernó Tlaxcoapan durante los periodos 2006-2009 y 2012-2016. La segunda protesta fue encabezada por habitantes de Julián Villagrán, esta comunidad de Ixmiquilpan, quienes pidieron la liberación de Lorenzo Ramírez Ortiz y Macario Cruz Ramírez, ambos en prisión preventiva por un caso relacionado con el conflicto agrario pues que mantienen con pobladores de Pueblo Nuevo. De hecho, los manifestantes sostienen que los dos hombres son inocentes y denuncian también presuntas irregularidades en su detención. De acuerdo con su versión, ambos fueron convocados a una supuesta mesa de diálogo sobre la disputa territorial, esto en un módulo de servicios administrativos del gobierno estatal de Actopan, pero en lugar de concretarse el acuerdo fueron detenidos. De hecho, aseguraron que durante este procedimiento no se les presentó una orden de aprehensión, pero sí el caso está relacionado con hechos ocurridos el 20 de abril del 2024, cuando se registró un conflicto por terrenos entre ambas comunidades. Habitantes de Pueblo Nuevo pues sí señalaron que alrededor de un centenar de personas procedentes del ejido Julián Villagrán ingresaron a la zona con maquinaria pesada y presuntamente también los despojaron de tierras mediante agresiones. Y pues los pobladores de Julián Villagrán rechazan esa acusación, niegan que Ramírez Ruiz y Cruz Ramírez hayan participado en estos hechos.</t>
  </si>
  <si>
    <t>Exigen liberación de persona</t>
  </si>
  <si>
    <t>El otro tema que se tocó durante la comparecencia de Guillermo Olivares Reina, secretario general de gobierno del estado de Hidalgo, es la preliberación de 10 personas indígenas que se encuentran pues privadas de libertad, esto por cuestiones legales y que están en este momento en proceso de preliberación. Detalló Guillermo Olivares Reina, secretario general de gobierno del estado, que el pasado 15 de septiembre fue liberado un grupo de cuatro personas que presentaban problemas de salud y que cumplían con las condiciones para obtener su libertad anticipada, al estar sentenciadas por delitos no graves, y seis más están en proceso. Entre ellos, mencionó el de una persona con cuadriplejia que salió del centro de reinserción social de Pachuca, así como una adulta mayor con cáncer en fase terminal en el hígado y los riñones, quien obtuvo su libertad anticipada. Otra con osteoporosis degenerativa, hipertensión, trastorno de ansiedad y depresión, una más con traumatismo craneoencefálico moderado que requería cuidados las 24 horas del día. El funcionario estatal destacó que la defensoría pública ha realizado un excelente trabajo en favor de la población más vulnerable, con cerca de 300,000 casos atendidos en el que varias personas han logrado obtener su libertad y enfrentar sus procesos legales fuera de prisión, en especial atención a mujeres indígenas. Agregó que a través de las mesas de acercamiento de bienestar y paz se han recibido casos de personas indígenas que requieren apoyo para su defensa legal debido a sus condiciones económicas y que en muchos casos los enfrentan con la falta de asesoría jurídica. Señaló este sector desde hace desde muchos ángulos necesita apoyo y uno de esos es cuando desgraciadamente son privados de la libertad en ocasiones por delitos menores, pero por falta de asesoría jurídica siguen recluidos. Nosotros, dijo, vamos a hacer que recuperen su libertad. Olivares Reina informó que mediante las mesas de acercamiento de bienestar y paz se han atendido más de 700 casos relacionados con vulneraciones a los derechos humanos, con el acercamiento de las instituciones para dar seguimiento a sus planteamientos.</t>
  </si>
  <si>
    <t>Daniel Martínez respecto a las declaraciones del secretario de Gobierno Guillermo Olivares de que el operativo para retirar a trabajadores del Instituto Mexicano del Seguro Social (IMSS) que se manifestaban el pasado sábado 10 de octubre, fue por incumplimiento de acuerdos establecidos previamente con la Secretaría de Gobierno del Estado de Hidalgo; Daniel Martínez comenta lo siguiente: Me quedo con dos reflexiones de lo dicho por Olivares Huerta en la comparecencia del día de ayer. Dice el titular, el encargado de la política interna y de la seguridad, o de parte de la seguridad del estado de Hidalgo, dice que los trabajadores antepusieron intereses sindicales por encima de otros intereses, es decir, hay intereses de primera y de segunda. Los trabajadores no tienen derecho, entonces, a hablar de sus derechos laborales, de sus derechos sindicales y únicamente se tiene que limitar o circunscribir a otro tipo de derechos. ¿Cuáles son esos derechos de primera y de segunda, entonces? Uno y dos, "acomodé lugar" —y no estoy poniendo de mi cosecha ni nada por el estilo, son las palabras que utilizó Olivares Reina— "acomodé lugar", liberar las vialidades. Y vuelvo al tema del libre derecho a la manifestación. ¿Enoja? Sí. ¿Molesta? Sí. ¿Es un relajo Pachuca? Sí, por obras, por la feria, por muchas circunstancias. Entonces, ¿eso limita o prohíbe el derecho a la libre manifestación? Y finalmente, Olivares Reina también señala que si incumplieron acuerdos, ¿seguirán adelante esos acuerdos? Es pregunta que uno espera que no vaya a ser este, que no se vaya a quedar en el aire.</t>
  </si>
  <si>
    <t>Desalojo de manifestantes</t>
  </si>
  <si>
    <t>Radioescucha: en ningún centro de salud hay tamiz para los bebés, porque no hay papel para tomar las muestras.</t>
  </si>
  <si>
    <t>Radioescucha: lo familiares de los pacientes en el IMSS deben comprar medicamentos y los médicos no tiene insumos suficientes para operar.</t>
  </si>
  <si>
    <t>Zoé Robledo fue nombrado director general del Seguro Social Ordinario el 22 de mayo de 2019 y lleva más de 7 años en el cargo. Recientemente anunció una gira por los 277 hospitales del IMSS Ordinario. Sin embargo, se cuestiona su actuar ahora, cuando hay crisis y los trabajadores exigen respeto a sus derechos sindicales, mejor suministro de medicamentos y atención a las instalaciones. Se critica que 7 años después, Robledo responda a un sistema que fue dejado en mal estado por la administración anterior, que se centró en dar dádivas en lugar de atender los servicios adecuadamente.</t>
  </si>
  <si>
    <t>Mal Desempeño</t>
  </si>
  <si>
    <t>El operativo para retirar a trabajadores del Instituto Mexicano del Seguro Social (IMSS) que se manifestaban el pasado sábado 10 de octubre, fue por incumplimiento de acuerdos establecidos previamente con la Secretaría de Gobierno del Estado de Hidalgo. La justificación fue establecida por el titular de dicha dependencia estatal, Guillermo Olivares Reyna, durante su comparecencia ante integrantes del Congreso del Estado de Hidalgo, este lunes 12 de octubre. Dicha manifestación se realizó frente a las instalaciones de la Clínica 36, en la ciudad de Pachuca, exigiendo la salida de sus representantes sindicales. “Si algo le corresponde a la Secretaría de Gobierno es preservar el orden a toda costa”, señaló Olivares Reyna, al recordar que el pasado sábado se registraron bloqueos tanto en bulevar Felipe Ángeles, como a la altura del Puente Atirantado. El funcionario estatal señaló que con las obras viales que se llevan a cabo en este momento en la capital del Estado de Hidalgo, así como la celebración de la feria San Francisco, la ciudadanía exigía la liberación de las vialidades, y por ello se intervino. Respecto a las denuncias de trabajadores del IMSS sobre el presunto uso de la fuerza pública y el despliegue de binomios caninos, Olivares Reyna aseguró que en todo momento se respetaron los derechos humanos. Afirmó que se atenderán las solicitudes de la ciudadanía, “siempre y cuando sean pacíficas y respetuosas”. Olivares Reyna señaló que los acuerdos iniciales para liberar la circulación y evitar nuevos bloqueos, se estableció generar un vínculo con las autoridades federales, así como realizar recorridos por las unidades médicas para verificar la falta de medicamentos. Aseguró que acudió personalmente para entablar un diálogo con los trabajadores que bloqueaban las vialidades, acción que constituye un “ilícito” y explicó que, inicialmente, los manifestantes reclamaban la falta de insumos, medicamentos y personal médico, sin embargo, posteriormente, las demandas cambiaron y se centraron en un “conflicto sindical”. Reprochó que los manifestantes incumplieron lo pactado durante el viernes 9 de octubre, además de modificar sus exigencias, lo que, dijo, provocó un “choque de los problemas iniciales” y colocó el interés sindical por encima de las demandas iniciales.</t>
  </si>
  <si>
    <t>Vía telefónica Natividad Castrejón, Secretario de la SEPH y el tema de su trabajo al frene de la dependencia informó que el próximo martes será su comparecencia ante el Congreso. Destacó los indicadores estatales en materia educativa, señalando que la entidad cuenta con una eficiencia terminal del 100% en nivel primaria y un destacado posicionamiento nacional en secundaria (94%) y educación superior (84%). No obstante, reconoció que el nivel medio superior representa el mayor reto, aunque la deserción escolar ha disminuido tras aumentar del 69% al 75% la retención en los últimos tres años de la actual administración. Respecto a la infraestructura afectada por las recientes contingencias meteorológicas, el funcionario detalló los trabajos de rehabilitación en municipios como Huehuetla, donde tres escuelas sufrieron daños severos. Tras valoraciones técnicas y la intervención de la CONAGUA con un muro de contención valuado en casi 100 millones de pesos, las obras de reconstrucción en dichos planteles presentan un avance superior al 70%, estimando su conclusión total entre finales de octubre y mediados de noviembre. Asimismo, indicó que persisten retos particulares de atención en regiones como Tlacotengo y Chahuatlán.</t>
  </si>
  <si>
    <t>En medio de las movilizaciones de trabajadores del Instituto Mexicano del Seguro Social, su director general, Zoé Robledo, defendió pues los resultados alcanzados durante los últimos 7 años y aseguró que el instituto ha ampliado su capacidad de atención, aunque sí reconoció que el crecimiento de la población derechohabiente mantiene retos pendientes. De hecho, durante una conferencia de prensa conjunta con el secretario de Trabajo, Marath Bolaños, Zoé Robledo sí respondió también, pues a los cuestionamientos planteados previamente eh por la presidenta Claudia Sheinbaum sobre las condiciones que suelen presentarse cuando funcionarios de alto nivel eh pues visitan hospitales y clínicas. De hecho, el director del IMSS aseguró también que durante sus recorridos no se ordena al personal realizar recomendaciones o modificar las condiciones de las unidades eh que bueno, para poder recibir a los funcionarios. Incluso, señaló que acostumbra realizar algunas visitas durante la noche para poder conocer de manera directa la situación de las áreas de urgencias, y pues Zoé Robledo sí sostuvo que desde su llegada al frente del instituto, pues se han incorporado alrededor de 109,000 trabajadores y se han reabierto también hospitales, pues que se encontraron fuera de operación. También destacó la ampliación de infraestructura médica y señaló que actualmente existen 17,000 turnos de consulta adicionales, además también de nuevas unidades de medicina familiar. Entre los avances también que mencionó, pues se encuentra la expansión de centros de referencia estatal para la atención del niño y la niña con cáncer, eh pues que pasaron de 3 a 36 unidades. También señaló que las salas de hemodinamia, por ejemplo, disponibles en el segundo nivel aumentaron de 6 a 82. Pero si el funcionario reconoció sin embargo, pues que estos avances todavía no son suficientes debido al tamaño de la población, pues que atiende precisamente el seguro social, no por lo que sí consideró necesario, pues mantener el crecimiento de la infraestructura y de la capacidad médica. De hecho, la conferencia se realizó mientras trabajadores activos médicos, eh pues enfermeras, jubilados y también pensionados mantienen diversas expresiones de inconformidad en demanda de mejores condiciones laborales, mayor transparencia sindical y solución también a problemas relacionados con el abasto de medicamentos e insumos. Además, eh trabajadores del IMSS se preparan para una movilización nacional, está programada para el miércoles eh 14, es decir, el día de mañana.</t>
  </si>
  <si>
    <t>Recorrido por instalaciones</t>
  </si>
  <si>
    <t>Vía telefónica María Concepción Carmona Ramos, Jefa de Servicios de Atención a la Salud del IMSS Bienestar Hidalgo, informó que el Hospital General de Tulancingo retomó la programación de cirugías electivas tras recibir 27 cajas de fentanilo, sumadas al abasto mensual de midazolam entregado previamente el pasado 7 de octubre. La funcionaria explicó que la limitación temporal en las intervenciones programadas funcionó como una estrategia preventiva del cuerpo de gobierno del hospital ante el retraso de un mes en la recepción de estos insumos anestésicos. No obstante, aclaró que las cirugías de urgencia —con un promedio de diez procedimientos diarios— nunca fueron suspendidas. Asimismo, Carmona Ramos detalló que las compras de estos medicamentos son administradas de forma centralizada por la Secretaría de Salud Federal. En este sentido, confirmó que el próximo viernes se normalizará la distribución de fentanilo correspondiente al mes de octubre para los 18 hospitales del estado. Actualmente, el abasto promedio en los centros hospitalarios del IMSS-Bienestar en la entidad se mantiene entre un 75% y un 80%, respaldado por el ecosistema digital de salud para el control de inventarios y recetas.</t>
  </si>
  <si>
    <t>En cabina el diputado por el Distrito 8 con cabecera en Actopan, Miguel Ángel Moreno Zamora explicó los alcances de la iniciativa aprobada en el Congreso del Estado que modifica el artículo 141 (párrafo 15) de la Constitución local, enfocada en la modernización de la gestión administrativa municipal. Aclaró que esta modificación no otorga un "cheque en blanco" a los presidentes municipales. La reforma busca agilizar los procesos administrativos internos y regular de manera más eficiente los trámites, contratos, obras públicas y comités de adquisiciones, donde participan activamente los síndicos y las contralorías tanto municipal como estatal para garantizar la transparencia. Se destacó que la ley exige a los regidores un papel más activo y profesional, obligándolos a involucrarse en sus respectivas comisiones, proponer iniciativas, bandos, reglamentos y realizar al menos una sesión de audiencia pública mensual en sus comunidades, colonias o ejidos. indicó que los regidores están obligados a presentar informes anuales de sus actividades. Asimismo, se enfatizó que los síndicos y regidores fungen como contrapesos importantes y deben vigilar de cerca el ejercicio del gasto, los cortes de caja diarios y el cumplimiento normativo de las áreas administrativas. finalmente dijo que, en caso de detectar anomalías en los procesos de licitación o adjudicación de obras, los integrantes del cabildo y la Contraloría municipal tienen la facultad y la responsabilidad de denunciarlas para fincar responsabilidades directas al funcionario involucrado.</t>
  </si>
  <si>
    <t>Trabajo legislativo</t>
  </si>
  <si>
    <t>Huichapan recibe infraestructura educativa por 12.9 mdp</t>
  </si>
  <si>
    <t>Ayer, senadores de Hidalgo, diputados federales y el líder de Morena en Hidalgo, Marco Rico, presentaron una denuncia en la Fiscalía General de la República contra Carolina Viggiano Austria. Esta denuncia trata sobre sus propiedades y la posible comisión de delitos. Carolina Viggiano ha estado respondiendo en redes sociales a las acusaciones que ha recibido en las últimas semanas. Una de las discusiones incluyó las nuevas torres de gobierno en el bulevar Felipe Ángeles, donde el senador Cuauhtémoc Ochoa le dio respuesta. También ha habido comentarios sobre la gobernabilidad en Hidalgo, a los que respondió Ricardo Crespo. La situación ha generado un intercambio de acusaciones en redes sociales, que han llegado a ser bastante intensas. La denuncia formal por parte del Partido Morena ha llevado a una reacción inmediata de Viggiano. Este conflicto se considera preocupante, ya que no parece ayudar a la paz y confianza en el estado, ya que las acusaciones están empezando a sonar a insultos, aunque de forma sutil. Se espera ver cómo se desarrolla esta situación y qué repercusiones tendrá. Finalmente, se anunció un corte en el programa de radio "Las Voces Radio" antes de continuar con el tema.</t>
  </si>
  <si>
    <t>Hoy tenemos comparecencias; a las 10:00 de la mañana estará la maestra María Esther Ramírez Vargas, de la Secretaría de Hacienda, y más tarde a las 4:00 horas (sic), la secretaria de Turismo, Lizbeth Quintana Gómez.</t>
  </si>
  <si>
    <t>Turismo</t>
  </si>
  <si>
    <t>Hacienda</t>
  </si>
  <si>
    <t>Hidalgo refuerza la seguridad y el diálogo con atención cercana</t>
  </si>
  <si>
    <t>Andrés Torres comenta que siguen fuera del aire en la estación de Jacala en la frecuencia 91.1 FM. esto a causa de problemas técnicos</t>
  </si>
  <si>
    <t>Andrés Torres comenta que hay problemas relacionados con los cabildos y las presidencias municipales. Señala que le han enviado un video de Atotonilco de Tula o Atitalaquia donde los regidores y la presidenta municipal discuten acaloradamente sobre permisos y la recolección de basura. Estas discusiones, aunque intensas, son vistas como normales dentro del marco de la legalidad y el respeto. Es importante debatir los pros y contras de los servicios en los municipios, señala.</t>
  </si>
  <si>
    <t>Andrés Torres envía un saludo a Tizayuca, donde la seguridad es un problema grave. Menciona que la inseguridad, como una forma de contaminación en el Estado de México, afecta a esta área. Recientemente, hubo un asalto en una casa de empeño que resultó en persecuciones y un fuerte despliegue policial en las calles de Tizayuca. Torres expresa la esperanza de que la situación se controle pronto, planteando la difícil tarea de proteger a las comunidades de amenazas tanto internas como externas. Aldo Falcón añade que los delincuentes lograron robar pertenencias, celulares y dinero en efectivo.</t>
  </si>
  <si>
    <t>Inseguridad</t>
  </si>
  <si>
    <t>En Tulancingo, el registro para elegir coordinador municipal electoral por parte de Morena está abierto desde el 8 de octubre y cerrará el 18. Ya hay varios perfiles registrados, y se espera la opinión de la Comisión Nacional de Elecciones. Cada día se suman más candidatos en los municipios. La convocatoria de Morena, emitida el día 8 por Aldo Falcón, es extensa, con 24 páginas de requisitos. Los aspirantes deben cumplir con varios cursos y probar su militancia y activismo. Se espera ver cuántos de los inscritos realmente cumplen con todos los requerimientos, ya que llenar la forma es solo el primer paso; cumplir con los requisitos es lo más importante.</t>
  </si>
  <si>
    <t>Andrés Torres informó que la Secretaría de Salud del estado de Hidalgo ha iniciado la campaña de vacunación invernal, aunque el invierno aún no comienza. La campaña tiene como objetivo aplicar más de 1.5 millones de dosis para covid e influenza. Los grupos prioritarios incluyen a niños menores de 5 años, adultos mayores y personas con enfermedades crónicas. Se invita a toda la población a acercarse a su centro de salud, hospital o clínica cercana para recibir las vacunas, ya que la inmunización es importante para estar protegidos durante la temporada invernal, que se espera sea fría. Aldo Falcón destacó que acudir al centro de salud para vacunarse es gratuito. Andrés también mencionó que, según los especialistas, es recomendable recibir un refuerzo de la vacuna contra el covid cada año o, si es posible, cada seis meses. Se enfatiza la importancia de la vacunación para asegurar la salud y la protección de las familias.</t>
  </si>
  <si>
    <t>Se comentó sobre la efervescencia del movimiento político en Hidalgo de cara a los registros de aspirantes de Morena. En el municipio de Acaxochitlán, Luis Balderas, exsecretario municipal, renunció definitivamente a su cargo hace unas semanas con la intención de buscar la nominación de su partido para las próximas elecciones. A diferencia de otros aspirantes que solicitan licencia temporal, Balderas optó por la renuncia total, manifestando contar con el respaldo político necesario y asegurando que, en caso de no ser favorecido, se mantendrá al margen para apoyar a su comunidad debido a su postura institucional.</t>
  </si>
  <si>
    <t>Renuncia</t>
  </si>
  <si>
    <t>Irving Sánchez</t>
  </si>
  <si>
    <t>Durante una conferencia de prensa, el titular de la Comisión de Agua y Alcantarillado en Tulancingo anunció su separación temporal del cargo por un periodo de tres meses, aclarando que no se trata de una renuncia definitiva, sino de una decisión motivada por asuntos personales y miras a nuevos proyectos de cara a las próximas jornadas electorales. El funcionario señaló que la decisión busca garantizar la continuidad en la atención ciudadana y los servicios del organismo sin que se detengan las labores cotidianas, quedando a reserva de que la alcaldesa informe quién asumirá la titularidad del área de manera temporal.</t>
  </si>
  <si>
    <t>Tras un minucioso proceso de selección y evaluación de proyectos, el H. Ayuntamiento de Cuautepec de Hinojosa, en coordinación con el Instituto Hidalguense de la Juventud, presentó de manera oficial la integración del Primer Cabildo Juvenil 2026. Este importante ejercicio de participación ciudadana reunirá a 20 destacados perfiles de entre 14 y 17 años, garantizando un órgano inclusivo, plural y con estricta paridad de género para analizar las necesidades del municipio e impulsar iniciativas desde la perspectiva de las juventudes. La representación ejecutiva estará encabezada por Emily Guerrero Hernández como Presidenta Municipal Constitucional Juvenil, acompañada por Renata Cadena Carmona en la Sindicatura Procuradora Hacendaria Juvenil y Valeria Pérez Martínez como Síndica Procuradora Jurídica Juvenil. De igual manera, la administración del pleno juvenil contará con Daniela Alfaro Téllez en la Secretaría General Municipal Juvenil y Aimme Muñoz Hernández como Oficial Mayor Juvenil.</t>
  </si>
  <si>
    <t>Cabildo Juvenil</t>
  </si>
  <si>
    <t>Después de casi seis meses de rehabilitación especializada en Pachuca, Itzán, un ejemplar de tigrillo (Leopardus wiedii), concluyó satisfactoriamente su proceso de acondicionamiento y se prepara para regresar a su hábitat natural en San Luis Potosí. En abril pasado, la Unidad de Rehabilitación de Fauna Silvestre de Pachuca recibió al felino, nacido en el Centro de Rescate “Selva Teenek”, ubicado en San Luis Potosí, para iniciar su preparación en los biosimuladores de sus instalaciones. Durante este periodo, el ejemplar desarrolló y demostró las habilidades necesarias para sobrevivir en vida silvestre, entre ellas reconocer, rastrear y capturar presas, identificar amenazas potenciales, desplazarse con agilidad y trepar árboles y ramas, además de manifestar conductas propias de su especie. Tras concluir las evaluaciones y cumplir con los requisitos técnicos y administrativos correspondientes, Itzán será liberado en un área protegida de San Luis Potosí, su entidad de procedencia, con el objetivo de favorecer su reincorporación a un entorno natural adecuado. Con este resultado, el ejemplar se convierte en el segundo tigrillo que concluye exitosamente su rehabilitación durante la presente administración, lo que refrenda el compromiso del presidente municipal, Jorge Reyes, con la conservación de la biodiversidad y la protección de la fauna silvestre. El tigrillo es uno de los seis felinos silvestres que habitan en México. Se distingue por su tamaño reducido y actualmente está catalogado en peligro de extinción conforme a la normativa ambiental, por lo que las acciones para su conservación y recuperación resultan fundamentales. A través de la Unidad de Rehabilitación de Fauna Silvestre, el municipio de Pachuca fortalece sus capacidades técnicas y la colaboración con instituciones especializadas para contribuir a la protección de los felinos mexicanos y promover el retorno de ejemplares a su hábitat natural.</t>
  </si>
  <si>
    <t>Rescate de especies</t>
  </si>
  <si>
    <t>El gobierno de Hidalgo avanza en la simplificación y digitalización de trámites para mejorar la atención ciudadana y fortalecer la transparencia gubernamental, de acuerdo con lo señalado por Onésimo Serrano Rivera, encargado del despacho de la Unidad de Planeación y Prospectiva. Serrano Rivera asumió esta responsabilidad de manera inmediata tras la salida del anterior titular, Miguel Tello, destacando que estos procesos tecnológicos buscan construir un gobierno más cercano, confiable y comprometido con la población.</t>
  </si>
  <si>
    <t>Durante las coberturas de las comparecencias en el estado, David Cárdenas destaca la importancia de informar a la ciudadanía sobre este ejercicio fundamental de transparencia y rendición de cuentas. El proceso evalúa el cumplimiento de los criterios establecidos en el plan estatal de desarrollo desde su inicio hasta el momento actual.</t>
  </si>
  <si>
    <t>Durante su comparecencia ante el Congreso estatal, la secretaria de Hacienda, María Esther Ramírez Vargas, destacó que, bajo el liderazgo del gobernador Julio Menchaca Salazar, Hidalgo se posiciona como referente nacional en el manejo responsable de las finanzas públicas. Informó que el estado obtuvo el primer lugar nacional en crecimiento de recursos del Fondo General de Participaciones en el segundo trimestre de 2026, un incremento del 96% en ingresos propios y el primer lugar global en eficiencia recaudatoria del SAT. Asimismo, resaltó una inversión de más de 45,000 millones de pesos en obra pública y programas sociales, la reducción del 42% en la deuda pública heredada y calificaciones crediticias en nivel doble A.</t>
  </si>
  <si>
    <t>Durante su comparecencia ante el Congreso del Estado, la secretaria de Cultura, Neyda Naranjo Baltazar, informó sobre las acciones implementadas en los 84 municipios y destacó la realización de la Feria Internacional del Libro Infantil, así como la participación de Hidalgo en el Congreso Nacional de Bibliotecas Públicas. Asimismo, resaltó el reconocimiento a colaboradores por parte de la Secretaría de Cultura Federal para compartir estrategias en la Biblioteca Vasconcelos, la inclusión en programas sociales y el despliegue del talento artístico hidalguense en escenarios como el Festival Cervantino en Guanajuato, Tamaulipas y Veracruz.</t>
  </si>
  <si>
    <t>Durante su comparecencia ante el Congreso del Estado de Hidalgo con motivo del cuarto informe de administración, el secretario de Gobierno, Guillermo Olivares Reina, destacó los avances en gobernabilidad, seguridad y bienestar social logrados bajo la administración del gobernador Julio Menchaca Salazar. Entre los puntos clave, resaltó que Hidalgo ocupa el noveno lugar nacional en el Índice de Paz México 2026 y la octava posición en percepción de seguridad, producto de la coordinación en más de 220 reuniones de seguridad y miles de acciones de vinculación ciudadana. Asimismo, informó sobre el incremento del 156% en el presupuesto destinado a las mujeres, la digitalización de más de 5 millones de registros y la recuperación de 385 inmuebles estatales. Durante la sesión, la diputada Cynthia Citlali Méndez cuestionó sobre el retraso en el proyecto de construcción de viviendas del bienestar en Ixmiquilpan —específicamente en la comunidad de El Balante— debido a un conflicto agrario. En respuesta, el secretario explicó que, ante la complejidad de dicha disputa, se optó por buscar un nuevo predio ofrecido en donación en el municipio para garantizar la celeridad del proyecto habitacional.</t>
  </si>
  <si>
    <t>El Ayuntamiento de Tulancingo abrió una convocatoria pública para elegir a la persona que encabezará el Órgano Interno de Control, responsable de vigilar el uso de los recursos públicos, supervisar el cumplimiento de las obligaciones administrativas y atender posibles irregularidades dentro del gobierno municipal. La convocatoria fue emitida este lunes 12 de octubre, ante la vacante existente en la titularidad de esta área. El registro de aspirantes comenzará el martes 13 y concluirá el viernes 16 de octubre. La selección estará a cargo de una comisión especial del Ayuntamiento y contempla una evaluación de los conocimientos, la trayectoria profesional y las propuestas de quienes busquen ocupar el puesto. Uno de los requisitos centrales es que las personas interesadas cuenten con título profesional en Derecho, Contaduría Pública o alguna carrera equivalente, además de acreditar experiencia en materia jurídica, administrativa o de fiscalización. La convocatoria también establece restricciones para evitar vínculos partidistas recientes. Los aspirantes no podrán haber estado afiliados a algún partido político ni ocupado cargos de dirección partidista durante el año anterior a su designación. Tampoco podrán haber sido registrados como candidatos ni desempeñado cargos de elección popular durante los últimos cuatro años. Asimismo, deberán estar en pleno ejercicio de sus derechos civiles y políticos, no encontrarse inhabilitados ni contar con sanciones administrativas relacionadas con el encargo.</t>
  </si>
  <si>
    <t>Órgano Interno de Control</t>
  </si>
  <si>
    <t>Tulancingo: La tradición del mole volverá a reunir a las cocineras de Santa Ana Hueytlalpan, en Tulancingo, con la edición número 12 de su feria gastronómica, para la cual ya se abrió el registro de participantes. La convocatoria cerrará el próximo 18 de octubre y los organizadores esperan recibir alrededor de cinco mil visitantes. Este año, la celebración tendrá un significado especial, pues coincidirá con el 18 aniversario del concurso de mole, una tradición que ha permitido conservar las recetas, los ingredientes y las técnicas de preparación transmitidas entre generaciones de familias de la comunidad. La convocatoria está dirigida a personas originarias o residentes de Santa Ana Hueytlalpan que deseen participar y mostrar su talento culinario en uno de los encuentros gastronómicos más representativos de la localidad. Minerva Rosales Gayosso, secretaria de Fomento Económico de Tulancingo, informó que las personas interesadas deberán presentar nombre completo, número telefónico, domicilio y copia de su credencial de elector, además de cumplir con las bases del concurso. La feria también representa una oportunidad comercial para las familias dedicadas a la elaboración de alimentos y otros productos locales, ante la afluencia de visitantes prevista por las autoridades municipales. Más allá de la competencia, el encuentro busca mantener vigentes las distintas formas de preparar el mole, un platillo que ocupa un lugar especial en las celebraciones familiares y comunitarias de Santa Ana Hueytlalpan. El gobierno municipal de Tulancingo, encabezado por Lorena García Cázares, mantiene abierta la convocatoria hasta el domingo 18 de octubre, fecha límite para que las cocineras y demás participantes interesados realicen su registro.</t>
  </si>
  <si>
    <t>Festival Gastronómico</t>
  </si>
  <si>
    <t>A cuatro años del gobierno de Julio Menchaca Salazar, Cultura llegó por primera vez a los 84 municipios</t>
  </si>
  <si>
    <t>La dirigencia de Morena en Hidalgo, encabezada por Marco Antonio Rico Mercado, junto con legisladores federales, presentó una denuncia ante el SAT y la FGR por presuntas irregularidades fiscales vinculadas a la adquisición de un inmueble en Lomas de Chapultepec, Ciudad de México, relacionado con la senadora Carolina Viggiano Austria y su esposo, el exgobernador Rubén Moreira Valdez. La denuncia solicita investigar un posible esquema de simulación fiscal e intermediación mediante empresas como Borsa Inmuebles y Bienes Raíces y Corporativo Awiki. En respuesta, la senadora Viggiano rechazó las acusaciones, calificándolas de persecución política por parte del gobernador Julio Menchaca debido a sus críticas a la administración estatal, y cuestionó a los legisladores morenistas por presuntamente ignorar problemas de inseguridad, salud y deficiencias en obra pública.</t>
  </si>
  <si>
    <t>A propósito de las acciones de acercamiento con la población y tras la comparecencia del secretario de Gobierno, Guillermo Olivares Reyna, este martes se programó una mesa de seguridad a partir de las 14:15 horas. El encuentro se llevará a cabo en la plaza principal del municipio de Tenango de Doria, con la presencia de las y los integrantes del Gabinete de Seguridad estatal, como parte del compromiso de continuar recorriendo las diversas regiones de la entidad hidalguense.</t>
  </si>
  <si>
    <t>Mesas de acercamiento</t>
  </si>
  <si>
    <t>Hidalgo fortalece la paz, seguridad y el diálogo con atención cercana: Guillermo Olivares</t>
  </si>
  <si>
    <t>Radioescucha Dice: «Muy buenos días, Lalito, bendecido martes. Muchísimas gracias por el apoyo, ¡ya nos cayó agüita! Gracias». ¿Les cayó agua? Porque entonces les cayó un hilito. Les cayó un hilito entonces, hemos de suponer, ¿no? No, ya aquí está, dice: en Río de Janeiro ya cayó agüita, dice. Pues bueno, les ha de haber caído el hilito de agua.</t>
  </si>
  <si>
    <t>7 con 27 minutos. La Secretaría de Agricultura de Hidalgo entregó apoyos por 2.9 millones de pesos a productores de Lolotla (mencionado como Lulotla) en la Sierra Alta. El secretario Napoleón González Pérez informó que el beneficio llegará a 194 familias</t>
  </si>
  <si>
    <t>En los últimos 12 meses, 65 de cada 100 mexicanos de 12 años y más asistieron a algún evento cultural, dio a conocer ayer el Instituto Nacional de Estadística y Geografía (Inegi) en los resultados del Módulo sobre Eventos Culturales (Modecult) 2026. Este estudio también destacó que la asistencia a eventos culturales entre la población hablante de alguna lengua indígena fue de 58.6 por ciento.</t>
  </si>
  <si>
    <t>Censo Inegi</t>
  </si>
  <si>
    <t>En dos mil veinticinco de cada cien mil habitantes de México, quince mil seiscientos cuarenta y dos tuvieron contacto con alguna persona servidora pública y experimentaron al menos un acto de corrupción. Hace dos años eran trece mil novecientos sesenta y seis y el INEGI marca ese aumento como estadísticamente significativo. E</t>
  </si>
  <si>
    <t>Combate a la corrupción</t>
  </si>
  <si>
    <t>Juan N., alias "El Moco", detenido en Zacatlán, Puebla, era buscado por su presunta relación con el robo de hidrocarburos, homicidio, portación de armas sin licencia y delitos contra la salud. Esto lo informó el secretario de Seguridad Pública de Puebla, el vicealmirante Francisco Sánchez. De acuerdo con el funcionario, su zona de operación abarcaba municipios como Ahuazotepec, Zacatlán, Chignahuapan y Huauchinango (mencionado como Huautzinango), además de diversas regiones de Hidalgo.</t>
  </si>
  <si>
    <t>Combate Al Huachicol</t>
  </si>
  <si>
    <t>La secretaria de Cultura, Neyda Naranjo Baltazar, presentó ante la LXVI Legislatura del Congreso del Estado el informe correspondiente al cuarto año de la administración de Julio Menchaca Salazar, enmarcado en el Eje 7 del Plan Estatal de Desarrollo 2022-2028.</t>
  </si>
  <si>
    <t>Durante su comparecencia en el Congreso del Estado de Hidalgo, el secretario de Gobierno, Guillermo Olivares Reyna, fue cuestionado por el uso de la fuerza pública para replegar a trabajadores del Instituto Mexicano del Seguro Social que se manifestaron en bulevar Felipe Ángeles el pasado fin de semana.Al respecto, el secretario de Gobierno justificó la acción argumentando que previamente se había acordado con los manifestantes liberar la circulación y, al no cumplir con lo pactado y a petición de la ciudadanía afectada, se optó por llevar a policías estatales para retirar a los trabajadores inconformes.”Lo rompieron, bloquearon y, a partir de ahí y de surgir que lo que les interesaba era obedecer lo que sus líderes nacionales les decían y les decían que no tenían que levantar el bloqueo y que tenían que permanecer, bueno, pues entonces ya estábamos hablando de otra cosa. Ya estábamos hablando de una agresión a la sociedad, a las vías generales de comunicación, y eso pues, simple y sencillamente, no se puede permitir porque es transgredir el orden”</t>
  </si>
  <si>
    <t>El secretario de Gobierno de Hidalgo, Guillermo Olivares Reyna, afirmó que el diálogo y la atención directa han fortalecido la paz, la seguridad y la atención a las mujeres. Esto lo señaló durante su comparecencia ante el Congreso Local. Informó que en cuatro años se realizaron más de noventa y seis mil acciones de atención y vinculación, además de dos mil doscientos acercamientos regionales.También destacó una reducción de treinta y seis por ciento en homicidio doloso y de treinta y tres por ciento en delitos de alto impacto. En materia de atención a las mujeres, indicó que más de ciento cuarenta y siete mil usuarias recibieron servicios especializados y operan cuarenta y un Centros Violeta (mencionados como centros libre).</t>
  </si>
  <si>
    <t>En sesión ordinaria, el secretario de Gobierno, Guillermo Olivares Reyna, compareció ante el Congreso del Estado de Hidalgo como parte del procedimiento relativo al Cuarto Informe del estado que guardan los diversos ramos de la administración pública, encabezada por el gobernador Julio Menchaca.Dentro de los logros más destacados, el secretario informó que, en materia de seguridad y construcción de paz, Hidalgo se ubicó en el noveno lugar nacional en el Índice de Paz México 2026 y en la octava posición en percepción de seguridad.</t>
  </si>
  <si>
    <t>Radioescucha dice: “Muy buenos días, licenciado Larrieta, un gusto y un placer saludarlo a usted, a todo su equipo y a todos sus radioescuchas. Mi punto de vista muy personal, su servidor Emilio Osorio, acerca de lo que dice el secretario de Gobernación de por qué fueron desalojadas las personas del IMSS el día sábado</t>
  </si>
  <si>
    <t>Durante su comparecencia en el Congreso del Estado de Hidalgo, el secretario de Gobierno, Guillermo Olivares Reyna, fue cuestionado por el uso de la fuerza pública para replegar a trabajadores del Instituto Mexicano del Seguro Social que se manifestaron en bulevar Felipe Ángeles el pasado fin de semana.Al respecto,</t>
  </si>
  <si>
    <t>El Secretario de Educación Pública de Hidalgo, Natividad Castrejón Valdés, informó que una de cada cuatro estudiantes (jóvenes) interrumpe sus estudios antes de terminar la preparatoria. Ante esta situación, llamó a madres, padres de familia y docentes a acompañar y apoyar a las y los jóvenes para que continúen su formación. En primaria y secundaria, estamos comprometidos a mejorar la calidad educativa, ¿No? Que tengan mejores conocimientos cuando terminan esas etapas, porque ahí la cobertura está cubierta.</t>
  </si>
  <si>
    <t>Deserción escolar</t>
  </si>
  <si>
    <t>Radioescucha 3910. Dice: «Muy buenos días. Ojalá puedan pasar el reporte nuevamente. Como un mes lleva tapada esta coladera de donde sale agua del caño, esto es en avenida San Judas Tadeo»</t>
  </si>
  <si>
    <t>Dren Pluvial</t>
  </si>
  <si>
    <t>Con una inversión de doce punto nueve millones de pesos el secretario de educación de Hidalgo Natividad Castrejón Valdés entregó un edificio de dos niveles con doce aulas en la primaria Pedro María Anaya allá en Huichapan. Durante su gira de trabajo también recorrió la Universidad Nacional Rosario Castellanos allá en Tecozautla, donde estudian ciento veintiún jóvenes en tres licenciaturas y noventa aspirantes cursan en el semestre propedéutico para ingresar a medicina o enfermería.R</t>
  </si>
  <si>
    <t>Familiares exalcalde de Tlaxcoapan, señalado por peculado y recluido desde hace dos años, se manifestaron afuera del Congreso de Hidalgo, exigen libertad para el expresidente municipal y lo consideran como un preso político.</t>
  </si>
  <si>
    <t>El Servicio de Administración Tributaria publicó una nueva lista de ciento veinte contribuyentes imputados por la emisión de comprobantes fiscales falsos y operaciones simuladas para que la población conozca quiénes están cometiendo estos delitos.En la lista negra aparecen personas físicas y morales de todos los estados del país como Sonora, Sinaloa, Monterrey, Hidalgo, Estado de México y la Ciudad de México, entre otros. Muestran los oficios publicados en el Diario Oficial de la Federación.</t>
  </si>
  <si>
    <t>Factureras</t>
  </si>
  <si>
    <t>El abasto de medicamentos en los hospitales del IMSS en Hidalgo está arriba del noventa y cinco por ciento y se están haciendo compras emergentes para aquellos que no haya de manera inmediata.Esto lo informó el delegado del Instituto en el Estado, José Luis Cendeja Villanueva. “ Está arriba del noventa y cinco por ciento. Pues porque en la salud siempre, aunque falte un medicamento, si en ese momento se necesita, pues lo importante es tenerlo, ¿No? Todas las semanas estamos en las unidades de manera presencial, su servidor todas las semanas está en las unidades, entonces no es nada más falta o ausencia de algún tipo de insumo y estamos trabajando para poderlas suministrar cuando así sea el caso y se están haciendo compras emergentes para en el caso de que no los tengamos de manera inmediata, tenerlos lo más pronto que se pueda”</t>
  </si>
  <si>
    <t>Falta de medicamentos</t>
  </si>
  <si>
    <t>Radioescucha Sr. Pedro Nieto dice: Solamente para reportar una pequeña fuga de agua. Esta se está generando... se está generando en la calle de Padierna, frente al número 103, en el barrio San Clemente, envió evidencia</t>
  </si>
  <si>
    <t>Fuga De Agua</t>
  </si>
  <si>
    <t>El Empleotón 2026 reunió a 17 empresas en el CRIT Hidalgo, donde se ofrecieron 397 vacantes para personas que buscan incorporarse al empleo formal. La Feria Nacional de Empleo para Grupos Vulnerables registró la asistencia de 158 personas y contó con empresas como Coppel, Oxxo, Grupo Rica e Invercap.</t>
  </si>
  <si>
    <t>Participación semanal de Mtro. Roberto Rico con el tema: Informalidad laboral. Comento en su análisis sobre la situación laboral en México e Hidalgo, señaló que las cifras oficiales de ocupación maquillan una severa precariedad, destacando que a nivel nacional el 55% de los trabajadores labora en la informalidad y solo el 48% de los empleos formales registrados en el IMSS percibe un salario digno. Alertó que esta carencia de seguridad social y representación sindical impactará negativamente a futuro las finanzas públicas y el sistema de pensiones. Asimismo, detalló que en Hidalgo la problemática es aún más grave, ya que, a pesar de registrar una baja desocupación del 2.2%, la informalidad laboral alcanza un crítico 72% de su Población Económicamente Activa.el país no tendrá un mercado laboral sano, tendrá una maquinaria de desgaste humano.</t>
  </si>
  <si>
    <t>Informalidad laboral</t>
  </si>
  <si>
    <t>Tres personas murieron calcinadas durante la madrugada de este lunes tras incendiarse una vivienda en la localidad de Palo Hueco en Tepeapulco. De acuerdo con los primeros reportes, el fuego habría sido provocado por terceros. En el lugar presuntamente fue dejada una manta con un mensaje de advertencia e intimidación.Al sofocar las llamas, cuerpos de emergencia localizaron los cuerpos. Hasta el momento se desconoce su identidad y género. La Procuraduría General de Justicia del Estado de Hidalgo inició las investigaciones para esclarecer los hechos, determinar el móvil y establecer quiénes serían los responsables.</t>
  </si>
  <si>
    <t>Con el objetivo de mejorar la iluminación de calles y espacios públicos, el presidente municipal de Mineral de la Reforma, Eduardo Medécigo Rubio, gestiona nuevos proyectos de alumbrado en coordinación con la Comisión Federal de Electricidad (CFE).Como parte de estas acciones, el alcalde sostuvo una reunión con representantes de la Superintendencia de la CFE, en la que revisaron propuestas para fortalecer la infraestructura eléctrica y atender las necesidades de distintas comunidades del municipio.</t>
  </si>
  <si>
    <t>Elementos de la Secretaría de Seguridad Pública de Hidalgo (SSPH) desmantelaron un laboratorio clandestino destinado a la elaboración y procesamiento de droga sintética en Cuautepec de Hinojosa, donde también se descubrió un túnel que comunicaba dos espacios de un mismo terreno, cuyas fachadas aparentaban corresponder a inmuebles independientes</t>
  </si>
  <si>
    <t>Conductor Eulalio Larrieta, da lectura de la supuesta convocatoria de trabajadores del sector salud, con cierres en la CDMX y menciona que tambien posiblemente se realice en una marcha en Pachuca, para este martes 13 de octubre, con el objetivo de exigir mejores condiciones en concordancia con las protestas que se realizarán en la Ciudad de México.De acuerdo con la convocatoria difundida la concentración comenzará a las 15:00 horas en la glorieta de la Hospital General de Zona (HGZ) No. 1 del IMSS, mientras que la marcha está prevista para iniciar puntualmente a las 16:00 horas, en sincronía con una movilización capitalina.</t>
  </si>
  <si>
    <t>Después de casi seis meses de rehabilitación especializada en Pachuca, Itzán, un ejemplar de tigrillo (Leopardus wiedii), concluyó satisfactoriamente su proceso de acondicionamiento y se prepara para regresar a su hábitat natural en San Luis Potosí.En abril pasado, la Unidad de Rehabilitación de Fauna Silvestre de Pachuca recibió al felino, nacido en el Centro de Rescate “Selva Teenek”, ubicado en San Luis Potosí, para iniciar su preparación en los biosimuladores de sus instalaciones.Durante este periodo, el ejemplar desarrolló y demostró las habilidades necesarias para sobrevivir en vida silvestre, entre ellas reconocer, rastrear y capturar presas, identificar amenazas potenciales, desplazarse con agilidad y trepar árboles y ramas, además de manifestar conductas propias de su especie. Tras concluir las evaluaciones y cumplir con los requisitos técnicos y administrativos correspondientes, Itzán será liberado en un área protegida de San Luis Potosí, su entidad de procedencia, con el objetivo de favorecer su reincorporación a un entorno natural adecuado</t>
  </si>
  <si>
    <t>Rehabilitación animal</t>
  </si>
  <si>
    <t>Centro de Bachillerato Tecnológico Agropecuario número 5 de Huejutla, donde suspenden clases presenciales. Esto debido a una falla en el sistema eléctrico. A partir de este martes, los alumnos tendrán que tomar clases de manera virtual.Esto lo dio a conocer la dirección del Centro de Bachillerato Tecnológico Agropecuario número 5, y esto será hasta nuevo aviso, que suspendan las clases presenciales por una falla en el sistema eléctrico.Bueno, pues ojalá que se pueda arreglar y que nuevamente se puedan retomar las clases presenciales, no hay nada como eso. Pero bueno, al final también se resuelve haciéndolos de manera virtual. Parte de lo que nos dejó la pandemia es precisamente eso, la facilidad ahora que se tiene para poderlo hacer de manera virtual, eso y muchas otras cosas más.</t>
  </si>
  <si>
    <t>Suministro de energía</t>
  </si>
  <si>
    <t>Siete de la mañana ya con nueve minutos, organizar las elecciones del dos mil veintisiete en Hidalgo y consultar a la ciudadanía sobre la posible prohibición de las corridas de toros, requerirá casi trescientos noventa y tres millones de pesos, de acuerdo con los proyectos de presupuesto aprobados por el Instituto Estatal Electoral de Hidalgo. De esa cantidad, trescientos veintiséis millones novecientos ochenta mil pesos se destinarían a la organización de las elecciones para renovar los ochenta y cuatro presidencias municipales y las treinta diputaciones del Congreso Local, mientras que otros sesenta y seis millones de pesos serían para la consulta popular sobre las corridas de toros. Ambos ejercicios se realizarían el seis de junio de dos mil veintisiete, por lo que los hidalguenses acudirán a las urnas para elegir a sus nuevas autoridades municipales y legislativas, además de expresar su postura sobre la prohibición de los espectáculos taurinos en el Estado. Son ya las siete de la mañana con diez minutos.</t>
  </si>
  <si>
    <t>Tauromaquia</t>
  </si>
  <si>
    <t>Con una meta conjunta de más de un millón y medio de dosis, el Gobierno de Hidalgo puso en marcha las campañas de vacunación contra influenza, COVID-19 y virus del papiloma humano (VPH), como parte de las acciones para prevenir enfermedades y reducir el riesgo de complicaciones entre la población.A través de la Secretaría de Salud de Hidalgo (SSH), en coordinación con la Secretaría de Educación Pública estatal (SEPH), se busca proteger a la población durante la temporada invernal y prevenir el desarrollo de cáncer cervicouterino asociado al VPH.Las metas contemplan la aplicación de un millón 8 mil 20 dosis contra influenza, 516 mil 620 contra COVID-19 y 53 mil 60 contra el VPH, de acuerdo con la población objetivo de cada estrategia.</t>
  </si>
  <si>
    <t>Con una meta conjunta de más de un millón y medio de dosis, el Gobierno de Hidalgo puso en marcha las campañas de vacunación contra influenza, COVID-19 y virus del papiloma humano (VPH), como parte de las acciones para prevenir enfermedades y reducir el riesgo de complicaciones entre la población.A través de la Secretaría de Salud de Hidalgo (SSH),</t>
  </si>
  <si>
    <t>Radioescucha reporta baches en el tramo de Avenida Madero subiendo por J. Farias hasta Magnolia</t>
  </si>
  <si>
    <t>Vialidad En Mal Estado</t>
  </si>
  <si>
    <t>Taller regional recoge necesidades de tres municipios para orientar el desarrollo de Tula</t>
  </si>
  <si>
    <t>Ordenamiento Territorial</t>
  </si>
  <si>
    <t>Andrés Torres Andrés en respuesta a un radioescucha señala que Radio y Televisión de Hidalgo enfrenta nuevamente subejercicio presupuestario por cuarto o quinto año consecutivo. Asegura que aunque se asignó un presupuesto de 14 millones de pesos para abrir dos estaciones en 2026, no habrá incremento por mala administración. Critica que las prioridades de la gestión están en actividades superficiales, como relaciones públicas, en lugar del trabajo real. Comenta que la transmisión del 15 de septiembre no se realizó correctamente, pues fue realizada por otra empresa que cortó la señal sin avisarles y los dejó hablando solos. Señala la falta de reuniones y de seguimiento en el uso del presupuesto para los proyectos asignados, expresando su preocupación por la situación actual.</t>
  </si>
  <si>
    <t>Andrés Torres dice estar preocupado por la situación en Radio y Televisión de Hidalgo. Comenta que, a pesar de estar en octubre, hay un subejercicio presupuestario continuo desde hace varios años bajo la dirección de Alan Austin y Carlos Barra. Señala que no se han podido gastar los fondos asignados y plantea preguntas sobre la falta de agua y papel en los baños, así como cortes de servicios. También critica que las plazas vacantes no se reponen y que siempre falta equipo y recursos para realizar coberturas o estrategias. Advierte que este problema de subejercicio continuará en los próximos años, lo que indica una mala administración en la institución y falta de conocimiento en la gestión de los recursos.</t>
  </si>
  <si>
    <t>Esta noche del lunes, la comunidad de San Gabriel fue blanco de una doble jornada violenta que incluyó la ejecución a balazos de un hombre dentro de un vehículo y un posterior enfrentamiento armado contra la policía municipal. De acuerdo con fuentes policiales, los hechos comenzaron en un camino de terracería situada a espaldas de la parroquia del poblado de San Gabriel, donde vecinos alertaron sobre ráfagas de armas de fuego. Al arribar, las corporaciones de emergencia hallaron el cuerpo similar de un masculino con múltiples disparos dentro de un automóvil blanco. La zona fue acordonada por peritos de la Procuraduría General de Justicia del Estado de Hidalgo para el levantamiento de indicios. Minutos después, los ocupantes de otro vehículo realizaban detonaciones al aire, lo que motivó la intervención de patrullas municipales. Al notar la presencia de los uniformados, los civiles armados dispararon directamente contra los policías, lo que desató un intercambio de fuego y una persecución. La persecución concluyó cuando los agresores abandonaron el auto en el que se desplazaban y se dieron a la fuga a pie, internándose entre la maleza. La unidad quedó asegurada por las autoridades sin que se reportaran personas detenidas.</t>
  </si>
  <si>
    <t>Ejecuciones</t>
  </si>
  <si>
    <t>Talento hidalguense destaca en las Olimpiadas Mexicanas de Informática 2026</t>
  </si>
  <si>
    <t>Olimpiada de informática</t>
  </si>
  <si>
    <t>Nueva olla de agua reactivará la actividad pecuaria en Zempoala</t>
  </si>
  <si>
    <t>Captación De Agua</t>
  </si>
  <si>
    <t>Se está reportando el hallazgo de 5 cuerpos de se considera igual número de personas que fueron localizadas en una fosa clandestina ubicada en la localidad de Texas, entre el municipio de Atotonilco de Tula. Vaya que ha sido todo un tema Atotonilco de Tula en meses recientes. Esto fue informado por la Comisión de Búsqueda de Personas en el Estado de Hidalgo. El hallazgo se hizo en esta fosa en los límites entre la entidad y el Estado de México. Y ocurrió este hallazgo durante un operativo realizado como parte de los trabajos de búsqueda que mantiene la comisión con apoyo de la Procuraduría General de Justicia del Estado de Hidalgo. De acuerdo con la información oficial, las labores de búsqueda de la comisión eh de búsqueda de personas permitieron localizar el sitio donde se encontraban los cuerpos. Posteriormente, personal de la Procuraduría de Justicia que estuvo a cargo del procesamiento del lugar, lo que permitió recuperar los restos de 5 personas que habían sido inhumadas ilegalmente. Hasta el momento, las autoridades no han informado la identidad de las personas localizadas por lo que continúan los trabajos para lograr su identificación plena. Tiene por momentos eh que se da a conocer esta información. De hecho, también se señala que las autoridades realizarán las acciones necesarias dentro de sus atribuciones para avanzar en la identificación de los cuerpos y posteriormente llevar a cabo su restitución a los familiares a quien correspondan. De hecho, tanto la Comisión de Búsqueda de Personas de Hidalgo como la propia Procuraduría Estatal mantienen coordinación durante el proceso y señalaron que permanecerán abiertos los canales de comunicación con familiares, colectivos, organizaciones y asociaciones dedicadas a la búsqueda de personas. El hallazgo se suma a las labores de búsqueda que se están haciendo en el estado de Hidalgo.</t>
  </si>
  <si>
    <t>Fosa clandestina</t>
  </si>
  <si>
    <t>Traumatismo craneoencefálico fue la causa de muerte del réferi Gerardo Germán Pineda, conocido en el ámbito de la lucha libre como ‘El Búho’, quien falleció tras recibir un martinete durante una función en Mineral de la Reforma, realizada el pasado 6 de octubre. De acuerdo con los resultados de la autopsia, el impacto contra la lona desencadenó un edema cerebral y una hemorragia subaracnoidea, lesiones que derivaron en la muerte del referí. Los resultados del estudio médico fueron ingresados en la carpeta de investigación 12-2026-12673. Los hechos ocurrieron durante un enfrentamiento en el cuadrilátero, cuando presuntamente surgió una discusión entre Pineda y el luchador Hijo de Fishman, quien le aplicó la maniobra que terminó con consecuencias fatales. Tras el fallecimiento del réferi, el luchador fue detenido y señalado por el delito de homicidio doloso; posteriormente recuperó su libertad luego de que se alcanzara un acuerdo con la familia de la víctima. Como parte de ese convenio, se estableció un acuerdo reparatorio de daños que consistió en el pago de 585 mil 525 pesos a familiares del réferi, con lo que se desestimó el caso y los cargos penales.</t>
  </si>
  <si>
    <t>Homicidios</t>
  </si>
  <si>
    <t>Con corte al 30 de septiembre del 2026, el Secretariado Ejecutivo del Sistema Nacional de Seguridad Pública reportó una disminución de 30.1% en los homicidios dolosos que se han registrado en el estado de Hidalgo con un total de 160 casos de enero a septiembre. Los datos corresponden a lo presentado durante la conferencia de prensa matutina a cargo del Gobierno Federal realizada el martes 13 de octubre. Se señaló que de enero a agosto del 2026 la entidad registró 149 homicidios dolosos, el 1.3% del total nacional, en comparación con los 160 casos reportados hasta septiembre, se tuvo un incremento de 11 homicidios hasta el noveno mes. Además, el estado de Hidalgo se ubicó en la posición número 14 entre las entidades con menos registros de homicidios dolosos. Se informó que el promedio diario de homicidios dolosos en México disminuyó más de 52% entre septiembre del 2024 y septiembre del 2026, al pasar de 89.9 a 42.2 casos diarios. Esto significa que en septiembre de este año se registraron 47.7 homicidios dolosos menos por día que en el mismo mes del 2024. La secretaria ejecutiva del Sistema, Marcela Figueroa Franco, detalló que siete entidades concentraron 50% de los homicidios dolosos registrados en el país: Baja California y Guanajuato representaron 8.5% cada uno, Chihuahua 7.8%, Sinaloa 7.7%, el Estado de México 6.4%, Guerrero 5.7% y Morelos 5.2%. Las entidades que destacaron por la reducción de este delito fueron San Luis Potosí, con una disminución de 78.6%, Nayarit 69.5% y Quintana Roo de 59.7%.</t>
  </si>
  <si>
    <t>Incidencia Delictiva</t>
  </si>
  <si>
    <t>Daniel Martínez: esto último acerca de las evaluaciones que hacen de recaudación, calificaciones, etcétera, etcétera, etcétera. Entiendo que está en un quizás en uno de los espacios más delicados, todos tienen su su complejidad, pero más delicados en el manejo de los recursos financieros, este materiales y el más importante que es el humano, pero esta última parte de tenemos buenas calificaciones, no hemos pedido deuda, etcétera, etcétera. Eh entiendo que es la explicación y o justificación de que le vamos a meter 7,000 millones de pesos a tres proyectos, pero no dejamos abandonados y al resto de la infraestructura del estado de Hidalgo. Ánimas que así sea. **Izza Hernández:** Así es, porque sí era alguna de las preguntas, pero bueno, pues ahí está también lo que responden al respecto y serán 7,000 millones de pesos en estos tres proyectos. **Daniel Martínez:** Dicen por acá, "Muchas inversiones para Pachuca y Tulancingo, ¿para cuándo habrá una inversión millonaria?", consideran, pues parece que que nunca, es lo que nos escriben por acá por WhatsApp, por ejemplo. **Daniel Martínez: te parafraseo hoy, es por lo menos el distribuidor vial Pueblos Unidos, por lo menos ya tiene nombre.</t>
  </si>
  <si>
    <t>Obras De Infraestructura</t>
  </si>
  <si>
    <t>El gobierno del estado de Hidalgo ha destinado en coordinación con la Federación 10,200 millones de pesos para poder atender los daños provocados por las lluvias registradas en octubre del 2025. Así lo informó la secretaria de Hacienda estatal, estamos hablando de María Esther Ramírez Vargas, durante la comparecencia ante el Congreso local. El total de recursos alrededor de 2,400 millones de pesos corresponden a obras de infraestructura, mientras que otros 2,100 millones fueron dirigidos a apoyos para habitantes de 236 comunidades, estas ubicadas en 28 municipios afectados por estas precipitaciones. Y bueno, la funcionaria señaló también que pues de alguna forma se contemplan 5,700 millones de pesos para la reconstrucción de puentes, además también una bolsa de 800 millones destinada a cerca de 300 obras que todavía pues se encuentran en proceso de validación o contratación y de acuerdo con lo expuesto ante los legisladores, se prevé que los procedimientos relacionados con estas obras queden concluidos antes de finalizar el 2026, todo esto como parte de las acciones para poder recuperar la infraestructura dañada y atender también a las zonas que resultaron afectadas por las lluvias. De hecho, la funcionaria señaló también que alrededor de 300 obras se, bueno, que implican una inversión de 800 millones de pesos continúan en proceso de validación y contratación también, así lo informó María Esther Ramírez Vargas, quien es secretaria de Hacienda estatal. Explicó también que pues la reconstrucción contempló una bolsa total de 10,200 millones de pesos para poder atender los daños registrados en 236 comunidades de 28 municipios de la entidad. De ese monto, 4,500 millones corresponden a recursos estatales y el resto a las aportaciones de la Federación. De hecho, de la inversión estatal 2,400 millones de pesos se destinaron a infraestructura, mientras que 2,100 millones pues se asignaron a los eh apoyos precisamente en especie. Y Ramírez Vargas agregó también que los trabajos de reconstrucción continúan y que la aplicación también de los recursos para las obras pues están a cargo de la Secretaría de Infraestructura Pública y Desarrollo Urbano Sostenible porque es la ejecutora del gasto. Entonces pues de esta manera, Daniel es como pues dan a conocer cuánto se estaría o se estima pues a la reconstrucción tras la lluvia en el 2025, ya un año, por cierto, de esto.</t>
  </si>
  <si>
    <t>Diálogo abierto y atención directa con la ciudadanía en la Mesa de Seguridad de Tenango de Doria</t>
  </si>
  <si>
    <t>Mesa de seguridad</t>
  </si>
  <si>
    <t>Hidalgo fortalece la atención a la infancia desde sus primeros años de vida</t>
  </si>
  <si>
    <t>Capacitación médica</t>
  </si>
  <si>
    <t>Andrés Torres señala que hay un subejercicio, que se habían previsto 14 millones de pesos para Radio y Televisión Hidalgo en 2026 con el fin de abrir dos estaciones, una en Tenango de Doria y otra en Pachuca. Sin embargo, debido a errores, conflictos de interés y falta de conocimiento del personal administrativo, no se podrán abrir estas estaciones. Hay preocupación sobre el destino de esos fondos, y se ha discutido esta situación con el secretario de gobierno, Guillermo Olivares. Cuestiona la capacidad de quienes dirigen los proyectos, como Alan Austin y Carlos Barra, ya que no tienen experiencia en medios de comunicación. Critica la falta de profesionalismo en la propuesta de crear una agencia informativa por alguien que nunca ha trabajado en ese sector. Señala que una agencia informativa debe operar todos los días y las 24 horas, pero el actual director parece más interesado en relaciones públicas y favores personales que en la gestión efectiva de la información. Plantea que la falta de habilidades y experiencia de los líderes está causando el fracaso de proyectos importantes en la radio y televisión pública. Asimismo, destaca la necesidad de tener personas capacitadas al mando para que las iniciativas tengan éxito. A pesar de las amenazas de despido que pueda recibir, expresa que no teme y critica abiertamente la situación actual, cuestionando si los responsables entienden el descontrol en el que se encuentran. Asegura que es necesario realizar ajustes significativos para mejorar la situación en Radio y Televisión Hidalgo.</t>
  </si>
  <si>
    <t>Hoy tenemos comparecencia, a las 10 de la mañana asiste el secretario de Economía a cargo del ingeniero Carlos Henkel Escorza, más tarde a las 16 horas la Contraloría a cargo del director doctor Álvaro Bardales Ramírez.</t>
  </si>
  <si>
    <t>Hidalgo vive un momento histórico: finanzas sólidas e inversión récord</t>
  </si>
  <si>
    <t>Seguimos fuera del aire y no tenemos noticias de cuándo volverá la señal de la estación en Jacala de Ledezma, operando en el 91.1 de frecuencia modulada. Este problema se debe a cuestiones de proveedores y fallos técnicos. A pesar de nuestros esfuerzos por reportar la situación, esto parece no ser prioridad para el área administrativa, que está ocupada con auditorías, demandas y otros asuntos que no están relacionados con nuestro trabajo. Esto genera frustración entre los empleados, quienes también comentan sobre el ambiente laboral lleno de acosos y preocupaciones constantes. Existen dificultades diarias y a menudo se nos culpa por problemas como la falta de energía eléctrica. Por otro lado, el área administrativa no se encarga de cosas simples, como el pago de servicios esenciales, lo que requiere que se les envíen recordatorios continuos. Este tipo de gestión ocasiona una pérdida de tiempo y recursos. A pesar de que presumen ser profesionales, muchos no están a la altura de sus responsabilidades. Además, se menciona que el periodismo en Hidalgo ha cambiado, pero en realidad no se ve una mejora significativa. La comunicación se centra más en relaciones públicas que en el ejercicio periodístico real. El liderazgo dentro de la institución también se cuestiona. Hay líderes que no tienen experiencia en periodismo ni en el funcionamiento de una agencia informativa. A menudo están más preocupados por hacer relaciones públicas y solicitar favores de otros secretarios que en impulsar un trabajo efectivo. Esto lleva a que proyectos importantes fracasen porque son dirigidos por personas inexpertas. La situación ha alcanzado un punto crítico y se plantea la necesidad de realizar ajustes genuinos. La obligación de la radio y la televisión pública es informar a la población y mantener operativas sus plataformas. Sin embargo, el funcionamiento actual parece más enfocado en el beneficio personal de algunos empleados, y la programación se revisa para determinar cuántos programas son originales y cuántos son repetidos, lo que muestra una falta de innovación. Finalmente, se reporta que hay dificultades para cumplir con la programación adecuada. Los programas se repiten habitualmente y se cuentan como producciones propias, lo que evidencia un problema en la calidad y autenticidad de la producción de contenido. Así, la situación general dentro de la estación y el ambiente laboral se perciben caóticos, y la falta de dirección y profesionalismo se destacan como factores que afectan gravemente a la institución.</t>
  </si>
  <si>
    <t>En Cuautepec, se descubrió otro túnel usado para sacar hidrocarburo de los ductos de Pemex. La Guardia Nacional, el gobierno del Estado de Hidalgo y la Policía Municipal realizaron un operativo que resultó en varias detenciones. El robo de hidrocarburo es un problema serio en la zona de Cuautepec y Santiago Tulantepec, donde hay operativos diarios.</t>
  </si>
  <si>
    <t>Ayer hubo manifestación por parte de trabajadores del IMSS. Hoy se espera una marcha por parte de familiares de personas desaparecidas, esto se realizará de la Plaza Juárez hasta la Comisión de Búsqueda de Personas del Estado de Hidalgo.</t>
  </si>
  <si>
    <t>Andrés Torres informa que a Secretaría de Salud ha iniciado una campaña de vacunación estatal contra el covid y la influenza. Se invita a las personas a acudir a los centros de salud, clínicas y hospitales más cercanos, donde las vacunas son gratuitas. La meta es aplicar más de un millón y medio de vacunas antes de que comience el invierno, que empieza entre el 20 y el 25 de diciembre. Se prioriza la vacunación de niños menores de 5 años, adultos mayores y personas con enfermedades crónicas. También se recuerda la importancia de recibir el refuerzo contra el covid. Si alguien presenta síntomas como dolor de cabeza, congestión nasal o fiebre, debe ir de inmediato a su centro de salud, ya que no se recomienda la automedicación.</t>
  </si>
  <si>
    <t>En el estado de Hidalgo, tras una solicitud de familiares de personas desaparecidas, la Comisión de Búsqueda de Personas localizó una fosa clandestina con los restos de cinco personas en la región comprendida entre Atotonilco de Tula, Tula y Atitalaquia. Luis Piña Sánchez, director de acciones de búsqueda, informó que los cuerpos presentaban un nivel avanzado de descomposición. Las autoridades se encuentran realizando los trabajos periciales y ministeriales correspondientes para lograr la identificación de las víctimas, mientras los familiares permanecen a la espera de los resultados.</t>
  </si>
  <si>
    <t>Durante su comparecencia ante el Congreso local, la secretaria de Hacienda, María Esther Ramírez Vargas, informó que las finanzas públicas de Hidalgo se han fortalecido mediante la planeación estratégica, la disciplina financiera y el robustecimiento de los ingresos propios, los cuales aumentaron un 96% al pasar de $4,916 millones de pesos en 2021 a más de $9,636 millones al cierre de 2025 sin incrementar impuestos. Asimismo, destacó que estas acciones, sumadas a la reducción del 42% de la deuda heredada y a la disminución de la dependencia de participaciones federales, han permitido que agencias calificadoras como Fitch Ratings y Moody's Local ubiquen al estado en el rango AA por su solvencia, liquidez y disciplina financiera.</t>
  </si>
  <si>
    <t>Hidalgo consolida su crecimiento turístico con más visitantes, inversión y promoción</t>
  </si>
  <si>
    <t>La Comisión de Búqueda de Personas del Estado de Hidalgo localizó cinco cuerpos inhumados ilegalmente</t>
  </si>
  <si>
    <t>Ha dado mucho de qué hablar el tema de la muerte del réferi allá en Mineral de la Reforma, incluso hoy hubo una conferencia de prensa; hoy se confirma que el traumatismo craneoencefálico fue la causa de muerte de Gerardo Germán Pineda, conocido en el ámbito de la lucha libre como «El Búho», quien falleció tras recibir un martinete durante una función en Mineral de la Reforma; el Hijo de Fishman fue el que le practicó esta llave.</t>
  </si>
  <si>
    <t>En el municipio de Atotonilco de Tula. A través de un comunicado oficial emitido hoy, 14 de octubre, la Comisión de Búsqueda de Personas del Estado de Hidalgo informó sobre la localización de cinco cuerpos inhumados, enterrados de manera ilegal, en la localidad de Tejas, perteneciente al municipio de Atotonilco de Tula, en los límites con el Estado de México.</t>
  </si>
  <si>
    <t>Como parte del ejercicio de rendición de cuentas ante el Congreso del estado de Hidalgo, la secretaria de Turismo del Estado de Hidalgo, Elizabeth Quintanar Gómez, presentó los principales resultados alcanzados durante la presente administración, con una política turística ecabezada por el gobernador Julio Menchaca Salazar, que coloca al sector como una herramienta para generar desarrollo regional, fortalecer las economías locales y mejorar el bienestar de las familias hidalguenses.</t>
  </si>
  <si>
    <t>Una mujer de 40 años fue liberada y su expareja detenida durante un operativo de la policía estatal en Tulancingo. Según el reporte, la víctima fue amagada con una escopeta cuando dejaba a su hijo en la escuela en la colonia La Cañada y trasladada a un inmueble del barrio Otontepec. Al llegar los policías, el hombre presuntamente disparó contra ellos.La mujer fue puesta a salvo y el detenido, identificado con las iniciales S. R. P., de 43 años, quedó a disposición de las autoridades. En el operativo aseguraron una escopeta y dos rifles. Un policía resultó lesionado en una mano y una patrulla recibió un impacto de bala.</t>
  </si>
  <si>
    <t>Personal de salud y estudiantes de medicina recibieron capacitación en desarrollo infantil temprano, durante un curso-taller realizado en Tizayuca. La actividad fue encabezada por la secretaria de Salud de Hidalgo, Vanessa Escalante Arroyo, y estuvo dirigida a alumnos del Instituto Educativo y Cultural de Hidalgo. Fundación Televisa impartió la jornada enfocada en fortalecer la atención integral de niñas y niños desde sus primeros años.</t>
  </si>
  <si>
    <t>Movilidad, infraestructura, servicios y crecimiento urbano, fueron algunos de los temas analizados por habitantes y autoridades de Ajacuba, Tetepango y Tlaxcoapan, durante un taller para elaborar el programa regional de desarrollo urbano y ordenamiento territorial de Tula.</t>
  </si>
  <si>
    <t>La Unidad de Policía Cibernética alerta a compradores de bienes y servicios por Internet, para que no caigan en una nueva modalidad de fraude, que consiste en la comercialización ficticia de productos y servicios a través de Internet. Esto mediante ofertas engañosas, cuyo objetivo es obtener dinero o información personal de las víctimas sin entregar lo prometido.</t>
  </si>
  <si>
    <t>Ciberseguridad</t>
  </si>
  <si>
    <t>Un grupo de personas se concentraron frente al Congreso del Estado, allá en Pachuca, para exigir la liberación de Macario y Lorenzo, habitantes de Julián Villagrán, Ixmiquilpan, a quienes consideran presos políticos. Los inconformes denunciaron presuntas irregularidades en el proceso relacionado con un conflicto agrario entre Julián Villagrán y Pueblo Nuevo. Aseguran que hay pruebas para desvirtuar las acusaciones y piden que ambos enfrenten su proceso en libertad.Estamos aquí, que ya resuelva este problema, dos años. Justamente la ley dice que ninguna persona debe estar detenida injustamente. Justamente dice la ley que ninguna persona debe estar detenida si no hay pruebas en su contra, si no hay pruebas para que esté detenido, debe ser liberado. La ley lo está marcando. Es una ley que desgraciadamente viola, viola hasta los derechos humanos, viola las garantías.</t>
  </si>
  <si>
    <t>La entidad pasó de cuatro punto nueve millones de visitantes en dos mil veintidós a más de seis punto cinco millones en lo que va de este dos mil veintiséis, con una derrama económica superior a los catorce mil millones de pesos y una ocupación hotelera promedio anual del cincuenta y tres punto nueve por ciento.</t>
  </si>
  <si>
    <t>Hidalgo obtuvo una medalla de plata, una de bronce y dos menciones honoríficas en la Olimpiada Mexicana de Informática en su edición para primaria y secundaria dos mil veintiséis, competencias de las que fue sede nacional y en las que participaron veinticinco delegaciones.Juan José Pérez Domínguez, de la preparatoria Alberto Zoebisch, ganó plata en bachillerato, mientras que Iker Daniel Pérez Domínguez, del centro educativo Calmécac, obtuvo bronce en secundaria. José Alberto Lorenzana Cortés, de Tulancingo, y Maxel Uziel Quijano Sánchez, de Tezontepec de Aldama, recibieron menciones honoríficas. Los estudiantes tuvieron ocho meses de capacitación en programación, algoritmos y resolución de problemas. Bueno, pues muchas felicidades. Son ya las siete con veintisiete minutos.</t>
  </si>
  <si>
    <t>La secretaria de Cultura de Hidalgo, Neyda Naranjo Baltazar, compareció ante el Congreso del Estado como parte de la glosa del informe de actividades del gobernador Julio Menchaca Salazar, donde fue cuestionada sobre la tauromaquia, al señalar que la fiesta brava forma parte de expresiones históricas, literarias y comunitarias de México y de Hidalgo. En ese sentido, manifestó su postura a favor de los espectáculos sin sangre.</t>
  </si>
  <si>
    <t>Ayer le platicábamos de esta información que le vamos a compartir de que ya iniciaron las campañas de vacunación en la región de Tula-Tepeji contra influenza, COVID-19 y virus del papiloma humano para prevenir enfermedades y complicaciones. Aquí está la información completa con nuestra compañera Claudia Alcántara.La vacunación por COVID-19 e influenza en la zona Tula-Tepeji comenzó con poca afluencia. Sin embargo, los ciudadanos que están asistiendo a inmunizarse a centros de salud nos señalaron que el propósito es prevenir un cuadro grave en caso de llegar a contagiarse de esos virus, además de inhibir la propagación de forma descontrolada como ocurrió en el dos mil veinte y dos mil veintiuno</t>
  </si>
  <si>
    <t>El secretario de gobierno de Hidalgo, Guillermo Olivares Reyna, informó que siete municipios de la entidad aún no cuentan con su atlas de riesgo. Mientras que otros 17 se encuentran en proceso de gestión para obtenerlo y 60 ya disponen de este documento fundamental para identificar las zonas vulnerables ante fenómenos naturales y otras emergencias.Y de los municipios hablábamos de que hay 17 municipios que no obstante les damos respaldo económico hasta un 40% del costo de estas herramientas pues están en estos momentos un año porque al final de cuentas suelten con el instrumento.</t>
  </si>
  <si>
    <t>Atlas de Riesgos</t>
  </si>
  <si>
    <t>La secretaria de Hacienda de Hidalgo, María Esther Ramírez Vargas, informó ante el Congreso local que los ingresos propios del Estado crecieron 96% entre 2021 y 2025, sin aumentar las tasas de impuestos vigentes</t>
  </si>
  <si>
    <t>Panorama Informativo</t>
  </si>
  <si>
    <t>Radioescucha Solo para comentarle: el tráfico para la México a la altura del puente de Venta Prieta está tremendo y avanzando por una obra que ya lleva 45 días. Pues a ver cuándo lo abren ya, sí está complicado todo ese tráfico en esa zona.</t>
  </si>
  <si>
    <t>Rehabilitación Vial</t>
  </si>
  <si>
    <t>Radioescucha 9313. Señor Fidel, Licenciado, pues reportándome. Aquí en Ampliación Santa Julia, segunda sección, no cae agua. Más de una semana en la calle 18. Urgente, licenciado, por favor, nos encontramos sin agua</t>
  </si>
  <si>
    <t>Pasando al panorama local, hoy por la madrugada, la Comisión de Búsqueda de Personas del Estado de Hidalgo informó que localizó cinco cuerpos inhumados ilegalmente. Estos cinco cuerpos fueron localizados en una fosa clandestina en la localidad de Texas, municipio de Atotonilco de Tula, en los límites del Estado de México, y esto fue como resultado de los trabajos de búsqueda realizados de forma permanente por la Comisión de Búsqueda de Personas del Estado de Hidalgo con apoyo de la Procuraduría General de Justicia del Estado de Hidalgo.</t>
  </si>
  <si>
    <t>Esther Ramírez Vargas , titular de la Secretaría de Hacienda de Hidalgo, compareció ante legisladores del Congreso del Estado de Hidalgo, destacó las finanzas sanas de la entidad.</t>
  </si>
  <si>
    <t>Estudiantes hidalguenses destacaron en las Olimpiadas Mexicanas de Informática 2026, obtuvieron medallas de plata y bronce.</t>
  </si>
  <si>
    <t>Elementos de la Secretaría de Seguridad Pública de Hidalgo (SSPH) liberaron a una mujer de 40 años, presuntamente privada de la libertad por su expareja, y detuvieron al probable responsable, durante un operativo realizado en Tulancingo, tras recibir una denuncia ciudadana.De acuerdo con el reporte, los hechos ocurrieron alrededor de las 06:40 horas, cuando la mujer dejaba a su hijo en la escuela, en la colonia La Cañada</t>
  </si>
  <si>
    <t>Comento Eulalio Larrieta sobre la marcha de ayer. «Fue una manifestación limpia, tranquila, sin agresiones, sin insultos hacia... a la sociedad ni nada de ellos. Vinieron a pedir lo que querían, lo que necesitan. Sí sé que es del ámbito federal». Y lo dijo el secretario de Gobierno el pasado fin de semana: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</si>
</sst>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0" tableType="queryTable" totalsRowShown="0">
  <autoFilter ref="A1:M140"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0"/>
  <sheetViews>
    <sheetView tabSelected="1" topLeftCell="A105" workbookViewId="0">
      <selection activeCell="A140" sqref="A140"/>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3.140625" bestFit="1" customWidth="1"/>
    <col min="8" max="8" width="12.42578125"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30</v>
      </c>
    </row>
    <row r="2" spans="1:13" x14ac:dyDescent="0.25">
      <c r="A2" s="2">
        <v>46308</v>
      </c>
      <c r="B2" s="1" t="str">
        <f ca="1">IF(Información1[[#This Row],[Fecha]]='Ajuste de fechas'!$A$2,"Día actual","Día anterior")</f>
        <v>Día anterior</v>
      </c>
      <c r="C2" t="s">
        <v>8</v>
      </c>
      <c r="D2" t="s">
        <v>9</v>
      </c>
      <c r="E2" t="s">
        <v>170</v>
      </c>
      <c r="F2" t="s">
        <v>6</v>
      </c>
      <c r="G2" t="s">
        <v>64</v>
      </c>
      <c r="H2" t="s">
        <v>37</v>
      </c>
      <c r="I2" t="s">
        <v>10</v>
      </c>
      <c r="J2" t="s">
        <v>24</v>
      </c>
      <c r="K2" t="s">
        <v>44</v>
      </c>
      <c r="L2" t="s">
        <v>26</v>
      </c>
      <c r="M2">
        <v>1</v>
      </c>
    </row>
    <row r="3" spans="1:13" x14ac:dyDescent="0.25">
      <c r="A3" s="2">
        <v>46308</v>
      </c>
      <c r="B3" s="1" t="str">
        <f ca="1">IF(Información1[[#This Row],[Fecha]]='Ajuste de fechas'!$A$2,"Día actual","Día anterior")</f>
        <v>Día anterior</v>
      </c>
      <c r="C3" t="s">
        <v>56</v>
      </c>
      <c r="D3" t="s">
        <v>57</v>
      </c>
      <c r="E3" t="s">
        <v>119</v>
      </c>
      <c r="F3" t="s">
        <v>15</v>
      </c>
      <c r="G3" t="s">
        <v>90</v>
      </c>
      <c r="H3" t="s">
        <v>37</v>
      </c>
      <c r="I3" t="s">
        <v>17</v>
      </c>
      <c r="J3" t="s">
        <v>29</v>
      </c>
      <c r="K3" t="s">
        <v>44</v>
      </c>
      <c r="L3" t="s">
        <v>26</v>
      </c>
      <c r="M3">
        <v>1</v>
      </c>
    </row>
    <row r="4" spans="1:13" x14ac:dyDescent="0.25">
      <c r="A4" s="2">
        <v>46308</v>
      </c>
      <c r="B4" s="1" t="str">
        <f ca="1">IF(Información1[[#This Row],[Fecha]]='Ajuste de fechas'!$A$2,"Día actual","Día anterior")</f>
        <v>Día anterior</v>
      </c>
      <c r="C4" t="s">
        <v>56</v>
      </c>
      <c r="D4" t="s">
        <v>57</v>
      </c>
      <c r="E4" t="s">
        <v>126</v>
      </c>
      <c r="F4" t="s">
        <v>15</v>
      </c>
      <c r="G4" t="s">
        <v>90</v>
      </c>
      <c r="H4" t="s">
        <v>37</v>
      </c>
      <c r="I4" t="s">
        <v>17</v>
      </c>
      <c r="J4" t="s">
        <v>29</v>
      </c>
      <c r="K4" t="s">
        <v>44</v>
      </c>
      <c r="L4" t="s">
        <v>26</v>
      </c>
      <c r="M4">
        <v>1</v>
      </c>
    </row>
    <row r="5" spans="1:13" x14ac:dyDescent="0.25">
      <c r="A5" s="2">
        <v>46308</v>
      </c>
      <c r="B5" s="1" t="str">
        <f ca="1">IF(Información1[[#This Row],[Fecha]]='Ajuste de fechas'!$A$2,"Día actual","Día anterior")</f>
        <v>Día anterior</v>
      </c>
      <c r="C5" t="s">
        <v>56</v>
      </c>
      <c r="D5" t="s">
        <v>57</v>
      </c>
      <c r="E5" t="s">
        <v>133</v>
      </c>
      <c r="F5" t="s">
        <v>15</v>
      </c>
      <c r="G5" t="s">
        <v>90</v>
      </c>
      <c r="H5" t="s">
        <v>37</v>
      </c>
      <c r="I5" t="s">
        <v>7</v>
      </c>
      <c r="J5" t="s">
        <v>29</v>
      </c>
      <c r="K5" t="s">
        <v>58</v>
      </c>
      <c r="L5" t="s">
        <v>34</v>
      </c>
      <c r="M5">
        <v>1</v>
      </c>
    </row>
    <row r="6" spans="1:13" x14ac:dyDescent="0.25">
      <c r="A6" s="2">
        <v>46308</v>
      </c>
      <c r="B6" s="1" t="str">
        <f ca="1">IF(Información1[[#This Row],[Fecha]]='Ajuste de fechas'!$A$2,"Día actual","Día anterior")</f>
        <v>Día anterior</v>
      </c>
      <c r="C6" t="s">
        <v>72</v>
      </c>
      <c r="D6" t="s">
        <v>88</v>
      </c>
      <c r="E6" t="s">
        <v>171</v>
      </c>
      <c r="F6" t="s">
        <v>83</v>
      </c>
      <c r="G6" t="s">
        <v>84</v>
      </c>
      <c r="H6" t="s">
        <v>37</v>
      </c>
      <c r="I6" t="s">
        <v>7</v>
      </c>
      <c r="J6" t="s">
        <v>24</v>
      </c>
      <c r="K6" t="s">
        <v>89</v>
      </c>
      <c r="L6" t="s">
        <v>25</v>
      </c>
      <c r="M6">
        <v>1</v>
      </c>
    </row>
    <row r="7" spans="1:13" x14ac:dyDescent="0.25">
      <c r="A7" s="2">
        <v>46308</v>
      </c>
      <c r="B7" s="1" t="str">
        <f ca="1">IF(Información1[[#This Row],[Fecha]]='Ajuste de fechas'!$A$2,"Día actual","Día anterior")</f>
        <v>Día anterior</v>
      </c>
      <c r="C7" t="s">
        <v>56</v>
      </c>
      <c r="D7" t="s">
        <v>57</v>
      </c>
      <c r="E7" t="s">
        <v>111</v>
      </c>
      <c r="F7" t="s">
        <v>13</v>
      </c>
      <c r="G7" t="s">
        <v>112</v>
      </c>
      <c r="H7" t="s">
        <v>37</v>
      </c>
      <c r="I7" t="s">
        <v>7</v>
      </c>
      <c r="J7" t="s">
        <v>28</v>
      </c>
      <c r="K7" t="s">
        <v>102</v>
      </c>
      <c r="L7" t="s">
        <v>25</v>
      </c>
      <c r="M7">
        <v>1</v>
      </c>
    </row>
    <row r="8" spans="1:13" x14ac:dyDescent="0.25">
      <c r="A8" s="2">
        <v>46308</v>
      </c>
      <c r="B8" s="1" t="str">
        <f ca="1">IF(Información1[[#This Row],[Fecha]]='Ajuste de fechas'!$A$2,"Día actual","Día anterior")</f>
        <v>Día anterior</v>
      </c>
      <c r="C8" t="s">
        <v>56</v>
      </c>
      <c r="D8" t="s">
        <v>57</v>
      </c>
      <c r="E8" t="s">
        <v>105</v>
      </c>
      <c r="F8" t="s">
        <v>13</v>
      </c>
      <c r="G8" t="s">
        <v>77</v>
      </c>
      <c r="H8" t="s">
        <v>37</v>
      </c>
      <c r="I8" t="s">
        <v>17</v>
      </c>
      <c r="J8" t="s">
        <v>28</v>
      </c>
      <c r="K8" t="s">
        <v>58</v>
      </c>
      <c r="L8" t="s">
        <v>25</v>
      </c>
      <c r="M8">
        <v>1</v>
      </c>
    </row>
    <row r="9" spans="1:13" x14ac:dyDescent="0.25">
      <c r="A9" s="2">
        <v>46308</v>
      </c>
      <c r="B9" s="1" t="str">
        <f ca="1">IF(Información1[[#This Row],[Fecha]]='Ajuste de fechas'!$A$2,"Día actual","Día anterior")</f>
        <v>Día anterior</v>
      </c>
      <c r="C9" t="s">
        <v>8</v>
      </c>
      <c r="D9" t="s">
        <v>9</v>
      </c>
      <c r="E9" t="s">
        <v>65</v>
      </c>
      <c r="F9" t="s">
        <v>13</v>
      </c>
      <c r="G9" t="s">
        <v>66</v>
      </c>
      <c r="H9" t="s">
        <v>37</v>
      </c>
      <c r="I9" t="s">
        <v>10</v>
      </c>
      <c r="J9" t="s">
        <v>28</v>
      </c>
      <c r="K9" t="s">
        <v>11</v>
      </c>
      <c r="L9" t="s">
        <v>26</v>
      </c>
      <c r="M9">
        <v>1</v>
      </c>
    </row>
    <row r="10" spans="1:13" x14ac:dyDescent="0.25">
      <c r="A10" s="2">
        <v>46308</v>
      </c>
      <c r="B10" s="1" t="str">
        <f ca="1">IF(Información1[[#This Row],[Fecha]]='Ajuste de fechas'!$A$2,"Día actual","Día anterior")</f>
        <v>Día anterior</v>
      </c>
      <c r="C10" t="s">
        <v>8</v>
      </c>
      <c r="D10" t="s">
        <v>9</v>
      </c>
      <c r="E10" t="s">
        <v>67</v>
      </c>
      <c r="F10" t="s">
        <v>13</v>
      </c>
      <c r="G10" t="s">
        <v>66</v>
      </c>
      <c r="H10" t="s">
        <v>37</v>
      </c>
      <c r="I10" t="s">
        <v>10</v>
      </c>
      <c r="J10" t="s">
        <v>28</v>
      </c>
      <c r="K10" t="s">
        <v>11</v>
      </c>
      <c r="L10" t="s">
        <v>26</v>
      </c>
      <c r="M10">
        <v>1</v>
      </c>
    </row>
    <row r="11" spans="1:13" x14ac:dyDescent="0.25">
      <c r="A11" s="2">
        <v>46308</v>
      </c>
      <c r="B11" s="1" t="str">
        <f ca="1">IF(Información1[[#This Row],[Fecha]]='Ajuste de fechas'!$A$2,"Día actual","Día anterior")</f>
        <v>Día anterior</v>
      </c>
      <c r="C11" t="s">
        <v>8</v>
      </c>
      <c r="D11" t="s">
        <v>9</v>
      </c>
      <c r="E11" t="s">
        <v>68</v>
      </c>
      <c r="F11" t="s">
        <v>33</v>
      </c>
      <c r="G11" t="s">
        <v>66</v>
      </c>
      <c r="H11" t="s">
        <v>37</v>
      </c>
      <c r="I11" t="s">
        <v>10</v>
      </c>
      <c r="J11" t="s">
        <v>16</v>
      </c>
      <c r="K11" t="s">
        <v>11</v>
      </c>
      <c r="L11" t="s">
        <v>26</v>
      </c>
      <c r="M11">
        <v>1</v>
      </c>
    </row>
    <row r="12" spans="1:13" x14ac:dyDescent="0.25">
      <c r="A12" s="2">
        <v>46308</v>
      </c>
      <c r="B12" s="1" t="str">
        <f ca="1">IF(Información1[[#This Row],[Fecha]]='Ajuste de fechas'!$A$2,"Día actual","Día anterior")</f>
        <v>Día anterior</v>
      </c>
      <c r="C12" t="s">
        <v>8</v>
      </c>
      <c r="D12" t="s">
        <v>9</v>
      </c>
      <c r="E12" t="s">
        <v>80</v>
      </c>
      <c r="F12" t="s">
        <v>35</v>
      </c>
      <c r="G12" t="s">
        <v>66</v>
      </c>
      <c r="H12" t="s">
        <v>37</v>
      </c>
      <c r="I12" t="s">
        <v>10</v>
      </c>
      <c r="J12" t="s">
        <v>24</v>
      </c>
      <c r="K12" t="s">
        <v>11</v>
      </c>
      <c r="L12" t="s">
        <v>26</v>
      </c>
      <c r="M12">
        <v>1</v>
      </c>
    </row>
    <row r="13" spans="1:13" x14ac:dyDescent="0.25">
      <c r="A13" s="2">
        <v>46308</v>
      </c>
      <c r="B13" s="1" t="str">
        <f ca="1">IF(Información1[[#This Row],[Fecha]]='Ajuste de fechas'!$A$2,"Día actual","Día anterior")</f>
        <v>Día anterior</v>
      </c>
      <c r="C13" t="s">
        <v>8</v>
      </c>
      <c r="D13" t="s">
        <v>9</v>
      </c>
      <c r="E13" t="s">
        <v>76</v>
      </c>
      <c r="F13" t="s">
        <v>14</v>
      </c>
      <c r="G13" t="s">
        <v>66</v>
      </c>
      <c r="H13" t="s">
        <v>37</v>
      </c>
      <c r="I13" t="s">
        <v>10</v>
      </c>
      <c r="J13" t="s">
        <v>24</v>
      </c>
      <c r="K13" t="s">
        <v>11</v>
      </c>
      <c r="L13" t="s">
        <v>26</v>
      </c>
      <c r="M13">
        <v>1</v>
      </c>
    </row>
    <row r="14" spans="1:13" x14ac:dyDescent="0.25">
      <c r="A14" s="2">
        <v>46308</v>
      </c>
      <c r="B14" s="1" t="str">
        <f ca="1">IF(Información1[[#This Row],[Fecha]]='Ajuste de fechas'!$A$2,"Día actual","Día anterior")</f>
        <v>Día anterior</v>
      </c>
      <c r="C14" t="s">
        <v>8</v>
      </c>
      <c r="D14" t="s">
        <v>9</v>
      </c>
      <c r="E14" t="s">
        <v>73</v>
      </c>
      <c r="F14" t="s">
        <v>12</v>
      </c>
      <c r="G14" t="s">
        <v>66</v>
      </c>
      <c r="H14" t="s">
        <v>37</v>
      </c>
      <c r="I14" t="s">
        <v>10</v>
      </c>
      <c r="J14" t="s">
        <v>24</v>
      </c>
      <c r="K14" t="s">
        <v>11</v>
      </c>
      <c r="L14" t="s">
        <v>26</v>
      </c>
      <c r="M14">
        <v>1</v>
      </c>
    </row>
    <row r="15" spans="1:13" x14ac:dyDescent="0.25">
      <c r="A15" s="2">
        <v>46308</v>
      </c>
      <c r="B15" s="1" t="str">
        <f ca="1">IF(Información1[[#This Row],[Fecha]]='Ajuste de fechas'!$A$2,"Día actual","Día anterior")</f>
        <v>Día anterior</v>
      </c>
      <c r="C15" t="s">
        <v>8</v>
      </c>
      <c r="D15" t="s">
        <v>9</v>
      </c>
      <c r="E15" t="s">
        <v>69</v>
      </c>
      <c r="F15" t="s">
        <v>6</v>
      </c>
      <c r="G15" t="s">
        <v>66</v>
      </c>
      <c r="H15" t="s">
        <v>37</v>
      </c>
      <c r="I15" t="s">
        <v>10</v>
      </c>
      <c r="J15" t="s">
        <v>24</v>
      </c>
      <c r="K15" t="s">
        <v>11</v>
      </c>
      <c r="L15" t="s">
        <v>26</v>
      </c>
      <c r="M15">
        <v>1</v>
      </c>
    </row>
    <row r="16" spans="1:13" x14ac:dyDescent="0.25">
      <c r="A16" s="2">
        <v>46308</v>
      </c>
      <c r="B16" s="1" t="str">
        <f ca="1">IF(Información1[[#This Row],[Fecha]]='Ajuste de fechas'!$A$2,"Día actual","Día anterior")</f>
        <v>Día anterior</v>
      </c>
      <c r="C16" t="s">
        <v>38</v>
      </c>
      <c r="D16" t="s">
        <v>43</v>
      </c>
      <c r="E16" t="s">
        <v>152</v>
      </c>
      <c r="F16" t="s">
        <v>13</v>
      </c>
      <c r="G16" t="s">
        <v>153</v>
      </c>
      <c r="H16" t="s">
        <v>37</v>
      </c>
      <c r="I16" t="s">
        <v>7</v>
      </c>
      <c r="J16" t="s">
        <v>28</v>
      </c>
      <c r="K16" t="s">
        <v>40</v>
      </c>
      <c r="L16" t="s">
        <v>25</v>
      </c>
      <c r="M16">
        <v>1</v>
      </c>
    </row>
    <row r="17" spans="1:13" x14ac:dyDescent="0.25">
      <c r="A17" s="2">
        <v>46308</v>
      </c>
      <c r="B17" s="1" t="str">
        <f ca="1">IF(Información1[[#This Row],[Fecha]]='Ajuste de fechas'!$A$2,"Día actual","Día anterior")</f>
        <v>Día anterior</v>
      </c>
      <c r="C17" t="s">
        <v>48</v>
      </c>
      <c r="D17" t="s">
        <v>49</v>
      </c>
      <c r="E17" t="s">
        <v>146</v>
      </c>
      <c r="F17" t="s">
        <v>50</v>
      </c>
      <c r="G17" t="s">
        <v>55</v>
      </c>
      <c r="H17" t="s">
        <v>51</v>
      </c>
      <c r="I17" t="s">
        <v>7</v>
      </c>
      <c r="J17" t="s">
        <v>52</v>
      </c>
      <c r="K17" t="s">
        <v>54</v>
      </c>
      <c r="L17" t="s">
        <v>25</v>
      </c>
      <c r="M17">
        <v>1</v>
      </c>
    </row>
    <row r="18" spans="1:13" x14ac:dyDescent="0.25">
      <c r="A18" s="2">
        <v>46308</v>
      </c>
      <c r="B18" s="1" t="str">
        <f ca="1">IF(Información1[[#This Row],[Fecha]]='Ajuste de fechas'!$A$2,"Día actual","Día anterior")</f>
        <v>Día anterior</v>
      </c>
      <c r="C18" t="s">
        <v>8</v>
      </c>
      <c r="D18" t="s">
        <v>9</v>
      </c>
      <c r="E18" t="s">
        <v>172</v>
      </c>
      <c r="F18" t="s">
        <v>15</v>
      </c>
      <c r="G18" t="s">
        <v>173</v>
      </c>
      <c r="H18" t="s">
        <v>37</v>
      </c>
      <c r="I18" t="s">
        <v>7</v>
      </c>
      <c r="J18" t="s">
        <v>29</v>
      </c>
      <c r="K18" t="s">
        <v>11</v>
      </c>
      <c r="L18" t="s">
        <v>25</v>
      </c>
      <c r="M18">
        <v>1</v>
      </c>
    </row>
    <row r="19" spans="1:13" x14ac:dyDescent="0.25">
      <c r="A19" s="2">
        <v>46308</v>
      </c>
      <c r="B19" s="1" t="str">
        <f ca="1">IF(Información1[[#This Row],[Fecha]]='Ajuste de fechas'!$A$2,"Día actual","Día anterior")</f>
        <v>Día anterior</v>
      </c>
      <c r="C19" t="s">
        <v>72</v>
      </c>
      <c r="D19" t="s">
        <v>88</v>
      </c>
      <c r="E19" t="s">
        <v>174</v>
      </c>
      <c r="F19" t="s">
        <v>79</v>
      </c>
      <c r="G19" t="s">
        <v>175</v>
      </c>
      <c r="H19" t="s">
        <v>37</v>
      </c>
      <c r="I19" t="s">
        <v>7</v>
      </c>
      <c r="J19" t="s">
        <v>24</v>
      </c>
      <c r="K19" t="s">
        <v>89</v>
      </c>
      <c r="L19" t="s">
        <v>25</v>
      </c>
      <c r="M19">
        <v>1</v>
      </c>
    </row>
    <row r="20" spans="1:13" x14ac:dyDescent="0.25">
      <c r="A20" s="2">
        <v>46308</v>
      </c>
      <c r="B20" s="1" t="str">
        <f ca="1">IF(Información1[[#This Row],[Fecha]]='Ajuste de fechas'!$A$2,"Día actual","Día anterior")</f>
        <v>Día anterior</v>
      </c>
      <c r="C20" t="s">
        <v>72</v>
      </c>
      <c r="D20" t="s">
        <v>88</v>
      </c>
      <c r="E20" t="s">
        <v>176</v>
      </c>
      <c r="F20" t="s">
        <v>16</v>
      </c>
      <c r="G20" t="s">
        <v>177</v>
      </c>
      <c r="H20" t="s">
        <v>37</v>
      </c>
      <c r="I20" t="s">
        <v>7</v>
      </c>
      <c r="J20" t="s">
        <v>16</v>
      </c>
      <c r="K20" t="s">
        <v>89</v>
      </c>
      <c r="L20" t="s">
        <v>25</v>
      </c>
      <c r="M20">
        <v>1</v>
      </c>
    </row>
    <row r="21" spans="1:13" x14ac:dyDescent="0.25">
      <c r="A21" s="2">
        <v>46308</v>
      </c>
      <c r="B21" s="1" t="str">
        <f ca="1">IF(Información1[[#This Row],[Fecha]]='Ajuste de fechas'!$A$2,"Día actual","Día anterior")</f>
        <v>Día anterior</v>
      </c>
      <c r="C21" t="s">
        <v>56</v>
      </c>
      <c r="D21" t="s">
        <v>57</v>
      </c>
      <c r="E21" t="s">
        <v>122</v>
      </c>
      <c r="F21" t="s">
        <v>35</v>
      </c>
      <c r="G21" t="s">
        <v>75</v>
      </c>
      <c r="H21" t="s">
        <v>37</v>
      </c>
      <c r="I21" t="s">
        <v>7</v>
      </c>
      <c r="J21" t="s">
        <v>24</v>
      </c>
      <c r="K21" t="s">
        <v>58</v>
      </c>
      <c r="L21" t="s">
        <v>25</v>
      </c>
      <c r="M21">
        <v>1</v>
      </c>
    </row>
    <row r="22" spans="1:13" x14ac:dyDescent="0.25">
      <c r="A22" s="2">
        <v>46308</v>
      </c>
      <c r="B22" s="1" t="str">
        <f ca="1">IF(Información1[[#This Row],[Fecha]]='Ajuste de fechas'!$A$2,"Día actual","Día anterior")</f>
        <v>Día anterior</v>
      </c>
      <c r="C22" t="s">
        <v>56</v>
      </c>
      <c r="D22" t="s">
        <v>57</v>
      </c>
      <c r="E22" t="s">
        <v>130</v>
      </c>
      <c r="F22" t="s">
        <v>14</v>
      </c>
      <c r="G22" t="s">
        <v>75</v>
      </c>
      <c r="H22" t="s">
        <v>37</v>
      </c>
      <c r="I22" t="s">
        <v>7</v>
      </c>
      <c r="J22" t="s">
        <v>24</v>
      </c>
      <c r="K22" t="s">
        <v>58</v>
      </c>
      <c r="L22" t="s">
        <v>34</v>
      </c>
      <c r="M22">
        <v>1</v>
      </c>
    </row>
    <row r="23" spans="1:13" x14ac:dyDescent="0.25">
      <c r="A23" s="2">
        <v>46308</v>
      </c>
      <c r="B23" s="1" t="str">
        <f ca="1">IF(Información1[[#This Row],[Fecha]]='Ajuste de fechas'!$A$2,"Día actual","Día anterior")</f>
        <v>Día anterior</v>
      </c>
      <c r="C23" t="s">
        <v>48</v>
      </c>
      <c r="D23" t="s">
        <v>49</v>
      </c>
      <c r="E23" t="s">
        <v>138</v>
      </c>
      <c r="F23" t="s">
        <v>139</v>
      </c>
      <c r="G23" t="s">
        <v>75</v>
      </c>
      <c r="H23" t="s">
        <v>51</v>
      </c>
      <c r="I23" t="s">
        <v>7</v>
      </c>
      <c r="J23" t="s">
        <v>24</v>
      </c>
      <c r="K23" t="s">
        <v>53</v>
      </c>
      <c r="L23" t="s">
        <v>25</v>
      </c>
      <c r="M23">
        <v>1</v>
      </c>
    </row>
    <row r="24" spans="1:13" x14ac:dyDescent="0.25">
      <c r="A24" s="2">
        <v>46308</v>
      </c>
      <c r="B24" s="1" t="str">
        <f ca="1">IF(Información1[[#This Row],[Fecha]]='Ajuste de fechas'!$A$2,"Día actual","Día anterior")</f>
        <v>Día anterior</v>
      </c>
      <c r="C24" t="s">
        <v>48</v>
      </c>
      <c r="D24" t="s">
        <v>49</v>
      </c>
      <c r="E24" t="s">
        <v>138</v>
      </c>
      <c r="F24" t="s">
        <v>140</v>
      </c>
      <c r="G24" t="s">
        <v>75</v>
      </c>
      <c r="H24" t="s">
        <v>51</v>
      </c>
      <c r="I24" t="s">
        <v>7</v>
      </c>
      <c r="J24" t="s">
        <v>24</v>
      </c>
      <c r="K24" t="s">
        <v>53</v>
      </c>
      <c r="L24" t="s">
        <v>25</v>
      </c>
      <c r="M24">
        <v>1</v>
      </c>
    </row>
    <row r="25" spans="1:13" x14ac:dyDescent="0.25">
      <c r="A25" s="2">
        <v>46308</v>
      </c>
      <c r="B25" s="1" t="str">
        <f ca="1">IF(Información1[[#This Row],[Fecha]]='Ajuste de fechas'!$A$2,"Día actual","Día anterior")</f>
        <v>Día anterior</v>
      </c>
      <c r="C25" t="s">
        <v>48</v>
      </c>
      <c r="D25" t="s">
        <v>49</v>
      </c>
      <c r="E25" t="s">
        <v>141</v>
      </c>
      <c r="F25" t="s">
        <v>35</v>
      </c>
      <c r="G25" t="s">
        <v>75</v>
      </c>
      <c r="H25" t="s">
        <v>51</v>
      </c>
      <c r="I25" t="s">
        <v>7</v>
      </c>
      <c r="J25" t="s">
        <v>24</v>
      </c>
      <c r="K25" t="s">
        <v>54</v>
      </c>
      <c r="L25" t="s">
        <v>27</v>
      </c>
      <c r="M25">
        <v>1</v>
      </c>
    </row>
    <row r="26" spans="1:13" x14ac:dyDescent="0.25">
      <c r="A26" s="2">
        <v>46308</v>
      </c>
      <c r="B26" s="1" t="str">
        <f ca="1">IF(Información1[[#This Row],[Fecha]]='Ajuste de fechas'!$A$2,"Día actual","Día anterior")</f>
        <v>Día anterior</v>
      </c>
      <c r="C26" t="s">
        <v>45</v>
      </c>
      <c r="D26" t="s">
        <v>46</v>
      </c>
      <c r="E26" t="s">
        <v>157</v>
      </c>
      <c r="F26" t="s">
        <v>93</v>
      </c>
      <c r="G26" t="s">
        <v>75</v>
      </c>
      <c r="H26" t="s">
        <v>37</v>
      </c>
      <c r="I26" t="s">
        <v>10</v>
      </c>
      <c r="J26" t="s">
        <v>24</v>
      </c>
      <c r="K26" t="s">
        <v>47</v>
      </c>
      <c r="L26" t="s">
        <v>26</v>
      </c>
      <c r="M26">
        <v>1</v>
      </c>
    </row>
    <row r="27" spans="1:13" x14ac:dyDescent="0.25">
      <c r="A27" s="2">
        <v>46308</v>
      </c>
      <c r="B27" s="1" t="str">
        <f ca="1">IF(Información1[[#This Row],[Fecha]]='Ajuste de fechas'!$A$2,"Día actual","Día anterior")</f>
        <v>Día anterior</v>
      </c>
      <c r="C27" t="s">
        <v>45</v>
      </c>
      <c r="D27" t="s">
        <v>46</v>
      </c>
      <c r="E27" t="s">
        <v>158</v>
      </c>
      <c r="F27" t="s">
        <v>140</v>
      </c>
      <c r="G27" t="s">
        <v>75</v>
      </c>
      <c r="H27" t="s">
        <v>37</v>
      </c>
      <c r="I27" t="s">
        <v>7</v>
      </c>
      <c r="J27" t="s">
        <v>24</v>
      </c>
      <c r="K27" t="s">
        <v>47</v>
      </c>
      <c r="L27" t="s">
        <v>25</v>
      </c>
      <c r="M27">
        <v>1</v>
      </c>
    </row>
    <row r="28" spans="1:13" x14ac:dyDescent="0.25">
      <c r="A28" s="2">
        <v>46308</v>
      </c>
      <c r="B28" s="1" t="str">
        <f ca="1">IF(Información1[[#This Row],[Fecha]]='Ajuste de fechas'!$A$2,"Día actual","Día anterior")</f>
        <v>Día anterior</v>
      </c>
      <c r="C28" t="s">
        <v>45</v>
      </c>
      <c r="D28" t="s">
        <v>46</v>
      </c>
      <c r="E28" t="s">
        <v>159</v>
      </c>
      <c r="F28" t="s">
        <v>78</v>
      </c>
      <c r="G28" t="s">
        <v>75</v>
      </c>
      <c r="H28" t="s">
        <v>37</v>
      </c>
      <c r="I28" t="s">
        <v>7</v>
      </c>
      <c r="J28" t="s">
        <v>24</v>
      </c>
      <c r="K28" t="s">
        <v>47</v>
      </c>
      <c r="L28" t="s">
        <v>25</v>
      </c>
      <c r="M28">
        <v>1</v>
      </c>
    </row>
    <row r="29" spans="1:13" x14ac:dyDescent="0.25">
      <c r="A29" s="2">
        <v>46308</v>
      </c>
      <c r="B29" s="1" t="str">
        <f ca="1">IF(Información1[[#This Row],[Fecha]]='Ajuste de fechas'!$A$2,"Día actual","Día anterior")</f>
        <v>Día anterior</v>
      </c>
      <c r="C29" t="s">
        <v>45</v>
      </c>
      <c r="D29" t="s">
        <v>46</v>
      </c>
      <c r="E29" t="s">
        <v>160</v>
      </c>
      <c r="F29" t="s">
        <v>35</v>
      </c>
      <c r="G29" t="s">
        <v>75</v>
      </c>
      <c r="H29" t="s">
        <v>37</v>
      </c>
      <c r="I29" t="s">
        <v>7</v>
      </c>
      <c r="J29" t="s">
        <v>24</v>
      </c>
      <c r="K29" t="s">
        <v>47</v>
      </c>
      <c r="L29" t="s">
        <v>25</v>
      </c>
      <c r="M29">
        <v>1</v>
      </c>
    </row>
    <row r="30" spans="1:13" x14ac:dyDescent="0.25">
      <c r="A30" s="2">
        <v>46308</v>
      </c>
      <c r="B30" s="1" t="str">
        <f ca="1">IF(Información1[[#This Row],[Fecha]]='Ajuste de fechas'!$A$2,"Día actual","Día anterior")</f>
        <v>Día anterior</v>
      </c>
      <c r="C30" t="s">
        <v>38</v>
      </c>
      <c r="D30" t="s">
        <v>39</v>
      </c>
      <c r="E30" t="s">
        <v>165</v>
      </c>
      <c r="F30" t="s">
        <v>78</v>
      </c>
      <c r="G30" t="s">
        <v>75</v>
      </c>
      <c r="H30" t="s">
        <v>37</v>
      </c>
      <c r="I30" t="s">
        <v>7</v>
      </c>
      <c r="J30" t="s">
        <v>24</v>
      </c>
      <c r="K30" t="s">
        <v>41</v>
      </c>
      <c r="L30" t="s">
        <v>27</v>
      </c>
      <c r="M30">
        <v>1</v>
      </c>
    </row>
    <row r="31" spans="1:13" x14ac:dyDescent="0.25">
      <c r="A31" s="2">
        <v>46308</v>
      </c>
      <c r="B31" s="1" t="str">
        <f ca="1">IF(Información1[[#This Row],[Fecha]]='Ajuste de fechas'!$A$2,"Día actual","Día anterior")</f>
        <v>Día anterior</v>
      </c>
      <c r="C31" t="s">
        <v>38</v>
      </c>
      <c r="D31" t="s">
        <v>39</v>
      </c>
      <c r="E31" t="s">
        <v>169</v>
      </c>
      <c r="F31" t="s">
        <v>35</v>
      </c>
      <c r="G31" t="s">
        <v>75</v>
      </c>
      <c r="H31" t="s">
        <v>37</v>
      </c>
      <c r="I31" t="s">
        <v>7</v>
      </c>
      <c r="J31" t="s">
        <v>24</v>
      </c>
      <c r="K31" t="s">
        <v>41</v>
      </c>
      <c r="L31" t="s">
        <v>27</v>
      </c>
      <c r="M31">
        <v>1</v>
      </c>
    </row>
    <row r="32" spans="1:13" x14ac:dyDescent="0.25">
      <c r="A32" s="2">
        <v>46308</v>
      </c>
      <c r="B32" s="1" t="str">
        <f ca="1">IF(Información1[[#This Row],[Fecha]]='Ajuste de fechas'!$A$2,"Día actual","Día anterior")</f>
        <v>Día anterior</v>
      </c>
      <c r="C32" t="s">
        <v>59</v>
      </c>
      <c r="D32" t="s">
        <v>60</v>
      </c>
      <c r="E32" t="s">
        <v>178</v>
      </c>
      <c r="F32" t="s">
        <v>78</v>
      </c>
      <c r="G32" t="s">
        <v>75</v>
      </c>
      <c r="H32" t="s">
        <v>37</v>
      </c>
      <c r="I32" t="s">
        <v>7</v>
      </c>
      <c r="J32" t="s">
        <v>24</v>
      </c>
      <c r="K32" t="s">
        <v>61</v>
      </c>
      <c r="L32" t="s">
        <v>25</v>
      </c>
      <c r="M32">
        <v>1</v>
      </c>
    </row>
    <row r="33" spans="1:13" x14ac:dyDescent="0.25">
      <c r="A33" s="2">
        <v>46308</v>
      </c>
      <c r="B33" s="1" t="str">
        <f ca="1">IF(Información1[[#This Row],[Fecha]]='Ajuste de fechas'!$A$2,"Día actual","Día anterior")</f>
        <v>Día anterior</v>
      </c>
      <c r="C33" t="s">
        <v>72</v>
      </c>
      <c r="D33" t="s">
        <v>88</v>
      </c>
      <c r="E33" t="s">
        <v>179</v>
      </c>
      <c r="F33" t="s">
        <v>35</v>
      </c>
      <c r="G33" t="s">
        <v>75</v>
      </c>
      <c r="H33" t="s">
        <v>37</v>
      </c>
      <c r="I33" t="s">
        <v>7</v>
      </c>
      <c r="J33" t="s">
        <v>24</v>
      </c>
      <c r="K33" t="s">
        <v>89</v>
      </c>
      <c r="L33" t="s">
        <v>25</v>
      </c>
      <c r="M33">
        <v>1</v>
      </c>
    </row>
    <row r="34" spans="1:13" x14ac:dyDescent="0.25">
      <c r="A34" s="2">
        <v>46308</v>
      </c>
      <c r="B34" s="1" t="str">
        <f ca="1">IF(Información1[[#This Row],[Fecha]]='Ajuste de fechas'!$A$2,"Día actual","Día anterior")</f>
        <v>Día anterior</v>
      </c>
      <c r="C34" t="s">
        <v>72</v>
      </c>
      <c r="D34" t="s">
        <v>88</v>
      </c>
      <c r="E34" t="s">
        <v>180</v>
      </c>
      <c r="F34" t="s">
        <v>35</v>
      </c>
      <c r="G34" t="s">
        <v>75</v>
      </c>
      <c r="H34" t="s">
        <v>37</v>
      </c>
      <c r="I34" t="s">
        <v>7</v>
      </c>
      <c r="J34" t="s">
        <v>24</v>
      </c>
      <c r="K34" t="s">
        <v>89</v>
      </c>
      <c r="L34" t="s">
        <v>25</v>
      </c>
      <c r="M34">
        <v>1</v>
      </c>
    </row>
    <row r="35" spans="1:13" x14ac:dyDescent="0.25">
      <c r="A35" s="2">
        <v>46308</v>
      </c>
      <c r="B35" s="1" t="str">
        <f ca="1">IF(Información1[[#This Row],[Fecha]]='Ajuste de fechas'!$A$2,"Día actual","Día anterior")</f>
        <v>Día anterior</v>
      </c>
      <c r="C35" t="s">
        <v>8</v>
      </c>
      <c r="D35" t="s">
        <v>9</v>
      </c>
      <c r="E35" t="s">
        <v>181</v>
      </c>
      <c r="F35" t="s">
        <v>35</v>
      </c>
      <c r="G35" t="s">
        <v>75</v>
      </c>
      <c r="H35" t="s">
        <v>37</v>
      </c>
      <c r="I35" t="s">
        <v>7</v>
      </c>
      <c r="J35" t="s">
        <v>24</v>
      </c>
      <c r="K35" t="s">
        <v>11</v>
      </c>
      <c r="L35" t="s">
        <v>25</v>
      </c>
      <c r="M35">
        <v>1</v>
      </c>
    </row>
    <row r="36" spans="1:13" x14ac:dyDescent="0.25">
      <c r="A36" s="2">
        <v>46308</v>
      </c>
      <c r="B36" s="1" t="str">
        <f ca="1">IF(Información1[[#This Row],[Fecha]]='Ajuste de fechas'!$A$2,"Día actual","Día anterior")</f>
        <v>Día anterior</v>
      </c>
      <c r="C36" t="s">
        <v>56</v>
      </c>
      <c r="D36" t="s">
        <v>57</v>
      </c>
      <c r="E36" t="s">
        <v>113</v>
      </c>
      <c r="F36" t="s">
        <v>13</v>
      </c>
      <c r="G36" t="s">
        <v>114</v>
      </c>
      <c r="H36" t="s">
        <v>37</v>
      </c>
      <c r="I36" t="s">
        <v>7</v>
      </c>
      <c r="J36" t="s">
        <v>28</v>
      </c>
      <c r="K36" t="s">
        <v>58</v>
      </c>
      <c r="L36" t="s">
        <v>25</v>
      </c>
      <c r="M36">
        <v>1</v>
      </c>
    </row>
    <row r="37" spans="1:13" x14ac:dyDescent="0.25">
      <c r="A37" s="2">
        <v>46308</v>
      </c>
      <c r="B37" s="1" t="str">
        <f ca="1">IF(Información1[[#This Row],[Fecha]]='Ajuste de fechas'!$A$2,"Día actual","Día anterior")</f>
        <v>Día anterior</v>
      </c>
      <c r="C37" t="s">
        <v>56</v>
      </c>
      <c r="D37" t="s">
        <v>57</v>
      </c>
      <c r="E37" t="s">
        <v>123</v>
      </c>
      <c r="F37" t="s">
        <v>35</v>
      </c>
      <c r="G37" t="s">
        <v>124</v>
      </c>
      <c r="H37" t="s">
        <v>37</v>
      </c>
      <c r="I37" t="s">
        <v>17</v>
      </c>
      <c r="J37" t="s">
        <v>24</v>
      </c>
      <c r="K37" t="s">
        <v>58</v>
      </c>
      <c r="L37" t="s">
        <v>26</v>
      </c>
      <c r="M37">
        <v>1</v>
      </c>
    </row>
    <row r="38" spans="1:13" x14ac:dyDescent="0.25">
      <c r="A38" s="2">
        <v>46308</v>
      </c>
      <c r="B38" s="1" t="str">
        <f ca="1">IF(Información1[[#This Row],[Fecha]]='Ajuste de fechas'!$A$2,"Día actual","Día anterior")</f>
        <v>Día anterior</v>
      </c>
      <c r="C38" t="s">
        <v>56</v>
      </c>
      <c r="D38" t="s">
        <v>57</v>
      </c>
      <c r="E38" t="s">
        <v>129</v>
      </c>
      <c r="F38" t="s">
        <v>35</v>
      </c>
      <c r="G38" t="s">
        <v>124</v>
      </c>
      <c r="H38" t="s">
        <v>37</v>
      </c>
      <c r="I38" t="s">
        <v>7</v>
      </c>
      <c r="J38" t="s">
        <v>24</v>
      </c>
      <c r="K38" t="s">
        <v>102</v>
      </c>
      <c r="L38" t="s">
        <v>25</v>
      </c>
      <c r="M38">
        <v>1</v>
      </c>
    </row>
    <row r="39" spans="1:13" x14ac:dyDescent="0.25">
      <c r="A39" s="2">
        <v>46308</v>
      </c>
      <c r="B39" s="1" t="str">
        <f ca="1">IF(Información1[[#This Row],[Fecha]]='Ajuste de fechas'!$A$2,"Día actual","Día anterior")</f>
        <v>Día anterior</v>
      </c>
      <c r="C39" t="s">
        <v>8</v>
      </c>
      <c r="D39" t="s">
        <v>9</v>
      </c>
      <c r="E39" t="s">
        <v>182</v>
      </c>
      <c r="F39" t="s">
        <v>35</v>
      </c>
      <c r="G39" t="s">
        <v>124</v>
      </c>
      <c r="H39" t="s">
        <v>37</v>
      </c>
      <c r="I39" t="s">
        <v>17</v>
      </c>
      <c r="J39" t="s">
        <v>24</v>
      </c>
      <c r="K39" t="s">
        <v>44</v>
      </c>
      <c r="L39" t="s">
        <v>26</v>
      </c>
      <c r="M39">
        <v>1</v>
      </c>
    </row>
    <row r="40" spans="1:13" x14ac:dyDescent="0.25">
      <c r="A40" s="2">
        <v>46308</v>
      </c>
      <c r="B40" s="1" t="str">
        <f ca="1">IF(Información1[[#This Row],[Fecha]]='Ajuste de fechas'!$A$2,"Día actual","Día anterior")</f>
        <v>Día anterior</v>
      </c>
      <c r="C40" t="s">
        <v>8</v>
      </c>
      <c r="D40" t="s">
        <v>9</v>
      </c>
      <c r="E40" t="s">
        <v>183</v>
      </c>
      <c r="F40" t="s">
        <v>35</v>
      </c>
      <c r="G40" t="s">
        <v>124</v>
      </c>
      <c r="H40" t="s">
        <v>37</v>
      </c>
      <c r="I40" t="s">
        <v>7</v>
      </c>
      <c r="J40" t="s">
        <v>24</v>
      </c>
      <c r="K40" t="s">
        <v>11</v>
      </c>
      <c r="L40" t="s">
        <v>25</v>
      </c>
      <c r="M40">
        <v>1</v>
      </c>
    </row>
    <row r="41" spans="1:13" x14ac:dyDescent="0.25">
      <c r="A41" s="2">
        <v>46308</v>
      </c>
      <c r="B41" s="1" t="str">
        <f ca="1">IF(Información1[[#This Row],[Fecha]]='Ajuste de fechas'!$A$2,"Día actual","Día anterior")</f>
        <v>Día anterior</v>
      </c>
      <c r="C41" t="s">
        <v>72</v>
      </c>
      <c r="D41" t="s">
        <v>88</v>
      </c>
      <c r="E41" t="s">
        <v>184</v>
      </c>
      <c r="F41" t="s">
        <v>14</v>
      </c>
      <c r="G41" t="s">
        <v>185</v>
      </c>
      <c r="H41" t="s">
        <v>37</v>
      </c>
      <c r="I41" t="s">
        <v>7</v>
      </c>
      <c r="J41" t="s">
        <v>24</v>
      </c>
      <c r="K41" t="s">
        <v>89</v>
      </c>
      <c r="L41" t="s">
        <v>25</v>
      </c>
      <c r="M41">
        <v>1</v>
      </c>
    </row>
    <row r="42" spans="1:13" x14ac:dyDescent="0.25">
      <c r="A42" s="2">
        <v>46308</v>
      </c>
      <c r="B42" s="1" t="str">
        <f ca="1">IF(Información1[[#This Row],[Fecha]]='Ajuste de fechas'!$A$2,"Día actual","Día anterior")</f>
        <v>Día anterior</v>
      </c>
      <c r="C42" t="s">
        <v>8</v>
      </c>
      <c r="D42" t="s">
        <v>9</v>
      </c>
      <c r="E42" t="s">
        <v>186</v>
      </c>
      <c r="F42" t="s">
        <v>13</v>
      </c>
      <c r="G42" t="s">
        <v>187</v>
      </c>
      <c r="H42" t="s">
        <v>37</v>
      </c>
      <c r="I42" t="s">
        <v>17</v>
      </c>
      <c r="J42" t="s">
        <v>28</v>
      </c>
      <c r="K42" t="s">
        <v>44</v>
      </c>
      <c r="L42" t="s">
        <v>26</v>
      </c>
      <c r="M42">
        <v>1</v>
      </c>
    </row>
    <row r="43" spans="1:13" x14ac:dyDescent="0.25">
      <c r="A43" s="2">
        <v>46308</v>
      </c>
      <c r="B43" s="1" t="str">
        <f ca="1">IF(Información1[[#This Row],[Fecha]]='Ajuste de fechas'!$A$2,"Día actual","Día anterior")</f>
        <v>Día anterior</v>
      </c>
      <c r="C43" t="s">
        <v>56</v>
      </c>
      <c r="D43" t="s">
        <v>57</v>
      </c>
      <c r="E43" t="s">
        <v>117</v>
      </c>
      <c r="F43" t="s">
        <v>50</v>
      </c>
      <c r="G43" t="s">
        <v>118</v>
      </c>
      <c r="H43" t="s">
        <v>37</v>
      </c>
      <c r="I43" t="s">
        <v>7</v>
      </c>
      <c r="J43" t="s">
        <v>52</v>
      </c>
      <c r="K43" t="s">
        <v>58</v>
      </c>
      <c r="L43" t="s">
        <v>25</v>
      </c>
      <c r="M43">
        <v>1</v>
      </c>
    </row>
    <row r="44" spans="1:13" x14ac:dyDescent="0.25">
      <c r="A44" s="2">
        <v>46308</v>
      </c>
      <c r="B44" s="1" t="str">
        <f ca="1">IF(Información1[[#This Row],[Fecha]]='Ajuste de fechas'!$A$2,"Día actual","Día anterior")</f>
        <v>Día anterior</v>
      </c>
      <c r="C44" t="s">
        <v>48</v>
      </c>
      <c r="D44" t="s">
        <v>49</v>
      </c>
      <c r="E44" t="s">
        <v>137</v>
      </c>
      <c r="F44" t="s">
        <v>50</v>
      </c>
      <c r="G44" t="s">
        <v>118</v>
      </c>
      <c r="H44" t="s">
        <v>51</v>
      </c>
      <c r="I44" t="s">
        <v>7</v>
      </c>
      <c r="J44" t="s">
        <v>52</v>
      </c>
      <c r="K44" t="s">
        <v>54</v>
      </c>
      <c r="L44" t="s">
        <v>25</v>
      </c>
      <c r="M44">
        <v>1</v>
      </c>
    </row>
    <row r="45" spans="1:13" x14ac:dyDescent="0.25">
      <c r="A45" s="2">
        <v>46308</v>
      </c>
      <c r="B45" s="1" t="str">
        <f ca="1">IF(Información1[[#This Row],[Fecha]]='Ajuste de fechas'!$A$2,"Día actual","Día anterior")</f>
        <v>Día anterior</v>
      </c>
      <c r="C45" t="s">
        <v>38</v>
      </c>
      <c r="D45" t="s">
        <v>39</v>
      </c>
      <c r="E45" t="s">
        <v>166</v>
      </c>
      <c r="F45" t="s">
        <v>50</v>
      </c>
      <c r="G45" t="s">
        <v>118</v>
      </c>
      <c r="H45" t="s">
        <v>37</v>
      </c>
      <c r="I45" t="s">
        <v>7</v>
      </c>
      <c r="J45" t="s">
        <v>52</v>
      </c>
      <c r="K45" t="s">
        <v>40</v>
      </c>
      <c r="L45" t="s">
        <v>25</v>
      </c>
      <c r="M45">
        <v>1</v>
      </c>
    </row>
    <row r="46" spans="1:13" x14ac:dyDescent="0.25">
      <c r="A46" s="2">
        <v>46308</v>
      </c>
      <c r="B46" s="1" t="str">
        <f ca="1">IF(Información1[[#This Row],[Fecha]]='Ajuste de fechas'!$A$2,"Día actual","Día anterior")</f>
        <v>Día anterior</v>
      </c>
      <c r="C46" t="s">
        <v>56</v>
      </c>
      <c r="D46" t="s">
        <v>57</v>
      </c>
      <c r="E46" t="s">
        <v>97</v>
      </c>
      <c r="F46" t="s">
        <v>14</v>
      </c>
      <c r="G46" t="s">
        <v>98</v>
      </c>
      <c r="H46" t="s">
        <v>37</v>
      </c>
      <c r="I46" t="s">
        <v>7</v>
      </c>
      <c r="J46" t="s">
        <v>24</v>
      </c>
      <c r="K46" t="s">
        <v>58</v>
      </c>
      <c r="L46" t="s">
        <v>27</v>
      </c>
      <c r="M46">
        <v>1</v>
      </c>
    </row>
    <row r="47" spans="1:13" x14ac:dyDescent="0.25">
      <c r="A47" s="2">
        <v>46308</v>
      </c>
      <c r="B47" s="1" t="str">
        <f ca="1">IF(Información1[[#This Row],[Fecha]]='Ajuste de fechas'!$A$2,"Día actual","Día anterior")</f>
        <v>Día anterior</v>
      </c>
      <c r="C47" t="s">
        <v>48</v>
      </c>
      <c r="D47" t="s">
        <v>49</v>
      </c>
      <c r="E47" t="s">
        <v>136</v>
      </c>
      <c r="F47" t="s">
        <v>14</v>
      </c>
      <c r="G47" t="s">
        <v>98</v>
      </c>
      <c r="H47" t="s">
        <v>51</v>
      </c>
      <c r="I47" t="s">
        <v>7</v>
      </c>
      <c r="J47" t="s">
        <v>24</v>
      </c>
      <c r="K47" t="s">
        <v>54</v>
      </c>
      <c r="L47" t="s">
        <v>27</v>
      </c>
      <c r="M47">
        <v>1</v>
      </c>
    </row>
    <row r="48" spans="1:13" x14ac:dyDescent="0.25">
      <c r="A48" s="2">
        <v>46308</v>
      </c>
      <c r="B48" s="1" t="str">
        <f ca="1">IF(Información1[[#This Row],[Fecha]]='Ajuste de fechas'!$A$2,"Día actual","Día anterior")</f>
        <v>Día anterior</v>
      </c>
      <c r="C48" t="s">
        <v>38</v>
      </c>
      <c r="D48" t="s">
        <v>39</v>
      </c>
      <c r="E48" t="s">
        <v>97</v>
      </c>
      <c r="F48" t="s">
        <v>14</v>
      </c>
      <c r="G48" t="s">
        <v>98</v>
      </c>
      <c r="H48" t="s">
        <v>37</v>
      </c>
      <c r="I48" t="s">
        <v>7</v>
      </c>
      <c r="J48" t="s">
        <v>24</v>
      </c>
      <c r="K48" t="s">
        <v>40</v>
      </c>
      <c r="L48" t="s">
        <v>27</v>
      </c>
      <c r="M48">
        <v>1</v>
      </c>
    </row>
    <row r="49" spans="1:13" x14ac:dyDescent="0.25">
      <c r="A49" s="2">
        <v>46308</v>
      </c>
      <c r="B49" s="1" t="str">
        <f ca="1">IF(Información1[[#This Row],[Fecha]]='Ajuste de fechas'!$A$2,"Día actual","Día anterior")</f>
        <v>Día anterior</v>
      </c>
      <c r="C49" t="s">
        <v>72</v>
      </c>
      <c r="D49" t="s">
        <v>88</v>
      </c>
      <c r="E49" t="s">
        <v>188</v>
      </c>
      <c r="F49" t="s">
        <v>14</v>
      </c>
      <c r="G49" t="s">
        <v>98</v>
      </c>
      <c r="H49" t="s">
        <v>37</v>
      </c>
      <c r="I49" t="s">
        <v>7</v>
      </c>
      <c r="J49" t="s">
        <v>24</v>
      </c>
      <c r="K49" t="s">
        <v>89</v>
      </c>
      <c r="L49" t="s">
        <v>25</v>
      </c>
      <c r="M49">
        <v>1</v>
      </c>
    </row>
    <row r="50" spans="1:13" x14ac:dyDescent="0.25">
      <c r="A50" s="2">
        <v>46308</v>
      </c>
      <c r="B50" s="1" t="str">
        <f ca="1">IF(Información1[[#This Row],[Fecha]]='Ajuste de fechas'!$A$2,"Día actual","Día anterior")</f>
        <v>Día anterior</v>
      </c>
      <c r="C50" t="s">
        <v>56</v>
      </c>
      <c r="D50" t="s">
        <v>57</v>
      </c>
      <c r="E50" t="s">
        <v>120</v>
      </c>
      <c r="F50" t="s">
        <v>35</v>
      </c>
      <c r="G50" t="s">
        <v>121</v>
      </c>
      <c r="H50" t="s">
        <v>37</v>
      </c>
      <c r="I50" t="s">
        <v>7</v>
      </c>
      <c r="J50" t="s">
        <v>24</v>
      </c>
      <c r="K50" t="s">
        <v>102</v>
      </c>
      <c r="L50" t="s">
        <v>25</v>
      </c>
      <c r="M50">
        <v>1</v>
      </c>
    </row>
    <row r="51" spans="1:13" x14ac:dyDescent="0.25">
      <c r="A51" s="2">
        <v>46308</v>
      </c>
      <c r="B51" s="1" t="str">
        <f ca="1">IF(Información1[[#This Row],[Fecha]]='Ajuste de fechas'!$A$2,"Día actual","Día anterior")</f>
        <v>Día anterior</v>
      </c>
      <c r="C51" t="s">
        <v>72</v>
      </c>
      <c r="D51" t="s">
        <v>88</v>
      </c>
      <c r="E51" t="s">
        <v>189</v>
      </c>
      <c r="F51" t="s">
        <v>35</v>
      </c>
      <c r="G51" t="s">
        <v>121</v>
      </c>
      <c r="H51" t="s">
        <v>37</v>
      </c>
      <c r="I51" t="s">
        <v>7</v>
      </c>
      <c r="J51" t="s">
        <v>24</v>
      </c>
      <c r="K51" t="s">
        <v>89</v>
      </c>
      <c r="L51" t="s">
        <v>25</v>
      </c>
      <c r="M51">
        <v>1</v>
      </c>
    </row>
    <row r="52" spans="1:13" x14ac:dyDescent="0.25">
      <c r="A52" s="2">
        <v>46308</v>
      </c>
      <c r="B52" s="1" t="str">
        <f ca="1">IF(Información1[[#This Row],[Fecha]]='Ajuste de fechas'!$A$2,"Día actual","Día anterior")</f>
        <v>Día anterior</v>
      </c>
      <c r="C52" t="s">
        <v>56</v>
      </c>
      <c r="D52" t="s">
        <v>57</v>
      </c>
      <c r="E52" t="s">
        <v>109</v>
      </c>
      <c r="F52" t="s">
        <v>42</v>
      </c>
      <c r="G52" t="s">
        <v>110</v>
      </c>
      <c r="H52" t="s">
        <v>37</v>
      </c>
      <c r="I52" t="s">
        <v>7</v>
      </c>
      <c r="J52" t="s">
        <v>24</v>
      </c>
      <c r="K52" t="s">
        <v>102</v>
      </c>
      <c r="L52" t="s">
        <v>25</v>
      </c>
      <c r="M52">
        <v>1</v>
      </c>
    </row>
    <row r="53" spans="1:13" x14ac:dyDescent="0.25">
      <c r="A53" s="2">
        <v>46308</v>
      </c>
      <c r="B53" s="1" t="str">
        <f ca="1">IF(Información1[[#This Row],[Fecha]]='Ajuste de fechas'!$A$2,"Día actual","Día anterior")</f>
        <v>Día anterior</v>
      </c>
      <c r="C53" t="s">
        <v>72</v>
      </c>
      <c r="D53" t="s">
        <v>88</v>
      </c>
      <c r="E53" t="s">
        <v>190</v>
      </c>
      <c r="F53" t="s">
        <v>15</v>
      </c>
      <c r="G53" t="s">
        <v>191</v>
      </c>
      <c r="H53" t="s">
        <v>37</v>
      </c>
      <c r="I53" t="s">
        <v>7</v>
      </c>
      <c r="J53" t="s">
        <v>29</v>
      </c>
      <c r="K53" t="s">
        <v>89</v>
      </c>
      <c r="L53" t="s">
        <v>25</v>
      </c>
      <c r="M53">
        <v>1</v>
      </c>
    </row>
    <row r="54" spans="1:13" x14ac:dyDescent="0.25">
      <c r="A54" s="2">
        <v>46308</v>
      </c>
      <c r="B54" s="1" t="str">
        <f ca="1">IF(Información1[[#This Row],[Fecha]]='Ajuste de fechas'!$A$2,"Día actual","Día anterior")</f>
        <v>Día anterior</v>
      </c>
      <c r="C54" t="s">
        <v>72</v>
      </c>
      <c r="D54" t="s">
        <v>88</v>
      </c>
      <c r="E54" t="s">
        <v>192</v>
      </c>
      <c r="F54" t="s">
        <v>15</v>
      </c>
      <c r="G54" t="s">
        <v>193</v>
      </c>
      <c r="H54" t="s">
        <v>37</v>
      </c>
      <c r="I54" t="s">
        <v>7</v>
      </c>
      <c r="J54" t="s">
        <v>29</v>
      </c>
      <c r="K54" t="s">
        <v>89</v>
      </c>
      <c r="L54" t="s">
        <v>25</v>
      </c>
      <c r="M54">
        <v>1</v>
      </c>
    </row>
    <row r="55" spans="1:13" x14ac:dyDescent="0.25">
      <c r="A55" s="2">
        <v>46308</v>
      </c>
      <c r="B55" s="1" t="str">
        <f ca="1">IF(Información1[[#This Row],[Fecha]]='Ajuste de fechas'!$A$2,"Día actual","Día anterior")</f>
        <v>Día anterior</v>
      </c>
      <c r="C55" t="s">
        <v>38</v>
      </c>
      <c r="D55" t="s">
        <v>39</v>
      </c>
      <c r="E55" t="s">
        <v>163</v>
      </c>
      <c r="F55" t="s">
        <v>13</v>
      </c>
      <c r="G55" t="s">
        <v>164</v>
      </c>
      <c r="H55" t="s">
        <v>37</v>
      </c>
      <c r="I55" t="s">
        <v>7</v>
      </c>
      <c r="J55" t="s">
        <v>28</v>
      </c>
      <c r="K55" t="s">
        <v>40</v>
      </c>
      <c r="L55" t="s">
        <v>25</v>
      </c>
      <c r="M55">
        <v>1</v>
      </c>
    </row>
    <row r="56" spans="1:13" x14ac:dyDescent="0.25">
      <c r="A56" s="2">
        <v>46308</v>
      </c>
      <c r="B56" s="1" t="str">
        <f ca="1">IF(Información1[[#This Row],[Fecha]]='Ajuste de fechas'!$A$2,"Día actual","Día anterior")</f>
        <v>Día anterior</v>
      </c>
      <c r="C56" t="s">
        <v>8</v>
      </c>
      <c r="D56" t="s">
        <v>9</v>
      </c>
      <c r="E56" t="s">
        <v>194</v>
      </c>
      <c r="F56" t="s">
        <v>6</v>
      </c>
      <c r="G56" t="s">
        <v>195</v>
      </c>
      <c r="H56" t="s">
        <v>37</v>
      </c>
      <c r="I56" t="s">
        <v>17</v>
      </c>
      <c r="J56" t="s">
        <v>24</v>
      </c>
      <c r="K56" t="s">
        <v>44</v>
      </c>
      <c r="L56" t="s">
        <v>26</v>
      </c>
      <c r="M56">
        <v>1</v>
      </c>
    </row>
    <row r="57" spans="1:13" x14ac:dyDescent="0.25">
      <c r="A57" s="2">
        <v>46308</v>
      </c>
      <c r="B57" s="1" t="str">
        <f ca="1">IF(Información1[[#This Row],[Fecha]]='Ajuste de fechas'!$A$2,"Día actual","Día anterior")</f>
        <v>Día anterior</v>
      </c>
      <c r="C57" t="s">
        <v>56</v>
      </c>
      <c r="D57" t="s">
        <v>57</v>
      </c>
      <c r="E57" t="s">
        <v>99</v>
      </c>
      <c r="F57" t="s">
        <v>100</v>
      </c>
      <c r="G57" t="s">
        <v>101</v>
      </c>
      <c r="H57" t="s">
        <v>37</v>
      </c>
      <c r="I57" t="s">
        <v>7</v>
      </c>
      <c r="J57" t="s">
        <v>24</v>
      </c>
      <c r="K57" t="s">
        <v>102</v>
      </c>
      <c r="L57" t="s">
        <v>27</v>
      </c>
      <c r="M57">
        <v>1</v>
      </c>
    </row>
    <row r="58" spans="1:13" x14ac:dyDescent="0.25">
      <c r="A58" s="2">
        <v>46308</v>
      </c>
      <c r="B58" s="1" t="str">
        <f ca="1">IF(Información1[[#This Row],[Fecha]]='Ajuste de fechas'!$A$2,"Día actual","Día anterior")</f>
        <v>Día anterior</v>
      </c>
      <c r="C58" t="s">
        <v>72</v>
      </c>
      <c r="D58" t="s">
        <v>88</v>
      </c>
      <c r="E58" t="s">
        <v>196</v>
      </c>
      <c r="F58" t="s">
        <v>100</v>
      </c>
      <c r="G58" t="s">
        <v>101</v>
      </c>
      <c r="H58" t="s">
        <v>37</v>
      </c>
      <c r="I58" t="s">
        <v>7</v>
      </c>
      <c r="J58" t="s">
        <v>24</v>
      </c>
      <c r="K58" t="s">
        <v>89</v>
      </c>
      <c r="L58" t="s">
        <v>25</v>
      </c>
      <c r="M58">
        <v>1</v>
      </c>
    </row>
    <row r="59" spans="1:13" x14ac:dyDescent="0.25">
      <c r="A59" s="2">
        <v>46308</v>
      </c>
      <c r="B59" s="1" t="str">
        <f ca="1">IF(Información1[[#This Row],[Fecha]]='Ajuste de fechas'!$A$2,"Día actual","Día anterior")</f>
        <v>Día anterior</v>
      </c>
      <c r="C59" t="s">
        <v>8</v>
      </c>
      <c r="D59" t="s">
        <v>9</v>
      </c>
      <c r="E59" t="s">
        <v>197</v>
      </c>
      <c r="F59" t="s">
        <v>15</v>
      </c>
      <c r="G59" t="s">
        <v>198</v>
      </c>
      <c r="H59" t="s">
        <v>37</v>
      </c>
      <c r="I59" t="s">
        <v>7</v>
      </c>
      <c r="J59" t="s">
        <v>29</v>
      </c>
      <c r="K59" t="s">
        <v>11</v>
      </c>
      <c r="L59" t="s">
        <v>26</v>
      </c>
      <c r="M59">
        <v>1</v>
      </c>
    </row>
    <row r="60" spans="1:13" x14ac:dyDescent="0.25">
      <c r="A60" s="2">
        <v>46308</v>
      </c>
      <c r="B60" s="1" t="str">
        <f ca="1">IF(Información1[[#This Row],[Fecha]]='Ajuste de fechas'!$A$2,"Día actual","Día anterior")</f>
        <v>Día anterior</v>
      </c>
      <c r="C60" t="s">
        <v>48</v>
      </c>
      <c r="D60" t="s">
        <v>49</v>
      </c>
      <c r="E60" t="s">
        <v>144</v>
      </c>
      <c r="F60" t="s">
        <v>71</v>
      </c>
      <c r="G60" t="s">
        <v>145</v>
      </c>
      <c r="H60" t="s">
        <v>51</v>
      </c>
      <c r="I60" t="s">
        <v>17</v>
      </c>
      <c r="J60" t="s">
        <v>24</v>
      </c>
      <c r="K60" t="s">
        <v>54</v>
      </c>
      <c r="L60" t="s">
        <v>26</v>
      </c>
      <c r="M60">
        <v>1</v>
      </c>
    </row>
    <row r="61" spans="1:13" x14ac:dyDescent="0.25">
      <c r="A61" s="2">
        <v>46308</v>
      </c>
      <c r="B61" s="1" t="str">
        <f ca="1">IF(Información1[[#This Row],[Fecha]]='Ajuste de fechas'!$A$2,"Día actual","Día anterior")</f>
        <v>Día anterior</v>
      </c>
      <c r="C61" t="s">
        <v>56</v>
      </c>
      <c r="D61" t="s">
        <v>57</v>
      </c>
      <c r="E61" t="s">
        <v>107</v>
      </c>
      <c r="F61" t="s">
        <v>42</v>
      </c>
      <c r="G61" t="s">
        <v>70</v>
      </c>
      <c r="H61" t="s">
        <v>37</v>
      </c>
      <c r="I61" t="s">
        <v>17</v>
      </c>
      <c r="J61" t="s">
        <v>24</v>
      </c>
      <c r="K61" t="s">
        <v>102</v>
      </c>
      <c r="L61" t="s">
        <v>25</v>
      </c>
      <c r="M61">
        <v>1</v>
      </c>
    </row>
    <row r="62" spans="1:13" x14ac:dyDescent="0.25">
      <c r="A62" s="2">
        <v>46308</v>
      </c>
      <c r="B62" s="1" t="str">
        <f ca="1">IF(Información1[[#This Row],[Fecha]]='Ajuste de fechas'!$A$2,"Día actual","Día anterior")</f>
        <v>Día anterior</v>
      </c>
      <c r="C62" t="s">
        <v>72</v>
      </c>
      <c r="D62" t="s">
        <v>88</v>
      </c>
      <c r="E62" t="s">
        <v>199</v>
      </c>
      <c r="F62" t="s">
        <v>42</v>
      </c>
      <c r="G62" t="s">
        <v>70</v>
      </c>
      <c r="H62" t="s">
        <v>37</v>
      </c>
      <c r="I62" t="s">
        <v>17</v>
      </c>
      <c r="J62" t="s">
        <v>24</v>
      </c>
      <c r="K62" t="s">
        <v>89</v>
      </c>
      <c r="L62" t="s">
        <v>25</v>
      </c>
      <c r="M62">
        <v>1</v>
      </c>
    </row>
    <row r="63" spans="1:13" x14ac:dyDescent="0.25">
      <c r="A63" s="2">
        <v>46308</v>
      </c>
      <c r="B63" s="1" t="str">
        <f ca="1">IF(Información1[[#This Row],[Fecha]]='Ajuste de fechas'!$A$2,"Día actual","Día anterior")</f>
        <v>Día anterior</v>
      </c>
      <c r="C63" t="s">
        <v>8</v>
      </c>
      <c r="D63" t="s">
        <v>9</v>
      </c>
      <c r="E63" t="s">
        <v>200</v>
      </c>
      <c r="F63" t="s">
        <v>13</v>
      </c>
      <c r="G63" t="s">
        <v>95</v>
      </c>
      <c r="H63" t="s">
        <v>37</v>
      </c>
      <c r="I63" t="s">
        <v>7</v>
      </c>
      <c r="J63" t="s">
        <v>28</v>
      </c>
      <c r="K63" t="s">
        <v>11</v>
      </c>
      <c r="L63" t="s">
        <v>25</v>
      </c>
      <c r="M63">
        <v>1</v>
      </c>
    </row>
    <row r="64" spans="1:13" x14ac:dyDescent="0.25">
      <c r="A64" s="2">
        <v>46308</v>
      </c>
      <c r="B64" s="1" t="str">
        <f ca="1">IF(Información1[[#This Row],[Fecha]]='Ajuste de fechas'!$A$2,"Día actual","Día anterior")</f>
        <v>Día anterior</v>
      </c>
      <c r="C64" t="s">
        <v>56</v>
      </c>
      <c r="D64" t="s">
        <v>57</v>
      </c>
      <c r="E64" t="s">
        <v>127</v>
      </c>
      <c r="F64" t="s">
        <v>15</v>
      </c>
      <c r="G64" t="s">
        <v>128</v>
      </c>
      <c r="H64" t="s">
        <v>37</v>
      </c>
      <c r="I64" t="s">
        <v>17</v>
      </c>
      <c r="J64" t="s">
        <v>29</v>
      </c>
      <c r="K64" t="s">
        <v>58</v>
      </c>
      <c r="L64" t="s">
        <v>26</v>
      </c>
      <c r="M64">
        <v>1</v>
      </c>
    </row>
    <row r="65" spans="1:13" x14ac:dyDescent="0.25">
      <c r="A65" s="2">
        <v>46308</v>
      </c>
      <c r="B65" s="1" t="str">
        <f ca="1">IF(Información1[[#This Row],[Fecha]]='Ajuste de fechas'!$A$2,"Día actual","Día anterior")</f>
        <v>Día anterior</v>
      </c>
      <c r="C65" t="s">
        <v>38</v>
      </c>
      <c r="D65" t="s">
        <v>39</v>
      </c>
      <c r="E65" t="s">
        <v>167</v>
      </c>
      <c r="F65" t="s">
        <v>35</v>
      </c>
      <c r="G65" t="s">
        <v>168</v>
      </c>
      <c r="H65" t="s">
        <v>37</v>
      </c>
      <c r="I65" t="s">
        <v>7</v>
      </c>
      <c r="J65" t="s">
        <v>24</v>
      </c>
      <c r="K65" t="s">
        <v>41</v>
      </c>
      <c r="L65" t="s">
        <v>25</v>
      </c>
      <c r="M65">
        <v>1</v>
      </c>
    </row>
    <row r="66" spans="1:13" x14ac:dyDescent="0.25">
      <c r="A66" s="2">
        <v>46308</v>
      </c>
      <c r="B66" s="1" t="str">
        <f ca="1">IF(Información1[[#This Row],[Fecha]]='Ajuste de fechas'!$A$2,"Día actual","Día anterior")</f>
        <v>Día anterior</v>
      </c>
      <c r="C66" t="s">
        <v>56</v>
      </c>
      <c r="D66" t="s">
        <v>57</v>
      </c>
      <c r="E66" t="s">
        <v>108</v>
      </c>
      <c r="F66" t="s">
        <v>71</v>
      </c>
      <c r="G66" t="s">
        <v>92</v>
      </c>
      <c r="H66" t="s">
        <v>37</v>
      </c>
      <c r="I66" t="s">
        <v>7</v>
      </c>
      <c r="J66" t="s">
        <v>24</v>
      </c>
      <c r="K66" t="s">
        <v>58</v>
      </c>
      <c r="L66" t="s">
        <v>25</v>
      </c>
      <c r="M66">
        <v>1</v>
      </c>
    </row>
    <row r="67" spans="1:13" x14ac:dyDescent="0.25">
      <c r="A67" s="2">
        <v>46308</v>
      </c>
      <c r="B67" s="1" t="str">
        <f ca="1">IF(Información1[[#This Row],[Fecha]]='Ajuste de fechas'!$A$2,"Día actual","Día anterior")</f>
        <v>Día anterior</v>
      </c>
      <c r="C67" t="s">
        <v>8</v>
      </c>
      <c r="D67" t="s">
        <v>9</v>
      </c>
      <c r="E67" t="s">
        <v>201</v>
      </c>
      <c r="F67" t="s">
        <v>71</v>
      </c>
      <c r="G67" t="s">
        <v>92</v>
      </c>
      <c r="H67" t="s">
        <v>37</v>
      </c>
      <c r="I67" t="s">
        <v>7</v>
      </c>
      <c r="J67" t="s">
        <v>24</v>
      </c>
      <c r="K67" t="s">
        <v>11</v>
      </c>
      <c r="L67" t="s">
        <v>27</v>
      </c>
      <c r="M67">
        <v>1</v>
      </c>
    </row>
    <row r="68" spans="1:13" x14ac:dyDescent="0.25">
      <c r="A68" s="2">
        <v>46308</v>
      </c>
      <c r="B68" s="1" t="str">
        <f ca="1">IF(Información1[[#This Row],[Fecha]]='Ajuste de fechas'!$A$2,"Día actual","Día anterior")</f>
        <v>Día anterior</v>
      </c>
      <c r="C68" t="s">
        <v>38</v>
      </c>
      <c r="D68" t="s">
        <v>39</v>
      </c>
      <c r="E68" t="s">
        <v>161</v>
      </c>
      <c r="F68" t="s">
        <v>13</v>
      </c>
      <c r="G68" t="s">
        <v>162</v>
      </c>
      <c r="H68" t="s">
        <v>37</v>
      </c>
      <c r="I68" t="s">
        <v>7</v>
      </c>
      <c r="J68" t="s">
        <v>28</v>
      </c>
      <c r="K68" t="s">
        <v>40</v>
      </c>
      <c r="L68" t="s">
        <v>25</v>
      </c>
      <c r="M68">
        <v>1</v>
      </c>
    </row>
    <row r="69" spans="1:13" x14ac:dyDescent="0.25">
      <c r="A69" s="2">
        <v>46308</v>
      </c>
      <c r="B69" s="1" t="str">
        <f ca="1">IF(Información1[[#This Row],[Fecha]]='Ajuste de fechas'!$A$2,"Día actual","Día anterior")</f>
        <v>Día anterior</v>
      </c>
      <c r="C69" t="s">
        <v>38</v>
      </c>
      <c r="D69" t="s">
        <v>43</v>
      </c>
      <c r="E69" t="s">
        <v>148</v>
      </c>
      <c r="F69" t="s">
        <v>15</v>
      </c>
      <c r="G69" t="s">
        <v>82</v>
      </c>
      <c r="H69" t="s">
        <v>37</v>
      </c>
      <c r="I69" t="s">
        <v>17</v>
      </c>
      <c r="J69" t="s">
        <v>29</v>
      </c>
      <c r="K69" t="s">
        <v>40</v>
      </c>
      <c r="L69" t="s">
        <v>25</v>
      </c>
      <c r="M69">
        <v>1</v>
      </c>
    </row>
    <row r="70" spans="1:13" x14ac:dyDescent="0.25">
      <c r="A70" s="2">
        <v>46308</v>
      </c>
      <c r="B70" s="1" t="str">
        <f ca="1">IF(Información1[[#This Row],[Fecha]]='Ajuste de fechas'!$A$2,"Día actual","Día anterior")</f>
        <v>Día anterior</v>
      </c>
      <c r="C70" t="s">
        <v>8</v>
      </c>
      <c r="D70" t="s">
        <v>9</v>
      </c>
      <c r="E70" t="s">
        <v>202</v>
      </c>
      <c r="F70" t="s">
        <v>15</v>
      </c>
      <c r="G70" t="s">
        <v>82</v>
      </c>
      <c r="H70" t="s">
        <v>37</v>
      </c>
      <c r="I70" t="s">
        <v>7</v>
      </c>
      <c r="J70" t="s">
        <v>29</v>
      </c>
      <c r="K70" t="s">
        <v>11</v>
      </c>
      <c r="L70" t="s">
        <v>25</v>
      </c>
      <c r="M70">
        <v>1</v>
      </c>
    </row>
    <row r="71" spans="1:13" x14ac:dyDescent="0.25">
      <c r="A71" s="2">
        <v>46308</v>
      </c>
      <c r="B71" s="1" t="str">
        <f ca="1">IF(Información1[[#This Row],[Fecha]]='Ajuste de fechas'!$A$2,"Día actual","Día anterior")</f>
        <v>Día anterior</v>
      </c>
      <c r="C71" t="s">
        <v>48</v>
      </c>
      <c r="D71" t="s">
        <v>49</v>
      </c>
      <c r="E71" t="s">
        <v>142</v>
      </c>
      <c r="F71" t="s">
        <v>35</v>
      </c>
      <c r="G71" t="s">
        <v>74</v>
      </c>
      <c r="H71" t="s">
        <v>51</v>
      </c>
      <c r="I71" t="s">
        <v>7</v>
      </c>
      <c r="J71" t="s">
        <v>24</v>
      </c>
      <c r="K71" t="s">
        <v>54</v>
      </c>
      <c r="L71" t="s">
        <v>25</v>
      </c>
      <c r="M71">
        <v>1</v>
      </c>
    </row>
    <row r="72" spans="1:13" x14ac:dyDescent="0.25">
      <c r="A72" s="2">
        <v>46308</v>
      </c>
      <c r="B72" s="1" t="str">
        <f ca="1">IF(Información1[[#This Row],[Fecha]]='Ajuste de fechas'!$A$2,"Día actual","Día anterior")</f>
        <v>Día anterior</v>
      </c>
      <c r="C72" t="s">
        <v>56</v>
      </c>
      <c r="D72" t="s">
        <v>57</v>
      </c>
      <c r="E72" t="s">
        <v>115</v>
      </c>
      <c r="F72" t="s">
        <v>13</v>
      </c>
      <c r="G72" t="s">
        <v>116</v>
      </c>
      <c r="H72" t="s">
        <v>37</v>
      </c>
      <c r="I72" t="s">
        <v>7</v>
      </c>
      <c r="J72" t="s">
        <v>28</v>
      </c>
      <c r="K72" t="s">
        <v>102</v>
      </c>
      <c r="L72" t="s">
        <v>25</v>
      </c>
      <c r="M72">
        <v>1</v>
      </c>
    </row>
    <row r="73" spans="1:13" x14ac:dyDescent="0.25">
      <c r="A73" s="2">
        <v>46308</v>
      </c>
      <c r="B73" s="1" t="str">
        <f ca="1">IF(Información1[[#This Row],[Fecha]]='Ajuste de fechas'!$A$2,"Día actual","Día anterior")</f>
        <v>Día anterior</v>
      </c>
      <c r="C73" t="s">
        <v>48</v>
      </c>
      <c r="D73" t="s">
        <v>49</v>
      </c>
      <c r="E73" t="s">
        <v>143</v>
      </c>
      <c r="F73" t="s">
        <v>13</v>
      </c>
      <c r="G73" t="s">
        <v>116</v>
      </c>
      <c r="H73" t="s">
        <v>51</v>
      </c>
      <c r="I73" t="s">
        <v>7</v>
      </c>
      <c r="J73" t="s">
        <v>28</v>
      </c>
      <c r="K73" t="s">
        <v>54</v>
      </c>
      <c r="L73" t="s">
        <v>25</v>
      </c>
      <c r="M73">
        <v>1</v>
      </c>
    </row>
    <row r="74" spans="1:13" x14ac:dyDescent="0.25">
      <c r="A74" s="2">
        <v>46308</v>
      </c>
      <c r="B74" s="1" t="str">
        <f ca="1">IF(Información1[[#This Row],[Fecha]]='Ajuste de fechas'!$A$2,"Día actual","Día anterior")</f>
        <v>Día anterior</v>
      </c>
      <c r="C74" t="s">
        <v>56</v>
      </c>
      <c r="D74" t="s">
        <v>57</v>
      </c>
      <c r="E74" t="s">
        <v>131</v>
      </c>
      <c r="F74" t="s">
        <v>15</v>
      </c>
      <c r="G74" t="s">
        <v>132</v>
      </c>
      <c r="H74" t="s">
        <v>37</v>
      </c>
      <c r="I74" t="s">
        <v>7</v>
      </c>
      <c r="J74" t="s">
        <v>29</v>
      </c>
      <c r="K74" t="s">
        <v>102</v>
      </c>
      <c r="L74" t="s">
        <v>25</v>
      </c>
      <c r="M74">
        <v>1</v>
      </c>
    </row>
    <row r="75" spans="1:13" x14ac:dyDescent="0.25">
      <c r="A75" s="2">
        <v>46308</v>
      </c>
      <c r="B75" s="1" t="str">
        <f ca="1">IF(Información1[[#This Row],[Fecha]]='Ajuste de fechas'!$A$2,"Día actual","Día anterior")</f>
        <v>Día anterior</v>
      </c>
      <c r="C75" t="s">
        <v>56</v>
      </c>
      <c r="D75" t="s">
        <v>57</v>
      </c>
      <c r="E75" t="s">
        <v>103</v>
      </c>
      <c r="F75" t="s">
        <v>15</v>
      </c>
      <c r="G75" t="s">
        <v>104</v>
      </c>
      <c r="H75" t="s">
        <v>37</v>
      </c>
      <c r="I75" t="s">
        <v>7</v>
      </c>
      <c r="J75" t="s">
        <v>29</v>
      </c>
      <c r="K75" t="s">
        <v>102</v>
      </c>
      <c r="L75" t="s">
        <v>25</v>
      </c>
      <c r="M75">
        <v>1</v>
      </c>
    </row>
    <row r="76" spans="1:13" x14ac:dyDescent="0.25">
      <c r="A76" s="2">
        <v>46308</v>
      </c>
      <c r="B76" s="1" t="str">
        <f ca="1">IF(Información1[[#This Row],[Fecha]]='Ajuste de fechas'!$A$2,"Día actual","Día anterior")</f>
        <v>Día anterior</v>
      </c>
      <c r="C76" t="s">
        <v>8</v>
      </c>
      <c r="D76" t="s">
        <v>9</v>
      </c>
      <c r="E76" t="s">
        <v>203</v>
      </c>
      <c r="F76" t="s">
        <v>13</v>
      </c>
      <c r="G76" t="s">
        <v>204</v>
      </c>
      <c r="H76" t="s">
        <v>37</v>
      </c>
      <c r="I76" t="s">
        <v>7</v>
      </c>
      <c r="J76" t="s">
        <v>28</v>
      </c>
      <c r="K76" t="s">
        <v>11</v>
      </c>
      <c r="L76" t="s">
        <v>25</v>
      </c>
      <c r="M76">
        <v>1</v>
      </c>
    </row>
    <row r="77" spans="1:13" x14ac:dyDescent="0.25">
      <c r="A77" s="2">
        <v>46308</v>
      </c>
      <c r="B77" s="1" t="str">
        <f ca="1">IF(Información1[[#This Row],[Fecha]]='Ajuste de fechas'!$A$2,"Día actual","Día anterior")</f>
        <v>Día anterior</v>
      </c>
      <c r="C77" t="s">
        <v>38</v>
      </c>
      <c r="D77" t="s">
        <v>43</v>
      </c>
      <c r="E77" t="s">
        <v>148</v>
      </c>
      <c r="F77" t="s">
        <v>13</v>
      </c>
      <c r="G77" t="s">
        <v>149</v>
      </c>
      <c r="H77" t="s">
        <v>37</v>
      </c>
      <c r="I77" t="s">
        <v>7</v>
      </c>
      <c r="J77" t="s">
        <v>28</v>
      </c>
      <c r="K77" t="s">
        <v>150</v>
      </c>
      <c r="L77" t="s">
        <v>25</v>
      </c>
      <c r="M77">
        <v>1</v>
      </c>
    </row>
    <row r="78" spans="1:13" x14ac:dyDescent="0.25">
      <c r="A78" s="2">
        <v>46308</v>
      </c>
      <c r="B78" s="1" t="str">
        <f ca="1">IF(Información1[[#This Row],[Fecha]]='Ajuste de fechas'!$A$2,"Día actual","Día anterior")</f>
        <v>Día anterior</v>
      </c>
      <c r="C78" t="s">
        <v>38</v>
      </c>
      <c r="D78" t="s">
        <v>43</v>
      </c>
      <c r="E78" t="s">
        <v>151</v>
      </c>
      <c r="F78" t="s">
        <v>13</v>
      </c>
      <c r="G78" t="s">
        <v>149</v>
      </c>
      <c r="H78" t="s">
        <v>37</v>
      </c>
      <c r="I78" t="s">
        <v>7</v>
      </c>
      <c r="J78" t="s">
        <v>28</v>
      </c>
      <c r="K78" t="s">
        <v>40</v>
      </c>
      <c r="L78" t="s">
        <v>25</v>
      </c>
      <c r="M78">
        <v>1</v>
      </c>
    </row>
    <row r="79" spans="1:13" x14ac:dyDescent="0.25">
      <c r="A79" s="2">
        <v>46308</v>
      </c>
      <c r="B79" s="1" t="str">
        <f ca="1">IF(Información1[[#This Row],[Fecha]]='Ajuste de fechas'!$A$2,"Día actual","Día anterior")</f>
        <v>Día anterior</v>
      </c>
      <c r="C79" t="s">
        <v>38</v>
      </c>
      <c r="D79" t="s">
        <v>43</v>
      </c>
      <c r="E79" t="s">
        <v>154</v>
      </c>
      <c r="F79" t="s">
        <v>13</v>
      </c>
      <c r="G79" t="s">
        <v>155</v>
      </c>
      <c r="H79" t="s">
        <v>37</v>
      </c>
      <c r="I79" t="s">
        <v>7</v>
      </c>
      <c r="J79" t="s">
        <v>28</v>
      </c>
      <c r="K79" t="s">
        <v>40</v>
      </c>
      <c r="L79" t="s">
        <v>25</v>
      </c>
      <c r="M79">
        <v>1</v>
      </c>
    </row>
    <row r="80" spans="1:13" x14ac:dyDescent="0.25">
      <c r="A80" s="2">
        <v>46308</v>
      </c>
      <c r="B80" s="1" t="str">
        <f ca="1">IF(Información1[[#This Row],[Fecha]]='Ajuste de fechas'!$A$2,"Día actual","Día anterior")</f>
        <v>Día anterior</v>
      </c>
      <c r="C80" t="s">
        <v>56</v>
      </c>
      <c r="D80" t="s">
        <v>57</v>
      </c>
      <c r="E80" t="s">
        <v>106</v>
      </c>
      <c r="F80" t="s">
        <v>13</v>
      </c>
      <c r="G80" t="s">
        <v>96</v>
      </c>
      <c r="H80" t="s">
        <v>37</v>
      </c>
      <c r="I80" t="s">
        <v>7</v>
      </c>
      <c r="J80" t="s">
        <v>28</v>
      </c>
      <c r="K80" t="s">
        <v>58</v>
      </c>
      <c r="L80" t="s">
        <v>25</v>
      </c>
      <c r="M80">
        <v>1</v>
      </c>
    </row>
    <row r="81" spans="1:13" x14ac:dyDescent="0.25">
      <c r="A81" s="2">
        <v>46308</v>
      </c>
      <c r="B81" s="1" t="str">
        <f ca="1">IF(Información1[[#This Row],[Fecha]]='Ajuste de fechas'!$A$2,"Día actual","Día anterior")</f>
        <v>Día anterior</v>
      </c>
      <c r="C81" t="s">
        <v>45</v>
      </c>
      <c r="D81" t="s">
        <v>46</v>
      </c>
      <c r="E81" t="s">
        <v>156</v>
      </c>
      <c r="F81" t="s">
        <v>86</v>
      </c>
      <c r="G81" t="s">
        <v>87</v>
      </c>
      <c r="H81" t="s">
        <v>37</v>
      </c>
      <c r="I81" t="s">
        <v>7</v>
      </c>
      <c r="J81" t="s">
        <v>24</v>
      </c>
      <c r="K81" t="s">
        <v>47</v>
      </c>
      <c r="L81" t="s">
        <v>25</v>
      </c>
      <c r="M81">
        <v>1</v>
      </c>
    </row>
    <row r="82" spans="1:13" x14ac:dyDescent="0.25">
      <c r="A82" s="2">
        <v>46308</v>
      </c>
      <c r="B82" s="1" t="str">
        <f ca="1">IF(Información1[[#This Row],[Fecha]]='Ajuste de fechas'!$A$2,"Día actual","Día anterior")</f>
        <v>Día anterior</v>
      </c>
      <c r="C82" t="s">
        <v>72</v>
      </c>
      <c r="D82" t="s">
        <v>88</v>
      </c>
      <c r="E82" t="s">
        <v>205</v>
      </c>
      <c r="F82" t="s">
        <v>15</v>
      </c>
      <c r="G82" t="s">
        <v>206</v>
      </c>
      <c r="H82" t="s">
        <v>37</v>
      </c>
      <c r="I82" t="s">
        <v>7</v>
      </c>
      <c r="J82" t="s">
        <v>29</v>
      </c>
      <c r="K82" t="s">
        <v>89</v>
      </c>
      <c r="L82" t="s">
        <v>25</v>
      </c>
      <c r="M82">
        <v>1</v>
      </c>
    </row>
    <row r="83" spans="1:13" x14ac:dyDescent="0.25">
      <c r="A83" s="2">
        <v>46308</v>
      </c>
      <c r="B83" s="1" t="str">
        <f ca="1">IF(Información1[[#This Row],[Fecha]]='Ajuste de fechas'!$A$2,"Día actual","Día anterior")</f>
        <v>Día anterior</v>
      </c>
      <c r="C83" t="s">
        <v>56</v>
      </c>
      <c r="D83" t="s">
        <v>57</v>
      </c>
      <c r="E83" t="s">
        <v>125</v>
      </c>
      <c r="F83" t="s">
        <v>15</v>
      </c>
      <c r="G83" t="s">
        <v>85</v>
      </c>
      <c r="H83" t="s">
        <v>37</v>
      </c>
      <c r="I83" t="s">
        <v>17</v>
      </c>
      <c r="J83" t="s">
        <v>29</v>
      </c>
      <c r="K83" t="s">
        <v>44</v>
      </c>
      <c r="L83" t="s">
        <v>26</v>
      </c>
      <c r="M83">
        <v>1</v>
      </c>
    </row>
    <row r="84" spans="1:13" x14ac:dyDescent="0.25">
      <c r="A84" s="2">
        <v>46308</v>
      </c>
      <c r="B84" s="1" t="str">
        <f ca="1">IF(Información1[[#This Row],[Fecha]]='Ajuste de fechas'!$A$2,"Día actual","Día anterior")</f>
        <v>Día anterior</v>
      </c>
      <c r="C84" t="s">
        <v>72</v>
      </c>
      <c r="D84" t="s">
        <v>88</v>
      </c>
      <c r="E84" t="s">
        <v>207</v>
      </c>
      <c r="F84" t="s">
        <v>81</v>
      </c>
      <c r="G84" t="s">
        <v>208</v>
      </c>
      <c r="H84" t="s">
        <v>37</v>
      </c>
      <c r="I84" t="s">
        <v>7</v>
      </c>
      <c r="J84" t="s">
        <v>16</v>
      </c>
      <c r="K84" t="s">
        <v>89</v>
      </c>
      <c r="L84" t="s">
        <v>25</v>
      </c>
      <c r="M84">
        <v>1</v>
      </c>
    </row>
    <row r="85" spans="1:13" x14ac:dyDescent="0.25">
      <c r="A85" s="2">
        <v>46308</v>
      </c>
      <c r="B85" s="1" t="str">
        <f ca="1">IF(Información1[[#This Row],[Fecha]]='Ajuste de fechas'!$A$2,"Día actual","Día anterior")</f>
        <v>Día anterior</v>
      </c>
      <c r="C85" t="s">
        <v>48</v>
      </c>
      <c r="D85" t="s">
        <v>49</v>
      </c>
      <c r="E85" t="s">
        <v>134</v>
      </c>
      <c r="F85" t="s">
        <v>33</v>
      </c>
      <c r="G85" t="s">
        <v>135</v>
      </c>
      <c r="H85" t="s">
        <v>51</v>
      </c>
      <c r="I85" t="s">
        <v>7</v>
      </c>
      <c r="J85" t="s">
        <v>16</v>
      </c>
      <c r="K85" t="s">
        <v>54</v>
      </c>
      <c r="L85" t="s">
        <v>34</v>
      </c>
      <c r="M85">
        <v>1</v>
      </c>
    </row>
    <row r="86" spans="1:13" x14ac:dyDescent="0.25">
      <c r="A86" s="2">
        <v>46308</v>
      </c>
      <c r="B86" s="1" t="str">
        <f ca="1">IF(Información1[[#This Row],[Fecha]]='Ajuste de fechas'!$A$2,"Día actual","Día anterior")</f>
        <v>Día anterior</v>
      </c>
      <c r="C86" t="s">
        <v>48</v>
      </c>
      <c r="D86" t="s">
        <v>49</v>
      </c>
      <c r="E86" t="s">
        <v>147</v>
      </c>
      <c r="F86" t="s">
        <v>36</v>
      </c>
      <c r="G86" t="s">
        <v>91</v>
      </c>
      <c r="H86" t="s">
        <v>51</v>
      </c>
      <c r="I86" t="s">
        <v>7</v>
      </c>
      <c r="J86" t="s">
        <v>24</v>
      </c>
      <c r="K86" t="s">
        <v>54</v>
      </c>
      <c r="L86" t="s">
        <v>25</v>
      </c>
      <c r="M86">
        <v>1</v>
      </c>
    </row>
    <row r="87" spans="1:13" x14ac:dyDescent="0.25">
      <c r="A87" s="2">
        <v>46308</v>
      </c>
      <c r="B87" s="1" t="str">
        <f ca="1">IF(Información1[[#This Row],[Fecha]]='Ajuste de fechas'!$A$2,"Día actual","Día anterior")</f>
        <v>Día anterior</v>
      </c>
      <c r="C87" t="s">
        <v>72</v>
      </c>
      <c r="D87" t="s">
        <v>88</v>
      </c>
      <c r="E87" t="s">
        <v>209</v>
      </c>
      <c r="F87" t="s">
        <v>36</v>
      </c>
      <c r="G87" t="s">
        <v>91</v>
      </c>
      <c r="H87" t="s">
        <v>37</v>
      </c>
      <c r="I87" t="s">
        <v>7</v>
      </c>
      <c r="J87" t="s">
        <v>24</v>
      </c>
      <c r="K87" t="s">
        <v>89</v>
      </c>
      <c r="L87" t="s">
        <v>25</v>
      </c>
      <c r="M87">
        <v>1</v>
      </c>
    </row>
    <row r="88" spans="1:13" x14ac:dyDescent="0.25">
      <c r="A88" s="2">
        <v>46308</v>
      </c>
      <c r="B88" s="1" t="str">
        <f ca="1">IF(Información1[[#This Row],[Fecha]]='Ajuste de fechas'!$A$2,"Día actual","Día anterior")</f>
        <v>Día anterior</v>
      </c>
      <c r="C88" t="s">
        <v>8</v>
      </c>
      <c r="D88" t="s">
        <v>9</v>
      </c>
      <c r="E88" t="s">
        <v>210</v>
      </c>
      <c r="F88" t="s">
        <v>36</v>
      </c>
      <c r="G88" t="s">
        <v>91</v>
      </c>
      <c r="H88" t="s">
        <v>37</v>
      </c>
      <c r="I88" t="s">
        <v>7</v>
      </c>
      <c r="J88" t="s">
        <v>24</v>
      </c>
      <c r="K88" t="s">
        <v>11</v>
      </c>
      <c r="L88" t="s">
        <v>27</v>
      </c>
      <c r="M88">
        <v>1</v>
      </c>
    </row>
    <row r="89" spans="1:13" x14ac:dyDescent="0.25">
      <c r="A89" s="2">
        <v>46308</v>
      </c>
      <c r="B89" s="1" t="str">
        <f ca="1">IF(Información1[[#This Row],[Fecha]]='Ajuste de fechas'!$A$2,"Día actual","Día anterior")</f>
        <v>Día anterior</v>
      </c>
      <c r="C89" t="s">
        <v>8</v>
      </c>
      <c r="D89" t="s">
        <v>9</v>
      </c>
      <c r="E89" t="s">
        <v>211</v>
      </c>
      <c r="F89" t="s">
        <v>13</v>
      </c>
      <c r="G89" t="s">
        <v>212</v>
      </c>
      <c r="H89" t="s">
        <v>37</v>
      </c>
      <c r="I89" t="s">
        <v>17</v>
      </c>
      <c r="J89" t="s">
        <v>28</v>
      </c>
      <c r="K89" t="s">
        <v>44</v>
      </c>
      <c r="L89" t="s">
        <v>26</v>
      </c>
      <c r="M89">
        <v>1</v>
      </c>
    </row>
    <row r="90" spans="1:13" x14ac:dyDescent="0.25">
      <c r="A90" s="2">
        <v>46309</v>
      </c>
      <c r="B90" s="1" t="str">
        <f ca="1">IF(Información1[[#This Row],[Fecha]]='Ajuste de fechas'!$A$2,"Día actual","Día anterior")</f>
        <v>Día actual</v>
      </c>
      <c r="C90" t="s">
        <v>48</v>
      </c>
      <c r="D90" t="s">
        <v>49</v>
      </c>
      <c r="E90" t="s">
        <v>213</v>
      </c>
      <c r="F90" t="s">
        <v>86</v>
      </c>
      <c r="G90" t="s">
        <v>214</v>
      </c>
      <c r="H90" t="s">
        <v>51</v>
      </c>
      <c r="I90" t="s">
        <v>7</v>
      </c>
      <c r="J90" t="s">
        <v>24</v>
      </c>
      <c r="K90" t="s">
        <v>53</v>
      </c>
      <c r="L90" t="s">
        <v>27</v>
      </c>
      <c r="M90">
        <v>1</v>
      </c>
    </row>
    <row r="91" spans="1:13" x14ac:dyDescent="0.25">
      <c r="A91" s="2">
        <v>46309</v>
      </c>
      <c r="B91" s="1" t="str">
        <f ca="1">IF(Información1[[#This Row],[Fecha]]='Ajuste de fechas'!$A$2,"Día actual","Día anterior")</f>
        <v>Día actual</v>
      </c>
      <c r="C91" t="s">
        <v>48</v>
      </c>
      <c r="D91" t="s">
        <v>49</v>
      </c>
      <c r="E91" t="s">
        <v>215</v>
      </c>
      <c r="F91" t="s">
        <v>35</v>
      </c>
      <c r="G91" t="s">
        <v>128</v>
      </c>
      <c r="H91" t="s">
        <v>51</v>
      </c>
      <c r="I91" t="s">
        <v>17</v>
      </c>
      <c r="J91" t="s">
        <v>24</v>
      </c>
      <c r="K91" t="s">
        <v>54</v>
      </c>
      <c r="L91" t="s">
        <v>26</v>
      </c>
      <c r="M91">
        <v>1</v>
      </c>
    </row>
    <row r="92" spans="1:13" x14ac:dyDescent="0.25">
      <c r="A92" s="2">
        <v>46309</v>
      </c>
      <c r="B92" s="1" t="str">
        <f ca="1">IF(Información1[[#This Row],[Fecha]]='Ajuste de fechas'!$A$2,"Día actual","Día anterior")</f>
        <v>Día actual</v>
      </c>
      <c r="C92" t="s">
        <v>48</v>
      </c>
      <c r="D92" t="s">
        <v>49</v>
      </c>
      <c r="E92" t="s">
        <v>216</v>
      </c>
      <c r="F92" t="s">
        <v>35</v>
      </c>
      <c r="G92" t="s">
        <v>128</v>
      </c>
      <c r="H92" t="s">
        <v>51</v>
      </c>
      <c r="I92" t="s">
        <v>17</v>
      </c>
      <c r="J92" t="s">
        <v>24</v>
      </c>
      <c r="K92" t="s">
        <v>54</v>
      </c>
      <c r="L92" t="s">
        <v>26</v>
      </c>
      <c r="M92">
        <v>1</v>
      </c>
    </row>
    <row r="93" spans="1:13" x14ac:dyDescent="0.25">
      <c r="A93" s="2">
        <v>46309</v>
      </c>
      <c r="B93" s="1" t="str">
        <f ca="1">IF(Información1[[#This Row],[Fecha]]='Ajuste de fechas'!$A$2,"Día actual","Día anterior")</f>
        <v>Día actual</v>
      </c>
      <c r="C93" t="s">
        <v>56</v>
      </c>
      <c r="D93" t="s">
        <v>57</v>
      </c>
      <c r="E93" t="s">
        <v>217</v>
      </c>
      <c r="F93" t="s">
        <v>42</v>
      </c>
      <c r="G93" t="s">
        <v>218</v>
      </c>
      <c r="H93" t="s">
        <v>37</v>
      </c>
      <c r="I93" t="s">
        <v>17</v>
      </c>
      <c r="J93" t="s">
        <v>24</v>
      </c>
      <c r="K93" t="s">
        <v>102</v>
      </c>
      <c r="L93" t="s">
        <v>25</v>
      </c>
      <c r="M93">
        <v>1</v>
      </c>
    </row>
    <row r="94" spans="1:13" x14ac:dyDescent="0.25">
      <c r="A94" s="2">
        <v>46309</v>
      </c>
      <c r="B94" s="1" t="str">
        <f ca="1">IF(Información1[[#This Row],[Fecha]]='Ajuste de fechas'!$A$2,"Día actual","Día anterior")</f>
        <v>Día actual</v>
      </c>
      <c r="C94" t="s">
        <v>56</v>
      </c>
      <c r="D94" t="s">
        <v>57</v>
      </c>
      <c r="E94" t="s">
        <v>219</v>
      </c>
      <c r="F94" t="s">
        <v>14</v>
      </c>
      <c r="G94" t="s">
        <v>220</v>
      </c>
      <c r="H94" t="s">
        <v>37</v>
      </c>
      <c r="I94" t="s">
        <v>7</v>
      </c>
      <c r="J94" t="s">
        <v>24</v>
      </c>
      <c r="K94" t="s">
        <v>58</v>
      </c>
      <c r="L94" t="s">
        <v>27</v>
      </c>
      <c r="M94">
        <v>1</v>
      </c>
    </row>
    <row r="95" spans="1:13" x14ac:dyDescent="0.25">
      <c r="A95" s="2">
        <v>46309</v>
      </c>
      <c r="B95" s="1" t="str">
        <f ca="1">IF(Información1[[#This Row],[Fecha]]='Ajuste de fechas'!$A$2,"Día actual","Día anterior")</f>
        <v>Día actual</v>
      </c>
      <c r="C95" t="s">
        <v>56</v>
      </c>
      <c r="D95" t="s">
        <v>57</v>
      </c>
      <c r="E95" t="s">
        <v>221</v>
      </c>
      <c r="F95" t="s">
        <v>83</v>
      </c>
      <c r="G95" t="s">
        <v>222</v>
      </c>
      <c r="H95" t="s">
        <v>37</v>
      </c>
      <c r="I95" t="s">
        <v>7</v>
      </c>
      <c r="J95" t="s">
        <v>24</v>
      </c>
      <c r="K95" t="s">
        <v>102</v>
      </c>
      <c r="L95" t="s">
        <v>27</v>
      </c>
      <c r="M95">
        <v>1</v>
      </c>
    </row>
    <row r="96" spans="1:13" x14ac:dyDescent="0.25">
      <c r="A96" s="2">
        <v>46309</v>
      </c>
      <c r="B96" s="1" t="str">
        <f ca="1">IF(Información1[[#This Row],[Fecha]]='Ajuste de fechas'!$A$2,"Día actual","Día anterior")</f>
        <v>Día actual</v>
      </c>
      <c r="C96" t="s">
        <v>56</v>
      </c>
      <c r="D96" t="s">
        <v>57</v>
      </c>
      <c r="E96" t="s">
        <v>223</v>
      </c>
      <c r="F96" t="s">
        <v>35</v>
      </c>
      <c r="G96" t="s">
        <v>224</v>
      </c>
      <c r="H96" t="s">
        <v>37</v>
      </c>
      <c r="I96" t="s">
        <v>7</v>
      </c>
      <c r="J96" t="s">
        <v>24</v>
      </c>
      <c r="K96" t="s">
        <v>58</v>
      </c>
      <c r="L96" t="s">
        <v>25</v>
      </c>
      <c r="M96">
        <v>1</v>
      </c>
    </row>
    <row r="97" spans="1:13" x14ac:dyDescent="0.25">
      <c r="A97" s="2">
        <v>46309</v>
      </c>
      <c r="B97" s="1" t="str">
        <f ca="1">IF(Información1[[#This Row],[Fecha]]='Ajuste de fechas'!$A$2,"Día actual","Día anterior")</f>
        <v>Día actual</v>
      </c>
      <c r="C97" t="s">
        <v>56</v>
      </c>
      <c r="D97" t="s">
        <v>57</v>
      </c>
      <c r="E97" t="s">
        <v>225</v>
      </c>
      <c r="F97" t="s">
        <v>42</v>
      </c>
      <c r="G97" t="s">
        <v>226</v>
      </c>
      <c r="H97" t="s">
        <v>37</v>
      </c>
      <c r="I97" t="s">
        <v>7</v>
      </c>
      <c r="J97" t="s">
        <v>24</v>
      </c>
      <c r="K97" t="s">
        <v>58</v>
      </c>
      <c r="L97" t="s">
        <v>25</v>
      </c>
      <c r="M97">
        <v>1</v>
      </c>
    </row>
    <row r="98" spans="1:13" x14ac:dyDescent="0.25">
      <c r="A98" s="2">
        <v>46309</v>
      </c>
      <c r="B98" s="1" t="str">
        <f ca="1">IF(Información1[[#This Row],[Fecha]]='Ajuste de fechas'!$A$2,"Día actual","Día anterior")</f>
        <v>Día actual</v>
      </c>
      <c r="C98" t="s">
        <v>56</v>
      </c>
      <c r="D98" t="s">
        <v>57</v>
      </c>
      <c r="E98" t="s">
        <v>227</v>
      </c>
      <c r="F98" t="s">
        <v>71</v>
      </c>
      <c r="G98" t="s">
        <v>228</v>
      </c>
      <c r="H98" t="s">
        <v>37</v>
      </c>
      <c r="I98" t="s">
        <v>10</v>
      </c>
      <c r="J98" t="s">
        <v>24</v>
      </c>
      <c r="K98" t="s">
        <v>102</v>
      </c>
      <c r="L98" t="s">
        <v>25</v>
      </c>
      <c r="M98">
        <v>1</v>
      </c>
    </row>
    <row r="99" spans="1:13" x14ac:dyDescent="0.25">
      <c r="A99" s="2">
        <v>46309</v>
      </c>
      <c r="B99" s="1" t="str">
        <f ca="1">IF(Información1[[#This Row],[Fecha]]='Ajuste de fechas'!$A$2,"Día actual","Día anterior")</f>
        <v>Día actual</v>
      </c>
      <c r="C99" t="s">
        <v>56</v>
      </c>
      <c r="D99" t="s">
        <v>57</v>
      </c>
      <c r="E99" t="s">
        <v>229</v>
      </c>
      <c r="F99" t="s">
        <v>140</v>
      </c>
      <c r="G99" t="s">
        <v>230</v>
      </c>
      <c r="H99" t="s">
        <v>37</v>
      </c>
      <c r="I99" t="s">
        <v>17</v>
      </c>
      <c r="J99" t="s">
        <v>24</v>
      </c>
      <c r="K99" t="s">
        <v>58</v>
      </c>
      <c r="L99" t="s">
        <v>26</v>
      </c>
      <c r="M99">
        <v>1</v>
      </c>
    </row>
    <row r="100" spans="1:13" x14ac:dyDescent="0.25">
      <c r="A100" s="2">
        <v>46309</v>
      </c>
      <c r="B100" s="1" t="str">
        <f ca="1">IF(Información1[[#This Row],[Fecha]]='Ajuste de fechas'!$A$2,"Día actual","Día anterior")</f>
        <v>Día actual</v>
      </c>
      <c r="C100" t="s">
        <v>56</v>
      </c>
      <c r="D100" t="s">
        <v>57</v>
      </c>
      <c r="E100" t="s">
        <v>231</v>
      </c>
      <c r="F100" t="s">
        <v>140</v>
      </c>
      <c r="G100" t="s">
        <v>75</v>
      </c>
      <c r="H100" t="s">
        <v>37</v>
      </c>
      <c r="I100" t="s">
        <v>7</v>
      </c>
      <c r="J100" t="s">
        <v>24</v>
      </c>
      <c r="K100" t="s">
        <v>102</v>
      </c>
      <c r="L100" t="s">
        <v>25</v>
      </c>
      <c r="M100">
        <v>1</v>
      </c>
    </row>
    <row r="101" spans="1:13" x14ac:dyDescent="0.25">
      <c r="A101" s="2">
        <v>46309</v>
      </c>
      <c r="B101" s="1" t="str">
        <f ca="1">IF(Información1[[#This Row],[Fecha]]='Ajuste de fechas'!$A$2,"Día actual","Día anterior")</f>
        <v>Día actual</v>
      </c>
      <c r="C101" t="s">
        <v>48</v>
      </c>
      <c r="D101" t="s">
        <v>49</v>
      </c>
      <c r="E101" t="s">
        <v>232</v>
      </c>
      <c r="F101" t="s">
        <v>35</v>
      </c>
      <c r="G101" t="s">
        <v>233</v>
      </c>
      <c r="H101" t="s">
        <v>51</v>
      </c>
      <c r="I101" t="s">
        <v>7</v>
      </c>
      <c r="J101" t="s">
        <v>24</v>
      </c>
      <c r="K101" t="s">
        <v>54</v>
      </c>
      <c r="L101" t="s">
        <v>27</v>
      </c>
      <c r="M101">
        <v>1</v>
      </c>
    </row>
    <row r="102" spans="1:13" x14ac:dyDescent="0.25">
      <c r="A102" s="2">
        <v>46309</v>
      </c>
      <c r="B102" s="1" t="str">
        <f ca="1">IF(Información1[[#This Row],[Fecha]]='Ajuste de fechas'!$A$2,"Día actual","Día anterior")</f>
        <v>Día actual</v>
      </c>
      <c r="C102" t="s">
        <v>48</v>
      </c>
      <c r="D102" t="s">
        <v>49</v>
      </c>
      <c r="E102" t="s">
        <v>234</v>
      </c>
      <c r="F102" t="s">
        <v>36</v>
      </c>
      <c r="G102" t="s">
        <v>235</v>
      </c>
      <c r="H102" t="s">
        <v>51</v>
      </c>
      <c r="I102" t="s">
        <v>7</v>
      </c>
      <c r="J102" t="s">
        <v>24</v>
      </c>
      <c r="K102" t="s">
        <v>54</v>
      </c>
      <c r="L102" t="s">
        <v>27</v>
      </c>
      <c r="M102">
        <v>1</v>
      </c>
    </row>
    <row r="103" spans="1:13" x14ac:dyDescent="0.25">
      <c r="A103" s="2">
        <v>46309</v>
      </c>
      <c r="B103" s="1" t="str">
        <f ca="1">IF(Información1[[#This Row],[Fecha]]='Ajuste de fechas'!$A$2,"Día actual","Día anterior")</f>
        <v>Día actual</v>
      </c>
      <c r="C103" t="s">
        <v>48</v>
      </c>
      <c r="D103" t="s">
        <v>49</v>
      </c>
      <c r="E103" t="s">
        <v>236</v>
      </c>
      <c r="F103" t="s">
        <v>35</v>
      </c>
      <c r="G103" t="s">
        <v>128</v>
      </c>
      <c r="H103" t="s">
        <v>51</v>
      </c>
      <c r="I103" t="s">
        <v>17</v>
      </c>
      <c r="J103" t="s">
        <v>24</v>
      </c>
      <c r="K103" t="s">
        <v>54</v>
      </c>
      <c r="L103" t="s">
        <v>26</v>
      </c>
      <c r="M103">
        <v>1</v>
      </c>
    </row>
    <row r="104" spans="1:13" x14ac:dyDescent="0.25">
      <c r="A104" s="2">
        <v>46309</v>
      </c>
      <c r="B104" s="1" t="str">
        <f ca="1">IF(Información1[[#This Row],[Fecha]]='Ajuste de fechas'!$A$2,"Día actual","Día anterior")</f>
        <v>Día actual</v>
      </c>
      <c r="C104" t="s">
        <v>48</v>
      </c>
      <c r="D104" t="s">
        <v>49</v>
      </c>
      <c r="E104" t="s">
        <v>237</v>
      </c>
      <c r="F104" t="s">
        <v>79</v>
      </c>
      <c r="G104" t="s">
        <v>75</v>
      </c>
      <c r="H104" t="s">
        <v>51</v>
      </c>
      <c r="I104" t="s">
        <v>7</v>
      </c>
      <c r="J104" t="s">
        <v>24</v>
      </c>
      <c r="K104" t="s">
        <v>53</v>
      </c>
      <c r="L104" t="s">
        <v>25</v>
      </c>
      <c r="M104">
        <v>1</v>
      </c>
    </row>
    <row r="105" spans="1:13" x14ac:dyDescent="0.25">
      <c r="A105" s="2">
        <v>46309</v>
      </c>
      <c r="B105" s="1" t="str">
        <f ca="1">IF(Información1[[#This Row],[Fecha]]='Ajuste de fechas'!$A$2,"Día actual","Día anterior")</f>
        <v>Día actual</v>
      </c>
      <c r="C105" t="s">
        <v>48</v>
      </c>
      <c r="D105" t="s">
        <v>49</v>
      </c>
      <c r="E105" t="s">
        <v>238</v>
      </c>
      <c r="F105" t="s">
        <v>140</v>
      </c>
      <c r="G105" t="s">
        <v>75</v>
      </c>
      <c r="H105" t="s">
        <v>51</v>
      </c>
      <c r="I105" t="s">
        <v>7</v>
      </c>
      <c r="J105" t="s">
        <v>24</v>
      </c>
      <c r="K105" t="s">
        <v>54</v>
      </c>
      <c r="L105" t="s">
        <v>27</v>
      </c>
      <c r="M105">
        <v>1</v>
      </c>
    </row>
    <row r="106" spans="1:13" x14ac:dyDescent="0.25">
      <c r="A106" s="2">
        <v>46309</v>
      </c>
      <c r="B106" s="1" t="str">
        <f ca="1">IF(Información1[[#This Row],[Fecha]]='Ajuste de fechas'!$A$2,"Día actual","Día anterior")</f>
        <v>Día actual</v>
      </c>
      <c r="C106" t="s">
        <v>48</v>
      </c>
      <c r="D106" t="s">
        <v>49</v>
      </c>
      <c r="E106" t="s">
        <v>239</v>
      </c>
      <c r="F106" t="s">
        <v>35</v>
      </c>
      <c r="G106" t="s">
        <v>128</v>
      </c>
      <c r="H106" t="s">
        <v>51</v>
      </c>
      <c r="I106" t="s">
        <v>17</v>
      </c>
      <c r="J106" t="s">
        <v>24</v>
      </c>
      <c r="K106" t="s">
        <v>54</v>
      </c>
      <c r="L106" t="s">
        <v>26</v>
      </c>
      <c r="M106">
        <v>1</v>
      </c>
    </row>
    <row r="107" spans="1:13" x14ac:dyDescent="0.25">
      <c r="A107" s="2">
        <v>46309</v>
      </c>
      <c r="B107" s="1" t="str">
        <f ca="1">IF(Información1[[#This Row],[Fecha]]='Ajuste de fechas'!$A$2,"Día actual","Día anterior")</f>
        <v>Día actual</v>
      </c>
      <c r="C107" t="s">
        <v>48</v>
      </c>
      <c r="D107" t="s">
        <v>49</v>
      </c>
      <c r="E107" t="s">
        <v>240</v>
      </c>
      <c r="F107" t="s">
        <v>71</v>
      </c>
      <c r="G107" t="s">
        <v>92</v>
      </c>
      <c r="H107" t="s">
        <v>51</v>
      </c>
      <c r="I107" t="s">
        <v>7</v>
      </c>
      <c r="J107" t="s">
        <v>24</v>
      </c>
      <c r="K107" t="s">
        <v>54</v>
      </c>
      <c r="L107" t="s">
        <v>25</v>
      </c>
      <c r="M107">
        <v>1</v>
      </c>
    </row>
    <row r="108" spans="1:13" x14ac:dyDescent="0.25">
      <c r="A108" s="2">
        <v>46309</v>
      </c>
      <c r="B108" s="1" t="str">
        <f ca="1">IF(Información1[[#This Row],[Fecha]]='Ajuste de fechas'!$A$2,"Día actual","Día anterior")</f>
        <v>Día actual</v>
      </c>
      <c r="C108" t="s">
        <v>48</v>
      </c>
      <c r="D108" t="s">
        <v>49</v>
      </c>
      <c r="E108" t="s">
        <v>241</v>
      </c>
      <c r="F108" t="s">
        <v>35</v>
      </c>
      <c r="G108" t="s">
        <v>110</v>
      </c>
      <c r="H108" t="s">
        <v>51</v>
      </c>
      <c r="I108" t="s">
        <v>7</v>
      </c>
      <c r="J108" t="s">
        <v>24</v>
      </c>
      <c r="K108" t="s">
        <v>53</v>
      </c>
      <c r="L108" t="s">
        <v>25</v>
      </c>
      <c r="M108">
        <v>1</v>
      </c>
    </row>
    <row r="109" spans="1:13" x14ac:dyDescent="0.25">
      <c r="A109" s="2">
        <v>46309</v>
      </c>
      <c r="B109" s="1" t="str">
        <f ca="1">IF(Información1[[#This Row],[Fecha]]='Ajuste de fechas'!$A$2,"Día actual","Día anterior")</f>
        <v>Día actual</v>
      </c>
      <c r="C109" t="s">
        <v>48</v>
      </c>
      <c r="D109" t="s">
        <v>49</v>
      </c>
      <c r="E109" t="s">
        <v>242</v>
      </c>
      <c r="F109" t="s">
        <v>36</v>
      </c>
      <c r="G109" t="s">
        <v>91</v>
      </c>
      <c r="H109" t="s">
        <v>51</v>
      </c>
      <c r="I109" t="s">
        <v>7</v>
      </c>
      <c r="J109" t="s">
        <v>24</v>
      </c>
      <c r="K109" t="s">
        <v>54</v>
      </c>
      <c r="L109" t="s">
        <v>25</v>
      </c>
      <c r="M109">
        <v>1</v>
      </c>
    </row>
    <row r="110" spans="1:13" x14ac:dyDescent="0.25">
      <c r="A110" s="2">
        <v>46309</v>
      </c>
      <c r="B110" s="1" t="str">
        <f ca="1">IF(Información1[[#This Row],[Fecha]]='Ajuste de fechas'!$A$2,"Día actual","Día anterior")</f>
        <v>Día actual</v>
      </c>
      <c r="C110" t="s">
        <v>38</v>
      </c>
      <c r="D110" t="s">
        <v>43</v>
      </c>
      <c r="E110" t="s">
        <v>219</v>
      </c>
      <c r="F110" t="s">
        <v>14</v>
      </c>
      <c r="G110" t="s">
        <v>220</v>
      </c>
      <c r="H110" t="s">
        <v>37</v>
      </c>
      <c r="I110" t="s">
        <v>7</v>
      </c>
      <c r="J110" t="s">
        <v>24</v>
      </c>
      <c r="K110" t="s">
        <v>40</v>
      </c>
      <c r="L110" t="s">
        <v>27</v>
      </c>
      <c r="M110">
        <v>1</v>
      </c>
    </row>
    <row r="111" spans="1:13" x14ac:dyDescent="0.25">
      <c r="A111" s="2">
        <v>46309</v>
      </c>
      <c r="B111" s="1" t="str">
        <f ca="1">IF(Información1[[#This Row],[Fecha]]='Ajuste de fechas'!$A$2,"Día actual","Día anterior")</f>
        <v>Día actual</v>
      </c>
      <c r="C111" t="s">
        <v>38</v>
      </c>
      <c r="D111" t="s">
        <v>43</v>
      </c>
      <c r="E111" t="s">
        <v>243</v>
      </c>
      <c r="F111" t="s">
        <v>35</v>
      </c>
      <c r="G111" t="s">
        <v>224</v>
      </c>
      <c r="H111" t="s">
        <v>37</v>
      </c>
      <c r="I111" t="s">
        <v>7</v>
      </c>
      <c r="J111" t="s">
        <v>24</v>
      </c>
      <c r="K111" t="s">
        <v>40</v>
      </c>
      <c r="L111" t="s">
        <v>25</v>
      </c>
      <c r="M111">
        <v>1</v>
      </c>
    </row>
    <row r="112" spans="1:13" x14ac:dyDescent="0.25">
      <c r="A112" s="2">
        <v>46309</v>
      </c>
      <c r="B112" s="1" t="str">
        <f ca="1">IF(Información1[[#This Row],[Fecha]]='Ajuste de fechas'!$A$2,"Día actual","Día anterior")</f>
        <v>Día actual</v>
      </c>
      <c r="C112" t="s">
        <v>45</v>
      </c>
      <c r="D112" t="s">
        <v>46</v>
      </c>
      <c r="E112" t="s">
        <v>244</v>
      </c>
      <c r="F112" t="s">
        <v>140</v>
      </c>
      <c r="G112" t="s">
        <v>75</v>
      </c>
      <c r="H112" t="s">
        <v>37</v>
      </c>
      <c r="I112" t="s">
        <v>7</v>
      </c>
      <c r="J112" t="s">
        <v>24</v>
      </c>
      <c r="K112" t="s">
        <v>47</v>
      </c>
      <c r="L112" t="s">
        <v>25</v>
      </c>
      <c r="M112">
        <v>1</v>
      </c>
    </row>
    <row r="113" spans="1:13" x14ac:dyDescent="0.25">
      <c r="A113" s="2">
        <v>46309</v>
      </c>
      <c r="B113" s="1" t="str">
        <f ca="1">IF(Información1[[#This Row],[Fecha]]='Ajuste de fechas'!$A$2,"Día actual","Día anterior")</f>
        <v>Día actual</v>
      </c>
      <c r="C113" t="s">
        <v>38</v>
      </c>
      <c r="D113" t="s">
        <v>39</v>
      </c>
      <c r="E113" t="s">
        <v>245</v>
      </c>
      <c r="F113" t="s">
        <v>139</v>
      </c>
      <c r="G113" t="s">
        <v>75</v>
      </c>
      <c r="H113" t="s">
        <v>37</v>
      </c>
      <c r="I113" t="s">
        <v>7</v>
      </c>
      <c r="J113" t="s">
        <v>24</v>
      </c>
      <c r="K113" t="s">
        <v>41</v>
      </c>
      <c r="L113" t="s">
        <v>27</v>
      </c>
      <c r="M113">
        <v>1</v>
      </c>
    </row>
    <row r="114" spans="1:13" x14ac:dyDescent="0.25">
      <c r="A114" s="2">
        <v>46309</v>
      </c>
      <c r="B114" s="1" t="str">
        <f ca="1">IF(Información1[[#This Row],[Fecha]]='Ajuste de fechas'!$A$2,"Día actual","Día anterior")</f>
        <v>Día actual</v>
      </c>
      <c r="C114" t="s">
        <v>38</v>
      </c>
      <c r="D114" t="s">
        <v>39</v>
      </c>
      <c r="E114" t="s">
        <v>238</v>
      </c>
      <c r="F114" t="s">
        <v>140</v>
      </c>
      <c r="G114" t="s">
        <v>75</v>
      </c>
      <c r="H114" t="s">
        <v>37</v>
      </c>
      <c r="I114" t="s">
        <v>7</v>
      </c>
      <c r="J114" t="s">
        <v>24</v>
      </c>
      <c r="K114" t="s">
        <v>41</v>
      </c>
      <c r="L114" t="s">
        <v>27</v>
      </c>
      <c r="M114">
        <v>1</v>
      </c>
    </row>
    <row r="115" spans="1:13" x14ac:dyDescent="0.25">
      <c r="A115" s="2">
        <v>46309</v>
      </c>
      <c r="B115" s="1" t="str">
        <f ca="1">IF(Información1[[#This Row],[Fecha]]='Ajuste de fechas'!$A$2,"Día actual","Día anterior")</f>
        <v>Día actual</v>
      </c>
      <c r="C115" t="s">
        <v>38</v>
      </c>
      <c r="D115" t="s">
        <v>39</v>
      </c>
      <c r="E115" t="s">
        <v>246</v>
      </c>
      <c r="F115" t="s">
        <v>35</v>
      </c>
      <c r="G115" t="s">
        <v>224</v>
      </c>
      <c r="H115" t="s">
        <v>37</v>
      </c>
      <c r="I115" t="s">
        <v>7</v>
      </c>
      <c r="J115" t="s">
        <v>24</v>
      </c>
      <c r="K115" t="s">
        <v>40</v>
      </c>
      <c r="L115" t="s">
        <v>27</v>
      </c>
      <c r="M115">
        <v>1</v>
      </c>
    </row>
    <row r="116" spans="1:13" x14ac:dyDescent="0.25">
      <c r="A116" s="2">
        <v>46309</v>
      </c>
      <c r="B116" s="1" t="str">
        <f ca="1">IF(Información1[[#This Row],[Fecha]]='Ajuste de fechas'!$A$2,"Día actual","Día anterior")</f>
        <v>Día actual</v>
      </c>
      <c r="C116" t="s">
        <v>72</v>
      </c>
      <c r="D116" t="s">
        <v>62</v>
      </c>
      <c r="E116" t="s">
        <v>247</v>
      </c>
      <c r="F116" t="s">
        <v>42</v>
      </c>
      <c r="G116" t="s">
        <v>226</v>
      </c>
      <c r="H116" t="s">
        <v>37</v>
      </c>
      <c r="I116" t="s">
        <v>7</v>
      </c>
      <c r="J116" t="s">
        <v>24</v>
      </c>
      <c r="K116" t="s">
        <v>63</v>
      </c>
      <c r="L116" t="s">
        <v>25</v>
      </c>
      <c r="M116">
        <v>1</v>
      </c>
    </row>
    <row r="117" spans="1:13" x14ac:dyDescent="0.25">
      <c r="A117" s="2">
        <v>46309</v>
      </c>
      <c r="B117" s="1" t="str">
        <f ca="1">IF(Información1[[#This Row],[Fecha]]='Ajuste de fechas'!$A$2,"Día actual","Día anterior")</f>
        <v>Día actual</v>
      </c>
      <c r="C117" t="s">
        <v>72</v>
      </c>
      <c r="D117" t="s">
        <v>62</v>
      </c>
      <c r="E117" t="s">
        <v>248</v>
      </c>
      <c r="F117" t="s">
        <v>35</v>
      </c>
      <c r="G117" t="s">
        <v>224</v>
      </c>
      <c r="H117" t="s">
        <v>37</v>
      </c>
      <c r="I117" t="s">
        <v>7</v>
      </c>
      <c r="J117" t="s">
        <v>24</v>
      </c>
      <c r="K117" t="s">
        <v>63</v>
      </c>
      <c r="L117" t="s">
        <v>25</v>
      </c>
      <c r="M117">
        <v>1</v>
      </c>
    </row>
    <row r="118" spans="1:13" x14ac:dyDescent="0.25">
      <c r="A118" s="2">
        <v>46309</v>
      </c>
      <c r="B118" s="1" t="str">
        <f ca="1">IF(Información1[[#This Row],[Fecha]]='Ajuste de fechas'!$A$2,"Día actual","Día anterior")</f>
        <v>Día actual</v>
      </c>
      <c r="C118" t="s">
        <v>59</v>
      </c>
      <c r="D118" t="s">
        <v>60</v>
      </c>
      <c r="E118" t="s">
        <v>249</v>
      </c>
      <c r="F118" t="s">
        <v>139</v>
      </c>
      <c r="G118" t="s">
        <v>75</v>
      </c>
      <c r="H118" t="s">
        <v>37</v>
      </c>
      <c r="I118" t="s">
        <v>7</v>
      </c>
      <c r="J118" t="s">
        <v>24</v>
      </c>
      <c r="K118" t="s">
        <v>61</v>
      </c>
      <c r="L118" t="s">
        <v>27</v>
      </c>
      <c r="M118">
        <v>1</v>
      </c>
    </row>
    <row r="119" spans="1:13" x14ac:dyDescent="0.25">
      <c r="A119" s="2">
        <v>46309</v>
      </c>
      <c r="B119" s="1" t="str">
        <f ca="1">IF(Información1[[#This Row],[Fecha]]='Ajuste de fechas'!$A$2,"Día actual","Día anterior")</f>
        <v>Día actual</v>
      </c>
      <c r="C119" t="s">
        <v>72</v>
      </c>
      <c r="D119" t="s">
        <v>88</v>
      </c>
      <c r="E119" t="s">
        <v>250</v>
      </c>
      <c r="F119" t="s">
        <v>71</v>
      </c>
      <c r="G119" t="s">
        <v>96</v>
      </c>
      <c r="H119" t="s">
        <v>37</v>
      </c>
      <c r="I119" t="s">
        <v>7</v>
      </c>
      <c r="J119" t="s">
        <v>24</v>
      </c>
      <c r="K119" t="s">
        <v>89</v>
      </c>
      <c r="L119" t="s">
        <v>25</v>
      </c>
      <c r="M119">
        <v>1</v>
      </c>
    </row>
    <row r="120" spans="1:13" x14ac:dyDescent="0.25">
      <c r="A120" s="2">
        <v>46309</v>
      </c>
      <c r="B120" s="1" t="str">
        <f ca="1">IF(Información1[[#This Row],[Fecha]]='Ajuste de fechas'!$A$2,"Día actual","Día anterior")</f>
        <v>Día actual</v>
      </c>
      <c r="C120" t="s">
        <v>72</v>
      </c>
      <c r="D120" t="s">
        <v>88</v>
      </c>
      <c r="E120" t="s">
        <v>251</v>
      </c>
      <c r="F120" t="s">
        <v>36</v>
      </c>
      <c r="G120" t="s">
        <v>235</v>
      </c>
      <c r="H120" t="s">
        <v>37</v>
      </c>
      <c r="I120" t="s">
        <v>7</v>
      </c>
      <c r="J120" t="s">
        <v>24</v>
      </c>
      <c r="K120" t="s">
        <v>89</v>
      </c>
      <c r="L120" t="s">
        <v>25</v>
      </c>
      <c r="M120">
        <v>1</v>
      </c>
    </row>
    <row r="121" spans="1:13" x14ac:dyDescent="0.25">
      <c r="A121" s="2">
        <v>46309</v>
      </c>
      <c r="B121" s="1" t="str">
        <f ca="1">IF(Información1[[#This Row],[Fecha]]='Ajuste de fechas'!$A$2,"Día actual","Día anterior")</f>
        <v>Día actual</v>
      </c>
      <c r="C121" t="s">
        <v>72</v>
      </c>
      <c r="D121" t="s">
        <v>88</v>
      </c>
      <c r="E121" t="s">
        <v>252</v>
      </c>
      <c r="F121" t="s">
        <v>86</v>
      </c>
      <c r="G121" t="s">
        <v>214</v>
      </c>
      <c r="H121" t="s">
        <v>37</v>
      </c>
      <c r="I121" t="s">
        <v>7</v>
      </c>
      <c r="J121" t="s">
        <v>24</v>
      </c>
      <c r="K121" t="s">
        <v>89</v>
      </c>
      <c r="L121" t="s">
        <v>25</v>
      </c>
      <c r="M121">
        <v>1</v>
      </c>
    </row>
    <row r="122" spans="1:13" x14ac:dyDescent="0.25">
      <c r="A122" s="2">
        <v>46309</v>
      </c>
      <c r="B122" s="1" t="str">
        <f ca="1">IF(Información1[[#This Row],[Fecha]]='Ajuste de fechas'!$A$2,"Día actual","Día anterior")</f>
        <v>Día actual</v>
      </c>
      <c r="C122" t="s">
        <v>72</v>
      </c>
      <c r="D122" t="s">
        <v>88</v>
      </c>
      <c r="E122" t="s">
        <v>253</v>
      </c>
      <c r="F122" t="s">
        <v>71</v>
      </c>
      <c r="G122" t="s">
        <v>254</v>
      </c>
      <c r="H122" t="s">
        <v>37</v>
      </c>
      <c r="I122" t="s">
        <v>7</v>
      </c>
      <c r="J122" t="s">
        <v>24</v>
      </c>
      <c r="K122" t="s">
        <v>89</v>
      </c>
      <c r="L122" t="s">
        <v>25</v>
      </c>
      <c r="M122">
        <v>1</v>
      </c>
    </row>
    <row r="123" spans="1:13" x14ac:dyDescent="0.25">
      <c r="A123" s="2">
        <v>46309</v>
      </c>
      <c r="B123" s="1" t="str">
        <f ca="1">IF(Información1[[#This Row],[Fecha]]='Ajuste de fechas'!$A$2,"Día actual","Día anterior")</f>
        <v>Día actual</v>
      </c>
      <c r="C123" t="s">
        <v>72</v>
      </c>
      <c r="D123" t="s">
        <v>88</v>
      </c>
      <c r="E123" t="s">
        <v>255</v>
      </c>
      <c r="F123" t="s">
        <v>42</v>
      </c>
      <c r="G123" t="s">
        <v>121</v>
      </c>
      <c r="H123" t="s">
        <v>37</v>
      </c>
      <c r="I123" t="s">
        <v>17</v>
      </c>
      <c r="J123" t="s">
        <v>24</v>
      </c>
      <c r="K123" t="s">
        <v>89</v>
      </c>
      <c r="L123" t="s">
        <v>25</v>
      </c>
      <c r="M123">
        <v>1</v>
      </c>
    </row>
    <row r="124" spans="1:13" x14ac:dyDescent="0.25">
      <c r="A124" s="2">
        <v>46309</v>
      </c>
      <c r="B124" s="1" t="str">
        <f ca="1">IF(Información1[[#This Row],[Fecha]]='Ajuste de fechas'!$A$2,"Día actual","Día anterior")</f>
        <v>Día actual</v>
      </c>
      <c r="C124" t="s">
        <v>72</v>
      </c>
      <c r="D124" t="s">
        <v>88</v>
      </c>
      <c r="E124" t="s">
        <v>256</v>
      </c>
      <c r="F124" t="s">
        <v>139</v>
      </c>
      <c r="G124" t="s">
        <v>75</v>
      </c>
      <c r="H124" t="s">
        <v>37</v>
      </c>
      <c r="I124" t="s">
        <v>7</v>
      </c>
      <c r="J124" t="s">
        <v>24</v>
      </c>
      <c r="K124" t="s">
        <v>89</v>
      </c>
      <c r="L124" t="s">
        <v>25</v>
      </c>
      <c r="M124">
        <v>1</v>
      </c>
    </row>
    <row r="125" spans="1:13" x14ac:dyDescent="0.25">
      <c r="A125" s="2">
        <v>46309</v>
      </c>
      <c r="B125" s="1" t="str">
        <f ca="1">IF(Información1[[#This Row],[Fecha]]='Ajuste de fechas'!$A$2,"Día actual","Día anterior")</f>
        <v>Día actual</v>
      </c>
      <c r="C125" t="s">
        <v>72</v>
      </c>
      <c r="D125" t="s">
        <v>88</v>
      </c>
      <c r="E125" t="s">
        <v>257</v>
      </c>
      <c r="F125" t="s">
        <v>14</v>
      </c>
      <c r="G125" t="s">
        <v>220</v>
      </c>
      <c r="H125" t="s">
        <v>37</v>
      </c>
      <c r="I125" t="s">
        <v>7</v>
      </c>
      <c r="J125" t="s">
        <v>24</v>
      </c>
      <c r="K125" t="s">
        <v>89</v>
      </c>
      <c r="L125" t="s">
        <v>25</v>
      </c>
      <c r="M125">
        <v>1</v>
      </c>
    </row>
    <row r="126" spans="1:13" x14ac:dyDescent="0.25">
      <c r="A126" s="2">
        <v>46309</v>
      </c>
      <c r="B126" s="1" t="str">
        <f ca="1">IF(Información1[[#This Row],[Fecha]]='Ajuste de fechas'!$A$2,"Día actual","Día anterior")</f>
        <v>Día actual</v>
      </c>
      <c r="C126" t="s">
        <v>72</v>
      </c>
      <c r="D126" t="s">
        <v>88</v>
      </c>
      <c r="E126" t="s">
        <v>258</v>
      </c>
      <c r="F126" t="s">
        <v>78</v>
      </c>
      <c r="G126" t="s">
        <v>75</v>
      </c>
      <c r="H126" t="s">
        <v>37</v>
      </c>
      <c r="I126" t="s">
        <v>7</v>
      </c>
      <c r="J126" t="s">
        <v>24</v>
      </c>
      <c r="K126" t="s">
        <v>89</v>
      </c>
      <c r="L126" t="s">
        <v>25</v>
      </c>
      <c r="M126">
        <v>1</v>
      </c>
    </row>
    <row r="127" spans="1:13" x14ac:dyDescent="0.25">
      <c r="A127" s="2">
        <v>46309</v>
      </c>
      <c r="B127" s="1" t="str">
        <f ca="1">IF(Información1[[#This Row],[Fecha]]='Ajuste de fechas'!$A$2,"Día actual","Día anterior")</f>
        <v>Día actual</v>
      </c>
      <c r="C127" t="s">
        <v>72</v>
      </c>
      <c r="D127" t="s">
        <v>88</v>
      </c>
      <c r="E127" t="s">
        <v>259</v>
      </c>
      <c r="F127" t="s">
        <v>36</v>
      </c>
      <c r="G127" t="s">
        <v>91</v>
      </c>
      <c r="H127" t="s">
        <v>37</v>
      </c>
      <c r="I127" t="s">
        <v>7</v>
      </c>
      <c r="J127" t="s">
        <v>24</v>
      </c>
      <c r="K127" t="s">
        <v>89</v>
      </c>
      <c r="L127" t="s">
        <v>25</v>
      </c>
      <c r="M127">
        <v>1</v>
      </c>
    </row>
    <row r="128" spans="1:13" x14ac:dyDescent="0.25">
      <c r="A128" s="2">
        <v>46309</v>
      </c>
      <c r="B128" s="1" t="str">
        <f ca="1">IF(Información1[[#This Row],[Fecha]]='Ajuste de fechas'!$A$2,"Día actual","Día anterior")</f>
        <v>Día actual</v>
      </c>
      <c r="C128" t="s">
        <v>72</v>
      </c>
      <c r="D128" t="s">
        <v>88</v>
      </c>
      <c r="E128" t="s">
        <v>260</v>
      </c>
      <c r="F128" t="s">
        <v>35</v>
      </c>
      <c r="G128" t="s">
        <v>261</v>
      </c>
      <c r="H128" t="s">
        <v>37</v>
      </c>
      <c r="I128" t="s">
        <v>7</v>
      </c>
      <c r="J128" t="s">
        <v>24</v>
      </c>
      <c r="K128" t="s">
        <v>89</v>
      </c>
      <c r="L128" t="s">
        <v>25</v>
      </c>
      <c r="M128">
        <v>1</v>
      </c>
    </row>
    <row r="129" spans="1:13" x14ac:dyDescent="0.25">
      <c r="A129" s="2">
        <v>46309</v>
      </c>
      <c r="B129" s="1" t="str">
        <f ca="1">IF(Información1[[#This Row],[Fecha]]='Ajuste de fechas'!$A$2,"Día actual","Día anterior")</f>
        <v>Día actual</v>
      </c>
      <c r="C129" t="s">
        <v>72</v>
      </c>
      <c r="D129" t="s">
        <v>88</v>
      </c>
      <c r="E129" t="s">
        <v>262</v>
      </c>
      <c r="F129" t="s">
        <v>140</v>
      </c>
      <c r="G129" t="s">
        <v>75</v>
      </c>
      <c r="H129" t="s">
        <v>37</v>
      </c>
      <c r="I129" t="s">
        <v>7</v>
      </c>
      <c r="J129" t="s">
        <v>24</v>
      </c>
      <c r="K129" t="s">
        <v>89</v>
      </c>
      <c r="L129" t="s">
        <v>25</v>
      </c>
      <c r="M129">
        <v>1</v>
      </c>
    </row>
    <row r="130" spans="1:13" x14ac:dyDescent="0.25">
      <c r="A130" s="2">
        <v>46309</v>
      </c>
      <c r="B130" s="1" t="str">
        <f ca="1">IF(Información1[[#This Row],[Fecha]]='Ajuste de fechas'!$A$2,"Día actual","Día anterior")</f>
        <v>Día actual</v>
      </c>
      <c r="C130" t="s">
        <v>8</v>
      </c>
      <c r="D130" t="s">
        <v>263</v>
      </c>
      <c r="E130" t="s">
        <v>264</v>
      </c>
      <c r="F130" t="s">
        <v>6</v>
      </c>
      <c r="G130" t="s">
        <v>265</v>
      </c>
      <c r="H130" t="s">
        <v>37</v>
      </c>
      <c r="I130" t="s">
        <v>17</v>
      </c>
      <c r="J130" t="s">
        <v>24</v>
      </c>
      <c r="K130" t="s">
        <v>44</v>
      </c>
      <c r="L130" t="s">
        <v>26</v>
      </c>
      <c r="M130">
        <v>1</v>
      </c>
    </row>
    <row r="131" spans="1:13" x14ac:dyDescent="0.25">
      <c r="A131" s="2">
        <v>46309</v>
      </c>
      <c r="B131" s="1" t="str">
        <f ca="1">IF(Información1[[#This Row],[Fecha]]='Ajuste de fechas'!$A$2,"Día actual","Día anterior")</f>
        <v>Día actual</v>
      </c>
      <c r="C131" t="s">
        <v>8</v>
      </c>
      <c r="D131" t="s">
        <v>263</v>
      </c>
      <c r="E131" t="s">
        <v>266</v>
      </c>
      <c r="F131" t="s">
        <v>6</v>
      </c>
      <c r="G131" t="s">
        <v>64</v>
      </c>
      <c r="H131" t="s">
        <v>37</v>
      </c>
      <c r="I131" t="s">
        <v>17</v>
      </c>
      <c r="J131" t="s">
        <v>24</v>
      </c>
      <c r="K131" t="s">
        <v>44</v>
      </c>
      <c r="L131" t="s">
        <v>26</v>
      </c>
      <c r="M131">
        <v>1</v>
      </c>
    </row>
    <row r="132" spans="1:13" x14ac:dyDescent="0.25">
      <c r="A132" s="2">
        <v>46309</v>
      </c>
      <c r="B132" s="1" t="str">
        <f ca="1">IF(Información1[[#This Row],[Fecha]]='Ajuste de fechas'!$A$2,"Día actual","Día anterior")</f>
        <v>Día actual</v>
      </c>
      <c r="C132" t="s">
        <v>8</v>
      </c>
      <c r="D132" t="s">
        <v>263</v>
      </c>
      <c r="E132" t="s">
        <v>267</v>
      </c>
      <c r="F132" t="s">
        <v>35</v>
      </c>
      <c r="G132" t="s">
        <v>224</v>
      </c>
      <c r="H132" t="s">
        <v>37</v>
      </c>
      <c r="I132" t="s">
        <v>7</v>
      </c>
      <c r="J132" t="s">
        <v>24</v>
      </c>
      <c r="K132" t="s">
        <v>11</v>
      </c>
      <c r="L132" t="s">
        <v>25</v>
      </c>
      <c r="M132">
        <v>1</v>
      </c>
    </row>
    <row r="133" spans="1:13" x14ac:dyDescent="0.25">
      <c r="A133" s="2">
        <v>46309</v>
      </c>
      <c r="B133" s="1" t="str">
        <f ca="1">IF(Información1[[#This Row],[Fecha]]='Ajuste de fechas'!$A$2,"Día actual","Día anterior")</f>
        <v>Día actual</v>
      </c>
      <c r="C133" t="s">
        <v>8</v>
      </c>
      <c r="D133" t="s">
        <v>263</v>
      </c>
      <c r="E133" t="s">
        <v>268</v>
      </c>
      <c r="F133" t="s">
        <v>140</v>
      </c>
      <c r="G133" t="s">
        <v>75</v>
      </c>
      <c r="H133" t="s">
        <v>37</v>
      </c>
      <c r="I133" t="s">
        <v>7</v>
      </c>
      <c r="J133" t="s">
        <v>24</v>
      </c>
      <c r="K133" t="s">
        <v>11</v>
      </c>
      <c r="L133" t="s">
        <v>25</v>
      </c>
      <c r="M133">
        <v>1</v>
      </c>
    </row>
    <row r="134" spans="1:13" x14ac:dyDescent="0.25">
      <c r="A134" s="2">
        <v>46309</v>
      </c>
      <c r="B134" s="1" t="str">
        <f ca="1">IF(Información1[[#This Row],[Fecha]]='Ajuste de fechas'!$A$2,"Día actual","Día anterior")</f>
        <v>Día actual</v>
      </c>
      <c r="C134" t="s">
        <v>8</v>
      </c>
      <c r="D134" t="s">
        <v>263</v>
      </c>
      <c r="E134" t="s">
        <v>269</v>
      </c>
      <c r="F134" t="s">
        <v>14</v>
      </c>
      <c r="G134" t="s">
        <v>220</v>
      </c>
      <c r="H134" t="s">
        <v>37</v>
      </c>
      <c r="I134" t="s">
        <v>7</v>
      </c>
      <c r="J134" t="s">
        <v>24</v>
      </c>
      <c r="K134" t="s">
        <v>11</v>
      </c>
      <c r="L134" t="s">
        <v>25</v>
      </c>
      <c r="M134">
        <v>1</v>
      </c>
    </row>
    <row r="135" spans="1:13" x14ac:dyDescent="0.25">
      <c r="A135" s="2">
        <v>46309</v>
      </c>
      <c r="B135" s="1" t="str">
        <f ca="1">IF(Información1[[#This Row],[Fecha]]='Ajuste de fechas'!$A$2,"Día actual","Día anterior")</f>
        <v>Día actual</v>
      </c>
      <c r="C135" t="s">
        <v>8</v>
      </c>
      <c r="D135" t="s">
        <v>263</v>
      </c>
      <c r="E135" t="s">
        <v>270</v>
      </c>
      <c r="F135" t="s">
        <v>71</v>
      </c>
      <c r="G135" t="s">
        <v>96</v>
      </c>
      <c r="H135" t="s">
        <v>37</v>
      </c>
      <c r="I135" t="s">
        <v>7</v>
      </c>
      <c r="J135" t="s">
        <v>24</v>
      </c>
      <c r="K135" t="s">
        <v>11</v>
      </c>
      <c r="L135" t="s">
        <v>27</v>
      </c>
      <c r="M135">
        <v>1</v>
      </c>
    </row>
    <row r="136" spans="1:13" x14ac:dyDescent="0.25">
      <c r="A136" s="2">
        <v>46309</v>
      </c>
      <c r="B136" s="1" t="str">
        <f ca="1">IF(Información1[[#This Row],[Fecha]]='Ajuste de fechas'!$A$2,"Día actual","Día anterior")</f>
        <v>Día actual</v>
      </c>
      <c r="C136" t="s">
        <v>8</v>
      </c>
      <c r="D136" t="s">
        <v>263</v>
      </c>
      <c r="E136" t="s">
        <v>271</v>
      </c>
      <c r="F136" t="s">
        <v>35</v>
      </c>
      <c r="G136" t="s">
        <v>94</v>
      </c>
      <c r="H136" t="s">
        <v>37</v>
      </c>
      <c r="I136" t="s">
        <v>10</v>
      </c>
      <c r="J136" t="s">
        <v>24</v>
      </c>
      <c r="K136" t="s">
        <v>11</v>
      </c>
      <c r="L136" t="s">
        <v>26</v>
      </c>
      <c r="M136">
        <v>1</v>
      </c>
    </row>
    <row r="137" spans="1:13" x14ac:dyDescent="0.25">
      <c r="A137" s="2">
        <v>46309</v>
      </c>
      <c r="B137" s="1" t="str">
        <f ca="1">IF(Información1[[#This Row],[Fecha]]='Ajuste de fechas'!$A$2,"Día actual","Día anterior")</f>
        <v>Día actual</v>
      </c>
      <c r="C137" t="s">
        <v>8</v>
      </c>
      <c r="D137" t="s">
        <v>263</v>
      </c>
      <c r="E137" t="s">
        <v>76</v>
      </c>
      <c r="F137" t="s">
        <v>14</v>
      </c>
      <c r="G137" t="s">
        <v>66</v>
      </c>
      <c r="H137" t="s">
        <v>37</v>
      </c>
      <c r="I137" t="s">
        <v>10</v>
      </c>
      <c r="J137" t="s">
        <v>24</v>
      </c>
      <c r="K137" t="s">
        <v>11</v>
      </c>
      <c r="L137" t="s">
        <v>26</v>
      </c>
      <c r="M137">
        <v>1</v>
      </c>
    </row>
    <row r="138" spans="1:13" x14ac:dyDescent="0.25">
      <c r="A138" s="2">
        <v>46309</v>
      </c>
      <c r="B138" s="1" t="str">
        <f ca="1">IF(Información1[[#This Row],[Fecha]]='Ajuste de fechas'!$A$2,"Día actual","Día anterior")</f>
        <v>Día actual</v>
      </c>
      <c r="C138" t="s">
        <v>8</v>
      </c>
      <c r="D138" t="s">
        <v>263</v>
      </c>
      <c r="E138" t="s">
        <v>80</v>
      </c>
      <c r="F138" t="s">
        <v>35</v>
      </c>
      <c r="G138" t="s">
        <v>66</v>
      </c>
      <c r="H138" t="s">
        <v>37</v>
      </c>
      <c r="I138" t="s">
        <v>10</v>
      </c>
      <c r="J138" t="s">
        <v>24</v>
      </c>
      <c r="K138" t="s">
        <v>11</v>
      </c>
      <c r="L138" t="s">
        <v>26</v>
      </c>
      <c r="M138">
        <v>1</v>
      </c>
    </row>
    <row r="139" spans="1:13" x14ac:dyDescent="0.25">
      <c r="A139" s="2">
        <v>46309</v>
      </c>
      <c r="B139" s="1" t="str">
        <f ca="1">IF(Información1[[#This Row],[Fecha]]='Ajuste de fechas'!$A$2,"Día actual","Día anterior")</f>
        <v>Día actual</v>
      </c>
      <c r="C139" t="s">
        <v>8</v>
      </c>
      <c r="D139" t="s">
        <v>263</v>
      </c>
      <c r="E139" t="s">
        <v>73</v>
      </c>
      <c r="F139" t="s">
        <v>12</v>
      </c>
      <c r="G139" t="s">
        <v>66</v>
      </c>
      <c r="H139" t="s">
        <v>37</v>
      </c>
      <c r="I139" t="s">
        <v>10</v>
      </c>
      <c r="J139" t="s">
        <v>24</v>
      </c>
      <c r="K139" t="s">
        <v>11</v>
      </c>
      <c r="L139" t="s">
        <v>26</v>
      </c>
      <c r="M139">
        <v>1</v>
      </c>
    </row>
    <row r="140" spans="1:13" x14ac:dyDescent="0.25">
      <c r="A140" s="2">
        <v>46309</v>
      </c>
      <c r="B140" s="1" t="str">
        <f ca="1">IF(Información1[[#This Row],[Fecha]]='Ajuste de fechas'!$A$2,"Día actual","Día anterior")</f>
        <v>Día actual</v>
      </c>
      <c r="C140" t="s">
        <v>8</v>
      </c>
      <c r="D140" t="s">
        <v>263</v>
      </c>
      <c r="E140" t="s">
        <v>69</v>
      </c>
      <c r="F140" t="s">
        <v>6</v>
      </c>
      <c r="G140" t="s">
        <v>66</v>
      </c>
      <c r="H140" t="s">
        <v>37</v>
      </c>
      <c r="I140" t="s">
        <v>10</v>
      </c>
      <c r="J140" t="s">
        <v>24</v>
      </c>
      <c r="K140" t="s">
        <v>11</v>
      </c>
      <c r="L140" t="s">
        <v>26</v>
      </c>
      <c r="M14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31</v>
      </c>
      <c r="B1" t="s">
        <v>32</v>
      </c>
    </row>
    <row r="2" spans="1:2" x14ac:dyDescent="0.25">
      <c r="A2" s="2">
        <f ca="1">TODAY()</f>
        <v>46309</v>
      </c>
      <c r="B2" s="2">
        <f ca="1">A2-1</f>
        <v>46308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2026-10-14T23:09:58Z</dcterms:modified>
</cp:coreProperties>
</file>