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168F22B6-ABB2-4D3E-9D2F-41DC3D65B65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85" i="2" l="1"/>
  <c r="B86" i="2"/>
  <c r="B87" i="2"/>
  <c r="B88" i="2"/>
  <c r="B92" i="2"/>
  <c r="B99" i="2"/>
  <c r="B89" i="2"/>
  <c r="B90" i="2"/>
  <c r="B91" i="2"/>
  <c r="B98" i="2"/>
  <c r="B93" i="2"/>
  <c r="B94" i="2"/>
  <c r="B95" i="2"/>
  <c r="B96" i="2"/>
  <c r="B97" i="2"/>
  <c r="B100" i="2"/>
  <c r="B65"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81" i="2"/>
  <c r="B83" i="2"/>
  <c r="B137" i="2"/>
  <c r="B138" i="2"/>
  <c r="B139" i="2"/>
  <c r="B140" i="2"/>
  <c r="B141" i="2"/>
  <c r="B142" i="2"/>
  <c r="B143" i="2"/>
  <c r="B144" i="2"/>
  <c r="B145" i="2"/>
  <c r="B2" i="2"/>
  <c r="B3" i="2"/>
  <c r="B4" i="2"/>
  <c r="B5" i="2"/>
  <c r="B6" i="2"/>
  <c r="B7" i="2"/>
  <c r="B8" i="2"/>
  <c r="B9" i="2"/>
  <c r="B10" i="2"/>
  <c r="B11" i="2"/>
  <c r="B12" i="2"/>
  <c r="B13" i="2"/>
  <c r="B14" i="2"/>
  <c r="B15" i="2"/>
  <c r="B16" i="2"/>
  <c r="B17" i="2"/>
  <c r="B18" i="2"/>
  <c r="B19" i="2"/>
  <c r="B20" i="2"/>
  <c r="B21" i="2"/>
  <c r="B22" i="2"/>
  <c r="B23" i="2"/>
  <c r="B24" i="2"/>
  <c r="B25" i="2"/>
  <c r="B26" i="2"/>
  <c r="B27" i="2"/>
  <c r="B28" i="2"/>
  <c r="B63"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4" i="2"/>
  <c r="B66" i="2"/>
  <c r="B67" i="2"/>
  <c r="B68" i="2"/>
  <c r="B69" i="2"/>
  <c r="B70" i="2"/>
  <c r="B71" i="2"/>
  <c r="B72" i="2"/>
  <c r="B73" i="2"/>
  <c r="B74" i="2"/>
  <c r="B75" i="2"/>
  <c r="B76" i="2"/>
  <c r="B77" i="2"/>
  <c r="B78" i="2"/>
  <c r="B79" i="2"/>
  <c r="B80" i="2"/>
  <c r="B82" i="2"/>
  <c r="B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<sst xmlns="http://schemas.openxmlformats.org/spreadsheetml/2006/main" count="1455" uniqueCount="283">
  <si>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</si>
  <si>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</si>
  <si>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</si>
  <si>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</si>
  <si>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</si>
  <si>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</si>
  <si>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</si>
  <si>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</si>
  <si>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</si>
  <si>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</si>
  <si>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</si>
  <si>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</si>
  <si>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</si>
  <si>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</si>
  <si>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</si>
  <si>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</si>
  <si>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</si>
  <si>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</si>
  <si>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</si>
  <si>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</si>
  <si>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</si>
  <si>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</si>
  <si>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</si>
  <si>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</si>
  <si>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SSH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</si>
  <si>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</si>
  <si>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</si>
  <si>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</si>
  <si>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</si>
  <si>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</si>
  <si>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</si>
  <si>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</si>
  <si>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</si>
  <si>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</si>
  <si>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</si>
  <si>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</si>
  <si>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</si>
  <si>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</si>
  <si>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</si>
  <si>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</si>
  <si>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</si>
  <si>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</si>
  <si>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</si>
  <si>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</si>
  <si>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</si>
  <si>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</si>
  <si>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</si>
  <si>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</si>
  <si>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</si>
  <si>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</si>
  <si>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</si>
  <si>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</si>
  <si>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</si>
  <si>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</si>
  <si>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</si>
  <si>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</si>
  <si>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</si>
  <si>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</si>
  <si>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</si>
  <si>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</si>
  <si>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</si>
  <si>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</si>
  <si>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</si>
  <si>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</si>
  <si>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</si>
  <si>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</si>
  <si>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</si>
  <si>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</si>
  <si>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Detención</t>
  </si>
  <si>
    <t>Día del Niño</t>
  </si>
  <si>
    <t>Fuga De Agua</t>
  </si>
  <si>
    <t>DIFH</t>
  </si>
  <si>
    <t>Saderh</t>
  </si>
  <si>
    <t>Eulalio Larrieta agradece a Edith Balderas de la Secretaria de Educación Pública.</t>
  </si>
  <si>
    <t>Bienestar</t>
  </si>
  <si>
    <t>Oficialía Mayor</t>
  </si>
  <si>
    <t>Radiodifusoras</t>
  </si>
  <si>
    <t>Mañanera de Hidalgo</t>
  </si>
  <si>
    <t>Alerta Meteorológica</t>
  </si>
  <si>
    <t>La Poderosa Tuxpan 93.1 FM</t>
  </si>
  <si>
    <t>Combate a la delincuencia</t>
  </si>
  <si>
    <t>Contraloría</t>
  </si>
  <si>
    <t>Combate Al Huachicol</t>
  </si>
  <si>
    <t>Coordinación interestatal</t>
  </si>
  <si>
    <t>Turismo</t>
  </si>
  <si>
    <t>Delegación</t>
  </si>
  <si>
    <t>Apoyo Al Agro</t>
  </si>
  <si>
    <t>STPSH</t>
  </si>
  <si>
    <t>Iniciativa</t>
  </si>
  <si>
    <t>Modernización Tuzobús</t>
  </si>
  <si>
    <t>Rehabilitación Vial</t>
  </si>
  <si>
    <t>Mosco Culex</t>
  </si>
  <si>
    <t>Radio Lobo 96.7 FM</t>
  </si>
  <si>
    <t>Vestigios Arqueológicos</t>
  </si>
  <si>
    <t>Hidalgo en Los Pinos</t>
  </si>
  <si>
    <t>Cultura</t>
  </si>
  <si>
    <t>NN Nuestras Noticias Zona Norte</t>
  </si>
  <si>
    <t>Liz Argüelles</t>
  </si>
  <si>
    <t>Locutor Jesús Riveros e Irving Sánchez comentan sobre el aumento a la tarifa de transporte público, un aumento que no se daba desde hace cuatro años; comentan que, ojalá este aumento también sirva para que los concesionarios mejores las unidades de transporte y que contraten a choferes más responsables y educados.</t>
  </si>
  <si>
    <t>Aumento Tarifa De Transporte</t>
  </si>
  <si>
    <t>Locutor Jesús Riveros da lectura a diversos comentarios de radioescuchas que preguntan, si con el nuevo aumento a la tarifa de transporte, también habrá mejores unidades de transporte, porque las que están, se encuentran en malas condiciones.</t>
  </si>
  <si>
    <t>Locutor Jesús Riveros da lectura a diversos comentarios de radioescuchas que pregunta, a partir de cuándo será aplicable el aumento a la tarifa del transporte público.</t>
  </si>
  <si>
    <t>La secretaria de Movilidad y Transporte, Lyzbeth Robles Gutiérrez, anunció que la tarifa del transporte público en Hidalgo tendrá un incremento del 20 por ciento, el cual aplicará únicamente para el Sistema de Transporte Convencional (SITMA), sin afectar al Tuzobús ni al servicio de taxis. Durante la conferencia mañanera, la funcionaria explicó que el ajuste responde a diversos factores, entre ellos las solicitudes presentadas por concesionarios, quienes plantearon aumentos que iban del 20 al 60 por ciento; sin embargo, tras un proceso de depuración, únicamente se autorizaron aquellas peticiones que contaban con sustento técnico. Detalló que el análisis consideró variables como la longitud de las rutas, el tipo de servicio, la frecuencia, los costos de operación y las condiciones económicas. Asimismo, se evaluaron aspectos como la infraestructura, las características de los trayectos y el desarrollo de cada región. Robles Gutiérrez subrayó que el procedimiento de actualización tarifaria corresponde a las personas concesionarias, quienes deben presentar la documentación que justifique el incremento. En ese sentido, señaló que varias solicitudes fueron descartadas por carecer de respaldo técnico suficiente.</t>
  </si>
  <si>
    <t>El pasado 24 de abril de 2026 se instaló en Pachuca la primera Visitaduría Regional del Órgano de Evaluación del Desempeño Judicial de la región Centro-Bajío. En el mismo acto, se designó a Iram Zúñiga Pérez como titular de la Visitaduría Regional del Órgano de Evaluación del Desempeño Judicial en la Región Centro-Bajío, que abarca a los estados de Guanajuato, Morelos, San Luis Potosí, Hidalgo, Zacatecas, Estado de México y Tamaulipas, y tendrá su sede en Pachuca</t>
  </si>
  <si>
    <t>Visitaduría Judicial</t>
  </si>
  <si>
    <t>David Cárdenas informó que, durante la conferencia mañanera de hoy, el titular de Comunicación Social dio a conocer que la tarifa para el Tuzobús y taxis no tendrá aumento, en el caso de la zona metropolitana, el incremento aplica únicamente para las colectivas. (AUDIO EPL).</t>
  </si>
  <si>
    <t>David Cárdenas informó que, durante la conferencia mañera, del día de hoy, la titular de Movilidad y Transporte, Lizbeth Robles dio a conocer el aumento a la tarifa del transporte público. (AUDIO LRG).</t>
  </si>
  <si>
    <t>Locutor David Cárdenas comentó que, durante la conferencia matutina, después de que se supo del temblor, fue el titular de comunicación Social el que informó que se trabajó de manera inmediata para atender el reporte.</t>
  </si>
  <si>
    <t>Durante el evento de la Estrategia de Seguridad Publica transforma, el secretario de Seguridad Pública de Hidalgo, Salvador Cruz Neri, señaló que los cuerpos de seguridad se están preparando día con día, lo que genera para la población mayor tranquilidad y mayor seguridad. (AUDIO SCN).</t>
  </si>
  <si>
    <t>Equipamiento policiaco</t>
  </si>
  <si>
    <t>Locutor David cárdenas informó que el día de hoy, el mandatario estatal encabezó la Estrategia de Seguridad Publica transforma, en donde , se habló del equipamiento especializado para pueblos y seguridad, así como el reporte de cómo se ha ido trabajando; cabe destacar, que día a día durante el noticiero se dan a conocer los esfuerzos que hacen a través de la participación ciudadana y la confianza que tiene la ciudadanía para acudir cuando hay alguna comisión de un delito con la SSPH. Ahora, con todo este esfuerzo institucional que se realiza de manera coordinada con distintas corporaciones para poder inhibir perseguir a quien comete algún delito.</t>
  </si>
  <si>
    <t>Boletín 021: Con plataforma única, en Hidalgo arrancan declaraciones patrimoniales 2026</t>
  </si>
  <si>
    <t>Declaración patrimonial</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</si>
  <si>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</si>
  <si>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</si>
  <si>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La mañana de este lunes se registró un sismo que se percibió en el la zona conurbada Veracruz- Boca del Río. El sismo ocurrió cerca de las 9:20 de la mañana, sin que se activara la alerta sísmica en los teléfonos, como en temblores anteriores. De acuerdo con el Servicio Sismológico Nacional, el sismo tuvo una magnitud de 6. La alerta sísmica se activó en la Ciudad de México durante el evento, horas antes de que se realizara un simulacro a nivel nacional.</t>
  </si>
  <si>
    <t>Sismo</t>
  </si>
  <si>
    <t>La Secretaría de Seguridad Pública, Tránsito y Vialidad de Pachuca logró, mediante una rápida reacción y coordinación interinstitucional, la recuperación de un vehículo robado en el fraccionamiento Puerta de Hierro, el cual fue localizado horas después en el Estado de México. El reporte se recibió a través del C4, lo que activó de inmediato un operativo por parte de la Policía Municipal, cuyos elementos se trasladaron sin demora a la avenida Nuevo Hidalgo para atender el hecho. En el lugar, el propietario, identificado con las iniciales C. C. I. P. M., indicó que la unidad, una Honda CRV color gris con placas del estado de Hidalgo, contaba con sistema de geolocalización, lo que permitió agilizar las acciones de búsqueda. De forma inmediata se estableció coordinación con la empresa de GPS, logrando ubicar el vehículo en Tecamachalco, Estado de México. Paralelamente, se activaron los canales de colaboración con el C5i Hidalgo y el C5 del Estado de México, fortaleciendo el despliegue operativo. Gracias a esta coordinación oportuna, la unidad fue inmovilizada de manera remota y posteriormente localizada en estado de abandono sobre Prolongación Morelos, mediante un operativo conjunto en el que participaron la Policía Estatal del Estado de México y la Secretaría de Marina. El vehículo fue recuperado y puesto a disposición para los trámites correspondientes, resultado de la respuesta inmediata y el trabajo coordinado entre instituciones de seguridad.</t>
  </si>
  <si>
    <t>Recuperación De Vehículos Robados</t>
  </si>
  <si>
    <t>Desde la conferencia matutina, Juan Carlos Santamaría habló sobre la presentación de Pedro Luis Noble Monterrubio, presidente del Colegio de Notarios de hidalgo, quien informó sobre la propuesta para expedir la nueva Ley Notarial para el Estado de Hidalgo. Pedro Luis Noble Monterrubio, señaló que estas nuevas disposiciones posicionarán a la entidad como un referente nacional en materia notarial.</t>
  </si>
  <si>
    <t>En vivo desde la conferencia mañanera, Juan Carlos Santamaría informó que, la secretaria de Movilidad y Transporte esta por anunciar el porcentaje que se estará incrementando en el monto a la tarifa del transporte público, antes, está dando una amplia explicación acerca de los fundamentos que se utilizaron para dicho incremento, que tenía más de cuatro años sin incrementos.</t>
  </si>
  <si>
    <t>En vivo desde la conferencia mañanera, Juan Carlos Santamaría da salida a audio por parte de titular de Comunicación Gubernamental, Edmundo Pineda López, en donde presenta a los participantes de esta conferencia: Lizbeth Robles, secretaria de Movilidad y Transporte; Ricardo Crespo, Diputado Federal; Heriberto Castillo Villanueva, Notario y Pedro Luis Noble Monterrubio, presidente del Colegio de Notarios de Hidalgo.</t>
  </si>
  <si>
    <t>Durante la conferencia mañanera de Gobierno del Estado de Hidalgo, el titular de Comunicación Gubernamental, Edmundo Pineda López hizo referencia sobre un evento que se realizará a las 11:00 horas en el Parque cultural Hidalguense y que será encabezado por el gobernador Julio Menchaca y ha solicitado a los medios presentes hacer más fluida está conferencia por esta ocasión, para que, quienes gusten, puedan trasladarse a dicho evento.</t>
  </si>
  <si>
    <t>Boletín 728: Con múltiple detención, la SSPH combate al delito de préstamos “gota a gota” Actopan</t>
  </si>
  <si>
    <t>Un hombre fue asesinado la tarde de este sábado en la calle Manuel Rojo del Río en la colonia centro de Tula de Allende, presuntamente al interior de un bar, en un hecho que ya es investigado por autoridades.De acuerdo con información preliminar, la víctima fue identificada con las iniciales I.S.I.M., de 39 años de edad y originario de Tezontepec de Aldama, trascendió que el hombre recibió tres impactos de arma de fuego, dos de ellos en la cabeza y uno más en el abdomen, lesiones que le provocaron la muerte de manera inmediata en el lugar.</t>
  </si>
  <si>
    <t>Ejecuciones</t>
  </si>
  <si>
    <t>La madrugada de este lunes 4 de mayo, un hombre fue asesinado a tiros en la colonia Cerro de la Cruz, en el municipio de Tlahuelilpan. El ataque ocurrió alrededor de las 05:10 horas sobre la calle 3 de Mayo, donde elementos de seguridad encontraron a la víctima sin vida, tendida boca abajo y con una herida de bala en la cabeza.La persona fallecida fue identificada con las iniciales J.M.S.M., de 36 años de edad. Su esposa, presente en el lugar, informó que ambos caminaban rumbo a su domicilio cuando fueron interceptados por dos hombres a bordo de una motocicleta, quienes dispararon sin advertencia y huyeron</t>
  </si>
  <si>
    <t>Vía telefónica, Neyda Naranjo, secretaria de Cultura - Hidalgo en Los Pinos – Comentó que Hidalgo llega a Los Pinos con lo más valioso que tiene su gente y su cultura. Este 9 y 10 de mayo, de 10 am a las 5 de la tarde, estaremos con una delegación de más de 1000 portadores de cultura representando a las 10 regiones geoculturales del estado de Hidalgo. Podrán disfrutar de danzas tradicionales, comparsas, música, huapangos, bandas de viento y orquestas sinfónicas. También se tendrá gastronomía y disfrutar de diferentes platillos de la cocina tradicional; por otro lado, venta de muchas artesanías, talleres y presentación de juegos tradicionales. Estaremos justamente en el complejo cultural Los Pinos, en la primera sección del Bosque de Chapultepec. Esta es la 3era edición de Hidalgo en Los Pinos</t>
  </si>
  <si>
    <t>Tras las afectaciones provocadas por las lluvias en octubre pasado, la reconstrucción de viviendas en Hidalgo y otros estados continúa en proceso. Así lo reconoció la presidenta de México, Claudia Sheinbaum, durante una conferencia hoy lunes. La presidenta señaló que cerca de 100 mil familias resultaron afectadas por estos fenómenos derivados de la vaguada monzónica, que impactó principalmente a Veracruz, Puebla e Hidalgo, AUDIO APOYO</t>
  </si>
  <si>
    <t>Huracán Priscilla</t>
  </si>
  <si>
    <t>Durante la conferencia mañanera de los lunes del gobierno de Hidalgo, se anunció el aumento del 20 % en la tarifa del transporte público Informo la secretaria de Movilidad, Lyzbeth Robles Gutiérrez: “Debo anunciar que el incremento que se ha analizado realizando los estudios correspondientes para tener un equilibrio entre los costos de operación y la exigencia de considerar al sector del público usuario. Hemos arribado a la decisión de que debemos incrementar la tarifa en el transporte público colectivo en un 20 % es decir, 20 puntos porcentuales.” AUDIO APOYO</t>
  </si>
  <si>
    <t>Comentó conductor Jesus Gonzales “Se acaba de autorizar el aumento del 20 % al transporte público, hoy se habló solamente del transporte que tiene que ver con los camiones, las combis, este tipo de unidades.Hasta el momento no se ha informado sobre taxis”</t>
  </si>
  <si>
    <t>Boletín 1065 : Persistirá el calor con chubascos en Hidalgo</t>
  </si>
  <si>
    <t>Boletín: Más de 2.1 mdp impulsan al campo hidalguense con entrega de árboles frutales en Huasca</t>
  </si>
  <si>
    <t>Boletín 1064: Atención cercana y oportuna permite traslado seguro de menor en estado delicado</t>
  </si>
  <si>
    <t>Puente aéreo</t>
  </si>
  <si>
    <t>La Universidad Tecnológica de la Zona Metropolitana del Valle de México firmó un convenio de colaboración con la empresa Petimex para fortalecer la vinculación con el sector productivo. Como parte de este acuerdo, cuatro estudiantes iniciarán estadías profesionales donde podrán aplicar sus conocimientos en entornos reales y reforzar su formación académica.</t>
  </si>
  <si>
    <t>Vinculación Académica</t>
  </si>
  <si>
    <t>De el 28 al 30 de abril la Secretaría del Bienestar e Inclusión Social encabezada por Ricardo Gómez Moreno visitó 57 localidades de 25 municipios donde de acuerdo con el Inegi no se habían recibido solicitudes en las convocatorias de este año debido a barreras de acceso. Con este despliegue de brigadas y servidores del pueblo se instalaron mesas de atención en regiones como la Huasteca, la Sierra Alta, la Sierra Gorda y la Otomitepegua priorizando a comunidades afectadas por la vaguada monzónica de 2025. La estrategia busca garantizar que la distancia o la falta de conectividad no impidan el acceso a apoyos en línea con la política estatal de atender primero a la población más vulnerable.</t>
  </si>
  <si>
    <t>Programas Del Pueblo</t>
  </si>
  <si>
    <t>Ya ha habido varios operativos por parte de la Secretaría de Seguridad Pública del Estado de Hidalgo para combatir la delincuencia en la puerta del Valle del Mezquital. En un despliegue conjunto de corporaciones de seguridad en Hidalgo pues se permitió la intervención de tres inmuebles en Actopan presuntamente utilizados para operar préstamos ilegales conocidos como gota a gota.El operativo se realizó en la colonia Pozo Grande donde fueron asegurados dos predios y un tercero en cañada aviación. En estos puntos fueron detenidas seis personas tres mujeres y tres hombres de ellas cuatro son de origen extranjero y dos de otras entidades del país. Durante las acciones se aseguraron 166 dosis de presunto cristal y 859 de supuesta marihuana además de documentación vinculada a esquemas de préstamos irregulares como tarjetas registros y material promocional.También fueron incautados nueve motocicletas y dos vehículos presuntamente utilizados para actividades de cobranza y operación. Las personas detenidas junto con los inmuebles vehículos y demás indicios quedaron a disposición de la autoridad ministerial. Hay que reconocer que en este municipio así como Ixmiquilpan son de los municipios donde más se están dando casos de estos préstamos gota a gota.</t>
  </si>
  <si>
    <t>El secretario de Educación Pública de Hidalgo, Natividad Castrejón Valdés, encabezó la entrega de obras y equipamiento en veintisiete escuelas de Tulancingo, con una inversión superior a los 3.9 millones de pesos.Durante la gira, en la secundaria técnica número 56, se rehabilitaron sanitarios y espacios exteriores en beneficio de más de 600 estudiantes. El funcionario destacó que estas acciones responden a la instrucción del gobernador Julio Menchaca Salazar bajo el principio de territorio no escritorio para garantizar mejores condiciones educativas</t>
  </si>
  <si>
    <t>Entrega De Equipo Escolar</t>
  </si>
  <si>
    <t>El delegado de Conagua de Hidalgo, Félix Brambila, habló del problema del lirio en la presa Endhó, el revestimiento de los canales y de las acciones de fumigación que se va a realizar. Acciones en la Presa Endhó y Canales. Control del Lirio Acuático: Se ha descartado la trituración del lirio (ya que deja sedimentos dañinos en el agua) en favor de su retiro físico. Para ello, se cuenta con 19 máquinas trabajando en el desalojo de la planta.Proyecto Energético: Existe un plan para construir una planta a orillas de la presa que procese el lirio retirado y lo transforme en energía eléctrica.Fumigación: Atendiendo la demanda de los 27 delegados de los pueblos ribereños, ha iniciado una campaña de fumigación contra mosquitos y plagas, comenzando en la localidad de Santa Ana Ahuehuepan. Se invitó a los ciudadanos que lo requieran a solicitar la incorporación de sus hogares a este programa.Infraestructura: Respecto al revestimiento de canales y canaletas en el Distrito 003 (Tula), se informó que las obras continúan y se espera que concluyan durante el mes de mayo</t>
  </si>
  <si>
    <t>Control lirio acuático</t>
  </si>
  <si>
    <t>El Estado de Hidalgo tendrá presencia por tercer año consecutivo en el Complejo Cultural Los Pinos, con actividades programadas el sábado 9 y domingo 10 de mayo, donde participarán más de mil personas provenientes de 54 municipios y 10 regiones geoculturales. Durante los dos días se realizarán más de 50 actividades artísticas y culturales, entre ellas danzas, comparsas y presentaciones de música tradicional, que incluyen bandas de viento, tríos huastecos, orquestas y ensambles.El programa contempla además tres exposiciones, un tapete artesanal, conferencias, conversatorios, talleres, juegos tradicionales y presentaciones editoriales</t>
  </si>
  <si>
    <t>Gobierno</t>
  </si>
  <si>
    <t>Hoy será el día durante la conferencia semanal del gobierno del estado, se dará a conocer el aumento a la tarifa del transporte público colectivo en nuestra entidad. Así lo informó el gobernador Julio Menchaca Salazar en entrevista al término de la develación de la placa conmemorativa del centenario del mercado primero de mayo. Veremos en un par de horas cuánto será el aumento, en qué porcentaje.En algún momento algunos fueron muy aventureros y pedían hasta el 30 o 40% en el aumento del costo del pasaje; hoy por la mañana, en la conferencia del pueblo, del gobierno del estado, cuánto va a subir la tarifa y le estaremos informando AUDIO APOYO JMS.</t>
  </si>
  <si>
    <t>Radioescucha Sr. Paredes, el aumento está bien, pero primero deben ver cómo están sus unidades</t>
  </si>
  <si>
    <t>Radioescucha comenta: “Al escuchar la noticia del aumento a tarifa de transporte público, pienso que las unidades están en mal estado, los choferes con maltrató a los usuarios; exigimos que nos den un buen transporte, un transporte digno”</t>
  </si>
  <si>
    <t>Radioescucha reporta una gran fuga de agua en Nicolás Flores</t>
  </si>
  <si>
    <t>Radioescucha reporta falta de agua en los Tuzos</t>
  </si>
  <si>
    <t>Abasto De Agua</t>
  </si>
  <si>
    <t>Radioescucha reporta falta de agua en calle de Ocampo</t>
  </si>
  <si>
    <t>Abandono de obra</t>
  </si>
  <si>
    <t>Conductor Eulalio Larrieta pregunta ; Estoy viendo pasar el camión del Tuzobús “¿Dónde están los nuevos? No que según arrancaban en mayo”,solo estan otros.</t>
  </si>
  <si>
    <t>La mañana de este lunes 4 de mayo de 2026, un sismo de magnitud preliminar 6.0 con epicentro a 14 kilómetros al noroeste de Pinotepa Nacional, Oaxaca, activó la alerta sísmica en la Ciudad de México y generó evacuaciones preventivas en edificios públicos y privados.De acuerdo con el Servicio Sismológico Nacional (SSN), el movimiento telúrico se registró a las 09:19 horas.La ubicación del epicentro corresponde a una zona de alta actividad sísmica en la costa del Pacífico mexicano, donde la interacción de placas tectónicas genera movimientos frecuentes.</t>
  </si>
  <si>
    <t>El gobernador Julio Menchaca confirmó que hoy se anunciará un ajuste en las tarifas del transporte público en Hidalgo, buscando un balance entre el bolsillo de los usuarios y la operación de los concesionarios.Julio Menchaca destacó que habrá mayor control y seguridad en carriles confinados, llegarán nuevas unidades para renovar el transporte, también aclaró que el Tuzobús no tendrá aumento en su tarifa, pero sí operará con camiones nuevos y mejores estándares.Este ajuste incluirá orden en las tarifas de taxis, un sector con constantes quejas por cobros excesivos. La información se dará a conocer en la conferencia matutina de cada lunes.</t>
  </si>
  <si>
    <t>La tarde de este domingo en el centro histórico de Pachuca un automovilista, en presunto estado de ebriedad, subió su vehículo a la explanada de la plaza Independencia hasta chocar contra una jardinera.Policías municipales interceptaron el vehículo justo en la zona peatonal, a unos metros del Reloj Monumental. El conductor fue trasladado en calidad de detenido por las autoridades locales.</t>
  </si>
  <si>
    <t>El presidente municipal de Mineral de la Reforma, Eduardo Medécigo Rubio, inauguró las canchas “La Reta 1” y “La Reta 2” en Paseos de Chavarría, con una inversión de 12 millones 876 mil 698 pesos, en el marco del Día de la Niña y el Niño.Estos espacios cuentan con canchas de fútbol, basquetbol, voleibol y usos múltiples, además de luminarias solares, velarías y máquinas para hacer ejercicio.En el evento, acompañado de vecinos de la zona, aseguró que hoy se necesita que las infancias de Mineral de la Reforma estén en un lugar digno, jugando o haciendo ejercicio, AUDIO APOYO</t>
  </si>
  <si>
    <t>Fomento al deporte</t>
  </si>
  <si>
    <t>Boletín 727: Más de 1,400 niñas y niños celebraron su día con la SSPH</t>
  </si>
  <si>
    <t>La Secretaría de Salud Federal informó que durante la temporada estacional de influenza del 28 de septiembre del 2025 al 23 de mayo del 2026, en Hidalgo se registraron 29 fallecimientos y 411 casos de influenza</t>
  </si>
  <si>
    <t>Influenza</t>
  </si>
  <si>
    <t>La Fiscalía General de la República aseguró tres inmuebles que fueron cateados por los delitos de posesión ilícita de hidrocarburos, en la colonia Doxey, del municipio de Tlaxcoapan, Hidalgo.Se dio a conocer que se autorizó la ejecución de un cateo en tres inmuebles ubicados en esa colonia, donde, de acuerdo con una denuncia anónima, se presumía el almacenamiento de gasolina de manera ilícita.</t>
  </si>
  <si>
    <t>Boletín 0012: Julio Menchaca destaca legado e identidad del mercado Primero de Mayo, AUDIO JMS.</t>
  </si>
  <si>
    <t>Conmemoración centenario</t>
  </si>
  <si>
    <t>Boletín 1653: Entrega SEPH obras y equipamiento en 27 escuelas de Tulancingo</t>
  </si>
  <si>
    <t>STPSH/Bol.64/2026: Se generan más de 38 mil empleos formales en Hidalg</t>
  </si>
  <si>
    <t>Generación De Empleo</t>
  </si>
  <si>
    <t>Con la reforma a los artículos 115,116 y 134 constitucionales, conocida como Plan B, en Hidalgo serán al menos 15 municipios los que reducirán el número de regidores en sus cabildos. Con la reforma los ayuntamientos no podrán ser integrados por más de 15 regidores, pues el objetivo es reducir los costos administrativos de los municipios y para que el presupuesto se utilice para obras. En el caso de Hidalgo y de acuerdo con la Ley Orgánica Municipal, los municipios con más de 100 mil habitantes deben tener al menos dos síndicos, uno hacendario y otro jurídico, además de 11 regidores de mayoría y ocho plurinominales, es decir, 22 asambleístas. Mientras que otros municipios tienen 18 integrantes porque cuentan con entre 50 y 100 mil habitantes: el presidente municipal, dos síndicos y nueve regidores de mayoría relativa y seis plurinominales.</t>
  </si>
  <si>
    <t>Morena</t>
  </si>
  <si>
    <t>Plan B</t>
  </si>
  <si>
    <t>Partidos</t>
  </si>
  <si>
    <t>Radioescucha: con el aumento de la tarifa al pasaje deberían revisar las condiciones de las unidades. Deberían ser condiciones dignas.</t>
  </si>
  <si>
    <t>Deficiencias transporte público</t>
  </si>
  <si>
    <t>SSPH/BOL.728/2026: Con múltiple detención, la SSPH combate al delito de préstamos "gota a gota" en Actopan</t>
  </si>
  <si>
    <t>G.S.J., considerado uno de los líderes de un grupo delictivo dedicado al fraude en la compra-venta de automóviles de lujo, fue detenido en la colonia Doctores, dentro de la Ciudad de México. De acuerdo con el Gabinete de Seguridad, el hombre, quien encabezaría el grupo delictivo “Los Soto Jiménez”, fue aprehendido por el delito de asociación delictuosa. Las investigaciones señalan que la organización usaba redes sociales para aparentar alto poder adquisitivo, contactar a vendedores de autos de alta gama y cerrar operaciones con documentación bancaria falsa o transferencias sin fondos. Una vez entregadas las unidades, las supuestas transferencias eran canceladas o resultaban inexistentes, por lo que las víctimas perdían los vehículos. De acuerdo a las autoridades, la red tenía zonas de operación en Nuevo León, Puebla, Guanajuato, Jalisco, Hidalgo, Estado de México y la Ciudad de México.</t>
  </si>
  <si>
    <t>En Tizayuca, una madre de familia denunció públicamente que su hija, Milagros Yamileth C.S., es víctima de acoso escolar y bullying en la secundaria Raúl Guerrero Guerrero, donde cursa el tercer grado. De acuerdo con el testimonio, la madre informó que reportó los hechos ante las autoridades del plantel; sin embargo, señaló que no fue atendida y, por el contrario, su hija fue suspendida. Indicó que esta situación derivó en un cuadro de depresión y en un intento de quitarse la vida dentro de su vivienda, al ingerir veneno para roedores. La denunciante agregó que, al solicitar una ambulancia a la dirección de Protección Civil y Bomberos, el personal no arribó, por lo que tras una hora los padres trasladaron a la menor al centro de salud de la colonia El Pedregal, donde no fue recibida.</t>
  </si>
  <si>
    <t>Bullying</t>
  </si>
  <si>
    <t>Enlace a la Conferencia Mañanera de Hidalgo donde se anuncia el aumento del 20% en la tarifa del pasaje público colectivo, es decir, pasa de 10 pesos a 12 pesos. Los taxis y el Tuzobús no entran en este aumento de tarifa. Con audio de Libeth Rodríguez, Secretaria de Movilidad.</t>
  </si>
  <si>
    <t>Son ya 31 municipios del Estado de Hidalgo los que cuentan con su respectivo Bando de Policía y Gobierno actualizado, estando pendientes 21 demarcaciones pendientes de dicha revisión y actualización. Lo anterior fue informado durante la entrega de dicho documento renovado para otros diez municipios en la entidad. Guillermo Olivares Reyna, titular de la Secretaría de Gobierno del Estado de Hidalgo, señaló que el proceso de actualización busca dotar a los ayuntamientos de herramientas legales claras y vigentes que permitan fortalecer la gobernanza, la seguridad jurídica y el respeto a los derechos humanos, la perspectiva de género y la diversidad cultural. El Bando de Policía y Gobierno es el documento que establece las normativas generales para los municipios, junto con los instrumentos jurídicos acordes a las necesidades actuales de la población. Los municipios que fueron apoyados en esta ocasión con la actualización de sus respectivos Bandos, y recibieron sus respectivos documentos actualizados, son Atlapexco, Chapantongo, El Arenal, Emiliano Zapata, Metepec, Nicolás Flores, Pisaflores, Tepehuacán de Guerrero, Tetepango y Zimapán.Ç</t>
  </si>
  <si>
    <t>Bando de policía y gobierno</t>
  </si>
  <si>
    <t>Integrantes de la Sección XV en el Estado de Hidalgo del Sindicato Nacional de Trabajadores de la Educación (SNTE), exigieron mejores condiciones laborales. Entre ellas, incremento al bono de fin de año para jubilados, el bono del Día del Maestro, así como mejor atención y especialidades en el ISSSTE, junto como el fortalecimiento del sistema educativo público. Lo anterior durante la marcha con motivo del Día del Trabajo, llevada a cabo en la ciudad de Pachuca este 1 de mayo, donde de acuerdo a los dirigentes magisteriales, participaron alrededor de 53 mil agremiados, entre trabajadores de la educación en activo así como jubilados. Said Vargas Sáenz, dirigente del SNTE en el Estado de Hidalgo, consideró que la cantidad de participantes en la marcha es muestra de un respaldo contundente al pliego nacional de demandas, así como a las exigencias específicas del ámbito estatal.</t>
  </si>
  <si>
    <t>Día del Trabajo</t>
  </si>
  <si>
    <t>Abusos físico y sexual encabezan las agresiones que sufren niñas, niños y adolescentes, y que son atendidas por el Sistema DIF Hidalgo, informó Edda Vite Ramos, Presidenta del Patronato del organismo asistencial estatal. Estudios señalan que un importante porcentaje de niñas, niños y adolescentes consideran a su propio hogar como el espacio menos seguro para cuidar su integridad física y emocional, además de tener poca confianza a sus madres, padres, o a sus familiares encargados de atención y cuidados. “Entonces, como sociedad tenemos qué revisar qué estamos haciendo mal, qué debemos mejorar, cuando resulta que nuestros niños están más inmersos en un dispositivo electrónico, y este no educa, no forma”. Las declaraciones fueron ofrecidas tras asistir a la conmemoración del 30 aniversario del parque recreativo de El Caracol, en Tulancingo.</t>
  </si>
  <si>
    <t>Protección del menor</t>
  </si>
  <si>
    <t>Enlace a la Conferencia Mañanera de Hidalgo donde se anuncia el aumento en la tarifa del pasaje público. Con audio de Libeth Rodríguez, Secretaria de Movilidad.</t>
  </si>
  <si>
    <t>Vía telefónica Roberto Rico Ruiz sobre el tema de que el gobernador de Sinaloa Rubén Rocha Moya y el alcalde de Culiacán, Juan de Dios Gámez, entre otro funcionarios anunciaron su separación del cargo temporalmente mientras la Fiscalía General de México avanza en las investigaciones sobre las acusaciones que hizo la fiscalía de Nueva York por narcotráfico y tenencia ilícita de armas, dijo que esto la presidenta lo debe abordar desde el tema jurídico y no político y de no abordarlos d ela manera corrcta puede desatarse un conflicto diplomático.</t>
  </si>
  <si>
    <t>Rubén Rocha</t>
  </si>
  <si>
    <t>Vía telefónica el reporte de Bombero y Protección Civil con Abner Yáñez informa que se atendieron incendios de pasto seco y basura, entre otras emergencias reportadas por la ciudadanía.</t>
  </si>
  <si>
    <t>Acude presidenta del Patronato del DIF Hidalgo a Tulancingo para celebrar el aniversario del parque recreativo “El Caracol”* . Con la presencia de la presidenta del Patronato del Sistema DIF Hidalgo, Edda Vite Ramos, y de la presidenta municipal de Tulancingo, Lorena García Cázares, se llevó a cabo la celebración del 30 aniversario del Parque Recreativo “El Caracol”, un espacio emblemático que, ha sido testigo de innumerables momentos de felicidad para la niñez tulancinguense. Esta significativa jornada, que da inicio este 30 de abril y concluirá el próximo 3 de mayo, es organizada por la presidenta del Patronato del Sistema DIF Tulancingo, Jessica Garrido Cázares, y contó con la participación de más de 650 niñas y niños, quienes disfrutaron de actividades preparadas especialmente para ellas y ellos. Como parte de esta conmemoración, se rindió un homenaje a la señora Amalia Mecedo de Bitar, ex presidenta del Patronato del DIF en 1996, año en que nació este importante proyecto. En reconocimiento a su visión y legado, se llevó a cabo la develación de una placa conmemorativa, simbolizando el impacto positivo que ha trascendido generaciones.</t>
  </si>
  <si>
    <t>Aniversario</t>
  </si>
  <si>
    <t>Será en unos días cuando inicien las operaciones de las nuevas unidades para servicio del Tuzobús, pues ya han llegado 32 de estas, y en próximos días serán entregadas otras 42. La confirmación fue realizada por el gobernador del Estado de Hidalgo, Julio Menchaca Salazar, señalando que serán en total 160 unidades considerando los autobuses para la línea troncal, junto con las que darán servicio a las rutas alimentadoras. Señaló que con la incorporación de las nuevas unidades se podrá mejorar la calidad del servicio de transporte de pasajeros, garantizando mejores condiciones de movilidad y seguridad para estos. En el desglose de las nuevas unidades para el Tuzobús, serán 42 autobuses, 38 microbuses, 60 vagonetas y otras unidades, bajo un contrato de arrendamiento que fue asignado a la empresa Rommify Capital, con una inversión por 662 millones de pesos. Mientras dure el contrato de arrendamiento, la empresa brindará a las unidades motoras mantenimiento preventivo y correctivo, además de otorgar refacciones, cubrir seguros, cambio de llantas, así como trabajos de hojalatería y pintura, entre otros servicios y trámites.</t>
  </si>
  <si>
    <t>El Gobierno de Hidalgo anunciará este lunes 4 de mayo los ajustes a las tarifas tanto del transporte público colectivo de pasajeros, como del servicio de taxis, confirmó el gobernador Julio Menchaca Salazar. “Se cuidó mucho el equilibrio entre la economía de los usuarios y que no perjudique a los transportistas, que sea solidario, señaló. Reconoció que siempre es difícil cuando se aplican aumentos, como en este caso, “pero va a ser justo, va a ser una cuestión justa y como cualquier actividad comercial”. El anuncio del ajuste a las tarifas al transporte público de pasajeros estaba programado para darse a conocer a finales del mes de abril; Menchaca Salazar aclaró que por cuestiones de agenda, la fecha se cambió. De acuerdo a autoridades, el ajuste a las tarifas del servicio de transporte colectivo de pasajeros implica, entre otros compromisos, mejorar el servicio; incluso la misma consideración fue expresada por Menchaca Salazar. Respecto a las tarifas en el servicio de taxis, el titular del Poder Ejecutivo del Estado de Hidalgo reconoció que existe falta de ordenamiento, por lo que señaló que habrá medidas para regular tanto el servicio como los cobros. “Hay una anarquía en ese tema. Va a haber un ajuste y vamos a ser muy estrictos. La aplicación de la norma ha sido muy laxa, pero ahora habrá mayor exigencia”.</t>
  </si>
  <si>
    <t>Andrés Torres informa que hoy se pone en marcha en el 96.5 FM Radio La Voz del Pueblo Hñahñú a las 2 de la tarde un nuevo programa de noticias "Cronómetro", con lo que se transmiten ya 110 programas.</t>
  </si>
  <si>
    <t>El fin de semana se dio conocer que el alcalde Mineral de la Reforma, Eduardo Medécigo decidió hacer cambios en el ayuntamiento y cambió a 4 de sus empleados de confianza, y, de acuerdo al comunicado es con el objetivo de eficientizar el trabajo en el ayuntamiento.</t>
  </si>
  <si>
    <t>Cambios En El Gabinete</t>
  </si>
  <si>
    <t>En cabina Alberto González comenta que el gobernador de Sinaloa, el morenista Rubén Rocha Moya, pidió licencia a las pocas horas de que se conociera que Estados Unidos pidiera su extradición y la de nueve hombres más por su narcorrelación con capos de su estado natal.</t>
  </si>
  <si>
    <t>SEBISO/BOL.579/2026: Sebiso atiende comunidades de difícil acceso</t>
  </si>
  <si>
    <t>El presidente municipal de Pachuca, Jorge Reyes, se posicionó una vez más como el alcalde mejor evaluado del estado durante abril de 2026, de acuerdo con mediciones recientes de la encuestadora Consulta Mitofsky. El estudio ubica al edil capitalino en el primer lugar del ranking estatal, destacando niveles de aprobación ciudadana por encima de otros municipios. Entre los factores que han influido en esta evaluación se encuentra la mejora en la percepción de seguridad. De acuerdo con la Encuesta Nacional de Seguridad Pública Urbana, Pachuca registró una disminución en la percepción de inseguridad en los últimos meses, lo que refleja una mayor confianza de la población en las acciones implementadas por el gobierno municipal. Mientras a nivel nacional la percepción de inseguridad apenas disminuyó 2.3 puntos porcentuales, Pachuca logró reducir este indicador casi 10 puntos en solo tres meses.</t>
  </si>
  <si>
    <t>Aprobación Alcalde</t>
  </si>
  <si>
    <t>Se llevó a cabo el Consejo Nacional de Morena y el gobernador Julio Menchaca compartió en sus redes sociales: Les comparto este momento importante en donde realizamos la votación para la presidencia nacional de Morena. Con esto, se define la dirigencia que asume esta responsabilidad dentro de nuestro movimiento. Nuestro movimiento de Transformación Nacional se fortalece con la elección de nuestra compañera Ariadna Montiel Reyes como nueva Presidenta de Morena. Vamos con todo y siempre unidos por lo que es mejor para México y las y los mexicanos.</t>
  </si>
  <si>
    <t>Dirigencia Nacional</t>
  </si>
  <si>
    <t>OCSAD</t>
  </si>
  <si>
    <t>Con una inversión total de 2 millones de pesos, el gobierno municipal pondrá en marcha la primera entrega de apoyos económicos de los programas “Transforma Tulancingo” y “Mujer Emprende y Transforma”, beneficiando a 151 personas emprendedoras el próximo 3 de junio. La Secretaría de Fomento Económico, a través de la Dirección de Desarrollo Comercial, informó que los apoyos están dirigidos a personas de entre 18 y 60 años, quienes previamente participaron en procesos de capacitación para fortalecer sus proyectos productivos. El programa “Mujer Emprende y Transforma” destacó por su alta participación en esta primera convocatoria de 2026, con 110 mujeres inscritas. Las beneficiarias recibieron herramientas para consolidar sus negocios, principalmente en giros como venta de alimentos, comercialización de ropa y servicios de belleza. Por su parte, “Transforma Tulancingo” apoyará a diversos comercios locales como misceláneas, ferreterías, pastelerías y boutiques, con el objetivo de impulsar su crecimiento y permanencia en el mercado.</t>
  </si>
  <si>
    <t>Apoyo a emprendedores</t>
  </si>
  <si>
    <t>Ministerio Público obtuvo la vinculación a proceso para probable responsable de homicidio doloso agravado.</t>
  </si>
  <si>
    <t>PGJEH</t>
  </si>
  <si>
    <t>Vinculación A Proceso</t>
  </si>
  <si>
    <t>Respecto al boletín del fortalecimiento policiaco que encabezó el gobernador Julio Menchaca, locutor David cárdenas comentó que, además de los elementos de apoyo que requiere un elemento policial, la movilidad es importante, por lo que, el oficial mayor, Edgar Orlando Ángeles Pérez explicó, el día de ayer, que 200 unidades serán arrendados por 299 mdp, incluyendo mantenimiento preventivo y correctivo, refracciones. Hace años, uno caminaba en un municipio y veía en baldíos o corralones las unidades descompuestas porque se había descompuesto, porque no había recurso y hoy, se le ha dado una prioridad a la administración para que todo el equipo esté funcionando al cien”, expresó David. Cárdenas.</t>
  </si>
  <si>
    <t>Fortalecimiento Policiaco</t>
  </si>
  <si>
    <t>Con exigencia de mejora en el servicio, se determina incremento responsable del 20 % al transporte colectivo.</t>
  </si>
  <si>
    <t>SEPH fortalece atención interinstitucional para el bienestar integral de estudiantes.</t>
  </si>
  <si>
    <t>Educación para la salud</t>
  </si>
  <si>
    <t>UTVM destaca en encuentro nacional con medallas y primer lugar en arte.</t>
  </si>
  <si>
    <t>Justa Académica</t>
  </si>
  <si>
    <t>Julio Menchaca fortalece estrategia de seguridad y dota a cuerpos policiales de nuevas unidades y equipo. (AUDIO JMS)</t>
  </si>
  <si>
    <t>Gabinete de Seguridad de Hidalgo recupera 50 toneladas de frijol robado en el Arco Norte.</t>
  </si>
  <si>
    <t>Reunión Gabinete De Seguridad</t>
  </si>
  <si>
    <t>El Instituto Nacional de Antropología e Historia (INAH) confirmó el hallazgo de 10 cráneos óseos humanos en la zona arqueológica de Huapalcalco, los cuales fueron localizados en el relleno de una antigua estructura prehispánica, como parte de trabajos de conservación que actualmente se realizan en el sitio. En entrevista para El Sol de Tulancingo, el director del INAH, Manuel Villarruel, detalló que el descubrimiento se originó durante labores de restauración, cuando hace un par de semanas se detectó un primer cráneo al interior de un basamento. A partir de este hallazgo, los arqueólogos decidieron ampliar la exploración en el área circundante, lo que permitió identificar más restos. “Al retirar el primer cráneo, se dieron cuenta de que probablemente habría otros más alrededor”, explicó. En total, se han recuperado 10 cráneos humanos, los cuales se encontraban relativamente juntos, sin corresponder a un entierro formal. Esta disposición ha llevado a los especialistas a deducir que podría tratarse de una ofrenda ritual. “El hecho de que estuvieran concentrados en un mismo punto permite suponer que fueron colocados como parte de una ofrenda”, señaló el funcionario. Villarruel aclaró que los cráneos hallados son precisamente de humanos, sin embargo no pudo detallar más porque se encuentran en investigación y en resguardo por el INAH. Pese a ello, destacó que el hallazgo es de gran relevancia, ya que no se había registrado uno de este tipo en la zona desde hace mucho tiempo. No obstante, enfatizó que aún se trata de información preliminar. “El hallazgo está en proceso de análisis, no podemos dar una conclusión definitiva (…) ni un fechamiento, ni detalles sobre el ritual o sobre los restos óseos”, indicó. El director explicó que mediante estudios posteriores será posible obtener datos más precisos, como el sexo, la edad al momento de la muerte, posibles enfermedades e incluso aspectos de la dieta de los individuos, a través de análisis dentales y de desgaste óseo. Asimismo, informó que los restos se encuentran bajo resguardo del INAH y que, una vez concluidos los estudios, se iniciará una fase de restauración. Posteriormente, no se descarta que los resultados sean difundidos públicamente o incluso que los restos puedan ser exhibidos. Villarruel reiteró que será necesario esperar a que concluyan las investigaciones para conocer con mayor precisión el contexto histórico del descubrimiento, el periodo al que pertenece y su posible relación con prácticas ceremoniales. No obstante, adelantó que este tipo de hallazgos permite comprender mejor la importancia de Huapalcalco y su vínculo con otras poblaciones del Valle de Tulancingo, así como aportar información relevante sobre las civilizaciones que habitaron la región. “Es un hallazgo importante; debemos esperar los resultados finales de los investigadores”, puntualizó. Explicó que este hallazgo deriva de los trabajos de rehabilitación y conservación que se realizan en la zona arqueológica como parte de un programa nacional de mejoramiento de sitios, el cual contempla intervenciones en diversas zonas del país con el objetivo de fortalecer su preservación y su potencial turístico. En el caso de Huapalcalco, detalló que se llevan a cabo acciones como la consolidación de basamentos, limpieza de estructuras, restauración de pisos de estuco y mejoramiento de infraestructura para visitantes. En este sentido, mencionó que también se han realizado trabajos para el retiro de grafitis que afectan la imagen y lectura del sitio arqueológico. El director señaló que se han eliminado al menos 25 grupos de pintas mediante distintos procedimientos, priorizando aquellos que generan mayor impacto visual.</t>
  </si>
  <si>
    <t>Entrevista Mtra. Esperanza Barrera Pérez, titular de la División de Ingeniería en Gestión Empresarial - Habló sobre “La Expo Emprende 2026” que se realizará en el Instituto Tecnológico Superior del Oriente y que tiene como objetivo fortalecer las competencias profesionales de todos los estudiantes. Entre los proyectos que se presentará, destacan las categorías de innovación en productos y servicios; desarrollo tecnológico, impacto social; procesos y logística; emprendimiento social y sustentable, por mencionar algunos.</t>
  </si>
  <si>
    <t>Evento académico</t>
  </si>
  <si>
    <t>Entrevista vía telefónica Lizbeth Robles, secretaria de Movilidad y Transporte - Habló sobre el reciente anuncio a la tarifa de transporte público que se anunció el día de ayer en la conferencia mañanera del Gobierno de Hidalgo, explicó que este aumento aplicará en los 84 municipios, pero únicamente en colectivas, es decir, dicho aumento no aplica para servicio de taxis, ni para el Tuzobús. Comentó que dicho aumento, es con el compromiso de que concesionarios mejores las unidades y el servicio que se brindará a los usuarios, asimismo, señaló que habrá revisiones periódicas con la finalidad de constatar que se de cumplimento a los acuerdos establecidos. Cabe señalar, que dicho aumento entrará en vigor a partir de su publicación en el Periódico Oficial del Estado.</t>
  </si>
  <si>
    <t>Boletín 38: CEDSPI continúa con macrojornadas para fortalecer la salud visual de quienes más lo necesitan</t>
  </si>
  <si>
    <t>Salud Visual</t>
  </si>
  <si>
    <t>SEPH fortalece atención interinstitucional para el bienestar integral de estudiantes</t>
  </si>
  <si>
    <t>UTVM destaca en encuentro nacional con medallas y primer lugar en arte</t>
  </si>
  <si>
    <t>Participa Contraloría de Hidalgo en Encuentro Nacional de Autoridades Resolutoras</t>
  </si>
  <si>
    <t>Comisión de Contralorías</t>
  </si>
  <si>
    <t>Destaca Hidalgo con turismo comunitario en el Tianguis de Acapulco</t>
  </si>
  <si>
    <t>Tianguis Turístico</t>
  </si>
  <si>
    <t>Julio Menchaca fortalece estrategia de seguridad y dota a cuerpos policiales de nuevas unidades y equipo</t>
  </si>
  <si>
    <t>Reunión Gabinete de Seguridad- Gabinete de Seguridad de Hidalgo recupera 50 toneladas de frijol robado en el Arco Norte:</t>
  </si>
  <si>
    <t>En cabina, Jesús Ávila García Coordinador de zona 1301 Pachuca Norte del Instituto Hidalguense de Educación para Adultos sobre el tema de jornada para regularizar a adultos mayores que querían terminar sus estudios de primaria, secundaria y bachillerato.</t>
  </si>
  <si>
    <t>Alfabetización</t>
  </si>
  <si>
    <t>Sobre la denucia de la regidora Aranza Ramírez de Morena comento conductor lo siguiente : “Hasta dónde lo público puede rebasar lo privado, hasta dónde lo político se puede convertir en personal, estamos de acuerdo que se denuncien las faltas graves de algún funcionario, estamos de acuerdo que se denuncie la corrupción, que se denuncie si hay faltantes, que se denuncie todo lo que está en contra de la ley. Pero ya brincar a un tema personal, ya brincar a un tema hasta de violencia en contra de una mujer que es madre de familia, ojalá la regidora se atreva a denunciarlo también de manera penal para que se investigue “.</t>
  </si>
  <si>
    <t>Amenazas</t>
  </si>
  <si>
    <t>La regidora Aranza Ramírez de Morena del municipio de Tula hizo responsable a otro regidor de la fracción independiente si algo le llegara a pasar a ella o a su familia, AUDIO APOYO</t>
  </si>
  <si>
    <t>La tarifa al transporte público de pasajeros en modalidad colectiva aumentará 20% respecto al cobro actual. Esto lo confirmó la mañana de lunes, 4 de mayo, la titular de la Secretaría de Movilidad y Transporte de Hidalgo, Lisbeth Robles Gutiérrez, por lo que la tarifa mínima en dicho servicio pasará de 10 a 12 pesos, en otras tarifas deberá realizarse el cálculo del aumento en el porcentaje señalado.La funcionaria estatal señaló que se determinó el porcentaje de aumento con base en estudios técnicos, donde se tomó en cuenta tanto las necesidades de los concesionarios como de los usuarios. Debo anunciar que el incremento que se ha analizado, realizando los estudios correspondientes para tener un equilibrio entre los costos de operación y la exigencia de considerar al sector del público usuario, hemos llegado a la decisión de que debemos incrementar la tarifa en el transporte público colectivo en un 20%, es decir, 20 puntos porcentuales. Estos 20 puntos porcentuales están obligados, insisto, a mejorar unidades y a mejorar las condiciones de la prestación. AUDIO DE APOYO</t>
  </si>
  <si>
    <t>Radioescucha comenta que cómo es posible que aumenten el transporte sin darse cuenta de cómo vienen las combis. Esperemos que se suban los funcionarios y chequen cómo es y vean cómo viene uno como usuario.</t>
  </si>
  <si>
    <t>Vía telefónica, Lyzbeth Robles Gutiérrez, secretaria de Movilidad y Transporte, con el tema: Aumento tarifa de transporte: Comento que el día de ayer se dio el anuncio del incremento al transporte público; en este caso solo se dará el incremento en las colectivas en este momento. Para el incremento se buscó un equilibrio entre las necesidades del sector transportista, costos de insumos y costo de operación; no se tiene por el momento un incremento en taxis ni de Tuzobús; este incremento solo es para el transporte público colectivo y aclarando que el incremento se dará una vez publicado en Periódico Oficial del Estado de Hidalgo el acuerdo correspondiente. Se tienen obligaciones para el transporte, mejora de prestación del servicio, dar mantenimiento correctivo, mejorar las condiciones físico/mecánicas, tarifario visible y muchas más obligaciones establecidas; se trabaja con otras instancias para el operativo Transporte Seguro. Hoy se tienen ya las 38 unidades nuevas en el paradero de Tellez, solo en espera de poder iniciar sus operaciones, y faltan por llegar las unidades de 80 pasajeros; ya se encuentran en proceso de las aduanas.</t>
  </si>
  <si>
    <t>Boletín 1066: Gobierno de Hidalgo impulsa la salud comunitaria y preservación cultural</t>
  </si>
  <si>
    <t>Casa de la Mujer Indígena</t>
  </si>
  <si>
    <t>Con múltiple detención, la SSPH combate al delito de préstamos “gota a gota” Actopan</t>
  </si>
  <si>
    <t>La Unidad de Rehabilitación de Fauna Silvestre Pachuca informó que, en coordinación con la PROFEPA y la Reserva de la Biósfera de la Barranca de Metztitlán, se llevó a cabo la liberación de 12 animales silvestres que fueron reintegrados a su medio natural.En esta acción fueron liberadas 3 lechuzas, 1 gavilán, 2 zorras grises, 2 ardillas, 2 tlacuaches y 1 cacomixtle, luego de recibir atención y rehabilitación para favorecer su retorno a la vida silvestre.De acuerdo con la dependencia, esta es la segunda liberación del año, con la cual suman 27 ejemplares reinsertados durante 2026 en espacios adecuados para su conservación.</t>
  </si>
  <si>
    <t>Conservación de especies</t>
  </si>
  <si>
    <t>Se comenzó a observar un incremento parcial de extorsión y secuestros en diez carreteras al transporte de carga. Esto es como la México Querétaro y Arco Norte, de acuerdo con Noé Paredes, titular en Hidalgo de la Cámara Nacional del Autotransporte de Carga. Unos datos muy relevantes de las diez carreteras donde más camiones nos roban en el paísDesgraciadamente de estas diez, cinco están relacionadas con el Arco Norte, con Hidalgo, con México, con Tlaxcala. Es la México Querétaro con 66%, la México Puebla con 22%, la México Paquita con 18%, al libramiento Norte con 16% y la México de Catete con 16%. De las diez carreteras donde más camiones nos roban en el país, han subido del 20 de febrero al 20 de marzo cinco robos Arco Norte, del 20 de marzo al 20 de abril 16 robos, de los cuales sólo recuperamos tres camiones.Ahora el titular de la Secretaría de Seguridad Pública de Hidalgo, Salvador Cruz Neri, lanzó un llamado directo a las autoridades del Arco Norte, urge mejorar las condiciones de seguridad en esta vía.Cruz Neri también exigió mayor claridad y mejoras en el sistema de videovigilancia, al advertir que las cámaras actuales son de baja calidad, especialmente de noche, lo que limita su utilidad en tareas de seguridad e inteligencia.</t>
  </si>
  <si>
    <t>La basura en las calles en la región Tula-Tepeji provoca el 50% de los encharcamientos en temporada de lluvia. De acuerdo con la Secretaría del Medio Ambiente y Recursos Naturales de Hidalgo, en la entidad se generan más de dos mil seiscientas veintinueve toneladas de basura al día, de la cual el 13% está en las calles y el 87% restante en los basureros.Cuando los desperdicios se tiran de manera desordenada, obstruyen la corriente de agua de lluvia, propiciando su estancamiento, lo que genera un foco de infección y, a su vez, un peligro para la salud. Y vienen, además, los reclamos de la ciudadanía de las constantes inundaciones cuando llueve en principales calles. Pero también hay ciudadanos conscientes que evitan tirar basura en las calles.</t>
  </si>
  <si>
    <t>Semarnath</t>
  </si>
  <si>
    <t>Disposición de basura</t>
  </si>
  <si>
    <t>Julio Menchaca fortalece estrategia de seguridad y dota a cuerpos policiales de nuevas unidades y equipo, AUDIO APOYO</t>
  </si>
  <si>
    <t>Con una inversión superior a los trescientos treinta y seis millones de pesos, el gobernador Julio Menchaca Salazar encabezó la entrega de doscientas treinta y dos patrullas y equipamiento táctico para fortalecer a los cuerpos de seguridad en la entidad. El mandatario destacó que esta estrategia busca reducir tiempos de respuesta, mantener operativas las unidades y garantizar mejores condiciones para las y los policías con capacitación constante y armamento actualizado. De las unidades entregadas, treinta y dos serán para corporaciones municipales y el resto operado por la Secretaría de Seguridad Pública de Hidalgo.Su titular, Salvador Cruz Neri, informó que la Policía Estatal avanza ya un noventa y ocho punto siete por ciento de certificación, además de reportar más de cinco mil detenidos, cinco mil seiscientos vehículos recuperados, el aseguramiento de más de seis punto cinco millones de litros de hidrocarburo y más de un millón de dosis de droga. Las doscientas unidades serán arrendadas por doscientos noventa y nueve millones de pesos, esquema que va a permitir ahorro de hasta ciento noventa millones frente a una compra directa. Autoridades estatales aseguraron que este equipamiento reforzará la estrategia de seguridad y el combate a la delincuencia en Hidalgo. AUDIO APOYO</t>
  </si>
  <si>
    <t>Radioescucha reporta falta de agua en Lomas Residencial Pachuca, desde el 1ero de mayo</t>
  </si>
  <si>
    <t>Radioescucha comenta que reportó una fuga desde hace 2 meses y sigue, esto en Río de las Avenidas, antes de llegar a Anfora.</t>
  </si>
  <si>
    <t>Colaboradora de Acir Joss reporta fuga de agua muy fuerte en el Río de las Avenidas , en la lateral de Everardo Marquez</t>
  </si>
  <si>
    <t>Radioescucha reporta fuga de agua en el C. Doria</t>
  </si>
  <si>
    <t>Radioescucha reporta fuga de agua (Conductor manda directamente información de ubicación a personal de Caasim)</t>
  </si>
  <si>
    <t>Las comunidades ribereñas de la presa Endó, a pesar de que ya iniciaron las fumigaciones en estas colonias y comunidades, el problema de los moscos continúa, informo Noel Olguín, vecino de la comunidad de Michimaloya en Tula, comentó que siguen en pie las movilizaciones del dias de mañana en el municipio, aun no se confirma abloqueo de alguna vialidad, AUDIO APOYO</t>
  </si>
  <si>
    <t>Fumigación mosco Culex</t>
  </si>
  <si>
    <t>Canal 12 Huejutla</t>
  </si>
  <si>
    <t>Contacto Informativo M</t>
  </si>
  <si>
    <t>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</si>
  <si>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María Antonieta Islas</t>
  </si>
  <si>
    <t>El presidente del Colegio de Notarios del Estado de Hidalgo, Pedro Luis Noble, dio a conocer los detalles de la Iniciativa de Ley de Notariado para el Estado de Hidalgo, la cual ya fue enviada al Congreso del Estado para su análisis y discusión.De ser aprobada, la nueva legislación podría entrar en vigor en un plazo de seis meses, con el objetivo de actualizar el marco jurídico y fortalecer la función notarial en la entidad. Se presentó ante el Congreso del Estado, ante la mesa directiva, la iniciativa con proyecto de decreto que contiene la nueva ley de notario para el Estado de Hidalgo. AUDIOS DE APOYO</t>
  </si>
  <si>
    <t>Despacho</t>
  </si>
  <si>
    <t>El gobernador de Hidalgo, Julio Menchaca Salazar, impulsa la transformación de la función notarial en Hidalgo. La información con mi compañera Joselyn Sánchez. El gobernador Julio Menchaca Salazar envió al Congreso local la iniciativa de una nueva ley notarial con la que se pretende fortalecer la certeza jurídica y actualizar esta función en nuestra entidad. La propuesta incluye el acceso a notarías mediante exámenes de oposición, priorizando el mérito y la igualdad de oportunidades, además de la incorporación de herramientas digitales y el uso de firma electrónica avanzada para prevenir fraudes y suplantación de identidad. También contempla la creación de un instituto de investigaciones jurídicas y profesionalización notarial enfocado en la capacitación continua del gremio, así como la figura de notario mérito para reconocer la trayectoria de quienes se retiren.Autoridades y notarios destacaron que esta reforma busca ofrecer servicios más eficientes, seguros y confiables para la ciudadanía y posicionar a Hidalgo como referente nacional en materia notarial.</t>
  </si>
  <si>
    <t>La Comisión Nacional del Agua (Conagua), a través de su Dirección Local Hidalgo, informa que, las presas en la región del Valle de México, cuentan con un porcentaje de almacenamiento global de 89 por ciento (%).La presa Taxhimay se encuentra a 99.7% de su capacidad con 39.799 millones de metros cúbicos (Mm3); la Requenase encuentra a 99.6% con 51.351 Mm3.Mientras que la Endhó se encuentra a 95.4% con 174.398 Mm3; la presa Rojo Gómez a 58.9% de su capacidad con 23.555 Mm3; finalmente, la Vicente Aguirre se encuentra a 36.7% de su capacidad con 6.524 Mm3.</t>
  </si>
  <si>
    <t>Monitoreo De Presas</t>
  </si>
  <si>
    <t>En otro tema bastante importante, que aquí en las diferentes ediciones de Enfoque Regional, le hemos dado foco, atención, y es que la persistente presencia del Mosco-Culex en comunidades cercanas a la Presa Endó, ha llevado al gobierno municipal de Tepetitlán a tomar medidas propias, ante la respuesta tardía e insuficiente por parte de las autoridades federales encargadas del control de la plaga. De acuerdo con el secretario general Asael Villera Chávez, el ayuntamiento comenzó desde hace dos semanas un programa local de fumigación, con el propósito de contener la crisis sanitaria que ha limitado las actividades diarias de la población.</t>
  </si>
  <si>
    <t>La presidenta del patronato del sistema DIF Hidalgo, Edda Vite Ramos, informó que ya se encuentra en marcha el proceso de conformación de las Procuradurías municipales de protección de niñas, niños y adolescentes en la entidad. Esto como parte de una estrategia para fortalecer la atención a este sector de la población y evitar la revictimización en casos de violencia. Vite Ramos explicó que los ayuntamientos cuentan con un plazo de 180 días a partir del pasado 13 de abril para formalizar estas instancias, y varios municipios compartió ya han comenzado con el proceso y que desde el DIF estatal se les brinda acompañamiento técnico y jurídico para concretar su instalación. De hecho, ya muchas de las presidencias municipales tienen 180 días a partir del 13 de abril. AUDIO DE APOYO</t>
  </si>
  <si>
    <t>Radioescucha Teresa Pérez, deberían checar el volumen de las combis y los vidrios polarizados</t>
  </si>
  <si>
    <t>Queja transporte público</t>
  </si>
  <si>
    <t>Radioescucha comentó que no está bien el aumento; primero deberían checar cómo están las unidades en mal estado</t>
  </si>
  <si>
    <t>Entrevista grabada de Yazareth Aguilar, directora de Obras Públicas municipal de Tula, con el tema: Inicia rehabilitación de la calle Heroico Colegio Militar, la calle que está a un costado del tianguis municipal de Tula , Audio apoyo.</t>
  </si>
  <si>
    <t>Con la visión de continuar con la mejora de la infraestructura vial del municipio, el alcalde Mineral de la Reforma, Eduardo Medécigo Rubio, encabezó el banderazo de inicio para la construcción de pavimento hidráulico en la calle principal de La Joya, en el Fraccionamiento San Fernando.Acompañado de la presidenta del Patronato del Sistema Municipal DIF, Samantha Esparza Hernández, el alcalde de la Ciudad de la Comunidad aseveró que esta obra representa un avance en la atención a las demandas de los vecinos y un compromiso de su administración para atender sus peticiones, reconociendo que “la atención de las calles son necesidades urgentes”.</t>
  </si>
  <si>
    <t>Continuando en materia de seguridad, el Gabinete de Seguridad de Hidalgo recuperó en el Arco Norte un tractocamión y dos cajas con cincuenta toneladas de frijol, valuadas en cerca de un millón novecientos mil pesos. Esto había sido robado minutos antes.El gobernador Julio Menchaca Salazar informó que en operativos de la última semana también fueron detenidas seis personas en Actopan, presuntamente vinculadas a fraude y extorsión mediante préstamos gota a gota. En Tizayuca, tras el robo a un comercio, fue asegurado el probable responsable sobre la México Pachuca junto con un arma artesanal, vehículo y efectivo, mientras que en la capital del estado un hombre fue detenido al interior de una vivienda recuperándose equipo de cómputo y objetos personales. Además, en acciones, en ocho municipios se aseguraron quince personas, un arma de fuego y más de tres mil dosis de droga, así como la localización de catorce personas con ficha de búsqueda.</t>
  </si>
  <si>
    <t>Gabinete de Seguridad de Hidalgo recupera 50 toneladas de frijol robado en el Arco Norte</t>
  </si>
  <si>
    <t>Luego de que el gobernador de Sinaloa, Rubén Rocha Moya, fuera acusado por vínculos delictivos por el Departamento de Justicia de Estados Unidos, el gobernador del Estado de Hidalgo, Julio Menchaca Salazar, se pronunció al respecto. AUDIO DE APOYO ENTREVISTA</t>
  </si>
  <si>
    <t>La Secretaría de Turismo de Hidalgo, la Secretaría Elizabeth Quintanar Gómez, informó que el 80% de la participación del Estado en el Tianguis Turístico México 2026 se centró en experiencias de turismo comunitario llevando la riqueza cultural, natural y cotidiana de las localidades a este escaparate nacional.Durante la conferencia destacó que la presencia de operadoras turísticas permitió impulsar la promoción, venta de servicios y generación de alianzas estratégicas en línea con la política turística del gobernador Julio Menchaca Salazar.En esta edición participaron ocho municipios y diez operadoras quienes sostuvieron encuentros con compradores nacionales e internacionales logrando la comercialización de paquetes turísticos y fortaleciendo la cadena de valor en distintas regiones.</t>
  </si>
  <si>
    <t>Autoridades de los tres niveles de gobierno realizaron un recorrido en la comunidad de San Andrés Daboxtha en el municipio del Cardonal con el objetivo de valorar la viabilidad para la construcción de una universidad del bienestar Benito Juárez. Durante la visita se realizó la revisión de las condiciones del terreno donde se contempla edificar esta institución de educación superior orientada a jóvenes que concluyen el nivel medio superior.</t>
  </si>
  <si>
    <t>Universidad del Bienestar</t>
  </si>
  <si>
    <t>Ministerio Público obtuvo la vinculación a proceso para probable responsable de homicidio doloso agravado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</si>
</sst>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5" tableType="queryTable" totalsRowShown="0">
  <autoFilter ref="A1:M145" xr:uid="{717AF3FA-E95C-4D17-A1C9-B8D7CBE34EF0}">
    <filterColumn colId="9">
      <filters>
        <filter val="No se encuentra"/>
      </filters>
    </filterColumn>
  </autoFilter>
  <sortState xmlns:xlrd2="http://schemas.microsoft.com/office/spreadsheetml/2017/richdata2" ref="A2:M145">
    <sortCondition ref="B1:B145"/>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5"/>
  <sheetViews>
    <sheetView tabSelected="1" workbookViewId="0">
      <selection activeCell="F82" sqref="F82"/>
    </sheetView>
  </sheetViews>
  <sheetFormatPr baseColWidth="10" defaultRowHeight="15" x14ac:dyDescent="0.25"/>
  <cols>
    <col min="1" max="1" width="10.42578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52</v>
      </c>
      <c r="C1" t="s">
        <v>53</v>
      </c>
      <c r="D1" t="s">
        <v>54</v>
      </c>
      <c r="E1" t="s">
        <v>1</v>
      </c>
      <c r="F1" t="s">
        <v>2</v>
      </c>
      <c r="G1" t="s">
        <v>4</v>
      </c>
      <c r="H1" t="s">
        <v>3</v>
      </c>
      <c r="I1" t="s">
        <v>5</v>
      </c>
      <c r="J1" t="s">
        <v>55</v>
      </c>
      <c r="K1" t="s">
        <v>56</v>
      </c>
      <c r="L1" t="s">
        <v>57</v>
      </c>
      <c r="M1" t="s">
        <v>65</v>
      </c>
    </row>
    <row r="2" spans="1:13" hidden="1" x14ac:dyDescent="0.25">
      <c r="A2" s="1">
        <v>46147</v>
      </c>
      <c r="B2" s="1" t="str">
        <f ca="1">IF(Información1[[#This Row],[Fecha]]='Ajuste de fechas'!$A$2,"Día actual","Día anterior")</f>
        <v>Día actual</v>
      </c>
      <c r="C2" t="s">
        <v>41</v>
      </c>
      <c r="D2" t="s">
        <v>44</v>
      </c>
      <c r="E2" t="s">
        <v>205</v>
      </c>
      <c r="F2" t="s">
        <v>19</v>
      </c>
      <c r="G2" t="s">
        <v>206</v>
      </c>
      <c r="H2" t="s">
        <v>11</v>
      </c>
      <c r="I2" t="s">
        <v>7</v>
      </c>
      <c r="J2" t="s">
        <v>62</v>
      </c>
      <c r="K2" t="s">
        <v>42</v>
      </c>
      <c r="L2" t="s">
        <v>59</v>
      </c>
      <c r="M2">
        <v>1</v>
      </c>
    </row>
    <row r="3" spans="1:13" hidden="1" x14ac:dyDescent="0.25">
      <c r="A3" s="1">
        <v>46147</v>
      </c>
      <c r="B3" s="1" t="str">
        <f ca="1">IF(Información1[[#This Row],[Fecha]]='Ajuste de fechas'!$A$2,"Día actual","Día anterior")</f>
        <v>Día actual</v>
      </c>
      <c r="C3" t="s">
        <v>41</v>
      </c>
      <c r="D3" t="s">
        <v>44</v>
      </c>
      <c r="E3" t="s">
        <v>207</v>
      </c>
      <c r="F3" t="s">
        <v>208</v>
      </c>
      <c r="G3" t="s">
        <v>209</v>
      </c>
      <c r="H3" t="s">
        <v>11</v>
      </c>
      <c r="I3" t="s">
        <v>7</v>
      </c>
      <c r="J3" t="s">
        <v>58</v>
      </c>
      <c r="K3" t="s">
        <v>42</v>
      </c>
      <c r="L3" t="s">
        <v>61</v>
      </c>
      <c r="M3">
        <v>1</v>
      </c>
    </row>
    <row r="4" spans="1:13" hidden="1" x14ac:dyDescent="0.25">
      <c r="A4" s="1">
        <v>46147</v>
      </c>
      <c r="B4" s="1" t="str">
        <f ca="1">IF(Información1[[#This Row],[Fecha]]='Ajuste de fechas'!$A$2,"Día actual","Día anterior")</f>
        <v>Día actual</v>
      </c>
      <c r="C4" t="s">
        <v>29</v>
      </c>
      <c r="D4" t="s">
        <v>31</v>
      </c>
      <c r="E4" t="s">
        <v>210</v>
      </c>
      <c r="F4" t="s">
        <v>75</v>
      </c>
      <c r="G4" t="s">
        <v>211</v>
      </c>
      <c r="H4" t="s">
        <v>11</v>
      </c>
      <c r="I4" t="s">
        <v>7</v>
      </c>
      <c r="J4" t="s">
        <v>58</v>
      </c>
      <c r="K4" t="s">
        <v>30</v>
      </c>
      <c r="L4" t="s">
        <v>61</v>
      </c>
      <c r="M4">
        <v>1</v>
      </c>
    </row>
    <row r="5" spans="1:13" hidden="1" x14ac:dyDescent="0.25">
      <c r="A5" s="1">
        <v>46147</v>
      </c>
      <c r="B5" s="1" t="str">
        <f ca="1">IF(Información1[[#This Row],[Fecha]]='Ajuste de fechas'!$A$2,"Día actual","Día anterior")</f>
        <v>Día actual</v>
      </c>
      <c r="C5" t="s">
        <v>29</v>
      </c>
      <c r="D5" t="s">
        <v>31</v>
      </c>
      <c r="E5" t="s">
        <v>212</v>
      </c>
      <c r="F5" t="s">
        <v>204</v>
      </c>
      <c r="G5" t="s">
        <v>77</v>
      </c>
      <c r="H5" t="s">
        <v>11</v>
      </c>
      <c r="I5" t="s">
        <v>7</v>
      </c>
      <c r="J5" t="s">
        <v>58</v>
      </c>
      <c r="K5" t="s">
        <v>30</v>
      </c>
      <c r="L5" t="s">
        <v>61</v>
      </c>
      <c r="M5">
        <v>1</v>
      </c>
    </row>
    <row r="6" spans="1:13" hidden="1" x14ac:dyDescent="0.25">
      <c r="A6" s="1">
        <v>46147</v>
      </c>
      <c r="B6" s="1" t="str">
        <f ca="1">IF(Información1[[#This Row],[Fecha]]='Ajuste de fechas'!$A$2,"Día actual","Día anterior")</f>
        <v>Día actual</v>
      </c>
      <c r="C6" t="s">
        <v>29</v>
      </c>
      <c r="D6" t="s">
        <v>31</v>
      </c>
      <c r="E6" t="s">
        <v>213</v>
      </c>
      <c r="F6" t="s">
        <v>21</v>
      </c>
      <c r="G6" t="s">
        <v>214</v>
      </c>
      <c r="H6" t="s">
        <v>11</v>
      </c>
      <c r="I6" t="s">
        <v>7</v>
      </c>
      <c r="J6" t="s">
        <v>58</v>
      </c>
      <c r="K6" t="s">
        <v>30</v>
      </c>
      <c r="L6" t="s">
        <v>61</v>
      </c>
      <c r="M6">
        <v>1</v>
      </c>
    </row>
    <row r="7" spans="1:13" hidden="1" x14ac:dyDescent="0.25">
      <c r="A7" s="1">
        <v>46147</v>
      </c>
      <c r="B7" s="1" t="str">
        <f ca="1">IF(Información1[[#This Row],[Fecha]]='Ajuste de fechas'!$A$2,"Día actual","Día anterior")</f>
        <v>Día actual</v>
      </c>
      <c r="C7" t="s">
        <v>29</v>
      </c>
      <c r="D7" t="s">
        <v>31</v>
      </c>
      <c r="E7" t="s">
        <v>215</v>
      </c>
      <c r="F7" t="s">
        <v>21</v>
      </c>
      <c r="G7" t="s">
        <v>216</v>
      </c>
      <c r="H7" t="s">
        <v>11</v>
      </c>
      <c r="I7" t="s">
        <v>7</v>
      </c>
      <c r="J7" t="s">
        <v>58</v>
      </c>
      <c r="K7" t="s">
        <v>30</v>
      </c>
      <c r="L7" t="s">
        <v>61</v>
      </c>
      <c r="M7">
        <v>1</v>
      </c>
    </row>
    <row r="8" spans="1:13" hidden="1" x14ac:dyDescent="0.25">
      <c r="A8" s="1">
        <v>46147</v>
      </c>
      <c r="B8" s="1" t="str">
        <f ca="1">IF(Información1[[#This Row],[Fecha]]='Ajuste de fechas'!$A$2,"Día actual","Día anterior")</f>
        <v>Día actual</v>
      </c>
      <c r="C8" t="s">
        <v>29</v>
      </c>
      <c r="D8" t="s">
        <v>31</v>
      </c>
      <c r="E8" t="s">
        <v>207</v>
      </c>
      <c r="F8" t="s">
        <v>208</v>
      </c>
      <c r="G8" t="s">
        <v>209</v>
      </c>
      <c r="H8" t="s">
        <v>11</v>
      </c>
      <c r="I8" t="s">
        <v>7</v>
      </c>
      <c r="J8" t="s">
        <v>58</v>
      </c>
      <c r="K8" t="s">
        <v>30</v>
      </c>
      <c r="L8" t="s">
        <v>61</v>
      </c>
      <c r="M8">
        <v>1</v>
      </c>
    </row>
    <row r="9" spans="1:13" hidden="1" x14ac:dyDescent="0.25">
      <c r="A9" s="1">
        <v>46147</v>
      </c>
      <c r="B9" s="1" t="str">
        <f ca="1">IF(Información1[[#This Row],[Fecha]]='Ajuste de fechas'!$A$2,"Día actual","Día anterior")</f>
        <v>Día actual</v>
      </c>
      <c r="C9" t="s">
        <v>29</v>
      </c>
      <c r="D9" t="s">
        <v>31</v>
      </c>
      <c r="E9" t="s">
        <v>217</v>
      </c>
      <c r="F9" t="s">
        <v>27</v>
      </c>
      <c r="G9" t="s">
        <v>211</v>
      </c>
      <c r="H9" t="s">
        <v>11</v>
      </c>
      <c r="I9" t="s">
        <v>7</v>
      </c>
      <c r="J9" t="s">
        <v>58</v>
      </c>
      <c r="K9" t="s">
        <v>30</v>
      </c>
      <c r="L9" t="s">
        <v>61</v>
      </c>
      <c r="M9">
        <v>1</v>
      </c>
    </row>
    <row r="10" spans="1:13" hidden="1" x14ac:dyDescent="0.25">
      <c r="A10" s="1">
        <v>46147</v>
      </c>
      <c r="B10" s="1" t="str">
        <f ca="1">IF(Información1[[#This Row],[Fecha]]='Ajuste de fechas'!$A$2,"Día actual","Día anterior")</f>
        <v>Día actual</v>
      </c>
      <c r="C10" t="s">
        <v>29</v>
      </c>
      <c r="D10" t="s">
        <v>31</v>
      </c>
      <c r="E10" t="s">
        <v>218</v>
      </c>
      <c r="F10" t="s">
        <v>27</v>
      </c>
      <c r="G10" t="s">
        <v>219</v>
      </c>
      <c r="H10" t="s">
        <v>11</v>
      </c>
      <c r="I10" t="s">
        <v>7</v>
      </c>
      <c r="J10" t="s">
        <v>58</v>
      </c>
      <c r="K10" t="s">
        <v>30</v>
      </c>
      <c r="L10" t="s">
        <v>61</v>
      </c>
      <c r="M10">
        <v>1</v>
      </c>
    </row>
    <row r="11" spans="1:13" hidden="1" x14ac:dyDescent="0.25">
      <c r="A11" s="1">
        <v>46147</v>
      </c>
      <c r="B11" s="1" t="str">
        <f ca="1">IF(Información1[[#This Row],[Fecha]]='Ajuste de fechas'!$A$2,"Día actual","Día anterior")</f>
        <v>Día actual</v>
      </c>
      <c r="C11" t="s">
        <v>41</v>
      </c>
      <c r="D11" t="s">
        <v>43</v>
      </c>
      <c r="E11" t="s">
        <v>220</v>
      </c>
      <c r="F11" t="s">
        <v>22</v>
      </c>
      <c r="G11" t="s">
        <v>93</v>
      </c>
      <c r="H11" t="s">
        <v>11</v>
      </c>
      <c r="I11" t="s">
        <v>7</v>
      </c>
      <c r="J11" t="s">
        <v>63</v>
      </c>
      <c r="K11" t="s">
        <v>42</v>
      </c>
      <c r="L11" t="s">
        <v>59</v>
      </c>
      <c r="M11">
        <v>1</v>
      </c>
    </row>
    <row r="12" spans="1:13" hidden="1" x14ac:dyDescent="0.25">
      <c r="A12" s="1">
        <v>46147</v>
      </c>
      <c r="B12" s="1" t="str">
        <f ca="1">IF(Información1[[#This Row],[Fecha]]='Ajuste de fechas'!$A$2,"Día actual","Día anterior")</f>
        <v>Día actual</v>
      </c>
      <c r="C12" t="s">
        <v>41</v>
      </c>
      <c r="D12" t="s">
        <v>43</v>
      </c>
      <c r="E12" t="s">
        <v>221</v>
      </c>
      <c r="F12" t="s">
        <v>21</v>
      </c>
      <c r="G12" t="s">
        <v>222</v>
      </c>
      <c r="H12" t="s">
        <v>11</v>
      </c>
      <c r="I12" t="s">
        <v>7</v>
      </c>
      <c r="J12" t="s">
        <v>58</v>
      </c>
      <c r="K12" t="s">
        <v>36</v>
      </c>
      <c r="L12" t="s">
        <v>64</v>
      </c>
      <c r="M12">
        <v>1</v>
      </c>
    </row>
    <row r="13" spans="1:13" hidden="1" x14ac:dyDescent="0.25">
      <c r="A13" s="1">
        <v>46147</v>
      </c>
      <c r="B13" s="1" t="str">
        <f ca="1">IF(Información1[[#This Row],[Fecha]]='Ajuste de fechas'!$A$2,"Día actual","Día anterior")</f>
        <v>Día actual</v>
      </c>
      <c r="C13" t="s">
        <v>41</v>
      </c>
      <c r="D13" t="s">
        <v>43</v>
      </c>
      <c r="E13" t="s">
        <v>223</v>
      </c>
      <c r="F13" t="s">
        <v>17</v>
      </c>
      <c r="G13" t="s">
        <v>99</v>
      </c>
      <c r="H13" t="s">
        <v>11</v>
      </c>
      <c r="I13" t="s">
        <v>7</v>
      </c>
      <c r="J13" t="s">
        <v>58</v>
      </c>
      <c r="K13" t="s">
        <v>42</v>
      </c>
      <c r="L13" t="s">
        <v>114</v>
      </c>
      <c r="M13">
        <v>1</v>
      </c>
    </row>
    <row r="14" spans="1:13" hidden="1" x14ac:dyDescent="0.25">
      <c r="A14" s="1">
        <v>46147</v>
      </c>
      <c r="B14" s="1" t="str">
        <f ca="1">IF(Información1[[#This Row],[Fecha]]='Ajuste de fechas'!$A$2,"Día actual","Día anterior")</f>
        <v>Día actual</v>
      </c>
      <c r="C14" t="s">
        <v>41</v>
      </c>
      <c r="D14" t="s">
        <v>43</v>
      </c>
      <c r="E14" t="s">
        <v>224</v>
      </c>
      <c r="F14" t="s">
        <v>45</v>
      </c>
      <c r="G14" t="s">
        <v>225</v>
      </c>
      <c r="H14" t="s">
        <v>11</v>
      </c>
      <c r="I14" t="s">
        <v>7</v>
      </c>
      <c r="J14" t="s">
        <v>58</v>
      </c>
      <c r="K14" t="s">
        <v>36</v>
      </c>
      <c r="L14" t="s">
        <v>61</v>
      </c>
      <c r="M14">
        <v>1</v>
      </c>
    </row>
    <row r="15" spans="1:13" hidden="1" x14ac:dyDescent="0.25">
      <c r="A15" s="1">
        <v>46147</v>
      </c>
      <c r="B15" s="1" t="str">
        <f ca="1">IF(Información1[[#This Row],[Fecha]]='Ajuste de fechas'!$A$2,"Día actual","Día anterior")</f>
        <v>Día actual</v>
      </c>
      <c r="C15" t="s">
        <v>41</v>
      </c>
      <c r="D15" t="s">
        <v>43</v>
      </c>
      <c r="E15" t="s">
        <v>226</v>
      </c>
      <c r="F15" t="s">
        <v>21</v>
      </c>
      <c r="G15" t="s">
        <v>214</v>
      </c>
      <c r="H15" t="s">
        <v>11</v>
      </c>
      <c r="I15" t="s">
        <v>7</v>
      </c>
      <c r="J15" t="s">
        <v>58</v>
      </c>
      <c r="K15" t="s">
        <v>36</v>
      </c>
      <c r="L15" t="s">
        <v>61</v>
      </c>
      <c r="M15">
        <v>1</v>
      </c>
    </row>
    <row r="16" spans="1:13" hidden="1" x14ac:dyDescent="0.25">
      <c r="A16" s="1">
        <v>46147</v>
      </c>
      <c r="B16" s="1" t="str">
        <f ca="1">IF(Información1[[#This Row],[Fecha]]='Ajuste de fechas'!$A$2,"Día actual","Día anterior")</f>
        <v>Día actual</v>
      </c>
      <c r="C16" t="s">
        <v>41</v>
      </c>
      <c r="D16" t="s">
        <v>43</v>
      </c>
      <c r="E16" t="s">
        <v>227</v>
      </c>
      <c r="F16" t="s">
        <v>21</v>
      </c>
      <c r="G16" t="s">
        <v>216</v>
      </c>
      <c r="H16" t="s">
        <v>11</v>
      </c>
      <c r="I16" t="s">
        <v>7</v>
      </c>
      <c r="J16" t="s">
        <v>58</v>
      </c>
      <c r="K16" t="s">
        <v>36</v>
      </c>
      <c r="L16" t="s">
        <v>61</v>
      </c>
      <c r="M16">
        <v>1</v>
      </c>
    </row>
    <row r="17" spans="1:13" hidden="1" x14ac:dyDescent="0.25">
      <c r="A17" s="1">
        <v>46147</v>
      </c>
      <c r="B17" s="1" t="str">
        <f ca="1">IF(Información1[[#This Row],[Fecha]]='Ajuste de fechas'!$A$2,"Día actual","Día anterior")</f>
        <v>Día actual</v>
      </c>
      <c r="C17" t="s">
        <v>41</v>
      </c>
      <c r="D17" t="s">
        <v>43</v>
      </c>
      <c r="E17" t="s">
        <v>228</v>
      </c>
      <c r="F17" t="s">
        <v>81</v>
      </c>
      <c r="G17" t="s">
        <v>229</v>
      </c>
      <c r="H17" t="s">
        <v>11</v>
      </c>
      <c r="I17" t="s">
        <v>7</v>
      </c>
      <c r="J17" t="s">
        <v>58</v>
      </c>
      <c r="K17" t="s">
        <v>36</v>
      </c>
      <c r="L17" t="s">
        <v>61</v>
      </c>
      <c r="M17">
        <v>1</v>
      </c>
    </row>
    <row r="18" spans="1:13" hidden="1" x14ac:dyDescent="0.25">
      <c r="A18" s="1">
        <v>46147</v>
      </c>
      <c r="B18" s="1" t="str">
        <f ca="1">IF(Información1[[#This Row],[Fecha]]='Ajuste de fechas'!$A$2,"Día actual","Día anterior")</f>
        <v>Día actual</v>
      </c>
      <c r="C18" t="s">
        <v>41</v>
      </c>
      <c r="D18" t="s">
        <v>43</v>
      </c>
      <c r="E18" t="s">
        <v>230</v>
      </c>
      <c r="F18" t="s">
        <v>84</v>
      </c>
      <c r="G18" t="s">
        <v>231</v>
      </c>
      <c r="H18" t="s">
        <v>11</v>
      </c>
      <c r="I18" t="s">
        <v>7</v>
      </c>
      <c r="J18" t="s">
        <v>58</v>
      </c>
      <c r="K18" t="s">
        <v>36</v>
      </c>
      <c r="L18" t="s">
        <v>61</v>
      </c>
      <c r="M18">
        <v>1</v>
      </c>
    </row>
    <row r="19" spans="1:13" hidden="1" x14ac:dyDescent="0.25">
      <c r="A19" s="1">
        <v>46147</v>
      </c>
      <c r="B19" s="1" t="str">
        <f ca="1">IF(Información1[[#This Row],[Fecha]]='Ajuste de fechas'!$A$2,"Día actual","Día anterior")</f>
        <v>Día actual</v>
      </c>
      <c r="C19" t="s">
        <v>41</v>
      </c>
      <c r="D19" t="s">
        <v>43</v>
      </c>
      <c r="E19" t="s">
        <v>232</v>
      </c>
      <c r="F19" t="s">
        <v>27</v>
      </c>
      <c r="G19" t="s">
        <v>211</v>
      </c>
      <c r="H19" t="s">
        <v>11</v>
      </c>
      <c r="I19" t="s">
        <v>7</v>
      </c>
      <c r="J19" t="s">
        <v>58</v>
      </c>
      <c r="K19" t="s">
        <v>36</v>
      </c>
      <c r="L19" t="s">
        <v>61</v>
      </c>
      <c r="M19">
        <v>1</v>
      </c>
    </row>
    <row r="20" spans="1:13" hidden="1" x14ac:dyDescent="0.25">
      <c r="A20" s="1">
        <v>46147</v>
      </c>
      <c r="B20" s="1" t="str">
        <f ca="1">IF(Información1[[#This Row],[Fecha]]='Ajuste de fechas'!$A$2,"Día actual","Día anterior")</f>
        <v>Día actual</v>
      </c>
      <c r="C20" t="s">
        <v>41</v>
      </c>
      <c r="D20" t="s">
        <v>43</v>
      </c>
      <c r="E20" t="s">
        <v>233</v>
      </c>
      <c r="F20" t="s">
        <v>27</v>
      </c>
      <c r="G20" t="s">
        <v>219</v>
      </c>
      <c r="H20" t="s">
        <v>11</v>
      </c>
      <c r="I20" t="s">
        <v>7</v>
      </c>
      <c r="J20" t="s">
        <v>58</v>
      </c>
      <c r="K20" t="s">
        <v>36</v>
      </c>
      <c r="L20" t="s">
        <v>61</v>
      </c>
      <c r="M20">
        <v>1</v>
      </c>
    </row>
    <row r="21" spans="1:13" hidden="1" x14ac:dyDescent="0.25">
      <c r="A21" s="1">
        <v>46147</v>
      </c>
      <c r="B21" s="1" t="str">
        <f ca="1">IF(Información1[[#This Row],[Fecha]]='Ajuste de fechas'!$A$2,"Día actual","Día anterior")</f>
        <v>Día actual</v>
      </c>
      <c r="C21" t="s">
        <v>8</v>
      </c>
      <c r="D21" t="s">
        <v>10</v>
      </c>
      <c r="E21" t="s">
        <v>234</v>
      </c>
      <c r="F21" t="s">
        <v>21</v>
      </c>
      <c r="G21" t="s">
        <v>235</v>
      </c>
      <c r="H21" t="s">
        <v>11</v>
      </c>
      <c r="I21" t="s">
        <v>7</v>
      </c>
      <c r="J21" t="s">
        <v>58</v>
      </c>
      <c r="K21" t="s">
        <v>14</v>
      </c>
      <c r="L21" t="s">
        <v>64</v>
      </c>
      <c r="M21">
        <v>1</v>
      </c>
    </row>
    <row r="22" spans="1:13" hidden="1" x14ac:dyDescent="0.25">
      <c r="A22" s="1">
        <v>46147</v>
      </c>
      <c r="B22" s="1" t="str">
        <f ca="1">IF(Información1[[#This Row],[Fecha]]='Ajuste de fechas'!$A$2,"Día actual","Día anterior")</f>
        <v>Día actual</v>
      </c>
      <c r="C22" t="s">
        <v>32</v>
      </c>
      <c r="D22" t="s">
        <v>35</v>
      </c>
      <c r="E22" t="s">
        <v>236</v>
      </c>
      <c r="F22" t="s">
        <v>19</v>
      </c>
      <c r="G22" t="s">
        <v>237</v>
      </c>
      <c r="H22" t="s">
        <v>11</v>
      </c>
      <c r="I22" t="s">
        <v>7</v>
      </c>
      <c r="J22" t="s">
        <v>62</v>
      </c>
      <c r="K22" t="s">
        <v>33</v>
      </c>
      <c r="L22" t="s">
        <v>60</v>
      </c>
      <c r="M22">
        <v>1</v>
      </c>
    </row>
    <row r="23" spans="1:13" hidden="1" x14ac:dyDescent="0.25">
      <c r="A23" s="1">
        <v>46147</v>
      </c>
      <c r="B23" s="1" t="str">
        <f ca="1">IF(Información1[[#This Row],[Fecha]]='Ajuste de fechas'!$A$2,"Día actual","Día anterior")</f>
        <v>Día actual</v>
      </c>
      <c r="C23" t="s">
        <v>32</v>
      </c>
      <c r="D23" t="s">
        <v>35</v>
      </c>
      <c r="E23" t="s">
        <v>238</v>
      </c>
      <c r="F23" t="s">
        <v>19</v>
      </c>
      <c r="G23" t="s">
        <v>237</v>
      </c>
      <c r="H23" t="s">
        <v>11</v>
      </c>
      <c r="I23" t="s">
        <v>7</v>
      </c>
      <c r="J23" t="s">
        <v>62</v>
      </c>
      <c r="K23" t="s">
        <v>33</v>
      </c>
      <c r="L23" t="s">
        <v>59</v>
      </c>
      <c r="M23">
        <v>1</v>
      </c>
    </row>
    <row r="24" spans="1:13" hidden="1" x14ac:dyDescent="0.25">
      <c r="A24" s="1">
        <v>46147</v>
      </c>
      <c r="B24" s="1" t="str">
        <f ca="1">IF(Información1[[#This Row],[Fecha]]='Ajuste de fechas'!$A$2,"Día actual","Día anterior")</f>
        <v>Día actual</v>
      </c>
      <c r="C24" t="s">
        <v>8</v>
      </c>
      <c r="D24" t="s">
        <v>10</v>
      </c>
      <c r="E24" t="s">
        <v>20</v>
      </c>
      <c r="F24" t="s">
        <v>19</v>
      </c>
      <c r="G24" t="s">
        <v>49</v>
      </c>
      <c r="H24" t="s">
        <v>11</v>
      </c>
      <c r="I24" t="s">
        <v>12</v>
      </c>
      <c r="J24" t="s">
        <v>62</v>
      </c>
      <c r="K24" t="s">
        <v>14</v>
      </c>
      <c r="L24" t="s">
        <v>60</v>
      </c>
      <c r="M24">
        <v>1</v>
      </c>
    </row>
    <row r="25" spans="1:13" hidden="1" x14ac:dyDescent="0.25">
      <c r="A25" s="1">
        <v>46147</v>
      </c>
      <c r="B25" s="1" t="str">
        <f ca="1">IF(Información1[[#This Row],[Fecha]]='Ajuste de fechas'!$A$2,"Día actual","Día anterior")</f>
        <v>Día actual</v>
      </c>
      <c r="C25" t="s">
        <v>8</v>
      </c>
      <c r="D25" t="s">
        <v>10</v>
      </c>
      <c r="E25" t="s">
        <v>18</v>
      </c>
      <c r="F25" t="s">
        <v>19</v>
      </c>
      <c r="G25" t="s">
        <v>49</v>
      </c>
      <c r="H25" t="s">
        <v>11</v>
      </c>
      <c r="I25" t="s">
        <v>12</v>
      </c>
      <c r="J25" t="s">
        <v>62</v>
      </c>
      <c r="K25" t="s">
        <v>14</v>
      </c>
      <c r="L25" t="s">
        <v>60</v>
      </c>
      <c r="M25">
        <v>1</v>
      </c>
    </row>
    <row r="26" spans="1:13" hidden="1" x14ac:dyDescent="0.25">
      <c r="A26" s="1">
        <v>46147</v>
      </c>
      <c r="B26" s="1" t="str">
        <f ca="1">IF(Información1[[#This Row],[Fecha]]='Ajuste de fechas'!$A$2,"Día actual","Día anterior")</f>
        <v>Día actual</v>
      </c>
      <c r="C26" t="s">
        <v>8</v>
      </c>
      <c r="D26" t="s">
        <v>10</v>
      </c>
      <c r="E26" t="s">
        <v>73</v>
      </c>
      <c r="F26" t="s">
        <v>21</v>
      </c>
      <c r="G26" t="s">
        <v>49</v>
      </c>
      <c r="H26" t="s">
        <v>11</v>
      </c>
      <c r="I26" t="s">
        <v>12</v>
      </c>
      <c r="J26" t="s">
        <v>58</v>
      </c>
      <c r="K26" t="s">
        <v>14</v>
      </c>
      <c r="L26" t="s">
        <v>60</v>
      </c>
      <c r="M26">
        <v>1</v>
      </c>
    </row>
    <row r="27" spans="1:13" hidden="1" x14ac:dyDescent="0.25">
      <c r="A27" s="1">
        <v>46147</v>
      </c>
      <c r="B27" s="1" t="str">
        <f ca="1">IF(Información1[[#This Row],[Fecha]]='Ajuste de fechas'!$A$2,"Día actual","Día anterior")</f>
        <v>Día actual</v>
      </c>
      <c r="C27" t="s">
        <v>8</v>
      </c>
      <c r="D27" t="s">
        <v>10</v>
      </c>
      <c r="E27" t="s">
        <v>13</v>
      </c>
      <c r="F27" t="s">
        <v>15</v>
      </c>
      <c r="G27" t="s">
        <v>49</v>
      </c>
      <c r="H27" t="s">
        <v>11</v>
      </c>
      <c r="I27" t="s">
        <v>12</v>
      </c>
      <c r="J27" t="s">
        <v>58</v>
      </c>
      <c r="K27" t="s">
        <v>14</v>
      </c>
      <c r="L27" t="s">
        <v>60</v>
      </c>
      <c r="M27">
        <v>1</v>
      </c>
    </row>
    <row r="28" spans="1:13" hidden="1" x14ac:dyDescent="0.25">
      <c r="A28" s="1">
        <v>46147</v>
      </c>
      <c r="B28" s="1" t="str">
        <f ca="1">IF(Información1[[#This Row],[Fecha]]='Ajuste de fechas'!$A$2,"Día actual","Día anterior")</f>
        <v>Día actual</v>
      </c>
      <c r="C28" t="s">
        <v>8</v>
      </c>
      <c r="D28" t="s">
        <v>10</v>
      </c>
      <c r="E28" t="s">
        <v>16</v>
      </c>
      <c r="F28" t="s">
        <v>17</v>
      </c>
      <c r="G28" t="s">
        <v>49</v>
      </c>
      <c r="H28" t="s">
        <v>11</v>
      </c>
      <c r="I28" t="s">
        <v>12</v>
      </c>
      <c r="J28" t="s">
        <v>58</v>
      </c>
      <c r="K28" t="s">
        <v>14</v>
      </c>
      <c r="L28" t="s">
        <v>60</v>
      </c>
      <c r="M28">
        <v>1</v>
      </c>
    </row>
    <row r="29" spans="1:13" hidden="1" x14ac:dyDescent="0.25">
      <c r="A29" s="1">
        <v>46147</v>
      </c>
      <c r="B29" s="1" t="str">
        <f ca="1">IF(Información1[[#This Row],[Fecha]]='Ajuste de fechas'!$A$2,"Día actual","Día anterior")</f>
        <v>Día actual</v>
      </c>
      <c r="C29" t="s">
        <v>8</v>
      </c>
      <c r="D29" t="s">
        <v>10</v>
      </c>
      <c r="E29" t="s">
        <v>51</v>
      </c>
      <c r="F29" t="s">
        <v>6</v>
      </c>
      <c r="G29" t="s">
        <v>49</v>
      </c>
      <c r="H29" t="s">
        <v>11</v>
      </c>
      <c r="I29" t="s">
        <v>12</v>
      </c>
      <c r="J29" t="s">
        <v>58</v>
      </c>
      <c r="K29" t="s">
        <v>14</v>
      </c>
      <c r="L29" t="s">
        <v>60</v>
      </c>
      <c r="M29">
        <v>1</v>
      </c>
    </row>
    <row r="30" spans="1:13" hidden="1" x14ac:dyDescent="0.25">
      <c r="A30" s="1">
        <v>46147</v>
      </c>
      <c r="B30" s="1" t="str">
        <f ca="1">IF(Información1[[#This Row],[Fecha]]='Ajuste de fechas'!$A$2,"Día actual","Día anterior")</f>
        <v>Día actual</v>
      </c>
      <c r="C30" t="s">
        <v>32</v>
      </c>
      <c r="D30" t="s">
        <v>35</v>
      </c>
      <c r="E30" t="s">
        <v>239</v>
      </c>
      <c r="F30" t="s">
        <v>17</v>
      </c>
      <c r="G30" t="s">
        <v>99</v>
      </c>
      <c r="H30" t="s">
        <v>11</v>
      </c>
      <c r="I30" t="s">
        <v>7</v>
      </c>
      <c r="J30" t="s">
        <v>58</v>
      </c>
      <c r="K30" t="s">
        <v>33</v>
      </c>
      <c r="L30" t="s">
        <v>59</v>
      </c>
      <c r="M30">
        <v>1</v>
      </c>
    </row>
    <row r="31" spans="1:13" hidden="1" x14ac:dyDescent="0.25">
      <c r="A31" s="1">
        <v>46147</v>
      </c>
      <c r="B31" s="1" t="str">
        <f ca="1">IF(Información1[[#This Row],[Fecha]]='Ajuste de fechas'!$A$2,"Día actual","Día anterior")</f>
        <v>Día actual</v>
      </c>
      <c r="C31" t="s">
        <v>8</v>
      </c>
      <c r="D31" t="s">
        <v>10</v>
      </c>
      <c r="E31" t="s">
        <v>240</v>
      </c>
      <c r="F31" t="s">
        <v>17</v>
      </c>
      <c r="G31" t="s">
        <v>99</v>
      </c>
      <c r="H31" t="s">
        <v>11</v>
      </c>
      <c r="I31" t="s">
        <v>26</v>
      </c>
      <c r="J31" t="s">
        <v>58</v>
      </c>
      <c r="K31" t="s">
        <v>9</v>
      </c>
      <c r="L31" t="s">
        <v>60</v>
      </c>
      <c r="M31">
        <v>1</v>
      </c>
    </row>
    <row r="32" spans="1:13" hidden="1" x14ac:dyDescent="0.25">
      <c r="A32" s="1">
        <v>46147</v>
      </c>
      <c r="B32" s="1" t="str">
        <f ca="1">IF(Información1[[#This Row],[Fecha]]='Ajuste de fechas'!$A$2,"Día actual","Día anterior")</f>
        <v>Día actual</v>
      </c>
      <c r="C32" t="s">
        <v>8</v>
      </c>
      <c r="D32" t="s">
        <v>10</v>
      </c>
      <c r="E32" t="s">
        <v>241</v>
      </c>
      <c r="F32" t="s">
        <v>17</v>
      </c>
      <c r="G32" t="s">
        <v>99</v>
      </c>
      <c r="H32" t="s">
        <v>11</v>
      </c>
      <c r="I32" t="s">
        <v>12</v>
      </c>
      <c r="J32" t="s">
        <v>58</v>
      </c>
      <c r="K32" t="s">
        <v>14</v>
      </c>
      <c r="L32" t="s">
        <v>114</v>
      </c>
      <c r="M32">
        <v>1</v>
      </c>
    </row>
    <row r="33" spans="1:13" hidden="1" x14ac:dyDescent="0.25">
      <c r="A33" s="1">
        <v>46147</v>
      </c>
      <c r="B33" s="1" t="str">
        <f ca="1">IF(Información1[[#This Row],[Fecha]]='Ajuste de fechas'!$A$2,"Día actual","Día anterior")</f>
        <v>Día actual</v>
      </c>
      <c r="C33" t="s">
        <v>79</v>
      </c>
      <c r="D33" t="s">
        <v>96</v>
      </c>
      <c r="E33" t="s">
        <v>242</v>
      </c>
      <c r="F33" t="s">
        <v>204</v>
      </c>
      <c r="G33" t="s">
        <v>243</v>
      </c>
      <c r="H33" t="s">
        <v>11</v>
      </c>
      <c r="I33" t="s">
        <v>7</v>
      </c>
      <c r="J33" t="s">
        <v>58</v>
      </c>
      <c r="K33" t="s">
        <v>97</v>
      </c>
      <c r="L33" t="s">
        <v>61</v>
      </c>
      <c r="M33">
        <v>1</v>
      </c>
    </row>
    <row r="34" spans="1:13" hidden="1" x14ac:dyDescent="0.25">
      <c r="A34" s="1">
        <v>46147</v>
      </c>
      <c r="B34" s="1" t="str">
        <f ca="1">IF(Información1[[#This Row],[Fecha]]='Ajuste de fechas'!$A$2,"Día actual","Día anterior")</f>
        <v>Día actual</v>
      </c>
      <c r="C34" t="s">
        <v>8</v>
      </c>
      <c r="D34" t="s">
        <v>10</v>
      </c>
      <c r="E34" t="s">
        <v>244</v>
      </c>
      <c r="F34" t="s">
        <v>23</v>
      </c>
      <c r="G34" t="s">
        <v>80</v>
      </c>
      <c r="H34" t="s">
        <v>11</v>
      </c>
      <c r="I34" t="s">
        <v>7</v>
      </c>
      <c r="J34" t="s">
        <v>58</v>
      </c>
      <c r="K34" t="s">
        <v>14</v>
      </c>
      <c r="L34" t="s">
        <v>61</v>
      </c>
      <c r="M34">
        <v>1</v>
      </c>
    </row>
    <row r="35" spans="1:13" hidden="1" x14ac:dyDescent="0.25">
      <c r="A35" s="1">
        <v>46147</v>
      </c>
      <c r="B35" s="1" t="str">
        <f ca="1">IF(Información1[[#This Row],[Fecha]]='Ajuste de fechas'!$A$2,"Día actual","Día anterior")</f>
        <v>Día actual</v>
      </c>
      <c r="C35" t="s">
        <v>8</v>
      </c>
      <c r="D35" t="s">
        <v>10</v>
      </c>
      <c r="E35" t="s">
        <v>245</v>
      </c>
      <c r="F35" t="s">
        <v>19</v>
      </c>
      <c r="G35" t="s">
        <v>246</v>
      </c>
      <c r="H35" t="s">
        <v>11</v>
      </c>
      <c r="I35" t="s">
        <v>7</v>
      </c>
      <c r="J35" t="s">
        <v>62</v>
      </c>
      <c r="K35" t="s">
        <v>14</v>
      </c>
      <c r="L35" t="s">
        <v>59</v>
      </c>
      <c r="M35">
        <v>1</v>
      </c>
    </row>
    <row r="36" spans="1:13" hidden="1" x14ac:dyDescent="0.25">
      <c r="A36" s="1">
        <v>46147</v>
      </c>
      <c r="B36" s="1" t="str">
        <f ca="1">IF(Información1[[#This Row],[Fecha]]='Ajuste de fechas'!$A$2,"Día actual","Día anterior")</f>
        <v>Día actual</v>
      </c>
      <c r="C36" t="s">
        <v>32</v>
      </c>
      <c r="D36" t="s">
        <v>35</v>
      </c>
      <c r="E36" t="s">
        <v>247</v>
      </c>
      <c r="F36" t="s">
        <v>23</v>
      </c>
      <c r="G36" t="s">
        <v>83</v>
      </c>
      <c r="H36" t="s">
        <v>11</v>
      </c>
      <c r="I36" t="s">
        <v>7</v>
      </c>
      <c r="J36" t="s">
        <v>58</v>
      </c>
      <c r="K36" t="s">
        <v>33</v>
      </c>
      <c r="L36" t="s">
        <v>59</v>
      </c>
      <c r="M36">
        <v>1</v>
      </c>
    </row>
    <row r="37" spans="1:13" hidden="1" x14ac:dyDescent="0.25">
      <c r="A37" s="1">
        <v>46147</v>
      </c>
      <c r="B37" s="1" t="str">
        <f ca="1">IF(Información1[[#This Row],[Fecha]]='Ajuste de fechas'!$A$2,"Día actual","Día anterior")</f>
        <v>Día actual</v>
      </c>
      <c r="C37" t="s">
        <v>32</v>
      </c>
      <c r="D37" t="s">
        <v>35</v>
      </c>
      <c r="E37" t="s">
        <v>248</v>
      </c>
      <c r="F37" t="s">
        <v>249</v>
      </c>
      <c r="G37" t="s">
        <v>250</v>
      </c>
      <c r="H37" t="s">
        <v>11</v>
      </c>
      <c r="I37" t="s">
        <v>7</v>
      </c>
      <c r="J37" t="s">
        <v>58</v>
      </c>
      <c r="K37" t="s">
        <v>33</v>
      </c>
      <c r="L37" t="s">
        <v>59</v>
      </c>
      <c r="M37">
        <v>1</v>
      </c>
    </row>
    <row r="38" spans="1:13" hidden="1" x14ac:dyDescent="0.25">
      <c r="A38" s="1">
        <v>46147</v>
      </c>
      <c r="B38" s="1" t="str">
        <f ca="1">IF(Información1[[#This Row],[Fecha]]='Ajuste de fechas'!$A$2,"Día actual","Día anterior")</f>
        <v>Día actual</v>
      </c>
      <c r="C38" t="s">
        <v>32</v>
      </c>
      <c r="D38" t="s">
        <v>35</v>
      </c>
      <c r="E38" t="s">
        <v>251</v>
      </c>
      <c r="F38" t="s">
        <v>27</v>
      </c>
      <c r="G38" t="s">
        <v>211</v>
      </c>
      <c r="H38" t="s">
        <v>11</v>
      </c>
      <c r="I38" t="s">
        <v>7</v>
      </c>
      <c r="J38" t="s">
        <v>58</v>
      </c>
      <c r="K38" t="s">
        <v>33</v>
      </c>
      <c r="L38" t="s">
        <v>61</v>
      </c>
      <c r="M38">
        <v>1</v>
      </c>
    </row>
    <row r="39" spans="1:13" hidden="1" x14ac:dyDescent="0.25">
      <c r="A39" s="1">
        <v>46147</v>
      </c>
      <c r="B39" s="1" t="str">
        <f ca="1">IF(Información1[[#This Row],[Fecha]]='Ajuste de fechas'!$A$2,"Día actual","Día anterior")</f>
        <v>Día actual</v>
      </c>
      <c r="C39" t="s">
        <v>79</v>
      </c>
      <c r="D39" t="s">
        <v>96</v>
      </c>
      <c r="E39" t="s">
        <v>251</v>
      </c>
      <c r="F39" t="s">
        <v>27</v>
      </c>
      <c r="G39" t="s">
        <v>211</v>
      </c>
      <c r="H39" t="s">
        <v>11</v>
      </c>
      <c r="I39" t="s">
        <v>7</v>
      </c>
      <c r="J39" t="s">
        <v>58</v>
      </c>
      <c r="K39" t="s">
        <v>97</v>
      </c>
      <c r="L39" t="s">
        <v>61</v>
      </c>
      <c r="M39">
        <v>1</v>
      </c>
    </row>
    <row r="40" spans="1:13" hidden="1" x14ac:dyDescent="0.25">
      <c r="A40" s="1">
        <v>46147</v>
      </c>
      <c r="B40" s="1" t="str">
        <f ca="1">IF(Información1[[#This Row],[Fecha]]='Ajuste de fechas'!$A$2,"Día actual","Día anterior")</f>
        <v>Día actual</v>
      </c>
      <c r="C40" t="s">
        <v>32</v>
      </c>
      <c r="D40" t="s">
        <v>35</v>
      </c>
      <c r="E40" t="s">
        <v>252</v>
      </c>
      <c r="F40" t="s">
        <v>27</v>
      </c>
      <c r="G40" t="s">
        <v>211</v>
      </c>
      <c r="H40" t="s">
        <v>11</v>
      </c>
      <c r="I40" t="s">
        <v>7</v>
      </c>
      <c r="J40" t="s">
        <v>58</v>
      </c>
      <c r="K40" t="s">
        <v>33</v>
      </c>
      <c r="L40" t="s">
        <v>59</v>
      </c>
      <c r="M40">
        <v>1</v>
      </c>
    </row>
    <row r="41" spans="1:13" hidden="1" x14ac:dyDescent="0.25">
      <c r="A41" s="1">
        <v>46147</v>
      </c>
      <c r="B41" s="1" t="str">
        <f ca="1">IF(Información1[[#This Row],[Fecha]]='Ajuste de fechas'!$A$2,"Día actual","Día anterior")</f>
        <v>Día actual</v>
      </c>
      <c r="C41" t="s">
        <v>8</v>
      </c>
      <c r="D41" t="s">
        <v>10</v>
      </c>
      <c r="E41" t="s">
        <v>253</v>
      </c>
      <c r="F41" t="s">
        <v>6</v>
      </c>
      <c r="G41" t="s">
        <v>70</v>
      </c>
      <c r="H41" t="s">
        <v>11</v>
      </c>
      <c r="I41" t="s">
        <v>26</v>
      </c>
      <c r="J41" t="s">
        <v>58</v>
      </c>
      <c r="K41" t="s">
        <v>9</v>
      </c>
      <c r="L41" t="s">
        <v>60</v>
      </c>
      <c r="M41">
        <v>1</v>
      </c>
    </row>
    <row r="42" spans="1:13" hidden="1" x14ac:dyDescent="0.25">
      <c r="A42" s="1">
        <v>46147</v>
      </c>
      <c r="B42" s="1" t="str">
        <f ca="1">IF(Información1[[#This Row],[Fecha]]='Ajuste de fechas'!$A$2,"Día actual","Día anterior")</f>
        <v>Día actual</v>
      </c>
      <c r="C42" t="s">
        <v>8</v>
      </c>
      <c r="D42" t="s">
        <v>10</v>
      </c>
      <c r="E42" t="s">
        <v>254</v>
      </c>
      <c r="F42" t="s">
        <v>6</v>
      </c>
      <c r="G42" t="s">
        <v>70</v>
      </c>
      <c r="H42" t="s">
        <v>11</v>
      </c>
      <c r="I42" t="s">
        <v>26</v>
      </c>
      <c r="J42" t="s">
        <v>58</v>
      </c>
      <c r="K42" t="s">
        <v>9</v>
      </c>
      <c r="L42" t="s">
        <v>60</v>
      </c>
      <c r="M42">
        <v>1</v>
      </c>
    </row>
    <row r="43" spans="1:13" hidden="1" x14ac:dyDescent="0.25">
      <c r="A43" s="1">
        <v>46147</v>
      </c>
      <c r="B43" s="1" t="str">
        <f ca="1">IF(Información1[[#This Row],[Fecha]]='Ajuste de fechas'!$A$2,"Día actual","Día anterior")</f>
        <v>Día actual</v>
      </c>
      <c r="C43" t="s">
        <v>8</v>
      </c>
      <c r="D43" t="s">
        <v>10</v>
      </c>
      <c r="E43" t="s">
        <v>255</v>
      </c>
      <c r="F43" t="s">
        <v>6</v>
      </c>
      <c r="G43" t="s">
        <v>70</v>
      </c>
      <c r="H43" t="s">
        <v>11</v>
      </c>
      <c r="I43" t="s">
        <v>26</v>
      </c>
      <c r="J43" t="s">
        <v>58</v>
      </c>
      <c r="K43" t="s">
        <v>14</v>
      </c>
      <c r="L43" t="s">
        <v>60</v>
      </c>
      <c r="M43">
        <v>1</v>
      </c>
    </row>
    <row r="44" spans="1:13" hidden="1" x14ac:dyDescent="0.25">
      <c r="A44" s="1">
        <v>46147</v>
      </c>
      <c r="B44" s="1" t="str">
        <f ca="1">IF(Información1[[#This Row],[Fecha]]='Ajuste de fechas'!$A$2,"Día actual","Día anterior")</f>
        <v>Día actual</v>
      </c>
      <c r="C44" t="s">
        <v>8</v>
      </c>
      <c r="D44" t="s">
        <v>10</v>
      </c>
      <c r="E44" t="s">
        <v>256</v>
      </c>
      <c r="F44" t="s">
        <v>6</v>
      </c>
      <c r="G44" t="s">
        <v>70</v>
      </c>
      <c r="H44" t="s">
        <v>11</v>
      </c>
      <c r="I44" t="s">
        <v>26</v>
      </c>
      <c r="J44" t="s">
        <v>58</v>
      </c>
      <c r="K44" t="s">
        <v>9</v>
      </c>
      <c r="L44" t="s">
        <v>60</v>
      </c>
      <c r="M44">
        <v>1</v>
      </c>
    </row>
    <row r="45" spans="1:13" hidden="1" x14ac:dyDescent="0.25">
      <c r="A45" s="1">
        <v>46147</v>
      </c>
      <c r="B45" s="1" t="str">
        <f ca="1">IF(Información1[[#This Row],[Fecha]]='Ajuste de fechas'!$A$2,"Día actual","Día anterior")</f>
        <v>Día actual</v>
      </c>
      <c r="C45" t="s">
        <v>8</v>
      </c>
      <c r="D45" t="s">
        <v>10</v>
      </c>
      <c r="E45" t="s">
        <v>257</v>
      </c>
      <c r="F45" t="s">
        <v>6</v>
      </c>
      <c r="G45" t="s">
        <v>70</v>
      </c>
      <c r="H45" t="s">
        <v>11</v>
      </c>
      <c r="I45" t="s">
        <v>7</v>
      </c>
      <c r="J45" t="s">
        <v>58</v>
      </c>
      <c r="K45" t="s">
        <v>14</v>
      </c>
      <c r="L45" t="s">
        <v>60</v>
      </c>
      <c r="M45">
        <v>1</v>
      </c>
    </row>
    <row r="46" spans="1:13" hidden="1" x14ac:dyDescent="0.25">
      <c r="A46" s="1">
        <v>46147</v>
      </c>
      <c r="B46" s="1" t="str">
        <f ca="1">IF(Información1[[#This Row],[Fecha]]='Ajuste de fechas'!$A$2,"Día actual","Día anterior")</f>
        <v>Día actual</v>
      </c>
      <c r="C46" t="s">
        <v>32</v>
      </c>
      <c r="D46" t="s">
        <v>35</v>
      </c>
      <c r="E46" t="s">
        <v>258</v>
      </c>
      <c r="F46" t="s">
        <v>22</v>
      </c>
      <c r="G46" t="s">
        <v>259</v>
      </c>
      <c r="H46" t="s">
        <v>11</v>
      </c>
      <c r="I46" t="s">
        <v>7</v>
      </c>
      <c r="J46" t="s">
        <v>63</v>
      </c>
      <c r="K46" t="s">
        <v>33</v>
      </c>
      <c r="L46" t="s">
        <v>59</v>
      </c>
      <c r="M46">
        <v>1</v>
      </c>
    </row>
    <row r="47" spans="1:13" hidden="1" x14ac:dyDescent="0.25">
      <c r="A47" s="1">
        <v>46147</v>
      </c>
      <c r="B47" s="1" t="str">
        <f ca="1">IF(Información1[[#This Row],[Fecha]]='Ajuste de fechas'!$A$2,"Día actual","Día anterior")</f>
        <v>Día actual</v>
      </c>
      <c r="C47" t="s">
        <v>260</v>
      </c>
      <c r="D47" t="s">
        <v>261</v>
      </c>
      <c r="E47" t="s">
        <v>262</v>
      </c>
      <c r="F47" t="s">
        <v>95</v>
      </c>
      <c r="G47" t="s">
        <v>94</v>
      </c>
      <c r="H47" t="s">
        <v>11</v>
      </c>
      <c r="I47" t="s">
        <v>12</v>
      </c>
      <c r="J47" t="s">
        <v>58</v>
      </c>
      <c r="K47" t="s">
        <v>263</v>
      </c>
      <c r="L47" t="s">
        <v>114</v>
      </c>
      <c r="M47">
        <v>1</v>
      </c>
    </row>
    <row r="48" spans="1:13" hidden="1" x14ac:dyDescent="0.25">
      <c r="A48" s="1">
        <v>46147</v>
      </c>
      <c r="B48" s="1" t="str">
        <f ca="1">IF(Información1[[#This Row],[Fecha]]='Ajuste de fechas'!$A$2,"Día actual","Día anterior")</f>
        <v>Día actual</v>
      </c>
      <c r="C48" t="s">
        <v>32</v>
      </c>
      <c r="D48" t="s">
        <v>35</v>
      </c>
      <c r="E48" t="s">
        <v>264</v>
      </c>
      <c r="F48" t="s">
        <v>265</v>
      </c>
      <c r="G48" t="s">
        <v>88</v>
      </c>
      <c r="H48" t="s">
        <v>11</v>
      </c>
      <c r="I48" t="s">
        <v>7</v>
      </c>
      <c r="J48" t="s">
        <v>58</v>
      </c>
      <c r="K48" t="s">
        <v>33</v>
      </c>
      <c r="L48" t="s">
        <v>59</v>
      </c>
      <c r="M48">
        <v>1</v>
      </c>
    </row>
    <row r="49" spans="1:13" hidden="1" x14ac:dyDescent="0.25">
      <c r="A49" s="1">
        <v>46147</v>
      </c>
      <c r="B49" s="1" t="str">
        <f ca="1">IF(Información1[[#This Row],[Fecha]]='Ajuste de fechas'!$A$2,"Día actual","Día anterior")</f>
        <v>Día actual</v>
      </c>
      <c r="C49" t="s">
        <v>32</v>
      </c>
      <c r="D49" t="s">
        <v>35</v>
      </c>
      <c r="E49" t="s">
        <v>266</v>
      </c>
      <c r="F49" t="s">
        <v>27</v>
      </c>
      <c r="G49" t="s">
        <v>88</v>
      </c>
      <c r="H49" t="s">
        <v>11</v>
      </c>
      <c r="I49" t="s">
        <v>7</v>
      </c>
      <c r="J49" t="s">
        <v>58</v>
      </c>
      <c r="K49" t="s">
        <v>33</v>
      </c>
      <c r="L49" t="s">
        <v>59</v>
      </c>
      <c r="M49">
        <v>1</v>
      </c>
    </row>
    <row r="50" spans="1:13" hidden="1" x14ac:dyDescent="0.25">
      <c r="A50" s="1">
        <v>46147</v>
      </c>
      <c r="B50" s="1" t="str">
        <f ca="1">IF(Información1[[#This Row],[Fecha]]='Ajuste de fechas'!$A$2,"Día actual","Día anterior")</f>
        <v>Día actual</v>
      </c>
      <c r="C50" t="s">
        <v>8</v>
      </c>
      <c r="D50" t="s">
        <v>10</v>
      </c>
      <c r="E50" t="s">
        <v>241</v>
      </c>
      <c r="F50" t="s">
        <v>17</v>
      </c>
      <c r="G50" t="s">
        <v>89</v>
      </c>
      <c r="H50" t="s">
        <v>11</v>
      </c>
      <c r="I50" t="s">
        <v>12</v>
      </c>
      <c r="J50" t="s">
        <v>58</v>
      </c>
      <c r="K50" t="s">
        <v>14</v>
      </c>
      <c r="L50" t="s">
        <v>114</v>
      </c>
      <c r="M50">
        <v>1</v>
      </c>
    </row>
    <row r="51" spans="1:13" hidden="1" x14ac:dyDescent="0.25">
      <c r="A51" s="1">
        <v>46147</v>
      </c>
      <c r="B51" s="1" t="str">
        <f ca="1">IF(Información1[[#This Row],[Fecha]]='Ajuste de fechas'!$A$2,"Día actual","Día anterior")</f>
        <v>Día actual</v>
      </c>
      <c r="C51" t="s">
        <v>8</v>
      </c>
      <c r="D51" t="s">
        <v>10</v>
      </c>
      <c r="E51" t="s">
        <v>267</v>
      </c>
      <c r="F51" t="s">
        <v>22</v>
      </c>
      <c r="G51" t="s">
        <v>268</v>
      </c>
      <c r="H51" t="s">
        <v>11</v>
      </c>
      <c r="I51" t="s">
        <v>7</v>
      </c>
      <c r="J51" t="s">
        <v>63</v>
      </c>
      <c r="K51" t="s">
        <v>14</v>
      </c>
      <c r="L51" t="s">
        <v>59</v>
      </c>
      <c r="M51">
        <v>1</v>
      </c>
    </row>
    <row r="52" spans="1:13" hidden="1" x14ac:dyDescent="0.25">
      <c r="A52" s="1">
        <v>46147</v>
      </c>
      <c r="B52" s="1" t="str">
        <f ca="1">IF(Información1[[#This Row],[Fecha]]='Ajuste de fechas'!$A$2,"Día actual","Día anterior")</f>
        <v>Día actual</v>
      </c>
      <c r="C52" t="s">
        <v>32</v>
      </c>
      <c r="D52" t="s">
        <v>35</v>
      </c>
      <c r="E52" t="s">
        <v>269</v>
      </c>
      <c r="F52" t="s">
        <v>19</v>
      </c>
      <c r="G52" t="s">
        <v>91</v>
      </c>
      <c r="H52" t="s">
        <v>11</v>
      </c>
      <c r="I52" t="s">
        <v>7</v>
      </c>
      <c r="J52" t="s">
        <v>62</v>
      </c>
      <c r="K52" t="s">
        <v>33</v>
      </c>
      <c r="L52" t="s">
        <v>59</v>
      </c>
      <c r="M52">
        <v>1</v>
      </c>
    </row>
    <row r="53" spans="1:13" hidden="1" x14ac:dyDescent="0.25">
      <c r="A53" s="1">
        <v>46147</v>
      </c>
      <c r="B53" s="1" t="str">
        <f ca="1">IF(Información1[[#This Row],[Fecha]]='Ajuste de fechas'!$A$2,"Día actual","Día anterior")</f>
        <v>Día actual</v>
      </c>
      <c r="C53" t="s">
        <v>32</v>
      </c>
      <c r="D53" t="s">
        <v>35</v>
      </c>
      <c r="E53" t="s">
        <v>270</v>
      </c>
      <c r="F53" t="s">
        <v>71</v>
      </c>
      <c r="G53" t="s">
        <v>186</v>
      </c>
      <c r="H53" t="s">
        <v>11</v>
      </c>
      <c r="I53" t="s">
        <v>7</v>
      </c>
      <c r="J53" t="s">
        <v>58</v>
      </c>
      <c r="K53" t="s">
        <v>33</v>
      </c>
      <c r="L53" t="s">
        <v>59</v>
      </c>
      <c r="M53">
        <v>1</v>
      </c>
    </row>
    <row r="54" spans="1:13" hidden="1" x14ac:dyDescent="0.25">
      <c r="A54" s="1">
        <v>46147</v>
      </c>
      <c r="B54" s="1" t="str">
        <f ca="1">IF(Información1[[#This Row],[Fecha]]='Ajuste de fechas'!$A$2,"Día actual","Día anterior")</f>
        <v>Día actual</v>
      </c>
      <c r="C54" t="s">
        <v>8</v>
      </c>
      <c r="D54" t="s">
        <v>10</v>
      </c>
      <c r="E54" t="s">
        <v>271</v>
      </c>
      <c r="F54" t="s">
        <v>17</v>
      </c>
      <c r="G54" t="s">
        <v>272</v>
      </c>
      <c r="H54" t="s">
        <v>11</v>
      </c>
      <c r="I54" t="s">
        <v>26</v>
      </c>
      <c r="J54" t="s">
        <v>58</v>
      </c>
      <c r="K54" t="s">
        <v>9</v>
      </c>
      <c r="L54" t="s">
        <v>60</v>
      </c>
      <c r="M54">
        <v>1</v>
      </c>
    </row>
    <row r="55" spans="1:13" hidden="1" x14ac:dyDescent="0.25">
      <c r="A55" s="1">
        <v>46147</v>
      </c>
      <c r="B55" s="1" t="str">
        <f ca="1">IF(Información1[[#This Row],[Fecha]]='Ajuste de fechas'!$A$2,"Día actual","Día anterior")</f>
        <v>Día actual</v>
      </c>
      <c r="C55" t="s">
        <v>8</v>
      </c>
      <c r="D55" t="s">
        <v>10</v>
      </c>
      <c r="E55" t="s">
        <v>273</v>
      </c>
      <c r="F55" t="s">
        <v>17</v>
      </c>
      <c r="G55" t="s">
        <v>272</v>
      </c>
      <c r="H55" t="s">
        <v>11</v>
      </c>
      <c r="I55" t="s">
        <v>26</v>
      </c>
      <c r="J55" t="s">
        <v>58</v>
      </c>
      <c r="K55" t="s">
        <v>9</v>
      </c>
      <c r="L55" t="s">
        <v>60</v>
      </c>
      <c r="M55">
        <v>1</v>
      </c>
    </row>
    <row r="56" spans="1:13" hidden="1" x14ac:dyDescent="0.25">
      <c r="A56" s="1">
        <v>46147</v>
      </c>
      <c r="B56" s="1" t="str">
        <f ca="1">IF(Información1[[#This Row],[Fecha]]='Ajuste de fechas'!$A$2,"Día actual","Día anterior")</f>
        <v>Día actual</v>
      </c>
      <c r="C56" t="s">
        <v>32</v>
      </c>
      <c r="D56" t="s">
        <v>35</v>
      </c>
      <c r="E56" t="s">
        <v>274</v>
      </c>
      <c r="F56" t="s">
        <v>19</v>
      </c>
      <c r="G56" t="s">
        <v>90</v>
      </c>
      <c r="H56" t="s">
        <v>11</v>
      </c>
      <c r="I56" t="s">
        <v>7</v>
      </c>
      <c r="J56" t="s">
        <v>62</v>
      </c>
      <c r="K56" t="s">
        <v>33</v>
      </c>
      <c r="L56" t="s">
        <v>59</v>
      </c>
      <c r="M56">
        <v>1</v>
      </c>
    </row>
    <row r="57" spans="1:13" hidden="1" x14ac:dyDescent="0.25">
      <c r="A57" s="1">
        <v>46147</v>
      </c>
      <c r="B57" s="1" t="str">
        <f ca="1">IF(Información1[[#This Row],[Fecha]]='Ajuste de fechas'!$A$2,"Día actual","Día anterior")</f>
        <v>Día actual</v>
      </c>
      <c r="C57" t="s">
        <v>8</v>
      </c>
      <c r="D57" t="s">
        <v>10</v>
      </c>
      <c r="E57" t="s">
        <v>275</v>
      </c>
      <c r="F57" t="s">
        <v>19</v>
      </c>
      <c r="G57" t="s">
        <v>90</v>
      </c>
      <c r="H57" t="s">
        <v>11</v>
      </c>
      <c r="I57" t="s">
        <v>7</v>
      </c>
      <c r="J57" t="s">
        <v>62</v>
      </c>
      <c r="K57" t="s">
        <v>14</v>
      </c>
      <c r="L57" t="s">
        <v>59</v>
      </c>
      <c r="M57">
        <v>1</v>
      </c>
    </row>
    <row r="58" spans="1:13" hidden="1" x14ac:dyDescent="0.25">
      <c r="A58" s="1">
        <v>46147</v>
      </c>
      <c r="B58" s="1" t="str">
        <f ca="1">IF(Información1[[#This Row],[Fecha]]='Ajuste de fechas'!$A$2,"Día actual","Día anterior")</f>
        <v>Día actual</v>
      </c>
      <c r="C58" t="s">
        <v>32</v>
      </c>
      <c r="D58" t="s">
        <v>35</v>
      </c>
      <c r="E58" t="s">
        <v>276</v>
      </c>
      <c r="F58" t="s">
        <v>27</v>
      </c>
      <c r="G58" t="s">
        <v>219</v>
      </c>
      <c r="H58" t="s">
        <v>11</v>
      </c>
      <c r="I58" t="s">
        <v>7</v>
      </c>
      <c r="J58" t="s">
        <v>58</v>
      </c>
      <c r="K58" t="s">
        <v>33</v>
      </c>
      <c r="L58" t="s">
        <v>59</v>
      </c>
      <c r="M58">
        <v>1</v>
      </c>
    </row>
    <row r="59" spans="1:13" hidden="1" x14ac:dyDescent="0.25">
      <c r="A59" s="1">
        <v>46147</v>
      </c>
      <c r="B59" s="1" t="str">
        <f ca="1">IF(Información1[[#This Row],[Fecha]]='Ajuste de fechas'!$A$2,"Día actual","Día anterior")</f>
        <v>Día actual</v>
      </c>
      <c r="C59" t="s">
        <v>8</v>
      </c>
      <c r="D59" t="s">
        <v>10</v>
      </c>
      <c r="E59" t="s">
        <v>277</v>
      </c>
      <c r="F59" t="s">
        <v>27</v>
      </c>
      <c r="G59" t="s">
        <v>219</v>
      </c>
      <c r="H59" t="s">
        <v>11</v>
      </c>
      <c r="I59" t="s">
        <v>7</v>
      </c>
      <c r="J59" t="s">
        <v>58</v>
      </c>
      <c r="K59" t="s">
        <v>14</v>
      </c>
      <c r="L59" t="s">
        <v>61</v>
      </c>
      <c r="M59">
        <v>1</v>
      </c>
    </row>
    <row r="60" spans="1:13" hidden="1" x14ac:dyDescent="0.25">
      <c r="A60" s="1">
        <v>46147</v>
      </c>
      <c r="B60" s="1" t="str">
        <f ca="1">IF(Información1[[#This Row],[Fecha]]='Ajuste de fechas'!$A$2,"Día actual","Día anterior")</f>
        <v>Día actual</v>
      </c>
      <c r="C60" t="s">
        <v>32</v>
      </c>
      <c r="D60" t="s">
        <v>35</v>
      </c>
      <c r="E60" t="s">
        <v>278</v>
      </c>
      <c r="F60" t="s">
        <v>27</v>
      </c>
      <c r="G60" t="s">
        <v>189</v>
      </c>
      <c r="H60" t="s">
        <v>11</v>
      </c>
      <c r="I60" t="s">
        <v>7</v>
      </c>
      <c r="J60" t="s">
        <v>58</v>
      </c>
      <c r="K60" t="s">
        <v>33</v>
      </c>
      <c r="L60" t="s">
        <v>59</v>
      </c>
      <c r="M60">
        <v>2</v>
      </c>
    </row>
    <row r="61" spans="1:13" hidden="1" x14ac:dyDescent="0.25">
      <c r="A61" s="1">
        <v>46147</v>
      </c>
      <c r="B61" s="1" t="str">
        <f ca="1">IF(Información1[[#This Row],[Fecha]]='Ajuste de fechas'!$A$2,"Día actual","Día anterior")</f>
        <v>Día actual</v>
      </c>
      <c r="C61" t="s">
        <v>92</v>
      </c>
      <c r="D61" t="s">
        <v>96</v>
      </c>
      <c r="E61" t="s">
        <v>230</v>
      </c>
      <c r="F61" t="s">
        <v>84</v>
      </c>
      <c r="G61" t="s">
        <v>231</v>
      </c>
      <c r="H61" t="s">
        <v>11</v>
      </c>
      <c r="I61" t="s">
        <v>7</v>
      </c>
      <c r="J61" t="s">
        <v>58</v>
      </c>
      <c r="K61" t="s">
        <v>97</v>
      </c>
      <c r="L61" t="s">
        <v>61</v>
      </c>
      <c r="M61">
        <v>1</v>
      </c>
    </row>
    <row r="62" spans="1:13" hidden="1" x14ac:dyDescent="0.25">
      <c r="A62" s="1">
        <v>46147</v>
      </c>
      <c r="B62" s="1" t="str">
        <f ca="1">IF(Información1[[#This Row],[Fecha]]='Ajuste de fechas'!$A$2,"Día actual","Día anterior")</f>
        <v>Día actual</v>
      </c>
      <c r="C62" t="s">
        <v>32</v>
      </c>
      <c r="D62" t="s">
        <v>35</v>
      </c>
      <c r="E62" t="s">
        <v>279</v>
      </c>
      <c r="F62" t="s">
        <v>84</v>
      </c>
      <c r="G62" t="s">
        <v>231</v>
      </c>
      <c r="H62" t="s">
        <v>11</v>
      </c>
      <c r="I62" t="s">
        <v>7</v>
      </c>
      <c r="J62" t="s">
        <v>58</v>
      </c>
      <c r="K62" t="s">
        <v>33</v>
      </c>
      <c r="L62" t="s">
        <v>59</v>
      </c>
      <c r="M62">
        <v>1</v>
      </c>
    </row>
    <row r="63" spans="1:13" hidden="1" x14ac:dyDescent="0.25">
      <c r="A63" s="1">
        <v>46147</v>
      </c>
      <c r="B63" s="1" t="str">
        <f ca="1">IF(Información1[[#This Row],[Fecha]]='Ajuste de fechas'!$A$2,"Día actual","Día anterior")</f>
        <v>Día actual</v>
      </c>
      <c r="C63" t="s">
        <v>32</v>
      </c>
      <c r="D63" t="s">
        <v>35</v>
      </c>
      <c r="E63" t="s">
        <v>280</v>
      </c>
      <c r="F63" t="s">
        <v>22</v>
      </c>
      <c r="G63" t="s">
        <v>281</v>
      </c>
      <c r="H63" t="s">
        <v>11</v>
      </c>
      <c r="I63" t="s">
        <v>7</v>
      </c>
      <c r="J63" t="s">
        <v>63</v>
      </c>
      <c r="K63" t="s">
        <v>33</v>
      </c>
      <c r="L63" t="s">
        <v>59</v>
      </c>
      <c r="M63">
        <v>1</v>
      </c>
    </row>
    <row r="64" spans="1:13" hidden="1" x14ac:dyDescent="0.25">
      <c r="A64" s="1">
        <v>46147</v>
      </c>
      <c r="B64" s="1" t="str">
        <f ca="1">IF(Información1[[#This Row],[Fecha]]='Ajuste de fechas'!$A$2,"Día actual","Día anterior")</f>
        <v>Día actual</v>
      </c>
      <c r="C64" t="s">
        <v>32</v>
      </c>
      <c r="D64" t="s">
        <v>35</v>
      </c>
      <c r="E64" t="s">
        <v>282</v>
      </c>
      <c r="F64" t="s">
        <v>208</v>
      </c>
      <c r="G64" t="s">
        <v>209</v>
      </c>
      <c r="H64" t="s">
        <v>11</v>
      </c>
      <c r="I64" t="s">
        <v>7</v>
      </c>
      <c r="J64" t="s">
        <v>58</v>
      </c>
      <c r="K64" t="s">
        <v>33</v>
      </c>
      <c r="L64" t="s">
        <v>61</v>
      </c>
      <c r="M64">
        <v>1</v>
      </c>
    </row>
    <row r="65" spans="1:13" hidden="1" x14ac:dyDescent="0.25">
      <c r="A65" s="1">
        <v>46146</v>
      </c>
      <c r="B65" s="1" t="str">
        <f ca="1">IF(Información1[[#This Row],[Fecha]]='Ajuste de fechas'!$A$2,"Día actual","Día anterior")</f>
        <v>Día anterior</v>
      </c>
      <c r="C65" t="s">
        <v>41</v>
      </c>
      <c r="D65" t="s">
        <v>44</v>
      </c>
      <c r="E65" t="s">
        <v>98</v>
      </c>
      <c r="F65" t="s">
        <v>17</v>
      </c>
      <c r="G65" t="s">
        <v>99</v>
      </c>
      <c r="H65" t="s">
        <v>11</v>
      </c>
      <c r="I65" t="s">
        <v>7</v>
      </c>
      <c r="J65" t="s">
        <v>58</v>
      </c>
      <c r="K65" t="s">
        <v>42</v>
      </c>
      <c r="L65" t="s">
        <v>59</v>
      </c>
      <c r="M65">
        <v>1</v>
      </c>
    </row>
    <row r="66" spans="1:13" hidden="1" x14ac:dyDescent="0.25">
      <c r="A66" s="1">
        <v>46146</v>
      </c>
      <c r="B66" s="1" t="str">
        <f ca="1">IF(Información1[[#This Row],[Fecha]]='Ajuste de fechas'!$A$2,"Día actual","Día anterior")</f>
        <v>Día anterior</v>
      </c>
      <c r="C66" t="s">
        <v>41</v>
      </c>
      <c r="D66" t="s">
        <v>44</v>
      </c>
      <c r="E66" t="s">
        <v>100</v>
      </c>
      <c r="F66" t="s">
        <v>17</v>
      </c>
      <c r="G66" t="s">
        <v>99</v>
      </c>
      <c r="H66" t="s">
        <v>11</v>
      </c>
      <c r="I66" t="s">
        <v>7</v>
      </c>
      <c r="J66" t="s">
        <v>58</v>
      </c>
      <c r="K66" t="s">
        <v>9</v>
      </c>
      <c r="L66" t="s">
        <v>60</v>
      </c>
      <c r="M66">
        <v>1</v>
      </c>
    </row>
    <row r="67" spans="1:13" hidden="1" x14ac:dyDescent="0.25">
      <c r="A67" s="1">
        <v>46146</v>
      </c>
      <c r="B67" s="1" t="str">
        <f ca="1">IF(Información1[[#This Row],[Fecha]]='Ajuste de fechas'!$A$2,"Día actual","Día anterior")</f>
        <v>Día anterior</v>
      </c>
      <c r="C67" t="s">
        <v>41</v>
      </c>
      <c r="D67" t="s">
        <v>44</v>
      </c>
      <c r="E67" t="s">
        <v>101</v>
      </c>
      <c r="F67" t="s">
        <v>17</v>
      </c>
      <c r="G67" t="s">
        <v>99</v>
      </c>
      <c r="H67" t="s">
        <v>11</v>
      </c>
      <c r="I67" t="s">
        <v>7</v>
      </c>
      <c r="J67" t="s">
        <v>58</v>
      </c>
      <c r="K67" t="s">
        <v>9</v>
      </c>
      <c r="L67" t="s">
        <v>60</v>
      </c>
      <c r="M67">
        <v>1</v>
      </c>
    </row>
    <row r="68" spans="1:13" hidden="1" x14ac:dyDescent="0.25">
      <c r="A68" s="1">
        <v>46146</v>
      </c>
      <c r="B68" s="1" t="str">
        <f ca="1">IF(Información1[[#This Row],[Fecha]]='Ajuste de fechas'!$A$2,"Día actual","Día anterior")</f>
        <v>Día anterior</v>
      </c>
      <c r="C68" t="s">
        <v>41</v>
      </c>
      <c r="D68" t="s">
        <v>44</v>
      </c>
      <c r="E68" t="s">
        <v>102</v>
      </c>
      <c r="F68" t="s">
        <v>17</v>
      </c>
      <c r="G68" t="s">
        <v>99</v>
      </c>
      <c r="H68" t="s">
        <v>11</v>
      </c>
      <c r="I68" t="s">
        <v>7</v>
      </c>
      <c r="J68" t="s">
        <v>58</v>
      </c>
      <c r="K68" t="s">
        <v>42</v>
      </c>
      <c r="L68" t="s">
        <v>59</v>
      </c>
      <c r="M68">
        <v>1</v>
      </c>
    </row>
    <row r="69" spans="1:13" hidden="1" x14ac:dyDescent="0.25">
      <c r="A69" s="1">
        <v>46146</v>
      </c>
      <c r="B69" s="1" t="str">
        <f ca="1">IF(Información1[[#This Row],[Fecha]]='Ajuste de fechas'!$A$2,"Día actual","Día anterior")</f>
        <v>Día anterior</v>
      </c>
      <c r="C69" t="s">
        <v>29</v>
      </c>
      <c r="D69" t="s">
        <v>31</v>
      </c>
      <c r="E69" t="s">
        <v>103</v>
      </c>
      <c r="F69" t="s">
        <v>25</v>
      </c>
      <c r="G69" t="s">
        <v>104</v>
      </c>
      <c r="H69" t="s">
        <v>11</v>
      </c>
      <c r="I69" t="s">
        <v>7</v>
      </c>
      <c r="J69" t="s">
        <v>25</v>
      </c>
      <c r="K69" t="s">
        <v>30</v>
      </c>
      <c r="L69" t="s">
        <v>59</v>
      </c>
      <c r="M69">
        <v>1</v>
      </c>
    </row>
    <row r="70" spans="1:13" x14ac:dyDescent="0.25">
      <c r="A70" s="1">
        <v>46146</v>
      </c>
      <c r="B70" s="1" t="str">
        <f ca="1">IF(Información1[[#This Row],[Fecha]]='Ajuste de fechas'!$A$2,"Día actual","Día anterior")</f>
        <v>Día anterior</v>
      </c>
      <c r="C70" t="s">
        <v>29</v>
      </c>
      <c r="D70" t="s">
        <v>31</v>
      </c>
      <c r="E70" t="s">
        <v>105</v>
      </c>
      <c r="F70" t="s">
        <v>204</v>
      </c>
      <c r="G70" t="s">
        <v>77</v>
      </c>
      <c r="H70" t="s">
        <v>11</v>
      </c>
      <c r="I70" t="s">
        <v>7</v>
      </c>
      <c r="J70" t="s">
        <v>58</v>
      </c>
      <c r="K70" t="s">
        <v>30</v>
      </c>
      <c r="L70" t="s">
        <v>59</v>
      </c>
      <c r="M70">
        <v>1</v>
      </c>
    </row>
    <row r="71" spans="1:13" hidden="1" x14ac:dyDescent="0.25">
      <c r="A71" s="1">
        <v>46146</v>
      </c>
      <c r="B71" s="1" t="str">
        <f ca="1">IF(Información1[[#This Row],[Fecha]]='Ajuste de fechas'!$A$2,"Día actual","Día anterior")</f>
        <v>Día anterior</v>
      </c>
      <c r="C71" t="s">
        <v>29</v>
      </c>
      <c r="D71" t="s">
        <v>31</v>
      </c>
      <c r="E71" t="s">
        <v>106</v>
      </c>
      <c r="F71" t="s">
        <v>17</v>
      </c>
      <c r="G71" t="s">
        <v>77</v>
      </c>
      <c r="H71" t="s">
        <v>11</v>
      </c>
      <c r="I71" t="s">
        <v>7</v>
      </c>
      <c r="J71" t="s">
        <v>58</v>
      </c>
      <c r="K71" t="s">
        <v>30</v>
      </c>
      <c r="L71" t="s">
        <v>59</v>
      </c>
      <c r="M71">
        <v>1</v>
      </c>
    </row>
    <row r="72" spans="1:13" x14ac:dyDescent="0.25">
      <c r="A72" s="1">
        <v>46146</v>
      </c>
      <c r="B72" s="1" t="str">
        <f ca="1">IF(Información1[[#This Row],[Fecha]]='Ajuste de fechas'!$A$2,"Día actual","Día anterior")</f>
        <v>Día anterior</v>
      </c>
      <c r="C72" t="s">
        <v>29</v>
      </c>
      <c r="D72" t="s">
        <v>31</v>
      </c>
      <c r="E72" t="s">
        <v>107</v>
      </c>
      <c r="F72" t="s">
        <v>204</v>
      </c>
      <c r="G72" t="s">
        <v>77</v>
      </c>
      <c r="H72" t="s">
        <v>11</v>
      </c>
      <c r="I72" t="s">
        <v>7</v>
      </c>
      <c r="J72" t="s">
        <v>58</v>
      </c>
      <c r="K72" t="s">
        <v>30</v>
      </c>
      <c r="L72" t="s">
        <v>59</v>
      </c>
      <c r="M72">
        <v>1</v>
      </c>
    </row>
    <row r="73" spans="1:13" hidden="1" x14ac:dyDescent="0.25">
      <c r="A73" s="1">
        <v>46146</v>
      </c>
      <c r="B73" s="1" t="str">
        <f ca="1">IF(Información1[[#This Row],[Fecha]]='Ajuste de fechas'!$A$2,"Día actual","Día anterior")</f>
        <v>Día anterior</v>
      </c>
      <c r="C73" t="s">
        <v>29</v>
      </c>
      <c r="D73" t="s">
        <v>31</v>
      </c>
      <c r="E73" t="s">
        <v>108</v>
      </c>
      <c r="F73" t="s">
        <v>23</v>
      </c>
      <c r="G73" t="s">
        <v>109</v>
      </c>
      <c r="H73" t="s">
        <v>11</v>
      </c>
      <c r="I73" t="s">
        <v>7</v>
      </c>
      <c r="J73" t="s">
        <v>58</v>
      </c>
      <c r="K73" t="s">
        <v>30</v>
      </c>
      <c r="L73" t="s">
        <v>59</v>
      </c>
      <c r="M73">
        <v>1</v>
      </c>
    </row>
    <row r="74" spans="1:13" hidden="1" x14ac:dyDescent="0.25">
      <c r="A74" s="1">
        <v>46146</v>
      </c>
      <c r="B74" s="1" t="str">
        <f ca="1">IF(Información1[[#This Row],[Fecha]]='Ajuste de fechas'!$A$2,"Día actual","Día anterior")</f>
        <v>Día anterior</v>
      </c>
      <c r="C74" t="s">
        <v>29</v>
      </c>
      <c r="D74" t="s">
        <v>31</v>
      </c>
      <c r="E74" t="s">
        <v>110</v>
      </c>
      <c r="F74" t="s">
        <v>27</v>
      </c>
      <c r="G74" t="s">
        <v>109</v>
      </c>
      <c r="H74" t="s">
        <v>11</v>
      </c>
      <c r="I74" t="s">
        <v>7</v>
      </c>
      <c r="J74" t="s">
        <v>58</v>
      </c>
      <c r="K74" t="s">
        <v>30</v>
      </c>
      <c r="L74" t="s">
        <v>59</v>
      </c>
      <c r="M74">
        <v>1</v>
      </c>
    </row>
    <row r="75" spans="1:13" hidden="1" x14ac:dyDescent="0.25">
      <c r="A75" s="1">
        <v>46146</v>
      </c>
      <c r="B75" s="1" t="str">
        <f ca="1">IF(Información1[[#This Row],[Fecha]]='Ajuste de fechas'!$A$2,"Día actual","Día anterior")</f>
        <v>Día anterior</v>
      </c>
      <c r="C75" t="s">
        <v>29</v>
      </c>
      <c r="D75" t="s">
        <v>31</v>
      </c>
      <c r="E75" t="s">
        <v>111</v>
      </c>
      <c r="F75" t="s">
        <v>81</v>
      </c>
      <c r="G75" t="s">
        <v>112</v>
      </c>
      <c r="H75" t="s">
        <v>11</v>
      </c>
      <c r="I75" t="s">
        <v>7</v>
      </c>
      <c r="J75" t="s">
        <v>58</v>
      </c>
      <c r="K75" t="s">
        <v>30</v>
      </c>
      <c r="L75" t="s">
        <v>61</v>
      </c>
      <c r="M75">
        <v>1</v>
      </c>
    </row>
    <row r="76" spans="1:13" hidden="1" x14ac:dyDescent="0.25">
      <c r="A76" s="1">
        <v>46146</v>
      </c>
      <c r="B76" s="1" t="str">
        <f ca="1">IF(Información1[[#This Row],[Fecha]]='Ajuste de fechas'!$A$2,"Día actual","Día anterior")</f>
        <v>Día anterior</v>
      </c>
      <c r="C76" t="s">
        <v>29</v>
      </c>
      <c r="D76" t="s">
        <v>31</v>
      </c>
      <c r="E76" t="s">
        <v>113</v>
      </c>
      <c r="F76" t="s">
        <v>95</v>
      </c>
      <c r="G76" t="s">
        <v>94</v>
      </c>
      <c r="H76" t="s">
        <v>11</v>
      </c>
      <c r="I76" t="s">
        <v>12</v>
      </c>
      <c r="J76" t="s">
        <v>58</v>
      </c>
      <c r="K76" t="s">
        <v>30</v>
      </c>
      <c r="L76" t="s">
        <v>114</v>
      </c>
      <c r="M76">
        <v>1</v>
      </c>
    </row>
    <row r="77" spans="1:13" hidden="1" x14ac:dyDescent="0.25">
      <c r="A77" s="1">
        <v>46146</v>
      </c>
      <c r="B77" s="1" t="str">
        <f ca="1">IF(Información1[[#This Row],[Fecha]]='Ajuste de fechas'!$A$2,"Día actual","Día anterior")</f>
        <v>Día anterior</v>
      </c>
      <c r="C77" t="s">
        <v>41</v>
      </c>
      <c r="D77" t="s">
        <v>43</v>
      </c>
      <c r="E77" t="s">
        <v>115</v>
      </c>
      <c r="F77" t="s">
        <v>22</v>
      </c>
      <c r="G77" t="s">
        <v>116</v>
      </c>
      <c r="H77" t="s">
        <v>11</v>
      </c>
      <c r="I77" t="s">
        <v>7</v>
      </c>
      <c r="J77" t="s">
        <v>63</v>
      </c>
      <c r="K77" t="s">
        <v>42</v>
      </c>
      <c r="L77" t="s">
        <v>59</v>
      </c>
      <c r="M77">
        <v>1</v>
      </c>
    </row>
    <row r="78" spans="1:13" hidden="1" x14ac:dyDescent="0.25">
      <c r="A78" s="1">
        <v>46146</v>
      </c>
      <c r="B78" s="1" t="str">
        <f ca="1">IF(Información1[[#This Row],[Fecha]]='Ajuste de fechas'!$A$2,"Día actual","Día anterior")</f>
        <v>Día anterior</v>
      </c>
      <c r="C78" t="s">
        <v>41</v>
      </c>
      <c r="D78" t="s">
        <v>43</v>
      </c>
      <c r="E78" t="s">
        <v>117</v>
      </c>
      <c r="F78" t="s">
        <v>19</v>
      </c>
      <c r="G78" t="s">
        <v>118</v>
      </c>
      <c r="H78" t="s">
        <v>11</v>
      </c>
      <c r="I78" t="s">
        <v>7</v>
      </c>
      <c r="J78" t="s">
        <v>62</v>
      </c>
      <c r="K78" t="s">
        <v>36</v>
      </c>
      <c r="L78" t="s">
        <v>59</v>
      </c>
      <c r="M78">
        <v>1</v>
      </c>
    </row>
    <row r="79" spans="1:13" hidden="1" x14ac:dyDescent="0.25">
      <c r="A79" s="1">
        <v>46146</v>
      </c>
      <c r="B79" s="1" t="str">
        <f ca="1">IF(Información1[[#This Row],[Fecha]]='Ajuste de fechas'!$A$2,"Día actual","Día anterior")</f>
        <v>Día anterior</v>
      </c>
      <c r="C79" t="s">
        <v>41</v>
      </c>
      <c r="D79" t="s">
        <v>43</v>
      </c>
      <c r="E79" t="s">
        <v>119</v>
      </c>
      <c r="F79" t="s">
        <v>85</v>
      </c>
      <c r="G79" t="s">
        <v>77</v>
      </c>
      <c r="H79" t="s">
        <v>11</v>
      </c>
      <c r="I79" t="s">
        <v>7</v>
      </c>
      <c r="J79" t="s">
        <v>25</v>
      </c>
      <c r="K79" t="s">
        <v>36</v>
      </c>
      <c r="L79" t="s">
        <v>59</v>
      </c>
      <c r="M79">
        <v>1</v>
      </c>
    </row>
    <row r="80" spans="1:13" hidden="1" x14ac:dyDescent="0.25">
      <c r="A80" s="1">
        <v>46146</v>
      </c>
      <c r="B80" s="1" t="str">
        <f ca="1">IF(Información1[[#This Row],[Fecha]]='Ajuste de fechas'!$A$2,"Día actual","Día anterior")</f>
        <v>Día anterior</v>
      </c>
      <c r="C80" t="s">
        <v>41</v>
      </c>
      <c r="D80" t="s">
        <v>43</v>
      </c>
      <c r="E80" t="s">
        <v>120</v>
      </c>
      <c r="F80" t="s">
        <v>17</v>
      </c>
      <c r="G80" t="s">
        <v>77</v>
      </c>
      <c r="H80" t="s">
        <v>11</v>
      </c>
      <c r="I80" t="s">
        <v>7</v>
      </c>
      <c r="J80" t="s">
        <v>58</v>
      </c>
      <c r="K80" t="s">
        <v>36</v>
      </c>
      <c r="L80" t="s">
        <v>59</v>
      </c>
      <c r="M80">
        <v>1</v>
      </c>
    </row>
    <row r="81" spans="1:13" x14ac:dyDescent="0.25">
      <c r="A81" s="1">
        <v>46146</v>
      </c>
      <c r="B81" s="1" t="str">
        <f ca="1">IF(Información1[[#This Row],[Fecha]]='Ajuste de fechas'!$A$2,"Día actual","Día anterior")</f>
        <v>Día anterior</v>
      </c>
      <c r="C81" t="s">
        <v>41</v>
      </c>
      <c r="D81" t="s">
        <v>43</v>
      </c>
      <c r="E81" t="s">
        <v>121</v>
      </c>
      <c r="F81" t="s">
        <v>204</v>
      </c>
      <c r="G81" t="s">
        <v>77</v>
      </c>
      <c r="H81" t="s">
        <v>11</v>
      </c>
      <c r="I81" t="s">
        <v>7</v>
      </c>
      <c r="J81" t="s">
        <v>58</v>
      </c>
      <c r="K81" t="s">
        <v>36</v>
      </c>
      <c r="L81" t="s">
        <v>59</v>
      </c>
      <c r="M81">
        <v>1</v>
      </c>
    </row>
    <row r="82" spans="1:13" x14ac:dyDescent="0.25">
      <c r="A82" s="1">
        <v>46146</v>
      </c>
      <c r="B82" s="1" t="str">
        <f ca="1">IF(Información1[[#This Row],[Fecha]]='Ajuste de fechas'!$A$2,"Día actual","Día anterior")</f>
        <v>Día anterior</v>
      </c>
      <c r="C82" t="s">
        <v>41</v>
      </c>
      <c r="D82" t="s">
        <v>43</v>
      </c>
      <c r="E82" t="s">
        <v>122</v>
      </c>
      <c r="F82" t="s">
        <v>204</v>
      </c>
      <c r="G82" t="s">
        <v>77</v>
      </c>
      <c r="H82" t="s">
        <v>11</v>
      </c>
      <c r="I82" t="s">
        <v>7</v>
      </c>
      <c r="J82" t="s">
        <v>58</v>
      </c>
      <c r="K82" t="s">
        <v>36</v>
      </c>
      <c r="L82" t="s">
        <v>59</v>
      </c>
      <c r="M82">
        <v>1</v>
      </c>
    </row>
    <row r="83" spans="1:13" hidden="1" x14ac:dyDescent="0.25">
      <c r="A83" s="1">
        <v>46146</v>
      </c>
      <c r="B83" s="1" t="str">
        <f ca="1">IF(Información1[[#This Row],[Fecha]]='Ajuste de fechas'!$A$2,"Día actual","Día anterior")</f>
        <v>Día anterior</v>
      </c>
      <c r="C83" t="s">
        <v>41</v>
      </c>
      <c r="D83" t="s">
        <v>43</v>
      </c>
      <c r="E83" t="s">
        <v>123</v>
      </c>
      <c r="F83" t="s">
        <v>23</v>
      </c>
      <c r="G83" t="s">
        <v>80</v>
      </c>
      <c r="H83" t="s">
        <v>11</v>
      </c>
      <c r="I83" t="s">
        <v>7</v>
      </c>
      <c r="J83" t="s">
        <v>58</v>
      </c>
      <c r="K83" t="s">
        <v>36</v>
      </c>
      <c r="L83" t="s">
        <v>61</v>
      </c>
      <c r="M83">
        <v>1</v>
      </c>
    </row>
    <row r="84" spans="1:13" hidden="1" x14ac:dyDescent="0.25">
      <c r="A84" s="1">
        <v>46146</v>
      </c>
      <c r="B84" s="1" t="str">
        <f ca="1">IF(Información1[[#This Row],[Fecha]]='Ajuste de fechas'!$A$2,"Día actual","Día anterior")</f>
        <v>Día anterior</v>
      </c>
      <c r="C84" t="s">
        <v>32</v>
      </c>
      <c r="D84" t="s">
        <v>34</v>
      </c>
      <c r="E84" t="s">
        <v>124</v>
      </c>
      <c r="F84" t="s">
        <v>19</v>
      </c>
      <c r="G84" t="s">
        <v>125</v>
      </c>
      <c r="H84" t="s">
        <v>11</v>
      </c>
      <c r="I84" t="s">
        <v>26</v>
      </c>
      <c r="J84" t="s">
        <v>62</v>
      </c>
      <c r="K84" t="s">
        <v>50</v>
      </c>
      <c r="L84" t="s">
        <v>59</v>
      </c>
      <c r="M84">
        <v>1</v>
      </c>
    </row>
    <row r="85" spans="1:13" hidden="1" x14ac:dyDescent="0.25">
      <c r="A85" s="1">
        <v>46146</v>
      </c>
      <c r="B85" s="1" t="str">
        <f ca="1">IF(Información1[[#This Row],[Fecha]]='Ajuste de fechas'!$A$2,"Día actual","Día anterior")</f>
        <v>Día anterior</v>
      </c>
      <c r="C85" t="s">
        <v>32</v>
      </c>
      <c r="D85" t="s">
        <v>34</v>
      </c>
      <c r="E85" t="s">
        <v>126</v>
      </c>
      <c r="F85" t="s">
        <v>19</v>
      </c>
      <c r="G85" t="s">
        <v>125</v>
      </c>
      <c r="H85" t="s">
        <v>11</v>
      </c>
      <c r="I85" t="s">
        <v>26</v>
      </c>
      <c r="J85" t="s">
        <v>62</v>
      </c>
      <c r="K85" t="s">
        <v>50</v>
      </c>
      <c r="L85" t="s">
        <v>59</v>
      </c>
      <c r="M85">
        <v>1</v>
      </c>
    </row>
    <row r="86" spans="1:13" hidden="1" x14ac:dyDescent="0.25">
      <c r="A86" s="1">
        <v>46146</v>
      </c>
      <c r="B86" s="1" t="str">
        <f ca="1">IF(Información1[[#This Row],[Fecha]]='Ajuste de fechas'!$A$2,"Día actual","Día anterior")</f>
        <v>Día anterior</v>
      </c>
      <c r="C86" t="s">
        <v>32</v>
      </c>
      <c r="D86" t="s">
        <v>34</v>
      </c>
      <c r="E86" t="s">
        <v>127</v>
      </c>
      <c r="F86" t="s">
        <v>95</v>
      </c>
      <c r="G86" t="s">
        <v>94</v>
      </c>
      <c r="H86" t="s">
        <v>11</v>
      </c>
      <c r="I86" t="s">
        <v>7</v>
      </c>
      <c r="J86" t="s">
        <v>58</v>
      </c>
      <c r="K86" t="s">
        <v>50</v>
      </c>
      <c r="L86" t="s">
        <v>114</v>
      </c>
      <c r="M86">
        <v>1</v>
      </c>
    </row>
    <row r="87" spans="1:13" hidden="1" x14ac:dyDescent="0.25">
      <c r="A87" s="1">
        <v>46146</v>
      </c>
      <c r="B87" s="1" t="str">
        <f ca="1">IF(Información1[[#This Row],[Fecha]]='Ajuste de fechas'!$A$2,"Día actual","Día anterior")</f>
        <v>Día anterior</v>
      </c>
      <c r="C87" t="s">
        <v>32</v>
      </c>
      <c r="D87" t="s">
        <v>34</v>
      </c>
      <c r="E87" t="s">
        <v>128</v>
      </c>
      <c r="F87" t="s">
        <v>22</v>
      </c>
      <c r="G87" t="s">
        <v>129</v>
      </c>
      <c r="H87" t="s">
        <v>11</v>
      </c>
      <c r="I87" t="s">
        <v>7</v>
      </c>
      <c r="J87" t="s">
        <v>63</v>
      </c>
      <c r="K87" t="s">
        <v>50</v>
      </c>
      <c r="L87" t="s">
        <v>59</v>
      </c>
      <c r="M87">
        <v>1</v>
      </c>
    </row>
    <row r="88" spans="1:13" hidden="1" x14ac:dyDescent="0.25">
      <c r="A88" s="1">
        <v>46146</v>
      </c>
      <c r="B88" s="1" t="str">
        <f ca="1">IF(Información1[[#This Row],[Fecha]]='Ajuste de fechas'!$A$2,"Día actual","Día anterior")</f>
        <v>Día anterior</v>
      </c>
      <c r="C88" t="s">
        <v>32</v>
      </c>
      <c r="D88" t="s">
        <v>34</v>
      </c>
      <c r="E88" t="s">
        <v>130</v>
      </c>
      <c r="F88" t="s">
        <v>17</v>
      </c>
      <c r="G88" t="s">
        <v>77</v>
      </c>
      <c r="H88" t="s">
        <v>11</v>
      </c>
      <c r="I88" t="s">
        <v>7</v>
      </c>
      <c r="J88" t="s">
        <v>58</v>
      </c>
      <c r="K88" t="s">
        <v>50</v>
      </c>
      <c r="L88" t="s">
        <v>59</v>
      </c>
      <c r="M88">
        <v>1</v>
      </c>
    </row>
    <row r="89" spans="1:13" hidden="1" x14ac:dyDescent="0.25">
      <c r="A89" s="1">
        <v>46146</v>
      </c>
      <c r="B89" s="1" t="str">
        <f ca="1">IF(Información1[[#This Row],[Fecha]]='Ajuste de fechas'!$A$2,"Día actual","Día anterior")</f>
        <v>Día anterior</v>
      </c>
      <c r="C89" t="s">
        <v>32</v>
      </c>
      <c r="D89" t="s">
        <v>34</v>
      </c>
      <c r="E89" t="s">
        <v>131</v>
      </c>
      <c r="F89" t="s">
        <v>17</v>
      </c>
      <c r="G89" t="s">
        <v>77</v>
      </c>
      <c r="H89" t="s">
        <v>11</v>
      </c>
      <c r="I89" t="s">
        <v>7</v>
      </c>
      <c r="J89" t="s">
        <v>58</v>
      </c>
      <c r="K89" t="s">
        <v>50</v>
      </c>
      <c r="L89" t="s">
        <v>60</v>
      </c>
      <c r="M89">
        <v>1</v>
      </c>
    </row>
    <row r="90" spans="1:13" hidden="1" x14ac:dyDescent="0.25">
      <c r="A90" s="1">
        <v>46146</v>
      </c>
      <c r="B90" s="1" t="str">
        <f ca="1">IF(Información1[[#This Row],[Fecha]]='Ajuste de fechas'!$A$2,"Día actual","Día anterior")</f>
        <v>Día anterior</v>
      </c>
      <c r="C90" t="s">
        <v>79</v>
      </c>
      <c r="D90" t="s">
        <v>96</v>
      </c>
      <c r="E90" t="s">
        <v>132</v>
      </c>
      <c r="F90" t="s">
        <v>204</v>
      </c>
      <c r="G90" t="s">
        <v>78</v>
      </c>
      <c r="H90" t="s">
        <v>11</v>
      </c>
      <c r="I90" t="s">
        <v>7</v>
      </c>
      <c r="J90" t="s">
        <v>58</v>
      </c>
      <c r="K90" t="s">
        <v>97</v>
      </c>
      <c r="L90" t="s">
        <v>61</v>
      </c>
      <c r="M90">
        <v>1</v>
      </c>
    </row>
    <row r="91" spans="1:13" hidden="1" x14ac:dyDescent="0.25">
      <c r="A91" s="1">
        <v>46146</v>
      </c>
      <c r="B91" s="1" t="str">
        <f ca="1">IF(Información1[[#This Row],[Fecha]]='Ajuste de fechas'!$A$2,"Día actual","Día anterior")</f>
        <v>Día anterior</v>
      </c>
      <c r="C91" t="s">
        <v>79</v>
      </c>
      <c r="D91" t="s">
        <v>96</v>
      </c>
      <c r="E91" t="s">
        <v>133</v>
      </c>
      <c r="F91" t="s">
        <v>72</v>
      </c>
      <c r="G91" t="s">
        <v>86</v>
      </c>
      <c r="H91" t="s">
        <v>11</v>
      </c>
      <c r="I91" t="s">
        <v>7</v>
      </c>
      <c r="J91" t="s">
        <v>58</v>
      </c>
      <c r="K91" t="s">
        <v>97</v>
      </c>
      <c r="L91" t="s">
        <v>61</v>
      </c>
      <c r="M91">
        <v>1</v>
      </c>
    </row>
    <row r="92" spans="1:13" hidden="1" x14ac:dyDescent="0.25">
      <c r="A92" s="1">
        <v>46146</v>
      </c>
      <c r="B92" s="1" t="str">
        <f ca="1">IF(Información1[[#This Row],[Fecha]]='Ajuste de fechas'!$A$2,"Día actual","Día anterior")</f>
        <v>Día anterior</v>
      </c>
      <c r="C92" t="s">
        <v>79</v>
      </c>
      <c r="D92" t="s">
        <v>96</v>
      </c>
      <c r="E92" t="s">
        <v>134</v>
      </c>
      <c r="F92" t="s">
        <v>204</v>
      </c>
      <c r="G92" t="s">
        <v>135</v>
      </c>
      <c r="H92" t="s">
        <v>11</v>
      </c>
      <c r="I92" t="s">
        <v>7</v>
      </c>
      <c r="J92" t="s">
        <v>58</v>
      </c>
      <c r="K92" t="s">
        <v>97</v>
      </c>
      <c r="L92" t="s">
        <v>61</v>
      </c>
      <c r="M92">
        <v>1</v>
      </c>
    </row>
    <row r="93" spans="1:13" hidden="1" x14ac:dyDescent="0.25">
      <c r="A93" s="1">
        <v>46146</v>
      </c>
      <c r="B93" s="1" t="str">
        <f ca="1">IF(Información1[[#This Row],[Fecha]]='Ajuste de fechas'!$A$2,"Día actual","Día anterior")</f>
        <v>Día anterior</v>
      </c>
      <c r="C93" t="s">
        <v>32</v>
      </c>
      <c r="D93" t="s">
        <v>35</v>
      </c>
      <c r="E93" t="s">
        <v>136</v>
      </c>
      <c r="F93" t="s">
        <v>21</v>
      </c>
      <c r="G93" t="s">
        <v>137</v>
      </c>
      <c r="H93" t="s">
        <v>11</v>
      </c>
      <c r="I93" t="s">
        <v>7</v>
      </c>
      <c r="J93" t="s">
        <v>58</v>
      </c>
      <c r="K93" t="s">
        <v>33</v>
      </c>
      <c r="L93" t="s">
        <v>59</v>
      </c>
      <c r="M93">
        <v>1</v>
      </c>
    </row>
    <row r="94" spans="1:13" hidden="1" x14ac:dyDescent="0.25">
      <c r="A94" s="1">
        <v>46146</v>
      </c>
      <c r="B94" s="1" t="str">
        <f ca="1">IF(Información1[[#This Row],[Fecha]]='Ajuste de fechas'!$A$2,"Día actual","Día anterior")</f>
        <v>Día anterior</v>
      </c>
      <c r="C94" t="s">
        <v>32</v>
      </c>
      <c r="D94" t="s">
        <v>35</v>
      </c>
      <c r="E94" t="s">
        <v>138</v>
      </c>
      <c r="F94" t="s">
        <v>74</v>
      </c>
      <c r="G94" t="s">
        <v>139</v>
      </c>
      <c r="H94" t="s">
        <v>11</v>
      </c>
      <c r="I94" t="s">
        <v>7</v>
      </c>
      <c r="J94" t="s">
        <v>58</v>
      </c>
      <c r="K94" t="s">
        <v>33</v>
      </c>
      <c r="L94" t="s">
        <v>59</v>
      </c>
      <c r="M94">
        <v>1</v>
      </c>
    </row>
    <row r="95" spans="1:13" hidden="1" x14ac:dyDescent="0.25">
      <c r="A95" s="1">
        <v>46146</v>
      </c>
      <c r="B95" s="1" t="str">
        <f ca="1">IF(Información1[[#This Row],[Fecha]]='Ajuste de fechas'!$A$2,"Día actual","Día anterior")</f>
        <v>Día anterior</v>
      </c>
      <c r="C95" t="s">
        <v>32</v>
      </c>
      <c r="D95" t="s">
        <v>35</v>
      </c>
      <c r="E95" t="s">
        <v>140</v>
      </c>
      <c r="F95" t="s">
        <v>23</v>
      </c>
      <c r="G95" t="s">
        <v>80</v>
      </c>
      <c r="H95" t="s">
        <v>11</v>
      </c>
      <c r="I95" t="s">
        <v>7</v>
      </c>
      <c r="J95" t="s">
        <v>58</v>
      </c>
      <c r="K95" t="s">
        <v>33</v>
      </c>
      <c r="L95" t="s">
        <v>59</v>
      </c>
      <c r="M95">
        <v>1</v>
      </c>
    </row>
    <row r="96" spans="1:13" hidden="1" x14ac:dyDescent="0.25">
      <c r="A96" s="1">
        <v>46146</v>
      </c>
      <c r="B96" s="1" t="str">
        <f ca="1">IF(Información1[[#This Row],[Fecha]]='Ajuste de fechas'!$A$2,"Día actual","Día anterior")</f>
        <v>Día anterior</v>
      </c>
      <c r="C96" t="s">
        <v>32</v>
      </c>
      <c r="D96" t="s">
        <v>35</v>
      </c>
      <c r="E96" t="s">
        <v>141</v>
      </c>
      <c r="F96" t="s">
        <v>21</v>
      </c>
      <c r="G96" t="s">
        <v>142</v>
      </c>
      <c r="H96" t="s">
        <v>11</v>
      </c>
      <c r="I96" t="s">
        <v>7</v>
      </c>
      <c r="J96" t="s">
        <v>58</v>
      </c>
      <c r="K96" t="s">
        <v>33</v>
      </c>
      <c r="L96" t="s">
        <v>59</v>
      </c>
      <c r="M96">
        <v>1</v>
      </c>
    </row>
    <row r="97" spans="1:13" hidden="1" x14ac:dyDescent="0.25">
      <c r="A97" s="1">
        <v>46146</v>
      </c>
      <c r="B97" s="1" t="str">
        <f ca="1">IF(Información1[[#This Row],[Fecha]]='Ajuste de fechas'!$A$2,"Día actual","Día anterior")</f>
        <v>Día anterior</v>
      </c>
      <c r="C97" t="s">
        <v>32</v>
      </c>
      <c r="D97" t="s">
        <v>35</v>
      </c>
      <c r="E97" t="s">
        <v>132</v>
      </c>
      <c r="F97" t="s">
        <v>204</v>
      </c>
      <c r="G97" t="s">
        <v>78</v>
      </c>
      <c r="H97" t="s">
        <v>11</v>
      </c>
      <c r="I97" t="s">
        <v>7</v>
      </c>
      <c r="J97" t="s">
        <v>58</v>
      </c>
      <c r="K97" t="s">
        <v>33</v>
      </c>
      <c r="L97" t="s">
        <v>61</v>
      </c>
      <c r="M97">
        <v>1</v>
      </c>
    </row>
    <row r="98" spans="1:13" hidden="1" x14ac:dyDescent="0.25">
      <c r="A98" s="1">
        <v>46146</v>
      </c>
      <c r="B98" s="1" t="str">
        <f ca="1">IF(Información1[[#This Row],[Fecha]]='Ajuste de fechas'!$A$2,"Día actual","Día anterior")</f>
        <v>Día anterior</v>
      </c>
      <c r="C98" t="s">
        <v>32</v>
      </c>
      <c r="D98" t="s">
        <v>35</v>
      </c>
      <c r="E98" t="s">
        <v>143</v>
      </c>
      <c r="F98" t="s">
        <v>22</v>
      </c>
      <c r="G98" t="s">
        <v>144</v>
      </c>
      <c r="H98" t="s">
        <v>11</v>
      </c>
      <c r="I98" t="s">
        <v>7</v>
      </c>
      <c r="J98" t="s">
        <v>63</v>
      </c>
      <c r="K98" t="s">
        <v>33</v>
      </c>
      <c r="L98" t="s">
        <v>59</v>
      </c>
      <c r="M98">
        <v>1</v>
      </c>
    </row>
    <row r="99" spans="1:13" hidden="1" x14ac:dyDescent="0.25">
      <c r="A99" s="1">
        <v>46146</v>
      </c>
      <c r="B99" s="1" t="str">
        <f ca="1">IF(Información1[[#This Row],[Fecha]]='Ajuste de fechas'!$A$2,"Día actual","Día anterior")</f>
        <v>Día anterior</v>
      </c>
      <c r="C99" t="s">
        <v>32</v>
      </c>
      <c r="D99" t="s">
        <v>35</v>
      </c>
      <c r="E99" t="s">
        <v>145</v>
      </c>
      <c r="F99" t="s">
        <v>146</v>
      </c>
      <c r="G99" t="s">
        <v>94</v>
      </c>
      <c r="H99" t="s">
        <v>11</v>
      </c>
      <c r="I99" t="s">
        <v>7</v>
      </c>
      <c r="J99" t="s">
        <v>58</v>
      </c>
      <c r="K99" t="s">
        <v>33</v>
      </c>
      <c r="L99" t="s">
        <v>59</v>
      </c>
      <c r="M99">
        <v>1</v>
      </c>
    </row>
    <row r="100" spans="1:13" hidden="1" x14ac:dyDescent="0.25">
      <c r="A100" s="1">
        <v>46146</v>
      </c>
      <c r="B100" s="1" t="str">
        <f ca="1">IF(Información1[[#This Row],[Fecha]]='Ajuste de fechas'!$A$2,"Día actual","Día anterior")</f>
        <v>Día anterior</v>
      </c>
      <c r="C100" t="s">
        <v>32</v>
      </c>
      <c r="D100" t="s">
        <v>35</v>
      </c>
      <c r="E100" t="s">
        <v>147</v>
      </c>
      <c r="F100" t="s">
        <v>27</v>
      </c>
      <c r="G100" t="s">
        <v>99</v>
      </c>
      <c r="H100" t="s">
        <v>11</v>
      </c>
      <c r="I100" t="s">
        <v>7</v>
      </c>
      <c r="J100" t="s">
        <v>58</v>
      </c>
      <c r="K100" t="s">
        <v>33</v>
      </c>
      <c r="L100" t="s">
        <v>59</v>
      </c>
      <c r="M100">
        <v>1</v>
      </c>
    </row>
    <row r="101" spans="1:13" hidden="1" x14ac:dyDescent="0.25">
      <c r="A101" s="1">
        <v>46146</v>
      </c>
      <c r="B101" s="1" t="str">
        <f ca="1">IF(Información1[[#This Row],[Fecha]]='Ajuste de fechas'!$A$2,"Día actual","Día anterior")</f>
        <v>Día anterior</v>
      </c>
      <c r="C101" t="s">
        <v>8</v>
      </c>
      <c r="D101" t="s">
        <v>10</v>
      </c>
      <c r="E101" t="s">
        <v>148</v>
      </c>
      <c r="F101" t="s">
        <v>17</v>
      </c>
      <c r="G101" t="s">
        <v>99</v>
      </c>
      <c r="H101" t="s">
        <v>11</v>
      </c>
      <c r="I101" t="s">
        <v>7</v>
      </c>
      <c r="J101" t="s">
        <v>58</v>
      </c>
      <c r="K101" t="s">
        <v>9</v>
      </c>
      <c r="L101" t="s">
        <v>60</v>
      </c>
      <c r="M101">
        <v>1</v>
      </c>
    </row>
    <row r="102" spans="1:13" hidden="1" x14ac:dyDescent="0.25">
      <c r="A102" s="1">
        <v>46146</v>
      </c>
      <c r="B102" s="1" t="str">
        <f ca="1">IF(Información1[[#This Row],[Fecha]]='Ajuste de fechas'!$A$2,"Día actual","Día anterior")</f>
        <v>Día anterior</v>
      </c>
      <c r="C102" t="s">
        <v>8</v>
      </c>
      <c r="D102" t="s">
        <v>10</v>
      </c>
      <c r="E102" t="s">
        <v>149</v>
      </c>
      <c r="F102" t="s">
        <v>17</v>
      </c>
      <c r="G102" t="s">
        <v>99</v>
      </c>
      <c r="H102" t="s">
        <v>11</v>
      </c>
      <c r="I102" t="s">
        <v>7</v>
      </c>
      <c r="J102" t="s">
        <v>58</v>
      </c>
      <c r="K102" t="s">
        <v>9</v>
      </c>
      <c r="L102" t="s">
        <v>59</v>
      </c>
      <c r="M102">
        <v>1</v>
      </c>
    </row>
    <row r="103" spans="1:13" hidden="1" x14ac:dyDescent="0.25">
      <c r="A103" s="1">
        <v>46146</v>
      </c>
      <c r="B103" s="1" t="str">
        <f ca="1">IF(Información1[[#This Row],[Fecha]]='Ajuste de fechas'!$A$2,"Día actual","Día anterior")</f>
        <v>Día anterior</v>
      </c>
      <c r="C103" t="s">
        <v>8</v>
      </c>
      <c r="D103" t="s">
        <v>10</v>
      </c>
      <c r="E103" t="s">
        <v>150</v>
      </c>
      <c r="F103" t="s">
        <v>6</v>
      </c>
      <c r="G103" t="s">
        <v>70</v>
      </c>
      <c r="H103" t="s">
        <v>11</v>
      </c>
      <c r="I103" t="s">
        <v>7</v>
      </c>
      <c r="J103" t="s">
        <v>58</v>
      </c>
      <c r="K103" t="s">
        <v>9</v>
      </c>
      <c r="L103" t="s">
        <v>59</v>
      </c>
      <c r="M103">
        <v>1</v>
      </c>
    </row>
    <row r="104" spans="1:13" hidden="1" x14ac:dyDescent="0.25">
      <c r="A104" s="1">
        <v>46146</v>
      </c>
      <c r="B104" s="1" t="str">
        <f ca="1">IF(Información1[[#This Row],[Fecha]]='Ajuste de fechas'!$A$2,"Día actual","Día anterior")</f>
        <v>Día anterior</v>
      </c>
      <c r="C104" t="s">
        <v>8</v>
      </c>
      <c r="D104" t="s">
        <v>10</v>
      </c>
      <c r="E104" t="s">
        <v>151</v>
      </c>
      <c r="F104" t="s">
        <v>6</v>
      </c>
      <c r="G104" t="s">
        <v>152</v>
      </c>
      <c r="H104" t="s">
        <v>11</v>
      </c>
      <c r="I104" t="s">
        <v>7</v>
      </c>
      <c r="J104" t="s">
        <v>58</v>
      </c>
      <c r="K104" t="s">
        <v>9</v>
      </c>
      <c r="L104" t="s">
        <v>59</v>
      </c>
      <c r="M104">
        <v>1</v>
      </c>
    </row>
    <row r="105" spans="1:13" hidden="1" x14ac:dyDescent="0.25">
      <c r="A105" s="1">
        <v>46146</v>
      </c>
      <c r="B105" s="1" t="str">
        <f ca="1">IF(Información1[[#This Row],[Fecha]]='Ajuste de fechas'!$A$2,"Día actual","Día anterior")</f>
        <v>Día anterior</v>
      </c>
      <c r="C105" t="s">
        <v>8</v>
      </c>
      <c r="D105" t="s">
        <v>10</v>
      </c>
      <c r="E105" t="s">
        <v>153</v>
      </c>
      <c r="F105" t="s">
        <v>6</v>
      </c>
      <c r="G105" t="s">
        <v>154</v>
      </c>
      <c r="H105" t="s">
        <v>11</v>
      </c>
      <c r="I105" t="s">
        <v>7</v>
      </c>
      <c r="J105" t="s">
        <v>58</v>
      </c>
      <c r="K105" t="s">
        <v>9</v>
      </c>
      <c r="L105" t="s">
        <v>60</v>
      </c>
      <c r="M105">
        <v>1</v>
      </c>
    </row>
    <row r="106" spans="1:13" hidden="1" x14ac:dyDescent="0.25">
      <c r="A106" s="1">
        <v>46146</v>
      </c>
      <c r="B106" s="1" t="str">
        <f ca="1">IF(Información1[[#This Row],[Fecha]]='Ajuste de fechas'!$A$2,"Día actual","Día anterior")</f>
        <v>Día anterior</v>
      </c>
      <c r="C106" t="s">
        <v>8</v>
      </c>
      <c r="D106" t="s">
        <v>10</v>
      </c>
      <c r="E106" t="s">
        <v>155</v>
      </c>
      <c r="F106" t="s">
        <v>17</v>
      </c>
      <c r="G106" t="s">
        <v>89</v>
      </c>
      <c r="H106" t="s">
        <v>11</v>
      </c>
      <c r="I106" t="s">
        <v>7</v>
      </c>
      <c r="J106" t="s">
        <v>58</v>
      </c>
      <c r="K106" t="s">
        <v>9</v>
      </c>
      <c r="L106" t="s">
        <v>60</v>
      </c>
      <c r="M106">
        <v>1</v>
      </c>
    </row>
    <row r="107" spans="1:13" hidden="1" x14ac:dyDescent="0.25">
      <c r="A107" s="1">
        <v>46146</v>
      </c>
      <c r="B107" s="1" t="str">
        <f ca="1">IF(Información1[[#This Row],[Fecha]]='Ajuste de fechas'!$A$2,"Día actual","Día anterior")</f>
        <v>Día anterior</v>
      </c>
      <c r="C107" t="s">
        <v>8</v>
      </c>
      <c r="D107" t="s">
        <v>10</v>
      </c>
      <c r="E107" t="s">
        <v>156</v>
      </c>
      <c r="F107" t="s">
        <v>25</v>
      </c>
      <c r="G107" t="s">
        <v>116</v>
      </c>
      <c r="H107" t="s">
        <v>11</v>
      </c>
      <c r="I107" t="s">
        <v>7</v>
      </c>
      <c r="J107" t="s">
        <v>25</v>
      </c>
      <c r="K107" t="s">
        <v>14</v>
      </c>
      <c r="L107" t="s">
        <v>59</v>
      </c>
      <c r="M107">
        <v>1</v>
      </c>
    </row>
    <row r="108" spans="1:13" hidden="1" x14ac:dyDescent="0.25">
      <c r="A108" s="1">
        <v>46146</v>
      </c>
      <c r="B108" s="1" t="str">
        <f ca="1">IF(Información1[[#This Row],[Fecha]]='Ajuste de fechas'!$A$2,"Día actual","Día anterior")</f>
        <v>Día anterior</v>
      </c>
      <c r="C108" t="s">
        <v>8</v>
      </c>
      <c r="D108" t="s">
        <v>10</v>
      </c>
      <c r="E108" t="s">
        <v>157</v>
      </c>
      <c r="F108" t="s">
        <v>27</v>
      </c>
      <c r="G108" t="s">
        <v>99</v>
      </c>
      <c r="H108" t="s">
        <v>11</v>
      </c>
      <c r="I108" t="s">
        <v>7</v>
      </c>
      <c r="J108" t="s">
        <v>58</v>
      </c>
      <c r="K108" t="s">
        <v>14</v>
      </c>
      <c r="L108" t="s">
        <v>59</v>
      </c>
      <c r="M108">
        <v>1</v>
      </c>
    </row>
    <row r="109" spans="1:13" hidden="1" x14ac:dyDescent="0.25">
      <c r="A109" s="1">
        <v>46146</v>
      </c>
      <c r="B109" s="1" t="str">
        <f ca="1">IF(Información1[[#This Row],[Fecha]]='Ajuste de fechas'!$A$2,"Día actual","Día anterior")</f>
        <v>Día anterior</v>
      </c>
      <c r="C109" t="s">
        <v>8</v>
      </c>
      <c r="D109" t="s">
        <v>10</v>
      </c>
      <c r="E109" t="s">
        <v>158</v>
      </c>
      <c r="F109" t="s">
        <v>19</v>
      </c>
      <c r="G109" t="s">
        <v>68</v>
      </c>
      <c r="H109" t="s">
        <v>11</v>
      </c>
      <c r="I109" t="s">
        <v>7</v>
      </c>
      <c r="J109" t="s">
        <v>62</v>
      </c>
      <c r="K109" t="s">
        <v>14</v>
      </c>
      <c r="L109" t="s">
        <v>59</v>
      </c>
      <c r="M109">
        <v>1</v>
      </c>
    </row>
    <row r="110" spans="1:13" hidden="1" x14ac:dyDescent="0.25">
      <c r="A110" s="1">
        <v>46146</v>
      </c>
      <c r="B110" s="1" t="str">
        <f ca="1">IF(Información1[[#This Row],[Fecha]]='Ajuste de fechas'!$A$2,"Día actual","Día anterior")</f>
        <v>Día anterior</v>
      </c>
      <c r="C110" t="s">
        <v>8</v>
      </c>
      <c r="D110" t="s">
        <v>10</v>
      </c>
      <c r="E110" t="s">
        <v>159</v>
      </c>
      <c r="F110" t="s">
        <v>19</v>
      </c>
      <c r="G110" t="s">
        <v>160</v>
      </c>
      <c r="H110" t="s">
        <v>11</v>
      </c>
      <c r="I110" t="s">
        <v>7</v>
      </c>
      <c r="J110" t="s">
        <v>62</v>
      </c>
      <c r="K110" t="s">
        <v>14</v>
      </c>
      <c r="L110" t="s">
        <v>59</v>
      </c>
      <c r="M110">
        <v>1</v>
      </c>
    </row>
    <row r="111" spans="1:13" hidden="1" x14ac:dyDescent="0.25">
      <c r="A111" s="1">
        <v>46146</v>
      </c>
      <c r="B111" s="1" t="str">
        <f ca="1">IF(Información1[[#This Row],[Fecha]]='Ajuste de fechas'!$A$2,"Día actual","Día anterior")</f>
        <v>Día anterior</v>
      </c>
      <c r="C111" t="s">
        <v>8</v>
      </c>
      <c r="D111" t="s">
        <v>10</v>
      </c>
      <c r="E111" t="s">
        <v>161</v>
      </c>
      <c r="F111" t="s">
        <v>23</v>
      </c>
      <c r="G111" t="s">
        <v>69</v>
      </c>
      <c r="H111" t="s">
        <v>11</v>
      </c>
      <c r="I111" t="s">
        <v>7</v>
      </c>
      <c r="J111" t="s">
        <v>58</v>
      </c>
      <c r="K111" t="s">
        <v>14</v>
      </c>
      <c r="L111" t="s">
        <v>61</v>
      </c>
      <c r="M111">
        <v>1</v>
      </c>
    </row>
    <row r="112" spans="1:13" hidden="1" x14ac:dyDescent="0.25">
      <c r="A112" s="1">
        <v>46146</v>
      </c>
      <c r="B112" s="1" t="str">
        <f ca="1">IF(Información1[[#This Row],[Fecha]]='Ajuste de fechas'!$A$2,"Día actual","Día anterior")</f>
        <v>Día anterior</v>
      </c>
      <c r="C112" t="s">
        <v>8</v>
      </c>
      <c r="D112" t="s">
        <v>10</v>
      </c>
      <c r="E112" t="s">
        <v>162</v>
      </c>
      <c r="F112" t="s">
        <v>24</v>
      </c>
      <c r="G112" t="s">
        <v>163</v>
      </c>
      <c r="H112" t="s">
        <v>11</v>
      </c>
      <c r="I112" t="s">
        <v>7</v>
      </c>
      <c r="J112" t="s">
        <v>58</v>
      </c>
      <c r="K112" t="s">
        <v>14</v>
      </c>
      <c r="L112" t="s">
        <v>59</v>
      </c>
      <c r="M112">
        <v>1</v>
      </c>
    </row>
    <row r="113" spans="1:13" hidden="1" x14ac:dyDescent="0.25">
      <c r="A113" s="1">
        <v>46146</v>
      </c>
      <c r="B113" s="1" t="str">
        <f ca="1">IF(Información1[[#This Row],[Fecha]]='Ajuste de fechas'!$A$2,"Día actual","Día anterior")</f>
        <v>Día anterior</v>
      </c>
      <c r="C113" t="s">
        <v>8</v>
      </c>
      <c r="D113" t="s">
        <v>10</v>
      </c>
      <c r="E113" t="s">
        <v>164</v>
      </c>
      <c r="F113" t="s">
        <v>22</v>
      </c>
      <c r="G113" t="s">
        <v>82</v>
      </c>
      <c r="H113" t="s">
        <v>11</v>
      </c>
      <c r="I113" t="s">
        <v>7</v>
      </c>
      <c r="J113" t="s">
        <v>63</v>
      </c>
      <c r="K113" t="s">
        <v>14</v>
      </c>
      <c r="L113" t="s">
        <v>59</v>
      </c>
      <c r="M113">
        <v>1</v>
      </c>
    </row>
    <row r="114" spans="1:13" hidden="1" x14ac:dyDescent="0.25">
      <c r="A114" s="1">
        <v>46146</v>
      </c>
      <c r="B114" s="1" t="str">
        <f ca="1">IF(Información1[[#This Row],[Fecha]]='Ajuste de fechas'!$A$2,"Día actual","Día anterior")</f>
        <v>Día anterior</v>
      </c>
      <c r="C114" t="s">
        <v>8</v>
      </c>
      <c r="D114" t="s">
        <v>10</v>
      </c>
      <c r="E114" t="s">
        <v>165</v>
      </c>
      <c r="F114" t="s">
        <v>27</v>
      </c>
      <c r="G114" t="s">
        <v>166</v>
      </c>
      <c r="H114" t="s">
        <v>11</v>
      </c>
      <c r="I114" t="s">
        <v>7</v>
      </c>
      <c r="J114" t="s">
        <v>58</v>
      </c>
      <c r="K114" t="s">
        <v>14</v>
      </c>
      <c r="L114" t="s">
        <v>61</v>
      </c>
      <c r="M114">
        <v>1</v>
      </c>
    </row>
    <row r="115" spans="1:13" hidden="1" x14ac:dyDescent="0.25">
      <c r="A115" s="1">
        <v>46146</v>
      </c>
      <c r="B115" s="1" t="str">
        <f ca="1">IF(Información1[[#This Row],[Fecha]]='Ajuste de fechas'!$A$2,"Día actual","Día anterior")</f>
        <v>Día anterior</v>
      </c>
      <c r="C115" t="s">
        <v>8</v>
      </c>
      <c r="D115" t="s">
        <v>10</v>
      </c>
      <c r="E115" t="s">
        <v>20</v>
      </c>
      <c r="F115" t="s">
        <v>19</v>
      </c>
      <c r="G115" t="s">
        <v>49</v>
      </c>
      <c r="H115" t="s">
        <v>11</v>
      </c>
      <c r="I115" t="s">
        <v>12</v>
      </c>
      <c r="J115" t="s">
        <v>62</v>
      </c>
      <c r="K115" t="s">
        <v>14</v>
      </c>
      <c r="L115" t="s">
        <v>60</v>
      </c>
      <c r="M115">
        <v>1</v>
      </c>
    </row>
    <row r="116" spans="1:13" hidden="1" x14ac:dyDescent="0.25">
      <c r="A116" s="1">
        <v>46146</v>
      </c>
      <c r="B116" s="1" t="str">
        <f ca="1">IF(Información1[[#This Row],[Fecha]]='Ajuste de fechas'!$A$2,"Día actual","Día anterior")</f>
        <v>Día anterior</v>
      </c>
      <c r="C116" t="s">
        <v>8</v>
      </c>
      <c r="D116" t="s">
        <v>10</v>
      </c>
      <c r="E116" t="s">
        <v>18</v>
      </c>
      <c r="F116" t="s">
        <v>19</v>
      </c>
      <c r="G116" t="s">
        <v>49</v>
      </c>
      <c r="H116" t="s">
        <v>11</v>
      </c>
      <c r="I116" t="s">
        <v>12</v>
      </c>
      <c r="J116" t="s">
        <v>62</v>
      </c>
      <c r="K116" t="s">
        <v>14</v>
      </c>
      <c r="L116" t="s">
        <v>60</v>
      </c>
      <c r="M116">
        <v>1</v>
      </c>
    </row>
    <row r="117" spans="1:13" hidden="1" x14ac:dyDescent="0.25">
      <c r="A117" s="1">
        <v>46146</v>
      </c>
      <c r="B117" s="1" t="str">
        <f ca="1">IF(Información1[[#This Row],[Fecha]]='Ajuste de fechas'!$A$2,"Día actual","Día anterior")</f>
        <v>Día anterior</v>
      </c>
      <c r="C117" t="s">
        <v>8</v>
      </c>
      <c r="D117" t="s">
        <v>10</v>
      </c>
      <c r="E117" t="s">
        <v>73</v>
      </c>
      <c r="F117" t="s">
        <v>21</v>
      </c>
      <c r="G117" t="s">
        <v>49</v>
      </c>
      <c r="H117" t="s">
        <v>11</v>
      </c>
      <c r="I117" t="s">
        <v>12</v>
      </c>
      <c r="J117" t="s">
        <v>58</v>
      </c>
      <c r="K117" t="s">
        <v>14</v>
      </c>
      <c r="L117" t="s">
        <v>60</v>
      </c>
      <c r="M117">
        <v>1</v>
      </c>
    </row>
    <row r="118" spans="1:13" hidden="1" x14ac:dyDescent="0.25">
      <c r="A118" s="1">
        <v>46146</v>
      </c>
      <c r="B118" s="1" t="str">
        <f ca="1">IF(Información1[[#This Row],[Fecha]]='Ajuste de fechas'!$A$2,"Día actual","Día anterior")</f>
        <v>Día anterior</v>
      </c>
      <c r="C118" t="s">
        <v>8</v>
      </c>
      <c r="D118" t="s">
        <v>10</v>
      </c>
      <c r="E118" t="s">
        <v>13</v>
      </c>
      <c r="F118" t="s">
        <v>15</v>
      </c>
      <c r="G118" t="s">
        <v>49</v>
      </c>
      <c r="H118" t="s">
        <v>11</v>
      </c>
      <c r="I118" t="s">
        <v>12</v>
      </c>
      <c r="J118" t="s">
        <v>58</v>
      </c>
      <c r="K118" t="s">
        <v>14</v>
      </c>
      <c r="L118" t="s">
        <v>60</v>
      </c>
      <c r="M118">
        <v>1</v>
      </c>
    </row>
    <row r="119" spans="1:13" hidden="1" x14ac:dyDescent="0.25">
      <c r="A119" s="1">
        <v>46146</v>
      </c>
      <c r="B119" s="1" t="str">
        <f ca="1">IF(Información1[[#This Row],[Fecha]]='Ajuste de fechas'!$A$2,"Día actual","Día anterior")</f>
        <v>Día anterior</v>
      </c>
      <c r="C119" t="s">
        <v>8</v>
      </c>
      <c r="D119" t="s">
        <v>10</v>
      </c>
      <c r="E119" t="s">
        <v>16</v>
      </c>
      <c r="F119" t="s">
        <v>17</v>
      </c>
      <c r="G119" t="s">
        <v>49</v>
      </c>
      <c r="H119" t="s">
        <v>11</v>
      </c>
      <c r="I119" t="s">
        <v>12</v>
      </c>
      <c r="J119" t="s">
        <v>58</v>
      </c>
      <c r="K119" t="s">
        <v>14</v>
      </c>
      <c r="L119" t="s">
        <v>60</v>
      </c>
      <c r="M119">
        <v>1</v>
      </c>
    </row>
    <row r="120" spans="1:13" hidden="1" x14ac:dyDescent="0.25">
      <c r="A120" s="1">
        <v>46146</v>
      </c>
      <c r="B120" s="1" t="str">
        <f ca="1">IF(Información1[[#This Row],[Fecha]]='Ajuste de fechas'!$A$2,"Día actual","Día anterior")</f>
        <v>Día anterior</v>
      </c>
      <c r="C120" t="s">
        <v>8</v>
      </c>
      <c r="D120" t="s">
        <v>10</v>
      </c>
      <c r="E120" t="s">
        <v>51</v>
      </c>
      <c r="F120" t="s">
        <v>6</v>
      </c>
      <c r="G120" t="s">
        <v>49</v>
      </c>
      <c r="H120" t="s">
        <v>11</v>
      </c>
      <c r="I120" t="s">
        <v>12</v>
      </c>
      <c r="J120" t="s">
        <v>58</v>
      </c>
      <c r="K120" t="s">
        <v>14</v>
      </c>
      <c r="L120" t="s">
        <v>60</v>
      </c>
      <c r="M120">
        <v>1</v>
      </c>
    </row>
    <row r="121" spans="1:13" hidden="1" x14ac:dyDescent="0.25">
      <c r="A121" s="1">
        <v>46146</v>
      </c>
      <c r="B121" s="1" t="str">
        <f ca="1">IF(Información1[[#This Row],[Fecha]]='Ajuste de fechas'!$A$2,"Día actual","Día anterior")</f>
        <v>Día anterior</v>
      </c>
      <c r="C121" t="s">
        <v>46</v>
      </c>
      <c r="D121" t="s">
        <v>47</v>
      </c>
      <c r="E121" t="s">
        <v>167</v>
      </c>
      <c r="F121" t="s">
        <v>21</v>
      </c>
      <c r="G121" t="s">
        <v>142</v>
      </c>
      <c r="H121" t="s">
        <v>11</v>
      </c>
      <c r="I121" t="s">
        <v>7</v>
      </c>
      <c r="J121" t="s">
        <v>58</v>
      </c>
      <c r="K121" t="s">
        <v>48</v>
      </c>
      <c r="L121" t="s">
        <v>61</v>
      </c>
      <c r="M121">
        <v>1</v>
      </c>
    </row>
    <row r="122" spans="1:13" hidden="1" x14ac:dyDescent="0.25">
      <c r="A122" s="1">
        <v>46146</v>
      </c>
      <c r="B122" s="1" t="str">
        <f ca="1">IF(Información1[[#This Row],[Fecha]]='Ajuste de fechas'!$A$2,"Día actual","Día anterior")</f>
        <v>Día anterior</v>
      </c>
      <c r="C122" t="s">
        <v>46</v>
      </c>
      <c r="D122" t="s">
        <v>47</v>
      </c>
      <c r="E122" t="s">
        <v>168</v>
      </c>
      <c r="F122" t="s">
        <v>87</v>
      </c>
      <c r="G122" t="s">
        <v>169</v>
      </c>
      <c r="H122" t="s">
        <v>11</v>
      </c>
      <c r="I122" t="s">
        <v>7</v>
      </c>
      <c r="J122" t="s">
        <v>58</v>
      </c>
      <c r="K122" t="s">
        <v>48</v>
      </c>
      <c r="L122" t="s">
        <v>61</v>
      </c>
      <c r="M122">
        <v>1</v>
      </c>
    </row>
    <row r="123" spans="1:13" hidden="1" x14ac:dyDescent="0.25">
      <c r="A123" s="1">
        <v>46146</v>
      </c>
      <c r="B123" s="1" t="str">
        <f ca="1">IF(Información1[[#This Row],[Fecha]]='Ajuste de fechas'!$A$2,"Día actual","Día anterior")</f>
        <v>Día anterior</v>
      </c>
      <c r="C123" t="s">
        <v>46</v>
      </c>
      <c r="D123" t="s">
        <v>47</v>
      </c>
      <c r="E123" t="s">
        <v>170</v>
      </c>
      <c r="F123" t="s">
        <v>171</v>
      </c>
      <c r="G123" t="s">
        <v>172</v>
      </c>
      <c r="H123" t="s">
        <v>11</v>
      </c>
      <c r="I123" t="s">
        <v>7</v>
      </c>
      <c r="J123" t="s">
        <v>173</v>
      </c>
      <c r="K123" t="s">
        <v>48</v>
      </c>
      <c r="L123" t="s">
        <v>59</v>
      </c>
      <c r="M123">
        <v>1</v>
      </c>
    </row>
    <row r="124" spans="1:13" hidden="1" x14ac:dyDescent="0.25">
      <c r="A124" s="1">
        <v>46146</v>
      </c>
      <c r="B124" s="1" t="str">
        <f ca="1">IF(Información1[[#This Row],[Fecha]]='Ajuste de fechas'!$A$2,"Día actual","Día anterior")</f>
        <v>Día anterior</v>
      </c>
      <c r="C124" t="s">
        <v>46</v>
      </c>
      <c r="D124" t="s">
        <v>47</v>
      </c>
      <c r="E124" t="s">
        <v>174</v>
      </c>
      <c r="F124" t="s">
        <v>17</v>
      </c>
      <c r="G124" t="s">
        <v>175</v>
      </c>
      <c r="H124" t="s">
        <v>11</v>
      </c>
      <c r="I124" t="s">
        <v>7</v>
      </c>
      <c r="J124" t="s">
        <v>58</v>
      </c>
      <c r="K124" t="s">
        <v>9</v>
      </c>
      <c r="L124" t="s">
        <v>60</v>
      </c>
      <c r="M124">
        <v>1</v>
      </c>
    </row>
    <row r="125" spans="1:13" hidden="1" x14ac:dyDescent="0.25">
      <c r="A125" s="1">
        <v>46146</v>
      </c>
      <c r="B125" s="1" t="str">
        <f ca="1">IF(Información1[[#This Row],[Fecha]]='Ajuste de fechas'!$A$2,"Día actual","Día anterior")</f>
        <v>Día anterior</v>
      </c>
      <c r="C125" t="s">
        <v>46</v>
      </c>
      <c r="D125" t="s">
        <v>47</v>
      </c>
      <c r="E125" t="s">
        <v>176</v>
      </c>
      <c r="F125" t="s">
        <v>23</v>
      </c>
      <c r="G125" t="s">
        <v>80</v>
      </c>
      <c r="H125" t="s">
        <v>11</v>
      </c>
      <c r="I125" t="s">
        <v>7</v>
      </c>
      <c r="J125" t="s">
        <v>58</v>
      </c>
      <c r="K125" t="s">
        <v>48</v>
      </c>
      <c r="L125" t="s">
        <v>61</v>
      </c>
      <c r="M125">
        <v>1</v>
      </c>
    </row>
    <row r="126" spans="1:13" hidden="1" x14ac:dyDescent="0.25">
      <c r="A126" s="1">
        <v>46146</v>
      </c>
      <c r="B126" s="1" t="str">
        <f ca="1">IF(Información1[[#This Row],[Fecha]]='Ajuste de fechas'!$A$2,"Día actual","Día anterior")</f>
        <v>Día anterior</v>
      </c>
      <c r="C126" t="s">
        <v>46</v>
      </c>
      <c r="D126" t="s">
        <v>47</v>
      </c>
      <c r="E126" t="s">
        <v>177</v>
      </c>
      <c r="F126" t="s">
        <v>22</v>
      </c>
      <c r="G126" t="s">
        <v>80</v>
      </c>
      <c r="H126" t="s">
        <v>11</v>
      </c>
      <c r="I126" t="s">
        <v>7</v>
      </c>
      <c r="J126" t="s">
        <v>63</v>
      </c>
      <c r="K126" t="s">
        <v>48</v>
      </c>
      <c r="L126" t="s">
        <v>59</v>
      </c>
      <c r="M126">
        <v>1</v>
      </c>
    </row>
    <row r="127" spans="1:13" hidden="1" x14ac:dyDescent="0.25">
      <c r="A127" s="1">
        <v>46146</v>
      </c>
      <c r="B127" s="1" t="str">
        <f ca="1">IF(Información1[[#This Row],[Fecha]]='Ajuste de fechas'!$A$2,"Día actual","Día anterior")</f>
        <v>Día anterior</v>
      </c>
      <c r="C127" t="s">
        <v>46</v>
      </c>
      <c r="D127" t="s">
        <v>47</v>
      </c>
      <c r="E127" t="s">
        <v>178</v>
      </c>
      <c r="F127" t="s">
        <v>21</v>
      </c>
      <c r="G127" t="s">
        <v>179</v>
      </c>
      <c r="H127" t="s">
        <v>11</v>
      </c>
      <c r="I127" t="s">
        <v>26</v>
      </c>
      <c r="J127" t="s">
        <v>58</v>
      </c>
      <c r="K127" t="s">
        <v>48</v>
      </c>
      <c r="L127" t="s">
        <v>59</v>
      </c>
      <c r="M127">
        <v>1</v>
      </c>
    </row>
    <row r="128" spans="1:13" hidden="1" x14ac:dyDescent="0.25">
      <c r="A128" s="1">
        <v>46146</v>
      </c>
      <c r="B128" s="1" t="str">
        <f ca="1">IF(Información1[[#This Row],[Fecha]]='Ajuste de fechas'!$A$2,"Día actual","Día anterior")</f>
        <v>Día anterior</v>
      </c>
      <c r="C128" t="s">
        <v>46</v>
      </c>
      <c r="D128" t="s">
        <v>47</v>
      </c>
      <c r="E128" t="s">
        <v>180</v>
      </c>
      <c r="F128" t="s">
        <v>17</v>
      </c>
      <c r="G128" t="s">
        <v>99</v>
      </c>
      <c r="H128" t="s">
        <v>11</v>
      </c>
      <c r="I128" t="s">
        <v>7</v>
      </c>
      <c r="J128" t="s">
        <v>58</v>
      </c>
      <c r="K128" t="s">
        <v>48</v>
      </c>
      <c r="L128" t="s">
        <v>59</v>
      </c>
      <c r="M128">
        <v>1</v>
      </c>
    </row>
    <row r="129" spans="1:13" hidden="1" x14ac:dyDescent="0.25">
      <c r="A129" s="1">
        <v>46146</v>
      </c>
      <c r="B129" s="1" t="str">
        <f ca="1">IF(Información1[[#This Row],[Fecha]]='Ajuste de fechas'!$A$2,"Día actual","Día anterior")</f>
        <v>Día anterior</v>
      </c>
      <c r="C129" t="s">
        <v>46</v>
      </c>
      <c r="D129" t="s">
        <v>47</v>
      </c>
      <c r="E129" t="s">
        <v>181</v>
      </c>
      <c r="F129" t="s">
        <v>15</v>
      </c>
      <c r="G129" t="s">
        <v>182</v>
      </c>
      <c r="H129" t="s">
        <v>11</v>
      </c>
      <c r="I129" t="s">
        <v>7</v>
      </c>
      <c r="J129" t="s">
        <v>58</v>
      </c>
      <c r="K129" t="s">
        <v>48</v>
      </c>
      <c r="L129" t="s">
        <v>59</v>
      </c>
      <c r="M129">
        <v>1</v>
      </c>
    </row>
    <row r="130" spans="1:13" hidden="1" x14ac:dyDescent="0.25">
      <c r="A130" s="1">
        <v>46146</v>
      </c>
      <c r="B130" s="1" t="str">
        <f ca="1">IF(Información1[[#This Row],[Fecha]]='Ajuste de fechas'!$A$2,"Día actual","Día anterior")</f>
        <v>Día anterior</v>
      </c>
      <c r="C130" t="s">
        <v>46</v>
      </c>
      <c r="D130" t="s">
        <v>47</v>
      </c>
      <c r="E130" t="s">
        <v>183</v>
      </c>
      <c r="F130" t="s">
        <v>25</v>
      </c>
      <c r="G130" t="s">
        <v>184</v>
      </c>
      <c r="H130" t="s">
        <v>11</v>
      </c>
      <c r="I130" t="s">
        <v>7</v>
      </c>
      <c r="J130" t="s">
        <v>25</v>
      </c>
      <c r="K130" t="s">
        <v>48</v>
      </c>
      <c r="L130" t="s">
        <v>59</v>
      </c>
      <c r="M130">
        <v>1</v>
      </c>
    </row>
    <row r="131" spans="1:13" hidden="1" x14ac:dyDescent="0.25">
      <c r="A131" s="1">
        <v>46146</v>
      </c>
      <c r="B131" s="1" t="str">
        <f ca="1">IF(Información1[[#This Row],[Fecha]]='Ajuste de fechas'!$A$2,"Día actual","Día anterior")</f>
        <v>Día anterior</v>
      </c>
      <c r="C131" t="s">
        <v>46</v>
      </c>
      <c r="D131" t="s">
        <v>47</v>
      </c>
      <c r="E131" t="s">
        <v>185</v>
      </c>
      <c r="F131" t="s">
        <v>71</v>
      </c>
      <c r="G131" t="s">
        <v>186</v>
      </c>
      <c r="H131" t="s">
        <v>11</v>
      </c>
      <c r="I131" t="s">
        <v>7</v>
      </c>
      <c r="J131" t="s">
        <v>58</v>
      </c>
      <c r="K131" t="s">
        <v>48</v>
      </c>
      <c r="L131" t="s">
        <v>59</v>
      </c>
      <c r="M131">
        <v>1</v>
      </c>
    </row>
    <row r="132" spans="1:13" hidden="1" x14ac:dyDescent="0.25">
      <c r="A132" s="1">
        <v>46146</v>
      </c>
      <c r="B132" s="1" t="str">
        <f ca="1">IF(Información1[[#This Row],[Fecha]]='Ajuste de fechas'!$A$2,"Día actual","Día anterior")</f>
        <v>Día anterior</v>
      </c>
      <c r="C132" t="s">
        <v>46</v>
      </c>
      <c r="D132" t="s">
        <v>47</v>
      </c>
      <c r="E132" t="s">
        <v>187</v>
      </c>
      <c r="F132" t="s">
        <v>17</v>
      </c>
      <c r="G132" t="s">
        <v>99</v>
      </c>
      <c r="H132" t="s">
        <v>11</v>
      </c>
      <c r="I132" t="s">
        <v>7</v>
      </c>
      <c r="J132" t="s">
        <v>58</v>
      </c>
      <c r="K132" t="s">
        <v>48</v>
      </c>
      <c r="L132" t="s">
        <v>59</v>
      </c>
      <c r="M132">
        <v>1</v>
      </c>
    </row>
    <row r="133" spans="1:13" hidden="1" x14ac:dyDescent="0.25">
      <c r="A133" s="1">
        <v>46146</v>
      </c>
      <c r="B133" s="1" t="str">
        <f ca="1">IF(Información1[[#This Row],[Fecha]]='Ajuste de fechas'!$A$2,"Día actual","Día anterior")</f>
        <v>Día anterior</v>
      </c>
      <c r="C133" t="s">
        <v>46</v>
      </c>
      <c r="D133" t="s">
        <v>47</v>
      </c>
      <c r="E133" t="s">
        <v>188</v>
      </c>
      <c r="F133" t="s">
        <v>22</v>
      </c>
      <c r="G133" t="s">
        <v>189</v>
      </c>
      <c r="H133" t="s">
        <v>11</v>
      </c>
      <c r="I133" t="s">
        <v>7</v>
      </c>
      <c r="J133" t="s">
        <v>63</v>
      </c>
      <c r="K133" t="s">
        <v>48</v>
      </c>
      <c r="L133" t="s">
        <v>59</v>
      </c>
      <c r="M133">
        <v>1</v>
      </c>
    </row>
    <row r="134" spans="1:13" hidden="1" x14ac:dyDescent="0.25">
      <c r="A134" s="1">
        <v>46146</v>
      </c>
      <c r="B134" s="1" t="str">
        <f ca="1">IF(Información1[[#This Row],[Fecha]]='Ajuste de fechas'!$A$2,"Día actual","Día anterior")</f>
        <v>Día anterior</v>
      </c>
      <c r="C134" t="s">
        <v>46</v>
      </c>
      <c r="D134" t="s">
        <v>47</v>
      </c>
      <c r="E134" t="s">
        <v>190</v>
      </c>
      <c r="F134" t="s">
        <v>19</v>
      </c>
      <c r="G134" t="s">
        <v>38</v>
      </c>
      <c r="H134" t="s">
        <v>11</v>
      </c>
      <c r="I134" t="s">
        <v>7</v>
      </c>
      <c r="J134" t="s">
        <v>62</v>
      </c>
      <c r="K134" t="s">
        <v>48</v>
      </c>
      <c r="L134" t="s">
        <v>59</v>
      </c>
      <c r="M134">
        <v>1</v>
      </c>
    </row>
    <row r="135" spans="1:13" hidden="1" x14ac:dyDescent="0.25">
      <c r="A135" s="1">
        <v>46146</v>
      </c>
      <c r="B135" s="1" t="str">
        <f ca="1">IF(Información1[[#This Row],[Fecha]]='Ajuste de fechas'!$A$2,"Día actual","Día anterior")</f>
        <v>Día anterior</v>
      </c>
      <c r="C135" t="s">
        <v>46</v>
      </c>
      <c r="D135" t="s">
        <v>47</v>
      </c>
      <c r="E135" t="s">
        <v>134</v>
      </c>
      <c r="F135" t="s">
        <v>204</v>
      </c>
      <c r="G135" t="s">
        <v>135</v>
      </c>
      <c r="H135" t="s">
        <v>11</v>
      </c>
      <c r="I135" t="s">
        <v>7</v>
      </c>
      <c r="J135" t="s">
        <v>58</v>
      </c>
      <c r="K135" t="s">
        <v>48</v>
      </c>
      <c r="L135" t="s">
        <v>61</v>
      </c>
      <c r="M135">
        <v>1</v>
      </c>
    </row>
    <row r="136" spans="1:13" hidden="1" x14ac:dyDescent="0.25">
      <c r="A136" s="1">
        <v>46146</v>
      </c>
      <c r="B136" s="1" t="str">
        <f ca="1">IF(Información1[[#This Row],[Fecha]]='Ajuste de fechas'!$A$2,"Día actual","Día anterior")</f>
        <v>Día anterior</v>
      </c>
      <c r="C136" t="s">
        <v>46</v>
      </c>
      <c r="D136" t="s">
        <v>47</v>
      </c>
      <c r="E136" t="s">
        <v>191</v>
      </c>
      <c r="F136" t="s">
        <v>71</v>
      </c>
      <c r="G136" t="s">
        <v>192</v>
      </c>
      <c r="H136" t="s">
        <v>11</v>
      </c>
      <c r="I136" t="s">
        <v>7</v>
      </c>
      <c r="J136" t="s">
        <v>58</v>
      </c>
      <c r="K136" t="s">
        <v>48</v>
      </c>
      <c r="L136" t="s">
        <v>61</v>
      </c>
      <c r="M136">
        <v>1</v>
      </c>
    </row>
    <row r="137" spans="1:13" hidden="1" x14ac:dyDescent="0.25">
      <c r="A137" s="1">
        <v>46146</v>
      </c>
      <c r="B137" s="1" t="str">
        <f ca="1">IF(Información1[[#This Row],[Fecha]]='Ajuste de fechas'!$A$2,"Día actual","Día anterior")</f>
        <v>Día anterior</v>
      </c>
      <c r="C137" t="s">
        <v>46</v>
      </c>
      <c r="D137" t="s">
        <v>47</v>
      </c>
      <c r="E137" t="s">
        <v>193</v>
      </c>
      <c r="F137" t="s">
        <v>27</v>
      </c>
      <c r="G137" t="s">
        <v>89</v>
      </c>
      <c r="H137" t="s">
        <v>11</v>
      </c>
      <c r="I137" t="s">
        <v>7</v>
      </c>
      <c r="J137" t="s">
        <v>58</v>
      </c>
      <c r="K137" t="s">
        <v>48</v>
      </c>
      <c r="L137" t="s">
        <v>59</v>
      </c>
      <c r="M137">
        <v>1</v>
      </c>
    </row>
    <row r="138" spans="1:13" hidden="1" x14ac:dyDescent="0.25">
      <c r="A138" s="1">
        <v>46146</v>
      </c>
      <c r="B138" s="1" t="str">
        <f ca="1">IF(Información1[[#This Row],[Fecha]]='Ajuste de fechas'!$A$2,"Día actual","Día anterior")</f>
        <v>Día anterior</v>
      </c>
      <c r="C138" t="s">
        <v>46</v>
      </c>
      <c r="D138" t="s">
        <v>47</v>
      </c>
      <c r="E138" t="s">
        <v>194</v>
      </c>
      <c r="F138" t="s">
        <v>27</v>
      </c>
      <c r="G138" t="s">
        <v>99</v>
      </c>
      <c r="H138" t="s">
        <v>11</v>
      </c>
      <c r="I138" t="s">
        <v>7</v>
      </c>
      <c r="J138" t="s">
        <v>58</v>
      </c>
      <c r="K138" t="s">
        <v>48</v>
      </c>
      <c r="L138" t="s">
        <v>59</v>
      </c>
      <c r="M138">
        <v>1</v>
      </c>
    </row>
    <row r="139" spans="1:13" hidden="1" x14ac:dyDescent="0.25">
      <c r="A139" s="1">
        <v>46146</v>
      </c>
      <c r="B139" s="1" t="str">
        <f ca="1">IF(Información1[[#This Row],[Fecha]]='Ajuste de fechas'!$A$2,"Día actual","Día anterior")</f>
        <v>Día anterior</v>
      </c>
      <c r="C139" t="s">
        <v>39</v>
      </c>
      <c r="D139" t="s">
        <v>40</v>
      </c>
      <c r="E139" t="s">
        <v>195</v>
      </c>
      <c r="F139" t="s">
        <v>15</v>
      </c>
      <c r="G139" t="s">
        <v>76</v>
      </c>
      <c r="H139" t="s">
        <v>37</v>
      </c>
      <c r="I139" t="s">
        <v>7</v>
      </c>
      <c r="J139" t="s">
        <v>58</v>
      </c>
      <c r="K139" t="s">
        <v>28</v>
      </c>
      <c r="L139" t="s">
        <v>59</v>
      </c>
      <c r="M139">
        <v>1</v>
      </c>
    </row>
    <row r="140" spans="1:13" hidden="1" x14ac:dyDescent="0.25">
      <c r="A140" s="1">
        <v>46146</v>
      </c>
      <c r="B140" s="1" t="str">
        <f ca="1">IF(Información1[[#This Row],[Fecha]]='Ajuste de fechas'!$A$2,"Día actual","Día anterior")</f>
        <v>Día anterior</v>
      </c>
      <c r="C140" t="s">
        <v>39</v>
      </c>
      <c r="D140" t="s">
        <v>40</v>
      </c>
      <c r="E140" t="s">
        <v>196</v>
      </c>
      <c r="F140" t="s">
        <v>19</v>
      </c>
      <c r="G140" t="s">
        <v>197</v>
      </c>
      <c r="H140" t="s">
        <v>37</v>
      </c>
      <c r="I140" t="s">
        <v>7</v>
      </c>
      <c r="J140" t="s">
        <v>62</v>
      </c>
      <c r="K140" t="s">
        <v>28</v>
      </c>
      <c r="L140" t="s">
        <v>59</v>
      </c>
      <c r="M140">
        <v>1</v>
      </c>
    </row>
    <row r="141" spans="1:13" hidden="1" x14ac:dyDescent="0.25">
      <c r="A141" s="1">
        <v>46146</v>
      </c>
      <c r="B141" s="1" t="str">
        <f ca="1">IF(Información1[[#This Row],[Fecha]]='Ajuste de fechas'!$A$2,"Día actual","Día anterior")</f>
        <v>Día anterior</v>
      </c>
      <c r="C141" t="s">
        <v>39</v>
      </c>
      <c r="D141" t="s">
        <v>40</v>
      </c>
      <c r="E141" t="s">
        <v>198</v>
      </c>
      <c r="F141" t="s">
        <v>25</v>
      </c>
      <c r="G141" t="s">
        <v>189</v>
      </c>
      <c r="H141" t="s">
        <v>37</v>
      </c>
      <c r="I141" t="s">
        <v>7</v>
      </c>
      <c r="J141" t="s">
        <v>25</v>
      </c>
      <c r="K141" t="s">
        <v>28</v>
      </c>
      <c r="L141" t="s">
        <v>60</v>
      </c>
      <c r="M141">
        <v>1</v>
      </c>
    </row>
    <row r="142" spans="1:13" hidden="1" x14ac:dyDescent="0.25">
      <c r="A142" s="1">
        <v>46146</v>
      </c>
      <c r="B142" s="1" t="str">
        <f ca="1">IF(Información1[[#This Row],[Fecha]]='Ajuste de fechas'!$A$2,"Día actual","Día anterior")</f>
        <v>Día anterior</v>
      </c>
      <c r="C142" t="s">
        <v>39</v>
      </c>
      <c r="D142" t="s">
        <v>40</v>
      </c>
      <c r="E142" t="s">
        <v>167</v>
      </c>
      <c r="F142" t="s">
        <v>21</v>
      </c>
      <c r="G142" t="s">
        <v>142</v>
      </c>
      <c r="H142" t="s">
        <v>37</v>
      </c>
      <c r="I142" t="s">
        <v>7</v>
      </c>
      <c r="J142" t="s">
        <v>58</v>
      </c>
      <c r="K142" t="s">
        <v>28</v>
      </c>
      <c r="L142" t="s">
        <v>61</v>
      </c>
      <c r="M142">
        <v>1</v>
      </c>
    </row>
    <row r="143" spans="1:13" hidden="1" x14ac:dyDescent="0.25">
      <c r="A143" s="1">
        <v>46146</v>
      </c>
      <c r="B143" s="1" t="str">
        <f ca="1">IF(Información1[[#This Row],[Fecha]]='Ajuste de fechas'!$A$2,"Día actual","Día anterior")</f>
        <v>Día anterior</v>
      </c>
      <c r="C143" t="s">
        <v>39</v>
      </c>
      <c r="D143" t="s">
        <v>40</v>
      </c>
      <c r="E143" t="s">
        <v>199</v>
      </c>
      <c r="F143" t="s">
        <v>74</v>
      </c>
      <c r="G143" t="s">
        <v>139</v>
      </c>
      <c r="H143" t="s">
        <v>37</v>
      </c>
      <c r="I143" t="s">
        <v>7</v>
      </c>
      <c r="J143" t="s">
        <v>58</v>
      </c>
      <c r="K143" t="s">
        <v>28</v>
      </c>
      <c r="L143" t="s">
        <v>61</v>
      </c>
      <c r="M143">
        <v>1</v>
      </c>
    </row>
    <row r="144" spans="1:13" hidden="1" x14ac:dyDescent="0.25">
      <c r="A144" s="1">
        <v>46146</v>
      </c>
      <c r="B144" s="1" t="str">
        <f ca="1">IF(Información1[[#This Row],[Fecha]]='Ajuste de fechas'!$A$2,"Día actual","Día anterior")</f>
        <v>Día anterior</v>
      </c>
      <c r="C144" t="s">
        <v>39</v>
      </c>
      <c r="D144" t="s">
        <v>40</v>
      </c>
      <c r="E144" t="s">
        <v>200</v>
      </c>
      <c r="F144" t="s">
        <v>19</v>
      </c>
      <c r="G144" t="s">
        <v>201</v>
      </c>
      <c r="H144" t="s">
        <v>37</v>
      </c>
      <c r="I144" t="s">
        <v>7</v>
      </c>
      <c r="J144" t="s">
        <v>62</v>
      </c>
      <c r="K144" t="s">
        <v>28</v>
      </c>
      <c r="L144" t="s">
        <v>59</v>
      </c>
      <c r="M144">
        <v>1</v>
      </c>
    </row>
    <row r="145" spans="1:13" hidden="1" x14ac:dyDescent="0.25">
      <c r="A145" s="1">
        <v>46146</v>
      </c>
      <c r="B145" s="1" t="str">
        <f ca="1">IF(Información1[[#This Row],[Fecha]]='Ajuste de fechas'!$A$2,"Día actual","Día anterior")</f>
        <v>Día anterior</v>
      </c>
      <c r="C145" t="s">
        <v>39</v>
      </c>
      <c r="D145" t="s">
        <v>40</v>
      </c>
      <c r="E145" t="s">
        <v>202</v>
      </c>
      <c r="F145" t="s">
        <v>27</v>
      </c>
      <c r="G145" t="s">
        <v>203</v>
      </c>
      <c r="H145" t="s">
        <v>37</v>
      </c>
      <c r="I145" t="s">
        <v>7</v>
      </c>
      <c r="J145" t="s">
        <v>58</v>
      </c>
      <c r="K145" t="s">
        <v>28</v>
      </c>
      <c r="L145" t="s">
        <v>59</v>
      </c>
      <c r="M14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66</v>
      </c>
      <c r="B1" t="s">
        <v>67</v>
      </c>
    </row>
    <row r="2" spans="1:2" x14ac:dyDescent="0.25">
      <c r="A2" s="2">
        <f ca="1">TODAY()</f>
        <v>46147</v>
      </c>
      <c r="B2" s="2">
        <f ca="1">A2-1</f>
        <v>46146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2026-05-06T00:27:07Z</dcterms:modified>
</cp:coreProperties>
</file>