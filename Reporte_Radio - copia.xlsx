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6FA764B4-9FA7-4345-96D7-A84EB21782C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69" i="2"/>
  <c r="B71" i="2"/>
  <c r="B73" i="2"/>
  <c r="B76" i="2"/>
  <c r="B78" i="2"/>
  <c r="B80" i="2"/>
  <c r="B82" i="2"/>
  <c r="B84" i="2"/>
  <c r="B86" i="2"/>
  <c r="B88" i="2"/>
  <c r="B90" i="2"/>
  <c r="B92" i="2"/>
  <c r="B95" i="2"/>
  <c r="B97" i="2"/>
  <c r="B99" i="2"/>
  <c r="B101" i="2"/>
  <c r="B103" i="2"/>
  <c r="B105" i="2"/>
  <c r="B108" i="2"/>
  <c r="B110" i="2"/>
  <c r="B112" i="2"/>
  <c r="B114" i="2"/>
  <c r="B117" i="2"/>
  <c r="B119" i="2"/>
  <c r="B121" i="2"/>
  <c r="B123" i="2"/>
  <c r="B124" i="2"/>
  <c r="B126" i="2"/>
  <c r="B129" i="2"/>
  <c r="B131" i="2"/>
  <c r="B133" i="2"/>
  <c r="B135" i="2"/>
  <c r="B137"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70" i="2"/>
  <c r="B72" i="2"/>
  <c r="B74" i="2"/>
  <c r="B75" i="2"/>
  <c r="B77" i="2"/>
  <c r="B79" i="2"/>
  <c r="B81" i="2"/>
  <c r="B83" i="2"/>
  <c r="B85" i="2"/>
  <c r="B87" i="2"/>
  <c r="B89" i="2"/>
  <c r="B91" i="2"/>
  <c r="B93" i="2"/>
  <c r="B94" i="2"/>
  <c r="B96" i="2"/>
  <c r="B98" i="2"/>
  <c r="B100" i="2"/>
  <c r="B102" i="2"/>
  <c r="B104" i="2"/>
  <c r="B106" i="2"/>
  <c r="B107" i="2"/>
  <c r="B109" i="2"/>
  <c r="B111" i="2"/>
  <c r="B113" i="2"/>
  <c r="B115" i="2"/>
  <c r="B116" i="2"/>
  <c r="B118" i="2"/>
  <c r="B120" i="2"/>
  <c r="B122" i="2"/>
  <c r="B125" i="2"/>
  <c r="B127" i="2"/>
  <c r="B128" i="2"/>
  <c r="B130" i="2"/>
  <c r="B132" i="2"/>
  <c r="B134" i="2"/>
  <c r="B136" i="2"/>
  <c r="B13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<sst xmlns="http://schemas.openxmlformats.org/spreadsheetml/2006/main" count="1385" uniqueCount="268">
  <si>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</si>
  <si>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</si>
  <si>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</si>
  <si>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</si>
  <si>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</si>
  <si>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</si>
  <si>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</si>
  <si>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</si>
  <si>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</si>
  <si>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</si>
  <si>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</si>
  <si>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</si>
  <si>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</si>
  <si>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</si>
  <si>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</si>
  <si>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</si>
  <si>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</si>
  <si>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</si>
  <si>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</si>
  <si>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</si>
  <si>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</si>
  <si>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</si>
  <si>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</si>
  <si>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</si>
  <si>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</si>
  <si>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</si>
  <si>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</si>
  <si>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</si>
  <si>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</si>
  <si>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</si>
  <si>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</si>
  <si>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</si>
  <si>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</si>
  <si>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</si>
  <si>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</si>
  <si>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PGJEH</t>
  </si>
  <si>
    <t>Entrevista</t>
  </si>
  <si>
    <t>Radioescucha</t>
  </si>
  <si>
    <t>Semot</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</si>
  <si>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</si>
  <si>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</si>
  <si>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</si>
  <si>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</si>
  <si>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</si>
  <si>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</si>
  <si>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</si>
  <si>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</si>
  <si>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</si>
  <si>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</si>
  <si>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</si>
  <si>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</si>
  <si>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</si>
  <si>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Abasto De Agua</t>
  </si>
  <si>
    <t>Enfoque Regional Matutino</t>
  </si>
  <si>
    <t>Rodolfo López</t>
  </si>
  <si>
    <t>Radio Lobo 96.7 FM</t>
  </si>
  <si>
    <t>Gina Lorenzo</t>
  </si>
  <si>
    <t>Juan Carlos Santamaria</t>
  </si>
  <si>
    <t>SSH</t>
  </si>
  <si>
    <t>NQ 90.1 FM</t>
  </si>
  <si>
    <t>Enlace Hidalgo2</t>
  </si>
  <si>
    <t>Jesús Riveros</t>
  </si>
  <si>
    <t>Ke Buena 106.7 FM</t>
  </si>
  <si>
    <t>Noticias 106.7</t>
  </si>
  <si>
    <t>David Cárdenas</t>
  </si>
  <si>
    <t>Enlace Hidalgo1</t>
  </si>
  <si>
    <t>Combate Al Narcomenudeo</t>
  </si>
  <si>
    <t>Vialidad En Mal Estado</t>
  </si>
  <si>
    <t>Atención Afectaciones Por Lluvias</t>
  </si>
  <si>
    <t>OCSAD</t>
  </si>
  <si>
    <t>Feria Patronal</t>
  </si>
  <si>
    <t>Accidente transporte público</t>
  </si>
  <si>
    <t>Fuga de hidrocarburo</t>
  </si>
  <si>
    <t>Alerta Meteorológica</t>
  </si>
  <si>
    <t>Cultura</t>
  </si>
  <si>
    <t>Turismo</t>
  </si>
  <si>
    <t>Detención multihomicida</t>
  </si>
  <si>
    <t>Recuperación Del Patrimonio</t>
  </si>
  <si>
    <t>Enfoque Regional Meridiano</t>
  </si>
  <si>
    <t>Jesús González</t>
  </si>
  <si>
    <t>La Poderosa Tuxpan 93.1 FM</t>
  </si>
  <si>
    <t>NN Nuestras Noticias Zona Norte</t>
  </si>
  <si>
    <t>Liz Argüelles</t>
  </si>
  <si>
    <t>Prevención del delito</t>
  </si>
  <si>
    <t>Curso de verano</t>
  </si>
  <si>
    <t>Promoción turística</t>
  </si>
  <si>
    <t>Aumento Tarifa De Transporte</t>
  </si>
  <si>
    <t>Detención</t>
  </si>
  <si>
    <t>Fuga De Agua</t>
  </si>
  <si>
    <t>2DA parte de entrevista grabada Lizbeth Robles Gutiérrez, titular de la SEMOT, , se abordaron las denuncias ciudadanas sobre presuntos cobros excesivos tras el reciente incremento de tarifas, detallando los mecanismos institucionales para reportar estas anomalías y la postura del estado frente al transporte por aplicaciones y traslados particulares irregulares. Ante los reportes de que en municipios como Actopan se han registrado cobros de hasta el 30 por ciento (superando el 20 por ciento autorizado) mediante hojas informativas sin sellos oficiales, la funcionaria explicó que la dependencia a su cargo, a través del Sistema de Transporte Convencional de Hidalgo (STCH), realiza un monitoreo en medios y redes sociales para investigar los casos. Sin embargo, aclaró que no siempre es posible atender todas las incidencias debido al volumen de páginas y a que en redes se suele reciclar información antigua, fotos erróneas o denuncias falsas. Precisó además que el equipo de supervisión solo puede sancionar cuando existe flagrancia; es decir, si se reporta que una unidad se pasó un alto o cometió una falta del pasado, la autoridad no puede infraccionar a destiempo si no le consta el hecho al momento de la revisión, aunque sí se inspecciona físicamente el vehículo para detectar cualquier otra irregularidad vigente.Por ello, la secretaria enfatizó que las redes sociales son herramientas de inconformidad pero no constituyen una queja formal. Para proceder legalmente con una sanción, las personas usuarias deben presentar una queja formal ante la Unidad de Atención Ciudadana del STCH. Los canales oficiales disponibles son los números telefónicos 800-503-2002 y 771-526-1284, el correo electrónico quejatransporte.hidalgo.gov.mx, o de manera presencial en Avenida Los Prismas número 205, Colonia La Colonia, en Pachuca, en un horario de lunes a viernes de 9:00 a 17:00 horas.</t>
  </si>
  <si>
    <t>Comenta conductor Eulalio Larrieta agradece a su hermana, por pasarle una liga donde están todos los lugares que no tendrán agua por unos días, pero no es la oficial, ya que Caasim no sacó un listado oficial de las colonias, ni nos dieron información.</t>
  </si>
  <si>
    <t>Radioescucha reporta falta de agua en Bosques del Peñar</t>
  </si>
  <si>
    <t>Radioescucha reporta falta de agua en la 11 de Julio</t>
  </si>
  <si>
    <t>Reportan que una camioneta del transporte público de la ruta Pachuquilla–Universidad–Piracantos volcó en el crucero del bulevar Luis Donaldo Colosio y la carretera Pachuca-Tulancingo, a la altura de la colonia 11 de Julio</t>
  </si>
  <si>
    <t>El presidente municipal de Mineral de la Reforma, Eduardo Medécigo Rubio, y la presidenta honorífica del Patronato del Sistema Municipal DIF, Samantha Esparza Hernández, encabezaron la reinauguración del Club del Adulto Mayor Chacón, espacio destinado a promover la convivencia, el bienestar y la integración social de las personas adultas mayores.Durante el acto, el alcalde destacó que este tipo de centros representan un pilar para mejorar la calidad de vida de este sector de la población, al ofrecer espacios dignos donde puedan desarrollarse, convivir y participar en diversas actividades.</t>
  </si>
  <si>
    <t>Apoyo a adultos mayores</t>
  </si>
  <si>
    <t>Avanzan acciones para mejorar operación de la autopista Arco Norte, AUDIO APOYO SALVADOR CRUZ NERI Y GUILLERMO OLIVARES</t>
  </si>
  <si>
    <t>Coordinación interestatal</t>
  </si>
  <si>
    <t>Con el propósito de ofrecer espacios de aprendizaje, recreación y sana convivencia durante el periodo vacacional, el Sistema DIF Pachuca llevará a cabo el curso “Verano ReCreativo”, dirigido a niñas, niños y adolescentes de 6 a 16 años.El curso se realizará del 20 de julio al 6 de agosto, de lunes a viernes, en un horario de 9:00 a 12:00 horas, y contará con actividades deportivas, lúdicas y artísticas que contribuirán al desarrollo de habilidades, el trabajo en equipo y la creatividad de las y los participantes.Las actividades se desarrollarán en tres sedes: Pilares Parque de Poblamiento, Pilares Periodistas y CDC El Lobo.Las inscripciones estarán abiertas hasta el 17 de julio, de 9:00 a 15:00 horas, directamente en cada una de las sedes. El curso es gratuito, aunque no incluye materiales, y contará con cupo limitado</t>
  </si>
  <si>
    <t>Policías de seguridad pública municipal de Atotonilco de Tula detuvieron a dos delincuentes que estarán sujetos a una investigación por el delito de robo de un vehículo sin violencia, ambos quedaron a disposición del agente del ministerio público</t>
  </si>
  <si>
    <t>El presunto responsable del homicidio ocurrido en el Saucillo el pasado 7 de julio utilizó un anuncio publicado en redes sociales para contactar al propietario de una camioneta. Lo citó en un centro comercial, revisó la documentación del vehículo en la casa de la víctima y posteriormente le pidió probarla en un camino de terracería donde lo despojó de la unidad y le disparó en el rostro. Así lo informó el secretario de Seguridad Pública de Hidalgo, Salvador Cruzneri, quien explicó que de acuerdo con las investigaciones el agresor accionó el arma de fuego antes de huir con la camioneta, AUDIO APOYO</t>
  </si>
  <si>
    <t>Comenta conductor Jesus Gonzalez que la nota que la nota de esta semana que ha llamado mucho la atención por la gravedad de lo que ocurrió fue el asesinato de una persona allá en el Saucillo. Esta persona quería vender su camioneta y se encontró con unos ampones, unas lacras que le quitaron su unidad y lo mataron.</t>
  </si>
  <si>
    <t>Radioescucha comenta: Ya vimos que ya publicaron los costos del palenque de Pachuca, pero están muy caros; ojalá el señor gobernador cheque esto. También el consumo de bebidas; es muy triste que jóvenes terminen muy borrachos.</t>
  </si>
  <si>
    <t>Feria Pachuca</t>
  </si>
  <si>
    <t>El Congreso del Estado Libre y Soberano de Hidalgo y la Auditoría Superior del Estado de Hidalgo (ASEH), con la participación del Archivo General del Estado de Hidalgo, firmaron un Acuerdo de Coordinación Interinstitucional en Materia Archivística, el cual representa un compromiso conjunto para fortalecer la gestión documental, promover la conservación del patrimonio documental de las instituciones y consolidar una cultura archivística basada en la transparencia, legalidad y rendición de cuentas.El diputado Andrés Velázquez Vázquez, presidente de la Junta de Gobierno, señaló que este instrumento, impulsado tras años de trabajo conjunto y voluntad institucional, permitirá regularizar la organización, conservación y resguardo de los archivos públicos, garantizando su autenticidad, integridad y valor histórico conforme a la legislación vigente.También enfatizó que los archivos son un elemento fundamental para la construcción de instituciones más honestas y ordenadas, al tiempo que reconoció el respaldo del Gobierno del Estado y el esfuerzo de las áreas técnicas que hicieron posible este acuerdo, el cual contribuirá a preservar el patrimonio documental y fortalecer la confianza de la ciudadanía en las instituciones públicas.</t>
  </si>
  <si>
    <t>Firma De Convenio</t>
  </si>
  <si>
    <t>Radioescuchas vecinos del sur oriente reportan fuerte olor a diésel y gasolina en sus coladeras.</t>
  </si>
  <si>
    <t>Radioescucha reporta que sigue el olor muy fuerte a diésel y gasolina en algunos fraccionamientos como Tuzos, Saucillo, C. Doria; debido a la localización de una toma clandestina, piden a las autoridades ayudar, para saber qué está pasando.</t>
  </si>
  <si>
    <t>Radioescucha Sra. Gama reporta que van 2 días que sigue el olor muy fuerte a diésel por la carretera Sahagún a la altura del rastro municipal.</t>
  </si>
  <si>
    <t>Cuautepec de Hinojosa, Santiago Tulantepec, Tepeapulco, Nopala y Singuilucan están entre los 20 municipios del país con mayor número de tomas clandestinas de hidrocarburo durante el primer trimestre de 2026.Las cifras posicionaron a Hidalgo como la entidad con mayor incidencia nacional, al concentrar 21 de los 100 municipios del país con más perforaciones a ductos de hidrocarburo.Cuautepec no solo encabezó el listado estatal, sino también el nacional, con 202 tomas clandestinas. En esa demarcación, autoridades estatales localizaron cuatro túneles utilizados para el robo de combustible, algunos de ellos cercanos a zonas habitacionales, según informó la Subsecretaría de Protección Civil y Gestión de Riesgos de Hidalgo.Dentro del listado de los cinco municipios hidalguenses figuró Santiago Tulantepec, con 52 perforaciones ilegales, seguido de Tepeapulco, con 51, municipio donde también fueron detectados dos túneles huachicoleros.</t>
  </si>
  <si>
    <t>Huachitúnel</t>
  </si>
  <si>
    <t>Radioescucha reporta muy mala atención en la clínica del IMSS del lado de la farmacia.</t>
  </si>
  <si>
    <t>Inatención</t>
  </si>
  <si>
    <t>El gobernador de Hidalgo, Julio Menchaca Salazar, anunció que será el próximo 5 de septiembre cuando presente su informe de gobierno en el que dará cuenta de los avances, acciones y resultados alcanzados por su administración durante el último año. AUDIO DE APOYO.</t>
  </si>
  <si>
    <t>Informe De Gobierno</t>
  </si>
  <si>
    <t>Salvador Cruz Neri titular de la Secretaría de Seguridad Pública de Hidalgo el informó que ya se prepara el operativo especial por el periodo vacacional de verano, en el que participarán alrededor de 5.000 elementos policíacos, tanto municipales como estatalesLos operativos también serán preventivos para evitar fraudes en las ofertas de paquetes vacacionales y se reforzará la vigilancia en colonias para evitar el robo de casa habitación. También se distribuirán cámaras de seguridad en los 84 municipios de la entidad, AUDIO APOYO</t>
  </si>
  <si>
    <t>Operativo de Seguridad</t>
  </si>
  <si>
    <t>El secretario de gobierno de Hidalgo Guillermo Olivares Reyna junto al subdirector de Infraestructura Hidroagrícola y al director local de la CONAGUA, así como con comisariados ejidales, campesinas, campesinos y liderazgos de la región de Tlahuelilpan, se dieron a conocer los avances del Plan Hídrico, una estrategia que impulsa la tecnificación del campo, optimiza el uso del agua y mejora la infraestructura agrícola para generar mayores oportunidades de desarrollo para las y los productores de Hidalgo, AUDIO APOYO</t>
  </si>
  <si>
    <t>Plan Hídrico</t>
  </si>
  <si>
    <t>Gobierno estatal fortalece la prevención ante el incremento de lluvias por el fenómeno de El Niño (AUDIO ROMAN BERNAL).</t>
  </si>
  <si>
    <t>Prevención De Riesgos</t>
  </si>
  <si>
    <t>Con el objetivo de salvaguardar a las familias en las distintas regiones de la entidad, el Gobierno del Estado de Hidalgo, bajo la dirección de Julio Menchaca Salazar, mantiene activa una estrategia permanente de coordinación, capacitación y prevención institucional frente a las estimaciones de una temporada de lluvias más prolongada y con mayor actividad ciclónica derivada del fenómeno de El Niño.Sobre este plan integral, el subsecretario de Protección Civil y Gestión de Riesgos, Román Bernal Díaz, puntualizó que el eje central de la administración estatal es consolidar y robustecer la cultura de la prevención. Con ello, se busca dotar a las y los hidalguenses de las herramientas necesarias para reaccionar con oportunidad ante cualquier fenómeno hidrometeorológico que ponga en riesgo su integridad o su patrimonio. AUDIO DE APOYO</t>
  </si>
  <si>
    <t>Conductor comentó: le va un tip rapidísimo si es que usted está intentando hacer una compra venta de vehículo: dentro de la negociación, mencionar que si la otra persona se siente cómoda con que usted vaya acompañado por autoridades municipales o estatales por seguridad de ambos. Y ahí es un filtro donde usted va a poder verificar que si está siendo víctima de algún fraude o no. Si la persona accede, seguramente podrá tener un final bueno en esta compra venta y si no, usted se evitará de algún problema mayor.</t>
  </si>
  <si>
    <t>El gobernador de Hidalgo, Julio Menchaca Salazar, llamó a la ciudadanía a tomar precauciones al momento de comprar un vehículo y realizar este tipo de operaciones de manera segura para evitar ser víctima de fraudes o delitos. El mandatario recomendó verificar la documentación de la unidad, confirmar su situación legal y de ser posible concretar la compra-venta en espacios seguros o con acompañamiento de autoridades. AUDIO DE APOYO</t>
  </si>
  <si>
    <t>Hidalgo fortalece la promoción turística regional en el Festival Internacional de las Luciérnagas 2026. En el municipio de Amecameca y con la anfitrionía de la secretaria de Cultura y Turismo del Estado de México, Nelly Carrasco Godínez, Elizabeth Quintanar Gómez, titular de Turismo de Hidalgo reafirmó el compromiso del gobierno de Julio Menchaca para continuar con trabajo coordinado entre ambas entidades, a fin de impulsar la promoción turística y el impacto positivo de las comunidades.Durante la conferencia de prensa donde se presentaron los detalles del Festival Internacional de las Luciérnagas 2026, se anunció también que Hidalgo participará en las sedes que el evento tendrá en Amecameca, Tlalmanalco y Ecatzingo con una muestra de artesanías, con la presencia de los Pueblos con Sabor y con la participación de la compañía de danza Espectacular de Pachuca, todo ello en la ceremonia inaugural</t>
  </si>
  <si>
    <t>Radioescucha reporta que pide chequen las máquinas que están en el Tuzobús, ya que mi hijo la checó sin problema; al llegar la alimentadora, decía que no era válida.</t>
  </si>
  <si>
    <t>Quejas Tuzobús</t>
  </si>
  <si>
    <t>Tras el exhorto del Congreso de Hidalgo, la Secretaria del Medio Ambiente y Recursos Naturales del Estado Mónica Mixtega Trejo informó que la dependencia que dirige va a entregar en estos días el expediente técnico sobre el relleno sanitario de Tula, AUDIO APOYO</t>
  </si>
  <si>
    <t>Relleno Sanitario</t>
  </si>
  <si>
    <t>Marco Antonio M. G., expolicía municipal de Mineral de la Reforma, Hidalgo, fue sentenciado a 172 años de prisión por el feminicidio de Rosaura Ocampo Hinojosa, cometido el 5 de febrero de 2025. Se trata de un caso en el que la joven de 25 años había denunciado por violencia familiar y secuestro a su agresor. Aunque fue detenido y estuvo un mes en prisión, Marco Antonio fue liberado por orden de una jueza; después de violar reiteradamente la orden de restricción y seguir amenazando a su expareja, terminó por matar a Rosaura y a dos miembros de su familia en un ataque múltiple con arma punzocortante. Militar de formación y luego incorporado como agente de la Secretaría de Seguridad Pública y Tránsito Municipal de Mineral de la Reforma, Marco Antonio fue puesto a disposición del ministerio público por violencia familiar y privación ilegal de la libertad en contra de Rosaura el 13 de octubre de 2024. En ese momento era oficial en activo.</t>
  </si>
  <si>
    <t>Sentencia multihomicida</t>
  </si>
  <si>
    <t>Consigue PGJEH 172 años de prisión para responsable de feminicidio, homicidio doloso y homicidio doloso en grado de tentativa</t>
  </si>
  <si>
    <t>Derivado de una solicitud de cinco regidores para la intervención de la Secretaría de la Contraloría del Estado de Hidalgo, Se llevó a cabo una inspección en la obra que se realiza en la calle Héroes de la comunidad de Santa María Quelites en Tepeji del Río. AUDIO APOYO</t>
  </si>
  <si>
    <t>Supervisión de obra</t>
  </si>
  <si>
    <t>El panorama climático en México se prepara para una transición significativa mientras algunas lluvias se presentan en el país. De acuerdo con el monitoreo del Servicio Meteorológico Nacional (SMN) el sistema global conocido como "El Niño" u Oscilación del Sur (ENOS) presenta cambios importantes que impactarán las condiciones meteorológicas en los próximos meses. Recientemente, se compartió que La Niña" seguía presente a inicio del 2026, pero con pronóstico de debilitamiento para los siguientes meses con posibilidad de desarrollo de "El Niño". Según el SMN de la Comisión Nacional del Agua (Conagua), el ENOS es una fluctuación interanual del sistema Océano-Atmósfera en el océano Pacífico Ecuatorial. Este fenómeno se caracteriza por cambios significativos en la temperatura de la superficie del mar y en la circulación atmosférica a gran escala. Tras un periodo donde han predominado las anomalías negativas de temperatura (reflejo de La Niña), especialmente intensas entre agosto de 2025 y febrero de 2026, los datos más recientes de la CONAGUA indican un cambio. A partir de marzo de 2026, se ha observado un incremento en las temperaturas de la región tropical ecuatorial del Pacífico. Por ello, las autoridades han emitido un estatus de Advertencia de La Niña y vigilancia de El Niño. "Se espera una transición de La Niña a ENSO-neutral en el próximo mes, manteniéndose dicha condición hasta el trimestre mayo-junio-julio de 2026, con una probabilidad del 55 %", indica Conagua. Aunque el fenómeno se origina en el Pacífico Ecuatorial, por lo que no afecta directamente a México, sus efectos alteran los patrones de viento y lluvia en todo el país.</t>
  </si>
  <si>
    <t>Se realizó la presentación de la Feria de Los Angelitos en el municipio de Tulancingo 2026, la cuál de realizará del 26 de julio al 17 de agosto. Los comerciantes comenzarán a colocarse desde la noche del sábado 25 de julio, activando los cierres viales en el centro.</t>
  </si>
  <si>
    <t>El gobernador Julio Menchaca Salazar llevó a cabo la entrega de la Presea al Mérito Jurídico 2026 “Alfonso Cravioto Mejorada” en el marco del Día de la abogada y el abogado. (AUDIO JMS).</t>
  </si>
  <si>
    <t>Medalla Alfonso Cravioto</t>
  </si>
  <si>
    <t>SIPDUS entrega tubería de compuertas para optimizar el riego en Ixmiquilpan</t>
  </si>
  <si>
    <t>Tecnificación De Riego</t>
  </si>
  <si>
    <t>El Congreso de Hidalgo, la Auditoría Superior del Estado (ASEH) y el Archivo General del Estado firmaron un acuerdo de coordinación para mejorar la organización, conservación y resguardo de los archivos públicos, con el objetivo de fortalecer la transparencia, la rendición de cuentas y el acceso a la información. Durante la firma del convenio, el presidente de la Junta de Gobierno del Congreso, Andrés Velázquez Vázquez, señaló que este acuerdo permitirá poner en orden los archivos institucionales y garantizar que los documentos públicos se conserven de manera adecuada, con apego a la legislación vigente. El legislador destacó que los archivos son fundamentales para preservar la memoria de las instituciones y fortalecer la confianza de la ciudadanía, además de reconocer el trabajo conjunto que hizo posible concretar este instrumento. Por su parte, el auditor superior del estado, Jorge Valverde Islas, calificó la firma del convenio como un hecho relevante para dar mayor certeza jurídica al manejo de los documentos públicos. Explicó que el acuerdo establece las responsabilidades de cada institución y define los mecanismos para identificar, clasificar y resguardar los archivos, incluyendo los generados entre 2008 y 2018, así como los creados a partir de 2019. La titular del Archivo General del Estado, Arlene Guadalupe Morón Montiel, indicó que este mecanismo permitirá fortalecer la organización e inventario de los expedientes, facilitar el acceso a la información pública, proteger los datos personales y contribuir al combate a la corrupción.</t>
  </si>
  <si>
    <t>Zapotlán de Juárez se perfila como referente nacional en la industria farmacéutica</t>
  </si>
  <si>
    <t>Polos del Bienestar</t>
  </si>
  <si>
    <t>Capturando Hidalgo 2026 abre convocatoria para reconocer el talento fotográfico de la entidad</t>
  </si>
  <si>
    <t>Concurso de fotografía</t>
  </si>
  <si>
    <t>Comisión Nacional del Agua (CONAGUA) y autoridades municipales mantienen vigilancia y despliegan operativos de apoyo en Tizayuca tras las recientes lluvias torrenciales, las cuales dejaron daños en decenas de viviendas y elevaron el nivel de la presa El Manantial al 100% de su capacidad.</t>
  </si>
  <si>
    <t>El SITMAH informa que este día un motociclista realizó un corte de circulación al paso de la unidad con económico 28 de la ruta troncal del Transporte Metropolitano. El hecho ocurrió cuando la unidad circulaba sobre avenida Juárez, a la altura de la calle 16 de Enero, donde se registró un roce entre ambos vehículos.</t>
  </si>
  <si>
    <t>Accidente Tuzobús</t>
  </si>
  <si>
    <t>Durante el periodo vacacional de verano, la Secretaría de Seguridad Pública de Hidalgo (SSPH) desplegará un operativo especial en el que participarán alrededor de cinco mil elementos estatales y municipales para reforzar la vigilancia en todo el estado, informó el titular Salvador Cruz Neri. El funcionario explicó que, como ocurre cada año, ya tienen listo el plan operativo y este jueves sostendrán reuniones con los mandos coordinados para definir las acciones que se implementarán durante la temporada. Recomendó a la población que refuerce la seguridad de las viviendas para prevenir robos a casa habitación, además de mantenerse alerta ante posibles fraudes relacionados con la venta de paquetes vacacionales.</t>
  </si>
  <si>
    <t>Consigue PGJEH 172 años de prisión para responsable de feminicidio, homicidio doloso y homicidio doloso en grado de tentativa.</t>
  </si>
  <si>
    <t>Donar sangre salva vidas; Unidad Móvil recorrerá hospitales de Hidalgo</t>
  </si>
  <si>
    <t>Donación de sangre</t>
  </si>
  <si>
    <t>Avanzan acciones para mejorar operación de la autopista Arco Norte</t>
  </si>
  <si>
    <t>Cuatro hombres fueron detenidos por su presunta responsabilidad en delitos contra la salud, durante operativos de prevención y vigilancia realizados en Cuautepec de Hinojosa. Las acciones se llevaron a cabo en La Trinidad, Loma Bonita, Texcaltepec y Puerta del Yolo, donde autoridades aseguraron presuntos narcóticos, hierba con apariencia de marihuana, básculas grameras, pipas de cristal y material para su posible distribución. También fue localizada un arma de fuego calibre 9 milímetros con cartuchos útiles. Los detenidos fueron puestos a disposición del Centro de Operación Estratégica (COE), en Pachuca, para determinar su situación jurídica.</t>
  </si>
  <si>
    <t>La boxeadora tulancinguense Karla Macías, informó emocionada, a través de sus redes sociales, que ha sido convocada por la selección mexicana para ser una de las atletas que represente a nuestro país en un torneo internacional que tendrá como sede Alicante, España. “Con mucha emoción quiero compartirles que logré conseguir mi pase para ser seleccionada nacional, lo que me da la oportunidad de representar con orgullo a Hidalgo, mi municipio y a México en el Torneo Internacional Boxam, que se llevará a cabo en Alicante, España”, señaló. Agregó que este torneo representa una gran oportunidad para seguir creciendo como deportista y representar dignamente al país en una competencia internacional. No obstante, refirió que, para poder asistir, “es necesario cubrir los gastos de viáticos, hospedaje y transporte, los cuales corren por mi cuenta”. «En las imágenes anexas encontrarán el desglose de los gastos correspondientes al Torneo Boxam, incluyendo viáticos y hospedaje». “Por ello, hoy recurro a ustedes con mucha humildad para pedir su apoyo. Cualquier aportación, sin importar la cantidad, me acerca un paso más a cumplir este sueño”. “Además, estaré realizando diferentes actividades para recaudar fondos, por lo que les agradecería mucho su apoyo y que compartieran esta publicación para que llegue a más personas, de igual manera buscamos a patrocinadores y llevar su marca al mundial de España”. De acuerdo con la Federación Mexicana de Boxeo, son aproximadamente 50 mil pesos los necesarios para que cada boxeador pueda costear su participación y estancia. Los pugilistas convocados tienen hasta el 15 de julio de este 2026 para poder confirmar su participación en esta justa internacional, la cual se celebrará del 31 de agosto al 6 de septiembre de este mismo año, en el país ibérico.</t>
  </si>
  <si>
    <t>Apoyo a deportistas</t>
  </si>
  <si>
    <t>Hidalgo fortalece su política climática con convenio de colaboración entre Semarnath e INECC</t>
  </si>
  <si>
    <t>Gobierno estatal fortalece la prevención ante el incremento de lluvias por el fenómeno de El Niño (AUDIO ROMAN BERNAL)</t>
  </si>
  <si>
    <t>Se llevó a cabo esta mesa de trabajo interestatal con la concesionaria Arco Norte encargada de administrar esta vialidad que conecta a varios Estados de la República y de acuerdo con información que publica hoy, El Universal Hidalgo: De enero a mayo ocurrieron 40 asaltos a transportistas y vehículos particulares que circularon por el Arco Norte y en lo que va de este mes, existe el registro de cuatro hurtos más; sin embargo, aún no se determina si una banda o más están involucradas en los robos. La incidencia se relaciona con el hallazgo de accesos irregulares sobre la autopista, los cuales permiten el ingreso y salida de los asaltantes. Hasta el momento, la concesionaria del Arco Norte y la Guardia Nacional (GN) cerraron 44 de estos espacios. Así se divulgó durante la novena mesa de trabajo interestatal entre la empresa Ideal, autoridades locales y federales, reuniones que se realizan desde noviembre de 2024 con el objetivo de disminuir los índices delictivos en la vialidad. De acuerdo con estadísticas de la concesionaria, el 8 de julio cerraron tres accesos irregulares a la altura del municipio de Villa de Tezontepec. Mientras que ya se identificaron otros en la zona de Apaxco y Santa María Ajoloapan, Estado de México, que posteriormente clausurarán. La concesionaria Ideal explicó que cierra aquellos accesos indebidos que no son graves, pero en aquellos considerados como de alto riesgo interviene la GN. El mecanismo consiste en hacer una zanja y colocar alambre de púas. Después hacen patrullajes para verificar que no los reabran. A partir de junio se implementó un plan operativo en el tramo de Hidalgo que contempla siete puntos cíclicos donde la Guardia Nacional patrulla, mientras que las unidades de la Secretaría de Seguridad Pública de Hidalgo (SSPH) vigilan los puntos de entrada y salida del Arco Norte. En el último mes realizaron 97 operativos que implicó la revisión de 2 mil 604 vehículos y a 3 mil 133 personas. Tras las revisiones, se recuperaron seis vehículos con reporte de robo.</t>
  </si>
  <si>
    <t>Canal del Pueblo</t>
  </si>
  <si>
    <t>https://www.facebook.com/reel/1541181784409969/</t>
  </si>
  <si>
    <t>Julio Menchaca encabeza el ranking de Demoscopia Digital | Sobre la mesa con Jorge Correa, Ignacio García y Miguel Serna.</t>
  </si>
  <si>
    <t>Aprobación Gobernador</t>
  </si>
  <si>
    <t>TV local</t>
  </si>
  <si>
    <t>Mara Olvera</t>
  </si>
  <si>
    <t>Fue inaugurado el Centro Administrativo del Bienestar y Desarrollo Rural | Sobre la mesa con Jorge Correa, Ignacio García y Miguel Serna.</t>
  </si>
  <si>
    <t>La Feria de Santiago Tulantepec en honor a Santiago Apóstol que se realizará del 19 al 27 de julio, arranca tradicionalmente con el evento de la Cucaña a las 11:00 horas del sábado 19 de julio en el tanque de la antigua fábrica textil, marcando el inicio de los festejos patronales que incluyen eventos culturales, deportivos y la famosa Santiagada.</t>
  </si>
  <si>
    <t>En Zapotlán se investiga el fallecimiento de un menor de edad el pasado sábado 11 de julio, falleció al interior de un domicilio ubicado en la colonia Monera.</t>
  </si>
  <si>
    <t>Localización de cuerpo</t>
  </si>
  <si>
    <t>Integrantes de la Red de Madres Buscando a sus Hijos realizaron una marcha pacífica en Pachuca, para exigir a las autoridades estatales un incremento al presupuesto destinado a las áreas encargadas de investigar y localizar a personas desaparecidas. La movilización inició en las inmediaciones de la gasolinera de Téllez y avanzó hacia la capital hidalguense con pancartas, fotografías de sus familiares y consignas para exigir atención a los casos pendientes. El recorrido concluyó en la Subprocuraduría de Delitos de Género, Desaparición de Personas e Impacto Social del estado de Hidalgo. Durante la protesta, los integrantes del colectivo señalaron que la Fiscalía de Búsqueda de Personas Desaparecidas y la Fiscalía de Personas Desaparecidas operan con recursos limitados y han sido rebasadas por la cantidad de casos que deben atender.</t>
  </si>
  <si>
    <t>Búsqueda de personas</t>
  </si>
  <si>
    <t>Una maestra perdió la vida la mañana de este lunes al interior del edificio central de la Secretaría de Educación Pública de Hidalgo (SEPH), ubicado en Pachuca, luego de que fue localizada inconsciente dentro de las instalaciones. Según reportes de la Policía Municipal, el incidente fue notificado mediante una llamada al número de emergencias, en la que se solicitó apoyo para atender a una persona que se encontraba en estado crítico dentro del edificio. Tras el llamado, elementos de seguridad acudieron al edificio central de la dependencia y localizaron a una mujer identificada con las iniciales L. G. M., quien ya no contaba con signos vitales al momento de la revisión. De acuerdo con Natividad Castrejón, secretario de Educación en el Gobierno del Estado de Hidalgo, era una trabajadora adscrita que reanudaba sus actividades tras dos meses de incapacidad en motivo de problemas de salud. No obstante, fue el día de hoy que los paramédicos de bomberos realizaron maniobras de auxilio, derivado a un percance mientras desarrollaba sus actividades. Durante la mañanera semanal del Gobierno de Hidalgo, se confirmó que la posible causa de su fallecimiento fue un infarto de miocardio, por lo que autoridades emitieron sus condolencias en vivo; asimismo, Castrejón rectificó que continuarán en contacto con la familia de la trabajadora para llevar a cabo el debido acompañamiento tras su deceso.</t>
  </si>
  <si>
    <t>Condolencias</t>
  </si>
  <si>
    <t>Durante la conferencia mañanera del día de hoy, el secretario de Educación aquí en Hidalgo, dio a conocer las cifras respecto a la conclusión de este ciclo escolar, destaca, sobre todo, que hubo menos deserción escolar.</t>
  </si>
  <si>
    <t>Mañanera de Hidalgo</t>
  </si>
  <si>
    <t>En su colaboración, David Cárdenas transmite audio de entrevista realizada a Héctor Chávez, secretario de Comunicación Política del PRD Hidalgo - Habló sobre las recientes pláticas para posibles alianzas y estrategias con Morena, ya que dice, “La izquierda debe ir con la izquierda”. Aunque dijo, aún no hay nada en concreto, sin embargo, dijo, también tienen diseñadas planes y estrategias para participar en solitario.</t>
  </si>
  <si>
    <t>PRD</t>
  </si>
  <si>
    <t>Trabajo partidista</t>
  </si>
  <si>
    <t>Partidos</t>
  </si>
  <si>
    <t>La presidenta Claudia Sheinbaum señaló que el Tren Aeropuerto Internacional Felipe Ángeles - Pachuca estará concluido en el 2027, al rescatar que la obra lleva un 36 por ciento de avance.</t>
  </si>
  <si>
    <t>Tren AIFA</t>
  </si>
  <si>
    <t>La comparecencia del secretario municipal de Cardonal, Erik Callejas Dezha —solicitada desde hace varias semanas por regidores de oposición— quedó en pausa luego de que se cancelara la sesión de cabildo programada para este fin de semana. De acuerdo con lo informado por los regidores, la presidenta municipal, Karla Hernández Cerroblanco, justificó la suspensión de la sesión al señalar que se encuentra enferma de COVID-19. Sin embargo, la cancelación mantiene la incertidumbre entre los integrantes de la asamblea, ya que la comparecencia del funcionario ha sido un tema pendiente desde hace tiempo. Los ediles de oposición han solicitado explicaciones sobre diversos asuntos relacionados con el desempeño de sus funciones y aseguran que varias de sus preguntas continúan sin respuesta. Entre los temas que buscan esclarecer destaca la presunta participación del secretario en un caso relacionado con el desalojo de un predio perteneciente a un habitante de Ixmiquilpan, hecho que generó polémica debido a que el funcionario desempeña su cargo en el municipio de Cardonal. Hasta el momento, no se ha dado a conocer una nueva fecha para la realización de la sesión ni para la comparecencia del servidor público.</t>
  </si>
  <si>
    <t>Comparecencias</t>
  </si>
  <si>
    <t>Asociaciones protectoras de animales hicieron un llamado al Gobierno Municipal de Nopala de Villagrán y a la Procuraduría General de Justicia del Estado de Hidalgo (PGJEH) para que se investigue y sancione un presunto caso de maltrato animal ocurrido en la entrada de la comunidad de Jagüey. De acuerdo con una denuncia ciudadana, un perrito habría sido arrastrado por una motocicleta, hecho que ha causado indignación entre habitantes y defensores de los animales.</t>
  </si>
  <si>
    <t>Maltrato animal</t>
  </si>
  <si>
    <t>El Valle del Mezquital celebrará su Segundo Festival de la Barbacoa</t>
  </si>
  <si>
    <t>Festival Gastronómico</t>
  </si>
  <si>
    <t>Sebiso abre convocatorias para fortalecer el talento artesanal de Hidalgo</t>
  </si>
  <si>
    <t>Bienestar</t>
  </si>
  <si>
    <t>Concurso artesanal</t>
  </si>
  <si>
    <t>Francisco I. Madero - Natividad Castrejón entrega más de mil Becas para la Transformación en la UPFIM</t>
  </si>
  <si>
    <t>Becas Para La Transformación</t>
  </si>
  <si>
    <t>Gobierno de Hidalgo brinda acompañamiento a los municipios en la actualización de los Bandos de Policía y Gobierno para fortalecer la gobernanza local. (AUDIO GOR).</t>
  </si>
  <si>
    <t>Bando de policía y gobierno</t>
  </si>
  <si>
    <t>AIC de la PGJEH detuvo en Mineral de la Reforma, a dos personas por narcomenudeo.</t>
  </si>
  <si>
    <t>Julio Menchaca entrega Presea al Mérito Jurídico a la primera notaria de Hidalgo (AUDIO JMS).</t>
  </si>
  <si>
    <t>Con el objetivo de fortalecer la competitividad de los productores del sector alimentario y facilitar el cumplimiento de la normatividad vigente en materia de etiquetado, la Secretaría de Fomento Económico de Tulancingo mantiene un esquema permanente de vinculación con Laboratorios Becar, mediante el cual los emprendedores pueden obtener un 15 por ciento de descuento en la elaboración de tablas nutrimentales. La titular de la dependencia, Minerva Rosales Gayosso, informó que este beneficio está disponible durante todo el año y está dirigido a productores de salsas, mermeladas, miel, botanas, conservas, bebidas, dulces y otros alimentos procesados que buscan profesionalizar la presentación de sus productos y ampliar sus oportunidades de comercialización. La funcionaria explicó que contar con una tabla nutrimental permite cumplir con las disposiciones sanitarias en materia de etiquetado, además de brindar mayor confianza a los consumidores al ofrecer información clara y transparente sobre el contenido de los productos.</t>
  </si>
  <si>
    <t>Apoyo a emprendedores</t>
  </si>
  <si>
    <t>Locutor Jesús Riveros da lectura a comentario de radioescucha que reporta, que en la escuela Secundaria Técnica No.28 de Cuautepec, intentan condicionar la entrega de documentos obligando a los padres a pagar con pintura por faltar a una reunión en la cual, no entregaron cuentas del dinero y la misma persona que tenía el manejo del recurso, renunció a mitad del ciclo señalando al director y a la presidenta del comité estaban haciendo mal uso del recurso; Jesús Riveros responde que es un tema constante al cierre de cada ciclo escolar el manejo del dinero, compartirá el reporte con las autoridades correspondientes.</t>
  </si>
  <si>
    <t>Queja padres de familia</t>
  </si>
  <si>
    <t>En vivo desde la conferencia matutina, Juan Carlos Santamaría reconoce el trabajo que realizan elementos de la PIBEH en el resguardo y fluidez pata orientar a las y los medios de comunicación que acudieron a las nuevas instalaciones Centro Administrativo de Bienestar y Desarrollo Rural a cubrir esta conferencia semanal</t>
  </si>
  <si>
    <t>Labor destacada</t>
  </si>
  <si>
    <t>Durante la conferencia matutina del Gobierno de Hidalgo, participó personal de la Saderh para dar a conocer las estrategias implementadas en la entidad para combatir la propagación del gusano barrenador.</t>
  </si>
  <si>
    <t>Saderh</t>
  </si>
  <si>
    <t>En vivo desde la conferencia matutina, Juan Carlos Santamaría informó que, en la agenda del día de hoy, se tiene prevista la visita del gobernador Julio Menchaca Salazar a las instalaciones de la Semarnarth para conmemorar “El día de combatiente de incendios forestales” actividad en la que se reconoce a quienes desarrollan esta labor.</t>
  </si>
  <si>
    <t>Agenda gobernador</t>
  </si>
  <si>
    <t>En vivo desde la conferencia matutina, Juan Carlos Santamaría informó que, se presentó un video de los círculos de diálogo que encabeza el gobernador Julio Menchaca.</t>
  </si>
  <si>
    <t>Desde las nuevas instalaciones del Centro Administrativo de Bienestar y Desarrollo Rural, el titular de la Secretaría de Educación Pública de Hidalgo, Natividad Castrejón Valdez, dio inicio a la conferencia matutina con la numeraría del ciclo escolar que está por concluir de manera oficial este próximo miércoles 15 de julio; de igual manera, ha dado a conocer que será el próximo 31 de agosto cuando las ay los alumnos de educación básica estarían regresando a clases para iniciar el ciclo escolar 2026-2027.</t>
  </si>
  <si>
    <t>El responsable de Comunicación Gubernamental, Edmundo Pineda López es el encargado de iniciar la conferencia matutina del Gobierno del Estado de Hidalgo, señalando que, “No hay nada que lastime más a una democracia que, la opulencia de sus gobernantes”, por ello, estas instalaciones que antes servían para casa de gobierno para unas cuantas personas, ahora estarán sirviendo para dar atención a la población.</t>
  </si>
  <si>
    <t>Locutor Juan Carlos Santamaría transmite en vivo desde las instalaciones del Centro Administrativo de Bienestar y Desarrollo Rural, la conferencia de prensa mañanera del Gobierno del Estado de Hidalgo, dio conocer a los funcionarios que participarán el día de hoy, entre los que destacan: Napoleón González Pérez, titular de la Saderh; Natividad Castrejón, titular de la SEPH; Orlando Ángeles, titular de la Oficialía Mayor; Miguel Ángel Tello Vargas, titular de la Unidad de Planeación y Prospectiva; además de las y los secretarios que estarán ocupando estas nuevas instalaciones, en donde hoy, se desarrolla esta conferencia matutina semanal.</t>
  </si>
  <si>
    <t>SSPH asegura hidrocarburo, droga y vehículos con reporte de robo.</t>
  </si>
  <si>
    <t>Combate Al Huachicol</t>
  </si>
  <si>
    <t>Radioescucha reporta falta de agua en Colinas, pregunta ¿Qué día ya tendremos agua?</t>
  </si>
  <si>
    <t>Radioescucha reporta falta de agua en Valle de las Estrellas, llevamos más de una semana sin agua.</t>
  </si>
  <si>
    <t>Elementos de la Secretaría de Seguridad Pública de Hidalgo recuperaron una camioneta NP300 y una carga de una tonelada y media de cinturones de seguridad de automóvil tras un operativo desplegado luego de un reporte al 911. El robo ocurrido sobre la carretera federal México-Tuxpan, a la altura del Tejocotal-Acaxochitlán, donde el conductor fue despojado de la unidad y la mercancía. La movilización de policías estatales y municipales metió a ubicar el vehículo abandonado en la comunidad de Santa Ana-Hueytlalpan, en Tulancingo, luego de que los presuntos responsables escaparan. La camioneta y la carga fueron aseguradas y puestas a disposición de la autoridad competente para continuar con las investigaciones.</t>
  </si>
  <si>
    <t>Asalto frustrado</t>
  </si>
  <si>
    <t>Ante las recientes inundaciones registradas en el municipio de Tizayuca, la Comisión Nacional del Agua (Conagua), a través de su Dirección Local Hidalgo y el Organismo de Cuenca del Valle de México (OCAVM), brindó apoyo para atender la emergencia en los Fraccionamientos Marbella y El Recinto ocasionada por el incremento de nivel del caudal en el arroyo Papalote.A través de las brigadas Conagua, y en coordinación con la presidencia municipal de Tizayuca, se desazolvaron cinco pozos de visita, 21 metros cúbicos (m3) de agua succionada y 300 metros lineales de sondeo, así como el retiro de 33 m3 de material de arrastre en las zonas afectadas.</t>
  </si>
  <si>
    <t>Atención al pueblo</t>
  </si>
  <si>
    <t>Radioescucha agradece al presidente por su apoyo en trabajos en la colonia Juan C. Doria</t>
  </si>
  <si>
    <t>Radioescucha agradecemos que el presidente municipal de Pachuca, se acerca a la población con el programa “Colonia x Colonia”</t>
  </si>
  <si>
    <t>Vía telefónica presidente municipal de Pachuca, Jorge Alberto Reyes con los temas programa Colonia x Colonia, Luminarias, bacheo permanente. Comento que el tema de “Colonia x Colonia “ es llevar los servicios a las colonias es llevar las oficinas a la gente, llevamos todos los servicios de la presidencia, los directores de cada instituto, desarrollo económico, protección civil, reglamentos, Obras públicas y más. La próxima colonia que vamos a visitar es Santa Matilde, abarcando la zona sur el día miércoles estaremos tendiendo a toda la gente. En tema de luminarias se está trabajando, entendemos que son temas muy importantes y hasta en tema de seguridad, intervinimos casi 7 kilómetros de bulevar Colosio, para tener mayor iluminación, realizamos reparación, mantenimiento y hasta nuevos postes. También informo que a partir de mañana el director de comunicación Jorge Hernández, estará de manera permanente de manera física durante el programa, y enlazaremos en vivo a los responsables de cada una de las áreas si es necesario para dar seguimiento a las problemáticas del auditorio, estará para dar resultados y respuestas tangibles.</t>
  </si>
  <si>
    <t>Una mujer de 74 años, vecina de Tianguistengo perdió la vida luego de ser atropellada por una unidad de transporte público, sobre avenida Melchor Ocampo, a la altura del IMSS, en Tepeji del Río.Los reportes señalan que la mujer fue impactada por la unidad de servicio público y que tras el accidente, el conductor no detuvo la marcha para auxiliarle y huyó de lugar.</t>
  </si>
  <si>
    <t>Atropellamiento</t>
  </si>
  <si>
    <t>Más de 1000 estudiantes de la Universidad Politécnica de Francisco I.Madero recibieron becas para la transformación. Esto como parte del programa del gobierno de Hidalgo para fortalecer la permanencia escolar educación superior. En representación del gobernador Julio Menchaca, el secretario de Educación Natividad Castrejón Valdés entregó 1077 apoyos y destaca que Hidalgo es el segundo estado del país que más recursos propios destina a becas para universitarios. AUDIO DE APOYO</t>
  </si>
  <si>
    <t>En un operativo contra el robo de hidrocarburo, la Secretaría de Seguridad Pública de Hidalgo desmanteló un predio presuntamente utilizado para almacenar combustible ilícito en la comunidad de Doxey, municipio de Tlaxcoapan. La acción realizada en coordinación con la Procuraduría de Hidalgo, el Ejército y la Guardia Nacional permitió asegurar 747 litros de hidrocarburo, 13 contenedores, 75 metros de manguera de alta presión. A más de 99 dosis de presunta droga, entre marihuana y cristal. Durante el cateo también fueron localizados 7 vehículos con reporte de robo y alteraciones en sus medios de identificación. Todo lo asegurado quedó a disposición del Ministerio Público, que continuará con las investigaciones correspondientes</t>
  </si>
  <si>
    <t>En dos operativos distintos realizados en el municipio de Mineral de la Reforma, agentes de la Procuraduría General de Justicia de Hidalgo detuvieron a un hombre y a un adolescente. Su probable relación con delitos contra la salud. Las acciones se realizaron tras una denuncia anónima que alertó sobre la presunta venta de droga en el fraccionamiento La Colonia. Al hombre, identificado con las iniciales RFP, le aseguraron alrededor de cuatro kilogramos de marihuana, diversas dosis de presunto cristal, un arma de fuego calibre tres ochenta y otros objetos presuntamente vinculados con el narcomenudeo. En tanto, al adolescente le fueron decomisadas dosis de presunta cocaína y marihuana.</t>
  </si>
  <si>
    <t>AIC de la PGJEH detuvo en Mineral de la Reforma, a dos personas por narcomenudeo</t>
  </si>
  <si>
    <t>El Secretario de Seguridad Pública de Hidalgo, Salvador Cruz Neri, que de enero a mayo de este año se han registrado 40 delitos en el tramo del Arco Norte, 20 al transporte público y 20 a los particulares, por lo que solicitaron a las autoridades de dicha vía que pongan más cámaras de videovigilancia para conocer las rutas de los delitos. AUDIO DE APOYO</t>
  </si>
  <si>
    <t>El presidente municipal de Tula Cristhian Martínez, quien apoyo el regreso del Cruz Azul a sus raíces en Ciudad Cooperativa Cruz Azul para disputar la Copa Fundadores, AUDIO APOYO</t>
  </si>
  <si>
    <t>Cruz Azul</t>
  </si>
  <si>
    <t>El primer equipo de Cruz Azul regresó al estadio que lo vio nacer en Ciudad Cooperativa Cruz Azul en Tula, en el estadio Refundación, donde ganó la Copa Fundadores el pasado sábado, ganó su primer partido internacional contra el Comunicaciones FC. El gerente de la planta, de Cruz Azul en Hidalgo, Armando Vargas Álvarez, agradeció al gobernador Julio Menchaca Salazar, por las condiciones de seguridad y paz social que vive Ciudad Cooperativa Cruz Azul, AUDIO APOYO</t>
  </si>
  <si>
    <t>Fundadores se quedó en casa, Cruz Azul conquistó el título al golear 6 a 0 al comunicaciones de Guatemala en esta fundición de Ciudad Cooperativa Cruz Azul. Aquí en Tula de Allende la máquina dominó de principio a fin y celebró el campeonato ante su afición con un contundente victoria que confirmó su buen momento. Así es como lo escuchamos, el fútbol profesional regresó a Ciudad Cooperativa Cruz Azul después de muchos años de no hacerlo y qué bueno que el primer equipo de la máquina estuvo presente aquí en Tula de Allende donde cientos de aficionados disfrutaron este partido. Ya lo decíamos después de terminar la temporada y hace unos meses pues que pudiera el equipo del primer equipo de Cruz Azul visitar las instalaciones acá de Tula. Sin duda una experiencia grata, seguramente va a seguir teniendo actividades el primer equipo aquí en Hidalgo. Vamos a otros temas. AUDIO DE APOYO</t>
  </si>
  <si>
    <t>Comento conductor Rodlfo López : Qué importante es esta donación, es pues este acto de amor hay que decirlo sin interés porque en México apenas 12 personas de cada mil habitantes, 12 de cada mil habitantes donan sangre y sólo una lo hizo de forma altruista, entonces de estas 12 personas 11 pues digamos que están obligadas a ser porque tienen algún paciente, algún paciente en algún hospital de nuestro país y una de ellas de estas 12 pues lo hace de forma altruista como en estas caravanas, in esta unidad móvil que va a recorrer hospitales en Hidalgo. Ojalá que usted se dé la oportunidad, conozca primeramente cuáles son las condiciones para poder donar en esta unidad móvil o en los centros de donación y si es posible pues hacerlo porque sin duda falta mucho que aprender en la cultura de la donación de sangre.</t>
  </si>
  <si>
    <t>Donar sangre salva vidas. Unidad móvil recorrerá hospitales de Hidalgo. La información con Claudia Alcántara.La Secretaría de Salud de Hidalgo reforzó la campaña de donación altruista de sangre mediante una unidad móvil que recorrerá distintas regiones del estado para facilitar este servicio a la población. La Secretaría de Salud Vanesa Escalante Arroyo recordó que una sola donación puede salvar hasta tres vidas y es fundamental para atender emergencias médicas, cirugías, pacientes con cáncer, complicaciones obstétricas y personas que requieren transfusiones. La unidad móvil brindará servicio a partir de la mañana, el 13 de julio, en el Hospital del Altiplano, el 23 de julio en el Hospital de Huichapan y el 27 de julio en el Hospital Cinta Larga. AUDIOS DE APOYO</t>
  </si>
  <si>
    <t>Autoridades de la Secretaría de Turismo de Hidalgo y el Ayuntamiento presentaron la fiesta patronal de Santiago de Anaya 2026, que se llevará a cabo del 23 al 27 de julio en honor a Santiago Apóstol, donde el atractivo principal es el concurso de castillos en pirotecnia y el primer concurso piromusical. La presidenta municipal de Santiago de Anaya, Danai Ángeles, destacó que este tipo de eventos dan a conocer la riqueza gastronómica y cultural de ese municipio. Por su parte, el Comité de FEA informó que durante los festejos se llevará a cabo un concurso de juegos pirotécnicos. Finalmente, la directora de Protección Civil de Santiago de Anaya, Margarita López, señaló que aceptará con todas las medidas de seguridad. La directora de Protección Civil de Santiago de Anaya, Margarita López, señaló que aceptará con todas las medidas de seguridad. AUDIO DE APOYO</t>
  </si>
  <si>
    <t>Da lectura a una ficha de búsqueda para dar con el paradero de Magdalena Alvarado Hernández, una mujer de 79 años que fue vista por última vez en el municipio de Ajacuba, mujer mexicana que mide 1.50 metros, con complexión delgada y tez morena clara. Además, su cabello es lacio, cano y regular, así como con ojos cafés. La última vez que fue vista, la mujer llevaba un pantalón deportivo color gris, blusa color fiuccha y zapatos de color negro; sin embargo, no se describe alguna seña particular, si tiene alguna información llamar al 771 130 7436</t>
  </si>
  <si>
    <t>Ficha De Búsqueda</t>
  </si>
  <si>
    <t>Radioescucha reporta fuga de agua en calzada de Cuesco, ya hasta levanto el pavimento</t>
  </si>
  <si>
    <t>Más de 7 mil 500 estudiantes concluyen su formación en el CECyTEH, AUDIO APOYO</t>
  </si>
  <si>
    <t>Graduación</t>
  </si>
  <si>
    <t>Sector industrial de Hidalgo consolida su posición como el más dinámico de todo el país</t>
  </si>
  <si>
    <t>Sedeco</t>
  </si>
  <si>
    <t>Índice De Actividad Industrial</t>
  </si>
  <si>
    <t>Fortalece IHE el intercambio académico con docentes de Estados Unidos</t>
  </si>
  <si>
    <t>Intercambio académico</t>
  </si>
  <si>
    <t>Cuatro docentes del Distrito Escolar Legislo en Oregón, Estados Unidos, realizaron una estancia académica en Hidalgo como parte del programa binacional de educación migrante con el objetivo de fortalecer el intercambio de experiencias pedagógicas con maestras y maestros de educación preescolar. El secretario de Educación Pública de Hidalgo, Natividad Castrejón Valdés, informó que durante dos semanas las y los profesores desarrollaron actividades en la región de Tula de Allende, donde conocieron al sistema educativo mexicano y principios de la nueva escuela mexicana. Durante su visita participaron en observaciones de aula, compartieron estrategias de enseñanza y buenas prácticas educativas, fortaleciendo la colaboración académica entre Hidalgo y Estados Unidos en favor de una educación incluyente y de calidad.</t>
  </si>
  <si>
    <t>Un hombre fue localizado sin vida la mañana del sábado a un costado de la autopista Arco Norte, en el tramo correspondiente al municipio de Atitalaquia. De acuerdo con la Guardia Nacional, el hallazgo ocurrió a la altura del kilómetro ochenta y seis, luego de que automovilistas reportaron la presencia de una persona aparentemente lesionada. Al arribar al sitio, elementos de seguridad y cuerpos de emergencia confirmaron que la víctima ya no contaba con signos vitales. El cuerpo presentaba huellas de violencia y al menos diez impactos de arma de fuego calibre nueve milímetros</t>
  </si>
  <si>
    <t>Radioescucha pide apoyo para luminarias en Avenida el Palmar en la esquina de la casa de la 3era edad</t>
  </si>
  <si>
    <t>Luminarias</t>
  </si>
  <si>
    <t>Asociaciones protectoras de animales hicieron un llamado al Gobierno Municipal de Nopala de Villagrán y a la Procuraduría General de Justicia del Estado de Hidalgo (PGJEH) para que se investigue y sancione un presunto caso de maltrato animal ocurrido en la entrada de la comunidad de Jagüey.De acuerdo con una denuncia ciudadana, un perrito habría sido arrastrado por una motocicleta, hecho que ha causado indignación entre habitantes y defensores de los animales.</t>
  </si>
  <si>
    <t>También hoy en la mañanera de Hidalgo, el titular de la Unidad de Planeación y Prospectiva, Miguel Ángel Tello Vargas, habló sobre las acciones que lleva a cabo el Gobierno de Hidalgo para evitar afectaciones por el fenómeno meteorológico “El Niño”.AUDIO APOYO</t>
  </si>
  <si>
    <t>Durante la conferencia de prensa del día de hoy, el Oficial Mayor Orlando Ángeles habló de la recuperación de más de 386 inmuebles. , AUDIO APOYO</t>
  </si>
  <si>
    <t>Oficialía Mayor</t>
  </si>
  <si>
    <t>El secretario de Educación Pública de Hidalgo, Naty Castrejón, estuvo hoy en la mañanera de Hidalgo, compartió información de las alumnas y alumnos que finalizaron su ciclo escolar: “Porque cada paso que damos en educación es también un paso para el Hidalgo que todas y todos queremos y soñamos”. AUDIO APOYO</t>
  </si>
  <si>
    <t>Julio Menchaca entrega Presea al Mérito Jurídico a la primera notaria de Hidalgo, AUDIO APOYO</t>
  </si>
  <si>
    <t>En otros temas, mayoridades de los tres órdenes de gobierno presentaron avances en la atención de las solicitudes ciudadanas durante la sesión de respuestas de la mesa de acercamiento para el bienestar y la paz de la zona metropolitana, que comprende a Pachuca, Mineral de la Reforma y Zempoala. El secretario de gobierno Guillermo Olivares Reina afirmó que por instrucción del gobernador Julio Menchaca, estas reuniones buscan no sólo escuchar a la población, sino dar seguimiento y ofrecer soluciones concretas a sus demandas. Durante la sesión se informaron acciones en materia de seguridad, movilidad, infraestructura, servicios públicos y prevención de la violencia contra las mujeres. Además, habitantes reconocieron avances en colonias como Prado San Cristóbal, donde señalaron que tras años de gestiones finalmente comenzaron a obtener respuestas a sus principales necesidades.</t>
  </si>
  <si>
    <t>Mesas de acercamiento</t>
  </si>
  <si>
    <t>Los primeros rayos del sol sobre los atlantes de la zona arqueológica de Tula pudieron disfrutarse a través de la experiencia de amaneceres toltecas. Este es un recorrido que combina arqueología, astronomía y naturaleza. La Secretaría de Turismo de Hidalgo, a cargo de Elizabeth Quintanar Gómez, informó que Tula es una de las tres zonas arqueológicas del país que tienen este programa. Gracias a este programa que ha despertado el interés de visitantes nacionales e internacionales y permite difundir el patrimonio histórico y los trabajos de excavación del sitio. AUDIO DE APOYO</t>
  </si>
  <si>
    <t>Mundial De Futbol</t>
  </si>
  <si>
    <t>Ante los pronósticos de una mayor actividad ciclónica y una prolongación de la temporada de lluvias como consecuencia del fenómeno de El Niño, Protección Civil Estatal mantiene una estrategia permanente de prevención, capacitación y coordinación institucional para salvaguardar a las familias de todas las regiones de la entidad. El Subsecretario de Protección Civil y Gestión de Riesgos, Román Bernal Díaz, informó que como parte de esta estrategia, la dependencia realiza capacitaciones en los municipios para que las autoridades locales, delegados y habitantes identifiquen los riesgos propios de sus comunidades, conozcan los protocolos de actuación y fortalezcan las brigadas comunitarias de protección civil encargadas de activar los procedimientos de alertamiento y evacuación cuando las condiciones lo requieran.</t>
  </si>
  <si>
    <t>El juicio por el presunto triple feminicidio ocurrido en la localidad de San Isidro, en el municipio de Santiago Tulantepec en 2024, entró en una etapa decisiva luego de que el tribunal resolviera excluir tres testimonios considerados clave para el caso.En más reciente audiencia, los jueces determinaron en unanimidad desistir del testimonio de Mónica Sepúlveda, madre de una de las víctimas, debido a que no ha mantenido comunicación con las autoridades ni con su defensa legal y tampoco ha asistido a las audiencias, aun cuando contaba con autorización para participar de manera remota desde Tijuana.La defensa de las víctimas solicitó un nuevo aplazamiento con el objetivo de intentar localizarla nuevamente; sin embargo, el tribunal rechazó la petición y ordenó retirar su declaración del conjunto de pruebas que serán valoradas para dictar sentencia.</t>
  </si>
  <si>
    <t>TSJEH</t>
  </si>
  <si>
    <t>Proceso Por Feminicidio</t>
  </si>
  <si>
    <t>Hablemos de el tren AIFA a Pachuca, de este tren que va a ir desde el aeropuerto internacional Felipe Ángeles a la capital hidalguense. Ya registró un avance del 36 por ciento en su construcción y entró en la etapa de preparación para el tendido de vías. Formó la presidenta Claudia Sheinbaum Pardo durante un recorrido de supervisión de la obra. Vamos recorriendo el trazo del tren Felipe Ángeles, ya es la plataforma de terraplén donde va a ir la vía, de el tren aeropuerto internacional Felipe Ángeles a Pachuca, que son 58 kilómetros y ya va el 36 por ciento de avance. Son viaductos de 10 kilómetros en segundo piso y 47 de terraplén. Bueno, este proyecto se pretende que se finalice hasta el 2027. AUDIO DE APOYO</t>
  </si>
  <si>
    <t>Los verificentros de Hidalgo podrán ser sancionados con multas de hasta 2 millones 346 mil pesos si permiten o facilitan prácticas irregulares durante la verificación vehicular.</t>
  </si>
  <si>
    <t>Verificación vehicular</t>
  </si>
  <si>
    <t>Radioescucha reporta que se necesita bacheo en Fraccionamiento Villas del Álamo, las vialidades estan en muy mal estado</t>
  </si>
  <si>
    <t>Radioescucha pide arreglar la entrada de la calle Leona Vicario en Santa Julia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</si>
</sst>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8" tableType="queryTable" totalsRowShown="0">
  <autoFilter ref="A1:M138"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8"/>
  <sheetViews>
    <sheetView tabSelected="1" topLeftCell="A103" workbookViewId="0">
      <selection activeCell="C138" sqref="C138"/>
    </sheetView>
  </sheetViews>
  <sheetFormatPr baseColWidth="10" defaultRowHeight="15" x14ac:dyDescent="0.25"/>
  <cols>
    <col min="1" max="1" width="8.5703125" bestFit="1" customWidth="1"/>
    <col min="2" max="2" width="11.42578125" bestFit="1" customWidth="1"/>
    <col min="3" max="3" width="26" bestFit="1" customWidth="1"/>
    <col min="4" max="4" width="47.2851562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46213</v>
      </c>
      <c r="B2" s="1" t="str">
        <f ca="1">IF(Información1[[#This Row],[Fecha]]='Ajuste de fechas'!$A$2,"Día actual","Día anterior")</f>
        <v>Día anterior</v>
      </c>
      <c r="C2" s="3" t="s">
        <v>16</v>
      </c>
      <c r="D2" t="s">
        <v>53</v>
      </c>
      <c r="E2" s="3" t="s">
        <v>89</v>
      </c>
      <c r="F2" s="3" t="s">
        <v>38</v>
      </c>
      <c r="G2" s="3" t="s">
        <v>86</v>
      </c>
      <c r="H2" s="3" t="s">
        <v>8</v>
      </c>
      <c r="I2" s="3" t="s">
        <v>7</v>
      </c>
      <c r="J2" s="3" t="s">
        <v>31</v>
      </c>
      <c r="K2" s="3" t="s">
        <v>54</v>
      </c>
      <c r="L2" s="3" t="s">
        <v>36</v>
      </c>
      <c r="M2">
        <v>1</v>
      </c>
    </row>
    <row r="3" spans="1:13" x14ac:dyDescent="0.25">
      <c r="A3" s="2">
        <v>46213</v>
      </c>
      <c r="B3" s="1" t="str">
        <f ca="1">IF(Información1[[#This Row],[Fecha]]='Ajuste de fechas'!$A$2,"Día actual","Día anterior")</f>
        <v>Día anterior</v>
      </c>
      <c r="C3" s="3" t="s">
        <v>41</v>
      </c>
      <c r="D3" t="s">
        <v>42</v>
      </c>
      <c r="E3" s="3" t="s">
        <v>90</v>
      </c>
      <c r="F3" s="3" t="s">
        <v>6</v>
      </c>
      <c r="G3" s="3" t="s">
        <v>52</v>
      </c>
      <c r="H3" s="3" t="s">
        <v>8</v>
      </c>
      <c r="I3" s="3" t="s">
        <v>14</v>
      </c>
      <c r="J3" s="3" t="s">
        <v>31</v>
      </c>
      <c r="K3" s="3" t="s">
        <v>43</v>
      </c>
      <c r="L3" s="3" t="s">
        <v>25</v>
      </c>
      <c r="M3">
        <v>1</v>
      </c>
    </row>
    <row r="4" spans="1:13" x14ac:dyDescent="0.25">
      <c r="A4" s="2">
        <v>46213</v>
      </c>
      <c r="B4" s="1" t="str">
        <f ca="1">IF(Información1[[#This Row],[Fecha]]='Ajuste de fechas'!$A$2,"Día actual","Día anterior")</f>
        <v>Día anterior</v>
      </c>
      <c r="C4" s="3" t="s">
        <v>41</v>
      </c>
      <c r="D4" t="s">
        <v>42</v>
      </c>
      <c r="E4" s="3" t="s">
        <v>91</v>
      </c>
      <c r="F4" s="3" t="s">
        <v>6</v>
      </c>
      <c r="G4" s="3" t="s">
        <v>52</v>
      </c>
      <c r="H4" s="3" t="s">
        <v>8</v>
      </c>
      <c r="I4" s="3" t="s">
        <v>14</v>
      </c>
      <c r="J4" s="3" t="s">
        <v>31</v>
      </c>
      <c r="K4" s="3" t="s">
        <v>37</v>
      </c>
      <c r="L4" s="3" t="s">
        <v>25</v>
      </c>
      <c r="M4">
        <v>1</v>
      </c>
    </row>
    <row r="5" spans="1:13" x14ac:dyDescent="0.25">
      <c r="A5" s="2">
        <v>46213</v>
      </c>
      <c r="B5" s="1" t="str">
        <f ca="1">IF(Información1[[#This Row],[Fecha]]='Ajuste de fechas'!$A$2,"Día actual","Día anterior")</f>
        <v>Día anterior</v>
      </c>
      <c r="C5" s="3" t="s">
        <v>41</v>
      </c>
      <c r="D5" t="s">
        <v>42</v>
      </c>
      <c r="E5" s="3" t="s">
        <v>92</v>
      </c>
      <c r="F5" s="3" t="s">
        <v>6</v>
      </c>
      <c r="G5" s="3" t="s">
        <v>52</v>
      </c>
      <c r="H5" s="3" t="s">
        <v>8</v>
      </c>
      <c r="I5" s="3" t="s">
        <v>14</v>
      </c>
      <c r="J5" s="3" t="s">
        <v>31</v>
      </c>
      <c r="K5" s="3" t="s">
        <v>37</v>
      </c>
      <c r="L5" s="3" t="s">
        <v>25</v>
      </c>
      <c r="M5">
        <v>1</v>
      </c>
    </row>
    <row r="6" spans="1:13" x14ac:dyDescent="0.25">
      <c r="A6" s="2">
        <v>46213</v>
      </c>
      <c r="B6" s="1" t="str">
        <f ca="1">IF(Información1[[#This Row],[Fecha]]='Ajuste de fechas'!$A$2,"Día actual","Día anterior")</f>
        <v>Día anterior</v>
      </c>
      <c r="C6" s="3" t="s">
        <v>41</v>
      </c>
      <c r="D6" t="s">
        <v>42</v>
      </c>
      <c r="E6" s="3" t="s">
        <v>93</v>
      </c>
      <c r="F6" s="3" t="s">
        <v>38</v>
      </c>
      <c r="G6" s="3" t="s">
        <v>71</v>
      </c>
      <c r="H6" s="3" t="s">
        <v>8</v>
      </c>
      <c r="I6" s="3" t="s">
        <v>14</v>
      </c>
      <c r="J6" s="3" t="s">
        <v>31</v>
      </c>
      <c r="K6" s="3" t="s">
        <v>37</v>
      </c>
      <c r="L6" s="3" t="s">
        <v>25</v>
      </c>
      <c r="M6">
        <v>1</v>
      </c>
    </row>
    <row r="7" spans="1:13" x14ac:dyDescent="0.25">
      <c r="A7" s="2">
        <v>46213</v>
      </c>
      <c r="B7" s="1" t="str">
        <f ca="1">IF(Información1[[#This Row],[Fecha]]='Ajuste de fechas'!$A$2,"Día actual","Día anterior")</f>
        <v>Día anterior</v>
      </c>
      <c r="C7" s="3" t="s">
        <v>41</v>
      </c>
      <c r="D7" t="s">
        <v>42</v>
      </c>
      <c r="E7" s="3" t="s">
        <v>94</v>
      </c>
      <c r="F7" s="3" t="s">
        <v>10</v>
      </c>
      <c r="G7" s="3" t="s">
        <v>95</v>
      </c>
      <c r="H7" s="3" t="s">
        <v>8</v>
      </c>
      <c r="I7" s="3" t="s">
        <v>7</v>
      </c>
      <c r="J7" s="3" t="s">
        <v>33</v>
      </c>
      <c r="K7" s="3" t="s">
        <v>43</v>
      </c>
      <c r="L7" s="3" t="s">
        <v>24</v>
      </c>
      <c r="M7">
        <v>1</v>
      </c>
    </row>
    <row r="8" spans="1:13" x14ac:dyDescent="0.25">
      <c r="A8" s="2">
        <v>46213</v>
      </c>
      <c r="B8" s="1" t="str">
        <f ca="1">IF(Información1[[#This Row],[Fecha]]='Ajuste de fechas'!$A$2,"Día actual","Día anterior")</f>
        <v>Día anterior</v>
      </c>
      <c r="C8" s="3" t="s">
        <v>41</v>
      </c>
      <c r="D8" t="s">
        <v>42</v>
      </c>
      <c r="E8" s="3" t="s">
        <v>44</v>
      </c>
      <c r="F8" s="3" t="s">
        <v>10</v>
      </c>
      <c r="G8" s="3" t="s">
        <v>45</v>
      </c>
      <c r="H8" s="3" t="s">
        <v>8</v>
      </c>
      <c r="I8" s="3" t="s">
        <v>40</v>
      </c>
      <c r="J8" s="3" t="s">
        <v>33</v>
      </c>
      <c r="K8" s="3" t="s">
        <v>43</v>
      </c>
      <c r="L8" s="3" t="s">
        <v>25</v>
      </c>
      <c r="M8">
        <v>1</v>
      </c>
    </row>
    <row r="9" spans="1:13" x14ac:dyDescent="0.25">
      <c r="A9" s="2">
        <v>46213</v>
      </c>
      <c r="B9" s="1" t="str">
        <f ca="1">IF(Información1[[#This Row],[Fecha]]='Ajuste de fechas'!$A$2,"Día actual","Día anterior")</f>
        <v>Día anterior</v>
      </c>
      <c r="C9" s="3" t="s">
        <v>41</v>
      </c>
      <c r="D9" t="s">
        <v>42</v>
      </c>
      <c r="E9" s="3" t="s">
        <v>46</v>
      </c>
      <c r="F9" s="3" t="s">
        <v>10</v>
      </c>
      <c r="G9" s="3" t="s">
        <v>45</v>
      </c>
      <c r="H9" s="3" t="s">
        <v>8</v>
      </c>
      <c r="I9" s="3" t="s">
        <v>40</v>
      </c>
      <c r="J9" s="3" t="s">
        <v>33</v>
      </c>
      <c r="K9" s="3" t="s">
        <v>43</v>
      </c>
      <c r="L9" s="3" t="s">
        <v>25</v>
      </c>
      <c r="M9">
        <v>1</v>
      </c>
    </row>
    <row r="10" spans="1:13" x14ac:dyDescent="0.25">
      <c r="A10" s="2">
        <v>46213</v>
      </c>
      <c r="B10" s="1" t="str">
        <f ca="1">IF(Información1[[#This Row],[Fecha]]='Ajuste de fechas'!$A$2,"Día actual","Día anterior")</f>
        <v>Día anterior</v>
      </c>
      <c r="C10" s="3" t="s">
        <v>41</v>
      </c>
      <c r="D10" t="s">
        <v>42</v>
      </c>
      <c r="E10" s="3" t="s">
        <v>47</v>
      </c>
      <c r="F10" s="3" t="s">
        <v>34</v>
      </c>
      <c r="G10" s="3" t="s">
        <v>45</v>
      </c>
      <c r="H10" s="3" t="s">
        <v>8</v>
      </c>
      <c r="I10" s="3" t="s">
        <v>40</v>
      </c>
      <c r="J10" s="3" t="s">
        <v>31</v>
      </c>
      <c r="K10" s="3" t="s">
        <v>43</v>
      </c>
      <c r="L10" s="3" t="s">
        <v>25</v>
      </c>
      <c r="M10">
        <v>1</v>
      </c>
    </row>
    <row r="11" spans="1:13" x14ac:dyDescent="0.25">
      <c r="A11" s="2">
        <v>46213</v>
      </c>
      <c r="B11" s="1" t="str">
        <f ca="1">IF(Información1[[#This Row],[Fecha]]='Ajuste de fechas'!$A$2,"Día actual","Día anterior")</f>
        <v>Día anterior</v>
      </c>
      <c r="C11" s="3" t="s">
        <v>41</v>
      </c>
      <c r="D11" t="s">
        <v>42</v>
      </c>
      <c r="E11" s="3" t="s">
        <v>51</v>
      </c>
      <c r="F11" s="3" t="s">
        <v>30</v>
      </c>
      <c r="G11" s="3" t="s">
        <v>45</v>
      </c>
      <c r="H11" s="3" t="s">
        <v>8</v>
      </c>
      <c r="I11" s="3" t="s">
        <v>40</v>
      </c>
      <c r="J11" s="3" t="s">
        <v>13</v>
      </c>
      <c r="K11" s="3" t="s">
        <v>43</v>
      </c>
      <c r="L11" s="3" t="s">
        <v>25</v>
      </c>
      <c r="M11">
        <v>1</v>
      </c>
    </row>
    <row r="12" spans="1:13" x14ac:dyDescent="0.25">
      <c r="A12" s="2">
        <v>46213</v>
      </c>
      <c r="B12" s="1" t="str">
        <f ca="1">IF(Información1[[#This Row],[Fecha]]='Ajuste de fechas'!$A$2,"Día actual","Día anterior")</f>
        <v>Día anterior</v>
      </c>
      <c r="C12" s="3" t="s">
        <v>41</v>
      </c>
      <c r="D12" t="s">
        <v>42</v>
      </c>
      <c r="E12" s="3" t="s">
        <v>48</v>
      </c>
      <c r="F12" s="3" t="s">
        <v>9</v>
      </c>
      <c r="G12" s="3" t="s">
        <v>45</v>
      </c>
      <c r="H12" s="3" t="s">
        <v>8</v>
      </c>
      <c r="I12" s="3" t="s">
        <v>40</v>
      </c>
      <c r="J12" s="3" t="s">
        <v>31</v>
      </c>
      <c r="K12" s="3" t="s">
        <v>43</v>
      </c>
      <c r="L12" s="3" t="s">
        <v>25</v>
      </c>
      <c r="M12">
        <v>1</v>
      </c>
    </row>
    <row r="13" spans="1:13" x14ac:dyDescent="0.25">
      <c r="A13" s="2">
        <v>46213</v>
      </c>
      <c r="B13" s="1" t="str">
        <f ca="1">IF(Información1[[#This Row],[Fecha]]='Ajuste de fechas'!$A$2,"Día actual","Día anterior")</f>
        <v>Día anterior</v>
      </c>
      <c r="C13" s="3" t="s">
        <v>41</v>
      </c>
      <c r="D13" t="s">
        <v>42</v>
      </c>
      <c r="E13" s="3" t="s">
        <v>49</v>
      </c>
      <c r="F13" s="3" t="s">
        <v>38</v>
      </c>
      <c r="G13" s="3" t="s">
        <v>45</v>
      </c>
      <c r="H13" s="3" t="s">
        <v>8</v>
      </c>
      <c r="I13" s="3" t="s">
        <v>40</v>
      </c>
      <c r="J13" s="3" t="s">
        <v>31</v>
      </c>
      <c r="K13" s="3" t="s">
        <v>43</v>
      </c>
      <c r="L13" s="3" t="s">
        <v>25</v>
      </c>
      <c r="M13">
        <v>1</v>
      </c>
    </row>
    <row r="14" spans="1:13" x14ac:dyDescent="0.25">
      <c r="A14" s="2">
        <v>46213</v>
      </c>
      <c r="B14" s="1" t="str">
        <f ca="1">IF(Información1[[#This Row],[Fecha]]='Ajuste de fechas'!$A$2,"Día actual","Día anterior")</f>
        <v>Día anterior</v>
      </c>
      <c r="C14" s="3" t="s">
        <v>41</v>
      </c>
      <c r="D14" t="s">
        <v>42</v>
      </c>
      <c r="E14" s="3" t="s">
        <v>50</v>
      </c>
      <c r="F14" s="3" t="s">
        <v>6</v>
      </c>
      <c r="G14" s="3" t="s">
        <v>45</v>
      </c>
      <c r="H14" s="3" t="s">
        <v>8</v>
      </c>
      <c r="I14" s="3" t="s">
        <v>40</v>
      </c>
      <c r="J14" s="3" t="s">
        <v>31</v>
      </c>
      <c r="K14" s="3" t="s">
        <v>43</v>
      </c>
      <c r="L14" s="3" t="s">
        <v>25</v>
      </c>
      <c r="M14">
        <v>1</v>
      </c>
    </row>
    <row r="15" spans="1:13" x14ac:dyDescent="0.25">
      <c r="A15" s="2">
        <v>46213</v>
      </c>
      <c r="B15" s="1" t="str">
        <f ca="1">IF(Información1[[#This Row],[Fecha]]='Ajuste de fechas'!$A$2,"Día actual","Día anterior")</f>
        <v>Día anterior</v>
      </c>
      <c r="C15" s="3" t="s">
        <v>16</v>
      </c>
      <c r="D15" t="s">
        <v>78</v>
      </c>
      <c r="E15" s="3" t="s">
        <v>96</v>
      </c>
      <c r="F15" s="3" t="s">
        <v>9</v>
      </c>
      <c r="G15" s="3" t="s">
        <v>97</v>
      </c>
      <c r="H15" s="3" t="s">
        <v>8</v>
      </c>
      <c r="I15" s="3" t="s">
        <v>7</v>
      </c>
      <c r="J15" s="3" t="s">
        <v>31</v>
      </c>
      <c r="K15" s="3" t="s">
        <v>79</v>
      </c>
      <c r="L15" s="3" t="s">
        <v>26</v>
      </c>
      <c r="M15">
        <v>1</v>
      </c>
    </row>
    <row r="16" spans="1:13" x14ac:dyDescent="0.25">
      <c r="A16" s="2">
        <v>46213</v>
      </c>
      <c r="B16" s="1" t="str">
        <f ca="1">IF(Información1[[#This Row],[Fecha]]='Ajuste de fechas'!$A$2,"Día actual","Día anterior")</f>
        <v>Día anterior</v>
      </c>
      <c r="C16" s="3" t="s">
        <v>41</v>
      </c>
      <c r="D16" t="s">
        <v>42</v>
      </c>
      <c r="E16" s="3" t="s">
        <v>98</v>
      </c>
      <c r="F16" s="3" t="s">
        <v>10</v>
      </c>
      <c r="G16" s="3" t="s">
        <v>84</v>
      </c>
      <c r="H16" s="3" t="s">
        <v>8</v>
      </c>
      <c r="I16" s="3" t="s">
        <v>7</v>
      </c>
      <c r="J16" s="3" t="s">
        <v>33</v>
      </c>
      <c r="K16" s="3" t="s">
        <v>43</v>
      </c>
      <c r="L16" s="3" t="s">
        <v>24</v>
      </c>
      <c r="M16">
        <v>1</v>
      </c>
    </row>
    <row r="17" spans="1:13" x14ac:dyDescent="0.25">
      <c r="A17" s="2">
        <v>46213</v>
      </c>
      <c r="B17" s="1" t="str">
        <f ca="1">IF(Información1[[#This Row],[Fecha]]='Ajuste de fechas'!$A$2,"Día actual","Día anterior")</f>
        <v>Día anterior</v>
      </c>
      <c r="C17" s="3" t="s">
        <v>16</v>
      </c>
      <c r="D17" t="s">
        <v>78</v>
      </c>
      <c r="E17" s="3" t="s">
        <v>99</v>
      </c>
      <c r="F17" s="3" t="s">
        <v>10</v>
      </c>
      <c r="G17" s="3" t="s">
        <v>87</v>
      </c>
      <c r="H17" s="3" t="s">
        <v>8</v>
      </c>
      <c r="I17" s="3" t="s">
        <v>7</v>
      </c>
      <c r="J17" s="3" t="s">
        <v>33</v>
      </c>
      <c r="K17" s="3" t="s">
        <v>79</v>
      </c>
      <c r="L17" s="3" t="s">
        <v>24</v>
      </c>
      <c r="M17">
        <v>1</v>
      </c>
    </row>
    <row r="18" spans="1:13" x14ac:dyDescent="0.25">
      <c r="A18" s="2">
        <v>46213</v>
      </c>
      <c r="B18" s="1" t="str">
        <f ca="1">IF(Información1[[#This Row],[Fecha]]='Ajuste de fechas'!$A$2,"Día actual","Día anterior")</f>
        <v>Día anterior</v>
      </c>
      <c r="C18" s="3" t="s">
        <v>16</v>
      </c>
      <c r="D18" t="s">
        <v>78</v>
      </c>
      <c r="E18" s="3" t="s">
        <v>100</v>
      </c>
      <c r="F18" s="3" t="s">
        <v>12</v>
      </c>
      <c r="G18" s="3" t="s">
        <v>76</v>
      </c>
      <c r="H18" s="3" t="s">
        <v>8</v>
      </c>
      <c r="I18" s="3" t="s">
        <v>7</v>
      </c>
      <c r="J18" s="3" t="s">
        <v>31</v>
      </c>
      <c r="K18" s="3" t="s">
        <v>79</v>
      </c>
      <c r="L18" s="3" t="s">
        <v>24</v>
      </c>
      <c r="M18">
        <v>1</v>
      </c>
    </row>
    <row r="19" spans="1:13" x14ac:dyDescent="0.25">
      <c r="A19" s="2">
        <v>46213</v>
      </c>
      <c r="B19" s="1" t="str">
        <f ca="1">IF(Información1[[#This Row],[Fecha]]='Ajuste de fechas'!$A$2,"Día actual","Día anterior")</f>
        <v>Día anterior</v>
      </c>
      <c r="C19" s="3" t="s">
        <v>16</v>
      </c>
      <c r="D19" t="s">
        <v>78</v>
      </c>
      <c r="E19" s="3" t="s">
        <v>101</v>
      </c>
      <c r="F19" s="3" t="s">
        <v>12</v>
      </c>
      <c r="G19" s="3" t="s">
        <v>76</v>
      </c>
      <c r="H19" s="3" t="s">
        <v>8</v>
      </c>
      <c r="I19" s="3" t="s">
        <v>7</v>
      </c>
      <c r="J19" s="3" t="s">
        <v>31</v>
      </c>
      <c r="K19" s="3" t="s">
        <v>79</v>
      </c>
      <c r="L19" s="3" t="s">
        <v>24</v>
      </c>
      <c r="M19">
        <v>1</v>
      </c>
    </row>
    <row r="20" spans="1:13" x14ac:dyDescent="0.25">
      <c r="A20" s="2">
        <v>46213</v>
      </c>
      <c r="B20" s="1" t="str">
        <f ca="1">IF(Información1[[#This Row],[Fecha]]='Ajuste de fechas'!$A$2,"Día actual","Día anterior")</f>
        <v>Día anterior</v>
      </c>
      <c r="C20" s="3" t="s">
        <v>41</v>
      </c>
      <c r="D20" t="s">
        <v>42</v>
      </c>
      <c r="E20" s="3" t="s">
        <v>102</v>
      </c>
      <c r="F20" s="3" t="s">
        <v>75</v>
      </c>
      <c r="G20" s="3" t="s">
        <v>103</v>
      </c>
      <c r="H20" s="3" t="s">
        <v>8</v>
      </c>
      <c r="I20" s="3" t="s">
        <v>14</v>
      </c>
      <c r="J20" s="3" t="s">
        <v>31</v>
      </c>
      <c r="K20" s="3" t="s">
        <v>37</v>
      </c>
      <c r="L20" s="3" t="s">
        <v>25</v>
      </c>
      <c r="M20">
        <v>1</v>
      </c>
    </row>
    <row r="21" spans="1:13" x14ac:dyDescent="0.25">
      <c r="A21" s="2">
        <v>46213</v>
      </c>
      <c r="B21" s="1" t="str">
        <f ca="1">IF(Información1[[#This Row],[Fecha]]='Ajuste de fechas'!$A$2,"Día actual","Día anterior")</f>
        <v>Día anterior</v>
      </c>
      <c r="C21" s="3" t="s">
        <v>41</v>
      </c>
      <c r="D21" t="s">
        <v>42</v>
      </c>
      <c r="E21" s="3" t="s">
        <v>104</v>
      </c>
      <c r="F21" s="3" t="s">
        <v>30</v>
      </c>
      <c r="G21" s="3" t="s">
        <v>105</v>
      </c>
      <c r="H21" s="3" t="s">
        <v>8</v>
      </c>
      <c r="I21" s="3" t="s">
        <v>7</v>
      </c>
      <c r="J21" s="3" t="s">
        <v>13</v>
      </c>
      <c r="K21" s="3" t="s">
        <v>43</v>
      </c>
      <c r="L21" s="3" t="s">
        <v>24</v>
      </c>
      <c r="M21">
        <v>1</v>
      </c>
    </row>
    <row r="22" spans="1:13" x14ac:dyDescent="0.25">
      <c r="A22" s="2">
        <v>46213</v>
      </c>
      <c r="B22" s="1" t="str">
        <f ca="1">IF(Información1[[#This Row],[Fecha]]='Ajuste de fechas'!$A$2,"Día actual","Día anterior")</f>
        <v>Día anterior</v>
      </c>
      <c r="C22" s="3" t="s">
        <v>41</v>
      </c>
      <c r="D22" t="s">
        <v>42</v>
      </c>
      <c r="E22" s="3" t="s">
        <v>106</v>
      </c>
      <c r="F22" s="3" t="s">
        <v>9</v>
      </c>
      <c r="G22" s="3" t="s">
        <v>72</v>
      </c>
      <c r="H22" s="3" t="s">
        <v>8</v>
      </c>
      <c r="I22" s="3" t="s">
        <v>7</v>
      </c>
      <c r="J22" s="3" t="s">
        <v>31</v>
      </c>
      <c r="K22" s="3" t="s">
        <v>37</v>
      </c>
      <c r="L22" s="3" t="s">
        <v>25</v>
      </c>
      <c r="M22">
        <v>1</v>
      </c>
    </row>
    <row r="23" spans="1:13" x14ac:dyDescent="0.25">
      <c r="A23" s="2">
        <v>46213</v>
      </c>
      <c r="B23" s="1" t="str">
        <f ca="1">IF(Información1[[#This Row],[Fecha]]='Ajuste de fechas'!$A$2,"Día actual","Día anterior")</f>
        <v>Día anterior</v>
      </c>
      <c r="C23" s="3" t="s">
        <v>41</v>
      </c>
      <c r="D23" t="s">
        <v>42</v>
      </c>
      <c r="E23" s="3" t="s">
        <v>107</v>
      </c>
      <c r="F23" s="3" t="s">
        <v>9</v>
      </c>
      <c r="G23" s="3" t="s">
        <v>72</v>
      </c>
      <c r="H23" s="3" t="s">
        <v>8</v>
      </c>
      <c r="I23" s="3" t="s">
        <v>7</v>
      </c>
      <c r="J23" s="3" t="s">
        <v>31</v>
      </c>
      <c r="K23" s="3" t="s">
        <v>37</v>
      </c>
      <c r="L23" s="3" t="s">
        <v>25</v>
      </c>
      <c r="M23">
        <v>1</v>
      </c>
    </row>
    <row r="24" spans="1:13" x14ac:dyDescent="0.25">
      <c r="A24" s="2">
        <v>46213</v>
      </c>
      <c r="B24" s="1" t="str">
        <f ca="1">IF(Información1[[#This Row],[Fecha]]='Ajuste de fechas'!$A$2,"Día actual","Día anterior")</f>
        <v>Día anterior</v>
      </c>
      <c r="C24" s="3" t="s">
        <v>41</v>
      </c>
      <c r="D24" t="s">
        <v>42</v>
      </c>
      <c r="E24" s="3" t="s">
        <v>108</v>
      </c>
      <c r="F24" s="3" t="s">
        <v>9</v>
      </c>
      <c r="G24" s="3" t="s">
        <v>72</v>
      </c>
      <c r="H24" s="3" t="s">
        <v>8</v>
      </c>
      <c r="I24" s="3" t="s">
        <v>7</v>
      </c>
      <c r="J24" s="3" t="s">
        <v>31</v>
      </c>
      <c r="K24" s="3" t="s">
        <v>37</v>
      </c>
      <c r="L24" s="3" t="s">
        <v>25</v>
      </c>
      <c r="M24">
        <v>1</v>
      </c>
    </row>
    <row r="25" spans="1:13" x14ac:dyDescent="0.25">
      <c r="A25" s="2">
        <v>46213</v>
      </c>
      <c r="B25" s="1" t="str">
        <f ca="1">IF(Información1[[#This Row],[Fecha]]='Ajuste de fechas'!$A$2,"Día actual","Día anterior")</f>
        <v>Día anterior</v>
      </c>
      <c r="C25" s="3" t="s">
        <v>16</v>
      </c>
      <c r="D25" t="s">
        <v>78</v>
      </c>
      <c r="E25" s="3" t="s">
        <v>109</v>
      </c>
      <c r="F25" s="3" t="s">
        <v>9</v>
      </c>
      <c r="G25" s="3" t="s">
        <v>110</v>
      </c>
      <c r="H25" s="3" t="s">
        <v>8</v>
      </c>
      <c r="I25" s="3" t="s">
        <v>14</v>
      </c>
      <c r="J25" s="3" t="s">
        <v>31</v>
      </c>
      <c r="K25" s="3" t="s">
        <v>79</v>
      </c>
      <c r="L25" s="3" t="s">
        <v>24</v>
      </c>
      <c r="M25">
        <v>1</v>
      </c>
    </row>
    <row r="26" spans="1:13" x14ac:dyDescent="0.25">
      <c r="A26" s="2">
        <v>46213</v>
      </c>
      <c r="B26" s="1" t="str">
        <f ca="1">IF(Información1[[#This Row],[Fecha]]='Ajuste de fechas'!$A$2,"Día actual","Día anterior")</f>
        <v>Día anterior</v>
      </c>
      <c r="C26" s="3" t="s">
        <v>41</v>
      </c>
      <c r="D26" t="s">
        <v>42</v>
      </c>
      <c r="E26" s="3" t="s">
        <v>111</v>
      </c>
      <c r="F26" s="3" t="s">
        <v>11</v>
      </c>
      <c r="G26" s="3" t="s">
        <v>112</v>
      </c>
      <c r="H26" s="3" t="s">
        <v>8</v>
      </c>
      <c r="I26" s="3" t="s">
        <v>14</v>
      </c>
      <c r="J26" s="3" t="s">
        <v>32</v>
      </c>
      <c r="K26" s="3" t="s">
        <v>37</v>
      </c>
      <c r="L26" s="3" t="s">
        <v>25</v>
      </c>
      <c r="M26">
        <v>1</v>
      </c>
    </row>
    <row r="27" spans="1:13" x14ac:dyDescent="0.25">
      <c r="A27" s="2">
        <v>46213</v>
      </c>
      <c r="B27" s="1" t="str">
        <f ca="1">IF(Información1[[#This Row],[Fecha]]='Ajuste de fechas'!$A$2,"Día actual","Día anterior")</f>
        <v>Día anterior</v>
      </c>
      <c r="C27" s="3" t="s">
        <v>16</v>
      </c>
      <c r="D27" t="s">
        <v>53</v>
      </c>
      <c r="E27" s="3" t="s">
        <v>113</v>
      </c>
      <c r="F27" s="3" t="s">
        <v>15</v>
      </c>
      <c r="G27" s="3" t="s">
        <v>114</v>
      </c>
      <c r="H27" s="3" t="s">
        <v>8</v>
      </c>
      <c r="I27" s="3" t="s">
        <v>7</v>
      </c>
      <c r="J27" s="3" t="s">
        <v>31</v>
      </c>
      <c r="K27" s="3" t="s">
        <v>54</v>
      </c>
      <c r="L27" s="3" t="s">
        <v>24</v>
      </c>
      <c r="M27">
        <v>1</v>
      </c>
    </row>
    <row r="28" spans="1:13" x14ac:dyDescent="0.25">
      <c r="A28" s="2">
        <v>46213</v>
      </c>
      <c r="B28" s="1" t="str">
        <f ca="1">IF(Información1[[#This Row],[Fecha]]='Ajuste de fechas'!$A$2,"Día actual","Día anterior")</f>
        <v>Día anterior</v>
      </c>
      <c r="C28" s="3" t="s">
        <v>41</v>
      </c>
      <c r="D28" t="s">
        <v>42</v>
      </c>
      <c r="E28" s="3" t="s">
        <v>115</v>
      </c>
      <c r="F28" s="3" t="s">
        <v>12</v>
      </c>
      <c r="G28" s="3" t="s">
        <v>116</v>
      </c>
      <c r="H28" s="3" t="s">
        <v>8</v>
      </c>
      <c r="I28" s="3" t="s">
        <v>7</v>
      </c>
      <c r="J28" s="3" t="s">
        <v>31</v>
      </c>
      <c r="K28" s="3" t="s">
        <v>43</v>
      </c>
      <c r="L28" s="3" t="s">
        <v>24</v>
      </c>
      <c r="M28">
        <v>1</v>
      </c>
    </row>
    <row r="29" spans="1:13" x14ac:dyDescent="0.25">
      <c r="A29" s="2">
        <v>46213</v>
      </c>
      <c r="B29" s="1" t="str">
        <f ca="1">IF(Información1[[#This Row],[Fecha]]='Ajuste de fechas'!$A$2,"Día actual","Día anterior")</f>
        <v>Día anterior</v>
      </c>
      <c r="C29" s="3" t="s">
        <v>16</v>
      </c>
      <c r="D29" t="s">
        <v>78</v>
      </c>
      <c r="E29" s="3" t="s">
        <v>117</v>
      </c>
      <c r="F29" s="3" t="s">
        <v>9</v>
      </c>
      <c r="G29" s="3" t="s">
        <v>118</v>
      </c>
      <c r="H29" s="3" t="s">
        <v>8</v>
      </c>
      <c r="I29" s="3" t="s">
        <v>7</v>
      </c>
      <c r="J29" s="3" t="s">
        <v>31</v>
      </c>
      <c r="K29" s="3" t="s">
        <v>79</v>
      </c>
      <c r="L29" s="3" t="s">
        <v>24</v>
      </c>
      <c r="M29">
        <v>1</v>
      </c>
    </row>
    <row r="30" spans="1:13" x14ac:dyDescent="0.25">
      <c r="A30" s="2">
        <v>46213</v>
      </c>
      <c r="B30" s="1" t="str">
        <f ca="1">IF(Información1[[#This Row],[Fecha]]='Ajuste de fechas'!$A$2,"Día actual","Día anterior")</f>
        <v>Día anterior</v>
      </c>
      <c r="C30" s="3" t="s">
        <v>16</v>
      </c>
      <c r="D30" t="s">
        <v>78</v>
      </c>
      <c r="E30" s="3" t="s">
        <v>119</v>
      </c>
      <c r="F30" s="3" t="s">
        <v>69</v>
      </c>
      <c r="G30" s="3" t="s">
        <v>120</v>
      </c>
      <c r="H30" s="3" t="s">
        <v>8</v>
      </c>
      <c r="I30" s="3" t="s">
        <v>7</v>
      </c>
      <c r="J30" s="3" t="s">
        <v>31</v>
      </c>
      <c r="K30" s="3" t="s">
        <v>79</v>
      </c>
      <c r="L30" s="3" t="s">
        <v>26</v>
      </c>
      <c r="M30">
        <v>1</v>
      </c>
    </row>
    <row r="31" spans="1:13" x14ac:dyDescent="0.25">
      <c r="A31" s="2">
        <v>46213</v>
      </c>
      <c r="B31" s="1" t="str">
        <f ca="1">IF(Información1[[#This Row],[Fecha]]='Ajuste de fechas'!$A$2,"Día actual","Día anterior")</f>
        <v>Día anterior</v>
      </c>
      <c r="C31" s="3" t="s">
        <v>16</v>
      </c>
      <c r="D31" t="s">
        <v>53</v>
      </c>
      <c r="E31" s="3" t="s">
        <v>121</v>
      </c>
      <c r="F31" s="3" t="s">
        <v>15</v>
      </c>
      <c r="G31" s="3" t="s">
        <v>120</v>
      </c>
      <c r="H31" s="3" t="s">
        <v>8</v>
      </c>
      <c r="I31" s="3" t="s">
        <v>7</v>
      </c>
      <c r="J31" s="3" t="s">
        <v>31</v>
      </c>
      <c r="K31" s="3" t="s">
        <v>54</v>
      </c>
      <c r="L31" s="3" t="s">
        <v>24</v>
      </c>
      <c r="M31">
        <v>1</v>
      </c>
    </row>
    <row r="32" spans="1:13" x14ac:dyDescent="0.25">
      <c r="A32" s="2">
        <v>46213</v>
      </c>
      <c r="B32" s="1" t="str">
        <f ca="1">IF(Información1[[#This Row],[Fecha]]='Ajuste de fechas'!$A$2,"Día actual","Día anterior")</f>
        <v>Día anterior</v>
      </c>
      <c r="C32" s="3" t="s">
        <v>16</v>
      </c>
      <c r="D32" t="s">
        <v>53</v>
      </c>
      <c r="E32" s="3" t="s">
        <v>122</v>
      </c>
      <c r="F32" s="3" t="s">
        <v>15</v>
      </c>
      <c r="G32" s="3" t="s">
        <v>83</v>
      </c>
      <c r="H32" s="3" t="s">
        <v>8</v>
      </c>
      <c r="I32" s="3" t="s">
        <v>7</v>
      </c>
      <c r="J32" s="3" t="s">
        <v>31</v>
      </c>
      <c r="K32" s="3" t="s">
        <v>54</v>
      </c>
      <c r="L32" s="3" t="s">
        <v>25</v>
      </c>
      <c r="M32">
        <v>1</v>
      </c>
    </row>
    <row r="33" spans="1:13" x14ac:dyDescent="0.25">
      <c r="A33" s="2">
        <v>46213</v>
      </c>
      <c r="B33" s="1" t="str">
        <f ca="1">IF(Información1[[#This Row],[Fecha]]='Ajuste de fechas'!$A$2,"Día actual","Día anterior")</f>
        <v>Día anterior</v>
      </c>
      <c r="C33" s="3" t="s">
        <v>16</v>
      </c>
      <c r="D33" t="s">
        <v>53</v>
      </c>
      <c r="E33" s="3" t="s">
        <v>123</v>
      </c>
      <c r="F33" s="3" t="s">
        <v>15</v>
      </c>
      <c r="G33" s="3" t="s">
        <v>83</v>
      </c>
      <c r="H33" s="3" t="s">
        <v>8</v>
      </c>
      <c r="I33" s="3" t="s">
        <v>7</v>
      </c>
      <c r="J33" s="3" t="s">
        <v>31</v>
      </c>
      <c r="K33" s="3" t="s">
        <v>54</v>
      </c>
      <c r="L33" s="3" t="s">
        <v>24</v>
      </c>
      <c r="M33">
        <v>1</v>
      </c>
    </row>
    <row r="34" spans="1:13" x14ac:dyDescent="0.25">
      <c r="A34" s="2">
        <v>46213</v>
      </c>
      <c r="B34" s="1" t="str">
        <f ca="1">IF(Información1[[#This Row],[Fecha]]='Ajuste de fechas'!$A$2,"Día actual","Día anterior")</f>
        <v>Día anterior</v>
      </c>
      <c r="C34" s="3" t="s">
        <v>55</v>
      </c>
      <c r="D34" t="s">
        <v>81</v>
      </c>
      <c r="E34" s="3" t="s">
        <v>124</v>
      </c>
      <c r="F34" s="3" t="s">
        <v>75</v>
      </c>
      <c r="G34" s="3" t="s">
        <v>85</v>
      </c>
      <c r="H34" s="3" t="s">
        <v>8</v>
      </c>
      <c r="I34" s="3" t="s">
        <v>7</v>
      </c>
      <c r="J34" s="3" t="s">
        <v>31</v>
      </c>
      <c r="K34" s="3" t="s">
        <v>56</v>
      </c>
      <c r="L34" s="3" t="s">
        <v>26</v>
      </c>
      <c r="M34">
        <v>1</v>
      </c>
    </row>
    <row r="35" spans="1:13" x14ac:dyDescent="0.25">
      <c r="A35" s="2">
        <v>46213</v>
      </c>
      <c r="B35" s="1" t="str">
        <f ca="1">IF(Información1[[#This Row],[Fecha]]='Ajuste de fechas'!$A$2,"Día actual","Día anterior")</f>
        <v>Día anterior</v>
      </c>
      <c r="C35" s="3" t="s">
        <v>41</v>
      </c>
      <c r="D35" t="s">
        <v>42</v>
      </c>
      <c r="E35" s="3" t="s">
        <v>125</v>
      </c>
      <c r="F35" s="3" t="s">
        <v>38</v>
      </c>
      <c r="G35" s="3" t="s">
        <v>126</v>
      </c>
      <c r="H35" s="3" t="s">
        <v>8</v>
      </c>
      <c r="I35" s="3" t="s">
        <v>14</v>
      </c>
      <c r="J35" s="3" t="s">
        <v>31</v>
      </c>
      <c r="K35" s="3" t="s">
        <v>37</v>
      </c>
      <c r="L35" s="3" t="s">
        <v>25</v>
      </c>
      <c r="M35">
        <v>1</v>
      </c>
    </row>
    <row r="36" spans="1:13" x14ac:dyDescent="0.25">
      <c r="A36" s="2">
        <v>46213</v>
      </c>
      <c r="B36" s="1" t="str">
        <f ca="1">IF(Información1[[#This Row],[Fecha]]='Ajuste de fechas'!$A$2,"Día actual","Día anterior")</f>
        <v>Día anterior</v>
      </c>
      <c r="C36" s="3" t="s">
        <v>16</v>
      </c>
      <c r="D36" t="s">
        <v>78</v>
      </c>
      <c r="E36" s="3" t="s">
        <v>127</v>
      </c>
      <c r="F36" s="3" t="s">
        <v>39</v>
      </c>
      <c r="G36" s="3" t="s">
        <v>128</v>
      </c>
      <c r="H36" s="3" t="s">
        <v>8</v>
      </c>
      <c r="I36" s="3" t="s">
        <v>7</v>
      </c>
      <c r="J36" s="3" t="s">
        <v>31</v>
      </c>
      <c r="K36" s="3" t="s">
        <v>79</v>
      </c>
      <c r="L36" s="3" t="s">
        <v>24</v>
      </c>
      <c r="M36">
        <v>1</v>
      </c>
    </row>
    <row r="37" spans="1:13" x14ac:dyDescent="0.25">
      <c r="A37" s="2">
        <v>46213</v>
      </c>
      <c r="B37" s="1" t="str">
        <f ca="1">IF(Información1[[#This Row],[Fecha]]='Ajuste de fechas'!$A$2,"Día actual","Día anterior")</f>
        <v>Día anterior</v>
      </c>
      <c r="C37" s="3" t="s">
        <v>16</v>
      </c>
      <c r="D37" t="s">
        <v>53</v>
      </c>
      <c r="E37" s="3" t="s">
        <v>129</v>
      </c>
      <c r="F37" s="3" t="s">
        <v>35</v>
      </c>
      <c r="G37" s="3" t="s">
        <v>130</v>
      </c>
      <c r="H37" s="3" t="s">
        <v>8</v>
      </c>
      <c r="I37" s="3" t="s">
        <v>7</v>
      </c>
      <c r="J37" s="3" t="s">
        <v>31</v>
      </c>
      <c r="K37" s="3" t="s">
        <v>54</v>
      </c>
      <c r="L37" s="3" t="s">
        <v>24</v>
      </c>
      <c r="M37">
        <v>1</v>
      </c>
    </row>
    <row r="38" spans="1:13" x14ac:dyDescent="0.25">
      <c r="A38" s="2">
        <v>46213</v>
      </c>
      <c r="B38" s="1" t="str">
        <f ca="1">IF(Información1[[#This Row],[Fecha]]='Ajuste de fechas'!$A$2,"Día actual","Día anterior")</f>
        <v>Día anterior</v>
      </c>
      <c r="C38" s="3" t="s">
        <v>41</v>
      </c>
      <c r="D38" t="s">
        <v>42</v>
      </c>
      <c r="E38" s="3" t="s">
        <v>131</v>
      </c>
      <c r="F38" s="3" t="s">
        <v>35</v>
      </c>
      <c r="G38" s="3" t="s">
        <v>130</v>
      </c>
      <c r="H38" s="3" t="s">
        <v>8</v>
      </c>
      <c r="I38" s="3" t="s">
        <v>7</v>
      </c>
      <c r="J38" s="3" t="s">
        <v>31</v>
      </c>
      <c r="K38" s="3" t="s">
        <v>43</v>
      </c>
      <c r="L38" s="3" t="s">
        <v>26</v>
      </c>
      <c r="M38">
        <v>1</v>
      </c>
    </row>
    <row r="39" spans="1:13" x14ac:dyDescent="0.25">
      <c r="A39" s="2">
        <v>46213</v>
      </c>
      <c r="B39" s="1" t="str">
        <f ca="1">IF(Información1[[#This Row],[Fecha]]='Ajuste de fechas'!$A$2,"Día actual","Día anterior")</f>
        <v>Día anterior</v>
      </c>
      <c r="C39" s="3" t="s">
        <v>16</v>
      </c>
      <c r="D39" t="s">
        <v>78</v>
      </c>
      <c r="E39" s="3" t="s">
        <v>132</v>
      </c>
      <c r="F39" s="3" t="s">
        <v>10</v>
      </c>
      <c r="G39" s="3" t="s">
        <v>133</v>
      </c>
      <c r="H39" s="3" t="s">
        <v>8</v>
      </c>
      <c r="I39" s="3" t="s">
        <v>7</v>
      </c>
      <c r="J39" s="3" t="s">
        <v>33</v>
      </c>
      <c r="K39" s="3" t="s">
        <v>79</v>
      </c>
      <c r="L39" s="3" t="s">
        <v>24</v>
      </c>
      <c r="M39">
        <v>1</v>
      </c>
    </row>
    <row r="40" spans="1:13" x14ac:dyDescent="0.25">
      <c r="A40" s="2">
        <v>46213</v>
      </c>
      <c r="B40" s="1" t="str">
        <f ca="1">IF(Información1[[#This Row],[Fecha]]='Ajuste de fechas'!$A$2,"Día actual","Día anterior")</f>
        <v>Día anterior</v>
      </c>
      <c r="C40" s="3" t="s">
        <v>59</v>
      </c>
      <c r="D40" t="s">
        <v>60</v>
      </c>
      <c r="E40" s="3" t="s">
        <v>134</v>
      </c>
      <c r="F40" s="3" t="s">
        <v>11</v>
      </c>
      <c r="G40" s="3" t="s">
        <v>73</v>
      </c>
      <c r="H40" s="3" t="s">
        <v>8</v>
      </c>
      <c r="I40" s="3" t="s">
        <v>7</v>
      </c>
      <c r="J40" s="3" t="s">
        <v>32</v>
      </c>
      <c r="K40" s="3" t="s">
        <v>61</v>
      </c>
      <c r="L40" s="3" t="s">
        <v>24</v>
      </c>
      <c r="M40">
        <v>1</v>
      </c>
    </row>
    <row r="41" spans="1:13" x14ac:dyDescent="0.25">
      <c r="A41" s="2">
        <v>46213</v>
      </c>
      <c r="B41" s="1" t="str">
        <f ca="1">IF(Información1[[#This Row],[Fecha]]='Ajuste de fechas'!$A$2,"Día actual","Día anterior")</f>
        <v>Día anterior</v>
      </c>
      <c r="C41" s="3" t="s">
        <v>59</v>
      </c>
      <c r="D41" t="s">
        <v>60</v>
      </c>
      <c r="E41" s="3" t="s">
        <v>135</v>
      </c>
      <c r="F41" s="3" t="s">
        <v>10</v>
      </c>
      <c r="G41" s="3" t="s">
        <v>70</v>
      </c>
      <c r="H41" s="3" t="s">
        <v>8</v>
      </c>
      <c r="I41" s="3" t="s">
        <v>7</v>
      </c>
      <c r="J41" s="3" t="s">
        <v>33</v>
      </c>
      <c r="K41" s="3" t="s">
        <v>61</v>
      </c>
      <c r="L41" s="3" t="s">
        <v>24</v>
      </c>
      <c r="M41">
        <v>1</v>
      </c>
    </row>
    <row r="42" spans="1:13" x14ac:dyDescent="0.25">
      <c r="A42" s="2">
        <v>46213</v>
      </c>
      <c r="B42" s="1" t="str">
        <f ca="1">IF(Información1[[#This Row],[Fecha]]='Ajuste de fechas'!$A$2,"Día actual","Día anterior")</f>
        <v>Día anterior</v>
      </c>
      <c r="C42" s="3" t="s">
        <v>62</v>
      </c>
      <c r="D42" t="s">
        <v>63</v>
      </c>
      <c r="E42" s="3" t="s">
        <v>136</v>
      </c>
      <c r="F42" s="3" t="s">
        <v>15</v>
      </c>
      <c r="G42" s="3" t="s">
        <v>137</v>
      </c>
      <c r="H42" s="3" t="s">
        <v>8</v>
      </c>
      <c r="I42" s="3" t="s">
        <v>7</v>
      </c>
      <c r="J42" s="3" t="s">
        <v>31</v>
      </c>
      <c r="K42" s="3" t="s">
        <v>64</v>
      </c>
      <c r="L42" s="3" t="s">
        <v>24</v>
      </c>
      <c r="M42">
        <v>1</v>
      </c>
    </row>
    <row r="43" spans="1:13" x14ac:dyDescent="0.25">
      <c r="A43" s="2">
        <v>46213</v>
      </c>
      <c r="B43" s="1" t="str">
        <f ca="1">IF(Información1[[#This Row],[Fecha]]='Ajuste de fechas'!$A$2,"Día actual","Día anterior")</f>
        <v>Día anterior</v>
      </c>
      <c r="C43" s="3" t="s">
        <v>62</v>
      </c>
      <c r="D43" t="s">
        <v>63</v>
      </c>
      <c r="E43" s="3" t="s">
        <v>138</v>
      </c>
      <c r="F43" s="3" t="s">
        <v>6</v>
      </c>
      <c r="G43" s="3" t="s">
        <v>139</v>
      </c>
      <c r="H43" s="3" t="s">
        <v>8</v>
      </c>
      <c r="I43" s="3" t="s">
        <v>7</v>
      </c>
      <c r="J43" s="3" t="s">
        <v>31</v>
      </c>
      <c r="K43" s="3" t="s">
        <v>64</v>
      </c>
      <c r="L43" s="3" t="s">
        <v>26</v>
      </c>
      <c r="M43">
        <v>1</v>
      </c>
    </row>
    <row r="44" spans="1:13" x14ac:dyDescent="0.25">
      <c r="A44" s="2">
        <v>46213</v>
      </c>
      <c r="B44" s="1" t="str">
        <f ca="1">IF(Información1[[#This Row],[Fecha]]='Ajuste de fechas'!$A$2,"Día actual","Día anterior")</f>
        <v>Día anterior</v>
      </c>
      <c r="C44" s="3" t="s">
        <v>62</v>
      </c>
      <c r="D44" t="s">
        <v>63</v>
      </c>
      <c r="E44" s="3" t="s">
        <v>140</v>
      </c>
      <c r="F44" s="3" t="s">
        <v>30</v>
      </c>
      <c r="G44" s="3" t="s">
        <v>105</v>
      </c>
      <c r="H44" s="3" t="s">
        <v>8</v>
      </c>
      <c r="I44" s="3" t="s">
        <v>7</v>
      </c>
      <c r="J44" s="3" t="s">
        <v>13</v>
      </c>
      <c r="K44" s="3" t="s">
        <v>64</v>
      </c>
      <c r="L44" s="3" t="s">
        <v>24</v>
      </c>
      <c r="M44">
        <v>1</v>
      </c>
    </row>
    <row r="45" spans="1:13" x14ac:dyDescent="0.25">
      <c r="A45" s="2">
        <v>46213</v>
      </c>
      <c r="B45" s="1" t="str">
        <f ca="1">IF(Información1[[#This Row],[Fecha]]='Ajuste de fechas'!$A$2,"Día actual","Día anterior")</f>
        <v>Día anterior</v>
      </c>
      <c r="C45" s="3" t="s">
        <v>62</v>
      </c>
      <c r="D45" t="s">
        <v>63</v>
      </c>
      <c r="E45" s="3" t="s">
        <v>141</v>
      </c>
      <c r="F45" s="3" t="s">
        <v>17</v>
      </c>
      <c r="G45" s="3" t="s">
        <v>142</v>
      </c>
      <c r="H45" s="3" t="s">
        <v>8</v>
      </c>
      <c r="I45" s="3" t="s">
        <v>7</v>
      </c>
      <c r="J45" s="3" t="s">
        <v>31</v>
      </c>
      <c r="K45" s="3" t="s">
        <v>64</v>
      </c>
      <c r="L45" s="3" t="s">
        <v>26</v>
      </c>
      <c r="M45">
        <v>1</v>
      </c>
    </row>
    <row r="46" spans="1:13" x14ac:dyDescent="0.25">
      <c r="A46" s="2">
        <v>46213</v>
      </c>
      <c r="B46" s="1" t="str">
        <f ca="1">IF(Información1[[#This Row],[Fecha]]='Ajuste de fechas'!$A$2,"Día actual","Día anterior")</f>
        <v>Día anterior</v>
      </c>
      <c r="C46" s="3" t="s">
        <v>62</v>
      </c>
      <c r="D46" t="s">
        <v>63</v>
      </c>
      <c r="E46" s="3" t="s">
        <v>143</v>
      </c>
      <c r="F46" s="3" t="s">
        <v>74</v>
      </c>
      <c r="G46" s="3" t="s">
        <v>144</v>
      </c>
      <c r="H46" s="3" t="s">
        <v>8</v>
      </c>
      <c r="I46" s="3" t="s">
        <v>7</v>
      </c>
      <c r="J46" s="3" t="s">
        <v>31</v>
      </c>
      <c r="K46" s="3" t="s">
        <v>64</v>
      </c>
      <c r="L46" s="3" t="s">
        <v>26</v>
      </c>
      <c r="M46">
        <v>1</v>
      </c>
    </row>
    <row r="47" spans="1:13" x14ac:dyDescent="0.25">
      <c r="A47" s="2">
        <v>46213</v>
      </c>
      <c r="B47" s="1" t="str">
        <f ca="1">IF(Información1[[#This Row],[Fecha]]='Ajuste de fechas'!$A$2,"Día actual","Día anterior")</f>
        <v>Día anterior</v>
      </c>
      <c r="C47" s="3" t="s">
        <v>62</v>
      </c>
      <c r="D47" t="s">
        <v>63</v>
      </c>
      <c r="E47" s="3" t="s">
        <v>145</v>
      </c>
      <c r="F47" s="3" t="s">
        <v>11</v>
      </c>
      <c r="G47" s="3" t="s">
        <v>68</v>
      </c>
      <c r="H47" s="3" t="s">
        <v>8</v>
      </c>
      <c r="I47" s="3" t="s">
        <v>7</v>
      </c>
      <c r="J47" s="3" t="s">
        <v>32</v>
      </c>
      <c r="K47" s="3" t="s">
        <v>64</v>
      </c>
      <c r="L47" s="3" t="s">
        <v>24</v>
      </c>
      <c r="M47">
        <v>1</v>
      </c>
    </row>
    <row r="48" spans="1:13" x14ac:dyDescent="0.25">
      <c r="A48" s="2">
        <v>46213</v>
      </c>
      <c r="B48" s="1" t="str">
        <f ca="1">IF(Información1[[#This Row],[Fecha]]='Ajuste de fechas'!$A$2,"Día actual","Día anterior")</f>
        <v>Día anterior</v>
      </c>
      <c r="C48" s="3" t="s">
        <v>62</v>
      </c>
      <c r="D48" t="s">
        <v>63</v>
      </c>
      <c r="E48" s="3" t="s">
        <v>146</v>
      </c>
      <c r="F48" s="3" t="s">
        <v>38</v>
      </c>
      <c r="G48" s="3" t="s">
        <v>147</v>
      </c>
      <c r="H48" s="3" t="s">
        <v>8</v>
      </c>
      <c r="I48" s="3" t="s">
        <v>7</v>
      </c>
      <c r="J48" s="3" t="s">
        <v>31</v>
      </c>
      <c r="K48" s="3" t="s">
        <v>64</v>
      </c>
      <c r="L48" s="3" t="s">
        <v>26</v>
      </c>
      <c r="M48">
        <v>1</v>
      </c>
    </row>
    <row r="49" spans="1:13" x14ac:dyDescent="0.25">
      <c r="A49" s="2">
        <v>46213</v>
      </c>
      <c r="B49" s="1" t="str">
        <f ca="1">IF(Información1[[#This Row],[Fecha]]='Ajuste de fechas'!$A$2,"Día actual","Día anterior")</f>
        <v>Día anterior</v>
      </c>
      <c r="C49" s="3" t="s">
        <v>62</v>
      </c>
      <c r="D49" t="s">
        <v>63</v>
      </c>
      <c r="E49" s="3" t="s">
        <v>148</v>
      </c>
      <c r="F49" s="3" t="s">
        <v>12</v>
      </c>
      <c r="G49" s="3" t="s">
        <v>116</v>
      </c>
      <c r="H49" s="3" t="s">
        <v>8</v>
      </c>
      <c r="I49" s="3" t="s">
        <v>7</v>
      </c>
      <c r="J49" s="3" t="s">
        <v>31</v>
      </c>
      <c r="K49" s="3" t="s">
        <v>64</v>
      </c>
      <c r="L49" s="3" t="s">
        <v>24</v>
      </c>
      <c r="M49">
        <v>1</v>
      </c>
    </row>
    <row r="50" spans="1:13" x14ac:dyDescent="0.25">
      <c r="A50" s="2">
        <v>46213</v>
      </c>
      <c r="B50" s="1" t="str">
        <f ca="1">IF(Información1[[#This Row],[Fecha]]='Ajuste de fechas'!$A$2,"Día actual","Día anterior")</f>
        <v>Día anterior</v>
      </c>
      <c r="C50" s="3" t="s">
        <v>62</v>
      </c>
      <c r="D50" t="s">
        <v>63</v>
      </c>
      <c r="E50" s="3" t="s">
        <v>149</v>
      </c>
      <c r="F50" s="3" t="s">
        <v>35</v>
      </c>
      <c r="G50" s="3" t="s">
        <v>130</v>
      </c>
      <c r="H50" s="3" t="s">
        <v>8</v>
      </c>
      <c r="I50" s="3" t="s">
        <v>7</v>
      </c>
      <c r="J50" s="3" t="s">
        <v>31</v>
      </c>
      <c r="K50" s="3" t="s">
        <v>64</v>
      </c>
      <c r="L50" s="3" t="s">
        <v>26</v>
      </c>
      <c r="M50">
        <v>1</v>
      </c>
    </row>
    <row r="51" spans="1:13" x14ac:dyDescent="0.25">
      <c r="A51" s="2">
        <v>46213</v>
      </c>
      <c r="B51" s="1" t="str">
        <f ca="1">IF(Información1[[#This Row],[Fecha]]='Ajuste de fechas'!$A$2,"Día actual","Día anterior")</f>
        <v>Día anterior</v>
      </c>
      <c r="C51" s="3" t="s">
        <v>62</v>
      </c>
      <c r="D51" t="s">
        <v>63</v>
      </c>
      <c r="E51" s="3" t="s">
        <v>150</v>
      </c>
      <c r="F51" s="3" t="s">
        <v>58</v>
      </c>
      <c r="G51" s="3" t="s">
        <v>151</v>
      </c>
      <c r="H51" s="3" t="s">
        <v>8</v>
      </c>
      <c r="I51" s="3" t="s">
        <v>7</v>
      </c>
      <c r="J51" s="3" t="s">
        <v>31</v>
      </c>
      <c r="K51" s="3" t="s">
        <v>64</v>
      </c>
      <c r="L51" s="3" t="s">
        <v>26</v>
      </c>
      <c r="M51">
        <v>1</v>
      </c>
    </row>
    <row r="52" spans="1:13" x14ac:dyDescent="0.25">
      <c r="A52" s="2">
        <v>46213</v>
      </c>
      <c r="B52" s="1" t="str">
        <f ca="1">IF(Información1[[#This Row],[Fecha]]='Ajuste de fechas'!$A$2,"Día actual","Día anterior")</f>
        <v>Día anterior</v>
      </c>
      <c r="C52" s="3" t="s">
        <v>62</v>
      </c>
      <c r="D52" t="s">
        <v>63</v>
      </c>
      <c r="E52" s="3" t="s">
        <v>152</v>
      </c>
      <c r="F52" s="3" t="s">
        <v>9</v>
      </c>
      <c r="G52" s="3" t="s">
        <v>97</v>
      </c>
      <c r="H52" s="3" t="s">
        <v>8</v>
      </c>
      <c r="I52" s="3" t="s">
        <v>7</v>
      </c>
      <c r="J52" s="3" t="s">
        <v>31</v>
      </c>
      <c r="K52" s="3" t="s">
        <v>64</v>
      </c>
      <c r="L52" s="3" t="s">
        <v>26</v>
      </c>
      <c r="M52">
        <v>1</v>
      </c>
    </row>
    <row r="53" spans="1:13" x14ac:dyDescent="0.25">
      <c r="A53" s="2">
        <v>46213</v>
      </c>
      <c r="B53" s="1" t="str">
        <f ca="1">IF(Información1[[#This Row],[Fecha]]='Ajuste de fechas'!$A$2,"Día actual","Día anterior")</f>
        <v>Día anterior</v>
      </c>
      <c r="C53" s="3" t="s">
        <v>59</v>
      </c>
      <c r="D53" t="s">
        <v>65</v>
      </c>
      <c r="E53" s="3" t="s">
        <v>153</v>
      </c>
      <c r="F53" s="3" t="s">
        <v>10</v>
      </c>
      <c r="G53" s="3" t="s">
        <v>66</v>
      </c>
      <c r="H53" s="3" t="s">
        <v>8</v>
      </c>
      <c r="I53" s="3" t="s">
        <v>7</v>
      </c>
      <c r="J53" s="3" t="s">
        <v>33</v>
      </c>
      <c r="K53" s="3" t="s">
        <v>61</v>
      </c>
      <c r="L53" s="3" t="s">
        <v>24</v>
      </c>
      <c r="M53">
        <v>1</v>
      </c>
    </row>
    <row r="54" spans="1:13" x14ac:dyDescent="0.25">
      <c r="A54" s="2">
        <v>46213</v>
      </c>
      <c r="B54" s="1" t="str">
        <f ca="1">IF(Información1[[#This Row],[Fecha]]='Ajuste de fechas'!$A$2,"Día actual","Día anterior")</f>
        <v>Día anterior</v>
      </c>
      <c r="C54" s="3" t="s">
        <v>59</v>
      </c>
      <c r="D54" t="s">
        <v>65</v>
      </c>
      <c r="E54" s="3" t="s">
        <v>154</v>
      </c>
      <c r="F54" s="3" t="s">
        <v>13</v>
      </c>
      <c r="G54" s="3" t="s">
        <v>155</v>
      </c>
      <c r="H54" s="3" t="s">
        <v>8</v>
      </c>
      <c r="I54" s="3" t="s">
        <v>7</v>
      </c>
      <c r="J54" s="3" t="s">
        <v>13</v>
      </c>
      <c r="K54" s="3" t="s">
        <v>61</v>
      </c>
      <c r="L54" s="3" t="s">
        <v>24</v>
      </c>
      <c r="M54">
        <v>1</v>
      </c>
    </row>
    <row r="55" spans="1:13" x14ac:dyDescent="0.25">
      <c r="A55" s="2">
        <v>46213</v>
      </c>
      <c r="B55" s="1" t="str">
        <f ca="1">IF(Información1[[#This Row],[Fecha]]='Ajuste de fechas'!$A$2,"Día actual","Día anterior")</f>
        <v>Día anterior</v>
      </c>
      <c r="C55" s="3" t="s">
        <v>59</v>
      </c>
      <c r="D55" t="s">
        <v>65</v>
      </c>
      <c r="E55" s="3" t="s">
        <v>143</v>
      </c>
      <c r="F55" s="3" t="s">
        <v>74</v>
      </c>
      <c r="G55" s="3" t="s">
        <v>144</v>
      </c>
      <c r="H55" s="3" t="s">
        <v>8</v>
      </c>
      <c r="I55" s="3" t="s">
        <v>7</v>
      </c>
      <c r="J55" s="3" t="s">
        <v>31</v>
      </c>
      <c r="K55" s="3" t="s">
        <v>57</v>
      </c>
      <c r="L55" s="3" t="s">
        <v>26</v>
      </c>
      <c r="M55">
        <v>1</v>
      </c>
    </row>
    <row r="56" spans="1:13" x14ac:dyDescent="0.25">
      <c r="A56" s="2">
        <v>46213</v>
      </c>
      <c r="B56" s="1" t="str">
        <f ca="1">IF(Información1[[#This Row],[Fecha]]='Ajuste de fechas'!$A$2,"Día actual","Día anterior")</f>
        <v>Día anterior</v>
      </c>
      <c r="C56" s="3" t="s">
        <v>59</v>
      </c>
      <c r="D56" t="s">
        <v>65</v>
      </c>
      <c r="E56" s="3" t="s">
        <v>156</v>
      </c>
      <c r="F56" s="3" t="s">
        <v>39</v>
      </c>
      <c r="G56" s="3" t="s">
        <v>105</v>
      </c>
      <c r="H56" s="3" t="s">
        <v>8</v>
      </c>
      <c r="I56" s="3" t="s">
        <v>7</v>
      </c>
      <c r="J56" s="3" t="s">
        <v>31</v>
      </c>
      <c r="K56" s="3" t="s">
        <v>57</v>
      </c>
      <c r="L56" s="3" t="s">
        <v>26</v>
      </c>
      <c r="M56">
        <v>1</v>
      </c>
    </row>
    <row r="57" spans="1:13" x14ac:dyDescent="0.25">
      <c r="A57" s="2">
        <v>46213</v>
      </c>
      <c r="B57" s="1" t="str">
        <f ca="1">IF(Información1[[#This Row],[Fecha]]='Ajuste de fechas'!$A$2,"Día actual","Día anterior")</f>
        <v>Día anterior</v>
      </c>
      <c r="C57" s="3" t="s">
        <v>59</v>
      </c>
      <c r="D57" t="s">
        <v>65</v>
      </c>
      <c r="E57" s="3" t="s">
        <v>157</v>
      </c>
      <c r="F57" s="3" t="s">
        <v>69</v>
      </c>
      <c r="G57" s="3" t="s">
        <v>120</v>
      </c>
      <c r="H57" s="3" t="s">
        <v>8</v>
      </c>
      <c r="I57" s="3" t="s">
        <v>7</v>
      </c>
      <c r="J57" s="3" t="s">
        <v>31</v>
      </c>
      <c r="K57" s="3" t="s">
        <v>57</v>
      </c>
      <c r="L57" s="3" t="s">
        <v>26</v>
      </c>
      <c r="M57">
        <v>1</v>
      </c>
    </row>
    <row r="58" spans="1:13" x14ac:dyDescent="0.25">
      <c r="A58" s="2">
        <v>46213</v>
      </c>
      <c r="B58" s="1" t="str">
        <f ca="1">IF(Información1[[#This Row],[Fecha]]='Ajuste de fechas'!$A$2,"Día actual","Día anterior")</f>
        <v>Día anterior</v>
      </c>
      <c r="C58" s="3" t="s">
        <v>59</v>
      </c>
      <c r="D58" t="s">
        <v>65</v>
      </c>
      <c r="E58" s="3" t="s">
        <v>158</v>
      </c>
      <c r="F58" s="3" t="s">
        <v>9</v>
      </c>
      <c r="G58" s="3" t="s">
        <v>97</v>
      </c>
      <c r="H58" s="3" t="s">
        <v>8</v>
      </c>
      <c r="I58" s="3" t="s">
        <v>7</v>
      </c>
      <c r="J58" s="3" t="s">
        <v>31</v>
      </c>
      <c r="K58" s="3" t="s">
        <v>61</v>
      </c>
      <c r="L58" s="3" t="s">
        <v>26</v>
      </c>
      <c r="M58">
        <v>1</v>
      </c>
    </row>
    <row r="59" spans="1:13" x14ac:dyDescent="0.25">
      <c r="A59" s="2">
        <v>46213</v>
      </c>
      <c r="B59" s="1" t="str">
        <f ca="1">IF(Información1[[#This Row],[Fecha]]='Ajuste de fechas'!$A$2,"Día actual","Día anterior")</f>
        <v>Día anterior</v>
      </c>
      <c r="C59" s="3" t="s">
        <v>59</v>
      </c>
      <c r="D59" t="s">
        <v>65</v>
      </c>
      <c r="E59" s="3" t="s">
        <v>149</v>
      </c>
      <c r="F59" s="3" t="s">
        <v>35</v>
      </c>
      <c r="G59" s="3" t="s">
        <v>130</v>
      </c>
      <c r="H59" s="3" t="s">
        <v>8</v>
      </c>
      <c r="I59" s="3" t="s">
        <v>7</v>
      </c>
      <c r="J59" s="3" t="s">
        <v>31</v>
      </c>
      <c r="K59" s="3" t="s">
        <v>57</v>
      </c>
      <c r="L59" s="3" t="s">
        <v>26</v>
      </c>
      <c r="M59">
        <v>1</v>
      </c>
    </row>
    <row r="60" spans="1:13" x14ac:dyDescent="0.25">
      <c r="A60" s="2">
        <v>46214</v>
      </c>
      <c r="B60" s="1" t="str">
        <f ca="1">IF(Información1[[#This Row],[Fecha]]='Ajuste de fechas'!$A$2,"Día actual","Día anterior")</f>
        <v>Día anterior</v>
      </c>
      <c r="C60" s="3" t="s">
        <v>159</v>
      </c>
      <c r="D60" t="s">
        <v>160</v>
      </c>
      <c r="E60" s="3" t="s">
        <v>161</v>
      </c>
      <c r="F60" s="3" t="s">
        <v>15</v>
      </c>
      <c r="G60" s="3" t="s">
        <v>162</v>
      </c>
      <c r="H60" s="3" t="s">
        <v>163</v>
      </c>
      <c r="I60" s="3" t="s">
        <v>40</v>
      </c>
      <c r="J60" s="3" t="s">
        <v>31</v>
      </c>
      <c r="K60" s="3" t="s">
        <v>164</v>
      </c>
      <c r="L60" s="3" t="s">
        <v>24</v>
      </c>
      <c r="M60">
        <v>1</v>
      </c>
    </row>
    <row r="61" spans="1:13" x14ac:dyDescent="0.25">
      <c r="A61" s="2">
        <v>46214</v>
      </c>
      <c r="B61" s="1" t="str">
        <f ca="1">IF(Información1[[#This Row],[Fecha]]='Ajuste de fechas'!$A$2,"Día actual","Día anterior")</f>
        <v>Día anterior</v>
      </c>
      <c r="C61" s="3" t="s">
        <v>159</v>
      </c>
      <c r="D61" t="s">
        <v>160</v>
      </c>
      <c r="E61" s="3" t="s">
        <v>165</v>
      </c>
      <c r="F61" s="3" t="s">
        <v>15</v>
      </c>
      <c r="G61" s="3" t="s">
        <v>77</v>
      </c>
      <c r="H61" s="3" t="s">
        <v>163</v>
      </c>
      <c r="I61" s="3" t="s">
        <v>40</v>
      </c>
      <c r="J61" s="3" t="s">
        <v>31</v>
      </c>
      <c r="K61" s="3" t="s">
        <v>164</v>
      </c>
      <c r="L61" s="3" t="s">
        <v>24</v>
      </c>
      <c r="M61">
        <v>1</v>
      </c>
    </row>
    <row r="62" spans="1:13" x14ac:dyDescent="0.25">
      <c r="A62" s="2">
        <v>46216</v>
      </c>
      <c r="B62" s="1" t="str">
        <f ca="1">IF(Información1[[#This Row],[Fecha]]='Ajuste de fechas'!$A$2,"Día actual","Día anterior")</f>
        <v>Día actual</v>
      </c>
      <c r="C62" s="3" t="s">
        <v>59</v>
      </c>
      <c r="D62" t="s">
        <v>60</v>
      </c>
      <c r="E62" s="3" t="s">
        <v>166</v>
      </c>
      <c r="F62" s="3" t="s">
        <v>10</v>
      </c>
      <c r="G62" s="3" t="s">
        <v>70</v>
      </c>
      <c r="H62" s="3" t="s">
        <v>8</v>
      </c>
      <c r="I62" s="3" t="s">
        <v>7</v>
      </c>
      <c r="J62" s="3" t="s">
        <v>33</v>
      </c>
      <c r="K62" s="3" t="s">
        <v>61</v>
      </c>
      <c r="L62" s="3" t="s">
        <v>24</v>
      </c>
      <c r="M62">
        <v>1</v>
      </c>
    </row>
    <row r="63" spans="1:13" x14ac:dyDescent="0.25">
      <c r="A63" s="2">
        <v>46216</v>
      </c>
      <c r="B63" s="1" t="str">
        <f ca="1">IF(Información1[[#This Row],[Fecha]]='Ajuste de fechas'!$A$2,"Día actual","Día anterior")</f>
        <v>Día actual</v>
      </c>
      <c r="C63" s="3" t="s">
        <v>59</v>
      </c>
      <c r="D63" t="s">
        <v>60</v>
      </c>
      <c r="E63" s="3" t="s">
        <v>167</v>
      </c>
      <c r="F63" s="3" t="s">
        <v>10</v>
      </c>
      <c r="G63" s="3" t="s">
        <v>168</v>
      </c>
      <c r="H63" s="3" t="s">
        <v>8</v>
      </c>
      <c r="I63" s="3" t="s">
        <v>7</v>
      </c>
      <c r="J63" s="3" t="s">
        <v>33</v>
      </c>
      <c r="K63" s="3" t="s">
        <v>61</v>
      </c>
      <c r="L63" s="3" t="s">
        <v>24</v>
      </c>
      <c r="M63">
        <v>1</v>
      </c>
    </row>
    <row r="64" spans="1:13" x14ac:dyDescent="0.25">
      <c r="A64" s="2">
        <v>46216</v>
      </c>
      <c r="B64" s="1" t="str">
        <f ca="1">IF(Información1[[#This Row],[Fecha]]='Ajuste de fechas'!$A$2,"Día actual","Día anterior")</f>
        <v>Día actual</v>
      </c>
      <c r="C64" s="3" t="s">
        <v>59</v>
      </c>
      <c r="D64" t="s">
        <v>60</v>
      </c>
      <c r="E64" s="3" t="s">
        <v>169</v>
      </c>
      <c r="F64" s="3" t="s">
        <v>35</v>
      </c>
      <c r="G64" s="3" t="s">
        <v>170</v>
      </c>
      <c r="H64" s="3" t="s">
        <v>8</v>
      </c>
      <c r="I64" s="3" t="s">
        <v>14</v>
      </c>
      <c r="J64" s="3" t="s">
        <v>31</v>
      </c>
      <c r="K64" s="3" t="s">
        <v>61</v>
      </c>
      <c r="L64" s="3" t="s">
        <v>24</v>
      </c>
      <c r="M64">
        <v>1</v>
      </c>
    </row>
    <row r="65" spans="1:13" x14ac:dyDescent="0.25">
      <c r="A65" s="2">
        <v>46216</v>
      </c>
      <c r="B65" s="1" t="str">
        <f ca="1">IF(Información1[[#This Row],[Fecha]]='Ajuste de fechas'!$A$2,"Día actual","Día anterior")</f>
        <v>Día actual</v>
      </c>
      <c r="C65" s="3" t="s">
        <v>59</v>
      </c>
      <c r="D65" t="s">
        <v>60</v>
      </c>
      <c r="E65" s="3" t="s">
        <v>171</v>
      </c>
      <c r="F65" s="3" t="s">
        <v>34</v>
      </c>
      <c r="G65" s="3" t="s">
        <v>172</v>
      </c>
      <c r="H65" s="3" t="s">
        <v>8</v>
      </c>
      <c r="I65" s="3" t="s">
        <v>7</v>
      </c>
      <c r="J65" s="3" t="s">
        <v>31</v>
      </c>
      <c r="K65" s="3" t="s">
        <v>61</v>
      </c>
      <c r="L65" s="3" t="s">
        <v>24</v>
      </c>
      <c r="M65">
        <v>1</v>
      </c>
    </row>
    <row r="66" spans="1:13" x14ac:dyDescent="0.25">
      <c r="A66" s="2">
        <v>46216</v>
      </c>
      <c r="B66" s="1" t="str">
        <f ca="1">IF(Información1[[#This Row],[Fecha]]='Ajuste de fechas'!$A$2,"Día actual","Día anterior")</f>
        <v>Día actual</v>
      </c>
      <c r="C66" s="3" t="s">
        <v>59</v>
      </c>
      <c r="D66" t="s">
        <v>60</v>
      </c>
      <c r="E66" s="3" t="s">
        <v>173</v>
      </c>
      <c r="F66" s="3" t="s">
        <v>34</v>
      </c>
      <c r="G66" s="3" t="s">
        <v>174</v>
      </c>
      <c r="H66" s="3" t="s">
        <v>8</v>
      </c>
      <c r="I66" s="3" t="s">
        <v>7</v>
      </c>
      <c r="J66" s="3" t="s">
        <v>31</v>
      </c>
      <c r="K66" s="3" t="s">
        <v>61</v>
      </c>
      <c r="L66" s="3" t="s">
        <v>24</v>
      </c>
      <c r="M66">
        <v>1</v>
      </c>
    </row>
    <row r="67" spans="1:13" x14ac:dyDescent="0.25">
      <c r="A67" s="2">
        <v>46216</v>
      </c>
      <c r="B67" s="1" t="str">
        <f ca="1">IF(Información1[[#This Row],[Fecha]]='Ajuste de fechas'!$A$2,"Día actual","Día anterior")</f>
        <v>Día actual</v>
      </c>
      <c r="C67" s="3" t="s">
        <v>62</v>
      </c>
      <c r="D67" t="s">
        <v>63</v>
      </c>
      <c r="E67" s="3" t="s">
        <v>175</v>
      </c>
      <c r="F67" s="3" t="s">
        <v>176</v>
      </c>
      <c r="G67" s="3" t="s">
        <v>177</v>
      </c>
      <c r="H67" s="3" t="s">
        <v>8</v>
      </c>
      <c r="I67" s="3" t="s">
        <v>7</v>
      </c>
      <c r="J67" s="3" t="s">
        <v>178</v>
      </c>
      <c r="K67" s="3" t="s">
        <v>64</v>
      </c>
      <c r="L67" s="3" t="s">
        <v>36</v>
      </c>
      <c r="M67">
        <v>1</v>
      </c>
    </row>
    <row r="68" spans="1:13" x14ac:dyDescent="0.25">
      <c r="A68" s="2">
        <v>46216</v>
      </c>
      <c r="B68" s="1" t="str">
        <f ca="1">IF(Información1[[#This Row],[Fecha]]='Ajuste de fechas'!$A$2,"Día actual","Día anterior")</f>
        <v>Día actual</v>
      </c>
      <c r="C68" s="3" t="s">
        <v>62</v>
      </c>
      <c r="D68" t="s">
        <v>63</v>
      </c>
      <c r="E68" s="3" t="s">
        <v>179</v>
      </c>
      <c r="F68" s="3" t="s">
        <v>11</v>
      </c>
      <c r="G68" s="3" t="s">
        <v>180</v>
      </c>
      <c r="H68" s="3" t="s">
        <v>8</v>
      </c>
      <c r="I68" s="3" t="s">
        <v>7</v>
      </c>
      <c r="J68" s="3" t="s">
        <v>32</v>
      </c>
      <c r="K68" s="3" t="s">
        <v>64</v>
      </c>
      <c r="L68" s="3" t="s">
        <v>24</v>
      </c>
      <c r="M68">
        <v>1</v>
      </c>
    </row>
    <row r="69" spans="1:13" x14ac:dyDescent="0.25">
      <c r="A69" s="2">
        <v>46216</v>
      </c>
      <c r="B69" s="1" t="str">
        <f ca="1">IF(Información1[[#This Row],[Fecha]]='Ajuste de fechas'!$A$2,"Día actual","Día anterior")</f>
        <v>Día actual</v>
      </c>
      <c r="C69" s="3" t="s">
        <v>62</v>
      </c>
      <c r="D69" t="s">
        <v>63</v>
      </c>
      <c r="E69" s="3" t="s">
        <v>181</v>
      </c>
      <c r="F69" s="3" t="s">
        <v>10</v>
      </c>
      <c r="G69" s="3" t="s">
        <v>182</v>
      </c>
      <c r="H69" s="3" t="s">
        <v>8</v>
      </c>
      <c r="I69" s="3" t="s">
        <v>14</v>
      </c>
      <c r="J69" s="3" t="s">
        <v>33</v>
      </c>
      <c r="K69" s="3" t="s">
        <v>64</v>
      </c>
      <c r="L69" s="3" t="s">
        <v>24</v>
      </c>
      <c r="M69">
        <v>1</v>
      </c>
    </row>
    <row r="70" spans="1:13" x14ac:dyDescent="0.25">
      <c r="A70" s="2">
        <v>46216</v>
      </c>
      <c r="B70" s="1" t="str">
        <f ca="1">IF(Información1[[#This Row],[Fecha]]='Ajuste de fechas'!$A$2,"Día actual","Día anterior")</f>
        <v>Día actual</v>
      </c>
      <c r="C70" s="3" t="s">
        <v>62</v>
      </c>
      <c r="D70" t="s">
        <v>63</v>
      </c>
      <c r="E70" s="3" t="s">
        <v>183</v>
      </c>
      <c r="F70" s="3" t="s">
        <v>10</v>
      </c>
      <c r="G70" s="3" t="s">
        <v>184</v>
      </c>
      <c r="H70" s="3" t="s">
        <v>8</v>
      </c>
      <c r="I70" s="3" t="s">
        <v>7</v>
      </c>
      <c r="J70" s="3" t="s">
        <v>33</v>
      </c>
      <c r="K70" s="3" t="s">
        <v>64</v>
      </c>
      <c r="L70" s="3" t="s">
        <v>24</v>
      </c>
      <c r="M70">
        <v>1</v>
      </c>
    </row>
    <row r="71" spans="1:13" x14ac:dyDescent="0.25">
      <c r="A71" s="2">
        <v>46216</v>
      </c>
      <c r="B71" s="1" t="str">
        <f ca="1">IF(Información1[[#This Row],[Fecha]]='Ajuste de fechas'!$A$2,"Día actual","Día anterior")</f>
        <v>Día actual</v>
      </c>
      <c r="C71" s="3" t="s">
        <v>62</v>
      </c>
      <c r="D71" t="s">
        <v>63</v>
      </c>
      <c r="E71" s="3" t="s">
        <v>183</v>
      </c>
      <c r="F71" s="3" t="s">
        <v>35</v>
      </c>
      <c r="G71" s="3" t="s">
        <v>184</v>
      </c>
      <c r="H71" s="3" t="s">
        <v>8</v>
      </c>
      <c r="I71" s="3" t="s">
        <v>7</v>
      </c>
      <c r="J71" s="3" t="s">
        <v>31</v>
      </c>
      <c r="K71" s="3" t="s">
        <v>64</v>
      </c>
      <c r="L71" s="3" t="s">
        <v>24</v>
      </c>
      <c r="M71">
        <v>1</v>
      </c>
    </row>
    <row r="72" spans="1:13" x14ac:dyDescent="0.25">
      <c r="A72" s="2">
        <v>46216</v>
      </c>
      <c r="B72" s="1" t="str">
        <f ca="1">IF(Información1[[#This Row],[Fecha]]='Ajuste de fechas'!$A$2,"Día actual","Día anterior")</f>
        <v>Día actual</v>
      </c>
      <c r="C72" s="3" t="s">
        <v>62</v>
      </c>
      <c r="D72" t="s">
        <v>63</v>
      </c>
      <c r="E72" s="3" t="s">
        <v>185</v>
      </c>
      <c r="F72" s="3" t="s">
        <v>17</v>
      </c>
      <c r="G72" s="3" t="s">
        <v>186</v>
      </c>
      <c r="H72" s="3" t="s">
        <v>8</v>
      </c>
      <c r="I72" s="3" t="s">
        <v>7</v>
      </c>
      <c r="J72" s="3" t="s">
        <v>31</v>
      </c>
      <c r="K72" s="3" t="s">
        <v>64</v>
      </c>
      <c r="L72" s="3" t="s">
        <v>26</v>
      </c>
      <c r="M72">
        <v>1</v>
      </c>
    </row>
    <row r="73" spans="1:13" x14ac:dyDescent="0.25">
      <c r="A73" s="2">
        <v>46216</v>
      </c>
      <c r="B73" s="1" t="str">
        <f ca="1">IF(Información1[[#This Row],[Fecha]]='Ajuste de fechas'!$A$2,"Día actual","Día anterior")</f>
        <v>Día actual</v>
      </c>
      <c r="C73" s="3" t="s">
        <v>62</v>
      </c>
      <c r="D73" t="s">
        <v>63</v>
      </c>
      <c r="E73" s="3" t="s">
        <v>187</v>
      </c>
      <c r="F73" s="3" t="s">
        <v>188</v>
      </c>
      <c r="G73" s="3" t="s">
        <v>189</v>
      </c>
      <c r="H73" s="3" t="s">
        <v>8</v>
      </c>
      <c r="I73" s="3" t="s">
        <v>7</v>
      </c>
      <c r="J73" s="3" t="s">
        <v>31</v>
      </c>
      <c r="K73" s="3" t="s">
        <v>64</v>
      </c>
      <c r="L73" s="3" t="s">
        <v>26</v>
      </c>
      <c r="M73">
        <v>1</v>
      </c>
    </row>
    <row r="74" spans="1:13" x14ac:dyDescent="0.25">
      <c r="A74" s="2">
        <v>46216</v>
      </c>
      <c r="B74" s="1" t="str">
        <f ca="1">IF(Información1[[#This Row],[Fecha]]='Ajuste de fechas'!$A$2,"Día actual","Día anterior")</f>
        <v>Día actual</v>
      </c>
      <c r="C74" s="3" t="s">
        <v>62</v>
      </c>
      <c r="D74" t="s">
        <v>63</v>
      </c>
      <c r="E74" s="3" t="s">
        <v>190</v>
      </c>
      <c r="F74" s="3" t="s">
        <v>34</v>
      </c>
      <c r="G74" s="3" t="s">
        <v>191</v>
      </c>
      <c r="H74" s="3" t="s">
        <v>8</v>
      </c>
      <c r="I74" s="3" t="s">
        <v>7</v>
      </c>
      <c r="J74" s="3" t="s">
        <v>31</v>
      </c>
      <c r="K74" s="3" t="s">
        <v>64</v>
      </c>
      <c r="L74" s="3" t="s">
        <v>26</v>
      </c>
      <c r="M74">
        <v>1</v>
      </c>
    </row>
    <row r="75" spans="1:13" x14ac:dyDescent="0.25">
      <c r="A75" s="2">
        <v>46216</v>
      </c>
      <c r="B75" s="1" t="str">
        <f ca="1">IF(Información1[[#This Row],[Fecha]]='Ajuste de fechas'!$A$2,"Día actual","Día anterior")</f>
        <v>Día actual</v>
      </c>
      <c r="C75" s="3" t="s">
        <v>62</v>
      </c>
      <c r="D75" t="s">
        <v>63</v>
      </c>
      <c r="E75" s="3" t="s">
        <v>192</v>
      </c>
      <c r="F75" s="3" t="s">
        <v>9</v>
      </c>
      <c r="G75" s="3" t="s">
        <v>193</v>
      </c>
      <c r="H75" s="3" t="s">
        <v>8</v>
      </c>
      <c r="I75" s="3" t="s">
        <v>7</v>
      </c>
      <c r="J75" s="3" t="s">
        <v>31</v>
      </c>
      <c r="K75" s="3" t="s">
        <v>64</v>
      </c>
      <c r="L75" s="3" t="s">
        <v>26</v>
      </c>
      <c r="M75">
        <v>1</v>
      </c>
    </row>
    <row r="76" spans="1:13" x14ac:dyDescent="0.25">
      <c r="A76" s="2">
        <v>46216</v>
      </c>
      <c r="B76" s="1" t="str">
        <f ca="1">IF(Información1[[#This Row],[Fecha]]='Ajuste de fechas'!$A$2,"Día actual","Día anterior")</f>
        <v>Día actual</v>
      </c>
      <c r="C76" s="3" t="s">
        <v>62</v>
      </c>
      <c r="D76" t="s">
        <v>63</v>
      </c>
      <c r="E76" s="3" t="s">
        <v>194</v>
      </c>
      <c r="F76" s="3" t="s">
        <v>35</v>
      </c>
      <c r="G76" s="3" t="s">
        <v>66</v>
      </c>
      <c r="H76" s="3" t="s">
        <v>8</v>
      </c>
      <c r="I76" s="3" t="s">
        <v>7</v>
      </c>
      <c r="J76" s="3" t="s">
        <v>31</v>
      </c>
      <c r="K76" s="3" t="s">
        <v>64</v>
      </c>
      <c r="L76" s="3" t="s">
        <v>26</v>
      </c>
      <c r="M76">
        <v>1</v>
      </c>
    </row>
    <row r="77" spans="1:13" x14ac:dyDescent="0.25">
      <c r="A77" s="2">
        <v>46216</v>
      </c>
      <c r="B77" s="1" t="str">
        <f ca="1">IF(Información1[[#This Row],[Fecha]]='Ajuste de fechas'!$A$2,"Día actual","Día anterior")</f>
        <v>Día actual</v>
      </c>
      <c r="C77" s="3" t="s">
        <v>62</v>
      </c>
      <c r="D77" t="s">
        <v>63</v>
      </c>
      <c r="E77" s="3" t="s">
        <v>195</v>
      </c>
      <c r="F77" s="3" t="s">
        <v>15</v>
      </c>
      <c r="G77" s="3" t="s">
        <v>137</v>
      </c>
      <c r="H77" s="3" t="s">
        <v>8</v>
      </c>
      <c r="I77" s="3" t="s">
        <v>7</v>
      </c>
      <c r="J77" s="3" t="s">
        <v>31</v>
      </c>
      <c r="K77" s="3" t="s">
        <v>64</v>
      </c>
      <c r="L77" s="3" t="s">
        <v>26</v>
      </c>
      <c r="M77">
        <v>1</v>
      </c>
    </row>
    <row r="78" spans="1:13" x14ac:dyDescent="0.25">
      <c r="A78" s="2">
        <v>46216</v>
      </c>
      <c r="B78" s="1" t="str">
        <f ca="1">IF(Información1[[#This Row],[Fecha]]='Ajuste de fechas'!$A$2,"Día actual","Día anterior")</f>
        <v>Día actual</v>
      </c>
      <c r="C78" s="3" t="s">
        <v>59</v>
      </c>
      <c r="D78" t="s">
        <v>65</v>
      </c>
      <c r="E78" s="3" t="s">
        <v>175</v>
      </c>
      <c r="F78" s="3" t="s">
        <v>176</v>
      </c>
      <c r="G78" s="3" t="s">
        <v>177</v>
      </c>
      <c r="H78" s="3" t="s">
        <v>8</v>
      </c>
      <c r="I78" s="3" t="s">
        <v>7</v>
      </c>
      <c r="J78" s="3" t="s">
        <v>178</v>
      </c>
      <c r="K78" s="3" t="s">
        <v>61</v>
      </c>
      <c r="L78" s="3" t="s">
        <v>24</v>
      </c>
      <c r="M78">
        <v>1</v>
      </c>
    </row>
    <row r="79" spans="1:13" x14ac:dyDescent="0.25">
      <c r="A79" s="2">
        <v>46216</v>
      </c>
      <c r="B79" s="1" t="str">
        <f ca="1">IF(Información1[[#This Row],[Fecha]]='Ajuste de fechas'!$A$2,"Día actual","Día anterior")</f>
        <v>Día actual</v>
      </c>
      <c r="C79" s="3" t="s">
        <v>59</v>
      </c>
      <c r="D79" t="s">
        <v>65</v>
      </c>
      <c r="E79" s="3" t="s">
        <v>196</v>
      </c>
      <c r="F79" s="3" t="s">
        <v>10</v>
      </c>
      <c r="G79" s="3" t="s">
        <v>197</v>
      </c>
      <c r="H79" s="3" t="s">
        <v>8</v>
      </c>
      <c r="I79" s="3" t="s">
        <v>7</v>
      </c>
      <c r="J79" s="3" t="s">
        <v>33</v>
      </c>
      <c r="K79" s="3" t="s">
        <v>61</v>
      </c>
      <c r="L79" s="3" t="s">
        <v>24</v>
      </c>
      <c r="M79">
        <v>1</v>
      </c>
    </row>
    <row r="80" spans="1:13" x14ac:dyDescent="0.25">
      <c r="A80" s="2">
        <v>46216</v>
      </c>
      <c r="B80" s="1" t="str">
        <f ca="1">IF(Información1[[#This Row],[Fecha]]='Ajuste de fechas'!$A$2,"Día actual","Día anterior")</f>
        <v>Día actual</v>
      </c>
      <c r="C80" s="3" t="s">
        <v>59</v>
      </c>
      <c r="D80" t="s">
        <v>65</v>
      </c>
      <c r="E80" s="3" t="s">
        <v>135</v>
      </c>
      <c r="F80" s="3" t="s">
        <v>10</v>
      </c>
      <c r="G80" s="3" t="s">
        <v>70</v>
      </c>
      <c r="H80" s="3" t="s">
        <v>8</v>
      </c>
      <c r="I80" s="3" t="s">
        <v>7</v>
      </c>
      <c r="J80" s="3" t="s">
        <v>33</v>
      </c>
      <c r="K80" s="3" t="s">
        <v>61</v>
      </c>
      <c r="L80" s="3" t="s">
        <v>24</v>
      </c>
      <c r="M80">
        <v>1</v>
      </c>
    </row>
    <row r="81" spans="1:13" x14ac:dyDescent="0.25">
      <c r="A81" s="2">
        <v>46216</v>
      </c>
      <c r="B81" s="1" t="str">
        <f ca="1">IF(Información1[[#This Row],[Fecha]]='Ajuste de fechas'!$A$2,"Día actual","Día anterior")</f>
        <v>Día actual</v>
      </c>
      <c r="C81" s="3" t="s">
        <v>59</v>
      </c>
      <c r="D81" t="s">
        <v>65</v>
      </c>
      <c r="E81" s="3" t="s">
        <v>198</v>
      </c>
      <c r="F81" s="3" t="s">
        <v>34</v>
      </c>
      <c r="G81" s="3" t="s">
        <v>199</v>
      </c>
      <c r="H81" s="3" t="s">
        <v>8</v>
      </c>
      <c r="I81" s="3" t="s">
        <v>14</v>
      </c>
      <c r="J81" s="3" t="s">
        <v>31</v>
      </c>
      <c r="K81" s="3" t="s">
        <v>37</v>
      </c>
      <c r="L81" s="3" t="s">
        <v>25</v>
      </c>
      <c r="M81">
        <v>1</v>
      </c>
    </row>
    <row r="82" spans="1:13" x14ac:dyDescent="0.25">
      <c r="A82" s="2">
        <v>46216</v>
      </c>
      <c r="B82" s="1" t="str">
        <f ca="1">IF(Información1[[#This Row],[Fecha]]='Ajuste de fechas'!$A$2,"Día actual","Día anterior")</f>
        <v>Día actual</v>
      </c>
      <c r="C82" s="3" t="s">
        <v>59</v>
      </c>
      <c r="D82" t="s">
        <v>65</v>
      </c>
      <c r="E82" s="3" t="s">
        <v>200</v>
      </c>
      <c r="F82" s="3" t="s">
        <v>12</v>
      </c>
      <c r="G82" s="3" t="s">
        <v>201</v>
      </c>
      <c r="H82" s="3" t="s">
        <v>8</v>
      </c>
      <c r="I82" s="3" t="s">
        <v>7</v>
      </c>
      <c r="J82" s="3" t="s">
        <v>31</v>
      </c>
      <c r="K82" s="3" t="s">
        <v>57</v>
      </c>
      <c r="L82" s="3" t="s">
        <v>24</v>
      </c>
      <c r="M82">
        <v>1</v>
      </c>
    </row>
    <row r="83" spans="1:13" x14ac:dyDescent="0.25">
      <c r="A83" s="2">
        <v>46216</v>
      </c>
      <c r="B83" s="1" t="str">
        <f ca="1">IF(Información1[[#This Row],[Fecha]]='Ajuste de fechas'!$A$2,"Día actual","Día anterior")</f>
        <v>Día actual</v>
      </c>
      <c r="C83" s="3" t="s">
        <v>59</v>
      </c>
      <c r="D83" t="s">
        <v>65</v>
      </c>
      <c r="E83" s="3" t="s">
        <v>202</v>
      </c>
      <c r="F83" s="3" t="s">
        <v>203</v>
      </c>
      <c r="G83" s="3" t="s">
        <v>174</v>
      </c>
      <c r="H83" s="3" t="s">
        <v>8</v>
      </c>
      <c r="I83" s="3" t="s">
        <v>7</v>
      </c>
      <c r="J83" s="3" t="s">
        <v>31</v>
      </c>
      <c r="K83" s="3" t="s">
        <v>57</v>
      </c>
      <c r="L83" s="3" t="s">
        <v>24</v>
      </c>
      <c r="M83">
        <v>1</v>
      </c>
    </row>
    <row r="84" spans="1:13" x14ac:dyDescent="0.25">
      <c r="A84" s="2">
        <v>46216</v>
      </c>
      <c r="B84" s="1" t="str">
        <f ca="1">IF(Información1[[#This Row],[Fecha]]='Ajuste de fechas'!$A$2,"Día actual","Día anterior")</f>
        <v>Día actual</v>
      </c>
      <c r="C84" s="3" t="s">
        <v>59</v>
      </c>
      <c r="D84" t="s">
        <v>65</v>
      </c>
      <c r="E84" s="3" t="s">
        <v>204</v>
      </c>
      <c r="F84" s="3" t="s">
        <v>15</v>
      </c>
      <c r="G84" s="3" t="s">
        <v>205</v>
      </c>
      <c r="H84" s="3" t="s">
        <v>8</v>
      </c>
      <c r="I84" s="3" t="s">
        <v>7</v>
      </c>
      <c r="J84" s="3" t="s">
        <v>31</v>
      </c>
      <c r="K84" s="3" t="s">
        <v>57</v>
      </c>
      <c r="L84" s="3" t="s">
        <v>24</v>
      </c>
      <c r="M84">
        <v>1</v>
      </c>
    </row>
    <row r="85" spans="1:13" x14ac:dyDescent="0.25">
      <c r="A85" s="2">
        <v>46216</v>
      </c>
      <c r="B85" s="1" t="str">
        <f ca="1">IF(Información1[[#This Row],[Fecha]]='Ajuste de fechas'!$A$2,"Día actual","Día anterior")</f>
        <v>Día actual</v>
      </c>
      <c r="C85" s="3" t="s">
        <v>59</v>
      </c>
      <c r="D85" t="s">
        <v>65</v>
      </c>
      <c r="E85" s="3" t="s">
        <v>206</v>
      </c>
      <c r="F85" s="3" t="s">
        <v>15</v>
      </c>
      <c r="G85" s="3" t="s">
        <v>174</v>
      </c>
      <c r="H85" s="3" t="s">
        <v>8</v>
      </c>
      <c r="I85" s="3" t="s">
        <v>7</v>
      </c>
      <c r="J85" s="3" t="s">
        <v>31</v>
      </c>
      <c r="K85" s="3" t="s">
        <v>57</v>
      </c>
      <c r="L85" s="3" t="s">
        <v>24</v>
      </c>
      <c r="M85">
        <v>1</v>
      </c>
    </row>
    <row r="86" spans="1:13" x14ac:dyDescent="0.25">
      <c r="A86" s="2">
        <v>46216</v>
      </c>
      <c r="B86" s="1" t="str">
        <f ca="1">IF(Información1[[#This Row],[Fecha]]='Ajuste de fechas'!$A$2,"Día actual","Día anterior")</f>
        <v>Día actual</v>
      </c>
      <c r="C86" s="3" t="s">
        <v>59</v>
      </c>
      <c r="D86" t="s">
        <v>65</v>
      </c>
      <c r="E86" s="3" t="s">
        <v>207</v>
      </c>
      <c r="F86" s="3" t="s">
        <v>34</v>
      </c>
      <c r="G86" s="3" t="s">
        <v>174</v>
      </c>
      <c r="H86" s="3" t="s">
        <v>8</v>
      </c>
      <c r="I86" s="3" t="s">
        <v>7</v>
      </c>
      <c r="J86" s="3" t="s">
        <v>31</v>
      </c>
      <c r="K86" s="3" t="s">
        <v>57</v>
      </c>
      <c r="L86" s="3" t="s">
        <v>24</v>
      </c>
      <c r="M86">
        <v>1</v>
      </c>
    </row>
    <row r="87" spans="1:13" x14ac:dyDescent="0.25">
      <c r="A87" s="2">
        <v>46216</v>
      </c>
      <c r="B87" s="1" t="str">
        <f ca="1">IF(Información1[[#This Row],[Fecha]]='Ajuste de fechas'!$A$2,"Día actual","Día anterior")</f>
        <v>Día actual</v>
      </c>
      <c r="C87" s="3" t="s">
        <v>59</v>
      </c>
      <c r="D87" t="s">
        <v>65</v>
      </c>
      <c r="E87" s="3" t="s">
        <v>208</v>
      </c>
      <c r="F87" s="3" t="s">
        <v>69</v>
      </c>
      <c r="G87" s="3" t="s">
        <v>174</v>
      </c>
      <c r="H87" s="3" t="s">
        <v>8</v>
      </c>
      <c r="I87" s="3" t="s">
        <v>7</v>
      </c>
      <c r="J87" s="3" t="s">
        <v>31</v>
      </c>
      <c r="K87" s="3" t="s">
        <v>57</v>
      </c>
      <c r="L87" s="3" t="s">
        <v>24</v>
      </c>
      <c r="M87">
        <v>1</v>
      </c>
    </row>
    <row r="88" spans="1:13" x14ac:dyDescent="0.25">
      <c r="A88" s="2">
        <v>46216</v>
      </c>
      <c r="B88" s="1" t="str">
        <f ca="1">IF(Información1[[#This Row],[Fecha]]='Ajuste de fechas'!$A$2,"Día actual","Día anterior")</f>
        <v>Día actual</v>
      </c>
      <c r="C88" s="3" t="s">
        <v>59</v>
      </c>
      <c r="D88" t="s">
        <v>65</v>
      </c>
      <c r="E88" s="3" t="s">
        <v>209</v>
      </c>
      <c r="F88" s="3" t="s">
        <v>69</v>
      </c>
      <c r="G88" s="3" t="s">
        <v>174</v>
      </c>
      <c r="H88" s="3" t="s">
        <v>8</v>
      </c>
      <c r="I88" s="3" t="s">
        <v>7</v>
      </c>
      <c r="J88" s="3" t="s">
        <v>31</v>
      </c>
      <c r="K88" s="3" t="s">
        <v>57</v>
      </c>
      <c r="L88" s="3" t="s">
        <v>24</v>
      </c>
      <c r="M88">
        <v>1</v>
      </c>
    </row>
    <row r="89" spans="1:13" x14ac:dyDescent="0.25">
      <c r="A89" s="2">
        <v>46216</v>
      </c>
      <c r="B89" s="1" t="str">
        <f ca="1">IF(Información1[[#This Row],[Fecha]]='Ajuste de fechas'!$A$2,"Día actual","Día anterior")</f>
        <v>Día actual</v>
      </c>
      <c r="C89" s="3" t="s">
        <v>59</v>
      </c>
      <c r="D89" t="s">
        <v>65</v>
      </c>
      <c r="E89" s="3" t="s">
        <v>210</v>
      </c>
      <c r="F89" s="3" t="s">
        <v>12</v>
      </c>
      <c r="G89" s="3" t="s">
        <v>211</v>
      </c>
      <c r="H89" s="3" t="s">
        <v>8</v>
      </c>
      <c r="I89" s="3" t="s">
        <v>7</v>
      </c>
      <c r="J89" s="3" t="s">
        <v>31</v>
      </c>
      <c r="K89" s="3" t="s">
        <v>57</v>
      </c>
      <c r="L89" s="3" t="s">
        <v>26</v>
      </c>
      <c r="M89">
        <v>1</v>
      </c>
    </row>
    <row r="90" spans="1:13" x14ac:dyDescent="0.25">
      <c r="A90" s="2">
        <v>46216</v>
      </c>
      <c r="B90" s="1" t="str">
        <f ca="1">IF(Información1[[#This Row],[Fecha]]='Ajuste de fechas'!$A$2,"Día actual","Día anterior")</f>
        <v>Día actual</v>
      </c>
      <c r="C90" s="3" t="s">
        <v>41</v>
      </c>
      <c r="D90" t="s">
        <v>42</v>
      </c>
      <c r="E90" s="3" t="s">
        <v>212</v>
      </c>
      <c r="F90" s="3" t="s">
        <v>6</v>
      </c>
      <c r="G90" s="3" t="s">
        <v>52</v>
      </c>
      <c r="H90" s="3" t="s">
        <v>8</v>
      </c>
      <c r="I90" s="3" t="s">
        <v>14</v>
      </c>
      <c r="J90" s="3" t="s">
        <v>31</v>
      </c>
      <c r="K90" s="3" t="s">
        <v>43</v>
      </c>
      <c r="L90" s="3" t="s">
        <v>25</v>
      </c>
      <c r="M90">
        <v>1</v>
      </c>
    </row>
    <row r="91" spans="1:13" x14ac:dyDescent="0.25">
      <c r="A91" s="2">
        <v>46216</v>
      </c>
      <c r="B91" s="1" t="str">
        <f ca="1">IF(Información1[[#This Row],[Fecha]]='Ajuste de fechas'!$A$2,"Día actual","Día anterior")</f>
        <v>Día actual</v>
      </c>
      <c r="C91" s="3" t="s">
        <v>41</v>
      </c>
      <c r="D91" t="s">
        <v>42</v>
      </c>
      <c r="E91" s="3" t="s">
        <v>213</v>
      </c>
      <c r="F91" s="3" t="s">
        <v>6</v>
      </c>
      <c r="G91" s="3" t="s">
        <v>52</v>
      </c>
      <c r="H91" s="3" t="s">
        <v>8</v>
      </c>
      <c r="I91" s="3" t="s">
        <v>14</v>
      </c>
      <c r="J91" s="3" t="s">
        <v>31</v>
      </c>
      <c r="K91" s="3" t="s">
        <v>43</v>
      </c>
      <c r="L91" s="3" t="s">
        <v>25</v>
      </c>
      <c r="M91">
        <v>1</v>
      </c>
    </row>
    <row r="92" spans="1:13" x14ac:dyDescent="0.25">
      <c r="A92" s="2">
        <v>46216</v>
      </c>
      <c r="B92" s="1" t="str">
        <f ca="1">IF(Información1[[#This Row],[Fecha]]='Ajuste de fechas'!$A$2,"Día actual","Día anterior")</f>
        <v>Día actual</v>
      </c>
      <c r="C92" s="3" t="s">
        <v>16</v>
      </c>
      <c r="D92" t="s">
        <v>53</v>
      </c>
      <c r="E92" s="3" t="s">
        <v>214</v>
      </c>
      <c r="F92" s="3" t="s">
        <v>12</v>
      </c>
      <c r="G92" s="3" t="s">
        <v>215</v>
      </c>
      <c r="H92" s="3" t="s">
        <v>8</v>
      </c>
      <c r="I92" s="3" t="s">
        <v>7</v>
      </c>
      <c r="J92" s="3" t="s">
        <v>31</v>
      </c>
      <c r="K92" s="3" t="s">
        <v>54</v>
      </c>
      <c r="L92" s="3" t="s">
        <v>24</v>
      </c>
      <c r="M92">
        <v>1</v>
      </c>
    </row>
    <row r="93" spans="1:13" x14ac:dyDescent="0.25">
      <c r="A93" s="2">
        <v>46216</v>
      </c>
      <c r="B93" s="1" t="str">
        <f ca="1">IF(Información1[[#This Row],[Fecha]]='Ajuste de fechas'!$A$2,"Día actual","Día anterior")</f>
        <v>Día actual</v>
      </c>
      <c r="C93" s="3" t="s">
        <v>41</v>
      </c>
      <c r="D93" t="s">
        <v>42</v>
      </c>
      <c r="E93" s="3" t="s">
        <v>216</v>
      </c>
      <c r="F93" s="3" t="s">
        <v>11</v>
      </c>
      <c r="G93" s="3" t="s">
        <v>68</v>
      </c>
      <c r="H93" s="3" t="s">
        <v>8</v>
      </c>
      <c r="I93" s="3" t="s">
        <v>7</v>
      </c>
      <c r="J93" s="3" t="s">
        <v>32</v>
      </c>
      <c r="K93" s="3" t="s">
        <v>43</v>
      </c>
      <c r="L93" s="3" t="s">
        <v>24</v>
      </c>
      <c r="M93">
        <v>1</v>
      </c>
    </row>
    <row r="94" spans="1:13" x14ac:dyDescent="0.25">
      <c r="A94" s="2">
        <v>46216</v>
      </c>
      <c r="B94" s="1" t="str">
        <f ca="1">IF(Información1[[#This Row],[Fecha]]='Ajuste de fechas'!$A$2,"Día actual","Día anterior")</f>
        <v>Día actual</v>
      </c>
      <c r="C94" s="3" t="s">
        <v>41</v>
      </c>
      <c r="D94" t="s">
        <v>42</v>
      </c>
      <c r="E94" s="3" t="s">
        <v>44</v>
      </c>
      <c r="F94" s="3" t="s">
        <v>10</v>
      </c>
      <c r="G94" s="3" t="s">
        <v>217</v>
      </c>
      <c r="H94" s="3" t="s">
        <v>8</v>
      </c>
      <c r="I94" s="3" t="s">
        <v>40</v>
      </c>
      <c r="J94" s="3" t="s">
        <v>33</v>
      </c>
      <c r="K94" s="3" t="s">
        <v>43</v>
      </c>
      <c r="L94" s="3" t="s">
        <v>25</v>
      </c>
      <c r="M94">
        <v>1</v>
      </c>
    </row>
    <row r="95" spans="1:13" x14ac:dyDescent="0.25">
      <c r="A95" s="2">
        <v>46216</v>
      </c>
      <c r="B95" s="1" t="str">
        <f ca="1">IF(Información1[[#This Row],[Fecha]]='Ajuste de fechas'!$A$2,"Día actual","Día anterior")</f>
        <v>Día actual</v>
      </c>
      <c r="C95" s="3" t="s">
        <v>41</v>
      </c>
      <c r="D95" t="s">
        <v>42</v>
      </c>
      <c r="E95" s="3" t="s">
        <v>46</v>
      </c>
      <c r="F95" s="3" t="s">
        <v>10</v>
      </c>
      <c r="G95" s="3" t="s">
        <v>217</v>
      </c>
      <c r="H95" s="3" t="s">
        <v>8</v>
      </c>
      <c r="I95" s="3" t="s">
        <v>40</v>
      </c>
      <c r="J95" s="3" t="s">
        <v>33</v>
      </c>
      <c r="K95" s="3" t="s">
        <v>43</v>
      </c>
      <c r="L95" s="3" t="s">
        <v>25</v>
      </c>
      <c r="M95">
        <v>1</v>
      </c>
    </row>
    <row r="96" spans="1:13" x14ac:dyDescent="0.25">
      <c r="A96" s="2">
        <v>46216</v>
      </c>
      <c r="B96" s="1" t="str">
        <f ca="1">IF(Información1[[#This Row],[Fecha]]='Ajuste de fechas'!$A$2,"Día actual","Día anterior")</f>
        <v>Día actual</v>
      </c>
      <c r="C96" s="3" t="s">
        <v>41</v>
      </c>
      <c r="D96" t="s">
        <v>42</v>
      </c>
      <c r="E96" s="3" t="s">
        <v>47</v>
      </c>
      <c r="F96" s="3" t="s">
        <v>34</v>
      </c>
      <c r="G96" s="3" t="s">
        <v>217</v>
      </c>
      <c r="H96" s="3" t="s">
        <v>8</v>
      </c>
      <c r="I96" s="3" t="s">
        <v>40</v>
      </c>
      <c r="J96" s="3" t="s">
        <v>31</v>
      </c>
      <c r="K96" s="3" t="s">
        <v>43</v>
      </c>
      <c r="L96" s="3" t="s">
        <v>25</v>
      </c>
      <c r="M96">
        <v>1</v>
      </c>
    </row>
    <row r="97" spans="1:13" x14ac:dyDescent="0.25">
      <c r="A97" s="2">
        <v>46216</v>
      </c>
      <c r="B97" s="1" t="str">
        <f ca="1">IF(Información1[[#This Row],[Fecha]]='Ajuste de fechas'!$A$2,"Día actual","Día anterior")</f>
        <v>Día actual</v>
      </c>
      <c r="C97" s="3" t="s">
        <v>41</v>
      </c>
      <c r="D97" t="s">
        <v>42</v>
      </c>
      <c r="E97" s="3" t="s">
        <v>51</v>
      </c>
      <c r="F97" s="3" t="s">
        <v>30</v>
      </c>
      <c r="G97" s="3" t="s">
        <v>217</v>
      </c>
      <c r="H97" s="3" t="s">
        <v>8</v>
      </c>
      <c r="I97" s="3" t="s">
        <v>40</v>
      </c>
      <c r="J97" s="3" t="s">
        <v>13</v>
      </c>
      <c r="K97" s="3" t="s">
        <v>43</v>
      </c>
      <c r="L97" s="3" t="s">
        <v>25</v>
      </c>
      <c r="M97">
        <v>1</v>
      </c>
    </row>
    <row r="98" spans="1:13" x14ac:dyDescent="0.25">
      <c r="A98" s="2">
        <v>46216</v>
      </c>
      <c r="B98" s="1" t="str">
        <f ca="1">IF(Información1[[#This Row],[Fecha]]='Ajuste de fechas'!$A$2,"Día actual","Día anterior")</f>
        <v>Día actual</v>
      </c>
      <c r="C98" s="3" t="s">
        <v>41</v>
      </c>
      <c r="D98" t="s">
        <v>42</v>
      </c>
      <c r="E98" s="3" t="s">
        <v>48</v>
      </c>
      <c r="F98" s="3" t="s">
        <v>9</v>
      </c>
      <c r="G98" s="3" t="s">
        <v>217</v>
      </c>
      <c r="H98" s="3" t="s">
        <v>8</v>
      </c>
      <c r="I98" s="3" t="s">
        <v>40</v>
      </c>
      <c r="J98" s="3" t="s">
        <v>31</v>
      </c>
      <c r="K98" s="3" t="s">
        <v>43</v>
      </c>
      <c r="L98" s="3" t="s">
        <v>25</v>
      </c>
      <c r="M98">
        <v>1</v>
      </c>
    </row>
    <row r="99" spans="1:13" x14ac:dyDescent="0.25">
      <c r="A99" s="2">
        <v>46216</v>
      </c>
      <c r="B99" s="1" t="str">
        <f ca="1">IF(Información1[[#This Row],[Fecha]]='Ajuste de fechas'!$A$2,"Día actual","Día anterior")</f>
        <v>Día actual</v>
      </c>
      <c r="C99" s="3" t="s">
        <v>41</v>
      </c>
      <c r="D99" t="s">
        <v>42</v>
      </c>
      <c r="E99" s="3" t="s">
        <v>49</v>
      </c>
      <c r="F99" s="3" t="s">
        <v>38</v>
      </c>
      <c r="G99" s="3" t="s">
        <v>217</v>
      </c>
      <c r="H99" s="3" t="s">
        <v>8</v>
      </c>
      <c r="I99" s="3" t="s">
        <v>40</v>
      </c>
      <c r="J99" s="3" t="s">
        <v>31</v>
      </c>
      <c r="K99" s="3" t="s">
        <v>43</v>
      </c>
      <c r="L99" s="3" t="s">
        <v>25</v>
      </c>
      <c r="M99">
        <v>1</v>
      </c>
    </row>
    <row r="100" spans="1:13" x14ac:dyDescent="0.25">
      <c r="A100" s="2">
        <v>46216</v>
      </c>
      <c r="B100" s="1" t="str">
        <f ca="1">IF(Información1[[#This Row],[Fecha]]='Ajuste de fechas'!$A$2,"Día actual","Día anterior")</f>
        <v>Día actual</v>
      </c>
      <c r="C100" s="3" t="s">
        <v>41</v>
      </c>
      <c r="D100" t="s">
        <v>42</v>
      </c>
      <c r="E100" s="3" t="s">
        <v>50</v>
      </c>
      <c r="F100" s="3" t="s">
        <v>38</v>
      </c>
      <c r="G100" s="3" t="s">
        <v>217</v>
      </c>
      <c r="H100" s="3" t="s">
        <v>8</v>
      </c>
      <c r="I100" s="3" t="s">
        <v>40</v>
      </c>
      <c r="J100" s="3" t="s">
        <v>31</v>
      </c>
      <c r="K100" s="3" t="s">
        <v>43</v>
      </c>
      <c r="L100" s="3" t="s">
        <v>25</v>
      </c>
      <c r="M100">
        <v>1</v>
      </c>
    </row>
    <row r="101" spans="1:13" x14ac:dyDescent="0.25">
      <c r="A101" s="2">
        <v>46216</v>
      </c>
      <c r="B101" s="1" t="str">
        <f ca="1">IF(Información1[[#This Row],[Fecha]]='Ajuste de fechas'!$A$2,"Día actual","Día anterior")</f>
        <v>Día actual</v>
      </c>
      <c r="C101" s="3" t="s">
        <v>41</v>
      </c>
      <c r="D101" t="s">
        <v>42</v>
      </c>
      <c r="E101" s="3" t="s">
        <v>218</v>
      </c>
      <c r="F101" s="3" t="s">
        <v>10</v>
      </c>
      <c r="G101" s="3" t="s">
        <v>45</v>
      </c>
      <c r="H101" s="3" t="s">
        <v>8</v>
      </c>
      <c r="I101" s="3" t="s">
        <v>40</v>
      </c>
      <c r="J101" s="3" t="s">
        <v>33</v>
      </c>
      <c r="K101" s="3" t="s">
        <v>43</v>
      </c>
      <c r="L101" s="3" t="s">
        <v>25</v>
      </c>
      <c r="M101">
        <v>1</v>
      </c>
    </row>
    <row r="102" spans="1:13" x14ac:dyDescent="0.25">
      <c r="A102" s="2">
        <v>46216</v>
      </c>
      <c r="B102" s="1" t="str">
        <f ca="1">IF(Información1[[#This Row],[Fecha]]='Ajuste de fechas'!$A$2,"Día actual","Día anterior")</f>
        <v>Día actual</v>
      </c>
      <c r="C102" s="3" t="s">
        <v>41</v>
      </c>
      <c r="D102" t="s">
        <v>42</v>
      </c>
      <c r="E102" s="3" t="s">
        <v>219</v>
      </c>
      <c r="F102" s="3" t="s">
        <v>10</v>
      </c>
      <c r="G102" s="3" t="s">
        <v>45</v>
      </c>
      <c r="H102" s="3" t="s">
        <v>8</v>
      </c>
      <c r="I102" s="3" t="s">
        <v>40</v>
      </c>
      <c r="J102" s="3" t="s">
        <v>33</v>
      </c>
      <c r="K102" s="3" t="s">
        <v>43</v>
      </c>
      <c r="L102" s="3" t="s">
        <v>25</v>
      </c>
      <c r="M102">
        <v>1</v>
      </c>
    </row>
    <row r="103" spans="1:13" x14ac:dyDescent="0.25">
      <c r="A103" s="2">
        <v>46216</v>
      </c>
      <c r="B103" s="1" t="str">
        <f ca="1">IF(Información1[[#This Row],[Fecha]]='Ajuste de fechas'!$A$2,"Día actual","Día anterior")</f>
        <v>Día actual</v>
      </c>
      <c r="C103" s="3" t="s">
        <v>41</v>
      </c>
      <c r="D103" t="s">
        <v>42</v>
      </c>
      <c r="E103" s="3" t="s">
        <v>220</v>
      </c>
      <c r="F103" s="3" t="s">
        <v>10</v>
      </c>
      <c r="G103" s="3" t="s">
        <v>45</v>
      </c>
      <c r="H103" s="3" t="s">
        <v>8</v>
      </c>
      <c r="I103" s="3" t="s">
        <v>7</v>
      </c>
      <c r="J103" s="3" t="s">
        <v>33</v>
      </c>
      <c r="K103" s="3" t="s">
        <v>43</v>
      </c>
      <c r="L103" s="3" t="s">
        <v>36</v>
      </c>
      <c r="M103">
        <v>1</v>
      </c>
    </row>
    <row r="104" spans="1:13" x14ac:dyDescent="0.25">
      <c r="A104" s="2">
        <v>46216</v>
      </c>
      <c r="B104" s="1" t="str">
        <f ca="1">IF(Información1[[#This Row],[Fecha]]='Ajuste de fechas'!$A$2,"Día actual","Día anterior")</f>
        <v>Día actual</v>
      </c>
      <c r="C104" s="3" t="s">
        <v>16</v>
      </c>
      <c r="D104" t="s">
        <v>78</v>
      </c>
      <c r="E104" s="3" t="s">
        <v>221</v>
      </c>
      <c r="F104" s="3" t="s">
        <v>38</v>
      </c>
      <c r="G104" s="3" t="s">
        <v>222</v>
      </c>
      <c r="H104" s="3" t="s">
        <v>8</v>
      </c>
      <c r="I104" s="3" t="s">
        <v>14</v>
      </c>
      <c r="J104" s="3" t="s">
        <v>31</v>
      </c>
      <c r="K104" s="3" t="s">
        <v>79</v>
      </c>
      <c r="L104" s="3" t="s">
        <v>24</v>
      </c>
      <c r="M104">
        <v>1</v>
      </c>
    </row>
    <row r="105" spans="1:13" x14ac:dyDescent="0.25">
      <c r="A105" s="2">
        <v>46216</v>
      </c>
      <c r="B105" s="1" t="str">
        <f ca="1">IF(Información1[[#This Row],[Fecha]]='Ajuste de fechas'!$A$2,"Día actual","Día anterior")</f>
        <v>Día actual</v>
      </c>
      <c r="C105" s="3" t="s">
        <v>16</v>
      </c>
      <c r="D105" t="s">
        <v>53</v>
      </c>
      <c r="E105" s="3" t="s">
        <v>223</v>
      </c>
      <c r="F105" s="3" t="s">
        <v>34</v>
      </c>
      <c r="G105" s="3" t="s">
        <v>191</v>
      </c>
      <c r="H105" s="3" t="s">
        <v>8</v>
      </c>
      <c r="I105" s="3" t="s">
        <v>7</v>
      </c>
      <c r="J105" s="3" t="s">
        <v>31</v>
      </c>
      <c r="K105" s="3" t="s">
        <v>54</v>
      </c>
      <c r="L105" s="3" t="s">
        <v>24</v>
      </c>
      <c r="M105">
        <v>1</v>
      </c>
    </row>
    <row r="106" spans="1:13" x14ac:dyDescent="0.25">
      <c r="A106" s="2">
        <v>46216</v>
      </c>
      <c r="B106" s="1" t="str">
        <f ca="1">IF(Información1[[#This Row],[Fecha]]='Ajuste de fechas'!$A$2,"Día actual","Día anterior")</f>
        <v>Día actual</v>
      </c>
      <c r="C106" s="3" t="s">
        <v>16</v>
      </c>
      <c r="D106" t="s">
        <v>53</v>
      </c>
      <c r="E106" s="3" t="s">
        <v>224</v>
      </c>
      <c r="F106" s="3" t="s">
        <v>12</v>
      </c>
      <c r="G106" s="3" t="s">
        <v>211</v>
      </c>
      <c r="H106" s="3" t="s">
        <v>8</v>
      </c>
      <c r="I106" s="3" t="s">
        <v>7</v>
      </c>
      <c r="J106" s="3" t="s">
        <v>31</v>
      </c>
      <c r="K106" s="3" t="s">
        <v>54</v>
      </c>
      <c r="L106" s="3" t="s">
        <v>24</v>
      </c>
      <c r="M106">
        <v>1</v>
      </c>
    </row>
    <row r="107" spans="1:13" x14ac:dyDescent="0.25">
      <c r="A107" s="2">
        <v>46216</v>
      </c>
      <c r="B107" s="1" t="str">
        <f ca="1">IF(Información1[[#This Row],[Fecha]]='Ajuste de fechas'!$A$2,"Día actual","Día anterior")</f>
        <v>Día actual</v>
      </c>
      <c r="C107" s="3" t="s">
        <v>16</v>
      </c>
      <c r="D107" t="s">
        <v>53</v>
      </c>
      <c r="E107" s="3" t="s">
        <v>225</v>
      </c>
      <c r="F107" s="3" t="s">
        <v>35</v>
      </c>
      <c r="G107" s="3" t="s">
        <v>66</v>
      </c>
      <c r="H107" s="3" t="s">
        <v>8</v>
      </c>
      <c r="I107" s="3" t="s">
        <v>7</v>
      </c>
      <c r="J107" s="3" t="s">
        <v>31</v>
      </c>
      <c r="K107" s="3" t="s">
        <v>54</v>
      </c>
      <c r="L107" s="3" t="s">
        <v>24</v>
      </c>
      <c r="M107">
        <v>1</v>
      </c>
    </row>
    <row r="108" spans="1:13" x14ac:dyDescent="0.25">
      <c r="A108" s="2">
        <v>46216</v>
      </c>
      <c r="B108" s="1" t="str">
        <f ca="1">IF(Información1[[#This Row],[Fecha]]='Ajuste de fechas'!$A$2,"Día actual","Día anterior")</f>
        <v>Día actual</v>
      </c>
      <c r="C108" s="3" t="s">
        <v>41</v>
      </c>
      <c r="D108" t="s">
        <v>42</v>
      </c>
      <c r="E108" s="3" t="s">
        <v>226</v>
      </c>
      <c r="F108" s="3" t="s">
        <v>35</v>
      </c>
      <c r="G108" s="3" t="s">
        <v>66</v>
      </c>
      <c r="H108" s="3" t="s">
        <v>8</v>
      </c>
      <c r="I108" s="3" t="s">
        <v>7</v>
      </c>
      <c r="J108" s="3" t="s">
        <v>31</v>
      </c>
      <c r="K108" s="3" t="s">
        <v>43</v>
      </c>
      <c r="L108" s="3" t="s">
        <v>26</v>
      </c>
      <c r="M108">
        <v>1</v>
      </c>
    </row>
    <row r="109" spans="1:13" x14ac:dyDescent="0.25">
      <c r="A109" s="2">
        <v>46216</v>
      </c>
      <c r="B109" s="1" t="str">
        <f ca="1">IF(Información1[[#This Row],[Fecha]]='Ajuste de fechas'!$A$2,"Día actual","Día anterior")</f>
        <v>Día actual</v>
      </c>
      <c r="C109" s="3" t="s">
        <v>16</v>
      </c>
      <c r="D109" t="s">
        <v>53</v>
      </c>
      <c r="E109" s="3" t="s">
        <v>227</v>
      </c>
      <c r="F109" s="3" t="s">
        <v>12</v>
      </c>
      <c r="G109" s="3" t="s">
        <v>97</v>
      </c>
      <c r="H109" s="3" t="s">
        <v>8</v>
      </c>
      <c r="I109" s="3" t="s">
        <v>7</v>
      </c>
      <c r="J109" s="3" t="s">
        <v>31</v>
      </c>
      <c r="K109" s="3" t="s">
        <v>54</v>
      </c>
      <c r="L109" s="3" t="s">
        <v>24</v>
      </c>
      <c r="M109">
        <v>1</v>
      </c>
    </row>
    <row r="110" spans="1:13" x14ac:dyDescent="0.25">
      <c r="A110" s="2">
        <v>46216</v>
      </c>
      <c r="B110" s="1" t="str">
        <f ca="1">IF(Información1[[#This Row],[Fecha]]='Ajuste de fechas'!$A$2,"Día actual","Día anterior")</f>
        <v>Día actual</v>
      </c>
      <c r="C110" s="3" t="s">
        <v>16</v>
      </c>
      <c r="D110" t="s">
        <v>78</v>
      </c>
      <c r="E110" s="3" t="s">
        <v>228</v>
      </c>
      <c r="F110" s="3" t="s">
        <v>10</v>
      </c>
      <c r="G110" s="3" t="s">
        <v>229</v>
      </c>
      <c r="H110" s="3" t="s">
        <v>8</v>
      </c>
      <c r="I110" s="3" t="s">
        <v>7</v>
      </c>
      <c r="J110" s="3" t="s">
        <v>33</v>
      </c>
      <c r="K110" s="3" t="s">
        <v>79</v>
      </c>
      <c r="L110" s="3" t="s">
        <v>24</v>
      </c>
      <c r="M110">
        <v>1</v>
      </c>
    </row>
    <row r="111" spans="1:13" x14ac:dyDescent="0.25">
      <c r="A111" s="2">
        <v>46216</v>
      </c>
      <c r="B111" s="1" t="str">
        <f ca="1">IF(Información1[[#This Row],[Fecha]]='Ajuste de fechas'!$A$2,"Día actual","Día anterior")</f>
        <v>Día actual</v>
      </c>
      <c r="C111" s="3" t="s">
        <v>16</v>
      </c>
      <c r="D111" t="s">
        <v>78</v>
      </c>
      <c r="E111" s="3" t="s">
        <v>230</v>
      </c>
      <c r="F111" s="3" t="s">
        <v>13</v>
      </c>
      <c r="G111" s="3" t="s">
        <v>229</v>
      </c>
      <c r="H111" s="3" t="s">
        <v>8</v>
      </c>
      <c r="I111" s="3" t="s">
        <v>7</v>
      </c>
      <c r="J111" s="3" t="s">
        <v>13</v>
      </c>
      <c r="K111" s="3" t="s">
        <v>79</v>
      </c>
      <c r="L111" s="3" t="s">
        <v>24</v>
      </c>
      <c r="M111">
        <v>1</v>
      </c>
    </row>
    <row r="112" spans="1:13" x14ac:dyDescent="0.25">
      <c r="A112" s="2">
        <v>46216</v>
      </c>
      <c r="B112" s="1" t="str">
        <f ca="1">IF(Información1[[#This Row],[Fecha]]='Ajuste de fechas'!$A$2,"Día actual","Día anterior")</f>
        <v>Día actual</v>
      </c>
      <c r="C112" s="3" t="s">
        <v>16</v>
      </c>
      <c r="D112" t="s">
        <v>53</v>
      </c>
      <c r="E112" s="3" t="s">
        <v>231</v>
      </c>
      <c r="F112" s="3" t="s">
        <v>13</v>
      </c>
      <c r="G112" s="3" t="s">
        <v>229</v>
      </c>
      <c r="H112" s="3" t="s">
        <v>8</v>
      </c>
      <c r="I112" s="3" t="s">
        <v>7</v>
      </c>
      <c r="J112" s="3" t="s">
        <v>13</v>
      </c>
      <c r="K112" s="3" t="s">
        <v>54</v>
      </c>
      <c r="L112" s="3" t="s">
        <v>24</v>
      </c>
      <c r="M112">
        <v>1</v>
      </c>
    </row>
    <row r="113" spans="1:13" x14ac:dyDescent="0.25">
      <c r="A113" s="2">
        <v>46216</v>
      </c>
      <c r="B113" s="1" t="str">
        <f ca="1">IF(Información1[[#This Row],[Fecha]]='Ajuste de fechas'!$A$2,"Día actual","Día anterior")</f>
        <v>Día actual</v>
      </c>
      <c r="C113" s="3" t="s">
        <v>16</v>
      </c>
      <c r="D113" t="s">
        <v>53</v>
      </c>
      <c r="E113" s="3" t="s">
        <v>232</v>
      </c>
      <c r="F113" s="3" t="s">
        <v>58</v>
      </c>
      <c r="G113" s="3" t="s">
        <v>151</v>
      </c>
      <c r="H113" s="3" t="s">
        <v>8</v>
      </c>
      <c r="I113" s="3" t="s">
        <v>7</v>
      </c>
      <c r="J113" s="3" t="s">
        <v>31</v>
      </c>
      <c r="K113" s="3" t="s">
        <v>54</v>
      </c>
      <c r="L113" s="3" t="s">
        <v>25</v>
      </c>
      <c r="M113">
        <v>1</v>
      </c>
    </row>
    <row r="114" spans="1:13" x14ac:dyDescent="0.25">
      <c r="A114" s="2">
        <v>46216</v>
      </c>
      <c r="B114" s="1" t="str">
        <f ca="1">IF(Información1[[#This Row],[Fecha]]='Ajuste de fechas'!$A$2,"Día actual","Día anterior")</f>
        <v>Día actual</v>
      </c>
      <c r="C114" s="3" t="s">
        <v>16</v>
      </c>
      <c r="D114" t="s">
        <v>53</v>
      </c>
      <c r="E114" s="3" t="s">
        <v>233</v>
      </c>
      <c r="F114" s="3" t="s">
        <v>58</v>
      </c>
      <c r="G114" s="3" t="s">
        <v>151</v>
      </c>
      <c r="H114" s="3" t="s">
        <v>8</v>
      </c>
      <c r="I114" s="3" t="s">
        <v>7</v>
      </c>
      <c r="J114" s="3" t="s">
        <v>31</v>
      </c>
      <c r="K114" s="3" t="s">
        <v>54</v>
      </c>
      <c r="L114" s="3" t="s">
        <v>24</v>
      </c>
      <c r="M114">
        <v>1</v>
      </c>
    </row>
    <row r="115" spans="1:13" x14ac:dyDescent="0.25">
      <c r="A115" s="2">
        <v>46216</v>
      </c>
      <c r="B115" s="1" t="str">
        <f ca="1">IF(Información1[[#This Row],[Fecha]]='Ajuste de fechas'!$A$2,"Día actual","Día anterior")</f>
        <v>Día actual</v>
      </c>
      <c r="C115" s="3" t="s">
        <v>41</v>
      </c>
      <c r="D115" t="s">
        <v>42</v>
      </c>
      <c r="E115" s="3" t="s">
        <v>150</v>
      </c>
      <c r="F115" s="3" t="s">
        <v>58</v>
      </c>
      <c r="G115" s="3" t="s">
        <v>151</v>
      </c>
      <c r="H115" s="3" t="s">
        <v>8</v>
      </c>
      <c r="I115" s="3" t="s">
        <v>7</v>
      </c>
      <c r="J115" s="3" t="s">
        <v>31</v>
      </c>
      <c r="K115" s="3" t="s">
        <v>43</v>
      </c>
      <c r="L115" s="3" t="s">
        <v>26</v>
      </c>
      <c r="M115">
        <v>1</v>
      </c>
    </row>
    <row r="116" spans="1:13" x14ac:dyDescent="0.25">
      <c r="A116" s="2">
        <v>46216</v>
      </c>
      <c r="B116" s="1" t="str">
        <f ca="1">IF(Información1[[#This Row],[Fecha]]='Ajuste de fechas'!$A$2,"Día actual","Día anterior")</f>
        <v>Día actual</v>
      </c>
      <c r="C116" s="3" t="s">
        <v>16</v>
      </c>
      <c r="D116" t="s">
        <v>53</v>
      </c>
      <c r="E116" s="3" t="s">
        <v>234</v>
      </c>
      <c r="F116" s="3" t="s">
        <v>75</v>
      </c>
      <c r="G116" s="3" t="s">
        <v>70</v>
      </c>
      <c r="H116" s="3" t="s">
        <v>8</v>
      </c>
      <c r="I116" s="3" t="s">
        <v>7</v>
      </c>
      <c r="J116" s="3" t="s">
        <v>31</v>
      </c>
      <c r="K116" s="3" t="s">
        <v>54</v>
      </c>
      <c r="L116" s="3" t="s">
        <v>24</v>
      </c>
      <c r="M116">
        <v>1</v>
      </c>
    </row>
    <row r="117" spans="1:13" x14ac:dyDescent="0.25">
      <c r="A117" s="2">
        <v>46216</v>
      </c>
      <c r="B117" s="1" t="str">
        <f ca="1">IF(Información1[[#This Row],[Fecha]]='Ajuste de fechas'!$A$2,"Día actual","Día anterior")</f>
        <v>Día actual</v>
      </c>
      <c r="C117" s="3" t="s">
        <v>16</v>
      </c>
      <c r="D117" t="s">
        <v>78</v>
      </c>
      <c r="E117" s="3" t="s">
        <v>235</v>
      </c>
      <c r="F117" s="3" t="s">
        <v>9</v>
      </c>
      <c r="G117" s="3" t="s">
        <v>236</v>
      </c>
      <c r="H117" s="3" t="s">
        <v>8</v>
      </c>
      <c r="I117" s="3" t="s">
        <v>7</v>
      </c>
      <c r="J117" s="3" t="s">
        <v>31</v>
      </c>
      <c r="K117" s="3" t="s">
        <v>79</v>
      </c>
      <c r="L117" s="3" t="s">
        <v>24</v>
      </c>
      <c r="M117">
        <v>1</v>
      </c>
    </row>
    <row r="118" spans="1:13" x14ac:dyDescent="0.25">
      <c r="A118" s="2">
        <v>46216</v>
      </c>
      <c r="B118" s="1" t="str">
        <f ca="1">IF(Información1[[#This Row],[Fecha]]='Ajuste de fechas'!$A$2,"Día actual","Día anterior")</f>
        <v>Día actual</v>
      </c>
      <c r="C118" s="3" t="s">
        <v>41</v>
      </c>
      <c r="D118" t="s">
        <v>42</v>
      </c>
      <c r="E118" s="3" t="s">
        <v>237</v>
      </c>
      <c r="F118" s="3" t="s">
        <v>6</v>
      </c>
      <c r="G118" s="3" t="s">
        <v>88</v>
      </c>
      <c r="H118" s="3" t="s">
        <v>8</v>
      </c>
      <c r="I118" s="3" t="s">
        <v>14</v>
      </c>
      <c r="J118" s="3" t="s">
        <v>31</v>
      </c>
      <c r="K118" s="3" t="s">
        <v>43</v>
      </c>
      <c r="L118" s="3" t="s">
        <v>25</v>
      </c>
      <c r="M118">
        <v>1</v>
      </c>
    </row>
    <row r="119" spans="1:13" x14ac:dyDescent="0.25">
      <c r="A119" s="2">
        <v>46216</v>
      </c>
      <c r="B119" s="1" t="str">
        <f ca="1">IF(Información1[[#This Row],[Fecha]]='Ajuste de fechas'!$A$2,"Día actual","Día anterior")</f>
        <v>Día actual</v>
      </c>
      <c r="C119" s="3" t="s">
        <v>80</v>
      </c>
      <c r="D119" t="s">
        <v>81</v>
      </c>
      <c r="E119" s="3" t="s">
        <v>238</v>
      </c>
      <c r="F119" s="3" t="s">
        <v>34</v>
      </c>
      <c r="G119" s="3" t="s">
        <v>239</v>
      </c>
      <c r="H119" s="3" t="s">
        <v>8</v>
      </c>
      <c r="I119" s="3" t="s">
        <v>7</v>
      </c>
      <c r="J119" s="3" t="s">
        <v>31</v>
      </c>
      <c r="K119" s="3" t="s">
        <v>82</v>
      </c>
      <c r="L119" s="3" t="s">
        <v>26</v>
      </c>
      <c r="M119">
        <v>1</v>
      </c>
    </row>
    <row r="120" spans="1:13" x14ac:dyDescent="0.25">
      <c r="A120" s="2">
        <v>46216</v>
      </c>
      <c r="B120" s="1" t="str">
        <f ca="1">IF(Información1[[#This Row],[Fecha]]='Ajuste de fechas'!$A$2,"Día actual","Día anterior")</f>
        <v>Día actual</v>
      </c>
      <c r="C120" s="3" t="s">
        <v>41</v>
      </c>
      <c r="D120" t="s">
        <v>42</v>
      </c>
      <c r="E120" s="3" t="s">
        <v>240</v>
      </c>
      <c r="F120" s="3" t="s">
        <v>241</v>
      </c>
      <c r="G120" s="3" t="s">
        <v>242</v>
      </c>
      <c r="H120" s="3" t="s">
        <v>8</v>
      </c>
      <c r="I120" s="3" t="s">
        <v>7</v>
      </c>
      <c r="J120" s="3" t="s">
        <v>31</v>
      </c>
      <c r="K120" s="3" t="s">
        <v>43</v>
      </c>
      <c r="L120" s="3" t="s">
        <v>26</v>
      </c>
      <c r="M120">
        <v>1</v>
      </c>
    </row>
    <row r="121" spans="1:13" x14ac:dyDescent="0.25">
      <c r="A121" s="2">
        <v>46216</v>
      </c>
      <c r="B121" s="1" t="str">
        <f ca="1">IF(Información1[[#This Row],[Fecha]]='Ajuste de fechas'!$A$2,"Día actual","Día anterior")</f>
        <v>Día actual</v>
      </c>
      <c r="C121" s="3" t="s">
        <v>16</v>
      </c>
      <c r="D121" t="s">
        <v>78</v>
      </c>
      <c r="E121" s="3" t="s">
        <v>243</v>
      </c>
      <c r="F121" s="3" t="s">
        <v>34</v>
      </c>
      <c r="G121" s="3" t="s">
        <v>244</v>
      </c>
      <c r="H121" s="3" t="s">
        <v>8</v>
      </c>
      <c r="I121" s="3" t="s">
        <v>7</v>
      </c>
      <c r="J121" s="3" t="s">
        <v>31</v>
      </c>
      <c r="K121" s="3" t="s">
        <v>79</v>
      </c>
      <c r="L121" s="3" t="s">
        <v>24</v>
      </c>
      <c r="M121">
        <v>1</v>
      </c>
    </row>
    <row r="122" spans="1:13" x14ac:dyDescent="0.25">
      <c r="A122" s="2">
        <v>46216</v>
      </c>
      <c r="B122" s="1" t="str">
        <f ca="1">IF(Información1[[#This Row],[Fecha]]='Ajuste de fechas'!$A$2,"Día actual","Día anterior")</f>
        <v>Día actual</v>
      </c>
      <c r="C122" s="3" t="s">
        <v>16</v>
      </c>
      <c r="D122" t="s">
        <v>53</v>
      </c>
      <c r="E122" s="3" t="s">
        <v>245</v>
      </c>
      <c r="F122" s="3" t="s">
        <v>34</v>
      </c>
      <c r="G122" s="3" t="s">
        <v>244</v>
      </c>
      <c r="H122" s="3" t="s">
        <v>8</v>
      </c>
      <c r="I122" s="3" t="s">
        <v>7</v>
      </c>
      <c r="J122" s="3" t="s">
        <v>31</v>
      </c>
      <c r="K122" s="3" t="s">
        <v>54</v>
      </c>
      <c r="L122" s="3" t="s">
        <v>24</v>
      </c>
      <c r="M122">
        <v>1</v>
      </c>
    </row>
    <row r="123" spans="1:13" x14ac:dyDescent="0.25">
      <c r="A123" s="2">
        <v>46216</v>
      </c>
      <c r="B123" s="1" t="str">
        <f ca="1">IF(Información1[[#This Row],[Fecha]]='Ajuste de fechas'!$A$2,"Día actual","Día anterior")</f>
        <v>Día actual</v>
      </c>
      <c r="C123" s="3" t="s">
        <v>16</v>
      </c>
      <c r="D123" t="s">
        <v>78</v>
      </c>
      <c r="E123" s="3" t="s">
        <v>246</v>
      </c>
      <c r="F123" s="3" t="s">
        <v>11</v>
      </c>
      <c r="G123" s="3" t="s">
        <v>168</v>
      </c>
      <c r="H123" s="3" t="s">
        <v>8</v>
      </c>
      <c r="I123" s="3" t="s">
        <v>7</v>
      </c>
      <c r="J123" s="3" t="s">
        <v>32</v>
      </c>
      <c r="K123" s="3" t="s">
        <v>79</v>
      </c>
      <c r="L123" s="3" t="s">
        <v>24</v>
      </c>
      <c r="M123">
        <v>1</v>
      </c>
    </row>
    <row r="124" spans="1:13" x14ac:dyDescent="0.25">
      <c r="A124" s="2">
        <v>46216</v>
      </c>
      <c r="B124" s="1" t="str">
        <f ca="1">IF(Información1[[#This Row],[Fecha]]='Ajuste de fechas'!$A$2,"Día actual","Día anterior")</f>
        <v>Día actual</v>
      </c>
      <c r="C124" s="3" t="s">
        <v>16</v>
      </c>
      <c r="D124" t="s">
        <v>53</v>
      </c>
      <c r="E124" s="3" t="s">
        <v>246</v>
      </c>
      <c r="F124" s="3" t="s">
        <v>11</v>
      </c>
      <c r="G124" s="3" t="s">
        <v>168</v>
      </c>
      <c r="H124" s="3" t="s">
        <v>8</v>
      </c>
      <c r="I124" s="3" t="s">
        <v>7</v>
      </c>
      <c r="J124" s="3" t="s">
        <v>32</v>
      </c>
      <c r="K124" s="3" t="s">
        <v>54</v>
      </c>
      <c r="L124" s="3" t="s">
        <v>24</v>
      </c>
      <c r="M124">
        <v>1</v>
      </c>
    </row>
    <row r="125" spans="1:13" x14ac:dyDescent="0.25">
      <c r="A125" s="2">
        <v>46216</v>
      </c>
      <c r="B125" s="1" t="str">
        <f ca="1">IF(Información1[[#This Row],[Fecha]]='Ajuste de fechas'!$A$2,"Día actual","Día anterior")</f>
        <v>Día actual</v>
      </c>
      <c r="C125" s="3" t="s">
        <v>41</v>
      </c>
      <c r="D125" t="s">
        <v>42</v>
      </c>
      <c r="E125" s="3" t="s">
        <v>247</v>
      </c>
      <c r="F125" s="3" t="s">
        <v>10</v>
      </c>
      <c r="G125" s="3" t="s">
        <v>248</v>
      </c>
      <c r="H125" s="3" t="s">
        <v>8</v>
      </c>
      <c r="I125" s="3" t="s">
        <v>7</v>
      </c>
      <c r="J125" s="3" t="s">
        <v>33</v>
      </c>
      <c r="K125" s="3" t="s">
        <v>43</v>
      </c>
      <c r="L125" s="3" t="s">
        <v>25</v>
      </c>
      <c r="M125">
        <v>1</v>
      </c>
    </row>
    <row r="126" spans="1:13" x14ac:dyDescent="0.25">
      <c r="A126" s="2">
        <v>46216</v>
      </c>
      <c r="B126" s="1" t="str">
        <f ca="1">IF(Información1[[#This Row],[Fecha]]='Ajuste de fechas'!$A$2,"Día actual","Día anterior")</f>
        <v>Día actual</v>
      </c>
      <c r="C126" s="3" t="s">
        <v>16</v>
      </c>
      <c r="D126" t="s">
        <v>78</v>
      </c>
      <c r="E126" s="3" t="s">
        <v>249</v>
      </c>
      <c r="F126" s="3" t="s">
        <v>35</v>
      </c>
      <c r="G126" s="3" t="s">
        <v>184</v>
      </c>
      <c r="H126" s="3" t="s">
        <v>8</v>
      </c>
      <c r="I126" s="3" t="s">
        <v>7</v>
      </c>
      <c r="J126" s="3" t="s">
        <v>31</v>
      </c>
      <c r="K126" s="3" t="s">
        <v>79</v>
      </c>
      <c r="L126" s="3" t="s">
        <v>24</v>
      </c>
      <c r="M126">
        <v>1</v>
      </c>
    </row>
    <row r="127" spans="1:13" x14ac:dyDescent="0.25">
      <c r="A127" s="2">
        <v>46216</v>
      </c>
      <c r="B127" s="1" t="str">
        <f ca="1">IF(Información1[[#This Row],[Fecha]]='Ajuste de fechas'!$A$2,"Día actual","Día anterior")</f>
        <v>Día actual</v>
      </c>
      <c r="C127" s="3" t="s">
        <v>16</v>
      </c>
      <c r="D127" t="s">
        <v>78</v>
      </c>
      <c r="E127" s="3" t="s">
        <v>250</v>
      </c>
      <c r="F127" s="3" t="s">
        <v>17</v>
      </c>
      <c r="G127" s="3" t="s">
        <v>174</v>
      </c>
      <c r="H127" s="3" t="s">
        <v>8</v>
      </c>
      <c r="I127" s="3" t="s">
        <v>7</v>
      </c>
      <c r="J127" s="3" t="s">
        <v>31</v>
      </c>
      <c r="K127" s="3" t="s">
        <v>79</v>
      </c>
      <c r="L127" s="3" t="s">
        <v>24</v>
      </c>
      <c r="M127">
        <v>1</v>
      </c>
    </row>
    <row r="128" spans="1:13" x14ac:dyDescent="0.25">
      <c r="A128" s="2">
        <v>46216</v>
      </c>
      <c r="B128" s="1" t="str">
        <f ca="1">IF(Información1[[#This Row],[Fecha]]='Ajuste de fechas'!$A$2,"Día actual","Día anterior")</f>
        <v>Día actual</v>
      </c>
      <c r="C128" s="3" t="s">
        <v>16</v>
      </c>
      <c r="D128" t="s">
        <v>78</v>
      </c>
      <c r="E128" s="3" t="s">
        <v>251</v>
      </c>
      <c r="F128" s="3" t="s">
        <v>252</v>
      </c>
      <c r="G128" s="3" t="s">
        <v>174</v>
      </c>
      <c r="H128" s="3" t="s">
        <v>8</v>
      </c>
      <c r="I128" s="3" t="s">
        <v>7</v>
      </c>
      <c r="J128" s="3" t="s">
        <v>31</v>
      </c>
      <c r="K128" s="3" t="s">
        <v>79</v>
      </c>
      <c r="L128" s="3" t="s">
        <v>24</v>
      </c>
      <c r="M128">
        <v>1</v>
      </c>
    </row>
    <row r="129" spans="1:13" x14ac:dyDescent="0.25">
      <c r="A129" s="2">
        <v>46216</v>
      </c>
      <c r="B129" s="1" t="str">
        <f ca="1">IF(Información1[[#This Row],[Fecha]]='Ajuste de fechas'!$A$2,"Día actual","Día anterior")</f>
        <v>Día actual</v>
      </c>
      <c r="C129" s="3" t="s">
        <v>16</v>
      </c>
      <c r="D129" t="s">
        <v>78</v>
      </c>
      <c r="E129" s="3" t="s">
        <v>253</v>
      </c>
      <c r="F129" s="3" t="s">
        <v>34</v>
      </c>
      <c r="G129" s="3" t="s">
        <v>174</v>
      </c>
      <c r="H129" s="3" t="s">
        <v>8</v>
      </c>
      <c r="I129" s="3" t="s">
        <v>7</v>
      </c>
      <c r="J129" s="3" t="s">
        <v>31</v>
      </c>
      <c r="K129" s="3" t="s">
        <v>79</v>
      </c>
      <c r="L129" s="3" t="s">
        <v>24</v>
      </c>
      <c r="M129">
        <v>1</v>
      </c>
    </row>
    <row r="130" spans="1:13" x14ac:dyDescent="0.25">
      <c r="A130" s="2">
        <v>46216</v>
      </c>
      <c r="B130" s="1" t="str">
        <f ca="1">IF(Información1[[#This Row],[Fecha]]='Ajuste de fechas'!$A$2,"Día actual","Día anterior")</f>
        <v>Día actual</v>
      </c>
      <c r="C130" s="3" t="s">
        <v>80</v>
      </c>
      <c r="D130" t="s">
        <v>81</v>
      </c>
      <c r="E130" s="3" t="s">
        <v>254</v>
      </c>
      <c r="F130" s="3" t="s">
        <v>15</v>
      </c>
      <c r="G130" s="3" t="s">
        <v>137</v>
      </c>
      <c r="H130" s="3" t="s">
        <v>8</v>
      </c>
      <c r="I130" s="3" t="s">
        <v>7</v>
      </c>
      <c r="J130" s="3" t="s">
        <v>31</v>
      </c>
      <c r="K130" s="3" t="s">
        <v>82</v>
      </c>
      <c r="L130" s="3" t="s">
        <v>26</v>
      </c>
      <c r="M130">
        <v>1</v>
      </c>
    </row>
    <row r="131" spans="1:13" x14ac:dyDescent="0.25">
      <c r="A131" s="2">
        <v>46216</v>
      </c>
      <c r="B131" s="1" t="str">
        <f ca="1">IF(Información1[[#This Row],[Fecha]]='Ajuste de fechas'!$A$2,"Día actual","Día anterior")</f>
        <v>Día actual</v>
      </c>
      <c r="C131" s="3" t="s">
        <v>16</v>
      </c>
      <c r="D131" t="s">
        <v>53</v>
      </c>
      <c r="E131" s="3" t="s">
        <v>255</v>
      </c>
      <c r="F131" s="3" t="s">
        <v>9</v>
      </c>
      <c r="G131" s="3" t="s">
        <v>256</v>
      </c>
      <c r="H131" s="3" t="s">
        <v>8</v>
      </c>
      <c r="I131" s="3" t="s">
        <v>7</v>
      </c>
      <c r="J131" s="3" t="s">
        <v>31</v>
      </c>
      <c r="K131" s="3" t="s">
        <v>54</v>
      </c>
      <c r="L131" s="3" t="s">
        <v>24</v>
      </c>
      <c r="M131">
        <v>1</v>
      </c>
    </row>
    <row r="132" spans="1:13" x14ac:dyDescent="0.25">
      <c r="A132" s="2">
        <v>46216</v>
      </c>
      <c r="B132" s="1" t="str">
        <f ca="1">IF(Información1[[#This Row],[Fecha]]='Ajuste de fechas'!$A$2,"Día actual","Día anterior")</f>
        <v>Día actual</v>
      </c>
      <c r="C132" s="3" t="s">
        <v>16</v>
      </c>
      <c r="D132" t="s">
        <v>53</v>
      </c>
      <c r="E132" s="3" t="s">
        <v>257</v>
      </c>
      <c r="F132" s="3" t="s">
        <v>75</v>
      </c>
      <c r="G132" s="3" t="s">
        <v>258</v>
      </c>
      <c r="H132" s="3" t="s">
        <v>8</v>
      </c>
      <c r="I132" s="3" t="s">
        <v>7</v>
      </c>
      <c r="J132" s="3" t="s">
        <v>31</v>
      </c>
      <c r="K132" s="3" t="s">
        <v>54</v>
      </c>
      <c r="L132" s="3" t="s">
        <v>24</v>
      </c>
      <c r="M132">
        <v>1</v>
      </c>
    </row>
    <row r="133" spans="1:13" x14ac:dyDescent="0.25">
      <c r="A133" s="2">
        <v>46216</v>
      </c>
      <c r="B133" s="1" t="str">
        <f ca="1">IF(Información1[[#This Row],[Fecha]]='Ajuste de fechas'!$A$2,"Día actual","Día anterior")</f>
        <v>Día actual</v>
      </c>
      <c r="C133" s="3" t="s">
        <v>41</v>
      </c>
      <c r="D133" t="s">
        <v>42</v>
      </c>
      <c r="E133" s="3" t="s">
        <v>259</v>
      </c>
      <c r="F133" s="3" t="s">
        <v>9</v>
      </c>
      <c r="G133" s="3" t="s">
        <v>120</v>
      </c>
      <c r="H133" s="3" t="s">
        <v>8</v>
      </c>
      <c r="I133" s="3" t="s">
        <v>7</v>
      </c>
      <c r="J133" s="3" t="s">
        <v>31</v>
      </c>
      <c r="K133" s="3" t="s">
        <v>43</v>
      </c>
      <c r="L133" s="3" t="s">
        <v>24</v>
      </c>
      <c r="M133">
        <v>1</v>
      </c>
    </row>
    <row r="134" spans="1:13" x14ac:dyDescent="0.25">
      <c r="A134" s="2">
        <v>46216</v>
      </c>
      <c r="B134" s="1" t="str">
        <f ca="1">IF(Información1[[#This Row],[Fecha]]='Ajuste de fechas'!$A$2,"Día actual","Día anterior")</f>
        <v>Día actual</v>
      </c>
      <c r="C134" s="3" t="s">
        <v>16</v>
      </c>
      <c r="D134" t="s">
        <v>78</v>
      </c>
      <c r="E134" s="3" t="s">
        <v>260</v>
      </c>
      <c r="F134" s="3" t="s">
        <v>261</v>
      </c>
      <c r="G134" s="3" t="s">
        <v>262</v>
      </c>
      <c r="H134" s="3" t="s">
        <v>8</v>
      </c>
      <c r="I134" s="3" t="s">
        <v>7</v>
      </c>
      <c r="J134" s="3" t="s">
        <v>13</v>
      </c>
      <c r="K134" s="3" t="s">
        <v>79</v>
      </c>
      <c r="L134" s="3" t="s">
        <v>24</v>
      </c>
      <c r="M134">
        <v>1</v>
      </c>
    </row>
    <row r="135" spans="1:13" x14ac:dyDescent="0.25">
      <c r="A135" s="2">
        <v>46216</v>
      </c>
      <c r="B135" s="1" t="str">
        <f ca="1">IF(Información1[[#This Row],[Fecha]]='Ajuste de fechas'!$A$2,"Día actual","Día anterior")</f>
        <v>Día actual</v>
      </c>
      <c r="C135" s="3" t="s">
        <v>16</v>
      </c>
      <c r="D135" t="s">
        <v>53</v>
      </c>
      <c r="E135" s="3" t="s">
        <v>263</v>
      </c>
      <c r="F135" s="3" t="s">
        <v>11</v>
      </c>
      <c r="G135" s="3" t="s">
        <v>180</v>
      </c>
      <c r="H135" s="3" t="s">
        <v>8</v>
      </c>
      <c r="I135" s="3" t="s">
        <v>7</v>
      </c>
      <c r="J135" s="3" t="s">
        <v>32</v>
      </c>
      <c r="K135" s="3" t="s">
        <v>54</v>
      </c>
      <c r="L135" s="3" t="s">
        <v>24</v>
      </c>
      <c r="M135">
        <v>2</v>
      </c>
    </row>
    <row r="136" spans="1:13" x14ac:dyDescent="0.25">
      <c r="A136" s="2">
        <v>46216</v>
      </c>
      <c r="B136" s="1" t="str">
        <f ca="1">IF(Información1[[#This Row],[Fecha]]='Ajuste de fechas'!$A$2,"Día actual","Día anterior")</f>
        <v>Día actual</v>
      </c>
      <c r="C136" s="3" t="s">
        <v>16</v>
      </c>
      <c r="D136" t="s">
        <v>78</v>
      </c>
      <c r="E136" s="3" t="s">
        <v>264</v>
      </c>
      <c r="F136" s="3" t="s">
        <v>39</v>
      </c>
      <c r="G136" s="3" t="s">
        <v>265</v>
      </c>
      <c r="H136" s="3" t="s">
        <v>8</v>
      </c>
      <c r="I136" s="3" t="s">
        <v>7</v>
      </c>
      <c r="J136" s="3" t="s">
        <v>31</v>
      </c>
      <c r="K136" s="3" t="s">
        <v>79</v>
      </c>
      <c r="L136" s="3" t="s">
        <v>24</v>
      </c>
      <c r="M136">
        <v>1</v>
      </c>
    </row>
    <row r="137" spans="1:13" x14ac:dyDescent="0.25">
      <c r="A137" s="2">
        <v>46216</v>
      </c>
      <c r="B137" s="1" t="str">
        <f ca="1">IF(Información1[[#This Row],[Fecha]]='Ajuste de fechas'!$A$2,"Día actual","Día anterior")</f>
        <v>Día actual</v>
      </c>
      <c r="C137" s="3" t="s">
        <v>41</v>
      </c>
      <c r="D137" t="s">
        <v>42</v>
      </c>
      <c r="E137" s="3" t="s">
        <v>266</v>
      </c>
      <c r="F137" s="3" t="s">
        <v>10</v>
      </c>
      <c r="G137" s="3" t="s">
        <v>67</v>
      </c>
      <c r="H137" s="3" t="s">
        <v>8</v>
      </c>
      <c r="I137" s="3" t="s">
        <v>14</v>
      </c>
      <c r="J137" s="3" t="s">
        <v>33</v>
      </c>
      <c r="K137" s="3" t="s">
        <v>43</v>
      </c>
      <c r="L137" s="3" t="s">
        <v>25</v>
      </c>
      <c r="M137">
        <v>1</v>
      </c>
    </row>
    <row r="138" spans="1:13" x14ac:dyDescent="0.25">
      <c r="A138" s="2">
        <v>46216</v>
      </c>
      <c r="B138" s="1" t="str">
        <f ca="1">IF(Información1[[#This Row],[Fecha]]='Ajuste de fechas'!$A$2,"Día actual","Día anterior")</f>
        <v>Día actual</v>
      </c>
      <c r="C138" s="3" t="s">
        <v>41</v>
      </c>
      <c r="D138" t="s">
        <v>42</v>
      </c>
      <c r="E138" s="3" t="s">
        <v>267</v>
      </c>
      <c r="F138" s="3" t="s">
        <v>10</v>
      </c>
      <c r="G138" s="3" t="s">
        <v>67</v>
      </c>
      <c r="H138" s="3" t="s">
        <v>8</v>
      </c>
      <c r="I138" s="3" t="s">
        <v>7</v>
      </c>
      <c r="J138" s="3" t="s">
        <v>33</v>
      </c>
      <c r="K138" s="3" t="s">
        <v>43</v>
      </c>
      <c r="L138" s="3" t="s">
        <v>25</v>
      </c>
      <c r="M13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46216</v>
      </c>
      <c r="B2" s="2">
        <f ca="1">A2-1</f>
        <v>46215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2026-07-14T00:36:38Z</dcterms:modified>
</cp:coreProperties>
</file>