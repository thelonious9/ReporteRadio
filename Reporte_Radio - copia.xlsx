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43E783EB-57FB-4CA5-A432-060CF1D3D341}"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Radio!$A$1:$M$184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147" i="2"/>
  <c r="B151" i="2"/>
  <c r="B153" i="2"/>
  <c r="B156" i="2"/>
  <c r="B159" i="2"/>
  <c r="B163" i="2"/>
  <c r="B166" i="2"/>
  <c r="B169" i="2"/>
  <c r="B171" i="2"/>
  <c r="B176" i="2"/>
  <c r="B179" i="2"/>
  <c r="B182"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135" i="2"/>
  <c r="B137" i="2"/>
  <c r="B139" i="2"/>
  <c r="B141" i="2"/>
  <c r="B143" i="2"/>
  <c r="B144" i="2"/>
  <c r="B146" i="2"/>
  <c r="B149" i="2"/>
  <c r="B152" i="2"/>
  <c r="B155" i="2"/>
  <c r="B158" i="2"/>
  <c r="B161" i="2"/>
  <c r="B164" i="2"/>
  <c r="B167" i="2"/>
  <c r="B170" i="2"/>
  <c r="B173" i="2"/>
  <c r="B174" i="2"/>
  <c r="B177" i="2"/>
  <c r="B180" i="2"/>
  <c r="B18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6" i="2"/>
  <c r="B138" i="2"/>
  <c r="B140" i="2"/>
  <c r="B142" i="2"/>
  <c r="B145" i="2"/>
  <c r="B148" i="2"/>
  <c r="B150" i="2"/>
  <c r="B154" i="2"/>
  <c r="B157" i="2"/>
  <c r="B160" i="2"/>
  <c r="B162" i="2"/>
  <c r="B165" i="2"/>
  <c r="B168" i="2"/>
  <c r="B172" i="2"/>
  <c r="B175" i="2"/>
  <c r="B178" i="2"/>
  <c r="B181" i="2"/>
  <c r="B184"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<sst xmlns="http://schemas.openxmlformats.org/spreadsheetml/2006/main" count="1843" uniqueCount="335">
  <si>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</si>
  <si>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</si>
  <si>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</si>
  <si>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</si>
  <si>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</si>
  <si>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</si>
  <si>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</si>
  <si>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</si>
  <si>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</si>
  <si>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</si>
  <si>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</si>
  <si>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</si>
  <si>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</si>
  <si>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</si>
  <si>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</si>
  <si>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</si>
  <si>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</si>
  <si>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</si>
  <si>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</si>
  <si>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</si>
  <si>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</si>
  <si>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</si>
  <si>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</si>
  <si>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</si>
  <si>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</si>
  <si>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</si>
  <si>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</si>
  <si>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Andrés Torres</t>
  </si>
  <si>
    <t>Súper Stéreo 100.5 FM</t>
  </si>
  <si>
    <t>Canal del Pueblo</t>
  </si>
  <si>
    <t>Vocales Radio</t>
  </si>
  <si>
    <t>Planeación</t>
  </si>
  <si>
    <t>Atención Ciudadana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</si>
  <si>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</si>
  <si>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</si>
  <si>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</si>
  <si>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</si>
  <si>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</si>
  <si>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</si>
  <si>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</si>
  <si>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</si>
  <si>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</si>
  <si>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</si>
  <si>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</si>
  <si>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</si>
  <si>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</si>
  <si>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</si>
  <si>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</si>
  <si>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Juan Carlos Santamaria</t>
  </si>
  <si>
    <t>NQ 90.1 FM</t>
  </si>
  <si>
    <t>Jesús Riveros</t>
  </si>
  <si>
    <t>Enlace Hidalgo1</t>
  </si>
  <si>
    <t>Eulalio Larrieta agradece Paola García y Lic. Sarahi Pineda, por estar atentas a los mensajes de la ciudadanía y por atenderlos.</t>
  </si>
  <si>
    <t>Congreso</t>
  </si>
  <si>
    <t>Enlace Hidalgo2</t>
  </si>
  <si>
    <t>Auxilio a la ciudadanía</t>
  </si>
  <si>
    <t>TV local</t>
  </si>
  <si>
    <t>Ultra 102.9 FM</t>
  </si>
  <si>
    <t>Ultra Noticias1</t>
  </si>
  <si>
    <t>Daniel Martínez</t>
  </si>
  <si>
    <t>Vía telefónica el reporte de Bombero y Protección Civil con Abner Yáñez informa de las diversas emergencias reportadas por la ciudadanía y que fueron atendidas.</t>
  </si>
  <si>
    <t>Ke Buena 106.7 FM</t>
  </si>
  <si>
    <t>Noticias 106.7</t>
  </si>
  <si>
    <t>David Cárdenas</t>
  </si>
  <si>
    <t>Enfoque Regional Meridiano</t>
  </si>
  <si>
    <t>Jesús González</t>
  </si>
  <si>
    <t>La Poderosa Tuxpan 93.1 FM</t>
  </si>
  <si>
    <t>NN Nuestras Noticias Zona Norte</t>
  </si>
  <si>
    <t>Liz Argüelles</t>
  </si>
  <si>
    <t>Entrevista</t>
  </si>
  <si>
    <t>Abasto de agua</t>
  </si>
  <si>
    <t>Enfoque Regional Matutino</t>
  </si>
  <si>
    <t>Rodolfo López</t>
  </si>
  <si>
    <t>Radio Lobo 96.7 FM</t>
  </si>
  <si>
    <t>Rutas de la Reconstrucción</t>
  </si>
  <si>
    <t>OCSAD</t>
  </si>
  <si>
    <t>Feria Del Libro</t>
  </si>
  <si>
    <t>Turismo</t>
  </si>
  <si>
    <t>Enlace Noticias</t>
  </si>
  <si>
    <t>Eulalio Larrieta agradece a Carlos Gamiño por estar al pendiente de temas.</t>
  </si>
  <si>
    <t>Cultura</t>
  </si>
  <si>
    <t>STPSH</t>
  </si>
  <si>
    <t>Bienestar</t>
  </si>
  <si>
    <t>Vialidad En Mal Estado</t>
  </si>
  <si>
    <t>Radioescucha Sr. Juan, dicen que arreglen las fisuras del paso hacia el Barrio La Españita</t>
  </si>
  <si>
    <t>Feria Patronal</t>
  </si>
  <si>
    <t>Carril confinado</t>
  </si>
  <si>
    <t>Eulalio Larrieta agradece a Edith Balderas de la Secretaria de Educación Pública.</t>
  </si>
  <si>
    <t>Zanjas Caasim</t>
  </si>
  <si>
    <t>Informe de actividades</t>
  </si>
  <si>
    <t>Geoparque Comarca Minera</t>
  </si>
  <si>
    <t>Huachicol</t>
  </si>
  <si>
    <t>Abner Yáñez</t>
  </si>
  <si>
    <t>Plan Nacional De Vivienda</t>
  </si>
  <si>
    <t>Videovigilancia</t>
  </si>
  <si>
    <t>Tala clandestina</t>
  </si>
  <si>
    <t>Concluye este viernes FILIJ Hidalgo tras acercar literatura, arte y cultura a distintas regiones del estado</t>
  </si>
  <si>
    <t>Mal Desempeño</t>
  </si>
  <si>
    <t>Protesta sindical</t>
  </si>
  <si>
    <t>Salud Visual</t>
  </si>
  <si>
    <t>Programas Del Pueblo</t>
  </si>
  <si>
    <t>Accidente Carretero</t>
  </si>
  <si>
    <t>Alerta Meteorológica</t>
  </si>
  <si>
    <t>Coordinación interestatal</t>
  </si>
  <si>
    <t>Evento académico</t>
  </si>
  <si>
    <t>Impulso Al Turismo</t>
  </si>
  <si>
    <t>Localización de persona</t>
  </si>
  <si>
    <t>Mañanera de Hidalgo</t>
  </si>
  <si>
    <t>Mes Del Adulto Mayor</t>
  </si>
  <si>
    <t>DIFH</t>
  </si>
  <si>
    <t>Por primera vez, en el marco de la tradicional Feria de Nuestra Señora de los Angelitos, el Gobierno Municipal de Tulancingo, a través de la Secretaría de Fomento Económico, entregó el galardón “Alas de Excelencia”, reconocimiento que distingue la calidad, identidad, atención y trayectoria de quienes participan en esta celebración. El Ángel de Oro, correspondiente al primer lugar, fue para Churros “El Huevo”, establecimiento que destacó en los diferentes aspectos considerados por el comité evaluador, entre ellos, la calidad de sus productos, la atención al cliente y la imagen personal. El Ángel de Plata, segundo lugar, correspondió al famoso Pan del Viejito, que cuenta con 93 años de trayectoria. El tercer lugar fue para Gibrán Vidales, expositor con 30 años de participación, dedicado a la elaboración y comercialización de artesanías, tazas y jarritos de Michoacán. Además, se entregó el reconocimiento especial “Ángel Distinguido por Trayectoria” a Dulcería Angelita, por sus 101 años de participación en esta tradicional festividad, con la venta de dulces típicos, convirtiéndose en un referente de continuidad y preservación de las costumbres que distinguen a la Feria de Nuestra Señora de los Angelitos.</t>
  </si>
  <si>
    <t>Capacita SEPH en inglés a docentes y personal educativo</t>
  </si>
  <si>
    <t>Capacitación docente</t>
  </si>
  <si>
    <t>UPN-Hidalgo fortalece su sede en Tenango de Doria con nueva infraestructura</t>
  </si>
  <si>
    <t>Entrega de infraestructura escolar</t>
  </si>
  <si>
    <t>Saderh</t>
  </si>
  <si>
    <t>En operativo interestatal Hidalgo-Oaxaca, SSPH detiene a hombre con orden de aprehensión y resguarda a menor en Tula</t>
  </si>
  <si>
    <t>Con Agrofly, Conalep Hidalgo siembra innovación</t>
  </si>
  <si>
    <t>Innovación tecnológica</t>
  </si>
  <si>
    <t>Al menos tres personas resultaron lesionadas luego de un choque frontal entre dos unidades de transporte público ocurrido sobre la carretera Huejutla-Candelaria.; incluso uno de los vehículos se incendió, quedando totalmente calcinado. De acuerdo con pasajeros que viajaban en una camioneta Nissan tipo Estaquitas, procedente de la comunidad de Tecacahuaco, Atlapexco, el accidente ocurrió después de que uno de los neumáticos de la unidad se ponchara. El conductor habría perdido el control del vehículo y terminó impactándose de frente contra una Urvan que cubría la ruta Huejutla-Xochiatipan. Después del choque, la camioneta Nissan comenzó a incendiarse, por lo que sus ocupantes descendieron rápidamente y lograron ponerse a salvo antes de que las llamas se extendieran. En tanto, los ocupantes de la Urvan tuvieron dificultades para salir debido a que la unidad terminó fuera de la superficie de rodamiento, por lo que algunos tuvieron que evacuar por las ventanas. Al sitio acudieron elementos del cuerpo de Bomberos, quienes trabajaron para sofocar el incendio, mientras que paramédicos de la Cruz Roja atendieron a los lesionados. Entre los afectados se encontraba el conductor de la Urvan, así como otro pasajero que presentó una herida en el brazo; un tercer pasajero sufrió diversas contusiones, aunque estas no fueron consideradas de gravedad y no requirió traslado médico.</t>
  </si>
  <si>
    <t>Accidente transporte público</t>
  </si>
  <si>
    <t>Avanza entrega regional de tarjetas para personas cuidadoras en Hidalgo</t>
  </si>
  <si>
    <t>El reconocimiento internacional de la Comarca Minera como Geoparque Mundial está nuevamente bajo revisión, un proceso que podría definir la continuidad de este distintivo para nueve municipios de Hidalgo. La evaluación contempla a Omitlán de Juárez, Mineral del Chico, Huasca de Ocampo, Mineral del Monte, Atotonilco el Grande, Singuilucan, Epazoyucan, Mineral de la Reforma y Pachuca, territorios que concentran parte importante de los atractivos geológicos, naturales y culturales de la región. Especialistas de la UNESCO provenientes de Ecuador y Uruguay recorrieron la zona para analizar no sólo sus características geológicas, sino también la manera en que se están conservando los sitios, el manejo turístico y la participación de las comunidades. El resultado se conocerá en aproximadamente tres meses. La evaluación será determinante para saber si Hidalgo conserva el nombramiento obtenido en 2017 y que actualmente comprende 31 geositios. Mientras se desarrolla este proceso, la actividad turística mantiene una tendencia favorable en la entidad. De acuerdo con cifras del INEGI, los servicios relacionados con el turismo crecieron 20.9 por ciento durante el último año, principalmente en los sectores de hospedaje y alimentos. Como parte de la estrategia para fortalecer el turismo regional, en Cardonal se proyecta un nuevo Parador Gastronómico y Turístico, con una inversión total estimada de 46 millones de pesos. El espacio concentrará gastronomía, artesanías y medicina tradicional de la zona.</t>
  </si>
  <si>
    <t>A partir del martes 18 de agosto, serán recibidas solicitudes y documentos para obtener un crédito financiero sin pago de intereses, por parte del Gobierno Municipal de Tulancingo. Serán 64 microcréditos dentro de los programas Transforma Tulancingo y Mujer Emprende y Transforma, donde se ofrecen apoyos financieros por 5 mil y 10 mil pesos a un esquema de 25 pagos semanales. Los apoyos financieros se otorgan a comerciantes en pequeño así como a mujeres con algún emprendimiento; uno de los requisitos básicos es que sean habitantes de Tulancingo. En el caso del programa Mujer Emprende y Transforma, las participantes reciben una capacitación para el manejo adecuado de sus proyectos y que estos tengan resultados positivos. Además de la solicitud de apoyo, las personas que busquen ingresar a alguno de los dos programas deben presentar identificación oficial, CURP, comprobante de domicilio y fotografías de la persona solicitante o del negocio. Además, quienes participen en Transforma Tulancingo deberán contar con licencia de funcionamiento de sus negocios. Mientras que las beneficiarias de Mujer Emprende y Transforma deberán acreditar un curso de negocios de 10 sesiones. Las bases completas de participación están publicadas en las páginas oficiales del Gobierno Municipal y de la Secretaría de Fomento Económico. La recepción de documentos comenzará este martes 18 de agosto, de lunes a viernes, de 8:30 de la mañana a 4 de la tarde, hasta alcanzar el cupo establecido.</t>
  </si>
  <si>
    <t>Impulso a mujeres emprendedoras</t>
  </si>
  <si>
    <t>En cabina Dulce Galloso del Club rotario Tulancingo y Roberto Romero, presidente del Club informaron que se llevará a cabo una Macrojornada de salud visual denominada "A ver a ver", en coordinación con la Comisión Estatal de los Pueblos Indígenas y la Fundación Nosotros Servimos. Invitan a la población a que aparten su consulta y este jueves acudan a las instalaciones del Club Rotario. Ahí, se les hará examen de la vista y entrega de lentes.</t>
  </si>
  <si>
    <t>Radioescucha: 6 días sin agua en la Colonia Vicente Guerrero de Tulancingo.</t>
  </si>
  <si>
    <t>Unidad de Planeación identifica predios para el Programa de Vivienda para el Bienestar</t>
  </si>
  <si>
    <t>Reconocimiento</t>
  </si>
  <si>
    <t>Elementos de la Dirección de Seguridad Pública Municipal de Huasca de Ocampo paralizaron labores y se manifestaron en la sede del palacio municipal. Los uniformados exigieron de manera tajante un incremento salarial, el pago de prestaciones de ley y la dotación urgente de equipo básico para poder realizar su trabajo. Pese a que se pedía su presencia, el presidente municipal, Luis Felipe Lugo Salinas, no atendió a los manifestantes. En su lugar, envió al secretario municipal, Mauricio Ángeles Cruz, y al tesorero, David Ortiz Nieto. Tras escuchar sus demandas, señalaron que se realizará una evaluación para la adquisición de los faltantes, equipo, uniformes. patrullas. Sin embargo no se abundó en el tema de los sueldos.</t>
  </si>
  <si>
    <t>Una persona lesionada fue el resultado de una riña registrada en calles del centro de Tulancingo, la tarde noche del lunes 17 de agosto. Testigos refieren que los tripulantes de un automóvil y unas motocicleta discutían, al tiempo que circulaban sobre avenida Juárez, en el centro de la ciudad. Elementos policiacos acudieron al sitio, deteniendo a los dos ocupantes de la motocicleta y asegurando dicho vehículo. Elementos de Bomberos y Protección Civil atendieron al adulto lesionado, para después trasladarlo para recibir atención médica especializada.</t>
  </si>
  <si>
    <t>riña</t>
  </si>
  <si>
    <t>Aunque se había anunciado que el documental “Tulancingo Extraordinario” estaría disponible incluso a nivel internacional en plataformas digitales, su distribución aún es limitada. En conferencia de prensa, la titular de la Secretaría de Fomento Económico municipal, Minerva Rosales Gayosso, señaló que están a la espera de que se ponga disponible, por ejemplo, en Amazon Prime. “En el contrato se especificó que se iban a transmitir en la plataforma Amazon Prime, entonces estamos en espera de que esta plataforma nos lo pueda transmitir. Estamos en lista de espera y eso no depende de nosotros”, señaló. A inicios del mes de diciembre del año pasado, se llevó a cabo la presentación de los avances de dicha producción. En ese momento, Fernando Sáenz de Miera, agregador internacional de contenido, informó que el documental será distribuido en diversas plataformas y canales culturales a nivel internacional, priorizando audiencias interesadas en la cultura y tradiciones mexicanas. Detalló que la estrategia de distribución se realizará por fases, comenzando con plataformas como Butaca TV, que cuenta con una audiencia de 1.8 millones de suscriptores, principalmente en Estados Unidos. Por su parte, en entrevista, Julio Mariano Castro auxiliar de la Dirección municipal de Turismo, puntualizó que el documental tuvo una inversión por aproximadamente 300 mil pesos. Puntualizó que el documental está disponible para México precisamente en Canal 22, así como en la plataforma digital Rocku TV; mientras que a nivel internacional es parte del catálogo de la plataforma Uvo TV.</t>
  </si>
  <si>
    <t>Promoción turística</t>
  </si>
  <si>
    <t>La violencia familiar mantiene una fuerte presencia en la agenda judicial de Hidalgo. Tan solo durante los primeros siete meses de 2026, el distrito judicial de Pachuca acumuló mil 125 asuntos relacionados con este delito. Ante este panorama, el Poder Judicial estatal decidió poner en marcha un juzgado especializado que concentrará la atención de los casos de violencia familiar contra las mujeres y sus posibles consecuencias en materia familiar. El nuevo Juzgado Especializado en Violencia Familiar en contra de las Mujeres comenzará funciones en septiembre y tendrá competencia mixta, lo que permitirá abordar en un mismo espacio los asuntos que estén vinculados con un mismo contexto de violencia, cuando la legislación lo permita. La intención es modificar la ruta que actualmente enfrentan muchas víctimas, quienes pueden verse obligadas a acudir a diferentes instancias para atender cada aspecto de su situación. Con el nuevo esquema se pretende reducir traslados, tiempos y costos, además de evitar que las mujeres tengan que repetir constantemente el relato de los hechos. Cuando exista sustento jurídico y consentimiento de la víctima, el órgano también podrá atender asuntos como pensión alimenticia, custodia, convivencia y medidas de protección, además de los procedimientos penales correspondientes. Con la puesta en marcha de este juzgado, prevista para septiembre, las autoridades judiciales buscan que las víctimas encuentren una ruta más directa para acceder a la justicia y que un mismo episodio de violencia no termine convertido en múltiples procesos separados.</t>
  </si>
  <si>
    <t>TSJEH</t>
  </si>
  <si>
    <t>Erradicación Violencia De Género</t>
  </si>
  <si>
    <t>El día de hoy habrá sesión en el Congreso en donde se analizarán diversas iniciativas.</t>
  </si>
  <si>
    <t>Trabajo legislativo</t>
  </si>
  <si>
    <t>Ayer algunos maestros realizaron una convocatoria para una marcha pacífica a realizarse por la mañana, marchando desde instalaciones de la SEPH hasta las instalaciones del SNTE. Sin embargo, no llegó nadie, solo llegaron los reporteros.</t>
  </si>
  <si>
    <t>En operación línea de alcantarillado sanitario en el barrio de San Juan Pachuca</t>
  </si>
  <si>
    <t>Sustitución de tubería</t>
  </si>
  <si>
    <t>El presidente municipal de Pachuca, Jorge Reyes, supervisó el avance de los trabajos para la instalación de cámaras de videovigilancia que se desarrollan en Santa Matilde, Barrio El Judío, Tlapacoya, Huixmí, Villas de Pachuca, La Palma y C. Doria, como parte de la estrategia para ampliar la infraestructura tecnológica de seguridad en el municipio. Los trabajos contemplan la colocación de los dispositivos en puntos definidos de acuerdo con las características de cada zona, con el propósito de mejorar la capacidad de observación en áreas de tránsito y actividad cotidiana. Esta infraestructura representa un respaldo para las labores operativas de las corporaciones, al proporcionar elementos que pueden contribuir al análisis y seguimiento de hechos, así como a la toma de decisiones ante situaciones que requieran una intervención.</t>
  </si>
  <si>
    <t>ITESA avanza a etapa regional de InnovaTecNM con seis proyectos</t>
  </si>
  <si>
    <t>SEPH coordina acciones para regreso a clases</t>
  </si>
  <si>
    <t>Regreso A Clases</t>
  </si>
  <si>
    <t>Inversión de 850 mdp impulsará reconstrucción de Tlahuiltepa</t>
  </si>
  <si>
    <t>Destinan más de 326 mdp para obras en Nicolás Flores</t>
  </si>
  <si>
    <t>Se recuperan más de 7 millones de litros de combustible ilegal</t>
  </si>
  <si>
    <t>Reunión Gabinete De Seguridad</t>
  </si>
  <si>
    <t>El cuerpo de una persona envuelto en cobijas y semidevorado por la fauna, fue localizado en el municipio de Tlanalapa. De acuerdo con la policía municipal, mediante una llamada de emergencia se dio aviso sobre la localización de un cuerpo en la calle Miguel Hidalgo. Al arribar al lugar los oficiales, tomaron contacto con un pastor el cual dio a conocer que al estar arreando sus borregos localizó el cuerpo. Al inspeccionar la zona las autoridades localizaron un cuerpo de un sujeto envuelto en cobijas y ya era devorado por la fauna. Por dicho hecho personal de la Procuraduría General de Justicia del Estado de Hidalgo (PGJEH), inició la carpeta de investigación correspondiente</t>
  </si>
  <si>
    <t>PGJEH</t>
  </si>
  <si>
    <t>Localización de cuerpo</t>
  </si>
  <si>
    <t>Se localizó una persona sin vida dentro del cuerpo de agua del Río de las Avenidas a la altura del fraccionamiento los Tuzos. Al arribar al lugar los oficiales, localizaron un sujeto envuelto en cobijas ya sin vida. Hasta el momento se desconoce las causas de la muerte, por lo que las autoridades mantienen resguarda la zona, en espera del personal de la Procuraduría General de Justicia del Estado de Hidalgo (PGJEH), para realizar las indagatorias correspondientes</t>
  </si>
  <si>
    <t>Para este 18 de agosto se pronostican intervalos de chubascos de 5 a 25 mm en Hidalgo, temperaturas máximas de 35 a 40 °C en el norte, mínimas de 0 a 5 °C en zonas del estado y rachas de viento de hasta 50 km/h.</t>
  </si>
  <si>
    <t>Integrantes de la Confederación por los Derechos de los Animales de México en Hidalgo, se manifestaron en contra de la nueva Ley General del Bienestar Animal, impulsada desde el Senado de la República. Argumentaron que la iniciativa no es más que un manual para matar animales, AUDIO APOYO</t>
  </si>
  <si>
    <t>Bienestar Animal</t>
  </si>
  <si>
    <t>Un hombre fue grabado mientras jaloneaba del cabello a una adolescente y la obligaba a caminar por varias cuadras. El hecho ocurrió en la comunidad de Santiago Tezontlale, en el municipio de Ajacuba, Hidalgo, lo que provocó el reclamo de algunos vecinos de la zona</t>
  </si>
  <si>
    <t>Violencia familiar</t>
  </si>
  <si>
    <t>El presidente municipio de Ixmiquilpan Emanuel Hernández , informo que suma 31 casos de gusano barrenador detectados en animales y además de que fue confirmado el primer caso de una persona así lo informó el presidente municipal, Emanuel Hernández, durante la conferencia de prensa semanal.</t>
  </si>
  <si>
    <t>Gusano barrenador</t>
  </si>
  <si>
    <t>El alcalde de Pachuca, Jorge Reyes, señaló que continuará el operativo de alcoholímetro durante la feria que se viene en octubre con la intención de evitar accidentes, AUDIO APOYO</t>
  </si>
  <si>
    <t>Alcoholímetro</t>
  </si>
  <si>
    <t>Un accidente entre tres tráileres provocó afectaciones a la circulación sobre la autopista Arco Norte, a la altura del municipio de Atitalaquia, Hidalgo</t>
  </si>
  <si>
    <t>El saneamiento de la presa en Endhó es uno de los proyectos que podrían integrarse al Fondo de Capital Ambiental para México, presentado por la Secretaría del Medio Ambiente y Recursos Naturales Federal, así como la Secretaría de Hacienda y el Banco de Desarrollo de América Latina y el Caribe, con la posibilidad de incorporar al sector empresarial en su financiamiento. La propuesta contempla desarrollar tecnología para aprovechar el lírio acuático que afecta al vaso de la presa como parte de un modelo de economía circular y bioeconomía. Aunque todavía no existe una estimación del costo, las áreas técnicas deberán integrar durante los siguientes meses los estudios necesarios para definir el proyecto y su viabilidad. , AUDIO VIDEO</t>
  </si>
  <si>
    <t>Control lirio acuático</t>
  </si>
  <si>
    <t>El diputado local por el Distrito XIV, Jose Luis Rodriguez Higareda "El Puma" anunció la presentación de su segundo informe de actividades legislativas, que se llevará a cabo el próximo jueves 27 de agosto, a las 16:30 horas, en el salón de la Delegación de San Marcos, en Tula de Allende. El legislador adelantó que presentará un balance de su trabajo en la LXVII Legislatura del Congreso de Hidalgo, con cifras, resultados y las principales iniciativas y gestiones realizadas durante el último año en beneficio de los municipios que integran su distrito: Tula de Allende, Tlaxcoapan y Tlahuelilpan, AUDIO APOYO</t>
  </si>
  <si>
    <t>La cancha ubicada en la colonia del Huerto en Tula ya está siendo rehabilitada por el gobierno municipal, en los próximos días estará puesta en funcionamiento para deportistas que practican básquetbol y voleibol, informó el presidente municipal Cristhian Martínez Reséndiz, AUDIO APOYO</t>
  </si>
  <si>
    <t>Rehabilitación de espacios públicos</t>
  </si>
  <si>
    <t>Tlahuiltepa recibe 850 millones de pesos para su reconstrucción, anuncia Julio Menchaca, AUDIO APOYO</t>
  </si>
  <si>
    <t>Gobierno de Hidalgo impulsa al campo con entrega de apoyos agropecuarios en el Cardonal y Tecozautla , AUDIO APOYO</t>
  </si>
  <si>
    <t>Apoyo Al Agro</t>
  </si>
  <si>
    <t>Gobierno de Hidalgo recupera más de 7 millones de combustible ilícito en casi cuatro años.</t>
  </si>
  <si>
    <t>Gobiernos de Hidalgo y de México aplican más de 326 millones de pesos para Nicolás Flores. (AUDIO JMS).</t>
  </si>
  <si>
    <t>Conductores que viajan con dirección a Pachuca emitieron una alerta ciudadana respecto a robos cometidos bajo la modalidad de cristalazo en la estación de servicio ES 05572 situada sobre la autopista México-Pachuca, a la altura de Ecatepec, Estado de México. Afectados solicitaron mayor vigilancia policial en la zona comercial aledaña a la gasolinera para evitar agresiones al patrimonio de los viajeros.</t>
  </si>
  <si>
    <t>Inseguridad</t>
  </si>
  <si>
    <t>Cuerpos de emergencia y peritos de la Procuraduría General de Justicia del Estado de Hidalgo acudieron a las inmediaciones del fraccionamiento Los Tuzos, en Mineral de la Reforma, tras el reporte del hallazgo de un cuerpo envuelto en una cobija dentro del canal de aguas negras del Río de las Avenidas. La zona fue acordonada para el levantamiento del cadáver e inicio de las diligencias de ley.</t>
  </si>
  <si>
    <t>Automovilistas que transitaban a la altura de la comunidad de El Taxadhó, en el municipio de Ixmiquilpan, reportaron el hallazgo del cuerpo sin vida de un hombre sobre la cinta asfáltica de la carretera México-Laredo. Las autoridades investigan un presunto atropellamiento, permaneciendo la víctima en calidad de desconocida.</t>
  </si>
  <si>
    <t>La Subsecretaría de Protección Civil del Estado de Hidalgo emitió una alerta meteorológica ante el pronóstico de precipitaciones de 5 a 25 milímetros para los días lunes, martes y jueves, con un incremento a intervalos de 25 a 50 milímetros durante el miércoles, concentrándose los acumulados en el sur y sureste de la entidad.</t>
  </si>
  <si>
    <t>En el marco del Día Internacional de los Pueblos Indígenas, el Gobierno del Estado de Hidalgo homenajeó en Huejutla de Reyes a 1,500 parteras tradicionales de las regiones Huasteca, Sierra, Otomí-Tepehua y Valle del Mezquital. El titular de la CEDSPI, Prisco Manuel Gutiérrez, destacó que el programa Guardianas de Vida invertirá más de 19 millones de pesos para apoyar a 1,924 médicas y médicos tradicionales, a la par de la edificación de Casas de la Mujer Indígena en Atlapexco y Tenango de Doria por 64 millones de pesos. AUDIO DE APOYO</t>
  </si>
  <si>
    <t>Parteras Tradicionales</t>
  </si>
  <si>
    <t>El titular de la Secretaría de Bienestar e Inclusión Social (SEBISO), Ricardo Gómez Moreno, dio a conocer que la dependencia avanza en la entrega de tarjetas del programa de apoyo a personas cuidadoras de personas con discapacidad, habiendo cubierto 23 municipios en favor de 696 beneficiarios. El funcionario señaló que durante el resto de agosto se habilitarán seis sedes regionales para extender la cobertura a las 84 demarcaciones del estado. AUDIO DE APOYO</t>
  </si>
  <si>
    <t>La secretaria de Cultura estatal, Neyda Naranjo, informó que la edición 2026 de la Feria Internacional del Libro Infantil y Juvenil Hidalgo alcanzó una asistencia de 32,281 personas y ventas por 1,295,000 pesos producto de la comercialización de 11,501 ejemplares. La funcionaria anunció además la realización de la Muestra de Cine Comunitario Originario, del 10 al 12 de septiembre en cinco municipios. AUDIO DE APOYO</t>
  </si>
  <si>
    <t>La Unidad de Planeación y Prospectiva de Hidalgo inició la localización de predios urbanizados para desarrollar conjuntos habitacionales en coordinación con el FOVISSSTE y el Programa de Vivienda para el Bienestar. La iniciativa prevé la edificación de inmuebles de 60 metros cuadrados destinados a personal docente, médico, policial y de bomberos, garantizando acceso a servicios básicos, áreas verdes y conectividad de transporte.</t>
  </si>
  <si>
    <t>El secretario de Educación Pública de Hidalgo, Natividad Castrejón Valdéz, sostuvo un encuentro de trabajo con directores de educación básica para ultimar los detalles del ciclo escolar 2026-2027. Durante la sesión se revisó el calendario del Consejo Técnico Escolar, la estrategia Vive Saludable, Vive Feliz, los procesos de inscripción y el esquema de entrega de paquetes escolares e uniformes mediante el programa Altagracia Mercado.</t>
  </si>
  <si>
    <t>De acuerdo con datos del Secretariado Ejecutivo del Sistema Nacional de Seguridad Pública (SESNSP), Hidalgo se colocó en el primer lugar nacional en delitos relacionados con la ley federal para prevenir y sancionar delitos en materia de hidrocarburos, acumulando 2,093 carpetas de investigación en el primer semestre de 2026, cifra que equivale al 29.34 % del total nacional. Datos del Observatorio Ciudadano ubican a Cuautepec, Santiago Tulantepec y Tepeapulco a la cabeza en tomas clandestinas.</t>
  </si>
  <si>
    <t>Seis pasajeros resultaron con contusiones menores tras el choque registrado entre una colectiva y un taxi frente a la ex Hacienda de la Concepción, sobre la vialidad San Agustín Tlaxiaca. Peritajes preliminares indican que la unidad colectiva realizó un corte de circulación no autorizado; ambos conductores fueron presentados ante la autoridad vial para el deslinde de responsabilidades.</t>
  </si>
  <si>
    <t>Elementos policíacos detuvieron a ocho personas sobre la carretera estatal Tenango-Metepec, a la altura del ejido Emiliano Zapata, en el municipio de Tenango de Doria, cuando transportaban madera presuntamente obtenida de forma ilícita a bordo de dos camionetas con números de serie alterados. Los imputados y las unidades quedaron a disposición del Ministerio Público Federal.</t>
  </si>
  <si>
    <t>La Coordinación Nacional de Protección Civil activó una alerta preventiva para Hidalgo y seis entidades colindantes tras el robo de un cilindro de 65 kilogramos de gas cloro en San Luis Potosí. Las autoridades exhortaron a la población a no manipular el contenedor en caso de hallazgo debido a la alta corrosividad de la sustancia y reportar cualquier indicio al número de emergencias 911.</t>
  </si>
  <si>
    <t>Prevención De Riesgos</t>
  </si>
  <si>
    <t>El presidente municipal de Tepeapulco, Félix Ávila Castelán, informó que la corporación de seguridad pública opera con un déficit del 52 %, al disponer de 64 elementos de los 120 requeridos normativamente. El edil detalló que 30 agentes ya cuentan con el Certificado Único Policial (CUP) mientras que el resto concluye los exámenes de evaluación.</t>
  </si>
  <si>
    <t>Déficit policial</t>
  </si>
  <si>
    <t>El Sistema Integrado de Transporte Masivo de Hidalgo (SITMAH) reportó que durante la primera jornada de aplicación de sanciones económicas se aplicaron 10 infracciones a conductores por invadir el carril exclusivo del Tuzobús en Pachuca, concluyendo formalmente el periodo de amonestaciones preventivas.</t>
  </si>
  <si>
    <t>Participación semanal de Mtro. Roberto Rico con el tema : Uso de tecnología dentro de las aulas para niñas, niños y adolescentes</t>
  </si>
  <si>
    <t>Restricción de dispositivos digitales</t>
  </si>
  <si>
    <t>Durante la semana del Consejo Técnico Escolar Intensivo, a celebrarse los días 24 y 25 de agosto, la Secretaría de Educación Pública Federal aplicará una consulta nacional a más de un millón de maestras y maestros en 200 mil escuelas de educación básica. El ejercicio tiene como finalidad debatir y definir la postura oficial sobre la presencia y regulación de teléfonos móviles y dispositivos digitales en las aulas. AUDIO DE APOYO</t>
  </si>
  <si>
    <t>La presidenta de la Cámara Nacional de la Industria de Restaurantes y Alimentos Condimentados (CANIRAC) en Hidalgo, María Elena Carvajal, proyectó una derrama económica superior a los 170 millones de pesos para el sector gastronómico formal durante el periodo vacacional de verano 2026, superando los 162.5 millones reportados el año previo. La dirigente destacó que la entidad cuenta con una red de entre 15 mil y 17 mil establecimientos de alimentos, registrando a Ixmiquilpan, Tecozautla, Huasca de Ocampo, Mineral del Monte y Mineral del Chico como los polos de mayor consumo. AUDIO DE APOYO</t>
  </si>
  <si>
    <t>La titular de la SECTUR Hidalgo, Elizabeth Quintanar Gómez, informó que el próximo 28 de agosto se llevará a cabo en Epazoyucan el encuentro Raíces de Hidalgo, con la participación de 60 experiencias turísticas de 29 municipios. Asimismo, destacó que el centro gastronómico de Santiago de Anaya registra un 95 % de avance y anunció el inicio del parador turístico en El Cardonal, el cual requerirá una inversión estatal de 16 millones de pesos en su primera etapa y más de 30 millones en la segunda. AUDIO DE APOYO</t>
  </si>
  <si>
    <t>La secretaria de Turismo estatal, Elizabeth Quintanar Gómez, dio a conocer que, de acuerdo con mediciones del INEGI, Hidalgo registró un repunte del 20.9 % en la prestación de servicios turísticos, posicionándose como la entidad con mayor crecimiento en el país dentro de los rubros hotelero y gastronómico. AUDIO DE APOYO</t>
  </si>
  <si>
    <t>El coordinador general de Comunicación Gubernamental, Edmundo Pineda López, precisó durante la conferencia semanal que el proyecto de confinamiento de residuos contemplado para dar servicio a Tula de Allende pertenece en su totalidad a una empresa particular y no constituye una iniciativa del Poder Ejecutivo Estatal. El funcionario aclaró que la Secretaría de Medio Ambiente y Recursos Naturales de Hidalgo (SEMARNAT) no ha expedido ninguna autorización de operación y advirtió sobre el inicio de procedimientos sancionadores en caso de irregularidades. AUDIO DE APOYO CONFERENCIA</t>
  </si>
  <si>
    <t>Como parte de las Rutas de la Transformación y de la Reconstrucción, el gobernador Julio Menchaca Salazar evaluó en Nicolás Flores la conclusión de siete obras estatales por 37 millones de pesos e inspeccionó los trabajos para reparar la infraestructura afectada por la vaguada monzónica. En coordinación con el Gobierno de México, se ejecutan más de 326 millones de pesos en acciones hídricas y carreteras —que incluyen 273 millones para 11 obras como el puente Santo Domingo—, logrando la rehabilitación de casi 600 kilómetros de caminos de terracería. AUDIO DE APOYO</t>
  </si>
  <si>
    <t>Durante su visita de supervisión al puente Lázaro Cárdenas en Tlahuiltepa, el gobernador Julio Menchaca Salazar informó que a través de la Secretaría de Infraestructura, Comunicaciones y Transportes (SICT) se destinarán cerca de 592 millones de pesos para la reconstrucción de seis puentes, la reparación de dos más y la rehabilitación de vías de comunicación. El mandatario detalló que Tlahuiltepa recibirá una inversión global de 850 millones de pesos en infraestructura para resarcir los daños por fenómenos meteorológicos, sumados a 241 millones estatales en vialidades y vivienda, además de 18.3 millones para diez proyectos de agua potable AUDIO DE APOYO</t>
  </si>
  <si>
    <t>Radioescucha comenta que el día de ayer en Tillcuautla, chocó un taxi y una colectiva por la universidad, poniendo en riesgo a los estudiantes; hubo 3 lesionados.</t>
  </si>
  <si>
    <t>Accidente de Transporte Público</t>
  </si>
  <si>
    <t>Radioescucha manda audio y comenta que venía circulando por la secundaria 2, por el carril que se supone que sí se puede transitar; pasó una camioneta de movilidad sacando fotos y prendiendo la torreta, que no se supone que sí podemos circular a esa altura. Que no estén intimidando.</t>
  </si>
  <si>
    <t>Comenta conductor Eulalio Larrieta, que capaciten mejor a sus elementos del personal del Tuzobús.; habían dicho que del estadio para el centro no había infracciones, porque toman fotografías. Suplica que le digan: "¿Cómo uno debe ingresar de Avenida Juárez a la Colonia Periodistas? ¿Cómo tengo que ingresar a Santa Julia? ¿En Prepa 1 para Constitución? Digan cómo se va a entrar en esos puntos, no soy ingeniero en tránsito de vialidad. Las puertas están abiertas para que nos informen de qué manera se puede circular por esos puntos.</t>
  </si>
  <si>
    <t>Radioescucha Sr. Jose Domingo Bustamante fue a la cabina de radio, y se quejó de que, por parte los supervisores, ya que salió de la colonia Santa Julia y tuvo que tomar el carril del Tuzobús para incorporarse al centro de la capital, a la altura de Prepa 1, una camioneta de supervisión le tocó las torretas y le tomaron fotografías sin su consentimiento. Justamente en este punto no se tienen ya sanciones; es un acoso por parte de funcionarios de la Semot</t>
  </si>
  <si>
    <t>Radioescucha Sr. Fidel comenta: Me sorprende que Caasim dijo que va a suspender el servicio de agua, ¿y cuál servicio si nunca tenemos agua?</t>
  </si>
  <si>
    <t>Radioescucha reporta fuga de agua en el 4to retorno de Villas del Alamo</t>
  </si>
  <si>
    <t>Radioescucha reporta una gran fuga de agua desde el dia sábado en San Cayetano</t>
  </si>
  <si>
    <t>Fuga De Agua</t>
  </si>
  <si>
    <t>La Secretaría de Cultura presenta resultados de la FILIJ y festividades realizados en Hidalgo</t>
  </si>
  <si>
    <t>El presidente municipal de Pachuca, Jorge Reyes, supervisó el avance de los trabajos para la instalación de 556 cámaras de videovigilancia, como parte de la estrategia para ampliar la infraestructura tecnológica de seguridad en la capital hidalguense. Las labores se desarrollan en Santa Matilde, Barrio El Judío, Tlapacoya, Huixmí, Villas de Pachuca, La Palma y C. Doria.Los dispositivos son colocados en puntos definidos de acuerdo con las características de cada zona, con el objetivo de mejorar la capacidad de observación en espacios con tránsito vehicular, peatonal y actividad cotidiana.</t>
  </si>
  <si>
    <t>El Instituto Mexicano del Seguro Social (IMSS) en Hidalgo recomienda a la población que suspendió temporalmente sus actividades habituales durante las vacaciones de verano retomarlas de forma gradual, con el objetivo de favorecer la readaptación a los entornos laboral, escolar y familiar. El retorno a las actividades cotidianas puede implicar ajustes en horarios, exigencias y responsabilidades. En este proceso, algunas personas pueden presentar de forma transitoria fatiga, irritabilidad, desánimo, disminución de la motivación o sensación subjetiva de mayor esfuerzo frente a las tareas habituales.</t>
  </si>
  <si>
    <t>Promoción De La Salud</t>
  </si>
  <si>
    <t>La Subsecretaría de Protección Civil y Gestión de Riesgos de Hidalgo envió una alerta preventiva para Hidalgo. "La Coordinación Nacional de Protección Civil emitió un alertamiento por el robo de un cilindro con gas cloro en San Luis Potosí, con número de identificación ONU 1017, el cual representa un riesgo alto para la salud. El cilindro es de color plata, con capacidad de 65 kg y número de serie 717402. En caso de localizarlo, no lo manipules, aléjate de inmediato y repórtalo al 911. El gas cloro es tóxico y puede ser fatal si se inhala o entra en contacto con la piel. Mantente informado a través de canales oficiales y atiende las recomendaciones de Protección Civil."</t>
  </si>
  <si>
    <t>La Caasim programó la segunda etapa de los trabajos de mantenimiento en el múltiple de salida de la línea que conduce del rebombeo La Paz 1 al tanque Cubitos 1, los cuales se llevarán a cabo el próximo miércoles 19 de agosto del presente año.Se estima que, una vez concluidas las maniobras, a partir de las 18:00 horas del jueves 20 de agosto, inicie la recuperación del servicio de manera paulatina, conforme al programa de distribución por colonia, en un lapso de hasta 72 horas, considerando las zonas más alejadas.Por este motivo, se solicita a las personas usuarias tomar las previsiones necesarias, ya que el servicio de agua potable será suspendido a partir de las 06:00 horas del miércoles 19 de agosto en las siguientes colonias:Periodistas, Maestranza, Constitución, Morelos, Aquiles Serdán, Santa Julia, Javier Rojo Gómez (parte baja), Cuesco, Hilaturas de Pachuca, Real de Pachuca, San Marino, Palmitas, Lomas Residencial Pachuca (parte baja), Doctores, Céspedes, La Raza, Cubitos (parte media y baja), Real de Minas, Electricistas, Terrazas, Fraccionamiento Los Rosales, 11 de julio (parte media y baja), Real de Oriente, Cerrada de Santiago, Canutillo, Ciudad de los niños, Nueva Francisco I. Madero (parte baja), Progreso, Adolfo López Mateos (primera y segunda sección), Lomas Residencial Pachuca, San Javier, La Paz, La Moraleja, Los Maestros, Ex hacienda de Coscotitlán y bulevar Everardo Márquez.</t>
  </si>
  <si>
    <t>El número de cirugías realizadas en las instituciones públicas de salud del país aumentó 30% entre 2022 y 2026, al pasar de un millón 450 mil a un millón 887 mil procedimientos entre enero y julio de cada año, informó Eduardo Clark García Dobarganes, subsecretario de Integración Sectorial y Desarrollo de la Secretaría de Salud. Durante la presentación de los avances en materia de atención médica en la conferencia matutina, el funcionario destacó que el incremento forma parte de una tendencia de crecimiento en los servicios otorgados por el IMSS, ISSSTE e IMSS-Bienestar.</t>
  </si>
  <si>
    <t>Atención médica</t>
  </si>
  <si>
    <t>Pobladores de la comunidad de La Flor irrumpió este martes en la presidencia municipal de San Salvador y presuntamente agredió al alcalde Norberto Martínez Cruz y a tres funcionarios que se encontraban dentro de la sala de Cabildo. Después de someterlos, los manifestantes los obligaron a abandonar las instalaciones y se los llevaron por la fuerza, de acuerdo con los primeros reportes. Las otras personas retenidas fueron identificadas como Fernando Trejo, director de Obras Públicas; Luciana Mejía, secretaria municipal, y Jesús Arteaga, contador adscrito al área de Tesorería. Hasta el corte de esta información se desconoce el lugar al que fueron trasladados y las condiciones en las que se encuentran. Tampoco se ha confirmado si alguno necesitó atención médica después de la confrontación. Durante los hechos, el grupo también se habría llevado dos patrullas pertenecientes a Seguridad Pública Municipal. No se ha precisado si los vehículos fueron utilizados para trasladar a los funcionarios ni dónde se encuentran actualmente. Además, otra de las demandas de los habitantes corresponde a la reconstrucción de un camino que resultó afectado y presenta hundimientos derivados de las lluvias, intervención que, según autoridades municipales. De acuerdo con los primeros reportes, la interrupción estaría relacionada con la continuidad de la construcción de un pozo en la zona, ya que el acuerdo inicial contemplaba que el Gobierno Municipal ejecutara una primera etapa y que una segunda fase quedara a cargo de la Comisión Nacional del Agua (Conagua), por lo que los inconformes exigen la presencia de funcionarios de dicha dependencia federal para obtener una respuesta.</t>
  </si>
  <si>
    <t>Con el objetivo de apoyar a quienes lo necesitan para recuperar su autonomía cotidiana a través de una escucha con mayor claridad, Cuautepec de Hinojosa fue sede de la Jornada de Aparatos Auditivos, en la que 88 personas recibieron de manera totalmente gratuita dispositivos adecuados a sus necesidades particulares. Esta iniciativa, resultado de la coordinación entre la Administración del Patrimonio de la Beneficencia Pública Nacional, la Administración del Patrimonio Social de los Servicios de Salud de Hidalgo y el DIF Cuautepec, permitió brindar atención especializada a personas que requieren apoyo auditivo y que, debido a sus condiciones económicas, no cuentan con los recursos necesarios para adquirir este tipo de mecanismos. Cada beneficiario pasó por diferentes filtros y procesos de valoración, a través de los cuales especialistas identificaron sus necesidades y realizaron los ajustes correspondientes para garantizar una adaptación personalizada.</t>
  </si>
  <si>
    <t>Entrega De Apoyos</t>
  </si>
  <si>
    <t>Con el objetivo de fortalecer la planeación de políticas públicas a partir del conocimiento de las características y necesidades de la población, se llevó a cabo la Segunda Sesión Ordinaria del Consejo Municipal de Población (COMUPO). Durante la sesión se revisaron y evaluaron las acciones implementadas por las diferentes áreas de la administración municipal para atender las condiciones demográficas y sociales de Tulancingo. Además, se presentó información estadística que permite identificar áreas de oportunidad y orientar acciones en beneficio de las familias. El encuentro contó con la presencia del maestro Eduardo Antonio Téllez Ortiz, subdirector de Análisis Estadístico del Consejo Estatal de Población (COESPO); del rector de la Universidad Politécnica de Tulancingo, Felipe Olimpo Durán Rocha; y María Guadalupe Rodríguez Uribe, en representación de la presidenta municipal Lorena García Cázares. Asimismo, se presentaron informes sobre las acciones realizadas por la administración municipal, destacando resultados que, en algunos indicadores, superaron las metas proyectadas, lo que refleja el fortalecimiento de la coordinación interinstitucional y el uso de la información demográfica como herramienta para la toma de decisiones. Durante la sesión se presentó información sobre las principales características de la población de Tulancingo. Entre los datos expuestos, se informó que el municipio cuenta con 177 mil 213 habitantes, de los cuales 95 mil 240 son mujeres y 81 mil 973 hombres. En materia de desarrollo humano, Tulancingo registra un Índice de Desarrollo Humano de 0.771, que lo ubica en el lugar 12 a nivel estatal. En educación, 50.2 por ciento de la población cuenta con educación básica, 23.9 por ciento con educación media superior y 20.5 por ciento con educación superior, mientras que el índice de analfabetismo se ubica en 4.6 por ciento. Otro de los indicadores abordados fue la fecundidad adolescente. En Tulancingo se registran cinco nacimientos en niñas de 10 a 14 años y 271 nacimientos entre adolescentes de 15 a 19 años, con una tasa específica de fecundidad adolescente de 35.84 nacimientos por cada mil adolescentes. Estos datos permiten identificar áreas de atención y fortalecer las acciones institucionales dirigidas a niñas, niños, adolescentes y jóvenes. En materia de diversidad cultural, se dio a conocer que 4 mil 541 personas hablan alguna lengua indígena, información que destaca la importancia de mantener políticas públicas con enfoque de inclusión e interculturalidad. Durante la sesión se resaltó que la política de población no se limita a contabilizar habitantes, sino que implica comprender las características de la población, anticipar sus necesidades y generar mejores condiciones de bienestar.</t>
  </si>
  <si>
    <t>Dinámica demográfica</t>
  </si>
  <si>
    <t>El 20 de junio, la Secretaría de Seguridad Pública de Hidalgo, mediante la Policía Turística, ubicó en buen estado de salud a dos personas procedentes de Guanajuato que se habían perdido mientras hacían senderismo en un bosque de Mineral del Chico.</t>
  </si>
  <si>
    <t>Dos personas que no lograban encontrar la salida de una zona boscosa del Centro Ecoturístico El Contadero fueron localizadas por elementos de la Policía Estatal, después de un recorrido de aproximadamente 1.5 kilómetros por un área de difícil acceso. La búsqueda comenzó después de que el Centro de Control, Comando, Comunicaciones, Cómputo, Coordinación e Inteligencia (C5i) recibió una alerta sobre dos visitantes extraviados en las inmediaciones del centro ecoturístico, ubicado en Mineral del Chico. De acuerdo con la información disponible, ambas personas ingresaron a “El Laberinto”, pero durante el recorrido tuvieron dificultades para identificar la ruta que les permitiría regresar. Asimismo, una de ellas presentó una probable lesión en el pie mientras se encontraba en el sitio conocido como “El Laberinto”; debido al dolor y a las condiciones del terreno, el desplazamiento se volvió más complicado, por lo que fue necesaria la intervención de los cuerpos de seguridad. A partir de la alerta, elementos estatales comenzaron un operativo de búsqueda dentro de la zona. Las condiciones del lugar obligaron a los agentes a internarse aproximadamente 1.5 kilómetros antes de localizar a las dos personas.</t>
  </si>
  <si>
    <t>Policía Estatal rescata a dos personas extraviadas en Mineral del Chico</t>
  </si>
  <si>
    <t>Tlahuiltepa recibe 850 millones de pesos para su reconstrucción, anuncia Julio Menchaca. (AUDIO JMS).</t>
  </si>
  <si>
    <t>Un total de 101 personas cuidadoras de personas con discapacidad recibieron tarjetas del Programa Bienestar de las Personas Cuidadoras con Discapacidad, la tarde de este lunes en Tulancingo. El evento fue encabezado por el subsecretario de Bienestar e Inclusión Social de Hidalgo, David Robles Hernández y el director Alfonso Hayim Barrera, con la presencia de la presidenta municipal Lorena García Cázares y de Diana Esmeralda Peña Canales, directora general de Inclusión para las Personas con Discapacidad y Personas Cuidadoras. Durante el acto se destacó que este programa representa un respaldo para quienes dedican gran parte de su tiempo al cuidado de personas con discapacidad y busca contribuir a mejorar las condiciones de bienestar de sus familias. La presidenta municipal Lorena García Cázares agradeció al gobernador Julio Menchaca Salazar y al secretario de Bienestar e Inclusión Social de Hidalgo, Ricardo Gómez Moreno, por impulsar acciones con enfoque de inclusión, empatía y solidaridad. La alcaldesa señaló que, el bienestar debe construirse desde una perspectiva de inclusión, empatía y solidaridad, al reconocer que detrás de cada persona que requiere cuidados existe también una familia que necesita acompañamiento y respaldo. Por su parte, Diana Esmeralda Peña Canales destacó que el programa no solo representa un apoyo económico, sino también una herramienta para fortalecer a las familias y avanzar hacia una sociedad más incluyente. Los apoyos beneficiaron a personas cuidadoras de Acatlán, Acaxochitlán, Agua Blanca, Metepec, Cuautepec de Hinojosa, Santiago Tulantepec y Tulancingo, como parte de las acciones para fortalecer el bienestar de las familias y reconocer la labor de quienes brindan cuidados permanentes a un familiar. El programa está dirigido a personas cuidadoras mayores de edad de personas con discapacidad severa, de acuerdo con los criterios establecidos por la Secretaría de Bienestar e Inclusión Social.</t>
  </si>
  <si>
    <t>Apoyo a personas cuidadoras</t>
  </si>
  <si>
    <t>El Gobierno Municipal de Tulancingo anunció la realización de un simulacro de evacuación por posible inundación en la colonia La Estrella, con el objetivo de evaluar los tiempos de respuesta y fortalecer la cultura de prevención ante la temporada de lluvias y crecidas de agua en la región.</t>
  </si>
  <si>
    <t>Simulacro</t>
  </si>
  <si>
    <t>Locutor Jesús Riveros da lectura a comentario de radioescucha que reporta, que en Tulancingo no pagan ni el salario mínimo en los trabajos y los horarios son desde las 8:00 hasta las 18:00 o 19:00 horas; locutor responde que, efectivamente hay algunos trabajos que así operan, pero que es cuestión de reportarlos ante la STPSH.</t>
  </si>
  <si>
    <t>Derechos laborales</t>
  </si>
  <si>
    <t>Entrevista vía telefónica Dr. Enrique González Amador de la Universidad Politécnica de Tulancingo - Habló sobre un proyecto de investigación que se realiza en la UPT, con el objetivo de explorar el fondo del ojo y con ello aportar un poco para mejorar la calidad de vida de algunas personas que puedan padecer de alguna enfermedad con este órgano vital.</t>
  </si>
  <si>
    <t>Investigación académica</t>
  </si>
  <si>
    <t>Entrevista vía telefónica, Edda Vite, presidenta del Patronato del Sistema DIF Hidalgo - Viviendo en Plenitud: Habló sobre la tercera edición del programa “Viviendo en plenitud” un espacio pensado para las personas adultas mayores de Hidalgo, esta edición, se realizará el próximo 21 y 22 de agosto en el recinto ferial de Pachuca. En este encuentro, se espera una jornada llena de música, baile, talento y entusiasmo, el objetivo, dijo, es promover un estilo saludable de vida.</t>
  </si>
  <si>
    <t>Radioescucha reporta que, respecto a la suspensión de agua en la Rojo Gómez, a nosotros nos cae agua solo una vez por semana, que es el miércoles, ¿entonces tendremos agua hasta la próxima semana?.</t>
  </si>
  <si>
    <t>Comenta conductor Eulalio Larrieta:” Si usted quiere una atención de un carro cisterna por parte de Caasim, es fácil comunicarse al número telefónico 7714782400 para el camión cisterna en este desabasto de agua”</t>
  </si>
  <si>
    <t>Un accidente entre una unidad del transporte público y un vehículo particular dejó diez personas lesionadas en la carretera Huejutla - Atlapexco a la altura de la candelaria de acuerdo con la información una llanta del automóvil particular se ponchó lo que provocó que el conductor perdiera el control y chocara contra la colectiva Cruz Roja atendió a las diez personas, nueve regresaron a sus hogares y una fue trasladada al hospital regional ninguna presentó lesiones graves, los conductores quedaron a disposición de las autoridades para deslindar responsabilidades la unidad de transporte público tenía su documentación en regla</t>
  </si>
  <si>
    <t>La SEMOT informo que derivado de un accidente entre una unidad del transporte publico y un vehiculo particular sobre la carretera Huejutla–Atlapexco, a la altura de la comunidad de Candelaria en el municipio de Huejutla.10 personas usuarias resultaron lesionadas y fueron atendidas en el lugar por personal de la Cruz Roja Mexicana, de las cuales 9 regresaron a sus hogares y 1 requirió traslado al Hospital Regional para recibir atención medica.</t>
  </si>
  <si>
    <t>El gobierno de Hidalgo apoyará a cuarenta y ocho estudiantes mediante becas para realizar estancias cortas de posgrado en instituciones nacionales y extranjeras. El CITNOVA informó que treinta y una personas fueron seleccionadas para instituciones del país y diecisiete para el extranjero tras evaluar sesenta proyectos. Para este programa se destinaron más de cuatro millones seiscientos sesenta y nueve mil pesos. Cada beneficiario recibirá en una sola exhibición entre sesenta mil y ciento treinta y cinco mil pesos según la modalidad y duración de la estancia.Las autoridades destacaron que el objetivo es fortalecer la formación académica y aprovechar el conocimiento adquirido para impulsar el desarrollo de Hidalgo.</t>
  </si>
  <si>
    <t>Becas De Posgrado</t>
  </si>
  <si>
    <t>La Secretaría de Seguridad de Hidalgo ha recuperado un total de siete millones tres mil novecientos ochenta y cinco litros de combustible ilícito. Así, cuatro años del gobierno de Julio Menchaca Salazar y como parte del combate al robo de hidrocarburo en la entidad. El mandatario precisó que la cifra alcanzada se logró gracias al trabajo interinstitucional entre las corporaciones de los tres niveles que en la última semana aseguraron veintiún mil trescientos treinta litros de combustible, seis camionetas y un camión, así como una motocicleta, una cisterna con capacidad de veinte mil litros, ciento noventa y cinco contenedores de diferentes capacidades, sesenta y cinco metros de manguera de alta presión y veinticinco metros de vaca presión.</t>
  </si>
  <si>
    <t>Combate Al Huachicol</t>
  </si>
  <si>
    <t>Como parte de las técnicas de investigación empleadas para el esclarecimiento de la probable comisión del delito de comercialización ilícita de hidrocarburo, la Fiscalía General de la República ejecutó una orden de cateo en un inmueble ubicado en la localidad de La Vega, municipio de Alfajayucan en Hidalgo. En atención a una denuncia suscrita por el apoderado legal de Petróleos Mexicanos, referente a que un grupo de personas se dedicaban probablemente a la venta de almacenamiento ilegal de hidrocarburo, la Fiscalía en el Estado inició las investigaciones correspondientes y obtuvo autorización para el cateo.Los agentes federales aseguraron veintitrés contenedores de diferentes capacidades, quince vacíos y ocho abastecidos con un total de cuatro mil doscientos litros de sustancia líquida con características similares al hidrocarburo. Un vehículo, tres teléfonos celulares y cuarenta y un mil trescientos setenta y seis pesos.</t>
  </si>
  <si>
    <t>FGR asegura 4 mil 200 litros de presunto hidrocarburo en Alfajayucan . Además del combustible, fueron asegurados un vehículo, tres teléfonos celulares y 41 mil 376 pesos, objetos que quedaron bajo resguardo de la FGR en Hidalgo como parte de las investigaciones.</t>
  </si>
  <si>
    <t>Tulancingo reportó una disminución del 22% en la tasa de fecundación entre adolescentes de 15 a 19 años y del 40% en el grupo de 10 a 14 años durante la segunda sesión ordinaria del Consejo Municipal de Población, autoridades destacaron que estos resultados derivan de acciones coordinadas de prevención, orientación, educación sexual y promoción de derechos el Consejo Municipal de Población también revisó programas para atender la violencia de género y apoyar a personas adultas mayores con discapacidad o enfermedades crónico-degenerativas</t>
  </si>
  <si>
    <t>Consejo Municipal de Población</t>
  </si>
  <si>
    <t>La Secretaría de Salud de Hidalgo entregó constancias de buenas prácticas de higiene a manejadores de alimentos de Tizayuca, tras cumplir con las normas sanitarias para la preparación de alimentos y la calidad del agua La capacitación incluyó a personal de restaurantes, purificadoras y comercios semifijos y ambulantes Tizayuca concentra el 4% de los negocios de alimentos y bebidas en Hidalgo por lo que estas acciones buscan prevenir enfermedades y garantizar productos seguros para la población</t>
  </si>
  <si>
    <t>SSH</t>
  </si>
  <si>
    <t>Constancia sanitaria</t>
  </si>
  <si>
    <t>Entrega Copriseh constancias de Buenas Prácticas de Higiene en Tizayuca</t>
  </si>
  <si>
    <t>El Comité Institucional para la Implementación de la Consulta Indígena presentó este martes ante la Junta de Gobierno del Congreso del Estado de Hidalgo los avances de los trabajos técnicos, operativos y de coordinación realizados desde mayo, así como la ruta para continuar con la preparación del proceso de consulta con alcance en los 84 municipios de la entidad.El diputado Andrés Velázquez Vázquez, presidente de la Junta de Gobierno, recordó que el proceso comenzó formalmente el 25 de mayo, cuando, por instrucción de este órgano colegiado, se instaló el Comité Institucional encargado de coordinar, a través de las distintas áreas del Poder Legislativo, las acciones necesarias para dar cumplimiento a las determinaciones de la Suprema Corte de Justicia de la Nación (SCJN) relacionadas con la reposición de la consulta a pueblos y comunidades indígenas. A partir de su instalación se desarrollaron reuniones de trabajo con la Comisión Estatal para el Desarrollo Sostenible de los Pueblos Indígenas (CEDSPI) y la Unidad Técnica de Derechos Político-Electorales para Pueblos y Comunidades Indígenas del Instituto Estatal Electoral de Hidalgo (IEEH).</t>
  </si>
  <si>
    <t>Consulta Indígena</t>
  </si>
  <si>
    <t>Casi dos mil estudiantes de primaria en Hidalgo participaron en el concurso nacional de dibujo infantil vamos a pintar un árbol, impulsado por la Secretaría de Educación Pública de Hidalgo y la CONAFOR, a través de sus trabajos niñas y niños expresaron la importancia de proteger los bosques los recursos naturales y el medio ambiente, ambas instituciones también acordaron reforzar la reforestación en planteles mediante el programa regresa a clases con un árbol la lista de ganadores se publicará en septiembre en los canales oficiales de la CONAFOR</t>
  </si>
  <si>
    <t>Educación Ambiental</t>
  </si>
  <si>
    <t>El gobierno de Hidalgo abrió la segunda convocatoria del programa Embajadores Juventud dos mil veintiséis del dos mil veintiséis dirigida a jóvenes de entre doce y veintinueve años de los ochenta y cuatro municipios. Las personas seleccionadas podrán recibir hasta doce mil pesos distribuidos en cuatro periodos para capacitarse y compartir sus conocimientos con otras juventudes.La documentación se recibirá de manera presencial del veintiséis al veintiocho de agosto de nueve de la mañana a cinco de la tarde en las oficinas del Instituto Hidalguense de la Juventud en Pachuca. La convocatoria y los requisitos pueden consultarse en juventud hidalgo punto go punto MX.</t>
  </si>
  <si>
    <t>Embajadores de la juventud</t>
  </si>
  <si>
    <t>En cabina, presidente municipal de San Agustín Tlaxiaca, Mario David Medina Hernández, con el tema: Este fin de semana iniciará la feria de San Francisco Tlaxiaca; será del 22 al 30 de agosto y tendrá diversas actividades recreativas, culturales y comerciales y tranajos en el municipio.</t>
  </si>
  <si>
    <t>Y en más información en esta mañana le comento que Hidalgo busca posicionarse como referente nacional e internacional en deportes extremos, por lo que la Secretaría de Turismo, la Secretaría de Turismo Elizabeth Quintanar, informó que en octubre Hidalgo recibirá Epic Travelers, encuentro de turismo de aventura que recorrerá doscientos treinta kilómetros en nueve municipios.Esta es una competencia internacional de aventura que recorrerá algunos paisajes naturales y culturales los más representativos del Estado e integra nueve municipios y esta es una travesía multidisciplinaria de montaña lo más importante de eventos como este es la promoción internacional ya que vienen atletas de diferentes partes del mundo y el levantamiento fotográfico el levantamiento de imágenes nos permite después compartir con todos los públicos que nos siguen mediante redes sociales</t>
  </si>
  <si>
    <t>El gobernador Julio Menchaca acompañó a la presidenta del Tribunal Superior de Justicia de Hidalgo, Rebeca Aladro, en la presentación de su cuarto informe de actividades. Lamagistrada informó que durante su gestión el Poder Judicial brindó más de 37 mil trámites y servicios y resolvió más de 51 mil asuntos. También destacó la creación de dos juzgados especializados en materia familiar y violencia contra las mujeres. Menchaca reconoció estos resultados y llamó a mantener la coordinación entre los poderes del Estado para garantizar una justicia cercana, ágil y con certeza jurídica para la población. Por ello felicito el gran trabajo realizado por todo el Poder Judicial, por el liderazgo de la magistrada presidenta y hago una convocatoria permanente a seguir trabajando por nuestro Estado porque desde cada trinchera en donde desarrollemos nuestras funciones estamos construyendo un mejor Estado y un mejor país. México se lo agradezco.</t>
  </si>
  <si>
    <t>Informe TSJEH</t>
  </si>
  <si>
    <t>La diputada Mónica Leanett Reyes Martínez presentó una iniciativa para ampliar las medidas dirigidas a las personas generadoras de violencia contra las mujeres, con el objetivo de contribuir a evitar la repetición de estas conductas.La propuesta plantea reformar la fracción II del artículo 8 de la Ley de Acceso de las Mujeres a una Vida Libre de Violencia para el Estado de Hidalgo, a fin de incorporar de manera expresa, además de la psicoterapia reeducativa ya contemplada, talleres especializados, gratuitos y con perspectiva de género.</t>
  </si>
  <si>
    <t>Iniciativa</t>
  </si>
  <si>
    <t>Localizaron a una persona sin vida con visibles quemaduras en el cuerpo en un camino de terracería ubicado en el fraccionamiento Fuentes de Tizayuca 2 en el municipio de Tizayuca hasta el momento se desconoce la identidad de la víctima</t>
  </si>
  <si>
    <t>Y siguiendo con este tema de maltrato animal, fíjense que activistas denunciaron rezago en investigaciones. La información con la compañera Nadime Ashane.Activistas por la protección animal denunciaron que en Hidalgo existen al menos 22 carpetas de investigación por presunto maltrato animal que permanecen sin avances además de advertir sobre posibles retrocesos en materia de protección a los animales ante la propuesta de una nueva ley general de bienestar animal. Alba Luisa Jiménez, presidenta de Jauría de Balú, señaló que las carpetas fueron iniciadas desde la creación de la unidad especializada en la investigación de delitos contra los animales de la Procuraduría General de Justicia de Hidalgo en agosto de 2022 pero aseguró que hasta ahora no han tenido seguimiento. La activista también cuestionó que después de dos años continúe pendiente la creación de una unidad de rehabilitación para animales víctimas de maltrato además de solicitar mayor capacitación para los ministerios públicos encargados de atender este tipo de denuncias.Por su parte, Paola Monterrubio Díaz, presidenta de la Asociación Hidalguense para la Protección de los Animales advirtió que la propuesta de ley general de bienestar animal que se analiza en el Senado podría representar un retroceso para los derechos de los animales. Recordó que Hidalgo aprobó recientemente una reforma constitucional que reconoce a los animales como seres sintientes y sujetos de tutela por lo que consideró que cualquier legislación federal debe preservar y fortalecer estos avances. Las organizaciones hidalguenses se sumaron así a la exigencia de protectores de animales de 17 estados para que el Senado revise el proyecto de dictamen y evite disposiciones que desde su perspectiva podrían facilitar acciones contrarias al bienestar y protección de los animales.Para Enfoque Regional, informó Nadime Ashane.</t>
  </si>
  <si>
    <t>Maltrato animal</t>
  </si>
  <si>
    <t>En el marco también del mes de las personas adultas mayores a llevar a cabo el encuentro de baile al son al son del corazón un espacio de convivencia expresión artística e integración que va a reunir a grupos de baile de los centros gerontológicos de las casas del día de 14 municipios allá en el estado de hidalgo vamos a escuchar lo que informó la titular de este espacio y sobre todo la promotora que ha estado siguiendo muy de cerca estas actividades: transitando desde la riqueza de nuestra danza folclórica hasta la energía del baile moderno con espacios como este reafirmamos nuestro compromiso de promover la integración fortalecer el sentido de pertenencia y tejer redes de apoyo donde cada persona adulta mayor se sienta valorada y acompañada quiero felicitar de todo corazón a cada una y uno de los participantes su entusiasmo nos motiva a seguir trabajando día con día y se los digo con orgullo para todo el equipo DEL IAAMEH todas y todos son ganadores.Bueno esto lo que escuchamos este esta actividad se estará llevando a cabo allá en el estado de hidalgo como parte precisamente de estas actividades que se impulsan por parte del gobierno de la entidad cabe mencionar que en este encuentro participan personas mayores provenientes de acto Huichapan Tizayuca, Zimapán y Apan.</t>
  </si>
  <si>
    <t>Y este 21 y 22 de agosto las instalaciones de la Feria Pachuca serán escenario de la tercera edición, Viviendo en Plenitud, un encuentro pensado para celebrar, aprender, convivir y disfrutar de una vejez activa y plena. Edda Vite Ramos, Presidenta del Patronato del Sistema DIF Hidalgo, nos comparte los detalles de este evento para los adultos mayores, así como la información sobre dónde y cómo adquirir los boletos.La pirámide de crecimiento ha cambiado, ahora existen más adultos mayores, somos más los adultos mayores, entonces tenemos que enfocarnos mucho y darles precisamente el que ellos tengan un envejecimiento saludable, un envejecimiento lo más sano posible. Esa es una invitación a todo el Estado, a los 84 municipios, yo sé que algunos municipios están muy lejanos y es un poquito difícil que los traigan, pero al menos los municipios más cercanos nos dan mucho gusto ver que llegan con sus adultos mayores desde muy temprano a las instalaciones de la feria.En esta ocasión va, el festejo dura dos días, que es viernes 21 y sábado 22, a partir de las 11 de la mañana a 5 de la tarde, los esperamos en el recinto ferial de Pachuca y la entrada es gratuita y esperamos un aforo de 6 mil personas por día. Tenemos también servicios y actividades orientadas al cuidado integral, por ejemplo, tenemos atención odontológica, oftalmológica, ortopédicas, terapia física, masajes, yoga, ciertas orientaciones en cuanto a alimentación, en cuanto a tener un envejecimiento mucho más sano, va a haber juegos recreativos y de psicomotricidad, todo pensando en que ellos pasen momentos agradables. A los adultos les estamos dando un boleto, ¿para qué? Pues precisamente para que ellos puedan entrar a todas las rifas que vamos a tener de electrodomésticos, de teléfonos celulares, de televisiones y los dos días va a haber rifas.Ya pueden empezar a ir por sus boletos, a recogerlos, tenemos tres lugares, tenemos aquí en las oficinas centrales, aquí en Salazar número 100, tenemos el Centro de Realización Integral de Hidalgo que se encuentra sobre el Colosio, sobre el Boulevard Colosio y tenemos la Junta General de Asistencia que se encuentra en Parque Hidalgo.</t>
  </si>
  <si>
    <t>En más información, le platico que pobladores de la comunidad de La Flor irrumpieron violentamente en la presencia municipal de San Salvador Hidalgo donde agredieron físicamente y retuvieron al alcalde Norberto Martínez Cruz así como a tres funcionarios de su administración. El incidente se registró en las oficinas de la alcaldía cuando los manifestantes ingresaron por la fuerza a la sala de Cabildo para recriminar el presunto incumplimiento y retraso en obras públicas comprometidas para su localidad. Grabaciones que seguramente usted ha visto muestran cómo entre jaloneos, empujones y golpes la multitud obligó al edil a levantarse de la mesa de trabajo y lo trasladó por la fuerza fuera del inmueble para conducirlo hacia su comunidad mientras trabajadores intentaban frenar la agresión.¡Respeten! Y pues así las cosas durante el altercado también fueron retenidos el director de obras públicas, la secretaria municipal y un contador de tesorería además de tomarse dos patrullas del área de seguridad pública municipal. Las demandas de los inconformes incluyen la segunda etapa de un proyecto de abastecimiento de agua potable mediante un pozo, la reparación de caminos pavimentados que han sido dañados por hundimientos así como la ampliación de la red de energía eléctrica.</t>
  </si>
  <si>
    <t>obra</t>
  </si>
  <si>
    <t>Ya suman en 130 proyectos 147 mil millones de pesos en esta administración para generar 191 mil empleos. Estamos con usted presidenta en el segundo piso de la transformación agradeciendo siempre su respaldo y estando convencidos que su liderazgo su manera de representarnos significa un presente y un futuro mejor. Muchísimas gracias por todo el apoyo”. AUDIO DE APOYO En este sentido durante la conferencia matutina se detalló que como parte de las estrategias del plan México para potenciar las vocaciones regionales con una inversión global proyectada 10 mil 106 millones de pesos en cinco fases de infraestructura se va a consolidar el polo de desarrollo económico para el bienestar reserva Zapotlán en más de 910 hectáreas propiedad estatal orientado a industrias de alta especialización como la farmacéutica dispositivos médicos logística y aeroespacial y bueno como desarrollador industrial de DEWA – Frontier comenzará la urbanización del polígono en septiembre del presente año y va a ejecutar la infraestructura básica generando más de 5.100 puestos de trabajo directos e indirectos.Por otra parte con la inversión de 6 mil 500 millones pesos la cooperativa la Cruz Azul realizará este reacondicionamiento y modernización industrial de la planta en Tula de Allende construida en una moderna línea de producción de cemento y rehabilitará su hospital en dicho municipio así que así las cosas allá en el estado de hidalgo en torno a esta actividad. que se estará llevando a cabo.</t>
  </si>
  <si>
    <t>Polos del Bienestar</t>
  </si>
  <si>
    <t>Julio Menchaca presenta el Podecobi Zapotlán y la reactivación de la Cooperativa La Cruz Azul</t>
  </si>
  <si>
    <t>La Unidad de Fauna y Rehabilitación Silvestre de Pachuca fortalece su programa de servicios sociales y prácticas profesionales mediante el cual estudiantes desde distintas disciplinas complementan su formación académica a través de experiencias y práctica relacionadas con el manejo y atención de fauna silvestre, el bienestar animal y le educacionamiento.Está dirigido a estudiantes de medicina veterinaria, biología y ingeniería en recursos naturales diseño gráfico comunicación e educación quienes tienen la oportunidad del desarrollar habilidades profesionales mediante su participación en las actividades operativas de la unidad. El objetivo es que transforme los conocimientos adquiridos en las aulas en experiencia práctica obteniendo herramientas que contribuyen a su desarrollo profesional el mismo tiempo,fortalezcan las capacidades necesarias para la conservación y protección de la biodiversidad. La iniciativa también ha permitido establecer vínculos con instituciones de educación superior, los distintas regiones en México e otros países entre ellas, Universidad Autónoma del Estado de Hidalgo, Universidad Nacional Autónoma de México y Universidad Nacional de Agricultura de Honduras entre otras. De esta manera, la Unidad de Rehabilitación de Fauna Silvestre de Pachuca no sólo contribuye a atención ni conservación de especies. sino también a la formación de nuevas generaciones de profesionales comprometidos con el cuidado, de la biodiversidad, a generar espacios del aprendizaje académico se convierte en experiencia y participación activa en favor del medio ambiente.</t>
  </si>
  <si>
    <t>Prácticas profesionales</t>
  </si>
  <si>
    <t>Precisamente ayer por la tarde, un grupo de ciudadanos de Tezontepec de Aldama sostuvieron una reunión con el titular de la Secretaría del Despacho del Gobernador de Hidalgo, Alejandro Velázquez Mendoza, y la Secretaría del Medio Ambiente, Mónica Mixteca. Y esto se dijo. Que se contamine la tierra, que se inviertan desechos sólidos en cualquier momento, en cualquier circunstancia, eso no va a ocurrir.Y si vuelve a ocurrir, se van a presentar las denuncias penales, además, contra Hidalgo. Entonces, eso es lo que hoy el gobernador nos pidió transmitir. Ya el proceso legal correspondiente lleva su tiempo, lleva sus propias papas, sus fases, sus derechos que tienen también las partes de mantenimiento.No es inmediato tampoco, porque se siguen los mismos procesos que marca la ley. Otro, no operar sin presión. El punto número 1 es que está suspendido indefinidamente el relleno sanitario.El punto número 2 es que esta empresa no tiene autorización para operar. El punto número 3 es que quien vuelva a generar, a depositar desechos en ese lugar sin autorización, va a ser sancionado. Administrativa y penal.Pues únicamente a reiterar lo que ya se estableció en el comunicado. Las ocasiones que ustedes han ido a la Secretaría se les atendió. No todos los que están aquí estuvieron presentes.Sin embargo, hay una gran medida que la bióloga inicialmente se les permitió la cesión del expediente. Sí. Que en aquella ocasión estuvo presente también la empresa.La empresa también estaba en mejor disposición de actuar. Y como ya lo comentó el secretario, vamos a llevar a cabo los procedimientos que sean necesarios. Gracias, secretaria. Pues, estos tres compromisos los dejamos por escrito. Ya son públicos. De acuerdo a recoger todo lo que ya está terminado.Iniciamos las prácticas con la empresa. Saneamientos. Iniciamos las prácticas con la empresa, señor.Puede conectar. Generamos estos cuatro datos que están aquí. En el comunicado se emitió en las semanas de hace un momento.O sea, no es... Es el único compromiso de la Secretaría de Saneamientos. Exactamente. No prometemos o no.Voy a solicitar que lo hagan a la autoridad de la empresa. Y junto con el municipio decirles también que en aquella ocasión fueron penalizadas la maquinaria de la empresa. Entonces, yo le voy a pedir que sea la verdad.No obstante, también tengamos claro que va a ingresar maquinaria para retirar lo que se haya necesitado. Para que seamos también respetuosos en ese sentido. Que sea una situación diferente a la que se vivió.Y que entendamos claramente que es un saneamiento. ¿Ok? Sí, yo eso sí les pediría. ¿Podríamos fijar fechas de compromiso de estos puntos que acaban de mencionar? Bueno, los tres primeros ya están... ¿En qué fecha? Inactivos.Desde hoy. O sea, desde ya. Es más, la autorización nunca se tuvo.O sea, déjenme nada más... La autorización nunca se tuvo para operar esa maquinaria. Entonces, tenga un compromiso... O más bien un punto que ni siquiera se había actualizado. O sea, no tenía nombre.</t>
  </si>
  <si>
    <t>Despacho</t>
  </si>
  <si>
    <t>Relleno Sanitario</t>
  </si>
  <si>
    <t>En más información le comento que la Secretaría de Medio Ambiente de Hidalgo mantiene suspendida por tiempo indefinido la construcción del relleno sanitario Siete Mezquites en los límites de Tula y Tezontepec de Aldama. La dependencia aclaró que el proyecto propiedad de un particular no puede continuar con los trabajos ni recibir residuos urbanos. Cualquier depósito de basura va a ser sancionado. La dependencia precisó que la evaluación ambiental de cualquier proyecto de inversión, ya sea público o privado, constituye un proceso estricto que considera diversos parámetros técnicos y legales antes de determinar su viabilidad. La medida se tomó tras denuncias ciudadanas por el ingreso irregular de camiones recolectores. Ante la preocupación por una posible contaminación de los mantos acuíferos, la SEMARNATH aseguró que mantendrá vigilancia permanente y que cualquier decisión se tomará con apego a la legislación ambiental.</t>
  </si>
  <si>
    <t>Semarnath</t>
  </si>
  <si>
    <t>Tras los hechos, el secretario de gobierno de Hidalgo, Guillermo Olivares Reyna calificó la retención como un acto reprochable y confirmó que el gobierno estatal intervino para entablar un diálogo con los manifestantes y buscar la liberación de las autoridades retenidas.Hasta este día no se ha reportado por la vía oficial la liberación del alcalde.</t>
  </si>
  <si>
    <t>Retención alcalde</t>
  </si>
  <si>
    <t>Radioescucha comenta: "¿Cuándo van a poner los semáforos por prepara 3, que habían tirado?".</t>
  </si>
  <si>
    <t>Semaforización</t>
  </si>
  <si>
    <t>Al respecto, el gobernador Julio Menchaca confirmó que en la próxima feria si habrá corridas de toros, sin embargo señaló que su promoción será prudente debido a que próximamente se llevará a cabo una consulta popular en la que la ciudadanía decidirá si este tipo de actividades deben continuar o no en Hidalgo. La información que tengo es que sí va a haber eventos de feria que van a ser prudentes en la promoción y que van a esperar a la decisión que se tome en la consulta para el futuro.Desde luego que sea cual sea la decisión de la ciudadanía lo que pretendemos en esta administración es ocupar los espacios todos los espacios públicos de una mejor manera.</t>
  </si>
  <si>
    <t>Tauromaquia</t>
  </si>
  <si>
    <t>Las organizaciones Anima Naturalis y Biofutura llevaron su queja ante el Poder Judicial luego de que se rechazaran los amparos que interpusieron contra la consulta popular sobre corridas de toros en Hidalgo. En tanto se resuelve el recurso, activistas de la entidad rechazaron la realización de eventos taurinos dentro de la Feria de San Francisco Pachuca 2026 por lo que alistan una manifestación pacífica para la primera corrida del 26 de septiembre.Para los animales víctimas de maltrato o violencia en esta ley, si no tienes un lugar a donde llevarlos los puedes matar. El dictamen también abre la puerta a violadas y matanzas masivas Lo que hemos luchado por años, organizaciones como la Jauría de Balú, la PAC y otras organizaciones en el estado, por el tema de animales comunitarios que también vienen fuera de la ley general. Ya no se contempla la figura de animales comunitarios abriendo la puerta a estas matanzas. De hecho en la ley se habla 17 veces de la palabra matar 17 veces mencionan la palabra matanza y mencionan solo cuatro la palabra derechos no de los animales sino de los dueños porque sigue considerándose como cosas sujetas de atropellación.</t>
  </si>
  <si>
    <t>Radioescucha reporta bache por la lateral del puente de Tellez</t>
  </si>
  <si>
    <t>Radioescucha reporta muchos baches por la escuela Americana en Valle de San Javier, por las noches o cada que llueve ya ni se ven y pueden causar un accidente</t>
  </si>
  <si>
    <t>En más información les platico que las personas lesionadas por accidentes vehiculares han aumentado en Hidalgo durante el último año de acuerdo con datos del Sistema de Vigilancia Epidemiológica Hasta la semana epidemiológica 30 fueron atendidos 4.639 pacientes mientras que en el mismo periodo de 2025 se contabilizaron 4.207 lo que representa un incremento del 10.3% La mayoría de las atenciones correspondió a mujeres Los accidentes vehiculares se registran prácticamente todos los días y con ellos también las personas lesionadas</t>
  </si>
  <si>
    <t>Vigilancia Epidemiológica</t>
  </si>
  <si>
    <t>Radioescucha Sr. Fidel reporta que personal de Caasim, vaya a recoger el escombro que dejó en Ampliación Santa Julia debido a sus reparaciones.</t>
  </si>
  <si>
    <t>Quiero hacer reporte sobre la escuela Aquiles Serdán, ya se está dando la información sobre cuándo van a ser las inscripciones y ahí se está solicitando el baucher de pago, cuando todavía no se nos dan la información sobre a dónde nos van a reubicar o cómo van a ser las clases; solicito como padre de familia se nos den la información antes de hacer cualquier pago. La SEPH debe poner atención a esta situación. Locutor Jesús Riveros responde que con gusto también canaliza su reporte y pues deben estar ustedes informados bien informados sobre cómo se va cómo se va a llevar a cabo esta reconstrucción</t>
  </si>
  <si>
    <t>Queja padres de familia</t>
  </si>
  <si>
    <t>Así que bueno esto que se da ayer y pues uno se pregunta qué pasó, no había elementos de Seguridad Pública, pero también de alguna forma pues la gente la gente cansada precisamente de que no se atienden sus demandas y sus compromisos que suelen hacer algunos alcaldes durante campaña y que no cumplen pues bueno de ahí a de ahí radica el argumento también de la molestia de la gente, en este caso, los pobladores de La Flor.</t>
  </si>
  <si>
    <t>Muy negativo</t>
  </si>
  <si>
    <t>La Secretaría de Seguridad Pública del Estado de Hidalgo informa que, tras la privación ilegal de la libertad del presidente municipal de San Salvador y de 14 personas más, se implementó durante la madrugada de este día un operativo en la localidad de La Flor, municipio de San Salvador, logrando su liberación.</t>
  </si>
  <si>
    <t>Hoy en la mañanera de la presidenta Claudia Sheinbaum, el gobernador anunció que se va a reactivar la cementera Cruz Azul de Cruz Azul, Ahí, en Tula de Allende con una inversión de seis mil millones de pesos; además, de otras inversiones en Zapotlán como polo de desarrollo, con una inversión por parte de una empresa que se llama DEWA con una inversión de más de 10 mil 106 millones de pesos.</t>
  </si>
  <si>
    <t>Mañanera del pueblo</t>
  </si>
  <si>
    <t>Entrevista en cabina Cmte. Jesús García Ávila, director de Bomberos y Protección Civil de Tulancingo - Habló sobre el simulacro de evacuación por posible inundación en la colonia Estrella en Tulancingo, con el propósito de poner a prueba los protocolos de respuesta y rescate de la población.</t>
  </si>
  <si>
    <t>Simulacro Sismo</t>
  </si>
  <si>
    <t>Cabe señalar que la secretaria de Turismo, Elizabeth Quintanar invitó, no solamente a los propios prestadores de servicios turísticos a que postulen sus proyectos de acuerdo a la experiencia, al trabajo desarrollado en sus proyectos, sino que las personas que disfrutan como turistas de alguno de estos proyectos que nos parezcan innovador de alguna de estas experiencias, también podemos hacer la propuesta para que obtengan este “Galardón a la Innovación Turística”. Informó locutor Juan Carlos Santamaría.</t>
  </si>
  <si>
    <t>Innovación Turística</t>
  </si>
  <si>
    <t>Hidalgo reconoce la innovación y creatividad del sector turístico con Galardones a la Innovación 2026</t>
  </si>
  <si>
    <t>Se presentó, ya le comentábamos en su momento, acerca de la convocatoria para acudir a la presentación oficial de los galardones a la innovación turística. Esta presentación ya ocurrió, por parte de la secretaría de Turismo del Estado, que destaca esta entrega o estos galardones a la innovación turística como una estrategia que busca reconocer e impulsar la creatividad, desarrollo experiencias innovadoras y excelencia de quienes contribuyen al fortalecimiento de la actividad turística en la entidad. Al inicio de la semana, en el marco de la conferencia matutina semanal del Gobierno del Estado, le compartíamos el dato que dio a conocer la secretaria del ramo Elzabeth Quintanar sobre el crecimiento del 20.9 por ciento en sericcios turísticos en el Estado, lo que posiciona a Hidalgo como punta de lanza, superando a varias entidades en este crecimiento y por supuesto, pomderando lo que implica en esfuerzo por parte de las personas prestadoras de servicios turísticos para capacitarse, para estar al día y para seguir creciendo.</t>
  </si>
  <si>
    <t>Abre gobierno de Hidalgo segunda convocatoria de Embajadores Juventud 2026</t>
  </si>
  <si>
    <t>En cumplimiento a los mandatos de la Suprema Corte de Justicia de la Nación (SCJN), el Congreso del Estado de Hidalgo avanza en la ruta técnica y logística para llevar a cabo la reposición de la Consulta Indígena, proceso que tendrá un alcance global al cubrir los 84 municipios de la entidad. Este martes 18 de agosto, el Comité Institucional para la Implementación de la Consulta presentó ante la Junta de Gobierno del Poder Legislativo el informe consolidado de los trabajos preparatorios iniciados desde el pasado mes de mayo. El presidente de la Junta de Gobierno, el diputado Andrés Velázquez Vázquez, puntualizó que las acciones responden a las resoluciones judiciales que exigen la reposición de consultas previas. Los temas pendientes por desahogar están enfocados en adecuar marcos normativos del Código Electoral del Estado de Hidalgo y de la Ley de Derechos y Cultura Indígena para la entidad.</t>
  </si>
  <si>
    <t>Julio Menchaca convoca a los tres Poderes a trabajar por la entidad</t>
  </si>
  <si>
    <t>El gobernador Julio Menchaca participó el día de hoy, en la conferencia mañanera de la presidenta Claudia Sheinbaum, donde se anunciaron importantes proyectos económicos para la entidad, destacando: Una inversión superior a 10 mil 100 millones de pesos destinada a una empresa que impulsará el desarrollo del polo de bienestar en Zapotlán (referido como DEWA); Una inversión de 6 mil 500 millones de pesos por parte de la cooperativa Cruz Azul para reactivar su planta, con presencia en Tula de Allende y Zapotlán; Proyectos Estratégicos Federales: El gobernador agradeció el respaldo de la administración federal por proyectos clave para el estado como el Tren México-Pachuca, el Plan Hídrico del Valle del Mezquital y los polos del bienestar. (AUDIO JMS).</t>
  </si>
  <si>
    <t>Durante su participación matutina, David Cárdenas informó sobre la conferencia mañanera federal, donde, el gobernador de Hidalgo, Julio Menchaca Salazar, anunció nuevas inversiones industriales para la entidad que superan los 16 mil 600 millones de pesos. La empresa DEWA Capital desarrollará un polo en un polígono de 910 hectáreas en Zapotlán de Juárez, con una primera fase de urbanización y construcción que arrancará a mediados y finales de septiembre, generando miles de empleos directos e indirectos. La Cooperativa Cruz Azul invertirá en la renovación y modernización de su planta y hospital en el municipio de Tula, impulsando la infraestructura productiva y la creación de empleos en la región. Estas acciones forman parte de la estrategia estatal para fortalecer la economía, atraer capitales y evitar la migración laboral, contando además con proyectos federales prioritarios como el Tren México-Pachuca y el Plan Hídrico del Valle del Mezquital. (AUDIO JMS).</t>
  </si>
  <si>
    <t>La presencia del gobernador hoy, allá en Palacio Nacional, tiene que ver con este reconocimiento que hace la presidenta de la República a nuestro estado para el tema del crecimiento económico.</t>
  </si>
  <si>
    <t>En temas de la conferencia que continuamos con el gobernador Julio Menchca y la presidenta, buenas noticias, acaba de postear la presidenta Claudia Sheinbaum: Avanzamos las inversiones y los polos de desarrollo económico para el Bienestar. Presentamos el caso de Hidalgo. Honestidad y resultados.</t>
  </si>
  <si>
    <t>Aldo Falcón</t>
  </si>
  <si>
    <t>Bueno, déjenme contarles que 28 familias que habitaban en la parte que conoce como el derecho debía, es decir, a un costado, en as laterales de lo que era el tren México- Pachuca, hoy el derecho de vía del Tren AIFA-Pachuca, fueron reubicadas en el complejo habitacional de Ciudad Natura. Esto en Tizayuca mediante las acciones que coordinaron la Sedatu, la Secretaría de Comunicaciones y Transportes, La secretaria de Defensa Nacional y la Conavi. Las familias ya recibieron las llaves en sus viviendas y las escrituras aún están pendientes. La Sedatu señaló que el traslado se realizó mediante el diálogo y al acompañamiento para reducir riesgos asociados con vivir cerca del as vías.</t>
  </si>
  <si>
    <t>Tren AIFA</t>
  </si>
  <si>
    <t>Gobierno estatal apoya a hidalguenses para cursar estancias cortas de maestría y doctorado</t>
  </si>
  <si>
    <t>El Comité Institucional para la Implementación de la Consulta Indígena presentó este martes ante la Junta de Gobierno del Congreso del Estado de Hidalgo los avances de los trabajos técnicos, operativos y de coordinación realizados desde mayo, así como la ruta para continuar con la preparación del proceso de consulta con alcance en los 84 municipios de la entidad. El diputado Andrés Velázquez Vázquez, presidente de la Junta de Gobierno, recordó que el proceso comenzó formalmente el 25 de mayo, cuando, por instrucción de este órgano colegiado, se instaló el Comité Institucional encargado de coordinar, a través de las distintas áreas del Poder Legislativo, las acciones necesarias para dar cumplimiento a las determinaciones de la Suprema Corte de Justicia de la Nación (SCJN) relacionadas con la reposición de la consulta a pueblos y comunidades indígenas. A partir de su instalación se desarrollaron reuniones de trabajo con la Comisión Estatal para el Desarrollo Sostenible de los Pueblos Indígenas (CEDSPI) y la Unidad Técnica de Derechos Político-Electorales para Pueblos y Comunidades Indígenas del Instituto Estatal Electoral de Hidalgo (IEEH).</t>
  </si>
  <si>
    <t>En unos momentos más el gobernador julio Menchaca va a estar en la conferencia mañanera con la presidencia Claudia Sheinbaum, allá en Palacio Nacional. Entre los asuntos que van a tratar, pues va a ser un reconocimiento al Estado de Hidalgo por ser el estado como mayor crecimiento económico, La tasa de crecimiento de la actividad económica estatal en promedio anual en los últimos tres año, hidalgo se ubicó somo el primer lugar a nivel nacional con 3.56 por ciento y bueno, es una variación superior a lo que se ve reportado en los últimos tres años Y bueno, pues ahorita según el Inegi, son datos del Inegi, son datos de alguna empresa encuestadora o alguna instancia pública al Inegi. Bueno, porque recuerda estos datos, Hidalgo es el estado con mayor crecimiento, con mayor actividad económica en el país, de acuerdo a este estudio y bueno en unos momentos más la presidenta Claudia Sheinbaum y el gobernador julio Menchaca van a hablar al respeto.</t>
  </si>
  <si>
    <t>SEPH y Conafor impulsan educación ambiental</t>
  </si>
  <si>
    <t>Andrés Torres critica que en San Antonio el Desmonte, el ayuntamiento pavimento con concreto hidráulico, lo que quedó muy bonito, pero a la semana tuvieron que romper para meter drenaje y días después volvieron a abrir para meter el drenaje.</t>
  </si>
  <si>
    <t>Obras mal ejecutadas</t>
  </si>
  <si>
    <t>Radioescucha, Fernando Mendoza: quiero felicitar al secretario Napolón González por su cumpleaños el día de ayer. Andrés Torres: fue cumpleaños de Don Napoleón Ayer, muy festejado. Andaba en el gimnasio en la mañana, luego llegó a su oficina y ahí lo sus compañeros de trabajo, sus subordinados lo esperaban y le hicieron un pastel. Le mandamos un abrazo a Don Napoleón. Así es, muchas felicidades a Don Napoleón por su cumpleaños.</t>
  </si>
  <si>
    <t>Felicitaciones</t>
  </si>
  <si>
    <t>Radioescucha, Miguel Santos: muy buenos días, pero el Secretario del Gobierno, Olivares quien es el encargado de la política interna del estado debería estar atento y detectar y evitar focos rojos. Está ocupado en hacer persecuciones políticas y en sus giras que no aporta nada, designando a los directores generales de Radio y Televisión en Hidalgo que le hacen el trabajo sucio. Lamenta que la gente tenga que hacer justicia por su propia mano, el pueblo sabio se revela.</t>
  </si>
  <si>
    <t>fue localizado el cuerpo de una persona sin vida en un camino de terracería ubicado en el fraccionamiento Fuentes de Tizayuca II, en Tizayuca, Hidalgo. De acuerdo con el reporte de la Secretaría de Seguridad Pública, mediante una llamada se dio aviso de dicho hallazgo. al arribar los oficiales, localizaron bajo neumáticos el cuerpo de esta persona.</t>
  </si>
  <si>
    <t>También allá en Alfajayucan, hay un operativo ayer de la policía estatal y detienen a varias personas, hacen un cateo y encuentran más de 4.200 litros de combustible robado en una comunidad. Ahí, en el cruce de la carretera que va hacia Huichapa entre Tasquillo, Ixmiquilpan y la comunidad limítrofe de Portezuelos, qué está Tasquillo. Ahí encuentran una casa donde tenían más de 4 mil litros de combustible robado.</t>
  </si>
  <si>
    <t>También ahí en Ixmiquilpan y esto lo dijo en conferencia de prensa el alcalde, Emanuel Hernánde y esto es un asunto también delicado, es un tema de salud. Se confirma él primer contagio en humanos de gusano barrenador, que es una plaga que afecta principalmente al Ganado, pero si es admisible el ser humano. En Ixmiquilpan en la zona del Valle del Mezquital se había reportado casos de gusano barrenador en el Ganado, pero ninguno. El asunto sigue creciendo. La recomendación que hace la Secretaría de Agricultura y la Secretaría de Salud es estar muy atentos a las condiciones que presentes su Ganado. Si usted tiene vacas o tiene chivos. En donde sea que nos estés escuchando hay que estar muy atentos a las condiciones qué se encuentran sus animales, para evitar que se contagien de gusano barrenador. El gusano barrenador es una larva, como usted lo sabe, que prolifera en las zonas acuosas de la piel de los animales o en algunas heridas. Entonces hay que estar muy atento si usted detecta que alguno de sus animales esté enfermo no lo toque, hay que avisar a la delegación de la Sagarpa o sea de Agricultura y hay que avisar en la presidencia municipal y los van a poyar las autoridades correspondientes y los especialistas en el manejo de estos tipos de enfermedades.</t>
  </si>
  <si>
    <t>En el Valle del Mezquital, los habitantes de San Salvador están en una situación difícil. Vecinos de la comunidad de Xuchitlán se molestaron con el alcalde Norberto Martínez por el incumplimiento de obras y fueron a la presidencia municipal a exigir respuestas. Durante la protesta, las cosas se salieron de control y retuvieron al alcalde, llevándolo a Xuchitlán. Aunque las autoridades de Xuchitlán dijeron que no están involucrados, el alcalde y su gabinete siguen retenidos. Los manifestantes ingresaron violentamente al ayuntamiento y utilizaron patrullas para trasladarlos. Actualmente, las negociaciones para liberar al alcalde continúan.</t>
  </si>
  <si>
    <t>Ahí en el boulevard Las Torres continúan las obras de rehabilitación. Ya cerraron varios carriles porque muchas personas ante el cierre de los retornos, pues se estaban metiendo en sentido contrario, ahí en el Boulevard Las Torres ya hay patrullas que cerraron el paso y entonces todas las personas que van hacia Ciudad Sahagún en dirección hacia la carretera Pachuca-Ciudad Sahagún y que se daban en la vuelta en "U" para regresar a la carretera México- Pachuca, ya los están llevando hasta el semáforo donde está el cruce del bulevar Las Torres y esto está generando un tráfico de proporciones bíblicas, así bíblicas. Yo les recomiendo, si usted tiene que regresar en "U" sobre el bulevar o la carretera México- Pachuca después del bulevar Las Torres, bueno pues ya mejor váyase hasta Téllez y dé la vuelta nueva ahí es la posibilidad. Tanto con semáforo como con el retorno, ustedes podrán regresar, sí es un poquito más lejos, pero se va a evitar ponerse en riesgo ante la posibilidad de hacer una maniobra temeraria con su vehículo yo les recomiendo no se arriesgue. Un poco más lejitos pero bueno, con la seguridad que podrá usted dar la vuelta sobre la carretera en México- Pachuca sin mayores apuros. Donde no le recomiendo es que se vaya hacia la vuelta en Acayuca, ahí si es el retorno de la muerte, por favor tengan mucho cuidado, porque ya los vehículos ahí van a altas velocidades y la gente que baja de Acayuca y el municipio de Zapotlán y se cruza la carretera México- Pachuca pues hagan de cuenta que esto es una acción así temeraria ¿no? Se avientan a lo que el creador decida ¿no? A la buena de Dios, cuídense mucho por favor.</t>
  </si>
  <si>
    <t>Rehabilitación carretera</t>
  </si>
  <si>
    <t>Para este 19 de agosto se pronostican lluvias puntuales fuertes de 25 a 50 mm en las regiones centro y sur de Hidalgo, temperaturas máximas de 35 a 40 °C en el norte y rachas de viento de hasta 50 km/h.</t>
  </si>
  <si>
    <t>Se ve afectada seriamente la carretera México-Pachuca en el kilómetro 30, donde de acuerdo con la Guardia Nacional un vehículo, un autobús de la línea ODT volcó. Se reportan varias personas lesionadas y ya a los cuerpos de emergencia se dirigen al lugar, eso sobre La Careta México Pachuca en su tramo correspondiente al Estado de México.</t>
  </si>
  <si>
    <t>Vamos a iniciar, porque en un ratito más en la conferencia del pueblo que llamamos La Conferencia Mañana de la presidenta Claudia a Sheinbaum allá en Palacio Nacional en la Ciudad de México. Bueno pues tendrá participación el gobernador de nuestro estado, Julio Menchaca Salazar, va a estar hoy como uno de los invitados a esta conferencia mañanera. Dice El Gobernador Julio Menchaca, quien ya subió hasta videos en sus redes sociales y ahora desde la mañanera ya tiene posteado ahí un video rumbo a Palacio Nacional y ya uno confirmando que está allá en Palacio Nacional. Bueno, pues dice: "Estaremos en la conferencia de la presidenta Claudia, para compartir los resultados, que hoy hacen que hidalgo sea una potencia en marcha. Nos vemos la Conferencia del Pueblo con nuestra presidenta Claudia Sheinbaum". Va a haber la transmisión en vivo de Facebook como siempre y bueno pues vamos ahí a estar muy pendientes de esta transmisión, Aldo Falcón. Aldo Falcón: Así es, también que argumenta el gobernador Julio Menchaca: Hidalgo se consolida como un punto estratégico para el desarrollo del país.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</si>
</sst>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19" formatCode="dd/mm/yyyy"/>
    </dxf>
    <dxf>
      <numFmt numFmtId="164" formatCode="d/m/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84" tableType="queryTable" totalsRowShown="0">
  <autoFilter ref="A1:M184" xr:uid="{717AF3FA-E95C-4D17-A1C9-B8D7CBE34EF0}"/>
  <tableColumns count="13">
    <tableColumn id="1" xr3:uid="{EB19E952-2F9B-4E64-9A19-C7B52F571890}" uniqueName="1" name="Fecha" queryTableFieldId="1" dataDxfId="1"/>
    <tableColumn id="11" xr3:uid="{A48192A8-75D4-491A-AE26-6A961BCFF6FF}" uniqueName="11" name="Día" queryTableFieldId="11" dataDxfId="0">
      <calculatedColumnFormula>IF(Información1[[#This Row],[Fecha]]='Ajuste de fechas'!$A$2,"Día actual","Día anterior")</calculatedColumnFormula>
    </tableColumn>
    <tableColumn id="12" xr3:uid="{4F30991B-1882-48AE-BBBC-64FCA8279BA1}" uniqueName="12" name="Radiodifusora" queryTableFieldId="12" dataDxfId="10"/>
    <tableColumn id="13" xr3:uid="{517B0A2C-DF6B-4794-9C97-29B5F886839A}" uniqueName="13" name="Programa" queryTableFieldId="13"/>
    <tableColumn id="3" xr3:uid="{3DD51BE0-FD5E-43FC-B095-76D2D204B603}" uniqueName="3" name="Titular" queryTableFieldId="3" dataDxfId="9"/>
    <tableColumn id="6" xr3:uid="{26FEF469-35CF-4C60-A1AE-6CF1039F413A}" uniqueName="6" name="Dependencia" queryTableFieldId="6" dataDxfId="8"/>
    <tableColumn id="9" xr3:uid="{A1DC7DCD-8016-4C54-B5CE-B9D28C1CC171}" uniqueName="9" name="Tema" queryTableFieldId="9" dataDxfId="7"/>
    <tableColumn id="8" xr3:uid="{B82BEC87-3598-42A1-B8B9-34F0762C5BB2}" uniqueName="8" name="Canal" queryTableFieldId="8" dataDxfId="6"/>
    <tableColumn id="10" xr3:uid="{692FF757-1020-40D1-A4F6-D548E7C4E980}" uniqueName="10" name="Estatus" queryTableFieldId="10" dataDxfId="5"/>
    <tableColumn id="14" xr3:uid="{C39741D3-700F-486E-B020-D2528DDA6016}" uniqueName="14" name="Clasificación" queryTableFieldId="14" dataDxfId="4"/>
    <tableColumn id="15" xr3:uid="{33A7D71D-EB15-4FD0-8031-4FF610A857BA}" uniqueName="15" name="Autor" queryTableFieldId="15" dataDxfId="3"/>
    <tableColumn id="16" xr3:uid="{B0698B4E-43A3-42F4-8099-288A9107B833}" uniqueName="16" name="Género" queryTableFieldId="16" dataDxfId="2"/>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84"/>
  <sheetViews>
    <sheetView tabSelected="1" workbookViewId="0"/>
  </sheetViews>
  <sheetFormatPr baseColWidth="10" defaultRowHeight="15" x14ac:dyDescent="0.25"/>
  <cols>
    <col min="1" max="1" width="8.5703125" bestFit="1" customWidth="1"/>
    <col min="2" max="2" width="11.42578125" bestFit="1" customWidth="1"/>
    <col min="3" max="3" width="26" bestFit="1" customWidth="1"/>
    <col min="4" max="4" width="30.7109375" bestFit="1" customWidth="1"/>
    <col min="5" max="5" width="81.140625" bestFit="1" customWidth="1"/>
    <col min="6" max="6" width="15.28515625" bestFit="1" customWidth="1"/>
    <col min="7" max="7" width="33.5703125" bestFit="1" customWidth="1"/>
    <col min="8" max="8" width="11" bestFit="1" customWidth="1"/>
    <col min="9" max="9" width="12.42578125" bestFit="1" customWidth="1"/>
    <col min="10" max="10" width="25.7109375" bestFit="1" customWidth="1"/>
    <col min="11" max="11" width="22.28515625" bestFit="1" customWidth="1"/>
    <col min="12" max="12" width="10"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33</v>
      </c>
      <c r="C1" t="s">
        <v>34</v>
      </c>
      <c r="D1" t="s">
        <v>35</v>
      </c>
      <c r="E1" t="s">
        <v>1</v>
      </c>
      <c r="F1" t="s">
        <v>2</v>
      </c>
      <c r="G1" t="s">
        <v>4</v>
      </c>
      <c r="H1" t="s">
        <v>3</v>
      </c>
      <c r="I1" t="s">
        <v>5</v>
      </c>
      <c r="J1" t="s">
        <v>36</v>
      </c>
      <c r="K1" t="s">
        <v>37</v>
      </c>
      <c r="L1" t="s">
        <v>38</v>
      </c>
      <c r="M1" t="s">
        <v>45</v>
      </c>
    </row>
    <row r="2" spans="1:13" x14ac:dyDescent="0.25">
      <c r="A2" s="2">
        <v>46252</v>
      </c>
      <c r="B2" s="1" t="str">
        <f ca="1">IF(Información1[[#This Row],[Fecha]]='Ajuste de fechas'!$A$2,"Día actual","Día anterior")</f>
        <v>Día anterior</v>
      </c>
      <c r="C2" t="s">
        <v>57</v>
      </c>
      <c r="D2" t="s">
        <v>58</v>
      </c>
      <c r="E2" t="s">
        <v>119</v>
      </c>
      <c r="F2" t="s">
        <v>17</v>
      </c>
      <c r="G2" t="s">
        <v>120</v>
      </c>
      <c r="H2" t="s">
        <v>11</v>
      </c>
      <c r="I2" t="s">
        <v>7</v>
      </c>
      <c r="J2" t="s">
        <v>39</v>
      </c>
      <c r="K2" t="s">
        <v>59</v>
      </c>
      <c r="L2" t="s">
        <v>40</v>
      </c>
      <c r="M2">
        <v>1</v>
      </c>
    </row>
    <row r="3" spans="1:13" x14ac:dyDescent="0.25">
      <c r="A3" s="2">
        <v>46252</v>
      </c>
      <c r="B3" s="1" t="str">
        <f ca="1">IF(Información1[[#This Row],[Fecha]]='Ajuste de fechas'!$A$2,"Día actual","Día anterior")</f>
        <v>Día anterior</v>
      </c>
      <c r="C3" t="s">
        <v>57</v>
      </c>
      <c r="D3" t="s">
        <v>58</v>
      </c>
      <c r="E3" t="s">
        <v>113</v>
      </c>
      <c r="F3" t="s">
        <v>21</v>
      </c>
      <c r="G3" t="s">
        <v>114</v>
      </c>
      <c r="H3" t="s">
        <v>11</v>
      </c>
      <c r="I3" t="s">
        <v>7</v>
      </c>
      <c r="J3" t="s">
        <v>39</v>
      </c>
      <c r="K3" t="s">
        <v>59</v>
      </c>
      <c r="L3" t="s">
        <v>42</v>
      </c>
      <c r="M3">
        <v>1</v>
      </c>
    </row>
    <row r="4" spans="1:13" x14ac:dyDescent="0.25">
      <c r="A4" s="2">
        <v>46252</v>
      </c>
      <c r="B4" s="1" t="str">
        <f ca="1">IF(Información1[[#This Row],[Fecha]]='Ajuste de fechas'!$A$2,"Día actual","Día anterior")</f>
        <v>Día anterior</v>
      </c>
      <c r="C4" t="s">
        <v>57</v>
      </c>
      <c r="D4" t="s">
        <v>58</v>
      </c>
      <c r="E4" t="s">
        <v>121</v>
      </c>
      <c r="F4" t="s">
        <v>82</v>
      </c>
      <c r="G4" t="s">
        <v>100</v>
      </c>
      <c r="H4" t="s">
        <v>11</v>
      </c>
      <c r="I4" t="s">
        <v>7</v>
      </c>
      <c r="J4" t="s">
        <v>39</v>
      </c>
      <c r="K4" t="s">
        <v>59</v>
      </c>
      <c r="L4" t="s">
        <v>42</v>
      </c>
      <c r="M4">
        <v>1</v>
      </c>
    </row>
    <row r="5" spans="1:13" x14ac:dyDescent="0.25">
      <c r="A5" s="2">
        <v>46252</v>
      </c>
      <c r="B5" s="1" t="str">
        <f ca="1">IF(Información1[[#This Row],[Fecha]]='Ajuste de fechas'!$A$2,"Día actual","Día anterior")</f>
        <v>Día anterior</v>
      </c>
      <c r="C5" t="s">
        <v>57</v>
      </c>
      <c r="D5" t="s">
        <v>58</v>
      </c>
      <c r="E5" t="s">
        <v>122</v>
      </c>
      <c r="F5" t="s">
        <v>77</v>
      </c>
      <c r="G5" t="s">
        <v>90</v>
      </c>
      <c r="H5" t="s">
        <v>11</v>
      </c>
      <c r="I5" t="s">
        <v>7</v>
      </c>
      <c r="J5" t="s">
        <v>39</v>
      </c>
      <c r="K5" t="s">
        <v>59</v>
      </c>
      <c r="L5" t="s">
        <v>40</v>
      </c>
      <c r="M5">
        <v>1</v>
      </c>
    </row>
    <row r="6" spans="1:13" x14ac:dyDescent="0.25">
      <c r="A6" s="2">
        <v>46252</v>
      </c>
      <c r="B6" s="1" t="str">
        <f ca="1">IF(Información1[[#This Row],[Fecha]]='Ajuste de fechas'!$A$2,"Día actual","Día anterior")</f>
        <v>Día anterior</v>
      </c>
      <c r="C6" t="s">
        <v>57</v>
      </c>
      <c r="D6" t="s">
        <v>58</v>
      </c>
      <c r="E6" t="s">
        <v>116</v>
      </c>
      <c r="F6" t="s">
        <v>23</v>
      </c>
      <c r="G6" t="s">
        <v>103</v>
      </c>
      <c r="H6" t="s">
        <v>11</v>
      </c>
      <c r="I6" t="s">
        <v>7</v>
      </c>
      <c r="J6" t="s">
        <v>39</v>
      </c>
      <c r="K6" t="s">
        <v>59</v>
      </c>
      <c r="L6" t="s">
        <v>42</v>
      </c>
      <c r="M6">
        <v>1</v>
      </c>
    </row>
    <row r="7" spans="1:13" x14ac:dyDescent="0.25">
      <c r="A7" s="2">
        <v>46252</v>
      </c>
      <c r="B7" s="1" t="str">
        <f ca="1">IF(Información1[[#This Row],[Fecha]]='Ajuste de fechas'!$A$2,"Día actual","Día anterior")</f>
        <v>Día anterior</v>
      </c>
      <c r="C7" t="s">
        <v>57</v>
      </c>
      <c r="D7" t="s">
        <v>58</v>
      </c>
      <c r="E7" t="s">
        <v>123</v>
      </c>
      <c r="F7" t="s">
        <v>19</v>
      </c>
      <c r="G7" t="s">
        <v>124</v>
      </c>
      <c r="H7" t="s">
        <v>11</v>
      </c>
      <c r="I7" t="s">
        <v>7</v>
      </c>
      <c r="J7" t="s">
        <v>43</v>
      </c>
      <c r="K7" t="s">
        <v>59</v>
      </c>
      <c r="L7" t="s">
        <v>40</v>
      </c>
      <c r="M7">
        <v>1</v>
      </c>
    </row>
    <row r="8" spans="1:13" x14ac:dyDescent="0.25">
      <c r="A8" s="2">
        <v>46252</v>
      </c>
      <c r="B8" s="1" t="str">
        <f ca="1">IF(Información1[[#This Row],[Fecha]]='Ajuste de fechas'!$A$2,"Día actual","Día anterior")</f>
        <v>Día anterior</v>
      </c>
      <c r="C8" t="s">
        <v>57</v>
      </c>
      <c r="D8" t="s">
        <v>58</v>
      </c>
      <c r="E8" t="s">
        <v>125</v>
      </c>
      <c r="F8" t="s">
        <v>31</v>
      </c>
      <c r="G8" t="s">
        <v>99</v>
      </c>
      <c r="H8" t="s">
        <v>11</v>
      </c>
      <c r="I8" t="s">
        <v>7</v>
      </c>
      <c r="J8" t="s">
        <v>39</v>
      </c>
      <c r="K8" t="s">
        <v>59</v>
      </c>
      <c r="L8" t="s">
        <v>69</v>
      </c>
      <c r="M8">
        <v>1</v>
      </c>
    </row>
    <row r="9" spans="1:13" x14ac:dyDescent="0.25">
      <c r="A9" s="2">
        <v>46252</v>
      </c>
      <c r="B9" s="1" t="str">
        <f ca="1">IF(Información1[[#This Row],[Fecha]]='Ajuste de fechas'!$A$2,"Día actual","Día anterior")</f>
        <v>Día anterior</v>
      </c>
      <c r="C9" t="s">
        <v>57</v>
      </c>
      <c r="D9" t="s">
        <v>58</v>
      </c>
      <c r="E9" t="s">
        <v>126</v>
      </c>
      <c r="F9" t="s">
        <v>19</v>
      </c>
      <c r="G9" t="s">
        <v>70</v>
      </c>
      <c r="H9" t="s">
        <v>11</v>
      </c>
      <c r="I9" t="s">
        <v>25</v>
      </c>
      <c r="J9" t="s">
        <v>43</v>
      </c>
      <c r="K9" t="s">
        <v>9</v>
      </c>
      <c r="L9" t="s">
        <v>41</v>
      </c>
      <c r="M9">
        <v>1</v>
      </c>
    </row>
    <row r="10" spans="1:13" x14ac:dyDescent="0.25">
      <c r="A10" s="2">
        <v>46252</v>
      </c>
      <c r="B10" s="1" t="str">
        <f ca="1">IF(Información1[[#This Row],[Fecha]]='Ajuste de fechas'!$A$2,"Día actual","Día anterior")</f>
        <v>Día anterior</v>
      </c>
      <c r="C10" t="s">
        <v>57</v>
      </c>
      <c r="D10" t="s">
        <v>58</v>
      </c>
      <c r="E10" t="s">
        <v>127</v>
      </c>
      <c r="F10" t="s">
        <v>31</v>
      </c>
      <c r="G10" t="s">
        <v>93</v>
      </c>
      <c r="H10" t="s">
        <v>11</v>
      </c>
      <c r="I10" t="s">
        <v>7</v>
      </c>
      <c r="J10" t="s">
        <v>39</v>
      </c>
      <c r="K10" t="s">
        <v>59</v>
      </c>
      <c r="L10" t="s">
        <v>42</v>
      </c>
      <c r="M10">
        <v>1</v>
      </c>
    </row>
    <row r="11" spans="1:13" x14ac:dyDescent="0.25">
      <c r="A11" s="2">
        <v>46252</v>
      </c>
      <c r="B11" s="1" t="str">
        <f ca="1">IF(Información1[[#This Row],[Fecha]]='Ajuste de fechas'!$A$2,"Día actual","Día anterior")</f>
        <v>Día anterior</v>
      </c>
      <c r="C11" t="s">
        <v>57</v>
      </c>
      <c r="D11" t="s">
        <v>58</v>
      </c>
      <c r="E11" t="s">
        <v>110</v>
      </c>
      <c r="F11" t="s">
        <v>19</v>
      </c>
      <c r="G11" t="s">
        <v>128</v>
      </c>
      <c r="H11" t="s">
        <v>11</v>
      </c>
      <c r="I11" t="s">
        <v>7</v>
      </c>
      <c r="J11" t="s">
        <v>43</v>
      </c>
      <c r="K11" t="s">
        <v>59</v>
      </c>
      <c r="L11" t="s">
        <v>40</v>
      </c>
      <c r="M11">
        <v>1</v>
      </c>
    </row>
    <row r="12" spans="1:13" x14ac:dyDescent="0.25">
      <c r="A12" s="2">
        <v>46252</v>
      </c>
      <c r="B12" s="1" t="str">
        <f ca="1">IF(Información1[[#This Row],[Fecha]]='Ajuste de fechas'!$A$2,"Día actual","Día anterior")</f>
        <v>Día anterior</v>
      </c>
      <c r="C12" t="s">
        <v>57</v>
      </c>
      <c r="D12" t="s">
        <v>58</v>
      </c>
      <c r="E12" t="s">
        <v>129</v>
      </c>
      <c r="F12" t="s">
        <v>19</v>
      </c>
      <c r="H12" t="s">
        <v>11</v>
      </c>
      <c r="I12" t="s">
        <v>7</v>
      </c>
      <c r="J12" t="s">
        <v>43</v>
      </c>
      <c r="K12" t="s">
        <v>59</v>
      </c>
      <c r="L12" t="s">
        <v>40</v>
      </c>
      <c r="M12">
        <v>1</v>
      </c>
    </row>
    <row r="13" spans="1:13" x14ac:dyDescent="0.25">
      <c r="A13" s="2">
        <v>46252</v>
      </c>
      <c r="B13" s="1" t="str">
        <f ca="1">IF(Información1[[#This Row],[Fecha]]='Ajuste de fechas'!$A$2,"Día actual","Día anterior")</f>
        <v>Día anterior</v>
      </c>
      <c r="C13" t="s">
        <v>57</v>
      </c>
      <c r="D13" t="s">
        <v>58</v>
      </c>
      <c r="E13" t="s">
        <v>60</v>
      </c>
      <c r="F13" t="s">
        <v>19</v>
      </c>
      <c r="G13" t="s">
        <v>55</v>
      </c>
      <c r="H13" t="s">
        <v>11</v>
      </c>
      <c r="I13" t="s">
        <v>7</v>
      </c>
      <c r="J13" t="s">
        <v>43</v>
      </c>
      <c r="K13" t="s">
        <v>92</v>
      </c>
      <c r="L13" t="s">
        <v>40</v>
      </c>
      <c r="M13">
        <v>1</v>
      </c>
    </row>
    <row r="14" spans="1:13" x14ac:dyDescent="0.25">
      <c r="A14" s="2">
        <v>46252</v>
      </c>
      <c r="B14" s="1" t="str">
        <f ca="1">IF(Información1[[#This Row],[Fecha]]='Ajuste de fechas'!$A$2,"Día actual","Día anterior")</f>
        <v>Día anterior</v>
      </c>
      <c r="C14" t="s">
        <v>57</v>
      </c>
      <c r="D14" t="s">
        <v>58</v>
      </c>
      <c r="E14" t="s">
        <v>130</v>
      </c>
      <c r="F14" t="s">
        <v>19</v>
      </c>
      <c r="G14" t="s">
        <v>131</v>
      </c>
      <c r="H14" t="s">
        <v>11</v>
      </c>
      <c r="I14" t="s">
        <v>7</v>
      </c>
      <c r="J14" t="s">
        <v>43</v>
      </c>
      <c r="K14" t="s">
        <v>59</v>
      </c>
      <c r="L14" t="s">
        <v>40</v>
      </c>
      <c r="M14">
        <v>1</v>
      </c>
    </row>
    <row r="15" spans="1:13" x14ac:dyDescent="0.25">
      <c r="A15" s="2">
        <v>46252</v>
      </c>
      <c r="B15" s="1" t="str">
        <f ca="1">IF(Información1[[#This Row],[Fecha]]='Ajuste de fechas'!$A$2,"Día actual","Día anterior")</f>
        <v>Día anterior</v>
      </c>
      <c r="C15" t="s">
        <v>57</v>
      </c>
      <c r="D15" t="s">
        <v>58</v>
      </c>
      <c r="E15" t="s">
        <v>132</v>
      </c>
      <c r="F15" t="s">
        <v>19</v>
      </c>
      <c r="G15" t="s">
        <v>133</v>
      </c>
      <c r="H15" t="s">
        <v>11</v>
      </c>
      <c r="I15" t="s">
        <v>7</v>
      </c>
      <c r="J15" t="s">
        <v>43</v>
      </c>
      <c r="K15" t="s">
        <v>59</v>
      </c>
      <c r="L15" t="s">
        <v>40</v>
      </c>
      <c r="M15">
        <v>1</v>
      </c>
    </row>
    <row r="16" spans="1:13" x14ac:dyDescent="0.25">
      <c r="A16" s="2">
        <v>46252</v>
      </c>
      <c r="B16" s="1" t="str">
        <f ca="1">IF(Información1[[#This Row],[Fecha]]='Ajuste de fechas'!$A$2,"Día actual","Día anterior")</f>
        <v>Día anterior</v>
      </c>
      <c r="C16" t="s">
        <v>57</v>
      </c>
      <c r="D16" t="s">
        <v>58</v>
      </c>
      <c r="E16" t="s">
        <v>134</v>
      </c>
      <c r="F16" t="s">
        <v>135</v>
      </c>
      <c r="G16" t="s">
        <v>136</v>
      </c>
      <c r="H16" t="s">
        <v>11</v>
      </c>
      <c r="I16" t="s">
        <v>7</v>
      </c>
      <c r="J16" t="s">
        <v>24</v>
      </c>
      <c r="K16" t="s">
        <v>59</v>
      </c>
      <c r="L16" t="s">
        <v>40</v>
      </c>
      <c r="M16">
        <v>1</v>
      </c>
    </row>
    <row r="17" spans="1:13" x14ac:dyDescent="0.25">
      <c r="A17" s="2">
        <v>46252</v>
      </c>
      <c r="B17" s="1" t="str">
        <f ca="1">IF(Información1[[#This Row],[Fecha]]='Ajuste de fechas'!$A$2,"Día actual","Día anterior")</f>
        <v>Día anterior</v>
      </c>
      <c r="C17" t="s">
        <v>29</v>
      </c>
      <c r="D17" t="s">
        <v>30</v>
      </c>
      <c r="E17" t="s">
        <v>137</v>
      </c>
      <c r="F17" t="s">
        <v>53</v>
      </c>
      <c r="G17" t="s">
        <v>138</v>
      </c>
      <c r="H17" t="s">
        <v>56</v>
      </c>
      <c r="I17" t="s">
        <v>7</v>
      </c>
      <c r="J17" t="s">
        <v>24</v>
      </c>
      <c r="K17" t="s">
        <v>27</v>
      </c>
      <c r="L17" t="s">
        <v>40</v>
      </c>
      <c r="M17">
        <v>1</v>
      </c>
    </row>
    <row r="18" spans="1:13" x14ac:dyDescent="0.25">
      <c r="A18" s="2">
        <v>46252</v>
      </c>
      <c r="B18" s="1" t="str">
        <f ca="1">IF(Información1[[#This Row],[Fecha]]='Ajuste de fechas'!$A$2,"Día actual","Día anterior")</f>
        <v>Día anterior</v>
      </c>
      <c r="C18" t="s">
        <v>29</v>
      </c>
      <c r="D18" t="s">
        <v>30</v>
      </c>
      <c r="E18" t="s">
        <v>139</v>
      </c>
      <c r="F18" t="s">
        <v>24</v>
      </c>
      <c r="G18" t="s">
        <v>98</v>
      </c>
      <c r="H18" t="s">
        <v>56</v>
      </c>
      <c r="I18" t="s">
        <v>7</v>
      </c>
      <c r="J18" t="s">
        <v>24</v>
      </c>
      <c r="K18" t="s">
        <v>27</v>
      </c>
      <c r="L18" t="s">
        <v>40</v>
      </c>
      <c r="M18">
        <v>1</v>
      </c>
    </row>
    <row r="19" spans="1:13" x14ac:dyDescent="0.25">
      <c r="A19" s="2">
        <v>46252</v>
      </c>
      <c r="B19" s="1" t="str">
        <f ca="1">IF(Información1[[#This Row],[Fecha]]='Ajuste de fechas'!$A$2,"Día actual","Día anterior")</f>
        <v>Día anterior</v>
      </c>
      <c r="C19" t="s">
        <v>29</v>
      </c>
      <c r="D19" t="s">
        <v>30</v>
      </c>
      <c r="E19" t="s">
        <v>140</v>
      </c>
      <c r="F19" t="s">
        <v>6</v>
      </c>
      <c r="G19" t="s">
        <v>141</v>
      </c>
      <c r="H19" t="s">
        <v>56</v>
      </c>
      <c r="I19" t="s">
        <v>7</v>
      </c>
      <c r="J19" t="s">
        <v>39</v>
      </c>
      <c r="K19" t="s">
        <v>27</v>
      </c>
      <c r="L19" t="s">
        <v>42</v>
      </c>
      <c r="M19">
        <v>1</v>
      </c>
    </row>
    <row r="20" spans="1:13" x14ac:dyDescent="0.25">
      <c r="A20" s="2">
        <v>46252</v>
      </c>
      <c r="B20" s="1" t="str">
        <f ca="1">IF(Información1[[#This Row],[Fecha]]='Ajuste de fechas'!$A$2,"Día actual","Día anterior")</f>
        <v>Día anterior</v>
      </c>
      <c r="C20" t="s">
        <v>29</v>
      </c>
      <c r="D20" t="s">
        <v>30</v>
      </c>
      <c r="E20" t="s">
        <v>142</v>
      </c>
      <c r="F20" t="s">
        <v>19</v>
      </c>
      <c r="G20" t="s">
        <v>94</v>
      </c>
      <c r="H20" t="s">
        <v>56</v>
      </c>
      <c r="I20" t="s">
        <v>7</v>
      </c>
      <c r="J20" t="s">
        <v>43</v>
      </c>
      <c r="K20" t="s">
        <v>27</v>
      </c>
      <c r="L20" t="s">
        <v>40</v>
      </c>
      <c r="M20">
        <v>1</v>
      </c>
    </row>
    <row r="21" spans="1:13" x14ac:dyDescent="0.25">
      <c r="A21" s="2">
        <v>46252</v>
      </c>
      <c r="B21" s="1" t="str">
        <f ca="1">IF(Información1[[#This Row],[Fecha]]='Ajuste de fechas'!$A$2,"Día actual","Día anterior")</f>
        <v>Día anterior</v>
      </c>
      <c r="C21" t="s">
        <v>29</v>
      </c>
      <c r="D21" t="s">
        <v>30</v>
      </c>
      <c r="E21" t="s">
        <v>143</v>
      </c>
      <c r="F21" t="s">
        <v>21</v>
      </c>
      <c r="G21" t="s">
        <v>104</v>
      </c>
      <c r="H21" t="s">
        <v>56</v>
      </c>
      <c r="I21" t="s">
        <v>7</v>
      </c>
      <c r="J21" t="s">
        <v>39</v>
      </c>
      <c r="K21" t="s">
        <v>27</v>
      </c>
      <c r="L21" t="s">
        <v>42</v>
      </c>
      <c r="M21">
        <v>1</v>
      </c>
    </row>
    <row r="22" spans="1:13" x14ac:dyDescent="0.25">
      <c r="A22" s="2">
        <v>46252</v>
      </c>
      <c r="B22" s="1" t="str">
        <f ca="1">IF(Información1[[#This Row],[Fecha]]='Ajuste de fechas'!$A$2,"Día actual","Día anterior")</f>
        <v>Día anterior</v>
      </c>
      <c r="C22" t="s">
        <v>29</v>
      </c>
      <c r="D22" t="s">
        <v>30</v>
      </c>
      <c r="E22" t="s">
        <v>144</v>
      </c>
      <c r="F22" t="s">
        <v>21</v>
      </c>
      <c r="G22" t="s">
        <v>145</v>
      </c>
      <c r="H22" t="s">
        <v>56</v>
      </c>
      <c r="I22" t="s">
        <v>7</v>
      </c>
      <c r="J22" t="s">
        <v>39</v>
      </c>
      <c r="K22" t="s">
        <v>27</v>
      </c>
      <c r="L22" t="s">
        <v>42</v>
      </c>
      <c r="M22">
        <v>1</v>
      </c>
    </row>
    <row r="23" spans="1:13" x14ac:dyDescent="0.25">
      <c r="A23" s="2">
        <v>46252</v>
      </c>
      <c r="B23" s="1" t="str">
        <f ca="1">IF(Información1[[#This Row],[Fecha]]='Ajuste de fechas'!$A$2,"Día actual","Día anterior")</f>
        <v>Día anterior</v>
      </c>
      <c r="C23" t="s">
        <v>29</v>
      </c>
      <c r="D23" t="s">
        <v>30</v>
      </c>
      <c r="E23" t="s">
        <v>127</v>
      </c>
      <c r="F23" t="s">
        <v>31</v>
      </c>
      <c r="G23" t="s">
        <v>93</v>
      </c>
      <c r="H23" t="s">
        <v>56</v>
      </c>
      <c r="I23" t="s">
        <v>7</v>
      </c>
      <c r="J23" t="s">
        <v>39</v>
      </c>
      <c r="K23" t="s">
        <v>27</v>
      </c>
      <c r="L23" t="s">
        <v>42</v>
      </c>
      <c r="M23">
        <v>1</v>
      </c>
    </row>
    <row r="24" spans="1:13" x14ac:dyDescent="0.25">
      <c r="A24" s="2">
        <v>46252</v>
      </c>
      <c r="B24" s="1" t="str">
        <f ca="1">IF(Información1[[#This Row],[Fecha]]='Ajuste de fechas'!$A$2,"Día actual","Día anterior")</f>
        <v>Día anterior</v>
      </c>
      <c r="C24" t="s">
        <v>29</v>
      </c>
      <c r="D24" t="s">
        <v>30</v>
      </c>
      <c r="E24" t="s">
        <v>146</v>
      </c>
      <c r="F24" t="s">
        <v>26</v>
      </c>
      <c r="G24" t="s">
        <v>74</v>
      </c>
      <c r="H24" t="s">
        <v>56</v>
      </c>
      <c r="I24" t="s">
        <v>7</v>
      </c>
      <c r="J24" t="s">
        <v>39</v>
      </c>
      <c r="K24" t="s">
        <v>27</v>
      </c>
      <c r="L24" t="s">
        <v>42</v>
      </c>
      <c r="M24">
        <v>1</v>
      </c>
    </row>
    <row r="25" spans="1:13" x14ac:dyDescent="0.25">
      <c r="A25" s="2">
        <v>46252</v>
      </c>
      <c r="B25" s="1" t="str">
        <f ca="1">IF(Información1[[#This Row],[Fecha]]='Ajuste de fechas'!$A$2,"Día actual","Día anterior")</f>
        <v>Día anterior</v>
      </c>
      <c r="C25" t="s">
        <v>29</v>
      </c>
      <c r="D25" t="s">
        <v>30</v>
      </c>
      <c r="E25" t="s">
        <v>147</v>
      </c>
      <c r="F25" t="s">
        <v>26</v>
      </c>
      <c r="G25" t="s">
        <v>74</v>
      </c>
      <c r="H25" t="s">
        <v>56</v>
      </c>
      <c r="I25" t="s">
        <v>7</v>
      </c>
      <c r="J25" t="s">
        <v>39</v>
      </c>
      <c r="K25" t="s">
        <v>27</v>
      </c>
      <c r="L25" t="s">
        <v>42</v>
      </c>
      <c r="M25">
        <v>1</v>
      </c>
    </row>
    <row r="26" spans="1:13" x14ac:dyDescent="0.25">
      <c r="A26" s="2">
        <v>46252</v>
      </c>
      <c r="B26" s="1" t="str">
        <f ca="1">IF(Información1[[#This Row],[Fecha]]='Ajuste de fechas'!$A$2,"Día actual","Día anterior")</f>
        <v>Día anterior</v>
      </c>
      <c r="C26" t="s">
        <v>29</v>
      </c>
      <c r="D26" t="s">
        <v>30</v>
      </c>
      <c r="E26" t="s">
        <v>148</v>
      </c>
      <c r="F26" t="s">
        <v>26</v>
      </c>
      <c r="G26" t="s">
        <v>149</v>
      </c>
      <c r="H26" t="s">
        <v>56</v>
      </c>
      <c r="I26" t="s">
        <v>7</v>
      </c>
      <c r="J26" t="s">
        <v>39</v>
      </c>
      <c r="K26" t="s">
        <v>27</v>
      </c>
      <c r="L26" t="s">
        <v>42</v>
      </c>
      <c r="M26">
        <v>1</v>
      </c>
    </row>
    <row r="27" spans="1:13" x14ac:dyDescent="0.25">
      <c r="A27" s="2">
        <v>46252</v>
      </c>
      <c r="B27" s="1" t="str">
        <f ca="1">IF(Información1[[#This Row],[Fecha]]='Ajuste de fechas'!$A$2,"Día actual","Día anterior")</f>
        <v>Día anterior</v>
      </c>
      <c r="C27" t="s">
        <v>29</v>
      </c>
      <c r="D27" t="s">
        <v>30</v>
      </c>
      <c r="E27" t="s">
        <v>150</v>
      </c>
      <c r="F27" t="s">
        <v>151</v>
      </c>
      <c r="G27" t="s">
        <v>152</v>
      </c>
      <c r="H27" t="s">
        <v>56</v>
      </c>
      <c r="I27" t="s">
        <v>7</v>
      </c>
      <c r="J27" t="s">
        <v>39</v>
      </c>
      <c r="K27" t="s">
        <v>27</v>
      </c>
      <c r="L27" t="s">
        <v>40</v>
      </c>
      <c r="M27">
        <v>1</v>
      </c>
    </row>
    <row r="28" spans="1:13" x14ac:dyDescent="0.25">
      <c r="A28" s="2">
        <v>46252</v>
      </c>
      <c r="B28" s="1" t="str">
        <f ca="1">IF(Información1[[#This Row],[Fecha]]='Ajuste de fechas'!$A$2,"Día actual","Día anterior")</f>
        <v>Día anterior</v>
      </c>
      <c r="C28" t="s">
        <v>29</v>
      </c>
      <c r="D28" t="s">
        <v>30</v>
      </c>
      <c r="E28" t="s">
        <v>153</v>
      </c>
      <c r="F28" t="s">
        <v>151</v>
      </c>
      <c r="G28" t="s">
        <v>152</v>
      </c>
      <c r="H28" t="s">
        <v>56</v>
      </c>
      <c r="I28" t="s">
        <v>7</v>
      </c>
      <c r="J28" t="s">
        <v>39</v>
      </c>
      <c r="K28" t="s">
        <v>27</v>
      </c>
      <c r="L28" t="s">
        <v>40</v>
      </c>
      <c r="M28">
        <v>1</v>
      </c>
    </row>
    <row r="29" spans="1:13" x14ac:dyDescent="0.25">
      <c r="A29" s="2">
        <v>46252</v>
      </c>
      <c r="B29" s="1" t="str">
        <f ca="1">IF(Información1[[#This Row],[Fecha]]='Ajuste de fechas'!$A$2,"Día actual","Día anterior")</f>
        <v>Día anterior</v>
      </c>
      <c r="C29" t="s">
        <v>29</v>
      </c>
      <c r="D29" t="s">
        <v>30</v>
      </c>
      <c r="E29" t="s">
        <v>154</v>
      </c>
      <c r="F29" t="s">
        <v>15</v>
      </c>
      <c r="G29" t="s">
        <v>102</v>
      </c>
      <c r="H29" t="s">
        <v>56</v>
      </c>
      <c r="I29" t="s">
        <v>7</v>
      </c>
      <c r="J29" t="s">
        <v>39</v>
      </c>
      <c r="K29" t="s">
        <v>27</v>
      </c>
      <c r="L29" t="s">
        <v>40</v>
      </c>
      <c r="M29">
        <v>1</v>
      </c>
    </row>
    <row r="30" spans="1:13" x14ac:dyDescent="0.25">
      <c r="A30" s="2">
        <v>46252</v>
      </c>
      <c r="B30" s="1" t="str">
        <f ca="1">IF(Información1[[#This Row],[Fecha]]='Ajuste de fechas'!$A$2,"Día actual","Día anterior")</f>
        <v>Día anterior</v>
      </c>
      <c r="C30" t="s">
        <v>28</v>
      </c>
      <c r="D30" t="s">
        <v>64</v>
      </c>
      <c r="E30" t="s">
        <v>155</v>
      </c>
      <c r="F30" t="s">
        <v>24</v>
      </c>
      <c r="G30" t="s">
        <v>156</v>
      </c>
      <c r="H30" t="s">
        <v>11</v>
      </c>
      <c r="I30" t="s">
        <v>7</v>
      </c>
      <c r="J30" t="s">
        <v>24</v>
      </c>
      <c r="K30" t="s">
        <v>65</v>
      </c>
      <c r="L30" t="s">
        <v>40</v>
      </c>
      <c r="M30">
        <v>1</v>
      </c>
    </row>
    <row r="31" spans="1:13" x14ac:dyDescent="0.25">
      <c r="A31" s="2">
        <v>46252</v>
      </c>
      <c r="B31" s="1" t="str">
        <f ca="1">IF(Información1[[#This Row],[Fecha]]='Ajuste de fechas'!$A$2,"Día actual","Día anterior")</f>
        <v>Día anterior</v>
      </c>
      <c r="C31" t="s">
        <v>28</v>
      </c>
      <c r="D31" t="s">
        <v>64</v>
      </c>
      <c r="E31" t="s">
        <v>157</v>
      </c>
      <c r="F31" t="s">
        <v>19</v>
      </c>
      <c r="G31" t="s">
        <v>158</v>
      </c>
      <c r="H31" t="s">
        <v>11</v>
      </c>
      <c r="I31" t="s">
        <v>7</v>
      </c>
      <c r="J31" t="s">
        <v>43</v>
      </c>
      <c r="K31" t="s">
        <v>65</v>
      </c>
      <c r="L31" t="s">
        <v>40</v>
      </c>
      <c r="M31">
        <v>1</v>
      </c>
    </row>
    <row r="32" spans="1:13" x14ac:dyDescent="0.25">
      <c r="A32" s="2">
        <v>46252</v>
      </c>
      <c r="B32" s="1" t="str">
        <f ca="1">IF(Información1[[#This Row],[Fecha]]='Ajuste de fechas'!$A$2,"Día actual","Día anterior")</f>
        <v>Día anterior</v>
      </c>
      <c r="C32" t="s">
        <v>28</v>
      </c>
      <c r="D32" t="s">
        <v>64</v>
      </c>
      <c r="E32" t="s">
        <v>159</v>
      </c>
      <c r="F32" t="s">
        <v>19</v>
      </c>
      <c r="G32" t="s">
        <v>160</v>
      </c>
      <c r="H32" t="s">
        <v>11</v>
      </c>
      <c r="I32" t="s">
        <v>7</v>
      </c>
      <c r="J32" t="s">
        <v>43</v>
      </c>
      <c r="K32" t="s">
        <v>65</v>
      </c>
      <c r="L32" t="s">
        <v>40</v>
      </c>
      <c r="M32">
        <v>1</v>
      </c>
    </row>
    <row r="33" spans="1:13" x14ac:dyDescent="0.25">
      <c r="A33" s="2">
        <v>46252</v>
      </c>
      <c r="B33" s="1" t="str">
        <f ca="1">IF(Información1[[#This Row],[Fecha]]='Ajuste de fechas'!$A$2,"Día actual","Día anterior")</f>
        <v>Día anterior</v>
      </c>
      <c r="C33" t="s">
        <v>28</v>
      </c>
      <c r="D33" t="s">
        <v>64</v>
      </c>
      <c r="E33" t="s">
        <v>161</v>
      </c>
      <c r="F33" t="s">
        <v>19</v>
      </c>
      <c r="G33" t="s">
        <v>162</v>
      </c>
      <c r="H33" t="s">
        <v>11</v>
      </c>
      <c r="I33" t="s">
        <v>7</v>
      </c>
      <c r="J33" t="s">
        <v>43</v>
      </c>
      <c r="K33" t="s">
        <v>65</v>
      </c>
      <c r="L33" t="s">
        <v>40</v>
      </c>
      <c r="M33">
        <v>1</v>
      </c>
    </row>
    <row r="34" spans="1:13" x14ac:dyDescent="0.25">
      <c r="A34" s="2">
        <v>46252</v>
      </c>
      <c r="B34" s="1" t="str">
        <f ca="1">IF(Información1[[#This Row],[Fecha]]='Ajuste de fechas'!$A$2,"Día actual","Día anterior")</f>
        <v>Día anterior</v>
      </c>
      <c r="C34" t="s">
        <v>28</v>
      </c>
      <c r="D34" t="s">
        <v>64</v>
      </c>
      <c r="E34" t="s">
        <v>163</v>
      </c>
      <c r="F34" t="s">
        <v>24</v>
      </c>
      <c r="G34" t="s">
        <v>101</v>
      </c>
      <c r="H34" t="s">
        <v>11</v>
      </c>
      <c r="I34" t="s">
        <v>7</v>
      </c>
      <c r="J34" t="s">
        <v>24</v>
      </c>
      <c r="K34" t="s">
        <v>65</v>
      </c>
      <c r="L34" t="s">
        <v>40</v>
      </c>
      <c r="M34">
        <v>1</v>
      </c>
    </row>
    <row r="35" spans="1:13" x14ac:dyDescent="0.25">
      <c r="A35" s="2">
        <v>46252</v>
      </c>
      <c r="B35" s="1" t="str">
        <f ca="1">IF(Información1[[#This Row],[Fecha]]='Ajuste de fechas'!$A$2,"Día actual","Día anterior")</f>
        <v>Día anterior</v>
      </c>
      <c r="C35" t="s">
        <v>28</v>
      </c>
      <c r="D35" t="s">
        <v>64</v>
      </c>
      <c r="E35" t="s">
        <v>164</v>
      </c>
      <c r="F35" t="s">
        <v>22</v>
      </c>
      <c r="G35" t="s">
        <v>165</v>
      </c>
      <c r="H35" t="s">
        <v>11</v>
      </c>
      <c r="I35" t="s">
        <v>7</v>
      </c>
      <c r="J35" t="s">
        <v>44</v>
      </c>
      <c r="K35" t="s">
        <v>65</v>
      </c>
      <c r="L35" t="s">
        <v>40</v>
      </c>
      <c r="M35">
        <v>1</v>
      </c>
    </row>
    <row r="36" spans="1:13" x14ac:dyDescent="0.25">
      <c r="A36" s="2">
        <v>46252</v>
      </c>
      <c r="B36" s="1" t="str">
        <f ca="1">IF(Información1[[#This Row],[Fecha]]='Ajuste de fechas'!$A$2,"Día actual","Día anterior")</f>
        <v>Día anterior</v>
      </c>
      <c r="C36" t="s">
        <v>28</v>
      </c>
      <c r="D36" t="s">
        <v>64</v>
      </c>
      <c r="E36" t="s">
        <v>166</v>
      </c>
      <c r="F36" t="s">
        <v>53</v>
      </c>
      <c r="G36" t="s">
        <v>89</v>
      </c>
      <c r="H36" t="s">
        <v>11</v>
      </c>
      <c r="I36" t="s">
        <v>7</v>
      </c>
      <c r="J36" t="s">
        <v>24</v>
      </c>
      <c r="K36" t="s">
        <v>65</v>
      </c>
      <c r="L36" t="s">
        <v>40</v>
      </c>
      <c r="M36">
        <v>1</v>
      </c>
    </row>
    <row r="37" spans="1:13" x14ac:dyDescent="0.25">
      <c r="A37" s="2">
        <v>46252</v>
      </c>
      <c r="B37" s="1" t="str">
        <f ca="1">IF(Información1[[#This Row],[Fecha]]='Ajuste de fechas'!$A$2,"Día actual","Día anterior")</f>
        <v>Día anterior</v>
      </c>
      <c r="C37" t="s">
        <v>28</v>
      </c>
      <c r="D37" t="s">
        <v>64</v>
      </c>
      <c r="E37" t="s">
        <v>167</v>
      </c>
      <c r="F37" t="s">
        <v>19</v>
      </c>
      <c r="G37" t="s">
        <v>168</v>
      </c>
      <c r="H37" t="s">
        <v>11</v>
      </c>
      <c r="I37" t="s">
        <v>7</v>
      </c>
      <c r="J37" t="s">
        <v>43</v>
      </c>
      <c r="K37" t="s">
        <v>65</v>
      </c>
      <c r="L37" t="s">
        <v>40</v>
      </c>
      <c r="M37">
        <v>1</v>
      </c>
    </row>
    <row r="38" spans="1:13" x14ac:dyDescent="0.25">
      <c r="A38" s="2">
        <v>46252</v>
      </c>
      <c r="B38" s="1" t="str">
        <f ca="1">IF(Información1[[#This Row],[Fecha]]='Ajuste de fechas'!$A$2,"Día actual","Día anterior")</f>
        <v>Día anterior</v>
      </c>
      <c r="C38" t="s">
        <v>28</v>
      </c>
      <c r="D38" t="s">
        <v>64</v>
      </c>
      <c r="E38" t="s">
        <v>169</v>
      </c>
      <c r="F38" t="s">
        <v>26</v>
      </c>
      <c r="G38" t="s">
        <v>74</v>
      </c>
      <c r="H38" t="s">
        <v>11</v>
      </c>
      <c r="I38" t="s">
        <v>7</v>
      </c>
      <c r="J38" t="s">
        <v>39</v>
      </c>
      <c r="K38" t="s">
        <v>65</v>
      </c>
      <c r="L38" t="s">
        <v>42</v>
      </c>
      <c r="M38">
        <v>1</v>
      </c>
    </row>
    <row r="39" spans="1:13" x14ac:dyDescent="0.25">
      <c r="A39" s="2">
        <v>46252</v>
      </c>
      <c r="B39" s="1" t="str">
        <f ca="1">IF(Información1[[#This Row],[Fecha]]='Ajuste de fechas'!$A$2,"Día actual","Día anterior")</f>
        <v>Día anterior</v>
      </c>
      <c r="C39" t="s">
        <v>28</v>
      </c>
      <c r="D39" t="s">
        <v>64</v>
      </c>
      <c r="E39" t="s">
        <v>170</v>
      </c>
      <c r="F39" t="s">
        <v>115</v>
      </c>
      <c r="G39" t="s">
        <v>171</v>
      </c>
      <c r="H39" t="s">
        <v>11</v>
      </c>
      <c r="I39" t="s">
        <v>7</v>
      </c>
      <c r="J39" t="s">
        <v>39</v>
      </c>
      <c r="K39" t="s">
        <v>65</v>
      </c>
      <c r="L39" t="s">
        <v>42</v>
      </c>
      <c r="M39">
        <v>1</v>
      </c>
    </row>
    <row r="40" spans="1:13" x14ac:dyDescent="0.25">
      <c r="A40" s="2">
        <v>46252</v>
      </c>
      <c r="B40" s="1" t="str">
        <f ca="1">IF(Información1[[#This Row],[Fecha]]='Ajuste de fechas'!$A$2,"Día actual","Día anterior")</f>
        <v>Día anterior</v>
      </c>
      <c r="C40" t="s">
        <v>28</v>
      </c>
      <c r="D40" t="s">
        <v>64</v>
      </c>
      <c r="E40" t="s">
        <v>172</v>
      </c>
      <c r="F40" t="s">
        <v>26</v>
      </c>
      <c r="G40" t="s">
        <v>149</v>
      </c>
      <c r="H40" t="s">
        <v>11</v>
      </c>
      <c r="I40" t="s">
        <v>7</v>
      </c>
      <c r="J40" t="s">
        <v>39</v>
      </c>
      <c r="K40" t="s">
        <v>65</v>
      </c>
      <c r="L40" t="s">
        <v>42</v>
      </c>
      <c r="M40">
        <v>1</v>
      </c>
    </row>
    <row r="41" spans="1:13" x14ac:dyDescent="0.25">
      <c r="A41" s="2">
        <v>46252</v>
      </c>
      <c r="B41" s="1" t="str">
        <f ca="1">IF(Información1[[#This Row],[Fecha]]='Ajuste de fechas'!$A$2,"Día actual","Día anterior")</f>
        <v>Día anterior</v>
      </c>
      <c r="C41" t="s">
        <v>66</v>
      </c>
      <c r="D41" t="s">
        <v>67</v>
      </c>
      <c r="E41" t="s">
        <v>96</v>
      </c>
      <c r="F41" t="s">
        <v>75</v>
      </c>
      <c r="G41" t="s">
        <v>76</v>
      </c>
      <c r="H41" t="s">
        <v>11</v>
      </c>
      <c r="I41" t="s">
        <v>7</v>
      </c>
      <c r="J41" t="s">
        <v>39</v>
      </c>
      <c r="K41" t="s">
        <v>68</v>
      </c>
      <c r="L41" t="s">
        <v>42</v>
      </c>
      <c r="M41">
        <v>1</v>
      </c>
    </row>
    <row r="42" spans="1:13" x14ac:dyDescent="0.25">
      <c r="A42" s="2">
        <v>46252</v>
      </c>
      <c r="B42" s="1" t="str">
        <f ca="1">IF(Información1[[#This Row],[Fecha]]='Ajuste de fechas'!$A$2,"Día actual","Día anterior")</f>
        <v>Día anterior</v>
      </c>
      <c r="C42" t="s">
        <v>66</v>
      </c>
      <c r="D42" t="s">
        <v>67</v>
      </c>
      <c r="E42" t="s">
        <v>173</v>
      </c>
      <c r="F42" t="s">
        <v>75</v>
      </c>
      <c r="G42" t="s">
        <v>74</v>
      </c>
      <c r="H42" t="s">
        <v>11</v>
      </c>
      <c r="I42" t="s">
        <v>7</v>
      </c>
      <c r="J42" t="s">
        <v>39</v>
      </c>
      <c r="K42" t="s">
        <v>68</v>
      </c>
      <c r="L42" t="s">
        <v>42</v>
      </c>
      <c r="M42">
        <v>1</v>
      </c>
    </row>
    <row r="43" spans="1:13" x14ac:dyDescent="0.25">
      <c r="A43" s="2">
        <v>46252</v>
      </c>
      <c r="B43" s="1" t="str">
        <f ca="1">IF(Información1[[#This Row],[Fecha]]='Ajuste de fechas'!$A$2,"Día actual","Día anterior")</f>
        <v>Día anterior</v>
      </c>
      <c r="C43" t="s">
        <v>66</v>
      </c>
      <c r="D43" t="s">
        <v>67</v>
      </c>
      <c r="E43" t="s">
        <v>117</v>
      </c>
      <c r="F43" t="s">
        <v>75</v>
      </c>
      <c r="G43" t="s">
        <v>118</v>
      </c>
      <c r="H43" t="s">
        <v>11</v>
      </c>
      <c r="I43" t="s">
        <v>7</v>
      </c>
      <c r="J43" t="s">
        <v>39</v>
      </c>
      <c r="K43" t="s">
        <v>68</v>
      </c>
      <c r="L43" t="s">
        <v>42</v>
      </c>
      <c r="M43">
        <v>1</v>
      </c>
    </row>
    <row r="44" spans="1:13" x14ac:dyDescent="0.25">
      <c r="A44" s="2">
        <v>46252</v>
      </c>
      <c r="B44" s="1" t="str">
        <f ca="1">IF(Información1[[#This Row],[Fecha]]='Ajuste de fechas'!$A$2,"Día actual","Día anterior")</f>
        <v>Día anterior</v>
      </c>
      <c r="C44" t="s">
        <v>28</v>
      </c>
      <c r="D44" t="s">
        <v>71</v>
      </c>
      <c r="E44" t="s">
        <v>174</v>
      </c>
      <c r="F44" t="s">
        <v>24</v>
      </c>
      <c r="G44" t="s">
        <v>175</v>
      </c>
      <c r="H44" t="s">
        <v>11</v>
      </c>
      <c r="I44" t="s">
        <v>25</v>
      </c>
      <c r="J44" t="s">
        <v>24</v>
      </c>
      <c r="K44" t="s">
        <v>72</v>
      </c>
      <c r="L44" t="s">
        <v>40</v>
      </c>
      <c r="M44">
        <v>1</v>
      </c>
    </row>
    <row r="45" spans="1:13" x14ac:dyDescent="0.25">
      <c r="A45" s="2">
        <v>46252</v>
      </c>
      <c r="B45" s="1" t="str">
        <f ca="1">IF(Información1[[#This Row],[Fecha]]='Ajuste de fechas'!$A$2,"Día actual","Día anterior")</f>
        <v>Día anterior</v>
      </c>
      <c r="C45" t="s">
        <v>28</v>
      </c>
      <c r="D45" t="s">
        <v>71</v>
      </c>
      <c r="E45" t="s">
        <v>176</v>
      </c>
      <c r="F45" t="s">
        <v>151</v>
      </c>
      <c r="G45" t="s">
        <v>152</v>
      </c>
      <c r="H45" t="s">
        <v>11</v>
      </c>
      <c r="I45" t="s">
        <v>7</v>
      </c>
      <c r="J45" t="s">
        <v>39</v>
      </c>
      <c r="K45" t="s">
        <v>72</v>
      </c>
      <c r="L45" t="s">
        <v>40</v>
      </c>
      <c r="M45">
        <v>1</v>
      </c>
    </row>
    <row r="46" spans="1:13" x14ac:dyDescent="0.25">
      <c r="A46" s="2">
        <v>46252</v>
      </c>
      <c r="B46" s="1" t="str">
        <f ca="1">IF(Información1[[#This Row],[Fecha]]='Ajuste de fechas'!$A$2,"Día actual","Día anterior")</f>
        <v>Día anterior</v>
      </c>
      <c r="C46" t="s">
        <v>28</v>
      </c>
      <c r="D46" t="s">
        <v>71</v>
      </c>
      <c r="E46" t="s">
        <v>177</v>
      </c>
      <c r="F46" t="s">
        <v>19</v>
      </c>
      <c r="G46" t="s">
        <v>152</v>
      </c>
      <c r="H46" t="s">
        <v>11</v>
      </c>
      <c r="I46" t="s">
        <v>7</v>
      </c>
      <c r="J46" t="s">
        <v>43</v>
      </c>
      <c r="K46" t="s">
        <v>72</v>
      </c>
      <c r="L46" t="s">
        <v>40</v>
      </c>
      <c r="M46">
        <v>1</v>
      </c>
    </row>
    <row r="47" spans="1:13" x14ac:dyDescent="0.25">
      <c r="A47" s="2">
        <v>46252</v>
      </c>
      <c r="B47" s="1" t="str">
        <f ca="1">IF(Información1[[#This Row],[Fecha]]='Ajuste de fechas'!$A$2,"Día actual","Día anterior")</f>
        <v>Día anterior</v>
      </c>
      <c r="C47" t="s">
        <v>28</v>
      </c>
      <c r="D47" t="s">
        <v>71</v>
      </c>
      <c r="E47" t="s">
        <v>178</v>
      </c>
      <c r="F47" t="s">
        <v>15</v>
      </c>
      <c r="G47" t="s">
        <v>102</v>
      </c>
      <c r="H47" t="s">
        <v>11</v>
      </c>
      <c r="I47" t="s">
        <v>7</v>
      </c>
      <c r="J47" t="s">
        <v>39</v>
      </c>
      <c r="K47" t="s">
        <v>72</v>
      </c>
      <c r="L47" t="s">
        <v>40</v>
      </c>
      <c r="M47">
        <v>1</v>
      </c>
    </row>
    <row r="48" spans="1:13" x14ac:dyDescent="0.25">
      <c r="A48" s="2">
        <v>46252</v>
      </c>
      <c r="B48" s="1" t="str">
        <f ca="1">IF(Información1[[#This Row],[Fecha]]='Ajuste de fechas'!$A$2,"Día actual","Día anterior")</f>
        <v>Día anterior</v>
      </c>
      <c r="C48" t="s">
        <v>28</v>
      </c>
      <c r="D48" t="s">
        <v>71</v>
      </c>
      <c r="E48" t="s">
        <v>179</v>
      </c>
      <c r="F48" t="s">
        <v>31</v>
      </c>
      <c r="G48" t="s">
        <v>180</v>
      </c>
      <c r="H48" t="s">
        <v>11</v>
      </c>
      <c r="I48" t="s">
        <v>7</v>
      </c>
      <c r="J48" t="s">
        <v>39</v>
      </c>
      <c r="K48" t="s">
        <v>72</v>
      </c>
      <c r="L48" t="s">
        <v>40</v>
      </c>
      <c r="M48">
        <v>1</v>
      </c>
    </row>
    <row r="49" spans="1:13" x14ac:dyDescent="0.25">
      <c r="A49" s="2">
        <v>46252</v>
      </c>
      <c r="B49" s="1" t="str">
        <f ca="1">IF(Información1[[#This Row],[Fecha]]='Ajuste de fechas'!$A$2,"Día actual","Día anterior")</f>
        <v>Día anterior</v>
      </c>
      <c r="C49" t="s">
        <v>28</v>
      </c>
      <c r="D49" t="s">
        <v>71</v>
      </c>
      <c r="E49" t="s">
        <v>181</v>
      </c>
      <c r="F49" t="s">
        <v>82</v>
      </c>
      <c r="G49" t="s">
        <v>100</v>
      </c>
      <c r="H49" t="s">
        <v>11</v>
      </c>
      <c r="I49" t="s">
        <v>7</v>
      </c>
      <c r="J49" t="s">
        <v>39</v>
      </c>
      <c r="K49" t="s">
        <v>72</v>
      </c>
      <c r="L49" t="s">
        <v>40</v>
      </c>
      <c r="M49">
        <v>1</v>
      </c>
    </row>
    <row r="50" spans="1:13" x14ac:dyDescent="0.25">
      <c r="A50" s="2">
        <v>46252</v>
      </c>
      <c r="B50" s="1" t="str">
        <f ca="1">IF(Información1[[#This Row],[Fecha]]='Ajuste de fechas'!$A$2,"Día actual","Día anterior")</f>
        <v>Día anterior</v>
      </c>
      <c r="C50" t="s">
        <v>28</v>
      </c>
      <c r="D50" t="s">
        <v>71</v>
      </c>
      <c r="E50" t="s">
        <v>182</v>
      </c>
      <c r="F50" t="s">
        <v>80</v>
      </c>
      <c r="G50" t="s">
        <v>76</v>
      </c>
      <c r="H50" t="s">
        <v>11</v>
      </c>
      <c r="I50" t="s">
        <v>7</v>
      </c>
      <c r="J50" t="s">
        <v>39</v>
      </c>
      <c r="K50" t="s">
        <v>72</v>
      </c>
      <c r="L50" t="s">
        <v>40</v>
      </c>
      <c r="M50">
        <v>1</v>
      </c>
    </row>
    <row r="51" spans="1:13" x14ac:dyDescent="0.25">
      <c r="A51" s="2">
        <v>46252</v>
      </c>
      <c r="B51" s="1" t="str">
        <f ca="1">IF(Información1[[#This Row],[Fecha]]='Ajuste de fechas'!$A$2,"Día actual","Día anterior")</f>
        <v>Día anterior</v>
      </c>
      <c r="C51" t="s">
        <v>28</v>
      </c>
      <c r="D51" t="s">
        <v>71</v>
      </c>
      <c r="E51" t="s">
        <v>183</v>
      </c>
      <c r="F51" t="s">
        <v>31</v>
      </c>
      <c r="G51" t="s">
        <v>93</v>
      </c>
      <c r="H51" t="s">
        <v>11</v>
      </c>
      <c r="I51" t="s">
        <v>7</v>
      </c>
      <c r="J51" t="s">
        <v>39</v>
      </c>
      <c r="K51" t="s">
        <v>72</v>
      </c>
      <c r="L51" t="s">
        <v>40</v>
      </c>
      <c r="M51">
        <v>1</v>
      </c>
    </row>
    <row r="52" spans="1:13" x14ac:dyDescent="0.25">
      <c r="A52" s="2">
        <v>46252</v>
      </c>
      <c r="B52" s="1" t="str">
        <f ca="1">IF(Información1[[#This Row],[Fecha]]='Ajuste de fechas'!$A$2,"Día actual","Día anterior")</f>
        <v>Día anterior</v>
      </c>
      <c r="C52" t="s">
        <v>28</v>
      </c>
      <c r="D52" t="s">
        <v>71</v>
      </c>
      <c r="E52" t="s">
        <v>184</v>
      </c>
      <c r="F52" t="s">
        <v>21</v>
      </c>
      <c r="G52" t="s">
        <v>145</v>
      </c>
      <c r="H52" t="s">
        <v>11</v>
      </c>
      <c r="I52" t="s">
        <v>7</v>
      </c>
      <c r="J52" t="s">
        <v>39</v>
      </c>
      <c r="K52" t="s">
        <v>72</v>
      </c>
      <c r="L52" t="s">
        <v>40</v>
      </c>
      <c r="M52">
        <v>1</v>
      </c>
    </row>
    <row r="53" spans="1:13" x14ac:dyDescent="0.25">
      <c r="A53" s="2">
        <v>46252</v>
      </c>
      <c r="B53" s="1" t="str">
        <f ca="1">IF(Información1[[#This Row],[Fecha]]='Ajuste de fechas'!$A$2,"Día actual","Día anterior")</f>
        <v>Día anterior</v>
      </c>
      <c r="C53" t="s">
        <v>28</v>
      </c>
      <c r="D53" t="s">
        <v>71</v>
      </c>
      <c r="E53" t="s">
        <v>185</v>
      </c>
      <c r="F53" t="s">
        <v>151</v>
      </c>
      <c r="G53" t="s">
        <v>91</v>
      </c>
      <c r="H53" t="s">
        <v>11</v>
      </c>
      <c r="I53" t="s">
        <v>7</v>
      </c>
      <c r="J53" t="s">
        <v>39</v>
      </c>
      <c r="K53" t="s">
        <v>72</v>
      </c>
      <c r="L53" t="s">
        <v>40</v>
      </c>
      <c r="M53">
        <v>1</v>
      </c>
    </row>
    <row r="54" spans="1:13" x14ac:dyDescent="0.25">
      <c r="A54" s="2">
        <v>46252</v>
      </c>
      <c r="B54" s="1" t="str">
        <f ca="1">IF(Información1[[#This Row],[Fecha]]='Ajuste de fechas'!$A$2,"Día actual","Día anterior")</f>
        <v>Día anterior</v>
      </c>
      <c r="C54" t="s">
        <v>28</v>
      </c>
      <c r="D54" t="s">
        <v>71</v>
      </c>
      <c r="E54" t="s">
        <v>186</v>
      </c>
      <c r="F54" t="s">
        <v>17</v>
      </c>
      <c r="G54" t="s">
        <v>120</v>
      </c>
      <c r="H54" t="s">
        <v>11</v>
      </c>
      <c r="I54" t="s">
        <v>7</v>
      </c>
      <c r="J54" t="s">
        <v>39</v>
      </c>
      <c r="K54" t="s">
        <v>72</v>
      </c>
      <c r="L54" t="s">
        <v>40</v>
      </c>
      <c r="M54">
        <v>1</v>
      </c>
    </row>
    <row r="55" spans="1:13" x14ac:dyDescent="0.25">
      <c r="A55" s="2">
        <v>46252</v>
      </c>
      <c r="B55" s="1" t="str">
        <f ca="1">IF(Información1[[#This Row],[Fecha]]='Ajuste de fechas'!$A$2,"Día actual","Día anterior")</f>
        <v>Día anterior</v>
      </c>
      <c r="C55" t="s">
        <v>28</v>
      </c>
      <c r="D55" t="s">
        <v>71</v>
      </c>
      <c r="E55" t="s">
        <v>187</v>
      </c>
      <c r="F55" t="s">
        <v>23</v>
      </c>
      <c r="G55" t="s">
        <v>95</v>
      </c>
      <c r="H55" t="s">
        <v>11</v>
      </c>
      <c r="I55" t="s">
        <v>7</v>
      </c>
      <c r="J55" t="s">
        <v>39</v>
      </c>
      <c r="K55" t="s">
        <v>72</v>
      </c>
      <c r="L55" t="s">
        <v>40</v>
      </c>
      <c r="M55">
        <v>1</v>
      </c>
    </row>
    <row r="56" spans="1:13" x14ac:dyDescent="0.25">
      <c r="A56" s="2">
        <v>46252</v>
      </c>
      <c r="B56" s="1" t="str">
        <f ca="1">IF(Información1[[#This Row],[Fecha]]='Ajuste de fechas'!$A$2,"Día actual","Día anterior")</f>
        <v>Día anterior</v>
      </c>
      <c r="C56" t="s">
        <v>28</v>
      </c>
      <c r="D56" t="s">
        <v>71</v>
      </c>
      <c r="E56" t="s">
        <v>188</v>
      </c>
      <c r="F56" t="s">
        <v>15</v>
      </c>
      <c r="G56" t="s">
        <v>189</v>
      </c>
      <c r="H56" t="s">
        <v>11</v>
      </c>
      <c r="I56" t="s">
        <v>7</v>
      </c>
      <c r="J56" t="s">
        <v>39</v>
      </c>
      <c r="K56" t="s">
        <v>72</v>
      </c>
      <c r="L56" t="s">
        <v>40</v>
      </c>
      <c r="M56">
        <v>1</v>
      </c>
    </row>
    <row r="57" spans="1:13" x14ac:dyDescent="0.25">
      <c r="A57" s="2">
        <v>46252</v>
      </c>
      <c r="B57" s="1" t="str">
        <f ca="1">IF(Información1[[#This Row],[Fecha]]='Ajuste de fechas'!$A$2,"Día actual","Día anterior")</f>
        <v>Día anterior</v>
      </c>
      <c r="C57" t="s">
        <v>28</v>
      </c>
      <c r="D57" t="s">
        <v>71</v>
      </c>
      <c r="E57" t="s">
        <v>190</v>
      </c>
      <c r="F57" t="s">
        <v>19</v>
      </c>
      <c r="G57" t="s">
        <v>191</v>
      </c>
      <c r="H57" t="s">
        <v>11</v>
      </c>
      <c r="I57" t="s">
        <v>7</v>
      </c>
      <c r="J57" t="s">
        <v>43</v>
      </c>
      <c r="K57" t="s">
        <v>72</v>
      </c>
      <c r="L57" t="s">
        <v>40</v>
      </c>
      <c r="M57">
        <v>1</v>
      </c>
    </row>
    <row r="58" spans="1:13" x14ac:dyDescent="0.25">
      <c r="A58" s="2">
        <v>46252</v>
      </c>
      <c r="B58" s="1" t="str">
        <f ca="1">IF(Información1[[#This Row],[Fecha]]='Ajuste de fechas'!$A$2,"Día actual","Día anterior")</f>
        <v>Día anterior</v>
      </c>
      <c r="C58" t="s">
        <v>28</v>
      </c>
      <c r="D58" t="s">
        <v>71</v>
      </c>
      <c r="E58" t="s">
        <v>192</v>
      </c>
      <c r="F58" t="s">
        <v>17</v>
      </c>
      <c r="G58" t="s">
        <v>86</v>
      </c>
      <c r="H58" t="s">
        <v>11</v>
      </c>
      <c r="I58" t="s">
        <v>7</v>
      </c>
      <c r="J58" t="s">
        <v>39</v>
      </c>
      <c r="K58" t="s">
        <v>72</v>
      </c>
      <c r="L58" t="s">
        <v>40</v>
      </c>
      <c r="M58">
        <v>1</v>
      </c>
    </row>
    <row r="59" spans="1:13" x14ac:dyDescent="0.25">
      <c r="A59" s="2">
        <v>46252</v>
      </c>
      <c r="B59" s="1" t="str">
        <f ca="1">IF(Información1[[#This Row],[Fecha]]='Ajuste de fechas'!$A$2,"Día actual","Día anterior")</f>
        <v>Día anterior</v>
      </c>
      <c r="C59" t="s">
        <v>8</v>
      </c>
      <c r="D59" t="s">
        <v>10</v>
      </c>
      <c r="E59" t="s">
        <v>193</v>
      </c>
      <c r="F59" t="s">
        <v>22</v>
      </c>
      <c r="G59" t="s">
        <v>194</v>
      </c>
      <c r="H59" t="s">
        <v>11</v>
      </c>
      <c r="I59" t="s">
        <v>7</v>
      </c>
      <c r="J59" t="s">
        <v>44</v>
      </c>
      <c r="K59" t="s">
        <v>14</v>
      </c>
      <c r="L59" t="s">
        <v>41</v>
      </c>
      <c r="M59">
        <v>1</v>
      </c>
    </row>
    <row r="60" spans="1:13" x14ac:dyDescent="0.25">
      <c r="A60" s="2">
        <v>46252</v>
      </c>
      <c r="B60" s="1" t="str">
        <f ca="1">IF(Información1[[#This Row],[Fecha]]='Ajuste de fechas'!$A$2,"Día actual","Día anterior")</f>
        <v>Día anterior</v>
      </c>
      <c r="C60" t="s">
        <v>28</v>
      </c>
      <c r="D60" t="s">
        <v>71</v>
      </c>
      <c r="E60" t="s">
        <v>195</v>
      </c>
      <c r="F60" t="s">
        <v>22</v>
      </c>
      <c r="G60" t="s">
        <v>194</v>
      </c>
      <c r="H60" t="s">
        <v>11</v>
      </c>
      <c r="I60" t="s">
        <v>7</v>
      </c>
      <c r="J60" t="s">
        <v>44</v>
      </c>
      <c r="K60" t="s">
        <v>72</v>
      </c>
      <c r="L60" t="s">
        <v>40</v>
      </c>
      <c r="M60">
        <v>1</v>
      </c>
    </row>
    <row r="61" spans="1:13" x14ac:dyDescent="0.25">
      <c r="A61" s="2">
        <v>46252</v>
      </c>
      <c r="B61" s="1" t="str">
        <f ca="1">IF(Información1[[#This Row],[Fecha]]='Ajuste de fechas'!$A$2,"Día actual","Día anterior")</f>
        <v>Día anterior</v>
      </c>
      <c r="C61" t="s">
        <v>28</v>
      </c>
      <c r="D61" t="s">
        <v>71</v>
      </c>
      <c r="E61" t="s">
        <v>196</v>
      </c>
      <c r="F61" t="s">
        <v>22</v>
      </c>
      <c r="G61" t="s">
        <v>105</v>
      </c>
      <c r="H61" t="s">
        <v>11</v>
      </c>
      <c r="I61" t="s">
        <v>7</v>
      </c>
      <c r="J61" t="s">
        <v>44</v>
      </c>
      <c r="K61" t="s">
        <v>72</v>
      </c>
      <c r="L61" t="s">
        <v>40</v>
      </c>
      <c r="M61">
        <v>1</v>
      </c>
    </row>
    <row r="62" spans="1:13" x14ac:dyDescent="0.25">
      <c r="A62" s="2">
        <v>46252</v>
      </c>
      <c r="B62" s="1" t="str">
        <f ca="1">IF(Información1[[#This Row],[Fecha]]='Ajuste de fechas'!$A$2,"Día actual","Día anterior")</f>
        <v>Día anterior</v>
      </c>
      <c r="C62" t="s">
        <v>28</v>
      </c>
      <c r="D62" t="s">
        <v>71</v>
      </c>
      <c r="E62" t="s">
        <v>197</v>
      </c>
      <c r="F62" t="s">
        <v>77</v>
      </c>
      <c r="G62" t="s">
        <v>105</v>
      </c>
      <c r="H62" t="s">
        <v>11</v>
      </c>
      <c r="I62" t="s">
        <v>7</v>
      </c>
      <c r="J62" t="s">
        <v>39</v>
      </c>
      <c r="K62" t="s">
        <v>72</v>
      </c>
      <c r="L62" t="s">
        <v>40</v>
      </c>
      <c r="M62">
        <v>1</v>
      </c>
    </row>
    <row r="63" spans="1:13" x14ac:dyDescent="0.25">
      <c r="A63" s="2">
        <v>46252</v>
      </c>
      <c r="B63" s="1" t="str">
        <f ca="1">IF(Información1[[#This Row],[Fecha]]='Ajuste de fechas'!$A$2,"Día actual","Día anterior")</f>
        <v>Día anterior</v>
      </c>
      <c r="C63" t="s">
        <v>28</v>
      </c>
      <c r="D63" t="s">
        <v>71</v>
      </c>
      <c r="E63" t="s">
        <v>198</v>
      </c>
      <c r="F63" t="s">
        <v>77</v>
      </c>
      <c r="G63" t="s">
        <v>107</v>
      </c>
      <c r="H63" t="s">
        <v>11</v>
      </c>
      <c r="I63" t="s">
        <v>7</v>
      </c>
      <c r="J63" t="s">
        <v>39</v>
      </c>
      <c r="K63" t="s">
        <v>72</v>
      </c>
      <c r="L63" t="s">
        <v>40</v>
      </c>
      <c r="M63">
        <v>1</v>
      </c>
    </row>
    <row r="64" spans="1:13" x14ac:dyDescent="0.25">
      <c r="A64" s="2">
        <v>46252</v>
      </c>
      <c r="B64" s="1" t="str">
        <f ca="1">IF(Información1[[#This Row],[Fecha]]='Ajuste de fechas'!$A$2,"Día actual","Día anterior")</f>
        <v>Día anterior</v>
      </c>
      <c r="C64" t="s">
        <v>28</v>
      </c>
      <c r="D64" t="s">
        <v>71</v>
      </c>
      <c r="E64" t="s">
        <v>199</v>
      </c>
      <c r="F64" t="s">
        <v>75</v>
      </c>
      <c r="G64" t="s">
        <v>107</v>
      </c>
      <c r="H64" t="s">
        <v>11</v>
      </c>
      <c r="I64" t="s">
        <v>7</v>
      </c>
      <c r="J64" t="s">
        <v>39</v>
      </c>
      <c r="K64" t="s">
        <v>72</v>
      </c>
      <c r="L64" t="s">
        <v>40</v>
      </c>
      <c r="M64">
        <v>1</v>
      </c>
    </row>
    <row r="65" spans="1:13" x14ac:dyDescent="0.25">
      <c r="A65" s="2">
        <v>46252</v>
      </c>
      <c r="B65" s="1" t="str">
        <f ca="1">IF(Información1[[#This Row],[Fecha]]='Ajuste de fechas'!$A$2,"Día actual","Día anterior")</f>
        <v>Día anterior</v>
      </c>
      <c r="C65" t="s">
        <v>28</v>
      </c>
      <c r="D65" t="s">
        <v>71</v>
      </c>
      <c r="E65" t="s">
        <v>200</v>
      </c>
      <c r="F65" t="s">
        <v>26</v>
      </c>
      <c r="G65" t="s">
        <v>74</v>
      </c>
      <c r="H65" t="s">
        <v>11</v>
      </c>
      <c r="I65" t="s">
        <v>7</v>
      </c>
      <c r="J65" t="s">
        <v>39</v>
      </c>
      <c r="K65" t="s">
        <v>72</v>
      </c>
      <c r="L65" t="s">
        <v>40</v>
      </c>
      <c r="M65">
        <v>1</v>
      </c>
    </row>
    <row r="66" spans="1:13" x14ac:dyDescent="0.25">
      <c r="A66" s="2">
        <v>46252</v>
      </c>
      <c r="B66" s="1" t="str">
        <f ca="1">IF(Información1[[#This Row],[Fecha]]='Ajuste de fechas'!$A$2,"Día actual","Día anterior")</f>
        <v>Día anterior</v>
      </c>
      <c r="C66" t="s">
        <v>28</v>
      </c>
      <c r="D66" t="s">
        <v>71</v>
      </c>
      <c r="E66" t="s">
        <v>201</v>
      </c>
      <c r="F66" t="s">
        <v>26</v>
      </c>
      <c r="G66" t="s">
        <v>74</v>
      </c>
      <c r="H66" t="s">
        <v>11</v>
      </c>
      <c r="I66" t="s">
        <v>7</v>
      </c>
      <c r="J66" t="s">
        <v>39</v>
      </c>
      <c r="K66" t="s">
        <v>72</v>
      </c>
      <c r="L66" t="s">
        <v>40</v>
      </c>
      <c r="M66">
        <v>1</v>
      </c>
    </row>
    <row r="67" spans="1:13" x14ac:dyDescent="0.25">
      <c r="A67" s="2">
        <v>46252</v>
      </c>
      <c r="B67" s="1" t="str">
        <f ca="1">IF(Información1[[#This Row],[Fecha]]='Ajuste de fechas'!$A$2,"Día actual","Día anterior")</f>
        <v>Día anterior</v>
      </c>
      <c r="C67" t="s">
        <v>8</v>
      </c>
      <c r="D67" t="s">
        <v>10</v>
      </c>
      <c r="E67" t="s">
        <v>84</v>
      </c>
      <c r="F67" t="s">
        <v>19</v>
      </c>
      <c r="G67" t="s">
        <v>83</v>
      </c>
      <c r="H67" t="s">
        <v>11</v>
      </c>
      <c r="I67" t="s">
        <v>25</v>
      </c>
      <c r="J67" t="s">
        <v>43</v>
      </c>
      <c r="K67" t="s">
        <v>9</v>
      </c>
      <c r="L67" t="s">
        <v>41</v>
      </c>
      <c r="M67">
        <v>1</v>
      </c>
    </row>
    <row r="68" spans="1:13" x14ac:dyDescent="0.25">
      <c r="A68" s="2">
        <v>46252</v>
      </c>
      <c r="B68" s="1" t="str">
        <f ca="1">IF(Información1[[#This Row],[Fecha]]='Ajuste de fechas'!$A$2,"Día actual","Día anterior")</f>
        <v>Día anterior</v>
      </c>
      <c r="C68" t="s">
        <v>8</v>
      </c>
      <c r="D68" t="s">
        <v>10</v>
      </c>
      <c r="E68" t="s">
        <v>202</v>
      </c>
      <c r="F68" t="s">
        <v>17</v>
      </c>
      <c r="G68" t="s">
        <v>203</v>
      </c>
      <c r="H68" t="s">
        <v>11</v>
      </c>
      <c r="I68" t="s">
        <v>25</v>
      </c>
      <c r="J68" t="s">
        <v>39</v>
      </c>
      <c r="K68" t="s">
        <v>9</v>
      </c>
      <c r="L68" t="s">
        <v>41</v>
      </c>
      <c r="M68">
        <v>1</v>
      </c>
    </row>
    <row r="69" spans="1:13" x14ac:dyDescent="0.25">
      <c r="A69" s="2">
        <v>46252</v>
      </c>
      <c r="B69" s="1" t="str">
        <f ca="1">IF(Información1[[#This Row],[Fecha]]='Ajuste de fechas'!$A$2,"Día actual","Día anterior")</f>
        <v>Día anterior</v>
      </c>
      <c r="C69" t="s">
        <v>8</v>
      </c>
      <c r="D69" t="s">
        <v>10</v>
      </c>
      <c r="E69" t="s">
        <v>204</v>
      </c>
      <c r="F69" t="s">
        <v>17</v>
      </c>
      <c r="G69" t="s">
        <v>86</v>
      </c>
      <c r="H69" t="s">
        <v>11</v>
      </c>
      <c r="I69" t="s">
        <v>25</v>
      </c>
      <c r="J69" t="s">
        <v>39</v>
      </c>
      <c r="K69" t="s">
        <v>9</v>
      </c>
      <c r="L69" t="s">
        <v>41</v>
      </c>
      <c r="M69">
        <v>1</v>
      </c>
    </row>
    <row r="70" spans="1:13" x14ac:dyDescent="0.25">
      <c r="A70" s="2">
        <v>46252</v>
      </c>
      <c r="B70" s="1" t="str">
        <f ca="1">IF(Información1[[#This Row],[Fecha]]='Ajuste de fechas'!$A$2,"Día actual","Día anterior")</f>
        <v>Día anterior</v>
      </c>
      <c r="C70" t="s">
        <v>8</v>
      </c>
      <c r="D70" t="s">
        <v>10</v>
      </c>
      <c r="E70" t="s">
        <v>205</v>
      </c>
      <c r="F70" t="s">
        <v>17</v>
      </c>
      <c r="G70" t="s">
        <v>86</v>
      </c>
      <c r="H70" t="s">
        <v>11</v>
      </c>
      <c r="I70" t="s">
        <v>25</v>
      </c>
      <c r="J70" t="s">
        <v>39</v>
      </c>
      <c r="K70" t="s">
        <v>14</v>
      </c>
      <c r="L70" t="s">
        <v>41</v>
      </c>
      <c r="M70">
        <v>1</v>
      </c>
    </row>
    <row r="71" spans="1:13" x14ac:dyDescent="0.25">
      <c r="A71" s="2">
        <v>46252</v>
      </c>
      <c r="B71" s="1" t="str">
        <f ca="1">IF(Información1[[#This Row],[Fecha]]='Ajuste de fechas'!$A$2,"Día actual","Día anterior")</f>
        <v>Día anterior</v>
      </c>
      <c r="C71" t="s">
        <v>8</v>
      </c>
      <c r="D71" t="s">
        <v>10</v>
      </c>
      <c r="E71" t="s">
        <v>206</v>
      </c>
      <c r="F71" t="s">
        <v>17</v>
      </c>
      <c r="G71" t="s">
        <v>86</v>
      </c>
      <c r="H71" t="s">
        <v>11</v>
      </c>
      <c r="I71" t="s">
        <v>25</v>
      </c>
      <c r="J71" t="s">
        <v>39</v>
      </c>
      <c r="K71" t="s">
        <v>9</v>
      </c>
      <c r="L71" t="s">
        <v>41</v>
      </c>
      <c r="M71">
        <v>1</v>
      </c>
    </row>
    <row r="72" spans="1:13" x14ac:dyDescent="0.25">
      <c r="A72" s="2">
        <v>46252</v>
      </c>
      <c r="B72" s="1" t="str">
        <f ca="1">IF(Información1[[#This Row],[Fecha]]='Ajuste de fechas'!$A$2,"Día actual","Día anterior")</f>
        <v>Día anterior</v>
      </c>
      <c r="C72" t="s">
        <v>8</v>
      </c>
      <c r="D72" t="s">
        <v>10</v>
      </c>
      <c r="E72" t="s">
        <v>207</v>
      </c>
      <c r="F72" t="s">
        <v>6</v>
      </c>
      <c r="G72" t="s">
        <v>70</v>
      </c>
      <c r="H72" t="s">
        <v>11</v>
      </c>
      <c r="I72" t="s">
        <v>25</v>
      </c>
      <c r="J72" t="s">
        <v>39</v>
      </c>
      <c r="K72" t="s">
        <v>9</v>
      </c>
      <c r="L72" t="s">
        <v>41</v>
      </c>
      <c r="M72">
        <v>1</v>
      </c>
    </row>
    <row r="73" spans="1:13" x14ac:dyDescent="0.25">
      <c r="A73" s="2">
        <v>46252</v>
      </c>
      <c r="B73" s="1" t="str">
        <f ca="1">IF(Información1[[#This Row],[Fecha]]='Ajuste de fechas'!$A$2,"Día actual","Día anterior")</f>
        <v>Día anterior</v>
      </c>
      <c r="C73" t="s">
        <v>8</v>
      </c>
      <c r="D73" t="s">
        <v>10</v>
      </c>
      <c r="E73" t="s">
        <v>208</v>
      </c>
      <c r="F73" t="s">
        <v>6</v>
      </c>
      <c r="G73" t="s">
        <v>70</v>
      </c>
      <c r="H73" t="s">
        <v>11</v>
      </c>
      <c r="I73" t="s">
        <v>25</v>
      </c>
      <c r="J73" t="s">
        <v>39</v>
      </c>
      <c r="K73" t="s">
        <v>9</v>
      </c>
      <c r="L73" t="s">
        <v>41</v>
      </c>
      <c r="M73">
        <v>1</v>
      </c>
    </row>
    <row r="74" spans="1:13" x14ac:dyDescent="0.25">
      <c r="A74" s="2">
        <v>46252</v>
      </c>
      <c r="B74" s="1" t="str">
        <f ca="1">IF(Información1[[#This Row],[Fecha]]='Ajuste de fechas'!$A$2,"Día actual","Día anterior")</f>
        <v>Día anterior</v>
      </c>
      <c r="C74" t="s">
        <v>8</v>
      </c>
      <c r="D74" t="s">
        <v>10</v>
      </c>
      <c r="E74" t="s">
        <v>209</v>
      </c>
      <c r="F74" t="s">
        <v>6</v>
      </c>
      <c r="G74" t="s">
        <v>210</v>
      </c>
      <c r="H74" t="s">
        <v>11</v>
      </c>
      <c r="I74" t="s">
        <v>25</v>
      </c>
      <c r="J74" t="s">
        <v>39</v>
      </c>
      <c r="K74" t="s">
        <v>9</v>
      </c>
      <c r="L74" t="s">
        <v>41</v>
      </c>
      <c r="M74">
        <v>1</v>
      </c>
    </row>
    <row r="75" spans="1:13" x14ac:dyDescent="0.25">
      <c r="A75" s="2">
        <v>46252</v>
      </c>
      <c r="B75" s="1" t="str">
        <f ca="1">IF(Información1[[#This Row],[Fecha]]='Ajuste de fechas'!$A$2,"Día actual","Día anterior")</f>
        <v>Día anterior</v>
      </c>
      <c r="C75" t="s">
        <v>8</v>
      </c>
      <c r="D75" t="s">
        <v>10</v>
      </c>
      <c r="E75" t="s">
        <v>127</v>
      </c>
      <c r="F75" t="s">
        <v>31</v>
      </c>
      <c r="G75" t="s">
        <v>93</v>
      </c>
      <c r="H75" t="s">
        <v>11</v>
      </c>
      <c r="I75" t="s">
        <v>7</v>
      </c>
      <c r="J75" t="s">
        <v>39</v>
      </c>
      <c r="K75" t="s">
        <v>14</v>
      </c>
      <c r="L75" t="s">
        <v>42</v>
      </c>
      <c r="M75">
        <v>1</v>
      </c>
    </row>
    <row r="76" spans="1:13" x14ac:dyDescent="0.25">
      <c r="A76" s="2">
        <v>46252</v>
      </c>
      <c r="B76" s="1" t="str">
        <f ca="1">IF(Información1[[#This Row],[Fecha]]='Ajuste de fechas'!$A$2,"Día actual","Día anterior")</f>
        <v>Día anterior</v>
      </c>
      <c r="C76" t="s">
        <v>8</v>
      </c>
      <c r="D76" t="s">
        <v>10</v>
      </c>
      <c r="E76" t="s">
        <v>211</v>
      </c>
      <c r="F76" t="s">
        <v>80</v>
      </c>
      <c r="G76" t="s">
        <v>76</v>
      </c>
      <c r="H76" t="s">
        <v>11</v>
      </c>
      <c r="I76" t="s">
        <v>7</v>
      </c>
      <c r="J76" t="s">
        <v>39</v>
      </c>
      <c r="K76" t="s">
        <v>14</v>
      </c>
      <c r="L76" t="s">
        <v>42</v>
      </c>
      <c r="M76">
        <v>1</v>
      </c>
    </row>
    <row r="77" spans="1:13" x14ac:dyDescent="0.25">
      <c r="A77" s="2">
        <v>46252</v>
      </c>
      <c r="B77" s="1" t="str">
        <f ca="1">IF(Información1[[#This Row],[Fecha]]='Ajuste de fechas'!$A$2,"Día actual","Día anterior")</f>
        <v>Día anterior</v>
      </c>
      <c r="C77" t="s">
        <v>8</v>
      </c>
      <c r="D77" t="s">
        <v>10</v>
      </c>
      <c r="E77" t="s">
        <v>212</v>
      </c>
      <c r="F77" t="s">
        <v>19</v>
      </c>
      <c r="G77" t="s">
        <v>94</v>
      </c>
      <c r="H77" t="s">
        <v>11</v>
      </c>
      <c r="I77" t="s">
        <v>7</v>
      </c>
      <c r="J77" t="s">
        <v>43</v>
      </c>
      <c r="K77" t="s">
        <v>14</v>
      </c>
      <c r="L77" t="s">
        <v>40</v>
      </c>
      <c r="M77">
        <v>1</v>
      </c>
    </row>
    <row r="78" spans="1:13" x14ac:dyDescent="0.25">
      <c r="A78" s="2">
        <v>46252</v>
      </c>
      <c r="B78" s="1" t="str">
        <f ca="1">IF(Información1[[#This Row],[Fecha]]='Ajuste de fechas'!$A$2,"Día actual","Día anterior")</f>
        <v>Día anterior</v>
      </c>
      <c r="C78" t="s">
        <v>8</v>
      </c>
      <c r="D78" t="s">
        <v>10</v>
      </c>
      <c r="E78" t="s">
        <v>213</v>
      </c>
      <c r="F78" t="s">
        <v>22</v>
      </c>
      <c r="G78" t="s">
        <v>214</v>
      </c>
      <c r="H78" t="s">
        <v>11</v>
      </c>
      <c r="I78" t="s">
        <v>7</v>
      </c>
      <c r="J78" t="s">
        <v>44</v>
      </c>
      <c r="K78" t="s">
        <v>14</v>
      </c>
      <c r="L78" t="s">
        <v>40</v>
      </c>
      <c r="M78">
        <v>1</v>
      </c>
    </row>
    <row r="79" spans="1:13" x14ac:dyDescent="0.25">
      <c r="A79" s="2">
        <v>46252</v>
      </c>
      <c r="B79" s="1" t="str">
        <f ca="1">IF(Información1[[#This Row],[Fecha]]='Ajuste de fechas'!$A$2,"Día actual","Día anterior")</f>
        <v>Día anterior</v>
      </c>
      <c r="C79" t="s">
        <v>8</v>
      </c>
      <c r="D79" t="s">
        <v>10</v>
      </c>
      <c r="E79" t="s">
        <v>215</v>
      </c>
      <c r="F79" t="s">
        <v>15</v>
      </c>
      <c r="G79" t="s">
        <v>189</v>
      </c>
      <c r="H79" t="s">
        <v>11</v>
      </c>
      <c r="I79" t="s">
        <v>7</v>
      </c>
      <c r="J79" t="s">
        <v>39</v>
      </c>
      <c r="K79" t="s">
        <v>14</v>
      </c>
      <c r="L79" t="s">
        <v>40</v>
      </c>
      <c r="M79">
        <v>1</v>
      </c>
    </row>
    <row r="80" spans="1:13" x14ac:dyDescent="0.25">
      <c r="A80" s="2">
        <v>46252</v>
      </c>
      <c r="B80" s="1" t="str">
        <f ca="1">IF(Información1[[#This Row],[Fecha]]='Ajuste de fechas'!$A$2,"Día actual","Día anterior")</f>
        <v>Día anterior</v>
      </c>
      <c r="C80" t="s">
        <v>8</v>
      </c>
      <c r="D80" t="s">
        <v>10</v>
      </c>
      <c r="E80" t="s">
        <v>216</v>
      </c>
      <c r="F80" t="s">
        <v>6</v>
      </c>
      <c r="G80" t="s">
        <v>70</v>
      </c>
      <c r="H80" t="s">
        <v>11</v>
      </c>
      <c r="I80" t="s">
        <v>7</v>
      </c>
      <c r="J80" t="s">
        <v>39</v>
      </c>
      <c r="K80" t="s">
        <v>14</v>
      </c>
      <c r="L80" t="s">
        <v>40</v>
      </c>
      <c r="M80">
        <v>1</v>
      </c>
    </row>
    <row r="81" spans="1:13" x14ac:dyDescent="0.25">
      <c r="A81" s="2">
        <v>46252</v>
      </c>
      <c r="B81" s="1" t="str">
        <f ca="1">IF(Información1[[#This Row],[Fecha]]='Ajuste de fechas'!$A$2,"Día actual","Día anterior")</f>
        <v>Día anterior</v>
      </c>
      <c r="C81" t="s">
        <v>8</v>
      </c>
      <c r="D81" t="s">
        <v>10</v>
      </c>
      <c r="E81" t="s">
        <v>20</v>
      </c>
      <c r="F81" t="s">
        <v>19</v>
      </c>
      <c r="G81" t="s">
        <v>32</v>
      </c>
      <c r="H81" t="s">
        <v>11</v>
      </c>
      <c r="I81" t="s">
        <v>12</v>
      </c>
      <c r="J81" t="s">
        <v>43</v>
      </c>
      <c r="K81" t="s">
        <v>14</v>
      </c>
      <c r="L81" t="s">
        <v>41</v>
      </c>
      <c r="M81">
        <v>1</v>
      </c>
    </row>
    <row r="82" spans="1:13" x14ac:dyDescent="0.25">
      <c r="A82" s="2">
        <v>46252</v>
      </c>
      <c r="B82" s="1" t="str">
        <f ca="1">IF(Información1[[#This Row],[Fecha]]='Ajuste de fechas'!$A$2,"Día actual","Día anterior")</f>
        <v>Día anterior</v>
      </c>
      <c r="C82" t="s">
        <v>8</v>
      </c>
      <c r="D82" t="s">
        <v>10</v>
      </c>
      <c r="E82" t="s">
        <v>18</v>
      </c>
      <c r="F82" t="s">
        <v>19</v>
      </c>
      <c r="G82" t="s">
        <v>32</v>
      </c>
      <c r="H82" t="s">
        <v>11</v>
      </c>
      <c r="I82" t="s">
        <v>12</v>
      </c>
      <c r="J82" t="s">
        <v>43</v>
      </c>
      <c r="K82" t="s">
        <v>14</v>
      </c>
      <c r="L82" t="s">
        <v>41</v>
      </c>
      <c r="M82">
        <v>1</v>
      </c>
    </row>
    <row r="83" spans="1:13" x14ac:dyDescent="0.25">
      <c r="A83" s="2">
        <v>46252</v>
      </c>
      <c r="B83" s="1" t="str">
        <f ca="1">IF(Información1[[#This Row],[Fecha]]='Ajuste de fechas'!$A$2,"Día actual","Día anterior")</f>
        <v>Día anterior</v>
      </c>
      <c r="C83" t="s">
        <v>8</v>
      </c>
      <c r="D83" t="s">
        <v>10</v>
      </c>
      <c r="E83" t="s">
        <v>79</v>
      </c>
      <c r="F83" t="s">
        <v>53</v>
      </c>
      <c r="G83" t="s">
        <v>32</v>
      </c>
      <c r="H83" t="s">
        <v>11</v>
      </c>
      <c r="I83" t="s">
        <v>12</v>
      </c>
      <c r="J83" t="s">
        <v>24</v>
      </c>
      <c r="K83" t="s">
        <v>14</v>
      </c>
      <c r="L83" t="s">
        <v>41</v>
      </c>
      <c r="M83">
        <v>1</v>
      </c>
    </row>
    <row r="84" spans="1:13" x14ac:dyDescent="0.25">
      <c r="A84" s="2">
        <v>46252</v>
      </c>
      <c r="B84" s="1" t="str">
        <f ca="1">IF(Información1[[#This Row],[Fecha]]='Ajuste de fechas'!$A$2,"Día actual","Día anterior")</f>
        <v>Día anterior</v>
      </c>
      <c r="C84" t="s">
        <v>8</v>
      </c>
      <c r="D84" t="s">
        <v>10</v>
      </c>
      <c r="E84" t="s">
        <v>87</v>
      </c>
      <c r="F84" t="s">
        <v>21</v>
      </c>
      <c r="G84" t="s">
        <v>32</v>
      </c>
      <c r="H84" t="s">
        <v>11</v>
      </c>
      <c r="I84" t="s">
        <v>12</v>
      </c>
      <c r="J84" t="s">
        <v>39</v>
      </c>
      <c r="K84" t="s">
        <v>14</v>
      </c>
      <c r="L84" t="s">
        <v>41</v>
      </c>
      <c r="M84">
        <v>1</v>
      </c>
    </row>
    <row r="85" spans="1:13" x14ac:dyDescent="0.25">
      <c r="A85" s="2">
        <v>46252</v>
      </c>
      <c r="B85" s="1" t="str">
        <f ca="1">IF(Información1[[#This Row],[Fecha]]='Ajuste de fechas'!$A$2,"Día actual","Día anterior")</f>
        <v>Día anterior</v>
      </c>
      <c r="C85" t="s">
        <v>8</v>
      </c>
      <c r="D85" t="s">
        <v>10</v>
      </c>
      <c r="E85" t="s">
        <v>13</v>
      </c>
      <c r="F85" t="s">
        <v>15</v>
      </c>
      <c r="G85" t="s">
        <v>32</v>
      </c>
      <c r="H85" t="s">
        <v>11</v>
      </c>
      <c r="I85" t="s">
        <v>12</v>
      </c>
      <c r="J85" t="s">
        <v>39</v>
      </c>
      <c r="K85" t="s">
        <v>14</v>
      </c>
      <c r="L85" t="s">
        <v>41</v>
      </c>
      <c r="M85">
        <v>1</v>
      </c>
    </row>
    <row r="86" spans="1:13" x14ac:dyDescent="0.25">
      <c r="A86" s="2">
        <v>46252</v>
      </c>
      <c r="B86" s="1" t="str">
        <f ca="1">IF(Información1[[#This Row],[Fecha]]='Ajuste de fechas'!$A$2,"Día actual","Día anterior")</f>
        <v>Día anterior</v>
      </c>
      <c r="C86" t="s">
        <v>8</v>
      </c>
      <c r="D86" t="s">
        <v>10</v>
      </c>
      <c r="E86" t="s">
        <v>16</v>
      </c>
      <c r="F86" t="s">
        <v>17</v>
      </c>
      <c r="G86" t="s">
        <v>32</v>
      </c>
      <c r="H86" t="s">
        <v>11</v>
      </c>
      <c r="I86" t="s">
        <v>12</v>
      </c>
      <c r="J86" t="s">
        <v>39</v>
      </c>
      <c r="K86" t="s">
        <v>14</v>
      </c>
      <c r="L86" t="s">
        <v>41</v>
      </c>
      <c r="M86">
        <v>1</v>
      </c>
    </row>
    <row r="87" spans="1:13" x14ac:dyDescent="0.25">
      <c r="A87" s="2">
        <v>46252</v>
      </c>
      <c r="B87" s="1" t="str">
        <f ca="1">IF(Información1[[#This Row],[Fecha]]='Ajuste de fechas'!$A$2,"Día actual","Día anterior")</f>
        <v>Día anterior</v>
      </c>
      <c r="C87" t="s">
        <v>8</v>
      </c>
      <c r="D87" t="s">
        <v>10</v>
      </c>
      <c r="E87" t="s">
        <v>52</v>
      </c>
      <c r="F87" t="s">
        <v>6</v>
      </c>
      <c r="G87" t="s">
        <v>32</v>
      </c>
      <c r="H87" t="s">
        <v>11</v>
      </c>
      <c r="I87" t="s">
        <v>12</v>
      </c>
      <c r="J87" t="s">
        <v>39</v>
      </c>
      <c r="K87" t="s">
        <v>14</v>
      </c>
      <c r="L87" t="s">
        <v>41</v>
      </c>
      <c r="M87">
        <v>1</v>
      </c>
    </row>
    <row r="88" spans="1:13" x14ac:dyDescent="0.25">
      <c r="A88" s="2">
        <v>46252</v>
      </c>
      <c r="B88" s="1" t="str">
        <f ca="1">IF(Información1[[#This Row],[Fecha]]='Ajuste de fechas'!$A$2,"Día actual","Día anterior")</f>
        <v>Día anterior</v>
      </c>
      <c r="C88" t="s">
        <v>49</v>
      </c>
      <c r="D88" t="s">
        <v>54</v>
      </c>
      <c r="E88" t="s">
        <v>217</v>
      </c>
      <c r="F88" t="s">
        <v>22</v>
      </c>
      <c r="G88" t="s">
        <v>218</v>
      </c>
      <c r="H88" t="s">
        <v>11</v>
      </c>
      <c r="I88" t="s">
        <v>7</v>
      </c>
      <c r="J88" t="s">
        <v>44</v>
      </c>
      <c r="K88" t="s">
        <v>50</v>
      </c>
      <c r="L88" t="s">
        <v>40</v>
      </c>
      <c r="M88">
        <v>1</v>
      </c>
    </row>
    <row r="89" spans="1:13" x14ac:dyDescent="0.25">
      <c r="A89" s="2">
        <v>46252</v>
      </c>
      <c r="B89" s="1" t="str">
        <f ca="1">IF(Información1[[#This Row],[Fecha]]='Ajuste de fechas'!$A$2,"Día actual","Día anterior")</f>
        <v>Día anterior</v>
      </c>
      <c r="C89" t="s">
        <v>49</v>
      </c>
      <c r="D89" t="s">
        <v>54</v>
      </c>
      <c r="E89" t="s">
        <v>219</v>
      </c>
      <c r="F89" t="s">
        <v>19</v>
      </c>
      <c r="H89" t="s">
        <v>11</v>
      </c>
      <c r="I89" t="s">
        <v>25</v>
      </c>
      <c r="J89" t="s">
        <v>43</v>
      </c>
      <c r="K89" t="s">
        <v>50</v>
      </c>
      <c r="L89" t="s">
        <v>40</v>
      </c>
      <c r="M89">
        <v>1</v>
      </c>
    </row>
    <row r="90" spans="1:13" x14ac:dyDescent="0.25">
      <c r="A90" s="2">
        <v>46252</v>
      </c>
      <c r="B90" s="1" t="str">
        <f ca="1">IF(Información1[[#This Row],[Fecha]]='Ajuste de fechas'!$A$2,"Día actual","Día anterior")</f>
        <v>Día anterior</v>
      </c>
      <c r="C90" t="s">
        <v>49</v>
      </c>
      <c r="D90" t="s">
        <v>54</v>
      </c>
      <c r="E90" t="s">
        <v>220</v>
      </c>
      <c r="F90" t="s">
        <v>19</v>
      </c>
      <c r="G90" t="s">
        <v>221</v>
      </c>
      <c r="H90" t="s">
        <v>11</v>
      </c>
      <c r="I90" t="s">
        <v>7</v>
      </c>
      <c r="J90" t="s">
        <v>43</v>
      </c>
      <c r="K90" t="s">
        <v>50</v>
      </c>
      <c r="L90" t="s">
        <v>40</v>
      </c>
      <c r="M90">
        <v>1</v>
      </c>
    </row>
    <row r="91" spans="1:13" x14ac:dyDescent="0.25">
      <c r="A91" s="2">
        <v>46252</v>
      </c>
      <c r="B91" s="1" t="str">
        <f ca="1">IF(Información1[[#This Row],[Fecha]]='Ajuste de fechas'!$A$2,"Día actual","Día anterior")</f>
        <v>Día anterior</v>
      </c>
      <c r="C91" t="s">
        <v>49</v>
      </c>
      <c r="D91" t="s">
        <v>54</v>
      </c>
      <c r="E91" t="s">
        <v>222</v>
      </c>
      <c r="F91" t="s">
        <v>19</v>
      </c>
      <c r="G91" t="s">
        <v>223</v>
      </c>
      <c r="H91" t="s">
        <v>11</v>
      </c>
      <c r="I91" t="s">
        <v>7</v>
      </c>
      <c r="J91" t="s">
        <v>43</v>
      </c>
      <c r="K91" t="s">
        <v>50</v>
      </c>
      <c r="L91" t="s">
        <v>40</v>
      </c>
      <c r="M91">
        <v>1</v>
      </c>
    </row>
    <row r="92" spans="1:13" x14ac:dyDescent="0.25">
      <c r="A92" s="2">
        <v>46252</v>
      </c>
      <c r="B92" s="1" t="str">
        <f ca="1">IF(Información1[[#This Row],[Fecha]]='Ajuste de fechas'!$A$2,"Día actual","Día anterior")</f>
        <v>Día anterior</v>
      </c>
      <c r="C92" t="s">
        <v>49</v>
      </c>
      <c r="D92" t="s">
        <v>54</v>
      </c>
      <c r="E92" t="s">
        <v>224</v>
      </c>
      <c r="F92" t="s">
        <v>23</v>
      </c>
      <c r="G92" t="s">
        <v>106</v>
      </c>
      <c r="H92" t="s">
        <v>11</v>
      </c>
      <c r="I92" t="s">
        <v>7</v>
      </c>
      <c r="J92" t="s">
        <v>39</v>
      </c>
      <c r="K92" t="s">
        <v>50</v>
      </c>
      <c r="L92" t="s">
        <v>40</v>
      </c>
      <c r="M92">
        <v>1</v>
      </c>
    </row>
    <row r="93" spans="1:13" x14ac:dyDescent="0.25">
      <c r="A93" s="2">
        <v>46252</v>
      </c>
      <c r="B93" s="1" t="str">
        <f ca="1">IF(Información1[[#This Row],[Fecha]]='Ajuste de fechas'!$A$2,"Día actual","Día anterior")</f>
        <v>Día anterior</v>
      </c>
      <c r="C93" t="s">
        <v>49</v>
      </c>
      <c r="D93" t="s">
        <v>54</v>
      </c>
      <c r="E93" t="s">
        <v>225</v>
      </c>
      <c r="F93" t="s">
        <v>23</v>
      </c>
      <c r="G93" t="s">
        <v>106</v>
      </c>
      <c r="H93" t="s">
        <v>11</v>
      </c>
      <c r="I93" t="s">
        <v>7</v>
      </c>
      <c r="J93" t="s">
        <v>39</v>
      </c>
      <c r="K93" t="s">
        <v>50</v>
      </c>
      <c r="L93" t="s">
        <v>40</v>
      </c>
      <c r="M93">
        <v>1</v>
      </c>
    </row>
    <row r="94" spans="1:13" x14ac:dyDescent="0.25">
      <c r="A94" s="2">
        <v>46252</v>
      </c>
      <c r="B94" s="1" t="str">
        <f ca="1">IF(Información1[[#This Row],[Fecha]]='Ajuste de fechas'!$A$2,"Día actual","Día anterior")</f>
        <v>Día anterior</v>
      </c>
      <c r="C94" t="s">
        <v>49</v>
      </c>
      <c r="D94" t="s">
        <v>54</v>
      </c>
      <c r="E94" t="s">
        <v>143</v>
      </c>
      <c r="F94" t="s">
        <v>21</v>
      </c>
      <c r="G94" t="s">
        <v>104</v>
      </c>
      <c r="H94" t="s">
        <v>11</v>
      </c>
      <c r="I94" t="s">
        <v>7</v>
      </c>
      <c r="J94" t="s">
        <v>39</v>
      </c>
      <c r="K94" t="s">
        <v>50</v>
      </c>
      <c r="L94" t="s">
        <v>42</v>
      </c>
      <c r="M94">
        <v>1</v>
      </c>
    </row>
    <row r="95" spans="1:13" x14ac:dyDescent="0.25">
      <c r="A95" s="2">
        <v>46252</v>
      </c>
      <c r="B95" s="1" t="str">
        <f ca="1">IF(Información1[[#This Row],[Fecha]]='Ajuste de fechas'!$A$2,"Día actual","Día anterior")</f>
        <v>Día anterior</v>
      </c>
      <c r="C95" t="s">
        <v>61</v>
      </c>
      <c r="D95" t="s">
        <v>62</v>
      </c>
      <c r="E95" t="s">
        <v>127</v>
      </c>
      <c r="F95" t="s">
        <v>31</v>
      </c>
      <c r="G95" t="s">
        <v>93</v>
      </c>
      <c r="H95" t="s">
        <v>11</v>
      </c>
      <c r="I95" t="s">
        <v>7</v>
      </c>
      <c r="J95" t="s">
        <v>39</v>
      </c>
      <c r="K95" t="s">
        <v>63</v>
      </c>
      <c r="L95" t="s">
        <v>42</v>
      </c>
      <c r="M95">
        <v>1</v>
      </c>
    </row>
    <row r="96" spans="1:13" x14ac:dyDescent="0.25">
      <c r="A96" s="2">
        <v>46252</v>
      </c>
      <c r="B96" s="1" t="str">
        <f ca="1">IF(Información1[[#This Row],[Fecha]]='Ajuste de fechas'!$A$2,"Día actual","Día anterior")</f>
        <v>Día anterior</v>
      </c>
      <c r="C96" t="s">
        <v>61</v>
      </c>
      <c r="D96" t="s">
        <v>62</v>
      </c>
      <c r="E96" t="s">
        <v>111</v>
      </c>
      <c r="F96" t="s">
        <v>21</v>
      </c>
      <c r="G96" t="s">
        <v>112</v>
      </c>
      <c r="H96" t="s">
        <v>11</v>
      </c>
      <c r="I96" t="s">
        <v>7</v>
      </c>
      <c r="J96" t="s">
        <v>39</v>
      </c>
      <c r="K96" t="s">
        <v>63</v>
      </c>
      <c r="L96" t="s">
        <v>42</v>
      </c>
      <c r="M96">
        <v>1</v>
      </c>
    </row>
    <row r="97" spans="1:13" x14ac:dyDescent="0.25">
      <c r="A97" s="2">
        <v>46252</v>
      </c>
      <c r="B97" s="1" t="str">
        <f ca="1">IF(Información1[[#This Row],[Fecha]]='Ajuste de fechas'!$A$2,"Día actual","Día anterior")</f>
        <v>Día anterior</v>
      </c>
      <c r="C97" t="s">
        <v>61</v>
      </c>
      <c r="D97" t="s">
        <v>62</v>
      </c>
      <c r="E97" t="s">
        <v>173</v>
      </c>
      <c r="F97" t="s">
        <v>26</v>
      </c>
      <c r="G97" t="s">
        <v>74</v>
      </c>
      <c r="H97" t="s">
        <v>11</v>
      </c>
      <c r="I97" t="s">
        <v>7</v>
      </c>
      <c r="J97" t="s">
        <v>39</v>
      </c>
      <c r="K97" t="s">
        <v>63</v>
      </c>
      <c r="L97" t="s">
        <v>42</v>
      </c>
      <c r="M97">
        <v>1</v>
      </c>
    </row>
    <row r="98" spans="1:13" x14ac:dyDescent="0.25">
      <c r="A98" s="2">
        <v>46252</v>
      </c>
      <c r="B98" s="1" t="str">
        <f ca="1">IF(Información1[[#This Row],[Fecha]]='Ajuste de fechas'!$A$2,"Día actual","Día anterior")</f>
        <v>Día anterior</v>
      </c>
      <c r="C98" t="s">
        <v>61</v>
      </c>
      <c r="D98" t="s">
        <v>62</v>
      </c>
      <c r="E98" t="s">
        <v>226</v>
      </c>
      <c r="F98" t="s">
        <v>23</v>
      </c>
      <c r="G98" t="s">
        <v>106</v>
      </c>
      <c r="H98" t="s">
        <v>11</v>
      </c>
      <c r="I98" t="s">
        <v>7</v>
      </c>
      <c r="J98" t="s">
        <v>39</v>
      </c>
      <c r="K98" t="s">
        <v>63</v>
      </c>
      <c r="L98" t="s">
        <v>42</v>
      </c>
      <c r="M98">
        <v>1</v>
      </c>
    </row>
    <row r="99" spans="1:13" x14ac:dyDescent="0.25">
      <c r="A99" s="2">
        <v>46252</v>
      </c>
      <c r="B99" s="1" t="str">
        <f ca="1">IF(Información1[[#This Row],[Fecha]]='Ajuste de fechas'!$A$2,"Día actual","Día anterior")</f>
        <v>Día anterior</v>
      </c>
      <c r="C99" t="s">
        <v>61</v>
      </c>
      <c r="D99" t="s">
        <v>62</v>
      </c>
      <c r="E99" t="s">
        <v>227</v>
      </c>
      <c r="F99" t="s">
        <v>26</v>
      </c>
      <c r="G99" t="s">
        <v>74</v>
      </c>
      <c r="H99" t="s">
        <v>11</v>
      </c>
      <c r="I99" t="s">
        <v>7</v>
      </c>
      <c r="J99" t="s">
        <v>39</v>
      </c>
      <c r="K99" t="s">
        <v>63</v>
      </c>
      <c r="L99" t="s">
        <v>42</v>
      </c>
      <c r="M99">
        <v>1</v>
      </c>
    </row>
    <row r="100" spans="1:13" x14ac:dyDescent="0.25">
      <c r="A100" s="2">
        <v>46252</v>
      </c>
      <c r="B100" s="1" t="str">
        <f ca="1">IF(Información1[[#This Row],[Fecha]]='Ajuste de fechas'!$A$2,"Día actual","Día anterior")</f>
        <v>Día anterior</v>
      </c>
      <c r="C100" t="s">
        <v>61</v>
      </c>
      <c r="D100" t="s">
        <v>62</v>
      </c>
      <c r="E100" t="s">
        <v>172</v>
      </c>
      <c r="F100" t="s">
        <v>26</v>
      </c>
      <c r="G100" t="s">
        <v>149</v>
      </c>
      <c r="H100" t="s">
        <v>11</v>
      </c>
      <c r="I100" t="s">
        <v>7</v>
      </c>
      <c r="J100" t="s">
        <v>39</v>
      </c>
      <c r="K100" t="s">
        <v>63</v>
      </c>
      <c r="L100" t="s">
        <v>42</v>
      </c>
      <c r="M100">
        <v>1</v>
      </c>
    </row>
    <row r="101" spans="1:13" x14ac:dyDescent="0.25">
      <c r="A101" s="2">
        <v>46252</v>
      </c>
      <c r="B101" s="1" t="str">
        <f ca="1">IF(Información1[[#This Row],[Fecha]]='Ajuste de fechas'!$A$2,"Día actual","Día anterior")</f>
        <v>Día anterior</v>
      </c>
      <c r="C101" t="s">
        <v>49</v>
      </c>
      <c r="D101" t="s">
        <v>51</v>
      </c>
      <c r="E101" t="s">
        <v>228</v>
      </c>
      <c r="F101" t="s">
        <v>19</v>
      </c>
      <c r="G101" t="s">
        <v>229</v>
      </c>
      <c r="H101" t="s">
        <v>11</v>
      </c>
      <c r="I101" t="s">
        <v>7</v>
      </c>
      <c r="J101" t="s">
        <v>43</v>
      </c>
      <c r="K101" t="s">
        <v>50</v>
      </c>
      <c r="L101" t="s">
        <v>40</v>
      </c>
      <c r="M101">
        <v>1</v>
      </c>
    </row>
    <row r="102" spans="1:13" x14ac:dyDescent="0.25">
      <c r="A102" s="2">
        <v>46252</v>
      </c>
      <c r="B102" s="1" t="str">
        <f ca="1">IF(Información1[[#This Row],[Fecha]]='Ajuste de fechas'!$A$2,"Día actual","Día anterior")</f>
        <v>Día anterior</v>
      </c>
      <c r="C102" t="s">
        <v>49</v>
      </c>
      <c r="D102" t="s">
        <v>51</v>
      </c>
      <c r="E102" t="s">
        <v>230</v>
      </c>
      <c r="F102" t="s">
        <v>19</v>
      </c>
      <c r="G102" t="s">
        <v>231</v>
      </c>
      <c r="H102" t="s">
        <v>11</v>
      </c>
      <c r="I102" t="s">
        <v>7</v>
      </c>
      <c r="J102" t="s">
        <v>43</v>
      </c>
      <c r="K102" t="s">
        <v>50</v>
      </c>
      <c r="L102" t="s">
        <v>40</v>
      </c>
      <c r="M102">
        <v>1</v>
      </c>
    </row>
    <row r="103" spans="1:13" x14ac:dyDescent="0.25">
      <c r="A103" s="2">
        <v>46252</v>
      </c>
      <c r="B103" s="1" t="str">
        <f ca="1">IF(Información1[[#This Row],[Fecha]]='Ajuste de fechas'!$A$2,"Día actual","Día anterior")</f>
        <v>Día anterior</v>
      </c>
      <c r="C103" t="s">
        <v>49</v>
      </c>
      <c r="D103" t="s">
        <v>51</v>
      </c>
      <c r="E103" t="s">
        <v>232</v>
      </c>
      <c r="F103" t="s">
        <v>81</v>
      </c>
      <c r="G103" t="s">
        <v>233</v>
      </c>
      <c r="H103" t="s">
        <v>11</v>
      </c>
      <c r="I103" t="s">
        <v>25</v>
      </c>
      <c r="J103" t="s">
        <v>39</v>
      </c>
      <c r="K103" t="s">
        <v>9</v>
      </c>
      <c r="L103" t="s">
        <v>41</v>
      </c>
      <c r="M103">
        <v>1</v>
      </c>
    </row>
    <row r="104" spans="1:13" x14ac:dyDescent="0.25">
      <c r="A104" s="2">
        <v>46252</v>
      </c>
      <c r="B104" s="1" t="str">
        <f ca="1">IF(Información1[[#This Row],[Fecha]]='Ajuste de fechas'!$A$2,"Día actual","Día anterior")</f>
        <v>Día anterior</v>
      </c>
      <c r="C104" t="s">
        <v>49</v>
      </c>
      <c r="D104" t="s">
        <v>51</v>
      </c>
      <c r="E104" t="s">
        <v>227</v>
      </c>
      <c r="F104" t="s">
        <v>26</v>
      </c>
      <c r="G104" t="s">
        <v>74</v>
      </c>
      <c r="H104" t="s">
        <v>11</v>
      </c>
      <c r="I104" t="s">
        <v>7</v>
      </c>
      <c r="J104" t="s">
        <v>39</v>
      </c>
      <c r="K104" t="s">
        <v>48</v>
      </c>
      <c r="L104" t="s">
        <v>42</v>
      </c>
      <c r="M104">
        <v>1</v>
      </c>
    </row>
    <row r="105" spans="1:13" x14ac:dyDescent="0.25">
      <c r="A105" s="2">
        <v>46252</v>
      </c>
      <c r="B105" s="1" t="str">
        <f ca="1">IF(Información1[[#This Row],[Fecha]]='Ajuste de fechas'!$A$2,"Día actual","Día anterior")</f>
        <v>Día anterior</v>
      </c>
      <c r="C105" t="s">
        <v>49</v>
      </c>
      <c r="D105" t="s">
        <v>51</v>
      </c>
      <c r="E105" t="s">
        <v>173</v>
      </c>
      <c r="F105" t="s">
        <v>26</v>
      </c>
      <c r="G105" t="s">
        <v>74</v>
      </c>
      <c r="H105" t="s">
        <v>11</v>
      </c>
      <c r="I105" t="s">
        <v>7</v>
      </c>
      <c r="J105" t="s">
        <v>39</v>
      </c>
      <c r="K105" t="s">
        <v>48</v>
      </c>
      <c r="L105" t="s">
        <v>42</v>
      </c>
      <c r="M105">
        <v>1</v>
      </c>
    </row>
    <row r="106" spans="1:13" x14ac:dyDescent="0.25">
      <c r="A106" s="2">
        <v>46252</v>
      </c>
      <c r="B106" s="1" t="str">
        <f ca="1">IF(Información1[[#This Row],[Fecha]]='Ajuste de fechas'!$A$2,"Día actual","Día anterior")</f>
        <v>Día anterior</v>
      </c>
      <c r="C106" t="s">
        <v>49</v>
      </c>
      <c r="D106" t="s">
        <v>51</v>
      </c>
      <c r="E106" t="s">
        <v>172</v>
      </c>
      <c r="F106" t="s">
        <v>26</v>
      </c>
      <c r="G106" t="s">
        <v>149</v>
      </c>
      <c r="H106" t="s">
        <v>11</v>
      </c>
      <c r="I106" t="s">
        <v>7</v>
      </c>
      <c r="J106" t="s">
        <v>39</v>
      </c>
      <c r="K106" t="s">
        <v>48</v>
      </c>
      <c r="L106" t="s">
        <v>42</v>
      </c>
      <c r="M106">
        <v>1</v>
      </c>
    </row>
    <row r="107" spans="1:13" x14ac:dyDescent="0.25">
      <c r="A107" s="2">
        <v>46252</v>
      </c>
      <c r="B107" s="1" t="str">
        <f ca="1">IF(Información1[[#This Row],[Fecha]]='Ajuste de fechas'!$A$2,"Día actual","Día anterior")</f>
        <v>Día anterior</v>
      </c>
      <c r="C107" t="s">
        <v>49</v>
      </c>
      <c r="D107" t="s">
        <v>51</v>
      </c>
      <c r="E107" t="s">
        <v>234</v>
      </c>
      <c r="F107" t="s">
        <v>21</v>
      </c>
      <c r="G107" t="s">
        <v>235</v>
      </c>
      <c r="H107" t="s">
        <v>11</v>
      </c>
      <c r="I107" t="s">
        <v>12</v>
      </c>
      <c r="J107" t="s">
        <v>39</v>
      </c>
      <c r="K107" t="s">
        <v>48</v>
      </c>
      <c r="L107" t="s">
        <v>69</v>
      </c>
      <c r="M107">
        <v>1</v>
      </c>
    </row>
    <row r="108" spans="1:13" x14ac:dyDescent="0.25">
      <c r="A108" s="2">
        <v>46252</v>
      </c>
      <c r="B108" s="1" t="str">
        <f ca="1">IF(Información1[[#This Row],[Fecha]]='Ajuste de fechas'!$A$2,"Día actual","Día anterior")</f>
        <v>Día anterior</v>
      </c>
      <c r="C108" t="s">
        <v>49</v>
      </c>
      <c r="D108" t="s">
        <v>51</v>
      </c>
      <c r="E108" t="s">
        <v>236</v>
      </c>
      <c r="F108" t="s">
        <v>109</v>
      </c>
      <c r="G108" t="s">
        <v>108</v>
      </c>
      <c r="H108" t="s">
        <v>11</v>
      </c>
      <c r="I108" t="s">
        <v>12</v>
      </c>
      <c r="J108" t="s">
        <v>39</v>
      </c>
      <c r="K108" t="s">
        <v>48</v>
      </c>
      <c r="L108" t="s">
        <v>42</v>
      </c>
      <c r="M108">
        <v>1</v>
      </c>
    </row>
    <row r="109" spans="1:13" x14ac:dyDescent="0.25">
      <c r="A109" s="2">
        <v>46253</v>
      </c>
      <c r="B109" s="1" t="str">
        <f ca="1">IF(Información1[[#This Row],[Fecha]]='Ajuste de fechas'!$A$2,"Día actual","Día anterior")</f>
        <v>Día actual</v>
      </c>
      <c r="C109" t="s">
        <v>8</v>
      </c>
      <c r="D109" t="s">
        <v>10</v>
      </c>
      <c r="E109" t="s">
        <v>237</v>
      </c>
      <c r="F109" t="s">
        <v>6</v>
      </c>
      <c r="G109" t="s">
        <v>70</v>
      </c>
      <c r="H109" t="s">
        <v>11</v>
      </c>
      <c r="I109" t="s">
        <v>25</v>
      </c>
      <c r="J109" t="s">
        <v>39</v>
      </c>
      <c r="K109" t="s">
        <v>9</v>
      </c>
      <c r="L109" t="s">
        <v>41</v>
      </c>
      <c r="M109">
        <v>1</v>
      </c>
    </row>
    <row r="110" spans="1:13" x14ac:dyDescent="0.25">
      <c r="A110" s="2">
        <v>46253</v>
      </c>
      <c r="B110" s="1" t="str">
        <f ca="1">IF(Información1[[#This Row],[Fecha]]='Ajuste de fechas'!$A$2,"Día actual","Día anterior")</f>
        <v>Día actual</v>
      </c>
      <c r="C110" t="s">
        <v>8</v>
      </c>
      <c r="D110" t="s">
        <v>10</v>
      </c>
      <c r="E110" t="s">
        <v>238</v>
      </c>
      <c r="F110" t="s">
        <v>6</v>
      </c>
      <c r="G110" t="s">
        <v>70</v>
      </c>
      <c r="H110" t="s">
        <v>11</v>
      </c>
      <c r="I110" t="s">
        <v>7</v>
      </c>
      <c r="J110" t="s">
        <v>39</v>
      </c>
      <c r="K110" t="s">
        <v>14</v>
      </c>
      <c r="L110" t="s">
        <v>41</v>
      </c>
      <c r="M110">
        <v>1</v>
      </c>
    </row>
    <row r="111" spans="1:13" x14ac:dyDescent="0.25">
      <c r="A111" s="2">
        <v>46253</v>
      </c>
      <c r="B111" s="1" t="str">
        <f ca="1">IF(Información1[[#This Row],[Fecha]]='Ajuste de fechas'!$A$2,"Día actual","Día anterior")</f>
        <v>Día actual</v>
      </c>
      <c r="C111" t="s">
        <v>8</v>
      </c>
      <c r="D111" t="s">
        <v>10</v>
      </c>
      <c r="E111" t="s">
        <v>216</v>
      </c>
      <c r="F111" t="s">
        <v>6</v>
      </c>
      <c r="G111" t="s">
        <v>70</v>
      </c>
      <c r="H111" t="s">
        <v>11</v>
      </c>
      <c r="I111" t="s">
        <v>7</v>
      </c>
      <c r="J111" t="s">
        <v>39</v>
      </c>
      <c r="K111" t="s">
        <v>14</v>
      </c>
      <c r="L111" t="s">
        <v>40</v>
      </c>
      <c r="M111">
        <v>1</v>
      </c>
    </row>
    <row r="112" spans="1:13" x14ac:dyDescent="0.25">
      <c r="A112" s="2">
        <v>46253</v>
      </c>
      <c r="B112" s="1" t="str">
        <f ca="1">IF(Información1[[#This Row],[Fecha]]='Ajuste de fechas'!$A$2,"Día actual","Día anterior")</f>
        <v>Día actual</v>
      </c>
      <c r="C112" t="s">
        <v>28</v>
      </c>
      <c r="D112" t="s">
        <v>71</v>
      </c>
      <c r="E112" t="s">
        <v>239</v>
      </c>
      <c r="F112" t="s">
        <v>17</v>
      </c>
      <c r="G112" t="s">
        <v>120</v>
      </c>
      <c r="H112" t="s">
        <v>11</v>
      </c>
      <c r="I112" t="s">
        <v>7</v>
      </c>
      <c r="J112" t="s">
        <v>39</v>
      </c>
      <c r="K112" t="s">
        <v>72</v>
      </c>
      <c r="L112" t="s">
        <v>40</v>
      </c>
      <c r="M112">
        <v>1</v>
      </c>
    </row>
    <row r="113" spans="1:13" x14ac:dyDescent="0.25">
      <c r="A113" s="2">
        <v>46253</v>
      </c>
      <c r="B113" s="1" t="str">
        <f ca="1">IF(Información1[[#This Row],[Fecha]]='Ajuste de fechas'!$A$2,"Día actual","Día anterior")</f>
        <v>Día actual</v>
      </c>
      <c r="C113" t="s">
        <v>8</v>
      </c>
      <c r="D113" t="s">
        <v>10</v>
      </c>
      <c r="E113" t="s">
        <v>240</v>
      </c>
      <c r="F113" t="s">
        <v>17</v>
      </c>
      <c r="G113" t="s">
        <v>120</v>
      </c>
      <c r="H113" t="s">
        <v>11</v>
      </c>
      <c r="I113" t="s">
        <v>7</v>
      </c>
      <c r="J113" t="s">
        <v>39</v>
      </c>
      <c r="K113" t="s">
        <v>14</v>
      </c>
      <c r="L113" t="s">
        <v>40</v>
      </c>
      <c r="M113">
        <v>1</v>
      </c>
    </row>
    <row r="114" spans="1:13" x14ac:dyDescent="0.25">
      <c r="A114" s="2">
        <v>46253</v>
      </c>
      <c r="B114" s="1" t="str">
        <f ca="1">IF(Información1[[#This Row],[Fecha]]='Ajuste de fechas'!$A$2,"Día actual","Día anterior")</f>
        <v>Día actual</v>
      </c>
      <c r="C114" t="s">
        <v>8</v>
      </c>
      <c r="D114" t="s">
        <v>10</v>
      </c>
      <c r="E114" t="s">
        <v>20</v>
      </c>
      <c r="F114" t="s">
        <v>19</v>
      </c>
      <c r="G114" t="s">
        <v>32</v>
      </c>
      <c r="H114" t="s">
        <v>11</v>
      </c>
      <c r="I114" t="s">
        <v>12</v>
      </c>
      <c r="J114" t="s">
        <v>43</v>
      </c>
      <c r="K114" t="s">
        <v>14</v>
      </c>
      <c r="L114" t="s">
        <v>41</v>
      </c>
      <c r="M114">
        <v>1</v>
      </c>
    </row>
    <row r="115" spans="1:13" x14ac:dyDescent="0.25">
      <c r="A115" s="2">
        <v>46253</v>
      </c>
      <c r="B115" s="1" t="str">
        <f ca="1">IF(Información1[[#This Row],[Fecha]]='Ajuste de fechas'!$A$2,"Día actual","Día anterior")</f>
        <v>Día actual</v>
      </c>
      <c r="C115" t="s">
        <v>8</v>
      </c>
      <c r="D115" t="s">
        <v>10</v>
      </c>
      <c r="E115" t="s">
        <v>18</v>
      </c>
      <c r="F115" t="s">
        <v>19</v>
      </c>
      <c r="G115" t="s">
        <v>32</v>
      </c>
      <c r="H115" t="s">
        <v>11</v>
      </c>
      <c r="I115" t="s">
        <v>12</v>
      </c>
      <c r="J115" t="s">
        <v>43</v>
      </c>
      <c r="K115" t="s">
        <v>14</v>
      </c>
      <c r="L115" t="s">
        <v>41</v>
      </c>
      <c r="M115">
        <v>1</v>
      </c>
    </row>
    <row r="116" spans="1:13" x14ac:dyDescent="0.25">
      <c r="A116" s="2">
        <v>46253</v>
      </c>
      <c r="B116" s="1" t="str">
        <f ca="1">IF(Información1[[#This Row],[Fecha]]='Ajuste de fechas'!$A$2,"Día actual","Día anterior")</f>
        <v>Día actual</v>
      </c>
      <c r="C116" t="s">
        <v>8</v>
      </c>
      <c r="D116" t="s">
        <v>10</v>
      </c>
      <c r="E116" t="s">
        <v>79</v>
      </c>
      <c r="F116" t="s">
        <v>53</v>
      </c>
      <c r="G116" t="s">
        <v>32</v>
      </c>
      <c r="H116" t="s">
        <v>11</v>
      </c>
      <c r="I116" t="s">
        <v>12</v>
      </c>
      <c r="J116" t="s">
        <v>24</v>
      </c>
      <c r="K116" t="s">
        <v>14</v>
      </c>
      <c r="L116" t="s">
        <v>41</v>
      </c>
      <c r="M116">
        <v>1</v>
      </c>
    </row>
    <row r="117" spans="1:13" x14ac:dyDescent="0.25">
      <c r="A117" s="2">
        <v>46253</v>
      </c>
      <c r="B117" s="1" t="str">
        <f ca="1">IF(Información1[[#This Row],[Fecha]]='Ajuste de fechas'!$A$2,"Día actual","Día anterior")</f>
        <v>Día actual</v>
      </c>
      <c r="C117" t="s">
        <v>8</v>
      </c>
      <c r="D117" t="s">
        <v>10</v>
      </c>
      <c r="E117" t="s">
        <v>13</v>
      </c>
      <c r="F117" t="s">
        <v>15</v>
      </c>
      <c r="G117" t="s">
        <v>32</v>
      </c>
      <c r="H117" t="s">
        <v>11</v>
      </c>
      <c r="I117" t="s">
        <v>12</v>
      </c>
      <c r="J117" t="s">
        <v>39</v>
      </c>
      <c r="K117" t="s">
        <v>14</v>
      </c>
      <c r="L117" t="s">
        <v>41</v>
      </c>
      <c r="M117">
        <v>1</v>
      </c>
    </row>
    <row r="118" spans="1:13" x14ac:dyDescent="0.25">
      <c r="A118" s="2">
        <v>46253</v>
      </c>
      <c r="B118" s="1" t="str">
        <f ca="1">IF(Información1[[#This Row],[Fecha]]='Ajuste de fechas'!$A$2,"Día actual","Día anterior")</f>
        <v>Día actual</v>
      </c>
      <c r="C118" t="s">
        <v>8</v>
      </c>
      <c r="D118" t="s">
        <v>10</v>
      </c>
      <c r="E118" t="s">
        <v>16</v>
      </c>
      <c r="F118" t="s">
        <v>17</v>
      </c>
      <c r="G118" t="s">
        <v>32</v>
      </c>
      <c r="H118" t="s">
        <v>11</v>
      </c>
      <c r="I118" t="s">
        <v>12</v>
      </c>
      <c r="J118" t="s">
        <v>39</v>
      </c>
      <c r="K118" t="s">
        <v>14</v>
      </c>
      <c r="L118" t="s">
        <v>41</v>
      </c>
      <c r="M118">
        <v>1</v>
      </c>
    </row>
    <row r="119" spans="1:13" x14ac:dyDescent="0.25">
      <c r="A119" s="2">
        <v>46253</v>
      </c>
      <c r="B119" s="1" t="str">
        <f ca="1">IF(Información1[[#This Row],[Fecha]]='Ajuste de fechas'!$A$2,"Día actual","Día anterior")</f>
        <v>Día actual</v>
      </c>
      <c r="C119" t="s">
        <v>8</v>
      </c>
      <c r="D119" t="s">
        <v>10</v>
      </c>
      <c r="E119" t="s">
        <v>52</v>
      </c>
      <c r="F119" t="s">
        <v>6</v>
      </c>
      <c r="G119" t="s">
        <v>32</v>
      </c>
      <c r="H119" t="s">
        <v>11</v>
      </c>
      <c r="I119" t="s">
        <v>12</v>
      </c>
      <c r="J119" t="s">
        <v>39</v>
      </c>
      <c r="K119" t="s">
        <v>14</v>
      </c>
      <c r="L119" t="s">
        <v>41</v>
      </c>
      <c r="M119">
        <v>1</v>
      </c>
    </row>
    <row r="120" spans="1:13" x14ac:dyDescent="0.25">
      <c r="A120" s="2">
        <v>46253</v>
      </c>
      <c r="B120" s="1" t="str">
        <f ca="1">IF(Información1[[#This Row],[Fecha]]='Ajuste de fechas'!$A$2,"Día actual","Día anterior")</f>
        <v>Día actual</v>
      </c>
      <c r="C120" t="s">
        <v>28</v>
      </c>
      <c r="D120" t="s">
        <v>71</v>
      </c>
      <c r="E120" t="s">
        <v>241</v>
      </c>
      <c r="F120" t="s">
        <v>31</v>
      </c>
      <c r="G120" t="s">
        <v>242</v>
      </c>
      <c r="H120" t="s">
        <v>11</v>
      </c>
      <c r="I120" t="s">
        <v>7</v>
      </c>
      <c r="J120" t="s">
        <v>39</v>
      </c>
      <c r="K120" t="s">
        <v>72</v>
      </c>
      <c r="L120" t="s">
        <v>40</v>
      </c>
      <c r="M120">
        <v>1</v>
      </c>
    </row>
    <row r="121" spans="1:13" x14ac:dyDescent="0.25">
      <c r="A121" s="2">
        <v>46253</v>
      </c>
      <c r="B121" s="1" t="str">
        <f ca="1">IF(Información1[[#This Row],[Fecha]]='Ajuste de fechas'!$A$2,"Día actual","Día anterior")</f>
        <v>Día actual</v>
      </c>
      <c r="C121" t="s">
        <v>28</v>
      </c>
      <c r="D121" t="s">
        <v>71</v>
      </c>
      <c r="E121" t="s">
        <v>243</v>
      </c>
      <c r="F121" t="s">
        <v>23</v>
      </c>
      <c r="G121" t="s">
        <v>244</v>
      </c>
      <c r="H121" t="s">
        <v>11</v>
      </c>
      <c r="I121" t="s">
        <v>7</v>
      </c>
      <c r="J121" t="s">
        <v>39</v>
      </c>
      <c r="K121" t="s">
        <v>72</v>
      </c>
      <c r="L121" t="s">
        <v>40</v>
      </c>
      <c r="M121">
        <v>1</v>
      </c>
    </row>
    <row r="122" spans="1:13" x14ac:dyDescent="0.25">
      <c r="A122" s="2">
        <v>46253</v>
      </c>
      <c r="B122" s="1" t="str">
        <f ca="1">IF(Información1[[#This Row],[Fecha]]='Ajuste de fechas'!$A$2,"Día actual","Día anterior")</f>
        <v>Día actual</v>
      </c>
      <c r="C122" t="s">
        <v>28</v>
      </c>
      <c r="D122" t="s">
        <v>71</v>
      </c>
      <c r="E122" t="s">
        <v>245</v>
      </c>
      <c r="F122" t="s">
        <v>22</v>
      </c>
      <c r="G122" t="s">
        <v>244</v>
      </c>
      <c r="H122" t="s">
        <v>11</v>
      </c>
      <c r="I122" t="s">
        <v>7</v>
      </c>
      <c r="J122" t="s">
        <v>44</v>
      </c>
      <c r="K122" t="s">
        <v>72</v>
      </c>
      <c r="L122" t="s">
        <v>40</v>
      </c>
      <c r="M122">
        <v>1</v>
      </c>
    </row>
    <row r="123" spans="1:13" x14ac:dyDescent="0.25">
      <c r="A123" s="2">
        <v>46253</v>
      </c>
      <c r="B123" s="1" t="str">
        <f ca="1">IF(Información1[[#This Row],[Fecha]]='Ajuste de fechas'!$A$2,"Día actual","Día anterior")</f>
        <v>Día actual</v>
      </c>
      <c r="C123" t="s">
        <v>8</v>
      </c>
      <c r="D123" t="s">
        <v>10</v>
      </c>
      <c r="E123" t="s">
        <v>246</v>
      </c>
      <c r="F123" t="s">
        <v>22</v>
      </c>
      <c r="G123" t="s">
        <v>244</v>
      </c>
      <c r="H123" t="s">
        <v>11</v>
      </c>
      <c r="I123" t="s">
        <v>7</v>
      </c>
      <c r="J123" t="s">
        <v>44</v>
      </c>
      <c r="K123" t="s">
        <v>14</v>
      </c>
      <c r="L123" t="s">
        <v>40</v>
      </c>
      <c r="M123">
        <v>1</v>
      </c>
    </row>
    <row r="124" spans="1:13" x14ac:dyDescent="0.25">
      <c r="A124" s="2">
        <v>46253</v>
      </c>
      <c r="B124" s="1" t="str">
        <f ca="1">IF(Información1[[#This Row],[Fecha]]='Ajuste de fechas'!$A$2,"Día actual","Día anterior")</f>
        <v>Día actual</v>
      </c>
      <c r="C124" t="s">
        <v>28</v>
      </c>
      <c r="D124" t="s">
        <v>71</v>
      </c>
      <c r="E124" t="s">
        <v>247</v>
      </c>
      <c r="F124" t="s">
        <v>19</v>
      </c>
      <c r="G124" t="s">
        <v>248</v>
      </c>
      <c r="H124" t="s">
        <v>11</v>
      </c>
      <c r="I124" t="s">
        <v>7</v>
      </c>
      <c r="J124" t="s">
        <v>43</v>
      </c>
      <c r="K124" t="s">
        <v>72</v>
      </c>
      <c r="L124" t="s">
        <v>40</v>
      </c>
      <c r="M124">
        <v>1</v>
      </c>
    </row>
    <row r="125" spans="1:13" x14ac:dyDescent="0.25">
      <c r="A125" s="2">
        <v>46253</v>
      </c>
      <c r="B125" s="1" t="str">
        <f ca="1">IF(Información1[[#This Row],[Fecha]]='Ajuste de fechas'!$A$2,"Día actual","Día anterior")</f>
        <v>Día actual</v>
      </c>
      <c r="C125" t="s">
        <v>28</v>
      </c>
      <c r="D125" t="s">
        <v>71</v>
      </c>
      <c r="E125" t="s">
        <v>249</v>
      </c>
      <c r="F125" t="s">
        <v>250</v>
      </c>
      <c r="G125" t="s">
        <v>251</v>
      </c>
      <c r="H125" t="s">
        <v>11</v>
      </c>
      <c r="I125" t="s">
        <v>7</v>
      </c>
      <c r="J125" t="s">
        <v>39</v>
      </c>
      <c r="K125" t="s">
        <v>72</v>
      </c>
      <c r="L125" t="s">
        <v>40</v>
      </c>
      <c r="M125">
        <v>1</v>
      </c>
    </row>
    <row r="126" spans="1:13" x14ac:dyDescent="0.25">
      <c r="A126" s="2">
        <v>46253</v>
      </c>
      <c r="B126" s="1" t="str">
        <f ca="1">IF(Información1[[#This Row],[Fecha]]='Ajuste de fechas'!$A$2,"Día actual","Día anterior")</f>
        <v>Día actual</v>
      </c>
      <c r="C126" t="s">
        <v>8</v>
      </c>
      <c r="D126" t="s">
        <v>10</v>
      </c>
      <c r="E126" t="s">
        <v>252</v>
      </c>
      <c r="F126" t="s">
        <v>250</v>
      </c>
      <c r="G126" t="s">
        <v>251</v>
      </c>
      <c r="H126" t="s">
        <v>11</v>
      </c>
      <c r="I126" t="s">
        <v>7</v>
      </c>
      <c r="J126" t="s">
        <v>39</v>
      </c>
      <c r="K126" t="s">
        <v>14</v>
      </c>
      <c r="L126" t="s">
        <v>42</v>
      </c>
      <c r="M126">
        <v>1</v>
      </c>
    </row>
    <row r="127" spans="1:13" x14ac:dyDescent="0.25">
      <c r="A127" s="2">
        <v>46253</v>
      </c>
      <c r="B127" s="1" t="str">
        <f ca="1">IF(Información1[[#This Row],[Fecha]]='Ajuste de fechas'!$A$2,"Día actual","Día anterior")</f>
        <v>Día actual</v>
      </c>
      <c r="C127" t="s">
        <v>8</v>
      </c>
      <c r="D127" t="s">
        <v>10</v>
      </c>
      <c r="E127" t="s">
        <v>253</v>
      </c>
      <c r="F127" t="s">
        <v>53</v>
      </c>
      <c r="G127" t="s">
        <v>254</v>
      </c>
      <c r="H127" t="s">
        <v>11</v>
      </c>
      <c r="I127" t="s">
        <v>7</v>
      </c>
      <c r="J127" t="s">
        <v>24</v>
      </c>
      <c r="K127" t="s">
        <v>14</v>
      </c>
      <c r="L127" t="s">
        <v>40</v>
      </c>
      <c r="M127">
        <v>1</v>
      </c>
    </row>
    <row r="128" spans="1:13" x14ac:dyDescent="0.25">
      <c r="A128" s="2">
        <v>46253</v>
      </c>
      <c r="B128" s="1" t="str">
        <f ca="1">IF(Información1[[#This Row],[Fecha]]='Ajuste de fechas'!$A$2,"Día actual","Día anterior")</f>
        <v>Día actual</v>
      </c>
      <c r="C128" t="s">
        <v>28</v>
      </c>
      <c r="D128" t="s">
        <v>71</v>
      </c>
      <c r="E128" t="s">
        <v>255</v>
      </c>
      <c r="F128" t="s">
        <v>21</v>
      </c>
      <c r="G128" t="s">
        <v>256</v>
      </c>
      <c r="H128" t="s">
        <v>11</v>
      </c>
      <c r="I128" t="s">
        <v>7</v>
      </c>
      <c r="J128" t="s">
        <v>39</v>
      </c>
      <c r="K128" t="s">
        <v>72</v>
      </c>
      <c r="L128" t="s">
        <v>40</v>
      </c>
      <c r="M128">
        <v>1</v>
      </c>
    </row>
    <row r="129" spans="1:13" x14ac:dyDescent="0.25">
      <c r="A129" s="2">
        <v>46253</v>
      </c>
      <c r="B129" s="1" t="str">
        <f ca="1">IF(Información1[[#This Row],[Fecha]]='Ajuste de fechas'!$A$2,"Día actual","Día anterior")</f>
        <v>Día actual</v>
      </c>
      <c r="C129" t="s">
        <v>28</v>
      </c>
      <c r="D129" t="s">
        <v>71</v>
      </c>
      <c r="E129" t="s">
        <v>257</v>
      </c>
      <c r="F129" t="s">
        <v>82</v>
      </c>
      <c r="G129" t="s">
        <v>258</v>
      </c>
      <c r="H129" t="s">
        <v>11</v>
      </c>
      <c r="I129" t="s">
        <v>7</v>
      </c>
      <c r="J129" t="s">
        <v>39</v>
      </c>
      <c r="K129" t="s">
        <v>72</v>
      </c>
      <c r="L129" t="s">
        <v>40</v>
      </c>
      <c r="M129">
        <v>1</v>
      </c>
    </row>
    <row r="130" spans="1:13" x14ac:dyDescent="0.25">
      <c r="A130" s="2">
        <v>46253</v>
      </c>
      <c r="B130" s="1" t="str">
        <f ca="1">IF(Información1[[#This Row],[Fecha]]='Ajuste de fechas'!$A$2,"Día actual","Día anterior")</f>
        <v>Día actual</v>
      </c>
      <c r="C130" t="s">
        <v>8</v>
      </c>
      <c r="D130" t="s">
        <v>10</v>
      </c>
      <c r="E130" t="s">
        <v>259</v>
      </c>
      <c r="F130" t="s">
        <v>19</v>
      </c>
      <c r="G130" t="s">
        <v>85</v>
      </c>
      <c r="H130" t="s">
        <v>11</v>
      </c>
      <c r="I130" t="s">
        <v>7</v>
      </c>
      <c r="J130" t="s">
        <v>43</v>
      </c>
      <c r="K130" t="s">
        <v>14</v>
      </c>
      <c r="L130" t="s">
        <v>69</v>
      </c>
      <c r="M130">
        <v>1</v>
      </c>
    </row>
    <row r="131" spans="1:13" x14ac:dyDescent="0.25">
      <c r="A131" s="2">
        <v>46253</v>
      </c>
      <c r="B131" s="1" t="str">
        <f ca="1">IF(Información1[[#This Row],[Fecha]]='Ajuste de fechas'!$A$2,"Día actual","Día anterior")</f>
        <v>Día actual</v>
      </c>
      <c r="C131" t="s">
        <v>28</v>
      </c>
      <c r="D131" t="s">
        <v>71</v>
      </c>
      <c r="E131" t="s">
        <v>260</v>
      </c>
      <c r="F131" t="s">
        <v>77</v>
      </c>
      <c r="G131" t="s">
        <v>105</v>
      </c>
      <c r="H131" t="s">
        <v>11</v>
      </c>
      <c r="I131" t="s">
        <v>7</v>
      </c>
      <c r="J131" t="s">
        <v>39</v>
      </c>
      <c r="K131" t="s">
        <v>72</v>
      </c>
      <c r="L131" t="s">
        <v>40</v>
      </c>
      <c r="M131">
        <v>1</v>
      </c>
    </row>
    <row r="132" spans="1:13" x14ac:dyDescent="0.25">
      <c r="A132" s="2">
        <v>46253</v>
      </c>
      <c r="B132" s="1" t="str">
        <f ca="1">IF(Información1[[#This Row],[Fecha]]='Ajuste de fechas'!$A$2,"Día actual","Día anterior")</f>
        <v>Día actual</v>
      </c>
      <c r="C132" t="s">
        <v>28</v>
      </c>
      <c r="D132" t="s">
        <v>71</v>
      </c>
      <c r="E132" t="s">
        <v>261</v>
      </c>
      <c r="F132" t="s">
        <v>26</v>
      </c>
      <c r="G132" t="s">
        <v>262</v>
      </c>
      <c r="H132" t="s">
        <v>11</v>
      </c>
      <c r="I132" t="s">
        <v>7</v>
      </c>
      <c r="J132" t="s">
        <v>39</v>
      </c>
      <c r="K132" t="s">
        <v>72</v>
      </c>
      <c r="L132" t="s">
        <v>40</v>
      </c>
      <c r="M132">
        <v>1</v>
      </c>
    </row>
    <row r="133" spans="1:13" x14ac:dyDescent="0.25">
      <c r="A133" s="2">
        <v>46253</v>
      </c>
      <c r="B133" s="1" t="str">
        <f ca="1">IF(Información1[[#This Row],[Fecha]]='Ajuste de fechas'!$A$2,"Día actual","Día anterior")</f>
        <v>Día actual</v>
      </c>
      <c r="C133" t="s">
        <v>8</v>
      </c>
      <c r="D133" t="s">
        <v>10</v>
      </c>
      <c r="E133" t="s">
        <v>263</v>
      </c>
      <c r="F133" t="s">
        <v>53</v>
      </c>
      <c r="G133" t="s">
        <v>264</v>
      </c>
      <c r="H133" t="s">
        <v>11</v>
      </c>
      <c r="I133" t="s">
        <v>7</v>
      </c>
      <c r="J133" t="s">
        <v>24</v>
      </c>
      <c r="K133" t="s">
        <v>14</v>
      </c>
      <c r="L133" t="s">
        <v>40</v>
      </c>
      <c r="M133">
        <v>1</v>
      </c>
    </row>
    <row r="134" spans="1:13" x14ac:dyDescent="0.25">
      <c r="A134" s="2">
        <v>46253</v>
      </c>
      <c r="B134" s="1" t="str">
        <f ca="1">IF(Información1[[#This Row],[Fecha]]='Ajuste de fechas'!$A$2,"Día actual","Día anterior")</f>
        <v>Día actual</v>
      </c>
      <c r="C134" t="s">
        <v>28</v>
      </c>
      <c r="D134" t="s">
        <v>71</v>
      </c>
      <c r="E134" t="s">
        <v>265</v>
      </c>
      <c r="F134" t="s">
        <v>19</v>
      </c>
      <c r="G134" t="s">
        <v>152</v>
      </c>
      <c r="H134" t="s">
        <v>11</v>
      </c>
      <c r="I134" t="s">
        <v>25</v>
      </c>
      <c r="J134" t="s">
        <v>43</v>
      </c>
      <c r="K134" t="s">
        <v>72</v>
      </c>
      <c r="L134" t="s">
        <v>40</v>
      </c>
      <c r="M134">
        <v>1</v>
      </c>
    </row>
    <row r="135" spans="1:13" x14ac:dyDescent="0.25">
      <c r="A135" s="2">
        <v>46253</v>
      </c>
      <c r="B135" s="1" t="str">
        <f ca="1">IF(Información1[[#This Row],[Fecha]]='Ajuste de fechas'!$A$2,"Día actual","Día anterior")</f>
        <v>Día actual</v>
      </c>
      <c r="C135" t="s">
        <v>28</v>
      </c>
      <c r="D135" t="s">
        <v>71</v>
      </c>
      <c r="E135" t="s">
        <v>266</v>
      </c>
      <c r="F135" t="s">
        <v>151</v>
      </c>
      <c r="G135" t="s">
        <v>267</v>
      </c>
      <c r="H135" t="s">
        <v>11</v>
      </c>
      <c r="I135" t="s">
        <v>7</v>
      </c>
      <c r="J135" t="s">
        <v>39</v>
      </c>
      <c r="K135" t="s">
        <v>72</v>
      </c>
      <c r="L135" t="s">
        <v>40</v>
      </c>
      <c r="M135">
        <v>1</v>
      </c>
    </row>
    <row r="136" spans="1:13" x14ac:dyDescent="0.25">
      <c r="A136" s="2">
        <v>46253</v>
      </c>
      <c r="B136" s="1" t="str">
        <f ca="1">IF(Información1[[#This Row],[Fecha]]='Ajuste de fechas'!$A$2,"Día actual","Día anterior")</f>
        <v>Día actual</v>
      </c>
      <c r="C136" t="s">
        <v>66</v>
      </c>
      <c r="D136" t="s">
        <v>67</v>
      </c>
      <c r="E136" t="s">
        <v>268</v>
      </c>
      <c r="F136" t="s">
        <v>82</v>
      </c>
      <c r="G136" t="s">
        <v>108</v>
      </c>
      <c r="H136" t="s">
        <v>11</v>
      </c>
      <c r="I136" t="s">
        <v>7</v>
      </c>
      <c r="J136" t="s">
        <v>39</v>
      </c>
      <c r="K136" t="s">
        <v>68</v>
      </c>
      <c r="L136" t="s">
        <v>40</v>
      </c>
      <c r="M136">
        <v>1</v>
      </c>
    </row>
    <row r="137" spans="1:13" x14ac:dyDescent="0.25">
      <c r="A137" s="2">
        <v>46253</v>
      </c>
      <c r="B137" s="1" t="str">
        <f ca="1">IF(Información1[[#This Row],[Fecha]]='Ajuste de fechas'!$A$2,"Día actual","Día anterior")</f>
        <v>Día actual</v>
      </c>
      <c r="C137" t="s">
        <v>28</v>
      </c>
      <c r="D137" t="s">
        <v>71</v>
      </c>
      <c r="E137" t="s">
        <v>269</v>
      </c>
      <c r="F137" t="s">
        <v>109</v>
      </c>
      <c r="G137" t="s">
        <v>108</v>
      </c>
      <c r="H137" t="s">
        <v>11</v>
      </c>
      <c r="I137" t="s">
        <v>7</v>
      </c>
      <c r="J137" t="s">
        <v>39</v>
      </c>
      <c r="K137" t="s">
        <v>72</v>
      </c>
      <c r="L137" t="s">
        <v>40</v>
      </c>
      <c r="M137">
        <v>1</v>
      </c>
    </row>
    <row r="138" spans="1:13" x14ac:dyDescent="0.25">
      <c r="A138" s="2">
        <v>46253</v>
      </c>
      <c r="B138" s="1" t="str">
        <f ca="1">IF(Información1[[#This Row],[Fecha]]='Ajuste de fechas'!$A$2,"Día actual","Día anterior")</f>
        <v>Día actual</v>
      </c>
      <c r="C138" t="s">
        <v>28</v>
      </c>
      <c r="D138" t="s">
        <v>71</v>
      </c>
      <c r="E138" t="s">
        <v>270</v>
      </c>
      <c r="F138" t="s">
        <v>19</v>
      </c>
      <c r="G138" t="s">
        <v>271</v>
      </c>
      <c r="H138" t="s">
        <v>11</v>
      </c>
      <c r="I138" t="s">
        <v>25</v>
      </c>
      <c r="J138" t="s">
        <v>43</v>
      </c>
      <c r="K138" t="s">
        <v>72</v>
      </c>
      <c r="L138" t="s">
        <v>40</v>
      </c>
      <c r="M138">
        <v>1</v>
      </c>
    </row>
    <row r="139" spans="1:13" x14ac:dyDescent="0.25">
      <c r="A139" s="2">
        <v>46253</v>
      </c>
      <c r="B139" s="1" t="str">
        <f ca="1">IF(Información1[[#This Row],[Fecha]]='Ajuste de fechas'!$A$2,"Día actual","Día anterior")</f>
        <v>Día actual</v>
      </c>
      <c r="C139" t="s">
        <v>66</v>
      </c>
      <c r="D139" t="s">
        <v>67</v>
      </c>
      <c r="E139" t="s">
        <v>272</v>
      </c>
      <c r="F139" t="s">
        <v>26</v>
      </c>
      <c r="G139" t="s">
        <v>273</v>
      </c>
      <c r="H139" t="s">
        <v>11</v>
      </c>
      <c r="I139" t="s">
        <v>7</v>
      </c>
      <c r="J139" t="s">
        <v>39</v>
      </c>
      <c r="K139" t="s">
        <v>68</v>
      </c>
      <c r="L139" t="s">
        <v>40</v>
      </c>
      <c r="M139">
        <v>1</v>
      </c>
    </row>
    <row r="140" spans="1:13" x14ac:dyDescent="0.25">
      <c r="A140" s="2">
        <v>46253</v>
      </c>
      <c r="B140" s="1" t="str">
        <f ca="1">IF(Información1[[#This Row],[Fecha]]='Ajuste de fechas'!$A$2,"Día actual","Día anterior")</f>
        <v>Día actual</v>
      </c>
      <c r="C140" t="s">
        <v>73</v>
      </c>
      <c r="D140" t="s">
        <v>78</v>
      </c>
      <c r="E140" t="s">
        <v>274</v>
      </c>
      <c r="F140" t="s">
        <v>26</v>
      </c>
      <c r="G140" t="s">
        <v>273</v>
      </c>
      <c r="H140" t="s">
        <v>11</v>
      </c>
      <c r="I140" t="s">
        <v>12</v>
      </c>
      <c r="J140" t="s">
        <v>39</v>
      </c>
      <c r="K140" t="s">
        <v>72</v>
      </c>
      <c r="L140" t="s">
        <v>40</v>
      </c>
      <c r="M140">
        <v>1</v>
      </c>
    </row>
    <row r="141" spans="1:13" x14ac:dyDescent="0.25">
      <c r="A141" s="2">
        <v>46253</v>
      </c>
      <c r="B141" s="1" t="str">
        <f ca="1">IF(Información1[[#This Row],[Fecha]]='Ajuste de fechas'!$A$2,"Día actual","Día anterior")</f>
        <v>Día actual</v>
      </c>
      <c r="C141" t="s">
        <v>8</v>
      </c>
      <c r="D141" t="s">
        <v>10</v>
      </c>
      <c r="E141" t="s">
        <v>275</v>
      </c>
      <c r="F141" t="s">
        <v>19</v>
      </c>
      <c r="G141" t="s">
        <v>276</v>
      </c>
      <c r="H141" t="s">
        <v>11</v>
      </c>
      <c r="I141" t="s">
        <v>7</v>
      </c>
      <c r="J141" t="s">
        <v>43</v>
      </c>
      <c r="K141" t="s">
        <v>14</v>
      </c>
      <c r="L141" t="s">
        <v>40</v>
      </c>
      <c r="M141">
        <v>1</v>
      </c>
    </row>
    <row r="142" spans="1:13" x14ac:dyDescent="0.25">
      <c r="A142" s="2">
        <v>46253</v>
      </c>
      <c r="B142" s="1" t="str">
        <f ca="1">IF(Información1[[#This Row],[Fecha]]='Ajuste de fechas'!$A$2,"Día actual","Día anterior")</f>
        <v>Día actual</v>
      </c>
      <c r="C142" t="s">
        <v>28</v>
      </c>
      <c r="D142" t="s">
        <v>71</v>
      </c>
      <c r="E142" t="s">
        <v>277</v>
      </c>
      <c r="F142" t="s">
        <v>278</v>
      </c>
      <c r="G142" t="s">
        <v>279</v>
      </c>
      <c r="H142" t="s">
        <v>11</v>
      </c>
      <c r="I142" t="s">
        <v>7</v>
      </c>
      <c r="J142" t="s">
        <v>39</v>
      </c>
      <c r="K142" t="s">
        <v>72</v>
      </c>
      <c r="L142" t="s">
        <v>40</v>
      </c>
      <c r="M142">
        <v>1</v>
      </c>
    </row>
    <row r="143" spans="1:13" x14ac:dyDescent="0.25">
      <c r="A143" s="2">
        <v>46253</v>
      </c>
      <c r="B143" s="1" t="str">
        <f ca="1">IF(Información1[[#This Row],[Fecha]]='Ajuste de fechas'!$A$2,"Día actual","Día anterior")</f>
        <v>Día actual</v>
      </c>
      <c r="C143" t="s">
        <v>28</v>
      </c>
      <c r="D143" t="s">
        <v>71</v>
      </c>
      <c r="E143" t="s">
        <v>280</v>
      </c>
      <c r="F143" t="s">
        <v>281</v>
      </c>
      <c r="G143" t="s">
        <v>279</v>
      </c>
      <c r="H143" t="s">
        <v>11</v>
      </c>
      <c r="I143" t="s">
        <v>7</v>
      </c>
      <c r="J143" t="s">
        <v>39</v>
      </c>
      <c r="K143" t="s">
        <v>72</v>
      </c>
      <c r="L143" t="s">
        <v>40</v>
      </c>
      <c r="M143">
        <v>1</v>
      </c>
    </row>
    <row r="144" spans="1:13" x14ac:dyDescent="0.25">
      <c r="A144" s="2">
        <v>46253</v>
      </c>
      <c r="B144" s="1" t="str">
        <f ca="1">IF(Información1[[#This Row],[Fecha]]='Ajuste de fechas'!$A$2,"Día actual","Día anterior")</f>
        <v>Día actual</v>
      </c>
      <c r="C144" t="s">
        <v>28</v>
      </c>
      <c r="D144" t="s">
        <v>71</v>
      </c>
      <c r="E144" t="s">
        <v>282</v>
      </c>
      <c r="F144" t="s">
        <v>15</v>
      </c>
      <c r="G144" t="s">
        <v>283</v>
      </c>
      <c r="H144" t="s">
        <v>11</v>
      </c>
      <c r="I144" t="s">
        <v>7</v>
      </c>
      <c r="J144" t="s">
        <v>39</v>
      </c>
      <c r="K144" t="s">
        <v>72</v>
      </c>
      <c r="L144" t="s">
        <v>40</v>
      </c>
      <c r="M144">
        <v>1</v>
      </c>
    </row>
    <row r="145" spans="1:13" x14ac:dyDescent="0.25">
      <c r="A145" s="2">
        <v>46253</v>
      </c>
      <c r="B145" s="1" t="str">
        <f ca="1">IF(Información1[[#This Row],[Fecha]]='Ajuste de fechas'!$A$2,"Día actual","Día anterior")</f>
        <v>Día actual</v>
      </c>
      <c r="C145" t="s">
        <v>8</v>
      </c>
      <c r="D145" t="s">
        <v>10</v>
      </c>
      <c r="E145" t="s">
        <v>284</v>
      </c>
      <c r="F145" t="s">
        <v>19</v>
      </c>
      <c r="G145" t="s">
        <v>285</v>
      </c>
      <c r="H145" t="s">
        <v>11</v>
      </c>
      <c r="I145" t="s">
        <v>7</v>
      </c>
      <c r="J145" t="s">
        <v>43</v>
      </c>
      <c r="K145" t="s">
        <v>9</v>
      </c>
      <c r="L145" t="s">
        <v>41</v>
      </c>
      <c r="M145">
        <v>1</v>
      </c>
    </row>
    <row r="146" spans="1:13" x14ac:dyDescent="0.25">
      <c r="A146" s="2">
        <v>46253</v>
      </c>
      <c r="B146" s="1" t="str">
        <f ca="1">IF(Información1[[#This Row],[Fecha]]='Ajuste de fechas'!$A$2,"Día actual","Día anterior")</f>
        <v>Día actual</v>
      </c>
      <c r="C146" t="s">
        <v>28</v>
      </c>
      <c r="D146" t="s">
        <v>71</v>
      </c>
      <c r="E146" t="s">
        <v>286</v>
      </c>
      <c r="F146" t="s">
        <v>26</v>
      </c>
      <c r="G146" t="s">
        <v>287</v>
      </c>
      <c r="H146" t="s">
        <v>11</v>
      </c>
      <c r="I146" t="s">
        <v>7</v>
      </c>
      <c r="J146" t="s">
        <v>39</v>
      </c>
      <c r="K146" t="s">
        <v>72</v>
      </c>
      <c r="L146" t="s">
        <v>40</v>
      </c>
      <c r="M146">
        <v>1</v>
      </c>
    </row>
    <row r="147" spans="1:13" x14ac:dyDescent="0.25">
      <c r="A147" s="2">
        <v>46253</v>
      </c>
      <c r="B147" s="1" t="str">
        <f ca="1">IF(Información1[[#This Row],[Fecha]]='Ajuste de fechas'!$A$2,"Día actual","Día anterior")</f>
        <v>Día actual</v>
      </c>
      <c r="C147" t="s">
        <v>28</v>
      </c>
      <c r="D147" t="s">
        <v>71</v>
      </c>
      <c r="E147" t="s">
        <v>288</v>
      </c>
      <c r="F147" t="s">
        <v>24</v>
      </c>
      <c r="G147" t="s">
        <v>287</v>
      </c>
      <c r="H147" t="s">
        <v>11</v>
      </c>
      <c r="I147" t="s">
        <v>7</v>
      </c>
      <c r="J147" t="s">
        <v>24</v>
      </c>
      <c r="K147" t="s">
        <v>72</v>
      </c>
      <c r="L147" t="s">
        <v>40</v>
      </c>
      <c r="M147">
        <v>1</v>
      </c>
    </row>
    <row r="148" spans="1:13" x14ac:dyDescent="0.25">
      <c r="A148" s="2">
        <v>46253</v>
      </c>
      <c r="B148" s="1" t="str">
        <f ca="1">IF(Información1[[#This Row],[Fecha]]='Ajuste de fechas'!$A$2,"Día actual","Día anterior")</f>
        <v>Día actual</v>
      </c>
      <c r="C148" t="s">
        <v>8</v>
      </c>
      <c r="D148" t="s">
        <v>10</v>
      </c>
      <c r="E148" t="s">
        <v>289</v>
      </c>
      <c r="F148" t="s">
        <v>19</v>
      </c>
      <c r="G148" t="s">
        <v>83</v>
      </c>
      <c r="H148" t="s">
        <v>11</v>
      </c>
      <c r="I148" t="s">
        <v>25</v>
      </c>
      <c r="J148" t="s">
        <v>43</v>
      </c>
      <c r="K148" t="s">
        <v>9</v>
      </c>
      <c r="L148" t="s">
        <v>41</v>
      </c>
      <c r="M148">
        <v>1</v>
      </c>
    </row>
    <row r="149" spans="1:13" x14ac:dyDescent="0.25">
      <c r="A149" s="2">
        <v>46253</v>
      </c>
      <c r="B149" s="1" t="str">
        <f ca="1">IF(Información1[[#This Row],[Fecha]]='Ajuste de fechas'!$A$2,"Día actual","Día anterior")</f>
        <v>Día actual</v>
      </c>
      <c r="C149" t="s">
        <v>8</v>
      </c>
      <c r="D149" t="s">
        <v>10</v>
      </c>
      <c r="E149" t="s">
        <v>290</v>
      </c>
      <c r="F149" t="s">
        <v>19</v>
      </c>
      <c r="G149" t="s">
        <v>83</v>
      </c>
      <c r="H149" t="s">
        <v>11</v>
      </c>
      <c r="I149" t="s">
        <v>25</v>
      </c>
      <c r="J149" t="s">
        <v>43</v>
      </c>
      <c r="K149" t="s">
        <v>9</v>
      </c>
      <c r="L149" t="s">
        <v>41</v>
      </c>
      <c r="M149">
        <v>1</v>
      </c>
    </row>
    <row r="150" spans="1:13" x14ac:dyDescent="0.25">
      <c r="A150" s="2">
        <v>46253</v>
      </c>
      <c r="B150" s="1" t="str">
        <f ca="1">IF(Información1[[#This Row],[Fecha]]='Ajuste de fechas'!$A$2,"Día actual","Día anterior")</f>
        <v>Día actual</v>
      </c>
      <c r="C150" t="s">
        <v>8</v>
      </c>
      <c r="D150" t="s">
        <v>10</v>
      </c>
      <c r="E150" t="s">
        <v>84</v>
      </c>
      <c r="F150" t="s">
        <v>19</v>
      </c>
      <c r="G150" t="s">
        <v>83</v>
      </c>
      <c r="H150" t="s">
        <v>11</v>
      </c>
      <c r="I150" t="s">
        <v>25</v>
      </c>
      <c r="J150" t="s">
        <v>43</v>
      </c>
      <c r="K150" t="s">
        <v>9</v>
      </c>
      <c r="L150" t="s">
        <v>41</v>
      </c>
      <c r="M150">
        <v>1</v>
      </c>
    </row>
    <row r="151" spans="1:13" x14ac:dyDescent="0.25">
      <c r="A151" s="2">
        <v>46253</v>
      </c>
      <c r="B151" s="1" t="str">
        <f ca="1">IF(Información1[[#This Row],[Fecha]]='Ajuste de fechas'!$A$2,"Día actual","Día anterior")</f>
        <v>Día actual</v>
      </c>
      <c r="C151" t="s">
        <v>28</v>
      </c>
      <c r="D151" t="s">
        <v>71</v>
      </c>
      <c r="E151" t="s">
        <v>291</v>
      </c>
      <c r="F151" t="s">
        <v>24</v>
      </c>
      <c r="G151" t="s">
        <v>292</v>
      </c>
      <c r="H151" t="s">
        <v>11</v>
      </c>
      <c r="I151" t="s">
        <v>7</v>
      </c>
      <c r="J151" t="s">
        <v>24</v>
      </c>
      <c r="K151" t="s">
        <v>72</v>
      </c>
      <c r="L151" t="s">
        <v>40</v>
      </c>
      <c r="M151">
        <v>1</v>
      </c>
    </row>
    <row r="152" spans="1:13" x14ac:dyDescent="0.25">
      <c r="A152" s="2">
        <v>46253</v>
      </c>
      <c r="B152" s="1" t="str">
        <f ca="1">IF(Información1[[#This Row],[Fecha]]='Ajuste de fechas'!$A$2,"Día actual","Día anterior")</f>
        <v>Día actual</v>
      </c>
      <c r="C152" t="s">
        <v>8</v>
      </c>
      <c r="D152" t="s">
        <v>10</v>
      </c>
      <c r="E152" t="s">
        <v>293</v>
      </c>
      <c r="F152" t="s">
        <v>6</v>
      </c>
      <c r="G152" t="s">
        <v>88</v>
      </c>
      <c r="H152" t="s">
        <v>11</v>
      </c>
      <c r="I152" t="s">
        <v>25</v>
      </c>
      <c r="J152" t="s">
        <v>39</v>
      </c>
      <c r="K152" t="s">
        <v>9</v>
      </c>
      <c r="L152" t="s">
        <v>41</v>
      </c>
      <c r="M152">
        <v>1</v>
      </c>
    </row>
    <row r="153" spans="1:13" x14ac:dyDescent="0.25">
      <c r="A153" s="2">
        <v>46253</v>
      </c>
      <c r="B153" s="1" t="str">
        <f ca="1">IF(Información1[[#This Row],[Fecha]]='Ajuste de fechas'!$A$2,"Día actual","Día anterior")</f>
        <v>Día actual</v>
      </c>
      <c r="C153" t="s">
        <v>49</v>
      </c>
      <c r="D153" t="s">
        <v>54</v>
      </c>
      <c r="E153" t="s">
        <v>294</v>
      </c>
      <c r="F153" t="s">
        <v>21</v>
      </c>
      <c r="G153" t="s">
        <v>295</v>
      </c>
      <c r="H153" t="s">
        <v>11</v>
      </c>
      <c r="I153" t="s">
        <v>25</v>
      </c>
      <c r="J153" t="s">
        <v>39</v>
      </c>
      <c r="K153" t="s">
        <v>9</v>
      </c>
      <c r="L153" t="s">
        <v>41</v>
      </c>
      <c r="M153">
        <v>1</v>
      </c>
    </row>
    <row r="154" spans="1:13" x14ac:dyDescent="0.25">
      <c r="A154" s="2">
        <v>46253</v>
      </c>
      <c r="B154" s="1" t="str">
        <f ca="1">IF(Información1[[#This Row],[Fecha]]='Ajuste de fechas'!$A$2,"Día actual","Día anterior")</f>
        <v>Día actual</v>
      </c>
      <c r="C154" t="s">
        <v>49</v>
      </c>
      <c r="D154" t="s">
        <v>54</v>
      </c>
      <c r="E154" t="s">
        <v>296</v>
      </c>
      <c r="F154" t="s">
        <v>19</v>
      </c>
      <c r="G154" t="s">
        <v>283</v>
      </c>
      <c r="H154" t="s">
        <v>11</v>
      </c>
      <c r="I154" t="s">
        <v>297</v>
      </c>
      <c r="J154" t="s">
        <v>43</v>
      </c>
      <c r="K154" t="s">
        <v>50</v>
      </c>
      <c r="L154" t="s">
        <v>41</v>
      </c>
      <c r="M154">
        <v>1</v>
      </c>
    </row>
    <row r="155" spans="1:13" x14ac:dyDescent="0.25">
      <c r="A155" s="2">
        <v>46253</v>
      </c>
      <c r="B155" s="1" t="str">
        <f ca="1">IF(Información1[[#This Row],[Fecha]]='Ajuste de fechas'!$A$2,"Día actual","Día anterior")</f>
        <v>Día actual</v>
      </c>
      <c r="C155" t="s">
        <v>49</v>
      </c>
      <c r="D155" t="s">
        <v>54</v>
      </c>
      <c r="E155" t="s">
        <v>298</v>
      </c>
      <c r="F155" t="s">
        <v>23</v>
      </c>
      <c r="G155" t="s">
        <v>283</v>
      </c>
      <c r="H155" t="s">
        <v>11</v>
      </c>
      <c r="I155" t="s">
        <v>7</v>
      </c>
      <c r="J155" t="s">
        <v>39</v>
      </c>
      <c r="K155" t="s">
        <v>50</v>
      </c>
      <c r="L155" t="s">
        <v>42</v>
      </c>
      <c r="M155">
        <v>1</v>
      </c>
    </row>
    <row r="156" spans="1:13" x14ac:dyDescent="0.25">
      <c r="A156" s="2">
        <v>46253</v>
      </c>
      <c r="B156" s="1" t="str">
        <f ca="1">IF(Información1[[#This Row],[Fecha]]='Ajuste de fechas'!$A$2,"Día actual","Día anterior")</f>
        <v>Día actual</v>
      </c>
      <c r="C156" t="s">
        <v>49</v>
      </c>
      <c r="D156" t="s">
        <v>54</v>
      </c>
      <c r="E156" t="s">
        <v>299</v>
      </c>
      <c r="F156" t="s">
        <v>26</v>
      </c>
      <c r="G156" t="s">
        <v>300</v>
      </c>
      <c r="H156" t="s">
        <v>11</v>
      </c>
      <c r="I156" t="s">
        <v>12</v>
      </c>
      <c r="J156" t="s">
        <v>39</v>
      </c>
      <c r="K156" t="s">
        <v>50</v>
      </c>
      <c r="L156" t="s">
        <v>40</v>
      </c>
      <c r="M156">
        <v>1</v>
      </c>
    </row>
    <row r="157" spans="1:13" x14ac:dyDescent="0.25">
      <c r="A157" s="2">
        <v>46253</v>
      </c>
      <c r="B157" s="1" t="str">
        <f ca="1">IF(Información1[[#This Row],[Fecha]]='Ajuste de fechas'!$A$2,"Día actual","Día anterior")</f>
        <v>Día actual</v>
      </c>
      <c r="C157" t="s">
        <v>49</v>
      </c>
      <c r="D157" t="s">
        <v>51</v>
      </c>
      <c r="E157" t="s">
        <v>301</v>
      </c>
      <c r="F157" t="s">
        <v>19</v>
      </c>
      <c r="G157" t="s">
        <v>302</v>
      </c>
      <c r="H157" t="s">
        <v>11</v>
      </c>
      <c r="I157" t="s">
        <v>7</v>
      </c>
      <c r="J157" t="s">
        <v>43</v>
      </c>
      <c r="K157" t="s">
        <v>50</v>
      </c>
      <c r="L157" t="s">
        <v>69</v>
      </c>
      <c r="M157">
        <v>1</v>
      </c>
    </row>
    <row r="158" spans="1:13" x14ac:dyDescent="0.25">
      <c r="A158" s="2">
        <v>46253</v>
      </c>
      <c r="B158" s="1" t="str">
        <f ca="1">IF(Información1[[#This Row],[Fecha]]='Ajuste de fechas'!$A$2,"Día actual","Día anterior")</f>
        <v>Día actual</v>
      </c>
      <c r="C158" t="s">
        <v>49</v>
      </c>
      <c r="D158" t="s">
        <v>51</v>
      </c>
      <c r="E158" t="s">
        <v>303</v>
      </c>
      <c r="F158" t="s">
        <v>77</v>
      </c>
      <c r="G158" t="s">
        <v>304</v>
      </c>
      <c r="H158" t="s">
        <v>11</v>
      </c>
      <c r="I158" t="s">
        <v>7</v>
      </c>
      <c r="J158" t="s">
        <v>39</v>
      </c>
      <c r="K158" t="s">
        <v>48</v>
      </c>
      <c r="L158" t="s">
        <v>40</v>
      </c>
      <c r="M158">
        <v>1</v>
      </c>
    </row>
    <row r="159" spans="1:13" x14ac:dyDescent="0.25">
      <c r="A159" s="2">
        <v>46253</v>
      </c>
      <c r="B159" s="1" t="str">
        <f ca="1">IF(Información1[[#This Row],[Fecha]]='Ajuste de fechas'!$A$2,"Día actual","Día anterior")</f>
        <v>Día actual</v>
      </c>
      <c r="C159" t="s">
        <v>49</v>
      </c>
      <c r="D159" t="s">
        <v>51</v>
      </c>
      <c r="E159" t="s">
        <v>305</v>
      </c>
      <c r="F159" t="s">
        <v>77</v>
      </c>
      <c r="G159" t="s">
        <v>304</v>
      </c>
      <c r="H159" t="s">
        <v>11</v>
      </c>
      <c r="I159" t="s">
        <v>7</v>
      </c>
      <c r="J159" t="s">
        <v>39</v>
      </c>
      <c r="K159" t="s">
        <v>48</v>
      </c>
      <c r="L159" t="s">
        <v>42</v>
      </c>
      <c r="M159">
        <v>1</v>
      </c>
    </row>
    <row r="160" spans="1:13" x14ac:dyDescent="0.25">
      <c r="A160" s="2">
        <v>46253</v>
      </c>
      <c r="B160" s="1" t="str">
        <f ca="1">IF(Información1[[#This Row],[Fecha]]='Ajuste de fechas'!$A$2,"Día actual","Día anterior")</f>
        <v>Día actual</v>
      </c>
      <c r="C160" t="s">
        <v>49</v>
      </c>
      <c r="D160" t="s">
        <v>51</v>
      </c>
      <c r="E160" t="s">
        <v>306</v>
      </c>
      <c r="F160" t="s">
        <v>77</v>
      </c>
      <c r="G160" t="s">
        <v>304</v>
      </c>
      <c r="H160" t="s">
        <v>11</v>
      </c>
      <c r="I160" t="s">
        <v>7</v>
      </c>
      <c r="J160" t="s">
        <v>39</v>
      </c>
      <c r="K160" t="s">
        <v>48</v>
      </c>
      <c r="L160" t="s">
        <v>40</v>
      </c>
      <c r="M160">
        <v>1</v>
      </c>
    </row>
    <row r="161" spans="1:13" x14ac:dyDescent="0.25">
      <c r="A161" s="2">
        <v>46253</v>
      </c>
      <c r="B161" s="1" t="str">
        <f ca="1">IF(Información1[[#This Row],[Fecha]]='Ajuste de fechas'!$A$2,"Día actual","Día anterior")</f>
        <v>Día actual</v>
      </c>
      <c r="C161" t="s">
        <v>49</v>
      </c>
      <c r="D161" t="s">
        <v>51</v>
      </c>
      <c r="E161" t="s">
        <v>307</v>
      </c>
      <c r="F161" t="s">
        <v>82</v>
      </c>
      <c r="G161" t="s">
        <v>258</v>
      </c>
      <c r="H161" t="s">
        <v>11</v>
      </c>
      <c r="I161" t="s">
        <v>7</v>
      </c>
      <c r="J161" t="s">
        <v>39</v>
      </c>
      <c r="K161" t="s">
        <v>48</v>
      </c>
      <c r="L161" t="s">
        <v>42</v>
      </c>
      <c r="M161">
        <v>1</v>
      </c>
    </row>
    <row r="162" spans="1:13" x14ac:dyDescent="0.25">
      <c r="A162" s="2">
        <v>46253</v>
      </c>
      <c r="B162" s="1" t="str">
        <f ca="1">IF(Información1[[#This Row],[Fecha]]='Ajuste de fechas'!$A$2,"Día actual","Día anterior")</f>
        <v>Día actual</v>
      </c>
      <c r="C162" t="s">
        <v>49</v>
      </c>
      <c r="D162" t="s">
        <v>51</v>
      </c>
      <c r="E162" t="s">
        <v>308</v>
      </c>
      <c r="F162" t="s">
        <v>53</v>
      </c>
      <c r="G162" t="s">
        <v>254</v>
      </c>
      <c r="H162" t="s">
        <v>11</v>
      </c>
      <c r="I162" t="s">
        <v>7</v>
      </c>
      <c r="J162" t="s">
        <v>24</v>
      </c>
      <c r="K162" t="s">
        <v>48</v>
      </c>
      <c r="L162" t="s">
        <v>40</v>
      </c>
      <c r="M162">
        <v>1</v>
      </c>
    </row>
    <row r="163" spans="1:13" x14ac:dyDescent="0.25">
      <c r="A163" s="2">
        <v>46253</v>
      </c>
      <c r="B163" s="1" t="str">
        <f ca="1">IF(Información1[[#This Row],[Fecha]]='Ajuste de fechas'!$A$2,"Día actual","Día anterior")</f>
        <v>Día actual</v>
      </c>
      <c r="C163" t="s">
        <v>49</v>
      </c>
      <c r="D163" t="s">
        <v>51</v>
      </c>
      <c r="E163" t="s">
        <v>309</v>
      </c>
      <c r="F163" t="s">
        <v>26</v>
      </c>
      <c r="G163" t="s">
        <v>262</v>
      </c>
      <c r="H163" t="s">
        <v>11</v>
      </c>
      <c r="I163" t="s">
        <v>7</v>
      </c>
      <c r="J163" t="s">
        <v>39</v>
      </c>
      <c r="K163" t="s">
        <v>48</v>
      </c>
      <c r="L163" t="s">
        <v>42</v>
      </c>
      <c r="M163">
        <v>1</v>
      </c>
    </row>
    <row r="164" spans="1:13" x14ac:dyDescent="0.25">
      <c r="A164" s="2">
        <v>46253</v>
      </c>
      <c r="B164" s="1" t="str">
        <f ca="1">IF(Información1[[#This Row],[Fecha]]='Ajuste de fechas'!$A$2,"Día actual","Día anterior")</f>
        <v>Día actual</v>
      </c>
      <c r="C164" t="s">
        <v>49</v>
      </c>
      <c r="D164" t="s">
        <v>51</v>
      </c>
      <c r="E164" t="s">
        <v>310</v>
      </c>
      <c r="F164" t="s">
        <v>26</v>
      </c>
      <c r="G164" t="s">
        <v>300</v>
      </c>
      <c r="H164" t="s">
        <v>11</v>
      </c>
      <c r="I164" t="s">
        <v>12</v>
      </c>
      <c r="J164" t="s">
        <v>39</v>
      </c>
      <c r="K164" t="s">
        <v>50</v>
      </c>
      <c r="L164" t="s">
        <v>40</v>
      </c>
      <c r="M164">
        <v>1</v>
      </c>
    </row>
    <row r="165" spans="1:13" x14ac:dyDescent="0.25">
      <c r="A165" s="2">
        <v>46253</v>
      </c>
      <c r="B165" s="1" t="str">
        <f ca="1">IF(Información1[[#This Row],[Fecha]]='Ajuste de fechas'!$A$2,"Día actual","Día anterior")</f>
        <v>Día actual</v>
      </c>
      <c r="C165" t="s">
        <v>49</v>
      </c>
      <c r="D165" t="s">
        <v>51</v>
      </c>
      <c r="E165" t="s">
        <v>311</v>
      </c>
      <c r="F165" t="s">
        <v>26</v>
      </c>
      <c r="G165" t="s">
        <v>300</v>
      </c>
      <c r="H165" t="s">
        <v>11</v>
      </c>
      <c r="I165" t="s">
        <v>12</v>
      </c>
      <c r="J165" t="s">
        <v>39</v>
      </c>
      <c r="K165" t="s">
        <v>63</v>
      </c>
      <c r="L165" t="s">
        <v>40</v>
      </c>
      <c r="M165">
        <v>1</v>
      </c>
    </row>
    <row r="166" spans="1:13" x14ac:dyDescent="0.25">
      <c r="A166" s="2">
        <v>46253</v>
      </c>
      <c r="B166" s="1" t="str">
        <f ca="1">IF(Información1[[#This Row],[Fecha]]='Ajuste de fechas'!$A$2,"Día actual","Día anterior")</f>
        <v>Día actual</v>
      </c>
      <c r="C166" t="s">
        <v>29</v>
      </c>
      <c r="D166" t="s">
        <v>30</v>
      </c>
      <c r="E166" t="s">
        <v>312</v>
      </c>
      <c r="F166" t="s">
        <v>26</v>
      </c>
      <c r="G166" t="s">
        <v>300</v>
      </c>
      <c r="H166" t="s">
        <v>56</v>
      </c>
      <c r="I166" t="s">
        <v>12</v>
      </c>
      <c r="J166" t="s">
        <v>39</v>
      </c>
      <c r="K166" t="s">
        <v>27</v>
      </c>
      <c r="L166" t="s">
        <v>41</v>
      </c>
      <c r="M166">
        <v>1</v>
      </c>
    </row>
    <row r="167" spans="1:13" x14ac:dyDescent="0.25">
      <c r="A167" s="2">
        <v>46253</v>
      </c>
      <c r="B167" s="1" t="str">
        <f ca="1">IF(Información1[[#This Row],[Fecha]]='Ajuste de fechas'!$A$2,"Día actual","Día anterior")</f>
        <v>Día actual</v>
      </c>
      <c r="C167" t="s">
        <v>29</v>
      </c>
      <c r="D167" t="s">
        <v>30</v>
      </c>
      <c r="E167" t="s">
        <v>313</v>
      </c>
      <c r="F167" t="s">
        <v>26</v>
      </c>
      <c r="G167" t="s">
        <v>300</v>
      </c>
      <c r="H167" t="s">
        <v>56</v>
      </c>
      <c r="I167" t="s">
        <v>12</v>
      </c>
      <c r="J167" t="s">
        <v>39</v>
      </c>
      <c r="K167" t="s">
        <v>314</v>
      </c>
      <c r="L167" t="s">
        <v>40</v>
      </c>
      <c r="M167">
        <v>1</v>
      </c>
    </row>
    <row r="168" spans="1:13" x14ac:dyDescent="0.25">
      <c r="A168" s="2">
        <v>46253</v>
      </c>
      <c r="B168" s="1" t="str">
        <f ca="1">IF(Información1[[#This Row],[Fecha]]='Ajuste de fechas'!$A$2,"Día actual","Día anterior")</f>
        <v>Día actual</v>
      </c>
      <c r="C168" t="s">
        <v>29</v>
      </c>
      <c r="D168" t="s">
        <v>30</v>
      </c>
      <c r="E168" t="s">
        <v>315</v>
      </c>
      <c r="F168" t="s">
        <v>22</v>
      </c>
      <c r="G168" t="s">
        <v>316</v>
      </c>
      <c r="H168" t="s">
        <v>56</v>
      </c>
      <c r="I168" t="s">
        <v>7</v>
      </c>
      <c r="J168" t="s">
        <v>44</v>
      </c>
      <c r="K168" t="s">
        <v>314</v>
      </c>
      <c r="L168" t="s">
        <v>40</v>
      </c>
      <c r="M168">
        <v>1</v>
      </c>
    </row>
    <row r="169" spans="1:13" x14ac:dyDescent="0.25">
      <c r="A169" s="2">
        <v>46253</v>
      </c>
      <c r="B169" s="1" t="str">
        <f ca="1">IF(Información1[[#This Row],[Fecha]]='Ajuste de fechas'!$A$2,"Día actual","Día anterior")</f>
        <v>Día actual</v>
      </c>
      <c r="C169" t="s">
        <v>29</v>
      </c>
      <c r="D169" t="s">
        <v>30</v>
      </c>
      <c r="E169" t="s">
        <v>317</v>
      </c>
      <c r="F169" t="s">
        <v>31</v>
      </c>
      <c r="G169" t="s">
        <v>242</v>
      </c>
      <c r="H169" t="s">
        <v>56</v>
      </c>
      <c r="I169" t="s">
        <v>7</v>
      </c>
      <c r="J169" t="s">
        <v>39</v>
      </c>
      <c r="K169" t="s">
        <v>314</v>
      </c>
      <c r="L169" t="s">
        <v>42</v>
      </c>
      <c r="M169">
        <v>1</v>
      </c>
    </row>
    <row r="170" spans="1:13" x14ac:dyDescent="0.25">
      <c r="A170" s="2">
        <v>46253</v>
      </c>
      <c r="B170" s="1" t="str">
        <f ca="1">IF(Información1[[#This Row],[Fecha]]='Ajuste de fechas'!$A$2,"Día actual","Día anterior")</f>
        <v>Día actual</v>
      </c>
      <c r="C170" t="s">
        <v>29</v>
      </c>
      <c r="D170" t="s">
        <v>30</v>
      </c>
      <c r="E170" t="s">
        <v>318</v>
      </c>
      <c r="F170" t="s">
        <v>53</v>
      </c>
      <c r="G170" t="s">
        <v>254</v>
      </c>
      <c r="H170" t="s">
        <v>56</v>
      </c>
      <c r="I170" t="s">
        <v>7</v>
      </c>
      <c r="J170" t="s">
        <v>24</v>
      </c>
      <c r="K170" t="s">
        <v>27</v>
      </c>
      <c r="L170" t="s">
        <v>40</v>
      </c>
      <c r="M170">
        <v>1</v>
      </c>
    </row>
    <row r="171" spans="1:13" x14ac:dyDescent="0.25">
      <c r="A171" s="2">
        <v>46253</v>
      </c>
      <c r="B171" s="1" t="str">
        <f ca="1">IF(Información1[[#This Row],[Fecha]]='Ajuste de fechas'!$A$2,"Día actual","Día anterior")</f>
        <v>Día actual</v>
      </c>
      <c r="C171" t="s">
        <v>29</v>
      </c>
      <c r="D171" t="s">
        <v>30</v>
      </c>
      <c r="E171" t="s">
        <v>319</v>
      </c>
      <c r="F171" t="s">
        <v>26</v>
      </c>
      <c r="G171" t="s">
        <v>300</v>
      </c>
      <c r="H171" t="s">
        <v>56</v>
      </c>
      <c r="I171" t="s">
        <v>7</v>
      </c>
      <c r="J171" t="s">
        <v>39</v>
      </c>
      <c r="K171" t="s">
        <v>27</v>
      </c>
      <c r="L171" t="s">
        <v>40</v>
      </c>
      <c r="M171">
        <v>1</v>
      </c>
    </row>
    <row r="172" spans="1:13" x14ac:dyDescent="0.25">
      <c r="A172" s="2">
        <v>46253</v>
      </c>
      <c r="B172" s="1" t="str">
        <f ca="1">IF(Información1[[#This Row],[Fecha]]='Ajuste de fechas'!$A$2,"Día actual","Día anterior")</f>
        <v>Día actual</v>
      </c>
      <c r="C172" t="s">
        <v>29</v>
      </c>
      <c r="D172" t="s">
        <v>30</v>
      </c>
      <c r="E172" t="s">
        <v>320</v>
      </c>
      <c r="F172" t="s">
        <v>21</v>
      </c>
      <c r="G172" t="s">
        <v>256</v>
      </c>
      <c r="H172" t="s">
        <v>56</v>
      </c>
      <c r="I172" t="s">
        <v>7</v>
      </c>
      <c r="J172" t="s">
        <v>39</v>
      </c>
      <c r="K172" t="s">
        <v>314</v>
      </c>
      <c r="L172" t="s">
        <v>42</v>
      </c>
      <c r="M172">
        <v>1</v>
      </c>
    </row>
    <row r="173" spans="1:13" x14ac:dyDescent="0.25">
      <c r="A173" s="2">
        <v>46253</v>
      </c>
      <c r="B173" s="1" t="str">
        <f ca="1">IF(Información1[[#This Row],[Fecha]]='Ajuste de fechas'!$A$2,"Día actual","Día anterior")</f>
        <v>Día actual</v>
      </c>
      <c r="C173" t="s">
        <v>29</v>
      </c>
      <c r="D173" t="s">
        <v>30</v>
      </c>
      <c r="E173" t="s">
        <v>321</v>
      </c>
      <c r="F173" t="s">
        <v>19</v>
      </c>
      <c r="G173" t="s">
        <v>322</v>
      </c>
      <c r="H173" t="s">
        <v>56</v>
      </c>
      <c r="I173" t="s">
        <v>25</v>
      </c>
      <c r="J173" t="s">
        <v>43</v>
      </c>
      <c r="K173" t="s">
        <v>27</v>
      </c>
      <c r="L173" t="s">
        <v>41</v>
      </c>
      <c r="M173">
        <v>1</v>
      </c>
    </row>
    <row r="174" spans="1:13" x14ac:dyDescent="0.25">
      <c r="A174" s="2">
        <v>46253</v>
      </c>
      <c r="B174" s="1" t="str">
        <f ca="1">IF(Información1[[#This Row],[Fecha]]='Ajuste de fechas'!$A$2,"Día actual","Día anterior")</f>
        <v>Día actual</v>
      </c>
      <c r="C174" t="s">
        <v>29</v>
      </c>
      <c r="D174" t="s">
        <v>30</v>
      </c>
      <c r="E174" t="s">
        <v>323</v>
      </c>
      <c r="F174" t="s">
        <v>115</v>
      </c>
      <c r="G174" t="s">
        <v>324</v>
      </c>
      <c r="H174" t="s">
        <v>56</v>
      </c>
      <c r="I174" t="s">
        <v>7</v>
      </c>
      <c r="J174" t="s">
        <v>39</v>
      </c>
      <c r="K174" t="s">
        <v>27</v>
      </c>
      <c r="L174" t="s">
        <v>41</v>
      </c>
      <c r="M174">
        <v>1</v>
      </c>
    </row>
    <row r="175" spans="1:13" x14ac:dyDescent="0.25">
      <c r="A175" s="2">
        <v>46253</v>
      </c>
      <c r="B175" s="1" t="str">
        <f ca="1">IF(Información1[[#This Row],[Fecha]]='Ajuste de fechas'!$A$2,"Día actual","Día anterior")</f>
        <v>Día actual</v>
      </c>
      <c r="C175" t="s">
        <v>29</v>
      </c>
      <c r="D175" t="s">
        <v>30</v>
      </c>
      <c r="E175" t="s">
        <v>325</v>
      </c>
      <c r="F175" t="s">
        <v>15</v>
      </c>
      <c r="G175" t="s">
        <v>97</v>
      </c>
      <c r="H175" t="s">
        <v>56</v>
      </c>
      <c r="I175" t="s">
        <v>25</v>
      </c>
      <c r="J175" t="s">
        <v>39</v>
      </c>
      <c r="K175" t="s">
        <v>9</v>
      </c>
      <c r="L175" t="s">
        <v>41</v>
      </c>
      <c r="M175">
        <v>1</v>
      </c>
    </row>
    <row r="176" spans="1:13" x14ac:dyDescent="0.25">
      <c r="A176" s="2">
        <v>46253</v>
      </c>
      <c r="B176" s="1" t="str">
        <f ca="1">IF(Información1[[#This Row],[Fecha]]='Ajuste de fechas'!$A$2,"Día actual","Día anterior")</f>
        <v>Día actual</v>
      </c>
      <c r="C176" t="s">
        <v>29</v>
      </c>
      <c r="D176" t="s">
        <v>30</v>
      </c>
      <c r="E176" t="s">
        <v>309</v>
      </c>
      <c r="F176" t="s">
        <v>26</v>
      </c>
      <c r="G176" t="s">
        <v>262</v>
      </c>
      <c r="H176" t="s">
        <v>56</v>
      </c>
      <c r="I176" t="s">
        <v>7</v>
      </c>
      <c r="J176" t="s">
        <v>39</v>
      </c>
      <c r="K176" t="s">
        <v>27</v>
      </c>
      <c r="L176" t="s">
        <v>42</v>
      </c>
      <c r="M176">
        <v>1</v>
      </c>
    </row>
    <row r="177" spans="1:13" x14ac:dyDescent="0.25">
      <c r="A177" s="2">
        <v>46253</v>
      </c>
      <c r="B177" s="1" t="str">
        <f ca="1">IF(Información1[[#This Row],[Fecha]]='Ajuste de fechas'!$A$2,"Día actual","Día anterior")</f>
        <v>Día actual</v>
      </c>
      <c r="C177" t="s">
        <v>29</v>
      </c>
      <c r="D177" t="s">
        <v>30</v>
      </c>
      <c r="E177" t="s">
        <v>326</v>
      </c>
      <c r="F177" t="s">
        <v>19</v>
      </c>
      <c r="G177" t="s">
        <v>152</v>
      </c>
      <c r="H177" t="s">
        <v>56</v>
      </c>
      <c r="I177" t="s">
        <v>7</v>
      </c>
      <c r="J177" t="s">
        <v>43</v>
      </c>
      <c r="K177" t="s">
        <v>27</v>
      </c>
      <c r="L177" t="s">
        <v>40</v>
      </c>
      <c r="M177">
        <v>1</v>
      </c>
    </row>
    <row r="178" spans="1:13" x14ac:dyDescent="0.25">
      <c r="A178" s="2">
        <v>46253</v>
      </c>
      <c r="B178" s="1" t="str">
        <f ca="1">IF(Información1[[#This Row],[Fecha]]='Ajuste de fechas'!$A$2,"Día actual","Día anterior")</f>
        <v>Día actual</v>
      </c>
      <c r="C178" t="s">
        <v>29</v>
      </c>
      <c r="D178" t="s">
        <v>30</v>
      </c>
      <c r="E178" t="s">
        <v>327</v>
      </c>
      <c r="F178" t="s">
        <v>23</v>
      </c>
      <c r="G178" t="s">
        <v>244</v>
      </c>
      <c r="H178" t="s">
        <v>56</v>
      </c>
      <c r="I178" t="s">
        <v>7</v>
      </c>
      <c r="J178" t="s">
        <v>39</v>
      </c>
      <c r="K178" t="s">
        <v>27</v>
      </c>
      <c r="L178" t="s">
        <v>40</v>
      </c>
      <c r="M178">
        <v>1</v>
      </c>
    </row>
    <row r="179" spans="1:13" x14ac:dyDescent="0.25">
      <c r="A179" s="2">
        <v>46253</v>
      </c>
      <c r="B179" s="1" t="str">
        <f ca="1">IF(Información1[[#This Row],[Fecha]]='Ajuste de fechas'!$A$2,"Día actual","Día anterior")</f>
        <v>Día actual</v>
      </c>
      <c r="C179" t="s">
        <v>29</v>
      </c>
      <c r="D179" t="s">
        <v>30</v>
      </c>
      <c r="E179" t="s">
        <v>328</v>
      </c>
      <c r="F179" t="s">
        <v>250</v>
      </c>
      <c r="G179" t="s">
        <v>160</v>
      </c>
      <c r="H179" t="s">
        <v>56</v>
      </c>
      <c r="I179" t="s">
        <v>7</v>
      </c>
      <c r="J179" t="s">
        <v>39</v>
      </c>
      <c r="K179" t="s">
        <v>27</v>
      </c>
      <c r="L179" t="s">
        <v>40</v>
      </c>
      <c r="M179">
        <v>1</v>
      </c>
    </row>
    <row r="180" spans="1:13" x14ac:dyDescent="0.25">
      <c r="A180" s="2">
        <v>46253</v>
      </c>
      <c r="B180" s="1" t="str">
        <f ca="1">IF(Información1[[#This Row],[Fecha]]='Ajuste de fechas'!$A$2,"Día actual","Día anterior")</f>
        <v>Día actual</v>
      </c>
      <c r="C180" t="s">
        <v>29</v>
      </c>
      <c r="D180" t="s">
        <v>30</v>
      </c>
      <c r="E180" t="s">
        <v>329</v>
      </c>
      <c r="F180" t="s">
        <v>19</v>
      </c>
      <c r="G180" t="s">
        <v>283</v>
      </c>
      <c r="H180" t="s">
        <v>56</v>
      </c>
      <c r="I180" t="s">
        <v>25</v>
      </c>
      <c r="J180" t="s">
        <v>43</v>
      </c>
      <c r="K180" t="s">
        <v>27</v>
      </c>
      <c r="L180" t="s">
        <v>40</v>
      </c>
      <c r="M180">
        <v>1</v>
      </c>
    </row>
    <row r="181" spans="1:13" x14ac:dyDescent="0.25">
      <c r="A181" s="2">
        <v>46253</v>
      </c>
      <c r="B181" s="1" t="str">
        <f ca="1">IF(Información1[[#This Row],[Fecha]]='Ajuste de fechas'!$A$2,"Día actual","Día anterior")</f>
        <v>Día actual</v>
      </c>
      <c r="C181" t="s">
        <v>29</v>
      </c>
      <c r="D181" t="s">
        <v>30</v>
      </c>
      <c r="E181" t="s">
        <v>330</v>
      </c>
      <c r="F181" t="s">
        <v>6</v>
      </c>
      <c r="G181" t="s">
        <v>331</v>
      </c>
      <c r="H181" t="s">
        <v>56</v>
      </c>
      <c r="I181" t="s">
        <v>7</v>
      </c>
      <c r="J181" t="s">
        <v>39</v>
      </c>
      <c r="K181" t="s">
        <v>27</v>
      </c>
      <c r="L181" t="s">
        <v>40</v>
      </c>
      <c r="M181">
        <v>1</v>
      </c>
    </row>
    <row r="182" spans="1:13" x14ac:dyDescent="0.25">
      <c r="A182" s="2">
        <v>46253</v>
      </c>
      <c r="B182" s="1" t="str">
        <f ca="1">IF(Información1[[#This Row],[Fecha]]='Ajuste de fechas'!$A$2,"Día actual","Día anterior")</f>
        <v>Día actual</v>
      </c>
      <c r="C182" t="s">
        <v>29</v>
      </c>
      <c r="D182" t="s">
        <v>30</v>
      </c>
      <c r="E182" t="s">
        <v>332</v>
      </c>
      <c r="F182" t="s">
        <v>15</v>
      </c>
      <c r="G182" t="s">
        <v>102</v>
      </c>
      <c r="H182" t="s">
        <v>56</v>
      </c>
      <c r="I182" t="s">
        <v>7</v>
      </c>
      <c r="J182" t="s">
        <v>39</v>
      </c>
      <c r="K182" t="s">
        <v>314</v>
      </c>
      <c r="L182" t="s">
        <v>40</v>
      </c>
      <c r="M182">
        <v>1</v>
      </c>
    </row>
    <row r="183" spans="1:13" x14ac:dyDescent="0.25">
      <c r="A183" s="2">
        <v>46253</v>
      </c>
      <c r="B183" s="1" t="str">
        <f ca="1">IF(Información1[[#This Row],[Fecha]]='Ajuste de fechas'!$A$2,"Día actual","Día anterior")</f>
        <v>Día actual</v>
      </c>
      <c r="C183" t="s">
        <v>29</v>
      </c>
      <c r="D183" t="s">
        <v>30</v>
      </c>
      <c r="E183" t="s">
        <v>333</v>
      </c>
      <c r="F183" t="s">
        <v>22</v>
      </c>
      <c r="G183" t="s">
        <v>120</v>
      </c>
      <c r="H183" t="s">
        <v>56</v>
      </c>
      <c r="I183" t="s">
        <v>7</v>
      </c>
      <c r="J183" t="s">
        <v>44</v>
      </c>
      <c r="K183" t="s">
        <v>27</v>
      </c>
      <c r="L183" t="s">
        <v>40</v>
      </c>
      <c r="M183">
        <v>1</v>
      </c>
    </row>
    <row r="184" spans="1:13" x14ac:dyDescent="0.25">
      <c r="A184" s="2">
        <v>46253</v>
      </c>
      <c r="B184" s="1" t="str">
        <f ca="1">IF(Información1[[#This Row],[Fecha]]='Ajuste de fechas'!$A$2,"Día actual","Día anterior")</f>
        <v>Día actual</v>
      </c>
      <c r="C184" t="s">
        <v>29</v>
      </c>
      <c r="D184" t="s">
        <v>30</v>
      </c>
      <c r="E184" t="s">
        <v>334</v>
      </c>
      <c r="F184" t="s">
        <v>26</v>
      </c>
      <c r="G184" t="s">
        <v>300</v>
      </c>
      <c r="H184" t="s">
        <v>56</v>
      </c>
      <c r="I184" t="s">
        <v>12</v>
      </c>
      <c r="J184" t="s">
        <v>39</v>
      </c>
      <c r="K184" t="s">
        <v>27</v>
      </c>
      <c r="L184" t="s">
        <v>40</v>
      </c>
      <c r="M184">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46</v>
      </c>
      <c r="B1" t="s">
        <v>47</v>
      </c>
    </row>
    <row r="2" spans="1:2" x14ac:dyDescent="0.25">
      <c r="A2" s="2">
        <f ca="1">TODAY()</f>
        <v>46253</v>
      </c>
      <c r="B2" s="2">
        <f ca="1">A2-1</f>
        <v>46252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2026-08-19T23:49:35Z</dcterms:modified>
</cp:coreProperties>
</file>