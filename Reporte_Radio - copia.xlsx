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4490BE47-3502-4E4D-851D-A006C790D183}"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Radio!$A$1:$M$176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136" i="2"/>
  <c r="B139" i="2"/>
  <c r="B142" i="2"/>
  <c r="B146" i="2"/>
  <c r="B150" i="2"/>
  <c r="B153" i="2"/>
  <c r="B156" i="2"/>
  <c r="B159" i="2"/>
  <c r="B163" i="2"/>
  <c r="B166" i="2"/>
  <c r="B169" i="2"/>
  <c r="B172" i="2"/>
  <c r="B17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133" i="2"/>
  <c r="B135" i="2"/>
  <c r="B138" i="2"/>
  <c r="B141" i="2"/>
  <c r="B144" i="2"/>
  <c r="B147" i="2"/>
  <c r="B149" i="2"/>
  <c r="B152" i="2"/>
  <c r="B155" i="2"/>
  <c r="B158" i="2"/>
  <c r="B160" i="2"/>
  <c r="B164" i="2"/>
  <c r="B167" i="2"/>
  <c r="B170" i="2"/>
  <c r="B173" i="2"/>
  <c r="B176"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4" i="2"/>
  <c r="B137" i="2"/>
  <c r="B140" i="2"/>
  <c r="B143" i="2"/>
  <c r="B145" i="2"/>
  <c r="B148" i="2"/>
  <c r="B151" i="2"/>
  <c r="B154" i="2"/>
  <c r="B157" i="2"/>
  <c r="B161" i="2"/>
  <c r="B162" i="2"/>
  <c r="B165" i="2"/>
  <c r="B168" i="2"/>
  <c r="B171" i="2"/>
  <c r="B174"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<sst xmlns="http://schemas.openxmlformats.org/spreadsheetml/2006/main" count="1763" uniqueCount="317">
  <si>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</si>
  <si>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</si>
  <si>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</si>
  <si>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</si>
  <si>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</si>
  <si>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</si>
  <si>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</si>
  <si>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</si>
  <si>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</si>
  <si>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</si>
  <si>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</si>
  <si>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</si>
  <si>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</si>
  <si>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</si>
  <si>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</si>
  <si>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</si>
  <si>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</si>
  <si>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</si>
  <si>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</si>
  <si>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</si>
  <si>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</si>
  <si>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</si>
  <si>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</si>
  <si>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</si>
  <si>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</si>
  <si>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</si>
  <si>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</si>
  <si>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Andrés Torres</t>
  </si>
  <si>
    <t>Súper Stéreo 100.5 FM</t>
  </si>
  <si>
    <t>Rodolfo López</t>
  </si>
  <si>
    <t>Enfoque Regional Meridiano</t>
  </si>
  <si>
    <t>Enfoque Regional Matutino</t>
  </si>
  <si>
    <t>TV local</t>
  </si>
  <si>
    <t>Auxilio a la ciudadanía</t>
  </si>
  <si>
    <t>Canal del Pueblo</t>
  </si>
  <si>
    <t>Vocales Radio</t>
  </si>
  <si>
    <t>Planeación</t>
  </si>
  <si>
    <t>Ultra 102.9 FM</t>
  </si>
  <si>
    <t>Ultra Noticias1</t>
  </si>
  <si>
    <t>Daniel Martínez</t>
  </si>
  <si>
    <t>Atención Ciudadana</t>
  </si>
  <si>
    <t>Jesús González</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</si>
  <si>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</si>
  <si>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</si>
  <si>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</si>
  <si>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</si>
  <si>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</si>
  <si>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</si>
  <si>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</si>
  <si>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</si>
  <si>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</si>
  <si>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</si>
  <si>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</si>
  <si>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</si>
  <si>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</si>
  <si>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</si>
  <si>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</si>
  <si>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Abasto De Agua</t>
  </si>
  <si>
    <t>PGJEH</t>
  </si>
  <si>
    <t>Vía telefónica el reporte de Bombero y Protección Civil con Abner Yáñez informa de las diversas emergencias reportadas por la ciudadanía y que fueron atendidas.</t>
  </si>
  <si>
    <t>Día del maestro</t>
  </si>
  <si>
    <t>Juan Carlos Santamaria</t>
  </si>
  <si>
    <t>NQ 90.1 FM</t>
  </si>
  <si>
    <t>Enlace Hidalgo2</t>
  </si>
  <si>
    <t>Jesús Riveros</t>
  </si>
  <si>
    <t>Ke Buena 106.7 FM</t>
  </si>
  <si>
    <t>Noticias 106.7</t>
  </si>
  <si>
    <t>David Cárdenas</t>
  </si>
  <si>
    <t>Enlace Hidalgo1</t>
  </si>
  <si>
    <t>Mundial De Futbol</t>
  </si>
  <si>
    <t>OCSAD</t>
  </si>
  <si>
    <t>Atención Afectaciones Por Lluvias</t>
  </si>
  <si>
    <t>Ruta de la Transformación</t>
  </si>
  <si>
    <t>Entrevista pautada</t>
  </si>
  <si>
    <t>Hospital Tula</t>
  </si>
  <si>
    <t>Queja transporte público</t>
  </si>
  <si>
    <t>Eulalio Larrieta agradece a Edith Balderas de la Secretaria de Educación Pública.</t>
  </si>
  <si>
    <t>Eulalio Larrieta agradece Paola García y Lic. Sarahi Pineda, por estar atentas a los mensajes de la ciudadanía y por atenderlos.</t>
  </si>
  <si>
    <t>Justa Académica</t>
  </si>
  <si>
    <t>Turismo</t>
  </si>
  <si>
    <t>Radiodifusoras</t>
  </si>
  <si>
    <t>Atropellamiento de policía</t>
  </si>
  <si>
    <t>Congreso</t>
  </si>
  <si>
    <t>Tauromaquia</t>
  </si>
  <si>
    <t>Saderh</t>
  </si>
  <si>
    <t>Eulalio Larrieta agradece a Carlos Gamiño por estar al pendiente de temas</t>
  </si>
  <si>
    <t>Exigen Esclarecer Feminicidio</t>
  </si>
  <si>
    <t>Infraestructura Hidráulica</t>
  </si>
  <si>
    <t>Radioescucha Sr. Paredes sigue reportando que no funciona la lámpara que está en la esquina del callejón de Quintana Roo y Plaza de Patoni</t>
  </si>
  <si>
    <t>Luminarias</t>
  </si>
  <si>
    <t>Relleno Sanitario</t>
  </si>
  <si>
    <t>Canal 12 Huejutla</t>
  </si>
  <si>
    <t>Contacto Informativo M</t>
  </si>
  <si>
    <t>Jackeline Vázquez</t>
  </si>
  <si>
    <t>Julio Menchaca presenta “Plan B” alineado con la visión de austeridad republicana del Gobierno de México</t>
  </si>
  <si>
    <t>Plan B</t>
  </si>
  <si>
    <t>Accidente transporte público</t>
  </si>
  <si>
    <t>Tras la situación que se vive en Tula con el tema de la recolección de basura, el gobierno municipal anunció que en un plazo no mayor a 20 días, comenzará a operar un nuevo relleno sanitario regional, eso afirmo el alcalde de este municipio Cristhian Martínez Reséndiz, cuenta inicialmente con una superficie de 2.5 hectáreas, aunque existe posibilidad de ampliación ,AUDIO APOYO</t>
  </si>
  <si>
    <t>Tecnificación De Riego</t>
  </si>
  <si>
    <t>TSJEH</t>
  </si>
  <si>
    <t>UPLAPH impulsa proyectos en beneficio de productores agrícolas del Valle del Mezquital</t>
  </si>
  <si>
    <t>Se reportó el fallecimiento de una persona presuntamente por broncoaspiración en las inmediaciones de la Central de Abastos de Pachuca. Elementos de seguridad y paramédicos acudieron al lugar tras un reporte ciudadano, donde confirmaron que el individuo ya no presentaba signos vitales.</t>
  </si>
  <si>
    <t>Una urban Pachuca- Tilcuahutla en Pachuca en el bulevar Minero fue embestida por una camioneta. En el video se aprecia como la camioneta se pasa el alto e impacta desde atrás a la urban y hasta el momento hay 17 personas lesionadas muy graves y una persona sin vida.</t>
  </si>
  <si>
    <t>En Tepeji del Río el operador de una urban y un taxi metropolitano arreglaron sus diferencias a golpes.</t>
  </si>
  <si>
    <t>Pelea transportistas</t>
  </si>
  <si>
    <t>Andrés Torres: ayer se puso otra vez muy complicado el tema del tránsito con la lluvias, que otra vez hubo una batalla campal entre un chofer de un taxi y un automovilista en Villas de Pachuca. Vecinos de la zona dicen que se han vuelto constantes estos pleitos por el tema del paso del semáforo en esa zona.</t>
  </si>
  <si>
    <t>oy deja el cargo como presidente de la Asociación del Alcalde, Eduardo Medécigo. Solo lo pondrá en su currículo, porque nunca nadie le hizo caso.</t>
  </si>
  <si>
    <t>Mal Desempeño</t>
  </si>
  <si>
    <t>Andrés Torres reitera que la estación del 1010 AM de la huasteca El Vocero Huasteco sigue fuera del aire por un capricho y esto es un asunto criminal pues se pone en riesgo a las comunidades que no pueden tener información oportuna con temas tan importantes como un huracán, una inundación o una tormenta. Asegura que hay que enseñarles con "manzanitas" cómo funcionan los medios".</t>
  </si>
  <si>
    <t>Al sur de Pachuca, tres policías bancarios resultaron lesionados luego que la conductora de un automóvil particular perdió el control y se proyecto contra 3 oficiales de la Policía Bancaria.</t>
  </si>
  <si>
    <t>Andrés Torres comenta que posiblemente el 1 de junio se pondrán en marcha las nuevas unidades del Tuzobús. señala que esto lo checó ayer en la Secretaría del Transporte, pero es algo que anunciará el gobernador.</t>
  </si>
  <si>
    <t>Modernización Tuzobús</t>
  </si>
  <si>
    <t>Andrés Torres destaca que el gobernador ha visitado todo el estado por lo menos 8 veces en lo que va de su administración.</t>
  </si>
  <si>
    <t>“Hay convicción para la transformación de Hidalgo”, afirma Menchaca</t>
  </si>
  <si>
    <t>Derivado de la intensa lluvia registrada durante la tarde y noche de este jueves en Pachuca y su zona metropolitana, muchas colonias y negocios sufrieron afectaciones por las inundaciones. El Tránsito también se vio afectado.</t>
  </si>
  <si>
    <t>Afectaciones Por Lluvias</t>
  </si>
  <si>
    <t>Hoy a las 11:15 de la mañana en la Sala del Pueblo, el gobernador Julio Menchaca tomará protesta al nuevo o nueva presidente de la Asociación de Alcaldes del Estado de Hidalgo.</t>
  </si>
  <si>
    <t>Asociación de Alcaldes</t>
  </si>
  <si>
    <t>Hidalgo preparado ante la temporada de lluvias. El Comité Estatal de Emergencias, por conducto de la Subsecretaría de Protección Civil y Gestión de Riesgos del Estado de Hidalgo, realizó la Primera Reunión del Programa de Prevención ante la Presencia de Fenómenos Hidrometeorológicos, con la participación de presidentas y presidentes municipales, así como titulares y directores de Protección Civil de distintas regiones de la entidad. La reunión tuvo como propósito fortalecer las acciones preventivas, las estrategias de atención y los mecanismos de respuesta oportuna ante la temporada de lluvias y otros fenómenos hidrometeorológicos, por instrucción del gobernador de Hidalgo, Julio Menchaca Salazar. Durante el encuentro, el subsecretario de Protección Civil y Gestión de Riesgos, Román Bernal Díaz, destacó que herramientas como el Atlas de Riesgo, los mapas de peligro, así como los planes y programas especiales, permiten planear y proteger la vida de las personas, tanto en zonas urbanas como rurales.</t>
  </si>
  <si>
    <t>Andrés Torres informa que la señal del 1010 AM de El Vocero Huasteco está fuera del aire por la ineptitud del área administrativa, quienes le han mandado un escrito para decirle que: "ni me pidas diesel, ni se te vaya a ocurrir cumplir con tu trabajo". Es mi trabajo y obligación solicitar diesel a las áreas administrativas para tener las estaciones al aire y más en estas temporadas donde por el calor y las intensas lluvias hay tormentas eléctricas y la suspensión del servicio es contante. solamente quienes no son de Hidalgo, no conoce la huasteca y nunca ha trabajado en el servicio público y quienes no han trabajado en medios de comunicación ignoran que todo esto es el día a día de los medios electrónicos como la tele y la radio y que yo no con rolo el tiempo como Thor. Imagínese esas son la vicisitudes que tienen uno que sortear todos los días trabajando con gente que no tiene perfil. Lo siento por mis amigos y mis amigas de la huasteca que debido a estos caprichos, estos enojos, berrinches no tienen un medio de comunicación, que por cierto es un derecho humano el derecho a la comunicación, y más en una estación que trasmite en náhuatl y en castellano, y entonces, no hay forma de avisarle a la gente que habla náhuatl y que escucha la estación allá en la huasteca que vamos a tener muchas lluvias, que vamos a tener mucho calor y que va haber apagones porque alguien en el área administrativa dice " a mí ni me pidas diesel ese no es mi problema, eso lo tienes que solucionar tú y la próxima vez que se vaya la luz te vamos a correr. Ojalá me esté escuchando el señor gobernador para que hagamos algo, porque no es posible que por un capricho ten gamos la estación más importante de la radio pública fuera del aire.</t>
  </si>
  <si>
    <t>Hostigamiento Laboral</t>
  </si>
  <si>
    <t>ITESA destaca en Mundial de Robótica VEX U 2026</t>
  </si>
  <si>
    <t>Campeonato de robótica</t>
  </si>
  <si>
    <t>Durante un recorrido de vigilancia realizado la noche del martes 20 de mayo, elementos de seguridad localizaron a una mujer lesionada por arma de fuego en un camino de terracería del Cerro del Xicuco, en Tezontepec de Aldama. El hallazgo ocurrió cuando los policías patrullaban la zona y detectaron a una persona herida en un punto apartado. Al acercarse, confirmaron que se trataba de una mujer joven, por lo que solicitaron el apoyo de los servicios de emergencia para su atención inmediata. Paramédicos de Protección Civil de Tezontepec de Aldama acudieron al lugar y, tras realizar la valoración correspondiente, confirmaron que la mujer presentaba tres impactos de proyectil de arma de fuego. Debido a la gravedad de las lesiones, recibió atención prehospitalaria y posteriormente fue trasladada a un hospital para continuar con atención médica especializada.</t>
  </si>
  <si>
    <t>Dos personas que viajaban a bordo de una motocicleta sobre la carretera México-Tuxpan, a la altura de Valle Verde, dentro de la ciudad de Tulancingo, fueron embestidos por otra unidad motora este jueves 21 de mayo. Tras el registro del accidente, personas que se encontraban cerca solicitaron apoyo a los cuerpos de emergencia para atender a los afectados. Elementos de atención a emergencias acudieron al sitio para atender la situación; tras valorar el estado de salud de las dos personas lesionadas, se determinó trasladarlas para ofrecerles atención médica especializada.</t>
  </si>
  <si>
    <t>Tres elementos de la Policía Industrial Bancaria de Hidalgo (PIBEH) resultaron lesionados la mañana de este jueves tras ser atropellados por un vehículo en las inmediaciones del Congreso del estado, al Sur de Pachuca. Los hechos ocurrieron alrededor de las 09:00 horas sobre el Circuito Impulsor Primario, cuando una mujer identificada con las iniciales Lourdes N. J., de 45 años de edad, conducía un vehículo Volkswagen Jetta, color azul. De acuerdo con los primeros reportes, la conductora perdió el control de la unidad mientras se encontraba dentro de un estacionamiento de tierra, impactó y derribó una reja metálica, para posteriormente alcanzar a tres personas que se encontraban en calidad de peatones.</t>
  </si>
  <si>
    <t>TESA destaca en Mundial de Robótica VEX U 2026</t>
  </si>
  <si>
    <t>El regidor del Ayuntamiento de Tulancingo, @Roberto Ivey, denunció públicamente haber sido afiliado de manera indebida a Encuentro Solidario dentro del sistema del Instituto Nacional Electoral (INE), hecho que aseguró ocurrió sin su consentimiento. El integrante del Cabildo señaló que nunca ha solicitado ni autorizado registro alguno en otro partido, por lo que informó que ya inició los procedimientos legales correspondientes para esclarecer la situación y sancionar a quien resulte responsable. Ivey Beltrán afirmó que su trayectoria política está ligada a Morena, movimiento en el que milita desde su fundación, por lo que reiteró su permanencia dentro de la bancada morenista en el Ayuntamiento de Tulancingo.</t>
  </si>
  <si>
    <t>PES</t>
  </si>
  <si>
    <t>Afiliación Partidista</t>
  </si>
  <si>
    <t>Partidos</t>
  </si>
  <si>
    <t>Con 20 votos a favor, cinco en contra y una abstención20 votos a favor, cinco en contra y una abstención, diputados del Congreso del Estado de Hidalgo aprobaron la solicitud de consulta popular en materia de corridas de toros. El legislador José Luis Rodríguez Higareda, de la fracción de Movimiento de Regeneración Nacional (Morena) señaló que el objetivo de la consulta se determine si en la entidad federativa debe continuar permitiéndose la realización de corridas de toros, considerando esta práctica como patrimonio cultural inmaterial. El diputado Avelino Tovar Iglesias del Partido Verde Ecologista de México cuestionó la falta de decisión sobre el tema debatido y recordó que la Constitución mexicana, vigente desde diciembre de 2024, prohíbe el maltrato animal y obliga al estado a garantizar su protección, cuidado y conservación. Rodríguez Higareda señaló al respecto que se debe actuar con prudencia, respeto y apertura al diálogo, evitando decisiones apresuradas o motivadas por intereses personales. Consideró que el Congreso no debe asumir que posee la verdad absoluta y defendió la necesidad de consultar a la ciudadanía antes de emitir un dictamen sobre un tema tan polémico. En el mismo sentido, la legisladora Diana Rangel Zúñiga (Morena) argumentó que, cuando un asunto polariza a la sociedad, el Congreso no debe cerrarse al diálogo, sino abrirse a una participación amplia e informada.</t>
  </si>
  <si>
    <t>El director del Sistema Integrado de Transporte Masivo de Hidalgo (SITMAH), Humberto Román Cabrera, informó que las nuevas unidades del Tuzobús comenzarán a circular a partir del próximo 1 de junio; sin embargo, será hasta el 16 de junio cuando operen al 100 por ciento, luego de un periodo de ajuste y pruebas en frecuencias y logística. Detalló que durante las primeras dos semanas se evaluará el funcionamiento de rutas, horarios y demanda de usuarios, con el objetivo de realizar modificaciones en la programación y evitar saturaciones en el carril exclusivo. Román Cabrera explicó que entrarán en operación 80 nuevos equipos: 42 autobuses articulados con capacidad para 80 pasajeros destinados a la ruta troncal y 38 unidades para rutas alimentadoras con capacidad para 50 usuarios.</t>
  </si>
  <si>
    <t>La empresa Líneas Intermunicipales Tilcuautla-Pachuca S.A. de C.V. emitió un posicionamiento luego del accidente registrado la tarde del miércoles sobre el bulevar Minero, en Pachuca, donde una persona perdió la vida y 17 más resultaron heridas tras el choque entre una unidad del transporte público y una camioneta de carga. Por medio de un comunicado dirigido a medios de comunicación, Guillermo Islas, representante legal de la compañía, expresó sus condolencias a la familia de la mujer fallecida y lamentó lo ocurrido durante el percance vial. La empresa aseguró que el conductor de la Urvan participó en las labores de apoyo después del impacto, ayudando a rescatar y auxiliar a pasajeros lesionados que se encontraban dentro de las unidades involucradas. Asimismo, el representante legal señaló que, presuntamente, el operador de la camioneta materialista habría intentado retirarse del lugar tras el accidente, aunque indicó que elementos policiacos intervinieron oportunamente. Durante el mensaje, Islas pidió evitar señalamientos prematuros sobre quién tuvo la responsabilidad del choque y consideró que frecuentemente los operadores del transporte público son responsabilizados de manera inmediata cuando ocurre un hecho de tránsito. También hizo un llamado a posibles testigos y personas que cuenten con videos del accidente para que compartan la información y así contribuir al esclarecimiento de cómo sucedieron los hechos. De acuerdo con la Secretaría de Seguridad Pública de Hidalgo, el saldo preliminar fue de una persona sin vida y 17 lesionados, quienes fueron trasladados a distintos hospitales para recibir atención médica.</t>
  </si>
  <si>
    <t>Vía telefónica Miguel Ángel Tello Vargas, titular de la Unidad de Planeación y Prospectiva, informó que ayer durante la conferencia semanal del gobierno de Hidalgo, se hizo el lanzamiento de la convocatoria del programa “Impulso Indígena”, un concurso de artesanía y diseño que busca fusionar el arte textil tradicional de las comunidades originarias de Hidalgo con el escenario internacional del mundial de futbol. El objetivo es diseñar una playera que represente a los pueblos originarios durante la celebración, para visibilizar y dignificar su trabajo, así como proyectar su cosmovisión ante el mundo. La convocatoria cierra el 6 de junio.</t>
  </si>
  <si>
    <t>Por unanimidad, los integrantes de la Asamblea Municipal de Tulancingo aprobaron que la Secretaría de Seguridad Ciudadana local detenga y ponga a disposición ante el Ministerio Público a quien sea responsable de violencia hacia otra persona en la vía pública. Se trata de una adición de las fracciones séptima y octava del apartado A del artículo 166 del Bando Municipal de Policía y Gobierno, con lo que se alinean disposiciones al respecto con normativas legales federales y estatales. La presentación de la propuesta y su votación ocurrió durante la Décima Sexta Sesión Pública Ordinaria del Ayuntamiento de Tulancingo, celebrada el pasado miércoles 20 de mayo. La Comisión de Equidad de Género del cuerpo edilicio, quien presentó la propuesta legislativa local, señala que “las mujeres tienen derecho a caminar seguras. Esta propuesta refuerza la capacidad de respuesta ante actos de violencia que ocurren a plena luz del día, frente a vecinos, frente a hijos”.</t>
  </si>
  <si>
    <t>Sesión De Cabildo</t>
  </si>
  <si>
    <t>Aunque durante la actual administración del Sistema DIF municipal de Tulancingo no existe registro de abandono total de personas de la tercera edad o incapaces de valerse por sí mismas, sí se ha conocido de cuidadores a cargo de este grupo de población, pero teniendo ellos mismos edad avanzada o complicaciones de salud. Jessica Garrido Cázares, presidenta del organismo asistencial local, señaló que es creciente la cantidad de estas situaciones, donde en varios casos las personas en estas situaciones son de escasos recursos económicos o se encuentran en vulnerabilidad social. “Por ejemplo, hemos tenido el caso de una persona de aproximadamente 35 años de edad, con problemas de salud muy delicados, que se encarga del cuidado de su familiar, de 85 años, quienes no cuentan con ningún familiar que a su vez les apoye”, refirió. Como este, hay más casos donde tanto el cuidador como la persona que tiene a su cargo tienen complicaciones por salud, por la edad, o ambos casos, localizados en varios puntos del municipio. Los colaboradores del Sistema DIF Tulancingo han conocido de estos casos durante los recorridos de trabajo que realizan en colonias y comunidades del municipio, o por reportes de los enlaces vecinales. Son los vecinos de estas personas en vulnerabilidad quienes les apoyan con alimentos, algunos enseres, o incluso con dinero que recaudan cuando existen situaciones delicadas.</t>
  </si>
  <si>
    <t>Atención a adultos mayores</t>
  </si>
  <si>
    <t>Como parte de los trabajos de actualización del Plan Municipal de Desarrollo 2024–2027, el próximo 25 de mayo iniciará el Censo de Pueblos y Comunidades Indígenas en Tulancingo, ejercicio coordinado por la Secretaría de Desarrollo Humano y Social con personal debidamente acreditado. Para ello, se realizarán recorridos en las comunidades catalogadas como indígenas, con el objetivo de recabar información que permita integrar la perspectiva y las necesidades de estos sectores dentro de la planeación municipal. Por ello, previamente se entregó una convocatoria en español y otomí, con el propósito de difundir los objetivos del censo e incentivar la colaboración ciudadana. Durante una reunión previa con enlaces vecinales y representantes comunitarios, se solicitó su apoyo para socializar la importancia de este ejercicio entre la población y fomentar la participación ciudadana. La recopilación de datos se realizará a través de una plataforma digital implementada por la Unidad de Planeación y Prospectiva del Gobierno de Hidalgo, herramienta que permitirá la captura segura y validada de la información.</t>
  </si>
  <si>
    <t>Daniel Martínez señala que ayer las lluvias hicieron que Pachuca colapsara y esto se debe a la falta de un diseño adecuado de una planificación y se construyeran fraccionamientos como Los Tuzos cerca del Rio de las Avenidas. El año pasado 300 casas sufrieron daños. el hecho de que los drenajes tengan solo 4 pulgadas en vez de 8 como mínimo, aunque según expertos deberían ser 12 pulgadas de diámetro como mínimo. Tanto en Pachuca como en Tulancingo se cuenta con drenajes de hace más de 50 años y se construyó por todos lados sin planificación. Muchas personas se quedaron por lo menos atrapadas en estaciones del Tuzobús por una hora. es triste que no se apliquen tecnología para provechar la lluvia.</t>
  </si>
  <si>
    <t>Menchaca propone recorte y reestructura en gobiernos municipales de Hidalgo. El gobernador de Hidalgo, Julio Menchaca Salazar, presentó ante el Congreso local una iniciativa de reforma enfocada en fortalecer la austeridad gubernamental, reducir gastos administrativos y reforzar la paridad de género en las instituciones públicas. La propuesta plantea modificaciones a distintas disposiciones legales con el objetivo de adaptar la legislación estatal a las políticas federales de racionalidad presupuestaria y fortalecimiento institucional impulsadas por el Gobierno de México. Entre las medidas más relevantes destaca la intención de reorganizar la estructura de los ayuntamientos, estableciendo límites en el número de regidores y síndicos. Según el planteamiento, esto permitiría hacer más eficiente la operación administrativa de los municipios y mejorar el aprovechamiento de los recursos públicos. Además, la iniciativa contempla prohibir que organismos electorales y el Tribunal Electoral utilicen recursos públicos para contratar seguros médicos privados, seguros de vida personalizados, pensiones privadas u otros beneficios que no estén contemplados en la normatividad vigente. Otro de los puntos centrales busca reforzar la igualdad sustantiva y la paridad de género dentro de los distintos niveles de gobierno, promoviendo una representación más equilibrada entre mujeres y hombres en espacios de decisión pública.</t>
  </si>
  <si>
    <t>El Estado de Hidalgo está en primer lugar en incidencia de actos de corrupción, superando con muy amplio margen la cifra a nivel nacional, de acuerdo a los resultados de la Encuesta Nacional de Calidad e Impacto Gubernamental (ENCIG) 2025. La estadística levantada por el Instituto Nacional de Estadística y Geografía (Inegi) y presentada este jueves, señala que Hidalgo tiene una prevalencia de corrupción de 46 mil 219 actos por cada cien mil habitantes. La tasa de actos de corrupción a nivel nacional registra 27 mil 438 actos por cada cien mil habitantes; la cifra señala un aumento de casos respecto al año 2023, cuando el índice alcanzó 25 mil 394 casos por cada cien mil habitantes. Tabasco y la Ciudad de México son las entidades que siguen en incidencia de actos de corrupción, con 41 mil 330 y 38 mil 866 por cada cien mil habitantes, respectivamente. Los datos del Inegi señalan que actos con autoridades de seguridad pública y permisos relacionados con la propiedad, fueron los servicios y trámites en los que la población reportó un mayor número de incidentes de corrupción, con 63.5 y 32 por ciento, respectivamente. Los estados del país que registraron las menores prevalencia de actos de corrupción fueron Colima, con 9 mil 99 por cada 100,000 habitantes; Querétaro, con 14 mil 511, y Tamaulipas, con 15 mil 591. Con respecto al ejercicio previo, 6 entidades presentaron cambios significativos en términos estadísticos. Las entidades con incrementos fueron Baja California Sur, Ciudad de México y Yucatán, mientras que Colima, Querétaro y Tlaxcala presentaron disminuciones. Por otro lado, señaló, los trámites para abrir una empresa registraron una disminución de incidentes de corrupción que la población reportó haber experimentado, de 23.5 por ciento en 2025, contra 27.5 en 2023.</t>
  </si>
  <si>
    <t>Corrupción</t>
  </si>
  <si>
    <t>Hoy deja el cargo como presidente de la Asociación del Alcalde, Eduardo Medécigo. Solo lo pondrá en su currículo, porque nunca nadie le hizo caso.</t>
  </si>
  <si>
    <t>Nacionales Conade</t>
  </si>
  <si>
    <t>Abren convocatorias para los Premios Estatales de Literatura 2026</t>
  </si>
  <si>
    <t>Cultura</t>
  </si>
  <si>
    <t>Premio estatal de literatura</t>
  </si>
  <si>
    <t>Contraloría exhorta a proveedores a realizar el canje de registro antes del 15 de junio</t>
  </si>
  <si>
    <t>Contraloría</t>
  </si>
  <si>
    <t>Padrón de proveedores</t>
  </si>
  <si>
    <t>Declaración patrimonial</t>
  </si>
  <si>
    <t>Gobierno de Hidalgo fortalece atención integral y digna para personas adultas mayores</t>
  </si>
  <si>
    <t>Bienestar</t>
  </si>
  <si>
    <t>Envejecimiento saludable</t>
  </si>
  <si>
    <t>Ana Karen Parra Bonilla, presidenta de la Comisión de Derechos Humanos del Estado de Hidalgo (CDHEH), exhortó al Congreso local a mantener una postura neutral respecto a la tauromaquia. Pidió que el análisis sobre la prohibición o defensa de las corridas de toros sea objetivo, apegado a lo jurídico y libre de sesgos políticos.</t>
  </si>
  <si>
    <t>CDHEH</t>
  </si>
  <si>
    <t>Irving Sánchez habló sobre la fuerte lluvia que se registró la tarde de ayer en la capital del Estado, en donde se registraron condiciones de encharcamientos en centros comerciales, puentes, bulevares, incluso en edificios de Gobierno.</t>
  </si>
  <si>
    <t>Gobierno</t>
  </si>
  <si>
    <t>Irving Sánchez</t>
  </si>
  <si>
    <t>Valle del Mezquital - Las intensas lluvias registradas la tarde de este jueves en distintos municipios del Valle del Mezquital dejaron diversas afectaciones, entre ellas encharcamientos, inundaciones en calles y carreteras, caída de árboles y apagones en municipios como Ixmiquilpan, Progreso de Obregón y Francisco I. Madero. En el caso de Ixmiquilpan, ciudadanos reportaron varios apagones en distintos puntos del municipio, uno de ellos afectando directamente los servicios de emergencia de la delegación de la Cruz Roja Mexicana, la cual se quedó temporalmente sin líneas telefónicas. A través de redes sociales, habitantes señalaron que intentaron comunicarse con la corporación para solicitar apoyo; sin embargo, no lograban establecer contacto, situación que complicó la atención de emergencias durante la tormenta. Asimismo, se registraron severos encharcamientos sobre la carretera federal México-Laredo, principalmente en el carril con dirección hacia Pachuca, a la altura de Soriana, un punto que constantemente presenta inundaciones cada vez que se registran precipitaciones de consideración. Mientras tanto, en Progreso de Obregón y Francisco I. Madero las lluvias provocaron acumulación de agua en calles y carreteras, además de la caída de árboles. De acuerdo con reportes ciudadanos, uno de los árboles colapsados obstruyó parcialmente una carretera, por lo que automovilistas pidieron extremar precauciones al circular por la zona. Las autoridades y cuerpos de emergencia de cada demarcación se mantienen realizando recorridos para atender las afectaciones reportadas.</t>
  </si>
  <si>
    <t>Con 20 votos a favor, cinco en contra y una abstención, el Congreso de Hidalgo aprobó la solicitud para realizar una consulta popular que permita a la ciudadanía decidir sobre la continuidad o prohibición de las corridas de toros en la entidad. El debate dividió posturas entre legisladores que consideran la tauromaquia una tradición cultural y quienes sostienen que la protección animal ya está contemplada en la Constitución y no debería someterse a consulta. La propuesta plantea que la población determine si las corridas deben continuar como parte del patrimonio cultural inmaterial o si deben prohibirse los espectáculos relacionados con la tauromaquia. Durante la discusión, diputados de Morena defendieron la consulta como un mecanismo de participación ciudadana ante un tema que genera polarización social, cultural y económica.</t>
  </si>
  <si>
    <t>Entrevista vía telefónica Prisco Manuel Gutiérrez, titular de la CEDSPI - Impulso Indígena: Habló sobre la convocatoria de "Impulso Indígena”, concurso dirigido a artesanas y artesanos del estado, que tiene como objetivo, crear un jersey que confeccione la pasión por el fútbol con diseño y arte textil. La convocatoria está abierta del 18 de mayo al 6 de junio, el ganador del primer lugar obtendrá un premio de 120 mil pesos.</t>
  </si>
  <si>
    <t>Equipo Taurus de la UPT clasifica a la final del Mundial CanSat 2026</t>
  </si>
  <si>
    <t>Despacho del Gobernador y Sebiso llevan apoyos sociales a 2 mil familias de San Bartolo.</t>
  </si>
  <si>
    <t>Despacho</t>
  </si>
  <si>
    <t>Entrega De Apoyos</t>
  </si>
  <si>
    <t>Prevención y planeación fortalecen la respuesta ante fenómenos hidrometeorológicos: Gobierno de Hidalgo. (AUDIO GOR).</t>
  </si>
  <si>
    <t>Comité de emergencias</t>
  </si>
  <si>
    <t>Hay convicción para la transformación de Hidalgo”, afirma Menchaca. (AUDIO JMS).</t>
  </si>
  <si>
    <t>En su colaboración semanal, Gustavo Rosales habló sobre la participación del taekwondo hidalguense en los Nacionales Conade 2026, sumando al medallero de la entidad dos medallas de oro y un bronce, con esto, la disciplina de taekwondo acumula diez preseas repartidas en tres medallas de oro, cuatro de plata y cuatro de bronce. Números basten positivos por parte de la delegación hidalguense de taekwondo.</t>
  </si>
  <si>
    <t>Entrevista vía telefónica Miguel Ángel Tello Vargas, titular de la Unidad de Planeación y Prospectiva de Hidalgo - Impulso Indígena: Habló sobre el la convocatoria "Impulso Indígena", dirigida a artesanos para diseñar un jersey de fútbol que fusione el arte textil de los pueblos originarios con la identidad mundialista. Dicha convocatoria estará abierta hasta el próximo 6 de junio, la publicación de los ganadores se dará a conocer el 15 del mismo mes.</t>
  </si>
  <si>
    <t>Julio Menchaca presenta “Plan B” alineado con la visión de austeridad republicana del Gobierno de México.</t>
  </si>
  <si>
    <t>“Hay convicción para la transformación de Hidalgo”, afirma Menchaca. (AUDIO JMS).</t>
  </si>
  <si>
    <t>Desmantelan predio con cisterna clandestina para resguardo de hidrocarburo.</t>
  </si>
  <si>
    <t>Combate Al Huachicol</t>
  </si>
  <si>
    <t>Prevención y planeación fortalecen la respuesta ante fenómenos hidrometeorológicos: Gobierno de Hidalgo.</t>
  </si>
  <si>
    <t>Radioescucha falta de agua en Villas del Álamo ya se reporto a Caasim y nada, cae muy poca agua y eso que tengo cisterna</t>
  </si>
  <si>
    <t>En redes sociales elementos de la Policía Municipal de Chapantongo fueron denunciados por una presunta agresión contra un adulto mayor que intentaba impedir los trabajos de apertura de un camino en la comunidad de Zimapantongo, habitantes de la zona acusaron a los oficiales por hacer uso excesivo de la fuerza contra los poblados de comunidad, AUDIO APOYO</t>
  </si>
  <si>
    <t>Abuso Policiaco</t>
  </si>
  <si>
    <t>Siguiendo con este tema, Guillermo Islas, representative legal de líneas intermunicipales de Pachuca, responsabiliza a un vehículo de carga por el accidente en un bulevar Minero que cobró la vida de un pasajero. Dijo que, lamentablemente, cuando un transporte público está involucrado, casi siempre lo responsabiliza.</t>
  </si>
  <si>
    <t>También informamos de una persona que perdió la vida tras un accidente, que estuvo involucrado en una urbana de transporte público sobre un bulevar Minero en Pachuca. Ante los hechos, la Secretaría de Movilidad y Transportes de Hidalgo informó que personal del sistema de transporte convencional acudió de inmediato al lugar para coordinarse con las autoridades y dar seguimiento al caso. La dependencia expresó su solidaridad con la familia de la víctima y señaló que brindará atención y orientación a las personas usuarias afectadas. Además aseguró que colaborarán con las investigaciones para esclarecer lo ocurrido y terminar responsabilidades. La SEMOT advirtió que, en caso de confirmarse responsabilidad del concesionario o del conductor, se aplicarán las sanciones correspondientes conforme a la Ley de Movilidad y Transporte del Estado</t>
  </si>
  <si>
    <t>Radioescucha comenta: “Pedimos el apoyo del señor gobernador para apoyar en el accidente de la colectiva, ya que las unidades no contaban con seguro y la verdad los accidentados están viendo su suerte, ya que lo están viendo todo por sus medios. Comenta conductor: “¿Qué pasó aquí, SEMOT? ¿Cómo que no tenía seguro esta unidad y el otro vehículo de carga tampoco? ¿Que no se supone que todos tenemos que tener seguro para circular? Chequen bien qué está pasando”</t>
  </si>
  <si>
    <t>El gobierno municipal de Tula, en coordinación con la Dirección de Protección Civil y Bomberos, informa a la ciudadanía que, derivado de las lluvias y ráfagas de viento registradas en el municipio de Tula de Allende, pues se atendieron diversos reportes por caída de árboles en las comunidades del Cielito, San José, San Lorenzo, San Pedro y El Huerto. Los elementos realizaron labores de retiro y mitigación de riesgos con el objetivo de salvaguardar la integridad de la población y mantenerse libres las vialidades afectadas. Pues recuerde usted, cualquier emergencia aquí en Tula de Allende o en cualquier parte del estado, puede comunicarse al 911, que es el número de emergencias.</t>
  </si>
  <si>
    <t>Vaya que hizo estragos ayer la lluvia de la tarde noche en Pachuca, en Ixmiquilpan, Progreso de Obregón, Francisco I. Madero, aquí en Tula. Muchos problemas en la negación, encharcamientos. Algunos negocios, instituciones como Radio y Televisión de Hidalgo, pues tuvieron ahí que sacar agua de las oficinas para evitar alguna inundación, que se dañaran equipos y también algunas carreteras con encharcamientos. Vimos autos que se los llevaba la corriente. Así es que hay que tomar precauciones, por favor. Hay que atender las indicaciones de protección civil y estar muy atentos a las condiciones climáticas para este fin de semana.</t>
  </si>
  <si>
    <t>Radioescucha informo que el dia de ayer en la Aquiles Serdan, el agua se metio en algunas casas, ya que la lluvia fue muy intensa</t>
  </si>
  <si>
    <t>La Subsecretaría de Protección Civil y Gestión de Riesgos informa a la población que este 22 de mayo de 2026 se prevén chubascos con lluvias puntuales fuertes de 25 a 50 mm en las regiones norte, centro y sureste del estado. Asimismo, se pronostican temperaturas máximas de 30 a 35 °C en la región norte, así como vientos de 10 a 20 km/h con rachas de 30 a 50 km/h.</t>
  </si>
  <si>
    <t>Alerta Meteorológica</t>
  </si>
  <si>
    <t>Jorge Alberto Reyes rindió protesta como presidente de la Asociación de Alcaldes del Estado de Hidalgo en Pachuca. El nuevo representante de las y los alcaldes de Hidalgo agradeció la confianza de las presidentas y presidentes municipales, así como el acompañamiento del gobernador del estado , AUDIO APOYO</t>
  </si>
  <si>
    <t>Tres elementos de la Secretaría de Seguridad Pública de Pachuca resultaron lesionados luego de ser atropellados por una conductora en la calle Sector Primario, a un costado del Congreso del Estado de Hidalgo.De acuerdo con los primeros reportes, la mujer intentaba salir de un estacionamiento cuando, presuntamente, perdió el control de su vehículo. En su trayecto derribó una malla ciclónica y terminó impactando a los policías que se encontraban realizando labores de vialidad en la zona.Tras el incidente, los oficiales fueron atendidos por cuerpos de emergencia, mientras que el área fue asegurada para evitar mayores riesgos y facilitar las investigaciones correspondientes.</t>
  </si>
  <si>
    <t>Hablemos de corrupción. Sí, de esa corrupción sistémica que está profundamente arraigada en las instituciones, la sociedad, las familias y en cualquier nivel socioeconómico de nuestro país. Sin duda, este fenómeno provoca que, en muchas ocasiones, fallemos como el sistema democrático y transparente que deberíamos ser, un sistema donde cada uno de nosotros termina participando para que el engranaje siga operando bajo las reglas de la ilegalidad.Una de las características más alarmantes de la corrupción sistémica es su normalización. Los ciudadanos participan en actos de corrupción porque perciben que es la única forma de sobrevivir, agilizar un proceso o lograr sus objetivos, lo que la convierte en un complejo problema de acción colectiva.Las cifras del INEGI: El costo de la ineficiencia. Pero, ¿cómo llegamos aquí? Ayer, el INEGI ofreció una conferencia de prensa y presentó cifras sumamente reveladoras. El organismo advirtió que la pesada carga de los trámites, las fallas en la atención y la corrupción siguen encareciendo la operación de los negocios y el cumplimiento de las obligaciones ciudadanas en el país.Esto de acuerdo con la Encuesta Nacional de Calidad e Impacto Gubernamental (ENCIG) 2025 del INEGI: El problema general: A nivel nacional, en el 39.1% de los trámites, pagos o solicitudes de servicios públicos, los usuarios enfrentaron algún tipo de obstáculo.Las barreras comunes: Hablamos de lo que usted ya conoce perfectamente: largas filas, requisitos excesivos, traslados a oficinas lejanas, costos elevados y horarios restringidos. El propio instituto agrupa todo esto bajo el concepto de barreras al trámite o "tramititis".El impacto: De ese total de ciudadanos que reportaron complicaciones, el 79.7% señaló que estas barreras burocráticas fueron el principal obstáculo para poder concluir sus gestiones.En conclusión: Cuando el Estado le pone trabas excesivas al ciudadano, no solo frena la economía, sino que crea el caldo de cultivo perfecto para que la corrupción sea vista como la única salida viable</t>
  </si>
  <si>
    <t>Combate a la corrupción</t>
  </si>
  <si>
    <t>Como resultado de trabajos de inteligencia operativa encabezados por la Secretaría de Seguridad Pública de Hidalgo (SSPH), en coordinación con la Procuraduría General de Justicia del Estado de Hidalgo (PGJEH), la Secretaría de la Defensa Nacional (Sedena) y la Guardia Nacional (GN), fue desmantelado un predio presuntamente utilizado para el almacenamiento de hidrocarburo robado en la colonia Praderas del Potrero, en Atotonilco de Tula. El operativo se desarrolló mediante una acción de técnica de cateo derivada de labores de inteligencia de la Policía Estatal, permitiendo ubicar un inmueble que presuntamente funcionaba como punto de resguardo de combustible robado. En el sitio se aseguraron 34 mil 350 litros de hidrocarburo y vehículos presuntamente vinculados con esta actividad ilícita.</t>
  </si>
  <si>
    <t>Prevención y planeación fortalecen la respuesta ante fenómenos hidrometeorológicos: Gobierno de Hidalgo</t>
  </si>
  <si>
    <t>Despacho del Gobernador y Sebiso llevan apoyos sociales a 2 mil familias de San Bartolo, AUDIO APOYO</t>
  </si>
  <si>
    <t>Colectivos feministas y familiares realizarán una marcha en Actopan para exigir justicia por Dulce, joven de 21 años víctima de presunto feminicidio. La convocatoria fue realizada por La Mercadita Las Insurgentas Feminista-Protesta, que llamó a la ciudadanía a unirse</t>
  </si>
  <si>
    <t>En encuentro con medios de comunicación, el gobernador Julio Menchaca Salazar indicó que se reunirá con Zoé Robledo, directora general del Instituto IMSS, para mejorar la inversión en el nuevo Hospital General del IMSS en la región de Tula, AUDIO JMS</t>
  </si>
  <si>
    <t>Vía telefónica Miguel Ángel Tello Vargas, titular de la Unidad de Planeación y Prospectiva de Hidalgo - Impulso Indígena: Habló sobre el la convocatoria "Impulso Indígena", dirigida a artesanos para diseñar un jersey de fútbol que fusione el arte textil de los pueblos originarios con la identidad mundialista. Dicha convocatoria estará abierta hasta el próximo 6 de junio, la publicación de los ganadores se dará a conocer el 15 del mismo mes</t>
  </si>
  <si>
    <t>Impulso Indígena</t>
  </si>
  <si>
    <t>La Sultana de La Sierra 93.5 FM</t>
  </si>
  <si>
    <t>Contenido gubernamental</t>
  </si>
  <si>
    <t>Vía telefónica Prisco Gutiérrez titular CEDSPI, el tema del lanzamiento de la convocatoria del programa “Impulso Indígena”</t>
  </si>
  <si>
    <t>Javier Yáñez</t>
  </si>
  <si>
    <t>En encuentro con medios de comunicación, el gobernador Julio Menchaca Salazar reconoció que la cercanía del AIFA, la seguridad en el estado, instalaciones en materia deportiva, las cuales fueron un factor clave para que la FIFA eligiera al estado como sede de concentración de la selección de Sudáfrica durante el mundial de fútbol del 26, aseguró que el estado está listo para la justa mundializa y para ofrecer las condiciones necesarias para recibir a los visitantes, AUDIO JMS</t>
  </si>
  <si>
    <t>La presidenta municipal de Atitalaquia, Claudia Sandoval, entregó la obra de drenaje sanitario en las calles 9 de mayo y 20 de septiembre en la comunidad de Tlamaco, destacando que se trata de infraestructura básica que mejora directamente las condiciones de vida de las familias Durante la entrega, la alcaldesa señaló que su administración apuesta por obras funcionales y de impacto social por encima de proyectos de relumbrón al asegurar que este tipo de acciones garantizan servicios dignos para la población</t>
  </si>
  <si>
    <t>Obras De Infraestructura</t>
  </si>
  <si>
    <t>El gobernador de Hidalgo, Julio Menchaca Salazar, envió al Congreso local una iniciativa de reforma en materia de austeridad presupuestaria, administrativa y paridad de género, la cual se alinea firmemente con el llamado "Plan B" promovido a nivel federal por la presidenta de México, Claudia Sheinbaum Pardo. La propuesta contempla una reestructuración profunda en los ayuntamientos, planteando la reducción del número de regidurías y sindicaturas bajo estrictos criterios de eficiencia, austeridad y equilibrio institucional. Asimismo, la iniciativa busca blindar las finanzas públicas al prohibir que los organismos legales y el Tribunal Electoral contraten —con cargo al erario— seguros médicos privados, seguros de vida, pensiones especiales o cualquier otro esquema similar de previsión social privada.Con este paquete de reformas, el Ejecutivo estatal busca consolidar la política de "pobreza franciscana" y optimización de recursos en la entidad, erradicando los antiguos privilegios burocráticos y garantizando que el presupuesto público se destine prioritariamente al bienestar social,</t>
  </si>
  <si>
    <t>Comenta el conductor Eulalio Larrieta que la Semot: "Debe checar con Tuzobús por qué hacen este tipo de cosas de cerrar; para eso están y dicen que las cierran por seguridad. Las lluvias van a seguir y cada que llueve van a cerrar, pues como que no".</t>
  </si>
  <si>
    <t>Quejas Tuzobús</t>
  </si>
  <si>
    <t>Radioescucha reporta que ayer fue un día caótico por la lluvia. “ Mi hijo salió en la tarde con sus amigos y llegaron a la estación de Prepa 1; tuvieron casi que nadar para llegar y les cerraron la cortina en la cara, dejándolos en la inundación parados sin poder llegar a casa. Después se trasladaron a la otra estación de Santa Julia y también estaba cerrada”.</t>
  </si>
  <si>
    <t>El gobernador Julio Menchaca Salazar encabezó las rutas de la transformación en los municipios de Tlaxcoapan y Tlahuelilpan, donde dio a conocer pues las acciones emprendidas durante su administración y anunció nuevos proyectos de infraestructura por más de 187 millones de pesos.AUDIO APOYO JMS,</t>
  </si>
  <si>
    <t>El gobierno de Hidalgo, que encabeza Julio Menchaca Salazar, pues visitó los municipios de Tlaxcoapan y Tlahuelilpan con las rutas de la transformación, donde se anunciaron obras de infraestructura por más de 187 millones de pesos y pues también se reiteró el compromiso de mantener un gobierno cercano y de rendición de cuentas.En Tlaxcoapan, el mandatario Julio Menchaca Salazar destacó que inversiones superiores a 105 millones de pesos en obras como pavimentación, rehabilitación de espacios públicos y mejoras en accesos comunitarios. Destacan más de 351 mil pesos para proyectos productivos y la premiación de la Copa Hidalgo Tlaxcoapan, donde el equipo Maseya logró el bicampeonato en fútbol. Más tarde en Tlahuelilpan, Menchaca supervisó la rehabilitación del libramiento municipal y confirmó inversiones superiores a 82 millones de pesos en obras, carreteras y urbanas. Además de anunciar nuevos proyectos de pavimentación y reconducción vía para 2026. AUDIO DE APOYO,</t>
  </si>
  <si>
    <t>Cuando hablamos de las Rutas de la Transformación, nos referimos precisamente a cómo las políticas públicas pueden desmantelar la corrupción desde la raíz. Al acercar los servicios de manera directa a las personas, este programa ataca los dos grandes incentivos de la ilegalidad: la distancia física y la burocracia excesiva. El objetivo es claro: optimizar el acceso a los servicios públicos para que los ciudadanos conozcan sus derechos y beneficios sin necesidad de realizar viajes largos, soportar filas interminables o verse orillados a caer en actos de corrupción para cumplir con sus obligaciones.El impacto directo en la ciudadanía : La verdadera importancia de las Rutas de la Transformación radica en que los servicios gubernamentales se trasladan al territorio, no al revés. Esto atiende de manera frontal un problema que ha aquejado a la entidad y al país por décadas</t>
  </si>
  <si>
    <t>De acuerdo con el Monitor de Sequía en México del Servicio Meteorológico Nacional, con corte al 15 de mayo de 2026, la Comisión Nacional del Agua (Conagua), a través de su Dirección Local Hidalgo, informa que, del total de los 84 municipios de la entidad, 15 reportan condiciones anormalmente secas (D0)*, y las 69 demarcaciones restantes se encuentran sin grado de sequía como se enlista a continuación</t>
  </si>
  <si>
    <t>Sequía</t>
  </si>
  <si>
    <t>Un panel organizado por colectivos animalistas en las instalaciones de la Comisión de Derechos Humanos del Estado de Hidalgo, el diputado Avelino Tovar se pronunció sobre la consulta ciudadana respecto a la permanencia de la tauromaquia en la entidad, señaló que dicho mecanismo podría resultar . Por su parte, la diputada Tania Meza Escorza también expresó su apoyo a estas organizaciones que defienden los derechos de los animales y están en contra de la tauromaquia aquí en el Estado de Hidalgo, AUDIO APOYO</t>
  </si>
  <si>
    <t>Activistas y defensores de los animales han manifestado su rechazo a someter a consulta ciudadana la prohibición de las corridas de toros. Argumentan que el maltrato animal no debe ser sometido a votación y exigen al Congreso local legislar directamente la abolición de la tauromaquia</t>
  </si>
  <si>
    <t>Radioescucha pide poner topes en Ferrocarril Central por el 3B y el Oxxo</t>
  </si>
  <si>
    <t>Topes vehiculares</t>
  </si>
  <si>
    <t>Con una inversión de 7.8 millones de pesos (mdp), el Instituto Nacional de Antropología e Historia (INAH), a través de su representación en Hidalgo, trabaja en la rehabilitación de las cuatro zonas arqueológicas abiertas al público en el estado, para brindar una mejor experiencia al turismo local, nacional y extranjero.Estas labores, señaló la secretaria de Cultura del Gobierno de México, Claudia Curiel de Icaza, “forman parte de una política pública de cuidado del patrimonio. Con acciones en Tula, Huapalcalco, Pañhú y Xihuingo, la Secretaría de Cultura y el INAH atienden necesidades específicas de conservación e infraestructura, para que sigan siendo espacios vivos de memoria, conocimiento e identidad para sus comunidades y para quienes los visitan”.</t>
  </si>
  <si>
    <t>Zona Arqueológica</t>
  </si>
  <si>
    <t>Hidalgo fortalece la conservación de murciélagos tras registro relevante en cueva de Cuautepec</t>
  </si>
  <si>
    <t>Semarnath</t>
  </si>
  <si>
    <t>Conservación de especies</t>
  </si>
  <si>
    <t>PGJEH investiga feminicidio; el probable responsable se encuentra en prisión preventiva oficiosa</t>
  </si>
  <si>
    <t>Vinculación feminicida</t>
  </si>
  <si>
    <t>Hidalgo alcanza 83.2 % de cumplimiento en declaraciones patrimoniales</t>
  </si>
  <si>
    <t>Respalda gobierno de Hidalgo a pequeños productores tras afectaciones climáticas. (AUDIO NGP).</t>
  </si>
  <si>
    <t>Apoyo por catástrofes agropecuarias</t>
  </si>
  <si>
    <t>Caen presuntos narcomenudistas tras operativo en Tepeji del Río</t>
  </si>
  <si>
    <t>Combate Al Narcomenudeo</t>
  </si>
  <si>
    <t>Rutas de la Transformación acercan orientación laboral a las y los hidalguenses. (AUDIO MVM).</t>
  </si>
  <si>
    <t>Atención comunitaria en Huichapan con Brigadas de la Salud.</t>
  </si>
  <si>
    <t>SSH</t>
  </si>
  <si>
    <t>Brigadas De Salud</t>
  </si>
  <si>
    <t>Tarjeta informativa en relación con la vigilancia de la adecuada operación del transporte público sobre la avenida Madero y la calle Iglesias, con motivo de los cortes y desvíos de circulación derivados de los trabajos que se realizan en la zona.</t>
  </si>
  <si>
    <t>Supervisión de Transporte</t>
  </si>
  <si>
    <t>Tarjeta informativa respecto al incidente registrado esta mañana en la estación Tecnológico de Monterrey del Tuzobús</t>
  </si>
  <si>
    <t>Accidente Tuzobús</t>
  </si>
  <si>
    <t>Tras participar en Mesas de Acercamiento de Bienestar y Paz, una madre logró reunirse con su hijo menor de edad</t>
  </si>
  <si>
    <t>Mesas de acercamiento</t>
  </si>
  <si>
    <t>SSPH asegura a cinco personas por traslado de hidrocarburo robado en Mineral de la Reforma.</t>
  </si>
  <si>
    <t>SNTE y SEPH reconocen compromiso del magisterio Hidalguenses</t>
  </si>
  <si>
    <t>El secretario de Gobierno Guillermo Olivares, encabezó la mesa de diálogo por La Paz en Francisco I. Madero.</t>
  </si>
  <si>
    <t>El gobernador Julio Menchaca encabezó el evento en Palacio de Gobierno al que asistieron los y las 84 alcaldes del estado.</t>
  </si>
  <si>
    <t>Jorge Reyes es el nuevo presidente de la Asociación de Alcaldes del Estado de Hidalgo.</t>
  </si>
  <si>
    <t>Tarjeta informativa respecto a la obstrucción de camino por desfogue controlado en presa Rojo Gómez.</t>
  </si>
  <si>
    <t>Desfogue De Presa</t>
  </si>
  <si>
    <t>En vivo desde la conferencia mañanera, locutor Juan Carlos Santamaría transmite audio de la secretaria de Cultura, Neyda Naranjo Baltazar en donde informó a cerca de los 21 murales desarrollados en 17 municipios, murales que representan la cultura hidalguense mezclada con el fútbol. (AUDIO NNB).</t>
  </si>
  <si>
    <t>Mañanera de Hidalgo</t>
  </si>
  <si>
    <t>En vivo desde la conferencia mañanera, Juan Carlos Santamaría informó sobre la participación del delegado de la Sedatu, Julio Valera Piedras quien dio a conocer sobre las mil 200 canchas que se están construyendo en el país como parte del denominado “Mundial Social” que se realiza en 500 municipios de la república mexicana. En el caso de Hidalgo, dijo, son 29 los municipios donde se están construyendo estas canchas, entre ellos, Pachuca y Tulancingo.</t>
  </si>
  <si>
    <t>En vivo desde la conferencia mañanera del Gobierno de Hidalgo, locutor Juan Carlos Santamaría informó que, en su participación, la secretaria de Turismo, Elizabeth Quintanar Gómez dio a conocer que, a partir del 4 junio llegará a Hidalgo la delegación sudafricana de fútbol, misma que se ubicará en los municipios de Pachuca, Tulancingo, Villa de Tezontepec y Mineral del Monte, dicha delegación llegará a la entidad hidalguense con música, danza y gastronomía. (AUDIO EQG).</t>
  </si>
  <si>
    <t>En vivo desde el notimóvil, Rene Aguilar realiza recorrido sobre la carretera Tulancingo-Cuautepec en donde se reportan encharcamientos a la altura del tramo “La Pasadita” y “El Espejo”, además, de que no se observó ninguna coladera que lleve todo el drenaje pluvial, por lo que, hace una llamada a la empresa encargada de esta obra para su posible solución recordando, que esta es una obra estatal.</t>
  </si>
  <si>
    <t>Rehabilitación carretera</t>
  </si>
  <si>
    <t>En vivo desde la conferencia mañanera del Gobierno de Hidalgo, locutor Juan Carlos Santamaría transmite audio de Edmundo Pineda sobre la presentación de la sección “círculos de dialogo” actividad encabezada por el gobernador Julio Menchaca en donde sostuvo un encuentro con habitantes del municipio de Mixquiahuala.</t>
  </si>
  <si>
    <t>En vivo desde la conferencia mañanera de Gobierno de Hidalgo, Juan Carlos Santamaría informa, que la conferencia da inicio con el comentario del Coordinador de Comunicación Gubernamental, Edmundo Pineda López, quien, en primera instancia ha felicitado a los compañeros de medios de comunicación provenientes desde la región de Tula, entendiendo que, con la cercanía a la planta muchos de ellos son aficionados al Cruz Azul; con este comentario cercano y futbolero es como da inicio esta conferencia matutina.</t>
  </si>
  <si>
    <t>En vivo desde la conferencia mañanera de Gobierno de Hidalgo, Juan Carlos Santamaría informa sobre las autoridades que encabezarán el evento, entre los que destacan: Julio Valera Piedras, delegado de la Sedatu; Elizabeth Quintanar Gómez, secretaria de Turismo; Mónica Mixtega, titular de la Semarnarth y Román Bernal Días, titular de la subsecretaría de Protección Civil y Gestión de Riesgos,</t>
  </si>
  <si>
    <t>Aclaración en mañanera</t>
  </si>
  <si>
    <t>Familiares de Dulce y colectivas feministas convocaron a una manifestación este lunes en los Juzgados Penales de Actopan para exigir justicia por la joven que fue privada de la vida en ese municipio.A través de redes sociales, la colectiva Mercadita Las Insurgentes Feminista-Protesta difundió una convocatoria para realizar una protesta pacífica y exigir el esclarecimiento de los hechos en el caso de feminicidio.</t>
  </si>
  <si>
    <t>Hoy, frente al Juzgado Penal de Zacualtipán, familiares, amigos y ciudadanos se concentraron para exigir justicia por Karla Espinoza y Estrella, dos jóvenes estudiantes víctimas de la irresponsabilidad de un conductor alcoholizado.Karla perdió la vida, dejando sueños y un futuro truncado.Estrella sigue grave en el hospital, peleando por conservar la suya.</t>
  </si>
  <si>
    <t>Exigen esclarecer homicidio</t>
  </si>
  <si>
    <t>Un hombre de 28 años de edad fue asesinado a balazos alrededor de un domicilio ubicado en la zona centro del municipio de Progreso de Obregón, la tarde de ayer domingo, los hechos ocurrieron sobre la calle Santos de Goyado, esquina con Mariano Escobedo, donde vecinos alertaron a las autoridades tras escuchar múltiples detonaciones de arma de fuego.</t>
  </si>
  <si>
    <t>Ejecuciones</t>
  </si>
  <si>
    <t>Una mujer perdió la vida al ser agredida con disparos de arma de fuego en un bar en el municipio de Tezontepec de Aldama. El agresor escapó. Sin duda, continúan las agresiones contra mujeres en nuestro estado.</t>
  </si>
  <si>
    <t>Este domingo, diversas organizaciones civiles y colectivos animalistas realizaron una marcha pacífica desde Plaza Independencia hasta Plaza Juárez, en Pachuca, para manifestarse contra la aprobación de la consulta popular sobre corridas de toros avalada recientemente por el Congreso de Hidalgo, AUDIO APOYO</t>
  </si>
  <si>
    <t>Pobladores de los pueblos ribereños se reunieron ayer a unos metros del acceso a la cortina de este afluente, esto en la comunidad de General Pedro María Naya, municipio de Tepetitlán, con la intención de organizar un retorno al problema que viven por el mosco cúlex y el Lirio acuático, se reunieron a unos metros del acceso a la cortina de este afluente, con la intención de organizar un retorno al problema que viven, AUDIO APOYO</t>
  </si>
  <si>
    <t>Mosco Culex</t>
  </si>
  <si>
    <t>Será hasta el mes de septiembre, cuando llegue la maquinaria especializada contemplada para el saneamiento de la presa Endhó, así lo informó el director de Conagua, Félix Brambila. Ya está en proceso de adquisición, el tema es que son máquinas hechas a la medida, es una máquina que va a recolectar el Lirio, lo va a triturar, lo va a empaquetar, y luego habrá otro barco que lo va a llevar a tierra, y el plan maestro que nos ha comentado, cumplió la licenciada Mayela, es que se haga energía eléctrica con esa máquina. AUDIO DE APOYO.</t>
  </si>
  <si>
    <t>Control lirio acuático</t>
  </si>
  <si>
    <t>Durante la conferencia mañanera la secretaria de Turismo de Hidalgo, Elizabeth Quintanar Gómez, informó que la selección de fútbol de Sudáfrica llegará a partir del 4 de junio, como parte de su preparación para el Mundial 2026 , explicó que el combinado sudafricano se hospedará del 4 al 9 de junio en Pachuca, Real del Monte, Tula, Tulancingo y Villas de Tezontepec, como parte de su preparación deportiva, AUDIO APOYO</t>
  </si>
  <si>
    <t>Hoy como todos los lunes, se llevo acabo la conferencia mañanera del Gobierno de Hidalgo, donde se presento sección “círculos de dialogo” actividad encabezada por el gobernador Julio Menchaca en donde sostuvo un encuentro con jovenes del municipio de Mixquiahuala, AUDIO APOYO</t>
  </si>
  <si>
    <t>Radio Lobo 96.7 FM</t>
  </si>
  <si>
    <t>Enlace Noticias</t>
  </si>
  <si>
    <t>Con hechos, respalda gobierno de Hidalgo a pequeños productores tras afectaciones climáticas</t>
  </si>
  <si>
    <t>Gina Lorenzo</t>
  </si>
  <si>
    <t>El señor Isidro Ángeles, vecino del municipio de Tetepango, alzó la voz para denunciar las severas deficiencias en la pavimentación de la calle Melchor Ocampo, una obra ejecutada en mayo de 2025 que, a un año de distancia, sigue afectando la movilidad de los habitantes. De acuerdo con el reporte del ciudadano, el camino quedó mal nivelado, lo que provoca la formación de grandes charcos e inundaciones tanto al inicio como al término de la vialidad durante la actual temporada de lluvias.</t>
  </si>
  <si>
    <t>Deficiencias en obra</t>
  </si>
  <si>
    <t>Radioescucha señor Erasmo Jiménez del Carmen, nos dice que cada que llueve en la carretera Tula-Tepeji por el Carmen, conocido como el columpio, se anhela el agua.</t>
  </si>
  <si>
    <t>Hablando de las inclemencias del clima, en Mineral del Monte un rayo impactó la iglesia principal de Nuestra Señora del Rosario provocando la caída de una cruz metálica ubicada en la parte alta de la cúpula donde se encuentra el reloj.No hay personas lesionadas, sin embargo se va a realizar una inspección por parte de Protección Civil para ver si esta descarga generó algunos problemas en la infraestructura del templo allá en Mineral del Monte</t>
  </si>
  <si>
    <t>Y más de 2.3 millones de pesos fueron destinados por el gobierno de Hidalgo para apoyar a familias productoras afectadas por las recientes contingencias climatológicas. Ayer domingo la Secretaría de Agricultura y Desarrollo Rural entregó más de 500 cheques como parte del programa de apoyos. El titular de la SADER, Napoleón González Pérez, destacó que la instrucción del gobernador Julio Menchaca Salazar es respaldar primero a las y los pequeños productores que arriesgan su patrimonio ante las inclemencias del clima. Los apoyos fueron entregados de manera directa sin intermediarios a productores de municipios como Ixmiquilpan, Tlaxcoapan, Zempoala, Tulancingo, Mineral de la Reforma y Tenango de Doria, entre otros municipios.</t>
  </si>
  <si>
    <t>El acceso a la justicia laboral ya no depende de viajar hasta Pachuca. El gobierno de Hidalgo fortaleció la atención regional del Centro de Conciliación Laboral del Estado de Hidalgo, haciendo asesorías gratuitas a las comunidades a través de rutas de la transformación. Su titular, Mariela Valero Mota, informó que muchas personas desconocen sus derechos laborales o consideran costoso iniciar un proceso, por lo que se instalaron módulos de atención jurídica en distintas regiones del estado. AUDIOS DE APOYO</t>
  </si>
  <si>
    <t>STPSH</t>
  </si>
  <si>
    <t>Conciliación Laboral</t>
  </si>
  <si>
    <t>La muerte de un bebé de apenas un año y tres meses conmocionó al municipio de Tizayuca. Con los niños no. Durante esas semanas, vecinos de la colonia Antorcha escucharon gritos, golpes y agresiones dentro de una vivienda, pero la madre de menor aseguraba que todo se debía a que el niño era muy inquieto. Por eso lo golpeaba, pero días después el pequeño comenzó a presentar dificultades para respirar y fue trasladado de emergencia al hospital, donde lamentablemente perdió la vida. Las investigaciones de la Procuraduría de Justicia revelaron presuntas evidencias de maltrato infantil y contradicciones en la versión de la madre, identificada como Griselda, quien pues terminó detenida y vinculada a proceso por homicidio doloso</t>
  </si>
  <si>
    <t>Maltrato infantil</t>
  </si>
  <si>
    <t>SSPH asegura a cinco por traslado de hidrocarburo robado en Mineral de la Reforma</t>
  </si>
  <si>
    <t>Combate al huachicol</t>
  </si>
  <si>
    <t>Un operativo coordinado entre fases estatales y federales permitió desarticular un presunto punto de venta de droga en Tepeji del Río, donde fueron detenidos tres hombres y aseguradas diversas dosis de presuntos narcóticos.La intervención se realizó en un inmueble de la colonia Tianguistengo. Durante el cateo, las autoridades localizaron más de 700 dosis de hierba con características de marihuana y sustancia similar al cristal. Además de la droga, fueron aseguradas cuatro motocicletas y un vehículo sedán blanco, presuntamente relacionados con actividades de distribución en la zona. Las personas detenidas y lo decomisado quedaron a disposición de las autoridades ministeriales, mientras continúan las investigaciones correspondientes.</t>
  </si>
  <si>
    <t>Combate al narcomenudeo</t>
  </si>
  <si>
    <t>Autoridades de protección civil de Hidalgo informaron que la presa Rojo Gómez en el municipio de Alfajayucan mantienen un desfogue controlado que alcanzará hasta 10 metros cúbicos por segundo durante esta semana. La dependencia detalló que parte del caudal será utilizado para el riego, por lo que se trata de una maniobra programada y sin riesgo para la población. Sin embargo, hay que tener en cuenta, si usted circula por esta zona, derivado de la espuma generada por el desfogue, fue cerrado de manera temporal un tramo de la carretera Alfajayucan-Chilcuautla a la altura de la comunidad de La Cañada. Protección civil aseguró que la zona no se encuentra incomunicada ya que existen vías alternas de circulación, además de que se mantiene en monitoreo permanente ante cualquier eventualidad.</t>
  </si>
  <si>
    <t>Por su parte, el gobernador de Hidalgo, Julio Menchaca Salazar, destacó que continúan las investigaciones.Además, enfatizó que cualquier conductor del transporte público que no respete la ley le será retirada la condición. ¿Están en proceso? Porque también tienen el derecho de defensa. Son trámites administrativos, pero yo me comprometo a que sean más enérgicas. AUDIO DE APOYO JMS ENTREVISTA</t>
  </si>
  <si>
    <t>El conductor de la camioneta de materiales involucrada en el choque contra una combi del transporte público fue vinculado a proceso y permanecerá en presión preventiva mientras avanzan las investigaciones. Este hecho sin duda conmocionó a la zona metropolitana de nuestro estado. El accidente, usted recuerda, dejó a una mujer sin vida y al menos 13 personas lesionadas. Durante la audiencia, víctimas y familiares acudieron para exigir justicia por este hecho. El imputado enfrenta cargos por homicidio, lesiones y daños culposos. En tanto, continúan las diligencias para esclarecer responsabilidades.</t>
  </si>
  <si>
    <t>Con 20 votos a favor, 5 en contra y una abstención, el Congreso de Hidalgo aprobó la solicitud para realizar una consulta popular que permita a la ciudadanía decidir sobre la continuidad o prohibición de las corridas de toros en la entidad. El debate dividió posturas entre legisladores que consideran la tauromaquia una tradición cultural y quienes sostienen que la protección animal ya está contemplada en la Constitución y no debería someterse a consulta.La aprobación de esta solicitud abre un nuevo capítulo en uno de los debates más polémicos en Hidalgo, donde organizaciones animalistas y sectores taurinos mantienen posiciones completamente opuestas. De hecho, continúan las corridas, por ejemplo, en el municipio de San Salvador, en la comunidad de Caxuxi y toda esta parte del Valle del Mezquital, donde están a favor de la tauromaquia y siguen realizando año con año corridas de toros allá en estos municipios.</t>
  </si>
  <si>
    <t>La Unidad de Planeación y Prospectiva de Hidalgo impulsa proyectos estratégicos para fortalecer la productividad agrícola en el Valle del Mezquital mediante acciones enfocadas al mejor aprovechamiento del agua y la tecnificación del campo. El Secretario de Planeación, Miguel Ángel Tello Vargas, informó que en coordinación con la CONAGUA y el Gobierno de México se trabaja en la rehabilitación de canales, ampliación de redes de distribución y nivelación de parcelas para mejorar las condiciones de siembra en la región. AUDIOS DE APOYO</t>
  </si>
  <si>
    <t>La Semarnath realizó una visita técnica a una cueva en el municipio de Cuautepec de Hinojosa, donde identificó al menos dos especies de murciélagos, incluyendo una colonia de más de 50 ejemplares de murciélago orejón (Corynorhinus aff. mexicanus). Durante el recorrido, especialistas y autoridades acordaron impulsar medidas de protección para el sitio, considerado de relevancia ecológica por la presencia de especies sensibles a la actividad humana.En la inspección también se registraron menos de 20 individuos del murciélago frugívoro azteca (Dermanura azteca), además de indicios de una tercera especie insectívora de presencia estacional, posiblemente el murciélago mexicano de cola libre (Tadarida brasiliensis).Asimismo, mediante fotografías proporcionadas por guías locales, se identificó en la denominada Cueva de la Neblina otra colonia integrada por murciélago frugívoro azteca y murciélago frugívoro gigante (Artibeus lituratus.</t>
  </si>
  <si>
    <t>El secretario de Educación Pública de Hidalgo, Natividad Castrejón informó que todo está listo para las clausuras escolares y la entrega de uniformes en la primera semana de septiembre. No, no, no, nuestros procesos tienen que llevar su propio tiempo, y ahora tenemos que tener los uniformes la primera semana de septiembre. En los temas hay algunas voces, ayer yo platicaba con algunos profesores de distintos niveles de primaria, de secundaria y mencionaban que había algunas voces que decían que se iba a modificar el calendario, también al secretario se le preguntó al respecto, confirmó que no habrá suspensión de clases por causa del mundial. No lo creo, no estamos buscando excusas ni pretextos por todos lados, el ciclo debe cumplirse y solo en una emergencia se puede suspender o mandar en línea en alguna emergencia, y cuando llegue la fecha del mundial, que los partidos creo que son en la noche, los niños no van a las clases en la noche, con excepción de la inauguración, lo podemos revisar. AUDIO DE APOYO</t>
  </si>
  <si>
    <t>Uniformes escolares</t>
  </si>
  <si>
    <t>Se acuerda usted que la semana pasada en este espacio aquí le presentamos primero que nadie los datos del INEGI sobre corrupción a nivel nacional? Hicimos un desglose importante de esta encuesta que realizó el INEGI en dos mil veinticinco. Bueno, ahora hoy se ubica entre los estados donde la corrupción ya no se oculta, sino que se denuncia y se combate institucionalmente. Así lo refleja la encuesta nacional de calidad e impacto gubernamental dos mil veinticinco del INEGI, que reportó una prevalencia de veintiún mil cuatrocientos cincuenta y dos personas afectadas por actos de corrupción por casi cien mil habitantes.El secretario de Contraloría Álvaro Bardales aseguró que este indicador también muestra una mayor visibilización de prácticas indebidas que durante años permanecieron normalizadas, al señalar que ahora existen más mecanismos de denuncia y sanción. Por su parte, el gobernador de Hidalgo señaló que durante su actual administración se han presentado más de noventa denuncias penales por posibles actos de corrupción y se irá trabajando en eso. AUDIO APOYO DE ENTREVISTA JMS</t>
  </si>
  <si>
    <t>La mañana de este lunes, un hombre sin vida fue localizado en la carretera Pachuca-Sahagún, en el tramo correspondiente al municipio de Tlanalapa, Hidalgo.El hallazgo ocurrió a la altura del Rancho San Francisco.</t>
  </si>
  <si>
    <t>Localización de cuerpo</t>
  </si>
  <si>
    <t>Radioescucha manda audio y dice que algunas colectivas hacen paradas donde les da la gana, van como locos, se meten en tercera fila.</t>
  </si>
  <si>
    <t>Radioescucha reporta a urban por dar mal trato al pasaje y maneja muy rápido; venía hablando palabras antisonantes también. La colectiva trae el número A54548K.</t>
  </si>
  <si>
    <t>Radioescucha reporta una fuga de agua en la calle Porfirio Díaz esquina José María Morelos y Pavón, colonia Felipe Ángeles.</t>
  </si>
  <si>
    <t>Fuga De Agua</t>
  </si>
  <si>
    <t>Radioescucha reporta una fuga de agua en la colonia Felipe Ángeles; la tenemos desde ayer</t>
  </si>
  <si>
    <t>Radioescucha reporta falta de agua en calle Arizpe , ya llevamos semana y media</t>
  </si>
  <si>
    <t>Radioescucha reporta falta de agua en Arizpe en el Centro, ya se reporto desde la semana pasada</t>
  </si>
  <si>
    <t>Radioescucha comenta : Pronto se llevará a cabo lo del mundial y Pachuca será sede de entrenamiento del equipo de Sudáfrica. ¿Estamos preparados para cualquier tema de Ébola?</t>
  </si>
  <si>
    <t>La presidenta Claudia Sheinbaum anunció que el próximo domingo 31 de mayo rendirá un informe de rendición de cuentas para conmemorar que el 2 de junio se cumplen dos años de su victoria en las urnas.Explicó que, en lugar de pedir que la gente viaje a la Ciudad de México, se convocará a los ciudadanos a reunirse de forma simultánea en las plazas principales de las 32 entidades de la República, donde se conectarán a distancia para escuchar el mensaje.</t>
  </si>
  <si>
    <t>Informe Sheinbaum</t>
  </si>
  <si>
    <t>Reportan que en el Boulevard Felipe Ángeles, a la altura del siglo XXI en dirección hacia el centro, un vehículo invadió el carril del Tuzobús y fue proyectado, por otro más, contra las barras de protección de esa estación</t>
  </si>
  <si>
    <t>Accidente Vial</t>
  </si>
  <si>
    <t>La Semot y el Sistema Integrado de Transporte Masivo de Hidalgo (Sitmah), informa que este Lunes una unidad del Tuzobús volcó cuando circulaba sobre el bulevar Felipe Ángeles de Pachuca, la unidad del Tuzobús con número económico 105 circulaba sin pasajeros y se dirigía a iniciar operaciones. Mientras transitaba a baja velocidad, la unidad presentó una inclinación hacia uno de sus costados debido a un desnivel en la vialidad y la proximidad con el muro del distribuidor vial, lo que ocasionó la volcadura.El operador del Tuzobús no sufrió lesiones y no se vieron involucradas otras personas ni vehículos. El Sitmah y la empresa operadora aseguraron que continúan dando seguimiento al incidente conforme a sus protocolos operativos. Asimismo, confirmaron que el servicio del Sistema Tuzobús se mantiene habitual y sin afectaciones.</t>
  </si>
  <si>
    <t>El chofer de la camioneta particular involucrada en el trágico choque contra una combi de pasajeros en el bulevar Minero de Pachuca se encuentra detenido. El responsable fue vinculado a proceso y se le dictó prisión preventiva tras el fatal percance</t>
  </si>
  <si>
    <t>En Tezontepec de Aldama, una mujer de 25 años de edad murió tras ser baleada al interior del bar La Escondida ubicado en la comunidad de Huitel. La policía municipal recibió el reporte sobre detonaciones de arma de fuego en el establecimiento. Al llegar al lugar, los elementos policíacos encontraron a la joven con heridas causadas por proyectil de arma de fuego, por lo que fue trasladada de emergencia al Hospital de Cinta Larga, donde horas después falleció.De acuerdo con reportes policíacos, un hombre ingresó al bar, disparó contra la víctima y huyó con rumbo desconocido. La Procuraduría General de Justicia del Estado de Hidalgo abrió una carpeta de investigación por homicidio del oso.</t>
  </si>
  <si>
    <t>Caen presuntos narcomenudistas tras operativo de la SSPH en Tepeji del Río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</si>
</sst>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76" tableType="queryTable" totalsRowShown="0">
  <autoFilter ref="A1:M176"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76"/>
  <sheetViews>
    <sheetView tabSelected="1" workbookViewId="0">
      <selection activeCell="B2" sqref="B2"/>
    </sheetView>
  </sheetViews>
  <sheetFormatPr baseColWidth="10" defaultRowHeight="15" x14ac:dyDescent="0.25"/>
  <cols>
    <col min="1" max="1" width="8.5703125" bestFit="1" customWidth="1"/>
    <col min="2" max="2" width="11.42578125" bestFit="1" customWidth="1"/>
    <col min="3" max="3" width="28.140625" bestFit="1" customWidth="1"/>
    <col min="4" max="4" width="29.42578125" bestFit="1" customWidth="1"/>
    <col min="5" max="5" width="81.140625" bestFit="1" customWidth="1"/>
    <col min="6" max="6" width="15.28515625" bestFit="1" customWidth="1"/>
    <col min="7" max="7" width="34" bestFit="1" customWidth="1"/>
    <col min="8" max="8" width="11" bestFit="1" customWidth="1"/>
    <col min="9" max="9" width="11.140625" bestFit="1" customWidth="1"/>
    <col min="10" max="10" width="25.7109375" bestFit="1" customWidth="1"/>
    <col min="11" max="11" width="22.28515625" bestFit="1" customWidth="1"/>
    <col min="12" max="12" width="17.570312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42</v>
      </c>
      <c r="C1" t="s">
        <v>43</v>
      </c>
      <c r="D1" t="s">
        <v>44</v>
      </c>
      <c r="E1" t="s">
        <v>1</v>
      </c>
      <c r="F1" t="s">
        <v>2</v>
      </c>
      <c r="G1" t="s">
        <v>4</v>
      </c>
      <c r="H1" t="s">
        <v>3</v>
      </c>
      <c r="I1" t="s">
        <v>5</v>
      </c>
      <c r="J1" t="s">
        <v>45</v>
      </c>
      <c r="K1" t="s">
        <v>46</v>
      </c>
      <c r="L1" t="s">
        <v>47</v>
      </c>
      <c r="M1" t="s">
        <v>54</v>
      </c>
    </row>
    <row r="2" spans="1:13" x14ac:dyDescent="0.25">
      <c r="A2" s="2">
        <v>46164</v>
      </c>
      <c r="B2" s="1" t="str">
        <f ca="1">IF(Información1[[#This Row],[Fecha]]='Ajuste de fechas'!$A$2,"Día actual","Día anterior")</f>
        <v>Día anterior</v>
      </c>
      <c r="C2" s="3" t="s">
        <v>34</v>
      </c>
      <c r="D2" t="s">
        <v>35</v>
      </c>
      <c r="E2" s="3" t="s">
        <v>101</v>
      </c>
      <c r="F2" s="3" t="s">
        <v>19</v>
      </c>
      <c r="G2" s="3" t="s">
        <v>33</v>
      </c>
      <c r="H2" s="3" t="s">
        <v>32</v>
      </c>
      <c r="I2" s="3" t="s">
        <v>7</v>
      </c>
      <c r="J2" s="3" t="s">
        <v>52</v>
      </c>
      <c r="K2" s="3" t="s">
        <v>27</v>
      </c>
      <c r="L2" s="3" t="s">
        <v>49</v>
      </c>
      <c r="M2">
        <v>1</v>
      </c>
    </row>
    <row r="3" spans="1:13" x14ac:dyDescent="0.25">
      <c r="A3" s="2">
        <v>46164</v>
      </c>
      <c r="B3" s="1" t="str">
        <f ca="1">IF(Información1[[#This Row],[Fecha]]='Ajuste de fechas'!$A$2,"Día actual","Día anterior")</f>
        <v>Día anterior</v>
      </c>
      <c r="C3" s="3" t="s">
        <v>34</v>
      </c>
      <c r="D3" t="s">
        <v>35</v>
      </c>
      <c r="E3" s="3" t="s">
        <v>106</v>
      </c>
      <c r="F3" s="3" t="s">
        <v>19</v>
      </c>
      <c r="G3" s="3" t="s">
        <v>107</v>
      </c>
      <c r="H3" s="3" t="s">
        <v>32</v>
      </c>
      <c r="I3" s="3" t="s">
        <v>25</v>
      </c>
      <c r="J3" s="3" t="s">
        <v>52</v>
      </c>
      <c r="K3" s="3" t="s">
        <v>27</v>
      </c>
      <c r="L3" s="3" t="s">
        <v>50</v>
      </c>
      <c r="M3">
        <v>1</v>
      </c>
    </row>
    <row r="4" spans="1:13" x14ac:dyDescent="0.25">
      <c r="A4" s="2">
        <v>46164</v>
      </c>
      <c r="B4" s="1" t="str">
        <f ca="1">IF(Información1[[#This Row],[Fecha]]='Ajuste de fechas'!$A$2,"Día actual","Día anterior")</f>
        <v>Día anterior</v>
      </c>
      <c r="C4" s="3" t="s">
        <v>34</v>
      </c>
      <c r="D4" t="s">
        <v>35</v>
      </c>
      <c r="E4" s="3" t="s">
        <v>114</v>
      </c>
      <c r="F4" s="3" t="s">
        <v>24</v>
      </c>
      <c r="G4" s="3" t="s">
        <v>115</v>
      </c>
      <c r="H4" s="3" t="s">
        <v>32</v>
      </c>
      <c r="I4" s="3" t="s">
        <v>7</v>
      </c>
      <c r="J4" s="3" t="s">
        <v>24</v>
      </c>
      <c r="K4" s="3" t="s">
        <v>27</v>
      </c>
      <c r="L4" s="3" t="s">
        <v>49</v>
      </c>
      <c r="M4">
        <v>1</v>
      </c>
    </row>
    <row r="5" spans="1:13" x14ac:dyDescent="0.25">
      <c r="A5" s="2">
        <v>46164</v>
      </c>
      <c r="B5" s="1" t="str">
        <f ca="1">IF(Información1[[#This Row],[Fecha]]='Ajuste de fechas'!$A$2,"Día actual","Día anterior")</f>
        <v>Día anterior</v>
      </c>
      <c r="C5" s="3" t="s">
        <v>37</v>
      </c>
      <c r="D5" t="s">
        <v>38</v>
      </c>
      <c r="E5" s="3" t="s">
        <v>123</v>
      </c>
      <c r="F5" s="3" t="s">
        <v>19</v>
      </c>
      <c r="G5" s="3" t="s">
        <v>33</v>
      </c>
      <c r="H5" s="3" t="s">
        <v>11</v>
      </c>
      <c r="I5" s="3" t="s">
        <v>7</v>
      </c>
      <c r="J5" s="3" t="s">
        <v>52</v>
      </c>
      <c r="K5" s="3" t="s">
        <v>39</v>
      </c>
      <c r="L5" s="3" t="s">
        <v>49</v>
      </c>
      <c r="M5">
        <v>1</v>
      </c>
    </row>
    <row r="6" spans="1:13" x14ac:dyDescent="0.25">
      <c r="A6" s="2">
        <v>46164</v>
      </c>
      <c r="B6" s="1" t="str">
        <f ca="1">IF(Información1[[#This Row],[Fecha]]='Ajuste de fechas'!$A$2,"Día actual","Día anterior")</f>
        <v>Día anterior</v>
      </c>
      <c r="C6" s="3" t="s">
        <v>37</v>
      </c>
      <c r="D6" t="s">
        <v>38</v>
      </c>
      <c r="E6" s="3" t="s">
        <v>124</v>
      </c>
      <c r="F6" s="3" t="s">
        <v>19</v>
      </c>
      <c r="G6" s="3" t="s">
        <v>33</v>
      </c>
      <c r="H6" s="3" t="s">
        <v>11</v>
      </c>
      <c r="I6" s="3" t="s">
        <v>25</v>
      </c>
      <c r="J6" s="3" t="s">
        <v>52</v>
      </c>
      <c r="K6" s="3" t="s">
        <v>39</v>
      </c>
      <c r="L6" s="3" t="s">
        <v>49</v>
      </c>
      <c r="M6">
        <v>1</v>
      </c>
    </row>
    <row r="7" spans="1:13" x14ac:dyDescent="0.25">
      <c r="A7" s="2">
        <v>46164</v>
      </c>
      <c r="B7" s="1" t="str">
        <f ca="1">IF(Información1[[#This Row],[Fecha]]='Ajuste de fechas'!$A$2,"Día actual","Día anterior")</f>
        <v>Día anterior</v>
      </c>
      <c r="C7" s="3" t="s">
        <v>37</v>
      </c>
      <c r="D7" t="s">
        <v>38</v>
      </c>
      <c r="E7" s="3" t="s">
        <v>127</v>
      </c>
      <c r="F7" s="3" t="s">
        <v>128</v>
      </c>
      <c r="G7" s="3" t="s">
        <v>129</v>
      </c>
      <c r="H7" s="3" t="s">
        <v>11</v>
      </c>
      <c r="I7" s="3" t="s">
        <v>25</v>
      </c>
      <c r="J7" s="3" t="s">
        <v>130</v>
      </c>
      <c r="K7" s="3" t="s">
        <v>39</v>
      </c>
      <c r="L7" s="3" t="s">
        <v>49</v>
      </c>
      <c r="M7">
        <v>1</v>
      </c>
    </row>
    <row r="8" spans="1:13" x14ac:dyDescent="0.25">
      <c r="A8" s="2">
        <v>46164</v>
      </c>
      <c r="B8" s="1" t="str">
        <f ca="1">IF(Información1[[#This Row],[Fecha]]='Ajuste de fechas'!$A$2,"Día actual","Día anterior")</f>
        <v>Día anterior</v>
      </c>
      <c r="C8" s="3" t="s">
        <v>37</v>
      </c>
      <c r="D8" t="s">
        <v>38</v>
      </c>
      <c r="E8" s="3" t="s">
        <v>131</v>
      </c>
      <c r="F8" s="3" t="s">
        <v>82</v>
      </c>
      <c r="G8" s="3" t="s">
        <v>83</v>
      </c>
      <c r="H8" s="3" t="s">
        <v>11</v>
      </c>
      <c r="I8" s="3" t="s">
        <v>7</v>
      </c>
      <c r="J8" s="3" t="s">
        <v>24</v>
      </c>
      <c r="K8" s="3" t="s">
        <v>39</v>
      </c>
      <c r="L8" s="3" t="s">
        <v>49</v>
      </c>
      <c r="M8">
        <v>1</v>
      </c>
    </row>
    <row r="9" spans="1:13" x14ac:dyDescent="0.25">
      <c r="A9" s="2">
        <v>46164</v>
      </c>
      <c r="B9" s="1" t="str">
        <f ca="1">IF(Información1[[#This Row],[Fecha]]='Ajuste de fechas'!$A$2,"Día actual","Día anterior")</f>
        <v>Día anterior</v>
      </c>
      <c r="C9" s="3" t="s">
        <v>37</v>
      </c>
      <c r="D9" t="s">
        <v>38</v>
      </c>
      <c r="E9" s="3" t="s">
        <v>135</v>
      </c>
      <c r="F9" s="3" t="s">
        <v>19</v>
      </c>
      <c r="G9" s="3" t="s">
        <v>136</v>
      </c>
      <c r="H9" s="3" t="s">
        <v>11</v>
      </c>
      <c r="I9" s="3" t="s">
        <v>7</v>
      </c>
      <c r="J9" s="3" t="s">
        <v>52</v>
      </c>
      <c r="K9" s="3" t="s">
        <v>39</v>
      </c>
      <c r="L9" s="3" t="s">
        <v>49</v>
      </c>
      <c r="M9">
        <v>1</v>
      </c>
    </row>
    <row r="10" spans="1:13" x14ac:dyDescent="0.25">
      <c r="A10" s="2">
        <v>46164</v>
      </c>
      <c r="B10" s="1" t="str">
        <f ca="1">IF(Información1[[#This Row],[Fecha]]='Ajuste de fechas'!$A$2,"Día actual","Día anterior")</f>
        <v>Día anterior</v>
      </c>
      <c r="C10" s="3" t="s">
        <v>37</v>
      </c>
      <c r="D10" t="s">
        <v>38</v>
      </c>
      <c r="E10" s="3" t="s">
        <v>137</v>
      </c>
      <c r="F10" s="3" t="s">
        <v>19</v>
      </c>
      <c r="G10" s="3" t="s">
        <v>138</v>
      </c>
      <c r="H10" s="3" t="s">
        <v>11</v>
      </c>
      <c r="I10" s="3" t="s">
        <v>7</v>
      </c>
      <c r="J10" s="3" t="s">
        <v>52</v>
      </c>
      <c r="K10" s="3" t="s">
        <v>39</v>
      </c>
      <c r="L10" s="3" t="s">
        <v>49</v>
      </c>
      <c r="M10">
        <v>1</v>
      </c>
    </row>
    <row r="11" spans="1:13" x14ac:dyDescent="0.25">
      <c r="A11" s="2">
        <v>46164</v>
      </c>
      <c r="B11" s="1" t="str">
        <f ca="1">IF(Información1[[#This Row],[Fecha]]='Ajuste de fechas'!$A$2,"Día actual","Día anterior")</f>
        <v>Día anterior</v>
      </c>
      <c r="C11" s="3" t="s">
        <v>37</v>
      </c>
      <c r="D11" t="s">
        <v>38</v>
      </c>
      <c r="E11" s="3" t="s">
        <v>139</v>
      </c>
      <c r="F11" s="3" t="s">
        <v>19</v>
      </c>
      <c r="G11" s="3"/>
      <c r="H11" s="3" t="s">
        <v>11</v>
      </c>
      <c r="I11" s="3" t="s">
        <v>7</v>
      </c>
      <c r="J11" s="3" t="s">
        <v>52</v>
      </c>
      <c r="K11" s="3" t="s">
        <v>39</v>
      </c>
      <c r="L11" s="3" t="s">
        <v>49</v>
      </c>
      <c r="M11">
        <v>1</v>
      </c>
    </row>
    <row r="12" spans="1:13" x14ac:dyDescent="0.25">
      <c r="A12" s="2">
        <v>46164</v>
      </c>
      <c r="B12" s="1" t="str">
        <f ca="1">IF(Información1[[#This Row],[Fecha]]='Ajuste de fechas'!$A$2,"Día actual","Día anterior")</f>
        <v>Día anterior</v>
      </c>
      <c r="C12" s="3" t="s">
        <v>37</v>
      </c>
      <c r="D12" t="s">
        <v>38</v>
      </c>
      <c r="E12" s="3" t="s">
        <v>59</v>
      </c>
      <c r="F12" s="3" t="s">
        <v>19</v>
      </c>
      <c r="G12" s="3" t="s">
        <v>33</v>
      </c>
      <c r="H12" s="3" t="s">
        <v>11</v>
      </c>
      <c r="I12" s="3" t="s">
        <v>7</v>
      </c>
      <c r="J12" s="3" t="s">
        <v>52</v>
      </c>
      <c r="K12" s="3" t="s">
        <v>39</v>
      </c>
      <c r="L12" s="3" t="s">
        <v>49</v>
      </c>
      <c r="M12">
        <v>1</v>
      </c>
    </row>
    <row r="13" spans="1:13" x14ac:dyDescent="0.25">
      <c r="A13" s="2">
        <v>46164</v>
      </c>
      <c r="B13" s="1" t="str">
        <f ca="1">IF(Información1[[#This Row],[Fecha]]='Ajuste de fechas'!$A$2,"Día actual","Día anterior")</f>
        <v>Día anterior</v>
      </c>
      <c r="C13" s="3" t="s">
        <v>34</v>
      </c>
      <c r="D13" t="s">
        <v>35</v>
      </c>
      <c r="E13" s="3" t="s">
        <v>144</v>
      </c>
      <c r="F13" s="3" t="s">
        <v>19</v>
      </c>
      <c r="G13" s="3" t="s">
        <v>107</v>
      </c>
      <c r="H13" s="3" t="s">
        <v>32</v>
      </c>
      <c r="I13" s="3" t="s">
        <v>25</v>
      </c>
      <c r="J13" s="3" t="s">
        <v>52</v>
      </c>
      <c r="K13" s="3" t="s">
        <v>27</v>
      </c>
      <c r="L13" s="3" t="s">
        <v>50</v>
      </c>
      <c r="M13">
        <v>1</v>
      </c>
    </row>
    <row r="14" spans="1:13" x14ac:dyDescent="0.25">
      <c r="A14" s="2">
        <v>46164</v>
      </c>
      <c r="B14" s="1" t="str">
        <f ca="1">IF(Información1[[#This Row],[Fecha]]='Ajuste de fechas'!$A$2,"Día actual","Día anterior")</f>
        <v>Día anterior</v>
      </c>
      <c r="C14" s="3" t="s">
        <v>62</v>
      </c>
      <c r="D14" t="s">
        <v>63</v>
      </c>
      <c r="E14" s="3" t="s">
        <v>156</v>
      </c>
      <c r="F14" s="3" t="s">
        <v>157</v>
      </c>
      <c r="G14" s="3" t="s">
        <v>83</v>
      </c>
      <c r="H14" s="3" t="s">
        <v>11</v>
      </c>
      <c r="I14" s="3" t="s">
        <v>7</v>
      </c>
      <c r="J14" s="3" t="s">
        <v>24</v>
      </c>
      <c r="K14" s="3" t="s">
        <v>64</v>
      </c>
      <c r="L14" s="3" t="s">
        <v>49</v>
      </c>
      <c r="M14">
        <v>1</v>
      </c>
    </row>
    <row r="15" spans="1:13" x14ac:dyDescent="0.25">
      <c r="A15" s="2">
        <v>46164</v>
      </c>
      <c r="B15" s="1" t="str">
        <f ca="1">IF(Información1[[#This Row],[Fecha]]='Ajuste de fechas'!$A$2,"Día actual","Día anterior")</f>
        <v>Día anterior</v>
      </c>
      <c r="C15" s="3" t="s">
        <v>65</v>
      </c>
      <c r="D15" t="s">
        <v>66</v>
      </c>
      <c r="E15" s="3" t="s">
        <v>161</v>
      </c>
      <c r="F15" s="3" t="s">
        <v>19</v>
      </c>
      <c r="G15" s="3" t="s">
        <v>71</v>
      </c>
      <c r="H15" s="3" t="s">
        <v>11</v>
      </c>
      <c r="I15" s="3" t="s">
        <v>7</v>
      </c>
      <c r="J15" s="3" t="s">
        <v>52</v>
      </c>
      <c r="K15" s="3" t="s">
        <v>67</v>
      </c>
      <c r="L15" s="3" t="s">
        <v>49</v>
      </c>
      <c r="M15">
        <v>1</v>
      </c>
    </row>
    <row r="16" spans="1:13" x14ac:dyDescent="0.25">
      <c r="A16" s="2">
        <v>46164</v>
      </c>
      <c r="B16" s="1" t="str">
        <f ca="1">IF(Información1[[#This Row],[Fecha]]='Ajuste de fechas'!$A$2,"Día actual","Día anterior")</f>
        <v>Día anterior</v>
      </c>
      <c r="C16" s="3" t="s">
        <v>65</v>
      </c>
      <c r="D16" t="s">
        <v>66</v>
      </c>
      <c r="E16" s="3" t="s">
        <v>162</v>
      </c>
      <c r="F16" s="3" t="s">
        <v>82</v>
      </c>
      <c r="G16" s="3" t="s">
        <v>83</v>
      </c>
      <c r="H16" s="3" t="s">
        <v>11</v>
      </c>
      <c r="I16" s="3" t="s">
        <v>7</v>
      </c>
      <c r="J16" s="3" t="s">
        <v>24</v>
      </c>
      <c r="K16" s="3" t="s">
        <v>67</v>
      </c>
      <c r="L16" s="3" t="s">
        <v>49</v>
      </c>
      <c r="M16">
        <v>1</v>
      </c>
    </row>
    <row r="17" spans="1:13" x14ac:dyDescent="0.25">
      <c r="A17" s="2">
        <v>46164</v>
      </c>
      <c r="B17" s="1" t="str">
        <f ca="1">IF(Información1[[#This Row],[Fecha]]='Ajuste de fechas'!$A$2,"Día actual","Día anterior")</f>
        <v>Día anterior</v>
      </c>
      <c r="C17" s="3" t="s">
        <v>62</v>
      </c>
      <c r="D17" t="s">
        <v>68</v>
      </c>
      <c r="E17" s="3" t="s">
        <v>162</v>
      </c>
      <c r="F17" s="3" t="s">
        <v>82</v>
      </c>
      <c r="G17" s="3" t="s">
        <v>83</v>
      </c>
      <c r="H17" s="3" t="s">
        <v>11</v>
      </c>
      <c r="I17" s="3" t="s">
        <v>7</v>
      </c>
      <c r="J17" s="3" t="s">
        <v>24</v>
      </c>
      <c r="K17" s="3" t="s">
        <v>64</v>
      </c>
      <c r="L17" s="3" t="s">
        <v>49</v>
      </c>
      <c r="M17">
        <v>1</v>
      </c>
    </row>
    <row r="18" spans="1:13" x14ac:dyDescent="0.25">
      <c r="A18" s="2">
        <v>46164</v>
      </c>
      <c r="B18" s="1" t="str">
        <f ca="1">IF(Información1[[#This Row],[Fecha]]='Ajuste de fechas'!$A$2,"Día actual","Día anterior")</f>
        <v>Día anterior</v>
      </c>
      <c r="C18" s="3" t="s">
        <v>28</v>
      </c>
      <c r="D18" t="s">
        <v>30</v>
      </c>
      <c r="E18" s="3" t="s">
        <v>179</v>
      </c>
      <c r="F18" s="3" t="s">
        <v>19</v>
      </c>
      <c r="G18" s="3" t="s">
        <v>180</v>
      </c>
      <c r="H18" s="3" t="s">
        <v>11</v>
      </c>
      <c r="I18" s="3" t="s">
        <v>25</v>
      </c>
      <c r="J18" s="3" t="s">
        <v>52</v>
      </c>
      <c r="K18" s="3" t="s">
        <v>41</v>
      </c>
      <c r="L18" s="3" t="s">
        <v>49</v>
      </c>
      <c r="M18">
        <v>1</v>
      </c>
    </row>
    <row r="19" spans="1:13" x14ac:dyDescent="0.25">
      <c r="A19" s="2">
        <v>46164</v>
      </c>
      <c r="B19" s="1" t="str">
        <f ca="1">IF(Información1[[#This Row],[Fecha]]='Ajuste de fechas'!$A$2,"Día actual","Día anterior")</f>
        <v>Día anterior</v>
      </c>
      <c r="C19" s="3" t="s">
        <v>28</v>
      </c>
      <c r="D19" t="s">
        <v>31</v>
      </c>
      <c r="E19" s="3" t="s">
        <v>184</v>
      </c>
      <c r="F19" s="3" t="s">
        <v>19</v>
      </c>
      <c r="G19" s="3" t="s">
        <v>115</v>
      </c>
      <c r="H19" s="3" t="s">
        <v>11</v>
      </c>
      <c r="I19" s="3" t="s">
        <v>7</v>
      </c>
      <c r="J19" s="3" t="s">
        <v>52</v>
      </c>
      <c r="K19" s="3" t="s">
        <v>29</v>
      </c>
      <c r="L19" s="3" t="s">
        <v>49</v>
      </c>
      <c r="M19">
        <v>1</v>
      </c>
    </row>
    <row r="20" spans="1:13" x14ac:dyDescent="0.25">
      <c r="A20" s="2">
        <v>46164</v>
      </c>
      <c r="B20" s="1" t="str">
        <f ca="1">IF(Información1[[#This Row],[Fecha]]='Ajuste de fechas'!$A$2,"Día actual","Día anterior")</f>
        <v>Día anterior</v>
      </c>
      <c r="C20" s="3" t="s">
        <v>8</v>
      </c>
      <c r="D20" t="s">
        <v>10</v>
      </c>
      <c r="E20" s="3" t="s">
        <v>186</v>
      </c>
      <c r="F20" s="3" t="s">
        <v>19</v>
      </c>
      <c r="G20" s="3" t="s">
        <v>115</v>
      </c>
      <c r="H20" s="3" t="s">
        <v>11</v>
      </c>
      <c r="I20" s="3" t="s">
        <v>7</v>
      </c>
      <c r="J20" s="3" t="s">
        <v>52</v>
      </c>
      <c r="K20" s="3" t="s">
        <v>9</v>
      </c>
      <c r="L20" s="3" t="s">
        <v>50</v>
      </c>
      <c r="M20">
        <v>1</v>
      </c>
    </row>
    <row r="21" spans="1:13" x14ac:dyDescent="0.25">
      <c r="A21" s="2">
        <v>46164</v>
      </c>
      <c r="B21" s="1" t="str">
        <f ca="1">IF(Información1[[#This Row],[Fecha]]='Ajuste de fechas'!$A$2,"Día actual","Día anterior")</f>
        <v>Día anterior</v>
      </c>
      <c r="C21" s="3" t="s">
        <v>28</v>
      </c>
      <c r="D21" t="s">
        <v>30</v>
      </c>
      <c r="E21" s="3" t="s">
        <v>189</v>
      </c>
      <c r="F21" s="3" t="s">
        <v>19</v>
      </c>
      <c r="G21" s="3" t="s">
        <v>117</v>
      </c>
      <c r="H21" s="3" t="s">
        <v>11</v>
      </c>
      <c r="I21" s="3" t="s">
        <v>7</v>
      </c>
      <c r="J21" s="3" t="s">
        <v>52</v>
      </c>
      <c r="K21" s="3" t="s">
        <v>41</v>
      </c>
      <c r="L21" s="3" t="s">
        <v>49</v>
      </c>
      <c r="M21">
        <v>1</v>
      </c>
    </row>
    <row r="22" spans="1:13" x14ac:dyDescent="0.25">
      <c r="A22" s="2">
        <v>46164</v>
      </c>
      <c r="B22" s="1" t="str">
        <f ca="1">IF(Información1[[#This Row],[Fecha]]='Ajuste de fechas'!$A$2,"Día actual","Día anterior")</f>
        <v>Día anterior</v>
      </c>
      <c r="C22" s="3" t="s">
        <v>8</v>
      </c>
      <c r="D22" t="s">
        <v>10</v>
      </c>
      <c r="E22" s="3" t="s">
        <v>20</v>
      </c>
      <c r="F22" s="3" t="s">
        <v>19</v>
      </c>
      <c r="G22" s="3" t="s">
        <v>40</v>
      </c>
      <c r="H22" s="3" t="s">
        <v>11</v>
      </c>
      <c r="I22" s="3" t="s">
        <v>12</v>
      </c>
      <c r="J22" s="3" t="s">
        <v>52</v>
      </c>
      <c r="K22" s="3" t="s">
        <v>14</v>
      </c>
      <c r="L22" s="3" t="s">
        <v>50</v>
      </c>
      <c r="M22">
        <v>1</v>
      </c>
    </row>
    <row r="23" spans="1:13" x14ac:dyDescent="0.25">
      <c r="A23" s="2">
        <v>46164</v>
      </c>
      <c r="B23" s="1" t="str">
        <f ca="1">IF(Información1[[#This Row],[Fecha]]='Ajuste de fechas'!$A$2,"Día actual","Día anterior")</f>
        <v>Día anterior</v>
      </c>
      <c r="C23" s="3" t="s">
        <v>8</v>
      </c>
      <c r="D23" t="s">
        <v>10</v>
      </c>
      <c r="E23" s="3" t="s">
        <v>18</v>
      </c>
      <c r="F23" s="3" t="s">
        <v>19</v>
      </c>
      <c r="G23" s="3" t="s">
        <v>40</v>
      </c>
      <c r="H23" s="3" t="s">
        <v>11</v>
      </c>
      <c r="I23" s="3" t="s">
        <v>12</v>
      </c>
      <c r="J23" s="3" t="s">
        <v>52</v>
      </c>
      <c r="K23" s="3" t="s">
        <v>14</v>
      </c>
      <c r="L23" s="3" t="s">
        <v>50</v>
      </c>
      <c r="M23">
        <v>1</v>
      </c>
    </row>
    <row r="24" spans="1:13" x14ac:dyDescent="0.25">
      <c r="A24" s="2">
        <v>46164</v>
      </c>
      <c r="B24" s="1" t="str">
        <f ca="1">IF(Información1[[#This Row],[Fecha]]='Ajuste de fechas'!$A$2,"Día actual","Día anterior")</f>
        <v>Día anterior</v>
      </c>
      <c r="C24" s="3" t="s">
        <v>8</v>
      </c>
      <c r="D24" t="s">
        <v>10</v>
      </c>
      <c r="E24" s="3" t="s">
        <v>190</v>
      </c>
      <c r="F24" s="3" t="s">
        <v>19</v>
      </c>
      <c r="G24" s="3" t="s">
        <v>81</v>
      </c>
      <c r="H24" s="3" t="s">
        <v>11</v>
      </c>
      <c r="I24" s="3" t="s">
        <v>7</v>
      </c>
      <c r="J24" s="3" t="s">
        <v>52</v>
      </c>
      <c r="K24" s="3" t="s">
        <v>14</v>
      </c>
      <c r="L24" s="3" t="s">
        <v>49</v>
      </c>
      <c r="M24">
        <v>1</v>
      </c>
    </row>
    <row r="25" spans="1:13" x14ac:dyDescent="0.25">
      <c r="A25" s="2">
        <v>46164</v>
      </c>
      <c r="B25" s="1" t="str">
        <f ca="1">IF(Información1[[#This Row],[Fecha]]='Ajuste de fechas'!$A$2,"Día actual","Día anterior")</f>
        <v>Día anterior</v>
      </c>
      <c r="C25" s="3" t="s">
        <v>8</v>
      </c>
      <c r="D25" t="s">
        <v>10</v>
      </c>
      <c r="E25" s="3" t="s">
        <v>88</v>
      </c>
      <c r="F25" s="3" t="s">
        <v>19</v>
      </c>
      <c r="G25" s="3" t="s">
        <v>89</v>
      </c>
      <c r="H25" s="3" t="s">
        <v>11</v>
      </c>
      <c r="I25" s="3" t="s">
        <v>25</v>
      </c>
      <c r="J25" s="3" t="s">
        <v>52</v>
      </c>
      <c r="K25" s="3" t="s">
        <v>9</v>
      </c>
      <c r="L25" s="3" t="s">
        <v>50</v>
      </c>
      <c r="M25">
        <v>1</v>
      </c>
    </row>
    <row r="26" spans="1:13" x14ac:dyDescent="0.25">
      <c r="A26" s="2">
        <v>46164</v>
      </c>
      <c r="B26" s="1" t="str">
        <f ca="1">IF(Información1[[#This Row],[Fecha]]='Ajuste de fechas'!$A$2,"Día actual","Día anterior")</f>
        <v>Día anterior</v>
      </c>
      <c r="C26" s="3" t="s">
        <v>28</v>
      </c>
      <c r="D26" t="s">
        <v>31</v>
      </c>
      <c r="E26" s="3" t="s">
        <v>205</v>
      </c>
      <c r="F26" s="3" t="s">
        <v>19</v>
      </c>
      <c r="G26" s="3" t="s">
        <v>206</v>
      </c>
      <c r="H26" s="3" t="s">
        <v>11</v>
      </c>
      <c r="I26" s="3" t="s">
        <v>7</v>
      </c>
      <c r="J26" s="3" t="s">
        <v>52</v>
      </c>
      <c r="K26" s="3" t="s">
        <v>29</v>
      </c>
      <c r="L26" s="3" t="s">
        <v>49</v>
      </c>
      <c r="M26">
        <v>1</v>
      </c>
    </row>
    <row r="27" spans="1:13" x14ac:dyDescent="0.25">
      <c r="A27" s="2">
        <v>46164</v>
      </c>
      <c r="B27" s="1" t="str">
        <f ca="1">IF(Información1[[#This Row],[Fecha]]='Ajuste de fechas'!$A$2,"Día actual","Día anterior")</f>
        <v>Día anterior</v>
      </c>
      <c r="C27" s="3" t="s">
        <v>28</v>
      </c>
      <c r="D27" t="s">
        <v>31</v>
      </c>
      <c r="E27" s="3" t="s">
        <v>97</v>
      </c>
      <c r="F27" s="3" t="s">
        <v>19</v>
      </c>
      <c r="G27" s="3" t="s">
        <v>90</v>
      </c>
      <c r="H27" s="3" t="s">
        <v>11</v>
      </c>
      <c r="I27" s="3" t="s">
        <v>7</v>
      </c>
      <c r="J27" s="3" t="s">
        <v>52</v>
      </c>
      <c r="K27" s="3" t="s">
        <v>29</v>
      </c>
      <c r="L27" s="3" t="s">
        <v>49</v>
      </c>
      <c r="M27">
        <v>1</v>
      </c>
    </row>
    <row r="28" spans="1:13" x14ac:dyDescent="0.25">
      <c r="A28" s="2">
        <v>46164</v>
      </c>
      <c r="B28" s="1" t="str">
        <f ca="1">IF(Información1[[#This Row],[Fecha]]='Ajuste de fechas'!$A$2,"Día actual","Día anterior")</f>
        <v>Día anterior</v>
      </c>
      <c r="C28" s="3" t="s">
        <v>8</v>
      </c>
      <c r="D28" t="s">
        <v>10</v>
      </c>
      <c r="E28" s="3" t="s">
        <v>214</v>
      </c>
      <c r="F28" s="3" t="s">
        <v>22</v>
      </c>
      <c r="G28" s="3" t="s">
        <v>215</v>
      </c>
      <c r="H28" s="3" t="s">
        <v>11</v>
      </c>
      <c r="I28" s="3" t="s">
        <v>7</v>
      </c>
      <c r="J28" s="3" t="s">
        <v>53</v>
      </c>
      <c r="K28" s="3" t="s">
        <v>14</v>
      </c>
      <c r="L28" s="3" t="s">
        <v>49</v>
      </c>
      <c r="M28">
        <v>1</v>
      </c>
    </row>
    <row r="29" spans="1:13" x14ac:dyDescent="0.25">
      <c r="A29" s="2">
        <v>46164</v>
      </c>
      <c r="B29" s="1" t="str">
        <f ca="1">IF(Información1[[#This Row],[Fecha]]='Ajuste de fechas'!$A$2,"Día actual","Día anterior")</f>
        <v>Día anterior</v>
      </c>
      <c r="C29" s="3" t="s">
        <v>28</v>
      </c>
      <c r="D29" t="s">
        <v>30</v>
      </c>
      <c r="E29" s="3" t="s">
        <v>216</v>
      </c>
      <c r="F29" s="3" t="s">
        <v>82</v>
      </c>
      <c r="G29" s="3" t="s">
        <v>83</v>
      </c>
      <c r="H29" s="3" t="s">
        <v>11</v>
      </c>
      <c r="I29" s="3" t="s">
        <v>7</v>
      </c>
      <c r="J29" s="3" t="s">
        <v>24</v>
      </c>
      <c r="K29" s="3" t="s">
        <v>41</v>
      </c>
      <c r="L29" s="3" t="s">
        <v>49</v>
      </c>
      <c r="M29">
        <v>1</v>
      </c>
    </row>
    <row r="30" spans="1:13" x14ac:dyDescent="0.25">
      <c r="A30" s="2">
        <v>46164</v>
      </c>
      <c r="B30" s="1" t="str">
        <f ca="1">IF(Información1[[#This Row],[Fecha]]='Ajuste de fechas'!$A$2,"Día actual","Día anterior")</f>
        <v>Día anterior</v>
      </c>
      <c r="C30" s="3" t="s">
        <v>8</v>
      </c>
      <c r="D30" t="s">
        <v>10</v>
      </c>
      <c r="E30" s="3" t="s">
        <v>217</v>
      </c>
      <c r="F30" s="3" t="s">
        <v>82</v>
      </c>
      <c r="G30" s="3" t="s">
        <v>83</v>
      </c>
      <c r="H30" s="3" t="s">
        <v>11</v>
      </c>
      <c r="I30" s="3" t="s">
        <v>25</v>
      </c>
      <c r="J30" s="3" t="s">
        <v>24</v>
      </c>
      <c r="K30" s="3" t="s">
        <v>14</v>
      </c>
      <c r="L30" s="3" t="s">
        <v>49</v>
      </c>
      <c r="M30">
        <v>1</v>
      </c>
    </row>
    <row r="31" spans="1:13" x14ac:dyDescent="0.25">
      <c r="A31" s="2">
        <v>46164</v>
      </c>
      <c r="B31" s="1" t="str">
        <f ca="1">IF(Información1[[#This Row],[Fecha]]='Ajuste de fechas'!$A$2,"Día actual","Día anterior")</f>
        <v>Día anterior</v>
      </c>
      <c r="C31" s="3" t="s">
        <v>8</v>
      </c>
      <c r="D31" t="s">
        <v>10</v>
      </c>
      <c r="E31" s="3" t="s">
        <v>218</v>
      </c>
      <c r="F31" s="3" t="s">
        <v>19</v>
      </c>
      <c r="G31" s="3" t="s">
        <v>219</v>
      </c>
      <c r="H31" s="3" t="s">
        <v>11</v>
      </c>
      <c r="I31" s="3" t="s">
        <v>7</v>
      </c>
      <c r="J31" s="3" t="s">
        <v>52</v>
      </c>
      <c r="K31" s="3" t="s">
        <v>9</v>
      </c>
      <c r="L31" s="3" t="s">
        <v>50</v>
      </c>
      <c r="M31">
        <v>1</v>
      </c>
    </row>
    <row r="32" spans="1:13" x14ac:dyDescent="0.25">
      <c r="A32" s="2">
        <v>46164</v>
      </c>
      <c r="B32" s="1" t="str">
        <f ca="1">IF(Información1[[#This Row],[Fecha]]='Ajuste de fechas'!$A$2,"Día actual","Día anterior")</f>
        <v>Día anterior</v>
      </c>
      <c r="C32" s="3" t="s">
        <v>8</v>
      </c>
      <c r="D32" t="s">
        <v>10</v>
      </c>
      <c r="E32" s="3" t="s">
        <v>220</v>
      </c>
      <c r="F32" s="3" t="s">
        <v>22</v>
      </c>
      <c r="G32" s="3" t="s">
        <v>221</v>
      </c>
      <c r="H32" s="3" t="s">
        <v>11</v>
      </c>
      <c r="I32" s="3" t="s">
        <v>7</v>
      </c>
      <c r="J32" s="3" t="s">
        <v>53</v>
      </c>
      <c r="K32" s="3" t="s">
        <v>14</v>
      </c>
      <c r="L32" s="3" t="s">
        <v>49</v>
      </c>
      <c r="M32">
        <v>1</v>
      </c>
    </row>
    <row r="33" spans="1:13" x14ac:dyDescent="0.25">
      <c r="A33" s="2">
        <v>46164</v>
      </c>
      <c r="B33" s="1" t="str">
        <f ca="1">IF(Información1[[#This Row],[Fecha]]='Ajuste de fechas'!$A$2,"Día actual","Día anterior")</f>
        <v>Día anterior</v>
      </c>
      <c r="C33" s="3" t="s">
        <v>34</v>
      </c>
      <c r="D33" t="s">
        <v>35</v>
      </c>
      <c r="E33" s="3" t="s">
        <v>100</v>
      </c>
      <c r="F33" s="3" t="s">
        <v>36</v>
      </c>
      <c r="G33" s="3" t="s">
        <v>98</v>
      </c>
      <c r="H33" s="3" t="s">
        <v>32</v>
      </c>
      <c r="I33" s="3" t="s">
        <v>7</v>
      </c>
      <c r="J33" s="3" t="s">
        <v>48</v>
      </c>
      <c r="K33" s="3" t="s">
        <v>27</v>
      </c>
      <c r="L33" s="3" t="s">
        <v>51</v>
      </c>
      <c r="M33">
        <v>1</v>
      </c>
    </row>
    <row r="34" spans="1:13" x14ac:dyDescent="0.25">
      <c r="A34" s="2">
        <v>46164</v>
      </c>
      <c r="B34" s="1" t="str">
        <f ca="1">IF(Información1[[#This Row],[Fecha]]='Ajuste de fechas'!$A$2,"Día actual","Día anterior")</f>
        <v>Día anterior</v>
      </c>
      <c r="C34" s="3" t="s">
        <v>34</v>
      </c>
      <c r="D34" t="s">
        <v>35</v>
      </c>
      <c r="E34" s="3" t="s">
        <v>102</v>
      </c>
      <c r="F34" s="3" t="s">
        <v>17</v>
      </c>
      <c r="G34" s="3" t="s">
        <v>96</v>
      </c>
      <c r="H34" s="3" t="s">
        <v>32</v>
      </c>
      <c r="I34" s="3" t="s">
        <v>7</v>
      </c>
      <c r="J34" s="3" t="s">
        <v>48</v>
      </c>
      <c r="K34" s="3" t="s">
        <v>27</v>
      </c>
      <c r="L34" s="3" t="s">
        <v>49</v>
      </c>
      <c r="M34">
        <v>1</v>
      </c>
    </row>
    <row r="35" spans="1:13" x14ac:dyDescent="0.25">
      <c r="A35" s="2">
        <v>46164</v>
      </c>
      <c r="B35" s="1" t="str">
        <f ca="1">IF(Información1[[#This Row],[Fecha]]='Ajuste de fechas'!$A$2,"Día actual","Día anterior")</f>
        <v>Día anterior</v>
      </c>
      <c r="C35" s="3" t="s">
        <v>34</v>
      </c>
      <c r="D35" t="s">
        <v>35</v>
      </c>
      <c r="E35" s="3" t="s">
        <v>103</v>
      </c>
      <c r="F35" s="3" t="s">
        <v>17</v>
      </c>
      <c r="G35" s="3" t="s">
        <v>104</v>
      </c>
      <c r="H35" s="3" t="s">
        <v>32</v>
      </c>
      <c r="I35" s="3" t="s">
        <v>25</v>
      </c>
      <c r="J35" s="3" t="s">
        <v>48</v>
      </c>
      <c r="K35" s="3" t="s">
        <v>27</v>
      </c>
      <c r="L35" s="3" t="s">
        <v>49</v>
      </c>
      <c r="M35">
        <v>1</v>
      </c>
    </row>
    <row r="36" spans="1:13" x14ac:dyDescent="0.25">
      <c r="A36" s="2">
        <v>46164</v>
      </c>
      <c r="B36" s="1" t="str">
        <f ca="1">IF(Información1[[#This Row],[Fecha]]='Ajuste de fechas'!$A$2,"Día actual","Día anterior")</f>
        <v>Día anterior</v>
      </c>
      <c r="C36" s="3" t="s">
        <v>34</v>
      </c>
      <c r="D36" t="s">
        <v>35</v>
      </c>
      <c r="E36" s="3" t="s">
        <v>105</v>
      </c>
      <c r="F36" s="3" t="s">
        <v>17</v>
      </c>
      <c r="G36" s="3" t="s">
        <v>104</v>
      </c>
      <c r="H36" s="3" t="s">
        <v>32</v>
      </c>
      <c r="I36" s="3" t="s">
        <v>25</v>
      </c>
      <c r="J36" s="3" t="s">
        <v>48</v>
      </c>
      <c r="K36" s="3" t="s">
        <v>27</v>
      </c>
      <c r="L36" s="3" t="s">
        <v>49</v>
      </c>
      <c r="M36">
        <v>1</v>
      </c>
    </row>
    <row r="37" spans="1:13" x14ac:dyDescent="0.25">
      <c r="A37" s="2">
        <v>46164</v>
      </c>
      <c r="B37" s="1" t="str">
        <f ca="1">IF(Información1[[#This Row],[Fecha]]='Ajuste de fechas'!$A$2,"Día actual","Día anterior")</f>
        <v>Día anterior</v>
      </c>
      <c r="C37" s="3" t="s">
        <v>34</v>
      </c>
      <c r="D37" t="s">
        <v>35</v>
      </c>
      <c r="E37" s="3" t="s">
        <v>108</v>
      </c>
      <c r="F37" s="3" t="s">
        <v>15</v>
      </c>
      <c r="G37" s="3" t="s">
        <v>80</v>
      </c>
      <c r="H37" s="3" t="s">
        <v>32</v>
      </c>
      <c r="I37" s="3" t="s">
        <v>25</v>
      </c>
      <c r="J37" s="3" t="s">
        <v>48</v>
      </c>
      <c r="K37" s="3" t="s">
        <v>27</v>
      </c>
      <c r="L37" s="3" t="s">
        <v>50</v>
      </c>
      <c r="M37">
        <v>1</v>
      </c>
    </row>
    <row r="38" spans="1:13" x14ac:dyDescent="0.25">
      <c r="A38" s="2">
        <v>46164</v>
      </c>
      <c r="B38" s="1" t="str">
        <f ca="1">IF(Información1[[#This Row],[Fecha]]='Ajuste de fechas'!$A$2,"Día actual","Día anterior")</f>
        <v>Día anterior</v>
      </c>
      <c r="C38" s="3" t="s">
        <v>34</v>
      </c>
      <c r="D38" t="s">
        <v>35</v>
      </c>
      <c r="E38" s="3" t="s">
        <v>109</v>
      </c>
      <c r="F38" s="3" t="s">
        <v>23</v>
      </c>
      <c r="G38" s="3" t="s">
        <v>81</v>
      </c>
      <c r="H38" s="3" t="s">
        <v>32</v>
      </c>
      <c r="I38" s="3" t="s">
        <v>7</v>
      </c>
      <c r="J38" s="3" t="s">
        <v>48</v>
      </c>
      <c r="K38" s="3" t="s">
        <v>27</v>
      </c>
      <c r="L38" s="3" t="s">
        <v>49</v>
      </c>
      <c r="M38">
        <v>1</v>
      </c>
    </row>
    <row r="39" spans="1:13" x14ac:dyDescent="0.25">
      <c r="A39" s="2">
        <v>46164</v>
      </c>
      <c r="B39" s="1" t="str">
        <f ca="1">IF(Información1[[#This Row],[Fecha]]='Ajuste de fechas'!$A$2,"Día actual","Día anterior")</f>
        <v>Día anterior</v>
      </c>
      <c r="C39" s="3" t="s">
        <v>34</v>
      </c>
      <c r="D39" t="s">
        <v>35</v>
      </c>
      <c r="E39" s="3" t="s">
        <v>110</v>
      </c>
      <c r="F39" s="3" t="s">
        <v>17</v>
      </c>
      <c r="G39" s="3" t="s">
        <v>111</v>
      </c>
      <c r="H39" s="3" t="s">
        <v>32</v>
      </c>
      <c r="I39" s="3" t="s">
        <v>7</v>
      </c>
      <c r="J39" s="3" t="s">
        <v>48</v>
      </c>
      <c r="K39" s="3" t="s">
        <v>27</v>
      </c>
      <c r="L39" s="3" t="s">
        <v>49</v>
      </c>
      <c r="M39">
        <v>1</v>
      </c>
    </row>
    <row r="40" spans="1:13" x14ac:dyDescent="0.25">
      <c r="A40" s="2">
        <v>46164</v>
      </c>
      <c r="B40" s="1" t="str">
        <f ca="1">IF(Información1[[#This Row],[Fecha]]='Ajuste de fechas'!$A$2,"Día actual","Día anterior")</f>
        <v>Día anterior</v>
      </c>
      <c r="C40" s="3" t="s">
        <v>34</v>
      </c>
      <c r="D40" t="s">
        <v>35</v>
      </c>
      <c r="E40" s="3" t="s">
        <v>112</v>
      </c>
      <c r="F40" s="3" t="s">
        <v>26</v>
      </c>
      <c r="G40" s="3" t="s">
        <v>72</v>
      </c>
      <c r="H40" s="3" t="s">
        <v>32</v>
      </c>
      <c r="I40" s="3" t="s">
        <v>12</v>
      </c>
      <c r="J40" s="3" t="s">
        <v>48</v>
      </c>
      <c r="K40" s="3" t="s">
        <v>27</v>
      </c>
      <c r="L40" s="3" t="s">
        <v>50</v>
      </c>
      <c r="M40">
        <v>1</v>
      </c>
    </row>
    <row r="41" spans="1:13" x14ac:dyDescent="0.25">
      <c r="A41" s="2">
        <v>46164</v>
      </c>
      <c r="B41" s="1" t="str">
        <f ca="1">IF(Información1[[#This Row],[Fecha]]='Ajuste de fechas'!$A$2,"Día actual","Día anterior")</f>
        <v>Día anterior</v>
      </c>
      <c r="C41" s="3" t="s">
        <v>34</v>
      </c>
      <c r="D41" t="s">
        <v>35</v>
      </c>
      <c r="E41" s="3" t="s">
        <v>113</v>
      </c>
      <c r="F41" s="3" t="s">
        <v>26</v>
      </c>
      <c r="G41" s="3" t="s">
        <v>72</v>
      </c>
      <c r="H41" s="3" t="s">
        <v>32</v>
      </c>
      <c r="I41" s="3" t="s">
        <v>7</v>
      </c>
      <c r="J41" s="3" t="s">
        <v>48</v>
      </c>
      <c r="K41" s="3" t="s">
        <v>27</v>
      </c>
      <c r="L41" s="3" t="s">
        <v>51</v>
      </c>
      <c r="M41">
        <v>1</v>
      </c>
    </row>
    <row r="42" spans="1:13" x14ac:dyDescent="0.25">
      <c r="A42" s="2">
        <v>46164</v>
      </c>
      <c r="B42" s="1" t="str">
        <f ca="1">IF(Información1[[#This Row],[Fecha]]='Ajuste de fechas'!$A$2,"Día actual","Día anterior")</f>
        <v>Día anterior</v>
      </c>
      <c r="C42" s="3" t="s">
        <v>34</v>
      </c>
      <c r="D42" t="s">
        <v>35</v>
      </c>
      <c r="E42" s="3" t="s">
        <v>94</v>
      </c>
      <c r="F42" s="3" t="s">
        <v>26</v>
      </c>
      <c r="G42" s="3" t="s">
        <v>95</v>
      </c>
      <c r="H42" s="3" t="s">
        <v>32</v>
      </c>
      <c r="I42" s="3" t="s">
        <v>7</v>
      </c>
      <c r="J42" s="3" t="s">
        <v>48</v>
      </c>
      <c r="K42" s="3" t="s">
        <v>27</v>
      </c>
      <c r="L42" s="3" t="s">
        <v>51</v>
      </c>
      <c r="M42">
        <v>1</v>
      </c>
    </row>
    <row r="43" spans="1:13" x14ac:dyDescent="0.25">
      <c r="A43" s="2">
        <v>46164</v>
      </c>
      <c r="B43" s="1" t="str">
        <f ca="1">IF(Información1[[#This Row],[Fecha]]='Ajuste de fechas'!$A$2,"Día actual","Día anterior")</f>
        <v>Día anterior</v>
      </c>
      <c r="C43" s="3" t="s">
        <v>34</v>
      </c>
      <c r="D43" t="s">
        <v>35</v>
      </c>
      <c r="E43" s="3" t="s">
        <v>116</v>
      </c>
      <c r="F43" s="3" t="s">
        <v>26</v>
      </c>
      <c r="G43" s="3" t="s">
        <v>117</v>
      </c>
      <c r="H43" s="3" t="s">
        <v>32</v>
      </c>
      <c r="I43" s="3" t="s">
        <v>7</v>
      </c>
      <c r="J43" s="3" t="s">
        <v>48</v>
      </c>
      <c r="K43" s="3" t="s">
        <v>27</v>
      </c>
      <c r="L43" s="3" t="s">
        <v>49</v>
      </c>
      <c r="M43">
        <v>1</v>
      </c>
    </row>
    <row r="44" spans="1:13" x14ac:dyDescent="0.25">
      <c r="A44" s="2">
        <v>46164</v>
      </c>
      <c r="B44" s="1" t="str">
        <f ca="1">IF(Información1[[#This Row],[Fecha]]='Ajuste de fechas'!$A$2,"Día actual","Día anterior")</f>
        <v>Día anterior</v>
      </c>
      <c r="C44" s="3" t="s">
        <v>34</v>
      </c>
      <c r="D44" t="s">
        <v>35</v>
      </c>
      <c r="E44" s="3" t="s">
        <v>118</v>
      </c>
      <c r="F44" s="3" t="s">
        <v>15</v>
      </c>
      <c r="G44" s="3"/>
      <c r="H44" s="3" t="s">
        <v>32</v>
      </c>
      <c r="I44" s="3" t="s">
        <v>7</v>
      </c>
      <c r="J44" s="3" t="s">
        <v>48</v>
      </c>
      <c r="K44" s="3" t="s">
        <v>27</v>
      </c>
      <c r="L44" s="3" t="s">
        <v>51</v>
      </c>
      <c r="M44">
        <v>1</v>
      </c>
    </row>
    <row r="45" spans="1:13" x14ac:dyDescent="0.25">
      <c r="A45" s="2">
        <v>46164</v>
      </c>
      <c r="B45" s="1" t="str">
        <f ca="1">IF(Información1[[#This Row],[Fecha]]='Ajuste de fechas'!$A$2,"Día actual","Día anterior")</f>
        <v>Día anterior</v>
      </c>
      <c r="C45" s="3" t="s">
        <v>34</v>
      </c>
      <c r="D45" t="s">
        <v>35</v>
      </c>
      <c r="E45" s="3" t="s">
        <v>119</v>
      </c>
      <c r="F45" s="3" t="s">
        <v>15</v>
      </c>
      <c r="G45" s="3" t="s">
        <v>120</v>
      </c>
      <c r="H45" s="3" t="s">
        <v>32</v>
      </c>
      <c r="I45" s="3" t="s">
        <v>25</v>
      </c>
      <c r="J45" s="3" t="s">
        <v>48</v>
      </c>
      <c r="K45" s="3" t="s">
        <v>27</v>
      </c>
      <c r="L45" s="3" t="s">
        <v>50</v>
      </c>
      <c r="M45">
        <v>1</v>
      </c>
    </row>
    <row r="46" spans="1:13" x14ac:dyDescent="0.25">
      <c r="A46" s="2">
        <v>46164</v>
      </c>
      <c r="B46" s="1" t="str">
        <f ca="1">IF(Información1[[#This Row],[Fecha]]='Ajuste de fechas'!$A$2,"Día actual","Día anterior")</f>
        <v>Día anterior</v>
      </c>
      <c r="C46" s="3" t="s">
        <v>34</v>
      </c>
      <c r="D46" t="s">
        <v>35</v>
      </c>
      <c r="E46" s="3" t="s">
        <v>121</v>
      </c>
      <c r="F46" s="3" t="s">
        <v>21</v>
      </c>
      <c r="G46" s="3" t="s">
        <v>122</v>
      </c>
      <c r="H46" s="3" t="s">
        <v>32</v>
      </c>
      <c r="I46" s="3" t="s">
        <v>7</v>
      </c>
      <c r="J46" s="3" t="s">
        <v>48</v>
      </c>
      <c r="K46" s="3" t="s">
        <v>27</v>
      </c>
      <c r="L46" s="3" t="s">
        <v>51</v>
      </c>
      <c r="M46">
        <v>1</v>
      </c>
    </row>
    <row r="47" spans="1:13" x14ac:dyDescent="0.25">
      <c r="A47" s="2">
        <v>46164</v>
      </c>
      <c r="B47" s="1" t="str">
        <f ca="1">IF(Información1[[#This Row],[Fecha]]='Ajuste de fechas'!$A$2,"Día actual","Día anterior")</f>
        <v>Día anterior</v>
      </c>
      <c r="C47" s="3" t="s">
        <v>37</v>
      </c>
      <c r="D47" t="s">
        <v>38</v>
      </c>
      <c r="E47" s="3" t="s">
        <v>125</v>
      </c>
      <c r="F47" s="3" t="s">
        <v>23</v>
      </c>
      <c r="G47" s="3" t="s">
        <v>81</v>
      </c>
      <c r="H47" s="3" t="s">
        <v>11</v>
      </c>
      <c r="I47" s="3" t="s">
        <v>25</v>
      </c>
      <c r="J47" s="3" t="s">
        <v>48</v>
      </c>
      <c r="K47" s="3" t="s">
        <v>39</v>
      </c>
      <c r="L47" s="3" t="s">
        <v>49</v>
      </c>
      <c r="M47">
        <v>1</v>
      </c>
    </row>
    <row r="48" spans="1:13" x14ac:dyDescent="0.25">
      <c r="A48" s="2">
        <v>46164</v>
      </c>
      <c r="B48" s="1" t="str">
        <f ca="1">IF(Información1[[#This Row],[Fecha]]='Ajuste de fechas'!$A$2,"Día actual","Día anterior")</f>
        <v>Día anterior</v>
      </c>
      <c r="C48" s="3" t="s">
        <v>37</v>
      </c>
      <c r="D48" t="s">
        <v>38</v>
      </c>
      <c r="E48" s="3" t="s">
        <v>126</v>
      </c>
      <c r="F48" s="3" t="s">
        <v>21</v>
      </c>
      <c r="G48" s="3" t="s">
        <v>122</v>
      </c>
      <c r="H48" s="3" t="s">
        <v>11</v>
      </c>
      <c r="I48" s="3" t="s">
        <v>25</v>
      </c>
      <c r="J48" s="3" t="s">
        <v>48</v>
      </c>
      <c r="K48" s="3" t="s">
        <v>39</v>
      </c>
      <c r="L48" s="3" t="s">
        <v>51</v>
      </c>
      <c r="M48">
        <v>1</v>
      </c>
    </row>
    <row r="49" spans="1:13" x14ac:dyDescent="0.25">
      <c r="A49" s="2">
        <v>46164</v>
      </c>
      <c r="B49" s="1" t="str">
        <f ca="1">IF(Información1[[#This Row],[Fecha]]='Ajuste de fechas'!$A$2,"Día actual","Día anterior")</f>
        <v>Día anterior</v>
      </c>
      <c r="C49" s="3" t="s">
        <v>37</v>
      </c>
      <c r="D49" t="s">
        <v>38</v>
      </c>
      <c r="E49" s="3" t="s">
        <v>132</v>
      </c>
      <c r="F49" s="3" t="s">
        <v>17</v>
      </c>
      <c r="G49" s="3" t="s">
        <v>111</v>
      </c>
      <c r="H49" s="3" t="s">
        <v>11</v>
      </c>
      <c r="I49" s="3" t="s">
        <v>7</v>
      </c>
      <c r="J49" s="3" t="s">
        <v>48</v>
      </c>
      <c r="K49" s="3" t="s">
        <v>39</v>
      </c>
      <c r="L49" s="3" t="s">
        <v>49</v>
      </c>
      <c r="M49">
        <v>1</v>
      </c>
    </row>
    <row r="50" spans="1:13" x14ac:dyDescent="0.25">
      <c r="A50" s="2">
        <v>46164</v>
      </c>
      <c r="B50" s="1" t="str">
        <f ca="1">IF(Información1[[#This Row],[Fecha]]='Ajuste de fechas'!$A$2,"Día actual","Día anterior")</f>
        <v>Día anterior</v>
      </c>
      <c r="C50" s="3" t="s">
        <v>37</v>
      </c>
      <c r="D50" t="s">
        <v>38</v>
      </c>
      <c r="E50" s="3" t="s">
        <v>133</v>
      </c>
      <c r="F50" s="3" t="s">
        <v>17</v>
      </c>
      <c r="G50" s="3" t="s">
        <v>96</v>
      </c>
      <c r="H50" s="3" t="s">
        <v>11</v>
      </c>
      <c r="I50" s="3" t="s">
        <v>7</v>
      </c>
      <c r="J50" s="3" t="s">
        <v>48</v>
      </c>
      <c r="K50" s="3" t="s">
        <v>39</v>
      </c>
      <c r="L50" s="3" t="s">
        <v>49</v>
      </c>
      <c r="M50">
        <v>1</v>
      </c>
    </row>
    <row r="51" spans="1:13" x14ac:dyDescent="0.25">
      <c r="A51" s="2">
        <v>46164</v>
      </c>
      <c r="B51" s="1" t="str">
        <f ca="1">IF(Información1[[#This Row],[Fecha]]='Ajuste de fechas'!$A$2,"Día actual","Día anterior")</f>
        <v>Día anterior</v>
      </c>
      <c r="C51" s="3" t="s">
        <v>37</v>
      </c>
      <c r="D51" t="s">
        <v>38</v>
      </c>
      <c r="E51" s="3" t="s">
        <v>113</v>
      </c>
      <c r="F51" s="3" t="s">
        <v>26</v>
      </c>
      <c r="G51" s="3" t="s">
        <v>72</v>
      </c>
      <c r="H51" s="3" t="s">
        <v>11</v>
      </c>
      <c r="I51" s="3" t="s">
        <v>7</v>
      </c>
      <c r="J51" s="3" t="s">
        <v>48</v>
      </c>
      <c r="K51" s="3" t="s">
        <v>39</v>
      </c>
      <c r="L51" s="3" t="s">
        <v>51</v>
      </c>
      <c r="M51">
        <v>1</v>
      </c>
    </row>
    <row r="52" spans="1:13" x14ac:dyDescent="0.25">
      <c r="A52" s="2">
        <v>46164</v>
      </c>
      <c r="B52" s="1" t="str">
        <f ca="1">IF(Información1[[#This Row],[Fecha]]='Ajuste de fechas'!$A$2,"Día actual","Día anterior")</f>
        <v>Día anterior</v>
      </c>
      <c r="C52" s="3" t="s">
        <v>37</v>
      </c>
      <c r="D52" t="s">
        <v>38</v>
      </c>
      <c r="E52" s="3" t="s">
        <v>134</v>
      </c>
      <c r="F52" s="3" t="s">
        <v>36</v>
      </c>
      <c r="G52" s="3" t="s">
        <v>69</v>
      </c>
      <c r="H52" s="3" t="s">
        <v>11</v>
      </c>
      <c r="I52" s="3" t="s">
        <v>7</v>
      </c>
      <c r="J52" s="3" t="s">
        <v>48</v>
      </c>
      <c r="K52" s="3" t="s">
        <v>39</v>
      </c>
      <c r="L52" s="3" t="s">
        <v>73</v>
      </c>
      <c r="M52">
        <v>1</v>
      </c>
    </row>
    <row r="53" spans="1:13" x14ac:dyDescent="0.25">
      <c r="A53" s="2">
        <v>46164</v>
      </c>
      <c r="B53" s="1" t="str">
        <f ca="1">IF(Información1[[#This Row],[Fecha]]='Ajuste de fechas'!$A$2,"Día actual","Día anterior")</f>
        <v>Día anterior</v>
      </c>
      <c r="C53" s="3" t="s">
        <v>37</v>
      </c>
      <c r="D53" t="s">
        <v>38</v>
      </c>
      <c r="E53" s="3" t="s">
        <v>140</v>
      </c>
      <c r="F53" s="3" t="s">
        <v>6</v>
      </c>
      <c r="G53" s="3" t="s">
        <v>87</v>
      </c>
      <c r="H53" s="3" t="s">
        <v>11</v>
      </c>
      <c r="I53" s="3" t="s">
        <v>25</v>
      </c>
      <c r="J53" s="3" t="s">
        <v>48</v>
      </c>
      <c r="K53" s="3" t="s">
        <v>39</v>
      </c>
      <c r="L53" s="3" t="s">
        <v>50</v>
      </c>
      <c r="M53">
        <v>1</v>
      </c>
    </row>
    <row r="54" spans="1:13" x14ac:dyDescent="0.25">
      <c r="A54" s="2">
        <v>46164</v>
      </c>
      <c r="B54" s="1" t="str">
        <f ca="1">IF(Información1[[#This Row],[Fecha]]='Ajuste de fechas'!$A$2,"Día actual","Día anterior")</f>
        <v>Día anterior</v>
      </c>
      <c r="C54" s="3" t="s">
        <v>37</v>
      </c>
      <c r="D54" t="s">
        <v>38</v>
      </c>
      <c r="E54" s="3" t="s">
        <v>141</v>
      </c>
      <c r="F54" s="3" t="s">
        <v>26</v>
      </c>
      <c r="G54" s="3" t="s">
        <v>95</v>
      </c>
      <c r="H54" s="3" t="s">
        <v>11</v>
      </c>
      <c r="I54" s="3" t="s">
        <v>7</v>
      </c>
      <c r="J54" s="3" t="s">
        <v>48</v>
      </c>
      <c r="K54" s="3" t="s">
        <v>39</v>
      </c>
      <c r="L54" s="3" t="s">
        <v>49</v>
      </c>
      <c r="M54">
        <v>1</v>
      </c>
    </row>
    <row r="55" spans="1:13" x14ac:dyDescent="0.25">
      <c r="A55" s="2">
        <v>46164</v>
      </c>
      <c r="B55" s="1" t="str">
        <f ca="1">IF(Información1[[#This Row],[Fecha]]='Ajuste de fechas'!$A$2,"Día actual","Día anterior")</f>
        <v>Día anterior</v>
      </c>
      <c r="C55" s="3" t="s">
        <v>37</v>
      </c>
      <c r="D55" t="s">
        <v>38</v>
      </c>
      <c r="E55" s="3" t="s">
        <v>142</v>
      </c>
      <c r="F55" s="3" t="s">
        <v>58</v>
      </c>
      <c r="G55" s="3" t="s">
        <v>143</v>
      </c>
      <c r="H55" s="3" t="s">
        <v>11</v>
      </c>
      <c r="I55" s="3" t="s">
        <v>25</v>
      </c>
      <c r="J55" s="3" t="s">
        <v>48</v>
      </c>
      <c r="K55" s="3" t="s">
        <v>39</v>
      </c>
      <c r="L55" s="3" t="s">
        <v>49</v>
      </c>
      <c r="M55">
        <v>1</v>
      </c>
    </row>
    <row r="56" spans="1:13" x14ac:dyDescent="0.25">
      <c r="A56" s="2">
        <v>46164</v>
      </c>
      <c r="B56" s="1" t="str">
        <f ca="1">IF(Información1[[#This Row],[Fecha]]='Ajuste de fechas'!$A$2,"Día actual","Día anterior")</f>
        <v>Día anterior</v>
      </c>
      <c r="C56" s="3" t="s">
        <v>37</v>
      </c>
      <c r="D56" t="s">
        <v>38</v>
      </c>
      <c r="E56" s="3" t="s">
        <v>153</v>
      </c>
      <c r="F56" s="3" t="s">
        <v>154</v>
      </c>
      <c r="G56" s="3" t="s">
        <v>155</v>
      </c>
      <c r="H56" s="3" t="s">
        <v>11</v>
      </c>
      <c r="I56" s="3" t="s">
        <v>7</v>
      </c>
      <c r="J56" s="3" t="s">
        <v>48</v>
      </c>
      <c r="K56" s="3" t="s">
        <v>39</v>
      </c>
      <c r="L56" s="3" t="s">
        <v>51</v>
      </c>
      <c r="M56">
        <v>1</v>
      </c>
    </row>
    <row r="57" spans="1:13" x14ac:dyDescent="0.25">
      <c r="A57" s="2">
        <v>46164</v>
      </c>
      <c r="B57" s="1" t="str">
        <f ca="1">IF(Información1[[#This Row],[Fecha]]='Ajuste de fechas'!$A$2,"Día actual","Día anterior")</f>
        <v>Día anterior</v>
      </c>
      <c r="C57" s="3" t="s">
        <v>62</v>
      </c>
      <c r="D57" t="s">
        <v>63</v>
      </c>
      <c r="E57" s="3" t="s">
        <v>158</v>
      </c>
      <c r="F57" s="3" t="s">
        <v>159</v>
      </c>
      <c r="G57" s="3" t="s">
        <v>115</v>
      </c>
      <c r="H57" s="3" t="s">
        <v>11</v>
      </c>
      <c r="I57" s="3" t="s">
        <v>7</v>
      </c>
      <c r="J57" s="3" t="s">
        <v>48</v>
      </c>
      <c r="K57" s="3" t="s">
        <v>160</v>
      </c>
      <c r="L57" s="3" t="s">
        <v>49</v>
      </c>
      <c r="M57">
        <v>1</v>
      </c>
    </row>
    <row r="58" spans="1:13" x14ac:dyDescent="0.25">
      <c r="A58" s="2">
        <v>46164</v>
      </c>
      <c r="B58" s="1" t="str">
        <f ca="1">IF(Información1[[#This Row],[Fecha]]='Ajuste de fechas'!$A$2,"Día actual","Día anterior")</f>
        <v>Día anterior</v>
      </c>
      <c r="C58" s="3" t="s">
        <v>65</v>
      </c>
      <c r="D58" t="s">
        <v>66</v>
      </c>
      <c r="E58" s="3" t="s">
        <v>146</v>
      </c>
      <c r="F58" s="3" t="s">
        <v>147</v>
      </c>
      <c r="G58" s="3" t="s">
        <v>148</v>
      </c>
      <c r="H58" s="3" t="s">
        <v>11</v>
      </c>
      <c r="I58" s="3" t="s">
        <v>7</v>
      </c>
      <c r="J58" s="3" t="s">
        <v>48</v>
      </c>
      <c r="K58" s="3" t="s">
        <v>67</v>
      </c>
      <c r="L58" s="3" t="s">
        <v>51</v>
      </c>
      <c r="M58">
        <v>1</v>
      </c>
    </row>
    <row r="59" spans="1:13" x14ac:dyDescent="0.25">
      <c r="A59" s="2">
        <v>46164</v>
      </c>
      <c r="B59" s="1" t="str">
        <f ca="1">IF(Información1[[#This Row],[Fecha]]='Ajuste de fechas'!$A$2,"Día actual","Día anterior")</f>
        <v>Día anterior</v>
      </c>
      <c r="C59" s="3" t="s">
        <v>65</v>
      </c>
      <c r="D59" t="s">
        <v>66</v>
      </c>
      <c r="E59" s="3" t="s">
        <v>163</v>
      </c>
      <c r="F59" s="3" t="s">
        <v>36</v>
      </c>
      <c r="G59" s="3" t="s">
        <v>69</v>
      </c>
      <c r="H59" s="3" t="s">
        <v>11</v>
      </c>
      <c r="I59" s="3" t="s">
        <v>12</v>
      </c>
      <c r="J59" s="3" t="s">
        <v>48</v>
      </c>
      <c r="K59" s="3" t="s">
        <v>67</v>
      </c>
      <c r="L59" s="3" t="s">
        <v>73</v>
      </c>
      <c r="M59">
        <v>1</v>
      </c>
    </row>
    <row r="60" spans="1:13" x14ac:dyDescent="0.25">
      <c r="A60" s="2">
        <v>46164</v>
      </c>
      <c r="B60" s="1" t="str">
        <f ca="1">IF(Información1[[#This Row],[Fecha]]='Ajuste de fechas'!$A$2,"Día actual","Día anterior")</f>
        <v>Día anterior</v>
      </c>
      <c r="C60" s="3" t="s">
        <v>65</v>
      </c>
      <c r="D60" t="s">
        <v>66</v>
      </c>
      <c r="E60" s="3" t="s">
        <v>121</v>
      </c>
      <c r="F60" s="3" t="s">
        <v>21</v>
      </c>
      <c r="G60" s="3" t="s">
        <v>122</v>
      </c>
      <c r="H60" s="3" t="s">
        <v>11</v>
      </c>
      <c r="I60" s="3" t="s">
        <v>7</v>
      </c>
      <c r="J60" s="3" t="s">
        <v>48</v>
      </c>
      <c r="K60" s="3" t="s">
        <v>67</v>
      </c>
      <c r="L60" s="3" t="s">
        <v>51</v>
      </c>
      <c r="M60">
        <v>1</v>
      </c>
    </row>
    <row r="61" spans="1:13" x14ac:dyDescent="0.25">
      <c r="A61" s="2">
        <v>46164</v>
      </c>
      <c r="B61" s="1" t="str">
        <f ca="1">IF(Información1[[#This Row],[Fecha]]='Ajuste de fechas'!$A$2,"Día actual","Día anterior")</f>
        <v>Día anterior</v>
      </c>
      <c r="C61" s="3" t="s">
        <v>65</v>
      </c>
      <c r="D61" t="s">
        <v>66</v>
      </c>
      <c r="E61" s="3" t="s">
        <v>164</v>
      </c>
      <c r="F61" s="3" t="s">
        <v>21</v>
      </c>
      <c r="G61" s="3" t="s">
        <v>78</v>
      </c>
      <c r="H61" s="3" t="s">
        <v>11</v>
      </c>
      <c r="I61" s="3" t="s">
        <v>7</v>
      </c>
      <c r="J61" s="3" t="s">
        <v>48</v>
      </c>
      <c r="K61" s="3" t="s">
        <v>67</v>
      </c>
      <c r="L61" s="3" t="s">
        <v>51</v>
      </c>
      <c r="M61">
        <v>1</v>
      </c>
    </row>
    <row r="62" spans="1:13" x14ac:dyDescent="0.25">
      <c r="A62" s="2">
        <v>46164</v>
      </c>
      <c r="B62" s="1" t="str">
        <f ca="1">IF(Información1[[#This Row],[Fecha]]='Ajuste de fechas'!$A$2,"Día actual","Día anterior")</f>
        <v>Día anterior</v>
      </c>
      <c r="C62" s="3" t="s">
        <v>65</v>
      </c>
      <c r="D62" t="s">
        <v>66</v>
      </c>
      <c r="E62" s="3" t="s">
        <v>149</v>
      </c>
      <c r="F62" s="3" t="s">
        <v>150</v>
      </c>
      <c r="G62" s="3" t="s">
        <v>151</v>
      </c>
      <c r="H62" s="3" t="s">
        <v>11</v>
      </c>
      <c r="I62" s="3" t="s">
        <v>7</v>
      </c>
      <c r="J62" s="3" t="s">
        <v>48</v>
      </c>
      <c r="K62" s="3" t="s">
        <v>67</v>
      </c>
      <c r="L62" s="3" t="s">
        <v>51</v>
      </c>
      <c r="M62">
        <v>1</v>
      </c>
    </row>
    <row r="63" spans="1:13" x14ac:dyDescent="0.25">
      <c r="A63" s="2">
        <v>46164</v>
      </c>
      <c r="B63" s="1" t="str">
        <f ca="1">IF(Información1[[#This Row],[Fecha]]='Ajuste de fechas'!$A$2,"Día actual","Día anterior")</f>
        <v>Día anterior</v>
      </c>
      <c r="C63" s="3" t="s">
        <v>65</v>
      </c>
      <c r="D63" t="s">
        <v>66</v>
      </c>
      <c r="E63" s="3" t="s">
        <v>165</v>
      </c>
      <c r="F63" s="3" t="s">
        <v>166</v>
      </c>
      <c r="G63" s="3" t="s">
        <v>167</v>
      </c>
      <c r="H63" s="3" t="s">
        <v>11</v>
      </c>
      <c r="I63" s="3" t="s">
        <v>7</v>
      </c>
      <c r="J63" s="3" t="s">
        <v>48</v>
      </c>
      <c r="K63" s="3" t="s">
        <v>67</v>
      </c>
      <c r="L63" s="3" t="s">
        <v>51</v>
      </c>
      <c r="M63">
        <v>1</v>
      </c>
    </row>
    <row r="64" spans="1:13" x14ac:dyDescent="0.25">
      <c r="A64" s="2">
        <v>46164</v>
      </c>
      <c r="B64" s="1" t="str">
        <f ca="1">IF(Información1[[#This Row],[Fecha]]='Ajuste de fechas'!$A$2,"Día actual","Día anterior")</f>
        <v>Día anterior</v>
      </c>
      <c r="C64" s="3" t="s">
        <v>65</v>
      </c>
      <c r="D64" t="s">
        <v>66</v>
      </c>
      <c r="E64" s="3" t="s">
        <v>168</v>
      </c>
      <c r="F64" s="3" t="s">
        <v>15</v>
      </c>
      <c r="G64" s="3" t="s">
        <v>169</v>
      </c>
      <c r="H64" s="3" t="s">
        <v>11</v>
      </c>
      <c r="I64" s="3" t="s">
        <v>7</v>
      </c>
      <c r="J64" s="3" t="s">
        <v>48</v>
      </c>
      <c r="K64" s="3" t="s">
        <v>67</v>
      </c>
      <c r="L64" s="3" t="s">
        <v>51</v>
      </c>
      <c r="M64">
        <v>1</v>
      </c>
    </row>
    <row r="65" spans="1:13" x14ac:dyDescent="0.25">
      <c r="A65" s="2">
        <v>46164</v>
      </c>
      <c r="B65" s="1" t="str">
        <f ca="1">IF(Información1[[#This Row],[Fecha]]='Ajuste de fechas'!$A$2,"Día actual","Día anterior")</f>
        <v>Día anterior</v>
      </c>
      <c r="C65" s="3" t="s">
        <v>65</v>
      </c>
      <c r="D65" t="s">
        <v>66</v>
      </c>
      <c r="E65" s="3" t="s">
        <v>170</v>
      </c>
      <c r="F65" s="3" t="s">
        <v>26</v>
      </c>
      <c r="G65" s="3" t="s">
        <v>72</v>
      </c>
      <c r="H65" s="3" t="s">
        <v>11</v>
      </c>
      <c r="I65" s="3" t="s">
        <v>7</v>
      </c>
      <c r="J65" s="3" t="s">
        <v>48</v>
      </c>
      <c r="K65" s="3" t="s">
        <v>67</v>
      </c>
      <c r="L65" s="3" t="s">
        <v>51</v>
      </c>
      <c r="M65">
        <v>1</v>
      </c>
    </row>
    <row r="66" spans="1:13" x14ac:dyDescent="0.25">
      <c r="A66" s="2">
        <v>46164</v>
      </c>
      <c r="B66" s="1" t="str">
        <f ca="1">IF(Información1[[#This Row],[Fecha]]='Ajuste de fechas'!$A$2,"Día actual","Día anterior")</f>
        <v>Día anterior</v>
      </c>
      <c r="C66" s="3" t="s">
        <v>62</v>
      </c>
      <c r="D66" t="s">
        <v>68</v>
      </c>
      <c r="E66" s="3" t="s">
        <v>171</v>
      </c>
      <c r="F66" s="3" t="s">
        <v>21</v>
      </c>
      <c r="G66" s="3" t="s">
        <v>145</v>
      </c>
      <c r="H66" s="3" t="s">
        <v>11</v>
      </c>
      <c r="I66" s="3" t="s">
        <v>12</v>
      </c>
      <c r="J66" s="3" t="s">
        <v>48</v>
      </c>
      <c r="K66" s="3" t="s">
        <v>61</v>
      </c>
      <c r="L66" s="3" t="s">
        <v>50</v>
      </c>
      <c r="M66">
        <v>1</v>
      </c>
    </row>
    <row r="67" spans="1:13" x14ac:dyDescent="0.25">
      <c r="A67" s="2">
        <v>46164</v>
      </c>
      <c r="B67" s="1" t="str">
        <f ca="1">IF(Información1[[#This Row],[Fecha]]='Ajuste de fechas'!$A$2,"Día actual","Día anterior")</f>
        <v>Día anterior</v>
      </c>
      <c r="C67" s="3" t="s">
        <v>62</v>
      </c>
      <c r="D67" t="s">
        <v>68</v>
      </c>
      <c r="E67" s="3" t="s">
        <v>172</v>
      </c>
      <c r="F67" s="3" t="s">
        <v>36</v>
      </c>
      <c r="G67" s="3" t="s">
        <v>69</v>
      </c>
      <c r="H67" s="3" t="s">
        <v>11</v>
      </c>
      <c r="I67" s="3" t="s">
        <v>12</v>
      </c>
      <c r="J67" s="3" t="s">
        <v>48</v>
      </c>
      <c r="K67" s="3" t="s">
        <v>61</v>
      </c>
      <c r="L67" s="3" t="s">
        <v>73</v>
      </c>
      <c r="M67">
        <v>1</v>
      </c>
    </row>
    <row r="68" spans="1:13" x14ac:dyDescent="0.25">
      <c r="A68" s="2">
        <v>46164</v>
      </c>
      <c r="B68" s="1" t="str">
        <f ca="1">IF(Información1[[#This Row],[Fecha]]='Ajuste de fechas'!$A$2,"Día actual","Día anterior")</f>
        <v>Día anterior</v>
      </c>
      <c r="C68" s="3" t="s">
        <v>62</v>
      </c>
      <c r="D68" t="s">
        <v>68</v>
      </c>
      <c r="E68" s="3" t="s">
        <v>173</v>
      </c>
      <c r="F68" s="3" t="s">
        <v>166</v>
      </c>
      <c r="G68" s="3" t="s">
        <v>95</v>
      </c>
      <c r="H68" s="3" t="s">
        <v>11</v>
      </c>
      <c r="I68" s="3" t="s">
        <v>7</v>
      </c>
      <c r="J68" s="3" t="s">
        <v>48</v>
      </c>
      <c r="K68" s="3" t="s">
        <v>64</v>
      </c>
      <c r="L68" s="3" t="s">
        <v>51</v>
      </c>
      <c r="M68">
        <v>1</v>
      </c>
    </row>
    <row r="69" spans="1:13" x14ac:dyDescent="0.25">
      <c r="A69" s="2">
        <v>46164</v>
      </c>
      <c r="B69" s="1" t="str">
        <f ca="1">IF(Información1[[#This Row],[Fecha]]='Ajuste de fechas'!$A$2,"Día actual","Día anterior")</f>
        <v>Día anterior</v>
      </c>
      <c r="C69" s="3" t="s">
        <v>62</v>
      </c>
      <c r="D69" t="s">
        <v>68</v>
      </c>
      <c r="E69" s="3" t="s">
        <v>174</v>
      </c>
      <c r="F69" s="3" t="s">
        <v>26</v>
      </c>
      <c r="G69" s="3" t="s">
        <v>72</v>
      </c>
      <c r="H69" s="3" t="s">
        <v>11</v>
      </c>
      <c r="I69" s="3" t="s">
        <v>7</v>
      </c>
      <c r="J69" s="3" t="s">
        <v>48</v>
      </c>
      <c r="K69" s="3" t="s">
        <v>61</v>
      </c>
      <c r="L69" s="3" t="s">
        <v>51</v>
      </c>
      <c r="M69">
        <v>1</v>
      </c>
    </row>
    <row r="70" spans="1:13" x14ac:dyDescent="0.25">
      <c r="A70" s="2">
        <v>46164</v>
      </c>
      <c r="B70" s="1" t="str">
        <f ca="1">IF(Información1[[#This Row],[Fecha]]='Ajuste de fechas'!$A$2,"Día actual","Día anterior")</f>
        <v>Día anterior</v>
      </c>
      <c r="C70" s="3" t="s">
        <v>62</v>
      </c>
      <c r="D70" t="s">
        <v>68</v>
      </c>
      <c r="E70" s="3" t="s">
        <v>175</v>
      </c>
      <c r="F70" s="3" t="s">
        <v>23</v>
      </c>
      <c r="G70" s="3" t="s">
        <v>176</v>
      </c>
      <c r="H70" s="3" t="s">
        <v>11</v>
      </c>
      <c r="I70" s="3" t="s">
        <v>7</v>
      </c>
      <c r="J70" s="3" t="s">
        <v>48</v>
      </c>
      <c r="K70" s="3" t="s">
        <v>61</v>
      </c>
      <c r="L70" s="3" t="s">
        <v>51</v>
      </c>
      <c r="M70">
        <v>1</v>
      </c>
    </row>
    <row r="71" spans="1:13" x14ac:dyDescent="0.25">
      <c r="A71" s="2">
        <v>46164</v>
      </c>
      <c r="B71" s="1" t="str">
        <f ca="1">IF(Información1[[#This Row],[Fecha]]='Ajuste de fechas'!$A$2,"Día actual","Día anterior")</f>
        <v>Día anterior</v>
      </c>
      <c r="C71" s="3" t="s">
        <v>62</v>
      </c>
      <c r="D71" t="s">
        <v>68</v>
      </c>
      <c r="E71" s="3" t="s">
        <v>177</v>
      </c>
      <c r="F71" s="3" t="s">
        <v>15</v>
      </c>
      <c r="G71" s="3" t="s">
        <v>169</v>
      </c>
      <c r="H71" s="3" t="s">
        <v>11</v>
      </c>
      <c r="I71" s="3" t="s">
        <v>7</v>
      </c>
      <c r="J71" s="3" t="s">
        <v>48</v>
      </c>
      <c r="K71" s="3" t="s">
        <v>61</v>
      </c>
      <c r="L71" s="3" t="s">
        <v>51</v>
      </c>
      <c r="M71">
        <v>1</v>
      </c>
    </row>
    <row r="72" spans="1:13" x14ac:dyDescent="0.25">
      <c r="A72" s="2">
        <v>46164</v>
      </c>
      <c r="B72" s="1" t="str">
        <f ca="1">IF(Información1[[#This Row],[Fecha]]='Ajuste de fechas'!$A$2,"Día actual","Día anterior")</f>
        <v>Día anterior</v>
      </c>
      <c r="C72" s="3" t="s">
        <v>8</v>
      </c>
      <c r="D72" t="s">
        <v>10</v>
      </c>
      <c r="E72" s="3" t="s">
        <v>178</v>
      </c>
      <c r="F72" s="3" t="s">
        <v>6</v>
      </c>
      <c r="G72" s="3" t="s">
        <v>57</v>
      </c>
      <c r="H72" s="3" t="s">
        <v>11</v>
      </c>
      <c r="I72" s="3" t="s">
        <v>25</v>
      </c>
      <c r="J72" s="3" t="s">
        <v>48</v>
      </c>
      <c r="K72" s="3" t="s">
        <v>9</v>
      </c>
      <c r="L72" s="3" t="s">
        <v>50</v>
      </c>
      <c r="M72">
        <v>1</v>
      </c>
    </row>
    <row r="73" spans="1:13" x14ac:dyDescent="0.25">
      <c r="A73" s="2">
        <v>46164</v>
      </c>
      <c r="B73" s="1" t="str">
        <f ca="1">IF(Información1[[#This Row],[Fecha]]='Ajuste de fechas'!$A$2,"Día actual","Día anterior")</f>
        <v>Día anterior</v>
      </c>
      <c r="C73" s="3" t="s">
        <v>28</v>
      </c>
      <c r="D73" t="s">
        <v>31</v>
      </c>
      <c r="E73" s="3" t="s">
        <v>181</v>
      </c>
      <c r="F73" s="3" t="s">
        <v>17</v>
      </c>
      <c r="G73" s="3" t="s">
        <v>96</v>
      </c>
      <c r="H73" s="3" t="s">
        <v>11</v>
      </c>
      <c r="I73" s="3" t="s">
        <v>7</v>
      </c>
      <c r="J73" s="3" t="s">
        <v>48</v>
      </c>
      <c r="K73" s="3" t="s">
        <v>29</v>
      </c>
      <c r="L73" s="3" t="s">
        <v>49</v>
      </c>
      <c r="M73">
        <v>1</v>
      </c>
    </row>
    <row r="74" spans="1:13" x14ac:dyDescent="0.25">
      <c r="A74" s="2">
        <v>46164</v>
      </c>
      <c r="B74" s="1" t="str">
        <f ca="1">IF(Información1[[#This Row],[Fecha]]='Ajuste de fechas'!$A$2,"Día actual","Día anterior")</f>
        <v>Día anterior</v>
      </c>
      <c r="C74" s="3" t="s">
        <v>28</v>
      </c>
      <c r="D74" t="s">
        <v>31</v>
      </c>
      <c r="E74" s="3" t="s">
        <v>182</v>
      </c>
      <c r="F74" s="3" t="s">
        <v>17</v>
      </c>
      <c r="G74" s="3" t="s">
        <v>96</v>
      </c>
      <c r="H74" s="3" t="s">
        <v>11</v>
      </c>
      <c r="I74" s="3" t="s">
        <v>7</v>
      </c>
      <c r="J74" s="3" t="s">
        <v>48</v>
      </c>
      <c r="K74" s="3" t="s">
        <v>29</v>
      </c>
      <c r="L74" s="3" t="s">
        <v>49</v>
      </c>
      <c r="M74">
        <v>1</v>
      </c>
    </row>
    <row r="75" spans="1:13" x14ac:dyDescent="0.25">
      <c r="A75" s="2">
        <v>46164</v>
      </c>
      <c r="B75" s="1" t="str">
        <f ca="1">IF(Información1[[#This Row],[Fecha]]='Ajuste de fechas'!$A$2,"Día actual","Día anterior")</f>
        <v>Día anterior</v>
      </c>
      <c r="C75" s="3" t="s">
        <v>8</v>
      </c>
      <c r="D75" t="s">
        <v>10</v>
      </c>
      <c r="E75" s="3" t="s">
        <v>183</v>
      </c>
      <c r="F75" s="3" t="s">
        <v>17</v>
      </c>
      <c r="G75" s="3" t="s">
        <v>96</v>
      </c>
      <c r="H75" s="3" t="s">
        <v>11</v>
      </c>
      <c r="I75" s="3" t="s">
        <v>25</v>
      </c>
      <c r="J75" s="3" t="s">
        <v>48</v>
      </c>
      <c r="K75" s="3" t="s">
        <v>9</v>
      </c>
      <c r="L75" s="3" t="s">
        <v>50</v>
      </c>
      <c r="M75">
        <v>1</v>
      </c>
    </row>
    <row r="76" spans="1:13" x14ac:dyDescent="0.25">
      <c r="A76" s="2">
        <v>46164</v>
      </c>
      <c r="B76" s="1" t="str">
        <f ca="1">IF(Información1[[#This Row],[Fecha]]='Ajuste de fechas'!$A$2,"Día actual","Día anterior")</f>
        <v>Día anterior</v>
      </c>
      <c r="C76" s="3" t="s">
        <v>28</v>
      </c>
      <c r="D76" t="s">
        <v>31</v>
      </c>
      <c r="E76" s="3" t="s">
        <v>185</v>
      </c>
      <c r="F76" s="3" t="s">
        <v>15</v>
      </c>
      <c r="G76" s="3" t="s">
        <v>115</v>
      </c>
      <c r="H76" s="3" t="s">
        <v>11</v>
      </c>
      <c r="I76" s="3" t="s">
        <v>7</v>
      </c>
      <c r="J76" s="3" t="s">
        <v>48</v>
      </c>
      <c r="K76" s="3" t="s">
        <v>29</v>
      </c>
      <c r="L76" s="3" t="s">
        <v>49</v>
      </c>
      <c r="M76">
        <v>1</v>
      </c>
    </row>
    <row r="77" spans="1:13" x14ac:dyDescent="0.25">
      <c r="A77" s="2">
        <v>46164</v>
      </c>
      <c r="B77" s="1" t="str">
        <f ca="1">IF(Información1[[#This Row],[Fecha]]='Ajuste de fechas'!$A$2,"Día actual","Día anterior")</f>
        <v>Día anterior</v>
      </c>
      <c r="C77" s="3" t="s">
        <v>28</v>
      </c>
      <c r="D77" t="s">
        <v>30</v>
      </c>
      <c r="E77" s="3" t="s">
        <v>187</v>
      </c>
      <c r="F77" s="3" t="s">
        <v>15</v>
      </c>
      <c r="G77" s="3" t="s">
        <v>188</v>
      </c>
      <c r="H77" s="3" t="s">
        <v>11</v>
      </c>
      <c r="I77" s="3" t="s">
        <v>7</v>
      </c>
      <c r="J77" s="3" t="s">
        <v>48</v>
      </c>
      <c r="K77" s="3" t="s">
        <v>41</v>
      </c>
      <c r="L77" s="3" t="s">
        <v>51</v>
      </c>
      <c r="M77">
        <v>1</v>
      </c>
    </row>
    <row r="78" spans="1:13" x14ac:dyDescent="0.25">
      <c r="A78" s="2">
        <v>46164</v>
      </c>
      <c r="B78" s="1" t="str">
        <f ca="1">IF(Información1[[#This Row],[Fecha]]='Ajuste de fechas'!$A$2,"Día actual","Día anterior")</f>
        <v>Día anterior</v>
      </c>
      <c r="C78" s="3" t="s">
        <v>8</v>
      </c>
      <c r="D78" t="s">
        <v>10</v>
      </c>
      <c r="E78" s="3" t="s">
        <v>76</v>
      </c>
      <c r="F78" s="3" t="s">
        <v>21</v>
      </c>
      <c r="G78" s="3" t="s">
        <v>40</v>
      </c>
      <c r="H78" s="3" t="s">
        <v>11</v>
      </c>
      <c r="I78" s="3" t="s">
        <v>12</v>
      </c>
      <c r="J78" s="3" t="s">
        <v>48</v>
      </c>
      <c r="K78" s="3" t="s">
        <v>14</v>
      </c>
      <c r="L78" s="3" t="s">
        <v>50</v>
      </c>
      <c r="M78">
        <v>1</v>
      </c>
    </row>
    <row r="79" spans="1:13" x14ac:dyDescent="0.25">
      <c r="A79" s="2">
        <v>46164</v>
      </c>
      <c r="B79" s="1" t="str">
        <f ca="1">IF(Información1[[#This Row],[Fecha]]='Ajuste de fechas'!$A$2,"Día actual","Día anterior")</f>
        <v>Día anterior</v>
      </c>
      <c r="C79" s="3" t="s">
        <v>8</v>
      </c>
      <c r="D79" t="s">
        <v>10</v>
      </c>
      <c r="E79" s="3" t="s">
        <v>13</v>
      </c>
      <c r="F79" s="3" t="s">
        <v>15</v>
      </c>
      <c r="G79" s="3" t="s">
        <v>40</v>
      </c>
      <c r="H79" s="3" t="s">
        <v>11</v>
      </c>
      <c r="I79" s="3" t="s">
        <v>12</v>
      </c>
      <c r="J79" s="3" t="s">
        <v>48</v>
      </c>
      <c r="K79" s="3" t="s">
        <v>14</v>
      </c>
      <c r="L79" s="3" t="s">
        <v>50</v>
      </c>
      <c r="M79">
        <v>1</v>
      </c>
    </row>
    <row r="80" spans="1:13" x14ac:dyDescent="0.25">
      <c r="A80" s="2">
        <v>46164</v>
      </c>
      <c r="B80" s="1" t="str">
        <f ca="1">IF(Información1[[#This Row],[Fecha]]='Ajuste de fechas'!$A$2,"Día actual","Día anterior")</f>
        <v>Día anterior</v>
      </c>
      <c r="C80" s="3" t="s">
        <v>8</v>
      </c>
      <c r="D80" t="s">
        <v>10</v>
      </c>
      <c r="E80" s="3" t="s">
        <v>16</v>
      </c>
      <c r="F80" s="3" t="s">
        <v>17</v>
      </c>
      <c r="G80" s="3" t="s">
        <v>40</v>
      </c>
      <c r="H80" s="3" t="s">
        <v>11</v>
      </c>
      <c r="I80" s="3" t="s">
        <v>12</v>
      </c>
      <c r="J80" s="3" t="s">
        <v>48</v>
      </c>
      <c r="K80" s="3" t="s">
        <v>14</v>
      </c>
      <c r="L80" s="3" t="s">
        <v>50</v>
      </c>
      <c r="M80">
        <v>1</v>
      </c>
    </row>
    <row r="81" spans="1:13" x14ac:dyDescent="0.25">
      <c r="A81" s="2">
        <v>46164</v>
      </c>
      <c r="B81" s="1" t="str">
        <f ca="1">IF(Información1[[#This Row],[Fecha]]='Ajuste de fechas'!$A$2,"Día actual","Día anterior")</f>
        <v>Día anterior</v>
      </c>
      <c r="C81" s="3" t="s">
        <v>8</v>
      </c>
      <c r="D81" t="s">
        <v>10</v>
      </c>
      <c r="E81" s="3" t="s">
        <v>77</v>
      </c>
      <c r="F81" s="3" t="s">
        <v>6</v>
      </c>
      <c r="G81" s="3" t="s">
        <v>40</v>
      </c>
      <c r="H81" s="3" t="s">
        <v>11</v>
      </c>
      <c r="I81" s="3" t="s">
        <v>12</v>
      </c>
      <c r="J81" s="3" t="s">
        <v>48</v>
      </c>
      <c r="K81" s="3" t="s">
        <v>14</v>
      </c>
      <c r="L81" s="3" t="s">
        <v>50</v>
      </c>
      <c r="M81">
        <v>1</v>
      </c>
    </row>
    <row r="82" spans="1:13" x14ac:dyDescent="0.25">
      <c r="A82" s="2">
        <v>46164</v>
      </c>
      <c r="B82" s="1" t="str">
        <f ca="1">IF(Información1[[#This Row],[Fecha]]='Ajuste de fechas'!$A$2,"Día actual","Día anterior")</f>
        <v>Día anterior</v>
      </c>
      <c r="C82" s="3" t="s">
        <v>28</v>
      </c>
      <c r="D82" t="s">
        <v>31</v>
      </c>
      <c r="E82" s="3" t="s">
        <v>191</v>
      </c>
      <c r="F82" s="3" t="s">
        <v>159</v>
      </c>
      <c r="G82" s="3" t="s">
        <v>192</v>
      </c>
      <c r="H82" s="3" t="s">
        <v>11</v>
      </c>
      <c r="I82" s="3" t="s">
        <v>25</v>
      </c>
      <c r="J82" s="3" t="s">
        <v>48</v>
      </c>
      <c r="K82" s="3" t="s">
        <v>29</v>
      </c>
      <c r="L82" s="3" t="s">
        <v>49</v>
      </c>
      <c r="M82">
        <v>1</v>
      </c>
    </row>
    <row r="83" spans="1:13" x14ac:dyDescent="0.25">
      <c r="A83" s="2">
        <v>46164</v>
      </c>
      <c r="B83" s="1" t="str">
        <f ca="1">IF(Información1[[#This Row],[Fecha]]='Ajuste de fechas'!$A$2,"Día actual","Día anterior")</f>
        <v>Día anterior</v>
      </c>
      <c r="C83" s="3" t="s">
        <v>8</v>
      </c>
      <c r="D83" t="s">
        <v>10</v>
      </c>
      <c r="E83" s="3" t="s">
        <v>193</v>
      </c>
      <c r="F83" s="3" t="s">
        <v>23</v>
      </c>
      <c r="G83" s="3" t="s">
        <v>176</v>
      </c>
      <c r="H83" s="3" t="s">
        <v>11</v>
      </c>
      <c r="I83" s="3" t="s">
        <v>7</v>
      </c>
      <c r="J83" s="3" t="s">
        <v>48</v>
      </c>
      <c r="K83" s="3" t="s">
        <v>14</v>
      </c>
      <c r="L83" s="3" t="s">
        <v>49</v>
      </c>
      <c r="M83">
        <v>1</v>
      </c>
    </row>
    <row r="84" spans="1:13" x14ac:dyDescent="0.25">
      <c r="A84" s="2">
        <v>46164</v>
      </c>
      <c r="B84" s="1" t="str">
        <f ca="1">IF(Información1[[#This Row],[Fecha]]='Ajuste de fechas'!$A$2,"Día actual","Día anterior")</f>
        <v>Día anterior</v>
      </c>
      <c r="C84" s="3" t="s">
        <v>8</v>
      </c>
      <c r="D84" t="s">
        <v>10</v>
      </c>
      <c r="E84" s="3" t="s">
        <v>194</v>
      </c>
      <c r="F84" s="3" t="s">
        <v>15</v>
      </c>
      <c r="G84" s="3" t="s">
        <v>169</v>
      </c>
      <c r="H84" s="3" t="s">
        <v>11</v>
      </c>
      <c r="I84" s="3" t="s">
        <v>7</v>
      </c>
      <c r="J84" s="3" t="s">
        <v>48</v>
      </c>
      <c r="K84" s="3" t="s">
        <v>14</v>
      </c>
      <c r="L84" s="3" t="s">
        <v>51</v>
      </c>
      <c r="M84">
        <v>1</v>
      </c>
    </row>
    <row r="85" spans="1:13" x14ac:dyDescent="0.25">
      <c r="A85" s="2">
        <v>46164</v>
      </c>
      <c r="B85" s="1" t="str">
        <f ca="1">IF(Información1[[#This Row],[Fecha]]='Ajuste de fechas'!$A$2,"Día actual","Día anterior")</f>
        <v>Día anterior</v>
      </c>
      <c r="C85" s="3" t="s">
        <v>28</v>
      </c>
      <c r="D85" t="s">
        <v>30</v>
      </c>
      <c r="E85" s="3" t="s">
        <v>195</v>
      </c>
      <c r="F85" s="3" t="s">
        <v>166</v>
      </c>
      <c r="G85" s="3" t="s">
        <v>167</v>
      </c>
      <c r="H85" s="3" t="s">
        <v>11</v>
      </c>
      <c r="I85" s="3" t="s">
        <v>7</v>
      </c>
      <c r="J85" s="3" t="s">
        <v>48</v>
      </c>
      <c r="K85" s="3" t="s">
        <v>41</v>
      </c>
      <c r="L85" s="3" t="s">
        <v>51</v>
      </c>
      <c r="M85">
        <v>1</v>
      </c>
    </row>
    <row r="86" spans="1:13" x14ac:dyDescent="0.25">
      <c r="A86" s="2">
        <v>46164</v>
      </c>
      <c r="B86" s="1" t="str">
        <f ca="1">IF(Información1[[#This Row],[Fecha]]='Ajuste de fechas'!$A$2,"Día actual","Día anterior")</f>
        <v>Día anterior</v>
      </c>
      <c r="C86" s="3" t="s">
        <v>28</v>
      </c>
      <c r="D86" t="s">
        <v>30</v>
      </c>
      <c r="E86" s="3" t="s">
        <v>196</v>
      </c>
      <c r="F86" s="3" t="s">
        <v>58</v>
      </c>
      <c r="G86" s="3" t="s">
        <v>86</v>
      </c>
      <c r="H86" s="3" t="s">
        <v>11</v>
      </c>
      <c r="I86" s="3" t="s">
        <v>7</v>
      </c>
      <c r="J86" s="3" t="s">
        <v>48</v>
      </c>
      <c r="K86" s="3" t="s">
        <v>41</v>
      </c>
      <c r="L86" s="3" t="s">
        <v>49</v>
      </c>
      <c r="M86">
        <v>1</v>
      </c>
    </row>
    <row r="87" spans="1:13" x14ac:dyDescent="0.25">
      <c r="A87" s="2">
        <v>46164</v>
      </c>
      <c r="B87" s="1" t="str">
        <f ca="1">IF(Información1[[#This Row],[Fecha]]='Ajuste de fechas'!$A$2,"Día actual","Día anterior")</f>
        <v>Día anterior</v>
      </c>
      <c r="C87" s="3" t="s">
        <v>28</v>
      </c>
      <c r="D87" t="s">
        <v>30</v>
      </c>
      <c r="E87" s="3" t="s">
        <v>197</v>
      </c>
      <c r="F87" s="3" t="s">
        <v>26</v>
      </c>
      <c r="G87" s="3" t="s">
        <v>74</v>
      </c>
      <c r="H87" s="3" t="s">
        <v>11</v>
      </c>
      <c r="I87" s="3" t="s">
        <v>7</v>
      </c>
      <c r="J87" s="3" t="s">
        <v>48</v>
      </c>
      <c r="K87" s="3" t="s">
        <v>41</v>
      </c>
      <c r="L87" s="3" t="s">
        <v>49</v>
      </c>
      <c r="M87">
        <v>1</v>
      </c>
    </row>
    <row r="88" spans="1:13" x14ac:dyDescent="0.25">
      <c r="A88" s="2">
        <v>46164</v>
      </c>
      <c r="B88" s="1" t="str">
        <f ca="1">IF(Información1[[#This Row],[Fecha]]='Ajuste de fechas'!$A$2,"Día actual","Día anterior")</f>
        <v>Día anterior</v>
      </c>
      <c r="C88" s="3" t="s">
        <v>28</v>
      </c>
      <c r="D88" t="s">
        <v>30</v>
      </c>
      <c r="E88" s="3" t="s">
        <v>198</v>
      </c>
      <c r="F88" s="3" t="s">
        <v>36</v>
      </c>
      <c r="G88" s="3" t="s">
        <v>199</v>
      </c>
      <c r="H88" s="3" t="s">
        <v>11</v>
      </c>
      <c r="I88" s="3" t="s">
        <v>12</v>
      </c>
      <c r="J88" s="3" t="s">
        <v>48</v>
      </c>
      <c r="K88" s="3" t="s">
        <v>41</v>
      </c>
      <c r="L88" s="3" t="s">
        <v>73</v>
      </c>
      <c r="M88">
        <v>1</v>
      </c>
    </row>
    <row r="89" spans="1:13" x14ac:dyDescent="0.25">
      <c r="A89" s="2">
        <v>46164</v>
      </c>
      <c r="B89" s="1" t="str">
        <f ca="1">IF(Información1[[#This Row],[Fecha]]='Ajuste de fechas'!$A$2,"Día actual","Día anterior")</f>
        <v>Día anterior</v>
      </c>
      <c r="C89" s="3" t="s">
        <v>200</v>
      </c>
      <c r="D89" t="s">
        <v>201</v>
      </c>
      <c r="E89" s="3" t="s">
        <v>202</v>
      </c>
      <c r="F89" s="3" t="s">
        <v>36</v>
      </c>
      <c r="G89" s="3" t="s">
        <v>199</v>
      </c>
      <c r="H89" s="3" t="s">
        <v>11</v>
      </c>
      <c r="I89" s="3" t="s">
        <v>12</v>
      </c>
      <c r="J89" s="3" t="s">
        <v>48</v>
      </c>
      <c r="K89" s="3" t="s">
        <v>203</v>
      </c>
      <c r="L89" s="3" t="s">
        <v>73</v>
      </c>
      <c r="M89">
        <v>1</v>
      </c>
    </row>
    <row r="90" spans="1:13" x14ac:dyDescent="0.25">
      <c r="A90" s="2">
        <v>46164</v>
      </c>
      <c r="B90" s="1" t="str">
        <f ca="1">IF(Información1[[#This Row],[Fecha]]='Ajuste de fechas'!$A$2,"Día actual","Día anterior")</f>
        <v>Día anterior</v>
      </c>
      <c r="C90" s="3" t="s">
        <v>91</v>
      </c>
      <c r="D90" t="s">
        <v>92</v>
      </c>
      <c r="E90" s="3" t="s">
        <v>202</v>
      </c>
      <c r="F90" s="3" t="s">
        <v>36</v>
      </c>
      <c r="G90" s="3" t="s">
        <v>199</v>
      </c>
      <c r="H90" s="3" t="s">
        <v>11</v>
      </c>
      <c r="I90" s="3" t="s">
        <v>12</v>
      </c>
      <c r="J90" s="3" t="s">
        <v>48</v>
      </c>
      <c r="K90" s="3" t="s">
        <v>93</v>
      </c>
      <c r="L90" s="3" t="s">
        <v>73</v>
      </c>
      <c r="M90">
        <v>1</v>
      </c>
    </row>
    <row r="91" spans="1:13" x14ac:dyDescent="0.25">
      <c r="A91" s="2">
        <v>46164</v>
      </c>
      <c r="B91" s="1" t="str">
        <f ca="1">IF(Información1[[#This Row],[Fecha]]='Ajuste de fechas'!$A$2,"Día actual","Día anterior")</f>
        <v>Día anterior</v>
      </c>
      <c r="C91" s="3" t="s">
        <v>28</v>
      </c>
      <c r="D91" t="s">
        <v>30</v>
      </c>
      <c r="E91" s="3" t="s">
        <v>204</v>
      </c>
      <c r="F91" s="3" t="s">
        <v>26</v>
      </c>
      <c r="G91" s="3" t="s">
        <v>69</v>
      </c>
      <c r="H91" s="3" t="s">
        <v>11</v>
      </c>
      <c r="I91" s="3" t="s">
        <v>7</v>
      </c>
      <c r="J91" s="3" t="s">
        <v>48</v>
      </c>
      <c r="K91" s="3" t="s">
        <v>41</v>
      </c>
      <c r="L91" s="3" t="s">
        <v>49</v>
      </c>
      <c r="M91">
        <v>1</v>
      </c>
    </row>
    <row r="92" spans="1:13" x14ac:dyDescent="0.25">
      <c r="A92" s="2">
        <v>46164</v>
      </c>
      <c r="B92" s="1" t="str">
        <f ca="1">IF(Información1[[#This Row],[Fecha]]='Ajuste de fechas'!$A$2,"Día actual","Día anterior")</f>
        <v>Día anterior</v>
      </c>
      <c r="C92" s="3" t="s">
        <v>28</v>
      </c>
      <c r="D92" t="s">
        <v>31</v>
      </c>
      <c r="E92" s="3" t="s">
        <v>207</v>
      </c>
      <c r="F92" s="3" t="s">
        <v>26</v>
      </c>
      <c r="G92" s="3" t="s">
        <v>95</v>
      </c>
      <c r="H92" s="3" t="s">
        <v>11</v>
      </c>
      <c r="I92" s="3" t="s">
        <v>7</v>
      </c>
      <c r="J92" s="3" t="s">
        <v>48</v>
      </c>
      <c r="K92" s="3" t="s">
        <v>29</v>
      </c>
      <c r="L92" s="3" t="s">
        <v>49</v>
      </c>
      <c r="M92">
        <v>1</v>
      </c>
    </row>
    <row r="93" spans="1:13" x14ac:dyDescent="0.25">
      <c r="A93" s="2">
        <v>46164</v>
      </c>
      <c r="B93" s="1" t="str">
        <f ca="1">IF(Información1[[#This Row],[Fecha]]='Ajuste de fechas'!$A$2,"Día actual","Día anterior")</f>
        <v>Día anterior</v>
      </c>
      <c r="C93" s="3" t="s">
        <v>8</v>
      </c>
      <c r="D93" t="s">
        <v>10</v>
      </c>
      <c r="E93" s="3" t="s">
        <v>208</v>
      </c>
      <c r="F93" s="3" t="s">
        <v>17</v>
      </c>
      <c r="G93" s="3" t="s">
        <v>209</v>
      </c>
      <c r="H93" s="3" t="s">
        <v>11</v>
      </c>
      <c r="I93" s="3" t="s">
        <v>25</v>
      </c>
      <c r="J93" s="3" t="s">
        <v>48</v>
      </c>
      <c r="K93" s="3" t="s">
        <v>9</v>
      </c>
      <c r="L93" s="3" t="s">
        <v>50</v>
      </c>
      <c r="M93">
        <v>1</v>
      </c>
    </row>
    <row r="94" spans="1:13" x14ac:dyDescent="0.25">
      <c r="A94" s="2">
        <v>46164</v>
      </c>
      <c r="B94" s="1" t="str">
        <f ca="1">IF(Información1[[#This Row],[Fecha]]='Ajuste de fechas'!$A$2,"Día actual","Día anterior")</f>
        <v>Día anterior</v>
      </c>
      <c r="C94" s="3" t="s">
        <v>8</v>
      </c>
      <c r="D94" t="s">
        <v>10</v>
      </c>
      <c r="E94" s="3" t="s">
        <v>210</v>
      </c>
      <c r="F94" s="3" t="s">
        <v>17</v>
      </c>
      <c r="G94" s="3" t="s">
        <v>209</v>
      </c>
      <c r="H94" s="3" t="s">
        <v>11</v>
      </c>
      <c r="I94" s="3" t="s">
        <v>25</v>
      </c>
      <c r="J94" s="3" t="s">
        <v>48</v>
      </c>
      <c r="K94" s="3" t="s">
        <v>9</v>
      </c>
      <c r="L94" s="3" t="s">
        <v>50</v>
      </c>
      <c r="M94">
        <v>1</v>
      </c>
    </row>
    <row r="95" spans="1:13" x14ac:dyDescent="0.25">
      <c r="A95" s="2">
        <v>46164</v>
      </c>
      <c r="B95" s="1" t="str">
        <f ca="1">IF(Información1[[#This Row],[Fecha]]='Ajuste de fechas'!$A$2,"Día actual","Día anterior")</f>
        <v>Día anterior</v>
      </c>
      <c r="C95" s="3" t="s">
        <v>28</v>
      </c>
      <c r="D95" t="s">
        <v>30</v>
      </c>
      <c r="E95" s="3" t="s">
        <v>211</v>
      </c>
      <c r="F95" s="3" t="s">
        <v>26</v>
      </c>
      <c r="G95" s="3" t="s">
        <v>72</v>
      </c>
      <c r="H95" s="3" t="s">
        <v>11</v>
      </c>
      <c r="I95" s="3" t="s">
        <v>7</v>
      </c>
      <c r="J95" s="3" t="s">
        <v>48</v>
      </c>
      <c r="K95" s="3" t="s">
        <v>41</v>
      </c>
      <c r="L95" s="3" t="s">
        <v>49</v>
      </c>
      <c r="M95">
        <v>1</v>
      </c>
    </row>
    <row r="96" spans="1:13" x14ac:dyDescent="0.25">
      <c r="A96" s="2">
        <v>46164</v>
      </c>
      <c r="B96" s="1" t="str">
        <f ca="1">IF(Información1[[#This Row],[Fecha]]='Ajuste de fechas'!$A$2,"Día actual","Día anterior")</f>
        <v>Día anterior</v>
      </c>
      <c r="C96" s="3" t="s">
        <v>28</v>
      </c>
      <c r="D96" t="s">
        <v>31</v>
      </c>
      <c r="E96" s="3" t="s">
        <v>212</v>
      </c>
      <c r="F96" s="3" t="s">
        <v>26</v>
      </c>
      <c r="G96" s="3" t="s">
        <v>72</v>
      </c>
      <c r="H96" s="3" t="s">
        <v>11</v>
      </c>
      <c r="I96" s="3" t="s">
        <v>7</v>
      </c>
      <c r="J96" s="3" t="s">
        <v>48</v>
      </c>
      <c r="K96" s="3" t="s">
        <v>29</v>
      </c>
      <c r="L96" s="3" t="s">
        <v>49</v>
      </c>
      <c r="M96">
        <v>1</v>
      </c>
    </row>
    <row r="97" spans="1:13" x14ac:dyDescent="0.25">
      <c r="A97" s="2">
        <v>46164</v>
      </c>
      <c r="B97" s="1" t="str">
        <f ca="1">IF(Información1[[#This Row],[Fecha]]='Ajuste de fechas'!$A$2,"Día actual","Día anterior")</f>
        <v>Día anterior</v>
      </c>
      <c r="C97" s="3" t="s">
        <v>28</v>
      </c>
      <c r="D97" t="s">
        <v>31</v>
      </c>
      <c r="E97" s="3" t="s">
        <v>213</v>
      </c>
      <c r="F97" s="3" t="s">
        <v>159</v>
      </c>
      <c r="G97" s="3" t="s">
        <v>72</v>
      </c>
      <c r="H97" s="3" t="s">
        <v>11</v>
      </c>
      <c r="I97" s="3" t="s">
        <v>7</v>
      </c>
      <c r="J97" s="3" t="s">
        <v>48</v>
      </c>
      <c r="K97" s="3" t="s">
        <v>29</v>
      </c>
      <c r="L97" s="3" t="s">
        <v>50</v>
      </c>
      <c r="M97">
        <v>1</v>
      </c>
    </row>
    <row r="98" spans="1:13" x14ac:dyDescent="0.25">
      <c r="A98" s="2">
        <v>46164</v>
      </c>
      <c r="B98" s="1" t="str">
        <f ca="1">IF(Información1[[#This Row],[Fecha]]='Ajuste de fechas'!$A$2,"Día actual","Día anterior")</f>
        <v>Día anterior</v>
      </c>
      <c r="C98" s="3" t="s">
        <v>28</v>
      </c>
      <c r="D98" t="s">
        <v>31</v>
      </c>
      <c r="E98" s="3" t="s">
        <v>207</v>
      </c>
      <c r="F98" s="3" t="s">
        <v>166</v>
      </c>
      <c r="G98" s="3" t="s">
        <v>95</v>
      </c>
      <c r="H98" s="3" t="s">
        <v>11</v>
      </c>
      <c r="I98" s="3" t="s">
        <v>7</v>
      </c>
      <c r="J98" s="3" t="s">
        <v>48</v>
      </c>
      <c r="K98" s="3" t="s">
        <v>29</v>
      </c>
      <c r="L98" s="3" t="s">
        <v>49</v>
      </c>
      <c r="M98">
        <v>1</v>
      </c>
    </row>
    <row r="99" spans="1:13" x14ac:dyDescent="0.25">
      <c r="A99" s="2">
        <v>46164</v>
      </c>
      <c r="B99" s="1" t="str">
        <f ca="1">IF(Información1[[#This Row],[Fecha]]='Ajuste de fechas'!$A$2,"Día actual","Día anterior")</f>
        <v>Día anterior</v>
      </c>
      <c r="C99" s="3" t="s">
        <v>34</v>
      </c>
      <c r="D99" t="s">
        <v>35</v>
      </c>
      <c r="E99" s="3" t="s">
        <v>94</v>
      </c>
      <c r="F99" s="3" t="s">
        <v>166</v>
      </c>
      <c r="G99" s="3" t="s">
        <v>95</v>
      </c>
      <c r="H99" s="3" t="s">
        <v>32</v>
      </c>
      <c r="I99" s="3" t="s">
        <v>7</v>
      </c>
      <c r="J99" s="3" t="s">
        <v>48</v>
      </c>
      <c r="K99" s="3" t="s">
        <v>27</v>
      </c>
      <c r="L99" s="3" t="s">
        <v>51</v>
      </c>
      <c r="M99">
        <v>1</v>
      </c>
    </row>
    <row r="100" spans="1:13" x14ac:dyDescent="0.25">
      <c r="A100" s="2">
        <v>46164</v>
      </c>
      <c r="B100" s="1" t="str">
        <f ca="1">IF(Información1[[#This Row],[Fecha]]='Ajuste de fechas'!$A$2,"Día actual","Día anterior")</f>
        <v>Día anterior</v>
      </c>
      <c r="C100" s="3" t="s">
        <v>37</v>
      </c>
      <c r="D100" t="s">
        <v>38</v>
      </c>
      <c r="E100" s="3" t="s">
        <v>141</v>
      </c>
      <c r="F100" s="3" t="s">
        <v>166</v>
      </c>
      <c r="G100" s="3" t="s">
        <v>95</v>
      </c>
      <c r="H100" s="3" t="s">
        <v>11</v>
      </c>
      <c r="I100" s="3" t="s">
        <v>7</v>
      </c>
      <c r="J100" s="3" t="s">
        <v>48</v>
      </c>
      <c r="K100" s="3" t="s">
        <v>39</v>
      </c>
      <c r="L100" s="3" t="s">
        <v>49</v>
      </c>
      <c r="M100">
        <v>1</v>
      </c>
    </row>
    <row r="101" spans="1:13" x14ac:dyDescent="0.25">
      <c r="A101" s="2">
        <v>46167</v>
      </c>
      <c r="B101" s="1" t="str">
        <f ca="1">IF(Información1[[#This Row],[Fecha]]='Ajuste de fechas'!$A$2,"Día actual","Día anterior")</f>
        <v>Día actual</v>
      </c>
      <c r="C101" s="3" t="s">
        <v>62</v>
      </c>
      <c r="D101" t="s">
        <v>63</v>
      </c>
      <c r="E101" s="3" t="s">
        <v>222</v>
      </c>
      <c r="F101" s="3" t="s">
        <v>223</v>
      </c>
      <c r="G101" s="3" t="s">
        <v>224</v>
      </c>
      <c r="H101" s="3" t="s">
        <v>11</v>
      </c>
      <c r="I101" s="3" t="s">
        <v>7</v>
      </c>
      <c r="J101" s="3" t="s">
        <v>48</v>
      </c>
      <c r="K101" s="3" t="s">
        <v>64</v>
      </c>
      <c r="L101" s="3" t="s">
        <v>51</v>
      </c>
      <c r="M101">
        <v>1</v>
      </c>
    </row>
    <row r="102" spans="1:13" x14ac:dyDescent="0.25">
      <c r="A102" s="2">
        <v>46167</v>
      </c>
      <c r="B102" s="1" t="str">
        <f ca="1">IF(Información1[[#This Row],[Fecha]]='Ajuste de fechas'!$A$2,"Día actual","Día anterior")</f>
        <v>Día actual</v>
      </c>
      <c r="C102" s="3" t="s">
        <v>65</v>
      </c>
      <c r="D102" t="s">
        <v>66</v>
      </c>
      <c r="E102" s="3" t="s">
        <v>225</v>
      </c>
      <c r="F102" s="3" t="s">
        <v>58</v>
      </c>
      <c r="G102" s="3" t="s">
        <v>226</v>
      </c>
      <c r="H102" s="3" t="s">
        <v>11</v>
      </c>
      <c r="I102" s="3" t="s">
        <v>7</v>
      </c>
      <c r="J102" s="3" t="s">
        <v>48</v>
      </c>
      <c r="K102" s="3" t="s">
        <v>67</v>
      </c>
      <c r="L102" s="3" t="s">
        <v>51</v>
      </c>
      <c r="M102">
        <v>1</v>
      </c>
    </row>
    <row r="103" spans="1:13" x14ac:dyDescent="0.25">
      <c r="A103" s="2">
        <v>46167</v>
      </c>
      <c r="B103" s="1" t="str">
        <f ca="1">IF(Información1[[#This Row],[Fecha]]='Ajuste de fechas'!$A$2,"Día actual","Día anterior")</f>
        <v>Día actual</v>
      </c>
      <c r="C103" s="3" t="s">
        <v>65</v>
      </c>
      <c r="D103" t="s">
        <v>66</v>
      </c>
      <c r="E103" s="3" t="s">
        <v>227</v>
      </c>
      <c r="F103" s="3" t="s">
        <v>150</v>
      </c>
      <c r="G103" s="3" t="s">
        <v>152</v>
      </c>
      <c r="H103" s="3" t="s">
        <v>11</v>
      </c>
      <c r="I103" s="3" t="s">
        <v>7</v>
      </c>
      <c r="J103" s="3" t="s">
        <v>48</v>
      </c>
      <c r="K103" s="3" t="s">
        <v>67</v>
      </c>
      <c r="L103" s="3" t="s">
        <v>51</v>
      </c>
      <c r="M103">
        <v>1</v>
      </c>
    </row>
    <row r="104" spans="1:13" x14ac:dyDescent="0.25">
      <c r="A104" s="2">
        <v>46167</v>
      </c>
      <c r="B104" s="1" t="str">
        <f ca="1">IF(Información1[[#This Row],[Fecha]]='Ajuste de fechas'!$A$2,"Día actual","Día anterior")</f>
        <v>Día actual</v>
      </c>
      <c r="C104" s="3" t="s">
        <v>65</v>
      </c>
      <c r="D104" t="s">
        <v>66</v>
      </c>
      <c r="E104" s="3" t="s">
        <v>222</v>
      </c>
      <c r="F104" s="3" t="s">
        <v>223</v>
      </c>
      <c r="G104" s="3" t="s">
        <v>224</v>
      </c>
      <c r="H104" s="3" t="s">
        <v>11</v>
      </c>
      <c r="I104" s="3" t="s">
        <v>7</v>
      </c>
      <c r="J104" s="3" t="s">
        <v>48</v>
      </c>
      <c r="K104" s="3" t="s">
        <v>67</v>
      </c>
      <c r="L104" s="3" t="s">
        <v>51</v>
      </c>
      <c r="M104">
        <v>1</v>
      </c>
    </row>
    <row r="105" spans="1:13" x14ac:dyDescent="0.25">
      <c r="A105" s="2">
        <v>46167</v>
      </c>
      <c r="B105" s="1" t="str">
        <f ca="1">IF(Información1[[#This Row],[Fecha]]='Ajuste de fechas'!$A$2,"Día actual","Día anterior")</f>
        <v>Día actual</v>
      </c>
      <c r="C105" s="3" t="s">
        <v>65</v>
      </c>
      <c r="D105" t="s">
        <v>66</v>
      </c>
      <c r="E105" s="3" t="s">
        <v>228</v>
      </c>
      <c r="F105" s="3" t="s">
        <v>84</v>
      </c>
      <c r="G105" s="3" t="s">
        <v>229</v>
      </c>
      <c r="H105" s="3" t="s">
        <v>11</v>
      </c>
      <c r="I105" s="3" t="s">
        <v>7</v>
      </c>
      <c r="J105" s="3" t="s">
        <v>48</v>
      </c>
      <c r="K105" s="3" t="s">
        <v>67</v>
      </c>
      <c r="L105" s="3" t="s">
        <v>51</v>
      </c>
      <c r="M105">
        <v>1</v>
      </c>
    </row>
    <row r="106" spans="1:13" x14ac:dyDescent="0.25">
      <c r="A106" s="2">
        <v>46167</v>
      </c>
      <c r="B106" s="1" t="str">
        <f ca="1">IF(Información1[[#This Row],[Fecha]]='Ajuste de fechas'!$A$2,"Día actual","Día anterior")</f>
        <v>Día actual</v>
      </c>
      <c r="C106" s="3" t="s">
        <v>65</v>
      </c>
      <c r="D106" t="s">
        <v>66</v>
      </c>
      <c r="E106" s="3" t="s">
        <v>230</v>
      </c>
      <c r="F106" s="3" t="s">
        <v>23</v>
      </c>
      <c r="G106" s="3" t="s">
        <v>231</v>
      </c>
      <c r="H106" s="3" t="s">
        <v>11</v>
      </c>
      <c r="I106" s="3" t="s">
        <v>7</v>
      </c>
      <c r="J106" s="3" t="s">
        <v>48</v>
      </c>
      <c r="K106" s="3" t="s">
        <v>67</v>
      </c>
      <c r="L106" s="3" t="s">
        <v>51</v>
      </c>
      <c r="M106">
        <v>1</v>
      </c>
    </row>
    <row r="107" spans="1:13" x14ac:dyDescent="0.25">
      <c r="A107" s="2">
        <v>46167</v>
      </c>
      <c r="B107" s="1" t="str">
        <f ca="1">IF(Información1[[#This Row],[Fecha]]='Ajuste de fechas'!$A$2,"Día actual","Día anterior")</f>
        <v>Día actual</v>
      </c>
      <c r="C107" s="3" t="s">
        <v>65</v>
      </c>
      <c r="D107" t="s">
        <v>66</v>
      </c>
      <c r="E107" s="3" t="s">
        <v>232</v>
      </c>
      <c r="F107" s="3" t="s">
        <v>70</v>
      </c>
      <c r="G107" s="3" t="s">
        <v>72</v>
      </c>
      <c r="H107" s="3" t="s">
        <v>11</v>
      </c>
      <c r="I107" s="3" t="s">
        <v>7</v>
      </c>
      <c r="J107" s="3" t="s">
        <v>48</v>
      </c>
      <c r="K107" s="3" t="s">
        <v>67</v>
      </c>
      <c r="L107" s="3" t="s">
        <v>51</v>
      </c>
      <c r="M107">
        <v>1</v>
      </c>
    </row>
    <row r="108" spans="1:13" x14ac:dyDescent="0.25">
      <c r="A108" s="2">
        <v>46167</v>
      </c>
      <c r="B108" s="1" t="str">
        <f ca="1">IF(Información1[[#This Row],[Fecha]]='Ajuste de fechas'!$A$2,"Día actual","Día anterior")</f>
        <v>Día actual</v>
      </c>
      <c r="C108" s="3" t="s">
        <v>65</v>
      </c>
      <c r="D108" t="s">
        <v>66</v>
      </c>
      <c r="E108" s="3" t="s">
        <v>233</v>
      </c>
      <c r="F108" s="3" t="s">
        <v>234</v>
      </c>
      <c r="G108" s="3" t="s">
        <v>235</v>
      </c>
      <c r="H108" s="3" t="s">
        <v>11</v>
      </c>
      <c r="I108" s="3" t="s">
        <v>7</v>
      </c>
      <c r="J108" s="3" t="s">
        <v>48</v>
      </c>
      <c r="K108" s="3" t="s">
        <v>67</v>
      </c>
      <c r="L108" s="3" t="s">
        <v>51</v>
      </c>
      <c r="M108">
        <v>1</v>
      </c>
    </row>
    <row r="109" spans="1:13" x14ac:dyDescent="0.25">
      <c r="A109" s="2">
        <v>46167</v>
      </c>
      <c r="B109" s="1" t="str">
        <f ca="1">IF(Información1[[#This Row],[Fecha]]='Ajuste de fechas'!$A$2,"Día actual","Día anterior")</f>
        <v>Día actual</v>
      </c>
      <c r="C109" s="3" t="s">
        <v>65</v>
      </c>
      <c r="D109" t="s">
        <v>66</v>
      </c>
      <c r="E109" s="3" t="s">
        <v>236</v>
      </c>
      <c r="F109" s="3" t="s">
        <v>17</v>
      </c>
      <c r="G109" s="3" t="s">
        <v>237</v>
      </c>
      <c r="H109" s="3" t="s">
        <v>11</v>
      </c>
      <c r="I109" s="3" t="s">
        <v>7</v>
      </c>
      <c r="J109" s="3" t="s">
        <v>48</v>
      </c>
      <c r="K109" s="3" t="s">
        <v>67</v>
      </c>
      <c r="L109" s="3" t="s">
        <v>51</v>
      </c>
      <c r="M109">
        <v>1</v>
      </c>
    </row>
    <row r="110" spans="1:13" x14ac:dyDescent="0.25">
      <c r="A110" s="2">
        <v>46167</v>
      </c>
      <c r="B110" s="1" t="str">
        <f ca="1">IF(Información1[[#This Row],[Fecha]]='Ajuste de fechas'!$A$2,"Día actual","Día anterior")</f>
        <v>Día actual</v>
      </c>
      <c r="C110" s="3" t="s">
        <v>65</v>
      </c>
      <c r="D110" t="s">
        <v>66</v>
      </c>
      <c r="E110" s="3" t="s">
        <v>238</v>
      </c>
      <c r="F110" s="3" t="s">
        <v>17</v>
      </c>
      <c r="G110" s="3" t="s">
        <v>239</v>
      </c>
      <c r="H110" s="3" t="s">
        <v>11</v>
      </c>
      <c r="I110" s="3" t="s">
        <v>7</v>
      </c>
      <c r="J110" s="3" t="s">
        <v>48</v>
      </c>
      <c r="K110" s="3" t="s">
        <v>67</v>
      </c>
      <c r="L110" s="3" t="s">
        <v>51</v>
      </c>
      <c r="M110">
        <v>1</v>
      </c>
    </row>
    <row r="111" spans="1:13" x14ac:dyDescent="0.25">
      <c r="A111" s="2">
        <v>46167</v>
      </c>
      <c r="B111" s="1" t="str">
        <f ca="1">IF(Información1[[#This Row],[Fecha]]='Ajuste de fechas'!$A$2,"Día actual","Día anterior")</f>
        <v>Día actual</v>
      </c>
      <c r="C111" s="3" t="s">
        <v>65</v>
      </c>
      <c r="D111" t="s">
        <v>66</v>
      </c>
      <c r="E111" s="3" t="s">
        <v>240</v>
      </c>
      <c r="F111" s="3" t="s">
        <v>15</v>
      </c>
      <c r="G111" s="3" t="s">
        <v>241</v>
      </c>
      <c r="H111" s="3" t="s">
        <v>11</v>
      </c>
      <c r="I111" s="3" t="s">
        <v>7</v>
      </c>
      <c r="J111" s="3" t="s">
        <v>48</v>
      </c>
      <c r="K111" s="3" t="s">
        <v>67</v>
      </c>
      <c r="L111" s="3" t="s">
        <v>51</v>
      </c>
      <c r="M111">
        <v>1</v>
      </c>
    </row>
    <row r="112" spans="1:13" x14ac:dyDescent="0.25">
      <c r="A112" s="2">
        <v>46167</v>
      </c>
      <c r="B112" s="1" t="str">
        <f ca="1">IF(Información1[[#This Row],[Fecha]]='Ajuste de fechas'!$A$2,"Día actual","Día anterior")</f>
        <v>Día actual</v>
      </c>
      <c r="C112" s="3" t="s">
        <v>65</v>
      </c>
      <c r="D112" t="s">
        <v>66</v>
      </c>
      <c r="E112" s="3" t="s">
        <v>242</v>
      </c>
      <c r="F112" s="3" t="s">
        <v>23</v>
      </c>
      <c r="G112" s="3" t="s">
        <v>176</v>
      </c>
      <c r="H112" s="3" t="s">
        <v>11</v>
      </c>
      <c r="I112" s="3" t="s">
        <v>7</v>
      </c>
      <c r="J112" s="3" t="s">
        <v>48</v>
      </c>
      <c r="K112" s="3" t="s">
        <v>67</v>
      </c>
      <c r="L112" s="3" t="s">
        <v>51</v>
      </c>
      <c r="M112">
        <v>1</v>
      </c>
    </row>
    <row r="113" spans="1:13" x14ac:dyDescent="0.25">
      <c r="A113" s="2">
        <v>46167</v>
      </c>
      <c r="B113" s="1" t="str">
        <f ca="1">IF(Información1[[#This Row],[Fecha]]='Ajuste de fechas'!$A$2,"Día actual","Día anterior")</f>
        <v>Día actual</v>
      </c>
      <c r="C113" s="3" t="s">
        <v>34</v>
      </c>
      <c r="D113" t="s">
        <v>35</v>
      </c>
      <c r="E113" s="3" t="s">
        <v>243</v>
      </c>
      <c r="F113" s="3" t="s">
        <v>21</v>
      </c>
      <c r="G113" s="3" t="s">
        <v>60</v>
      </c>
      <c r="H113" s="3" t="s">
        <v>11</v>
      </c>
      <c r="I113" s="3" t="s">
        <v>7</v>
      </c>
      <c r="J113" s="3" t="s">
        <v>48</v>
      </c>
      <c r="K113" s="3" t="s">
        <v>27</v>
      </c>
      <c r="L113" s="3" t="s">
        <v>49</v>
      </c>
      <c r="M113">
        <v>1</v>
      </c>
    </row>
    <row r="114" spans="1:13" x14ac:dyDescent="0.25">
      <c r="A114" s="2">
        <v>46167</v>
      </c>
      <c r="B114" s="1" t="str">
        <f ca="1">IF(Información1[[#This Row],[Fecha]]='Ajuste de fechas'!$A$2,"Día actual","Día anterior")</f>
        <v>Día actual</v>
      </c>
      <c r="C114" s="3" t="s">
        <v>34</v>
      </c>
      <c r="D114" t="s">
        <v>35</v>
      </c>
      <c r="E114" s="3" t="s">
        <v>244</v>
      </c>
      <c r="F114" s="3" t="s">
        <v>15</v>
      </c>
      <c r="G114" s="3" t="s">
        <v>241</v>
      </c>
      <c r="H114" s="3" t="s">
        <v>11</v>
      </c>
      <c r="I114" s="3" t="s">
        <v>7</v>
      </c>
      <c r="J114" s="3" t="s">
        <v>48</v>
      </c>
      <c r="K114" s="3" t="s">
        <v>27</v>
      </c>
      <c r="L114" s="3" t="s">
        <v>49</v>
      </c>
      <c r="M114">
        <v>1</v>
      </c>
    </row>
    <row r="115" spans="1:13" x14ac:dyDescent="0.25">
      <c r="A115" s="2">
        <v>46167</v>
      </c>
      <c r="B115" s="1" t="str">
        <f ca="1">IF(Información1[[#This Row],[Fecha]]='Ajuste de fechas'!$A$2,"Día actual","Día anterior")</f>
        <v>Día actual</v>
      </c>
      <c r="C115" s="3" t="s">
        <v>34</v>
      </c>
      <c r="D115" t="s">
        <v>35</v>
      </c>
      <c r="E115" s="3" t="s">
        <v>245</v>
      </c>
      <c r="F115" s="3" t="s">
        <v>26</v>
      </c>
      <c r="G115" s="3" t="s">
        <v>117</v>
      </c>
      <c r="H115" s="3" t="s">
        <v>11</v>
      </c>
      <c r="I115" s="3" t="s">
        <v>7</v>
      </c>
      <c r="J115" s="3" t="s">
        <v>48</v>
      </c>
      <c r="K115" s="3" t="s">
        <v>27</v>
      </c>
      <c r="L115" s="3" t="s">
        <v>49</v>
      </c>
      <c r="M115">
        <v>1</v>
      </c>
    </row>
    <row r="116" spans="1:13" x14ac:dyDescent="0.25">
      <c r="A116" s="2">
        <v>46167</v>
      </c>
      <c r="B116" s="1" t="str">
        <f ca="1">IF(Información1[[#This Row],[Fecha]]='Ajuste de fechas'!$A$2,"Día actual","Día anterior")</f>
        <v>Día actual</v>
      </c>
      <c r="C116" s="3" t="s">
        <v>34</v>
      </c>
      <c r="D116" t="s">
        <v>35</v>
      </c>
      <c r="E116" s="3" t="s">
        <v>246</v>
      </c>
      <c r="F116" s="3" t="s">
        <v>19</v>
      </c>
      <c r="G116" s="3" t="s">
        <v>117</v>
      </c>
      <c r="H116" s="3" t="s">
        <v>11</v>
      </c>
      <c r="I116" s="3" t="s">
        <v>7</v>
      </c>
      <c r="J116" s="3" t="s">
        <v>52</v>
      </c>
      <c r="K116" s="3" t="s">
        <v>27</v>
      </c>
      <c r="L116" s="3" t="s">
        <v>49</v>
      </c>
      <c r="M116">
        <v>1</v>
      </c>
    </row>
    <row r="117" spans="1:13" x14ac:dyDescent="0.25">
      <c r="A117" s="2">
        <v>46167</v>
      </c>
      <c r="B117" s="1" t="str">
        <f ca="1">IF(Información1[[#This Row],[Fecha]]='Ajuste de fechas'!$A$2,"Día actual","Día anterior")</f>
        <v>Día actual</v>
      </c>
      <c r="C117" s="3" t="s">
        <v>62</v>
      </c>
      <c r="D117" t="s">
        <v>68</v>
      </c>
      <c r="E117" s="3" t="s">
        <v>242</v>
      </c>
      <c r="F117" s="3" t="s">
        <v>23</v>
      </c>
      <c r="G117" s="3" t="s">
        <v>176</v>
      </c>
      <c r="H117" s="3" t="s">
        <v>11</v>
      </c>
      <c r="I117" s="3" t="s">
        <v>7</v>
      </c>
      <c r="J117" s="3" t="s">
        <v>48</v>
      </c>
      <c r="K117" s="3" t="s">
        <v>61</v>
      </c>
      <c r="L117" s="3" t="s">
        <v>51</v>
      </c>
      <c r="M117">
        <v>1</v>
      </c>
    </row>
    <row r="118" spans="1:13" x14ac:dyDescent="0.25">
      <c r="A118" s="2">
        <v>46167</v>
      </c>
      <c r="B118" s="1" t="str">
        <f ca="1">IF(Información1[[#This Row],[Fecha]]='Ajuste de fechas'!$A$2,"Día actual","Día anterior")</f>
        <v>Día actual</v>
      </c>
      <c r="C118" s="3" t="s">
        <v>62</v>
      </c>
      <c r="D118" t="s">
        <v>68</v>
      </c>
      <c r="E118" s="3" t="s">
        <v>247</v>
      </c>
      <c r="F118" s="3" t="s">
        <v>15</v>
      </c>
      <c r="G118" s="3" t="s">
        <v>248</v>
      </c>
      <c r="H118" s="3" t="s">
        <v>11</v>
      </c>
      <c r="I118" s="3" t="s">
        <v>7</v>
      </c>
      <c r="J118" s="3" t="s">
        <v>48</v>
      </c>
      <c r="K118" s="3" t="s">
        <v>61</v>
      </c>
      <c r="L118" s="3" t="s">
        <v>51</v>
      </c>
      <c r="M118">
        <v>1</v>
      </c>
    </row>
    <row r="119" spans="1:13" x14ac:dyDescent="0.25">
      <c r="A119" s="2">
        <v>46167</v>
      </c>
      <c r="B119" s="1" t="str">
        <f ca="1">IF(Información1[[#This Row],[Fecha]]='Ajuste de fechas'!$A$2,"Día actual","Día anterior")</f>
        <v>Día actual</v>
      </c>
      <c r="C119" s="3" t="s">
        <v>62</v>
      </c>
      <c r="D119" t="s">
        <v>68</v>
      </c>
      <c r="E119" s="3" t="s">
        <v>249</v>
      </c>
      <c r="F119" s="3" t="s">
        <v>147</v>
      </c>
      <c r="G119" s="3" t="s">
        <v>250</v>
      </c>
      <c r="H119" s="3" t="s">
        <v>11</v>
      </c>
      <c r="I119" s="3" t="s">
        <v>7</v>
      </c>
      <c r="J119" s="3" t="s">
        <v>48</v>
      </c>
      <c r="K119" s="3" t="s">
        <v>61</v>
      </c>
      <c r="L119" s="3" t="s">
        <v>49</v>
      </c>
      <c r="M119">
        <v>1</v>
      </c>
    </row>
    <row r="120" spans="1:13" x14ac:dyDescent="0.25">
      <c r="A120" s="2">
        <v>46167</v>
      </c>
      <c r="B120" s="1" t="str">
        <f ca="1">IF(Información1[[#This Row],[Fecha]]='Ajuste de fechas'!$A$2,"Día actual","Día anterior")</f>
        <v>Día actual</v>
      </c>
      <c r="C120" s="3" t="s">
        <v>62</v>
      </c>
      <c r="D120" t="s">
        <v>68</v>
      </c>
      <c r="E120" s="3" t="s">
        <v>251</v>
      </c>
      <c r="F120" s="3" t="s">
        <v>22</v>
      </c>
      <c r="G120" s="3" t="s">
        <v>250</v>
      </c>
      <c r="H120" s="3" t="s">
        <v>11</v>
      </c>
      <c r="I120" s="3" t="s">
        <v>7</v>
      </c>
      <c r="J120" s="3" t="s">
        <v>53</v>
      </c>
      <c r="K120" s="3" t="s">
        <v>61</v>
      </c>
      <c r="L120" s="3" t="s">
        <v>49</v>
      </c>
      <c r="M120">
        <v>1</v>
      </c>
    </row>
    <row r="121" spans="1:13" x14ac:dyDescent="0.25">
      <c r="A121" s="2">
        <v>46167</v>
      </c>
      <c r="B121" s="1" t="str">
        <f ca="1">IF(Información1[[#This Row],[Fecha]]='Ajuste de fechas'!$A$2,"Día actual","Día anterior")</f>
        <v>Día actual</v>
      </c>
      <c r="C121" s="3" t="s">
        <v>62</v>
      </c>
      <c r="D121" t="s">
        <v>68</v>
      </c>
      <c r="E121" s="3" t="s">
        <v>252</v>
      </c>
      <c r="F121" s="3" t="s">
        <v>79</v>
      </c>
      <c r="G121" s="3" t="s">
        <v>69</v>
      </c>
      <c r="H121" s="3" t="s">
        <v>11</v>
      </c>
      <c r="I121" s="3" t="s">
        <v>7</v>
      </c>
      <c r="J121" s="3" t="s">
        <v>48</v>
      </c>
      <c r="K121" s="3" t="s">
        <v>61</v>
      </c>
      <c r="L121" s="3" t="s">
        <v>49</v>
      </c>
      <c r="M121">
        <v>1</v>
      </c>
    </row>
    <row r="122" spans="1:13" x14ac:dyDescent="0.25">
      <c r="A122" s="2">
        <v>46167</v>
      </c>
      <c r="B122" s="1" t="str">
        <f ca="1">IF(Información1[[#This Row],[Fecha]]='Ajuste de fechas'!$A$2,"Día actual","Día anterior")</f>
        <v>Día actual</v>
      </c>
      <c r="C122" s="3" t="s">
        <v>62</v>
      </c>
      <c r="D122" t="s">
        <v>68</v>
      </c>
      <c r="E122" s="3" t="s">
        <v>253</v>
      </c>
      <c r="F122" s="3" t="s">
        <v>6</v>
      </c>
      <c r="G122" s="3" t="s">
        <v>254</v>
      </c>
      <c r="H122" s="3" t="s">
        <v>11</v>
      </c>
      <c r="I122" s="3" t="s">
        <v>7</v>
      </c>
      <c r="J122" s="3" t="s">
        <v>48</v>
      </c>
      <c r="K122" s="3" t="s">
        <v>64</v>
      </c>
      <c r="L122" s="3" t="s">
        <v>49</v>
      </c>
      <c r="M122">
        <v>1</v>
      </c>
    </row>
    <row r="123" spans="1:13" x14ac:dyDescent="0.25">
      <c r="A123" s="2">
        <v>46167</v>
      </c>
      <c r="B123" s="1" t="str">
        <f ca="1">IF(Información1[[#This Row],[Fecha]]='Ajuste de fechas'!$A$2,"Día actual","Día anterior")</f>
        <v>Día actual</v>
      </c>
      <c r="C123" s="3" t="s">
        <v>62</v>
      </c>
      <c r="D123" t="s">
        <v>68</v>
      </c>
      <c r="E123" s="3" t="s">
        <v>255</v>
      </c>
      <c r="F123" s="3" t="s">
        <v>70</v>
      </c>
      <c r="G123" s="3" t="s">
        <v>250</v>
      </c>
      <c r="H123" s="3" t="s">
        <v>11</v>
      </c>
      <c r="I123" s="3" t="s">
        <v>7</v>
      </c>
      <c r="J123" s="3" t="s">
        <v>48</v>
      </c>
      <c r="K123" s="3" t="s">
        <v>61</v>
      </c>
      <c r="L123" s="3" t="s">
        <v>49</v>
      </c>
      <c r="M123">
        <v>1</v>
      </c>
    </row>
    <row r="124" spans="1:13" x14ac:dyDescent="0.25">
      <c r="A124" s="2">
        <v>46167</v>
      </c>
      <c r="B124" s="1" t="str">
        <f ca="1">IF(Información1[[#This Row],[Fecha]]='Ajuste de fechas'!$A$2,"Día actual","Día anterior")</f>
        <v>Día actual</v>
      </c>
      <c r="C124" s="3" t="s">
        <v>62</v>
      </c>
      <c r="D124" t="s">
        <v>68</v>
      </c>
      <c r="E124" s="3" t="s">
        <v>256</v>
      </c>
      <c r="F124" s="3" t="s">
        <v>70</v>
      </c>
      <c r="G124" s="3" t="s">
        <v>250</v>
      </c>
      <c r="H124" s="3" t="s">
        <v>11</v>
      </c>
      <c r="I124" s="3" t="s">
        <v>7</v>
      </c>
      <c r="J124" s="3" t="s">
        <v>48</v>
      </c>
      <c r="K124" s="3" t="s">
        <v>61</v>
      </c>
      <c r="L124" s="3" t="s">
        <v>49</v>
      </c>
      <c r="M124">
        <v>1</v>
      </c>
    </row>
    <row r="125" spans="1:13" x14ac:dyDescent="0.25">
      <c r="A125" s="2">
        <v>46167</v>
      </c>
      <c r="B125" s="1" t="str">
        <f ca="1">IF(Información1[[#This Row],[Fecha]]='Ajuste de fechas'!$A$2,"Día actual","Día anterior")</f>
        <v>Día actual</v>
      </c>
      <c r="C125" s="3" t="s">
        <v>62</v>
      </c>
      <c r="D125" t="s">
        <v>68</v>
      </c>
      <c r="E125" s="3" t="s">
        <v>257</v>
      </c>
      <c r="F125" s="3" t="s">
        <v>70</v>
      </c>
      <c r="G125" s="3" t="s">
        <v>258</v>
      </c>
      <c r="H125" s="3" t="s">
        <v>11</v>
      </c>
      <c r="I125" s="3" t="s">
        <v>7</v>
      </c>
      <c r="J125" s="3" t="s">
        <v>48</v>
      </c>
      <c r="K125" s="3" t="s">
        <v>61</v>
      </c>
      <c r="L125" s="3" t="s">
        <v>49</v>
      </c>
      <c r="M125">
        <v>1</v>
      </c>
    </row>
    <row r="126" spans="1:13" x14ac:dyDescent="0.25">
      <c r="A126" s="2">
        <v>46167</v>
      </c>
      <c r="B126" s="1" t="str">
        <f ca="1">IF(Información1[[#This Row],[Fecha]]='Ajuste de fechas'!$A$2,"Día actual","Día anterior")</f>
        <v>Día actual</v>
      </c>
      <c r="C126" s="3" t="s">
        <v>28</v>
      </c>
      <c r="D126" t="s">
        <v>31</v>
      </c>
      <c r="E126" s="3" t="s">
        <v>259</v>
      </c>
      <c r="F126" s="3" t="s">
        <v>99</v>
      </c>
      <c r="G126" s="3" t="s">
        <v>86</v>
      </c>
      <c r="H126" s="3" t="s">
        <v>11</v>
      </c>
      <c r="I126" s="3" t="s">
        <v>7</v>
      </c>
      <c r="J126" s="3" t="s">
        <v>24</v>
      </c>
      <c r="K126" s="3" t="s">
        <v>29</v>
      </c>
      <c r="L126" s="3" t="s">
        <v>49</v>
      </c>
      <c r="M126">
        <v>1</v>
      </c>
    </row>
    <row r="127" spans="1:13" x14ac:dyDescent="0.25">
      <c r="A127" s="2">
        <v>46167</v>
      </c>
      <c r="B127" s="1" t="str">
        <f ca="1">IF(Información1[[#This Row],[Fecha]]='Ajuste de fechas'!$A$2,"Día actual","Día anterior")</f>
        <v>Día actual</v>
      </c>
      <c r="C127" s="3" t="s">
        <v>28</v>
      </c>
      <c r="D127" t="s">
        <v>31</v>
      </c>
      <c r="E127" s="3" t="s">
        <v>260</v>
      </c>
      <c r="F127" s="3" t="s">
        <v>99</v>
      </c>
      <c r="G127" s="3" t="s">
        <v>261</v>
      </c>
      <c r="H127" s="3" t="s">
        <v>11</v>
      </c>
      <c r="I127" s="3" t="s">
        <v>7</v>
      </c>
      <c r="J127" s="3" t="s">
        <v>24</v>
      </c>
      <c r="K127" s="3" t="s">
        <v>29</v>
      </c>
      <c r="L127" s="3" t="s">
        <v>49</v>
      </c>
      <c r="M127">
        <v>1</v>
      </c>
    </row>
    <row r="128" spans="1:13" x14ac:dyDescent="0.25">
      <c r="A128" s="2">
        <v>46167</v>
      </c>
      <c r="B128" s="1" t="str">
        <f ca="1">IF(Información1[[#This Row],[Fecha]]='Ajuste de fechas'!$A$2,"Día actual","Día anterior")</f>
        <v>Día actual</v>
      </c>
      <c r="C128" s="3" t="s">
        <v>28</v>
      </c>
      <c r="D128" t="s">
        <v>31</v>
      </c>
      <c r="E128" s="3" t="s">
        <v>262</v>
      </c>
      <c r="F128" s="3" t="s">
        <v>23</v>
      </c>
      <c r="G128" s="3" t="s">
        <v>263</v>
      </c>
      <c r="H128" s="3" t="s">
        <v>11</v>
      </c>
      <c r="I128" s="3" t="s">
        <v>7</v>
      </c>
      <c r="J128" s="3" t="s">
        <v>48</v>
      </c>
      <c r="K128" s="3" t="s">
        <v>29</v>
      </c>
      <c r="L128" s="3" t="s">
        <v>49</v>
      </c>
      <c r="M128">
        <v>1</v>
      </c>
    </row>
    <row r="129" spans="1:13" x14ac:dyDescent="0.25">
      <c r="A129" s="2">
        <v>46167</v>
      </c>
      <c r="B129" s="1" t="str">
        <f ca="1">IF(Información1[[#This Row],[Fecha]]='Ajuste de fechas'!$A$2,"Día actual","Día anterior")</f>
        <v>Día actual</v>
      </c>
      <c r="C129" s="3" t="s">
        <v>28</v>
      </c>
      <c r="D129" t="s">
        <v>31</v>
      </c>
      <c r="E129" s="3" t="s">
        <v>264</v>
      </c>
      <c r="F129" s="3" t="s">
        <v>23</v>
      </c>
      <c r="G129" s="3" t="s">
        <v>263</v>
      </c>
      <c r="H129" s="3" t="s">
        <v>11</v>
      </c>
      <c r="I129" s="3" t="s">
        <v>7</v>
      </c>
      <c r="J129" s="3" t="s">
        <v>48</v>
      </c>
      <c r="K129" s="3" t="s">
        <v>29</v>
      </c>
      <c r="L129" s="3" t="s">
        <v>49</v>
      </c>
      <c r="M129">
        <v>1</v>
      </c>
    </row>
    <row r="130" spans="1:13" x14ac:dyDescent="0.25">
      <c r="A130" s="2">
        <v>46167</v>
      </c>
      <c r="B130" s="1" t="str">
        <f ca="1">IF(Información1[[#This Row],[Fecha]]='Ajuste de fechas'!$A$2,"Día actual","Día anterior")</f>
        <v>Día actual</v>
      </c>
      <c r="C130" s="3" t="s">
        <v>28</v>
      </c>
      <c r="D130" t="s">
        <v>31</v>
      </c>
      <c r="E130" s="3" t="s">
        <v>265</v>
      </c>
      <c r="F130" s="3" t="s">
        <v>82</v>
      </c>
      <c r="G130" s="3" t="s">
        <v>83</v>
      </c>
      <c r="H130" s="3" t="s">
        <v>11</v>
      </c>
      <c r="I130" s="3" t="s">
        <v>7</v>
      </c>
      <c r="J130" s="3" t="s">
        <v>24</v>
      </c>
      <c r="K130" s="3" t="s">
        <v>29</v>
      </c>
      <c r="L130" s="3" t="s">
        <v>49</v>
      </c>
      <c r="M130">
        <v>1</v>
      </c>
    </row>
    <row r="131" spans="1:13" x14ac:dyDescent="0.25">
      <c r="A131" s="2">
        <v>46167</v>
      </c>
      <c r="B131" s="1" t="str">
        <f ca="1">IF(Información1[[#This Row],[Fecha]]='Ajuste de fechas'!$A$2,"Día actual","Día anterior")</f>
        <v>Día actual</v>
      </c>
      <c r="C131" s="3" t="s">
        <v>28</v>
      </c>
      <c r="D131" t="s">
        <v>31</v>
      </c>
      <c r="E131" s="3" t="s">
        <v>266</v>
      </c>
      <c r="F131" s="3" t="s">
        <v>19</v>
      </c>
      <c r="G131" s="3" t="s">
        <v>267</v>
      </c>
      <c r="H131" s="3" t="s">
        <v>11</v>
      </c>
      <c r="I131" s="3" t="s">
        <v>7</v>
      </c>
      <c r="J131" s="3" t="s">
        <v>52</v>
      </c>
      <c r="K131" s="3" t="s">
        <v>29</v>
      </c>
      <c r="L131" s="3" t="s">
        <v>49</v>
      </c>
      <c r="M131">
        <v>1</v>
      </c>
    </row>
    <row r="132" spans="1:13" x14ac:dyDescent="0.25">
      <c r="A132" s="2">
        <v>46167</v>
      </c>
      <c r="B132" s="1" t="str">
        <f ca="1">IF(Información1[[#This Row],[Fecha]]='Ajuste de fechas'!$A$2,"Día actual","Día anterior")</f>
        <v>Día actual</v>
      </c>
      <c r="C132" s="3" t="s">
        <v>28</v>
      </c>
      <c r="D132" t="s">
        <v>31</v>
      </c>
      <c r="E132" s="3" t="s">
        <v>268</v>
      </c>
      <c r="F132" s="3" t="s">
        <v>22</v>
      </c>
      <c r="G132" s="3" t="s">
        <v>269</v>
      </c>
      <c r="H132" s="3" t="s">
        <v>11</v>
      </c>
      <c r="I132" s="3" t="s">
        <v>7</v>
      </c>
      <c r="J132" s="3" t="s">
        <v>53</v>
      </c>
      <c r="K132" s="3" t="s">
        <v>29</v>
      </c>
      <c r="L132" s="3" t="s">
        <v>49</v>
      </c>
      <c r="M132">
        <v>2</v>
      </c>
    </row>
    <row r="133" spans="1:13" x14ac:dyDescent="0.25">
      <c r="A133" s="2">
        <v>46167</v>
      </c>
      <c r="B133" s="1" t="str">
        <f ca="1">IF(Información1[[#This Row],[Fecha]]='Ajuste de fechas'!$A$2,"Día actual","Día anterior")</f>
        <v>Día actual</v>
      </c>
      <c r="C133" s="3" t="s">
        <v>28</v>
      </c>
      <c r="D133" t="s">
        <v>31</v>
      </c>
      <c r="E133" s="3" t="s">
        <v>270</v>
      </c>
      <c r="F133" s="3" t="s">
        <v>79</v>
      </c>
      <c r="G133" s="3" t="s">
        <v>69</v>
      </c>
      <c r="H133" s="3" t="s">
        <v>11</v>
      </c>
      <c r="I133" s="3" t="s">
        <v>7</v>
      </c>
      <c r="J133" s="3" t="s">
        <v>48</v>
      </c>
      <c r="K133" s="3" t="s">
        <v>29</v>
      </c>
      <c r="L133" s="3" t="s">
        <v>49</v>
      </c>
      <c r="M133">
        <v>1</v>
      </c>
    </row>
    <row r="134" spans="1:13" x14ac:dyDescent="0.25">
      <c r="A134" s="2">
        <v>46167</v>
      </c>
      <c r="B134" s="1" t="str">
        <f ca="1">IF(Información1[[#This Row],[Fecha]]='Ajuste de fechas'!$A$2,"Día actual","Día anterior")</f>
        <v>Día actual</v>
      </c>
      <c r="C134" s="3" t="s">
        <v>28</v>
      </c>
      <c r="D134" t="s">
        <v>31</v>
      </c>
      <c r="E134" s="3" t="s">
        <v>271</v>
      </c>
      <c r="F134" s="3" t="s">
        <v>70</v>
      </c>
      <c r="G134" s="3" t="s">
        <v>250</v>
      </c>
      <c r="H134" s="3" t="s">
        <v>11</v>
      </c>
      <c r="I134" s="3" t="s">
        <v>7</v>
      </c>
      <c r="J134" s="3" t="s">
        <v>48</v>
      </c>
      <c r="K134" s="3" t="s">
        <v>29</v>
      </c>
      <c r="L134" s="3" t="s">
        <v>49</v>
      </c>
      <c r="M134">
        <v>1</v>
      </c>
    </row>
    <row r="135" spans="1:13" x14ac:dyDescent="0.25">
      <c r="A135" s="2">
        <v>46167</v>
      </c>
      <c r="B135" s="1" t="str">
        <f ca="1">IF(Información1[[#This Row],[Fecha]]='Ajuste de fechas'!$A$2,"Día actual","Día anterior")</f>
        <v>Día actual</v>
      </c>
      <c r="C135" s="3" t="s">
        <v>272</v>
      </c>
      <c r="D135" t="s">
        <v>273</v>
      </c>
      <c r="E135" s="3" t="s">
        <v>274</v>
      </c>
      <c r="F135" s="3" t="s">
        <v>84</v>
      </c>
      <c r="G135" s="3" t="s">
        <v>229</v>
      </c>
      <c r="H135" s="3" t="s">
        <v>11</v>
      </c>
      <c r="I135" s="3" t="s">
        <v>7</v>
      </c>
      <c r="J135" s="3" t="s">
        <v>48</v>
      </c>
      <c r="K135" s="3" t="s">
        <v>275</v>
      </c>
      <c r="L135" s="3" t="s">
        <v>51</v>
      </c>
      <c r="M135">
        <v>1</v>
      </c>
    </row>
    <row r="136" spans="1:13" x14ac:dyDescent="0.25">
      <c r="A136" s="2">
        <v>46167</v>
      </c>
      <c r="B136" s="1" t="str">
        <f ca="1">IF(Información1[[#This Row],[Fecha]]='Ajuste de fechas'!$A$2,"Día actual","Día anterior")</f>
        <v>Día actual</v>
      </c>
      <c r="C136" s="3" t="s">
        <v>28</v>
      </c>
      <c r="D136" t="s">
        <v>31</v>
      </c>
      <c r="E136" s="3" t="s">
        <v>264</v>
      </c>
      <c r="F136" s="3" t="s">
        <v>23</v>
      </c>
      <c r="G136" s="3" t="s">
        <v>263</v>
      </c>
      <c r="H136" s="3" t="s">
        <v>11</v>
      </c>
      <c r="I136" s="3" t="s">
        <v>25</v>
      </c>
      <c r="J136" s="3" t="s">
        <v>48</v>
      </c>
      <c r="K136" s="3" t="s">
        <v>29</v>
      </c>
      <c r="L136" s="3" t="s">
        <v>49</v>
      </c>
      <c r="M136">
        <v>1</v>
      </c>
    </row>
    <row r="137" spans="1:13" x14ac:dyDescent="0.25">
      <c r="A137" s="2">
        <v>46167</v>
      </c>
      <c r="B137" s="1" t="str">
        <f ca="1">IF(Información1[[#This Row],[Fecha]]='Ajuste de fechas'!$A$2,"Día actual","Día anterior")</f>
        <v>Día actual</v>
      </c>
      <c r="C137" s="3" t="s">
        <v>28</v>
      </c>
      <c r="D137" t="s">
        <v>31</v>
      </c>
      <c r="E137" s="3" t="s">
        <v>276</v>
      </c>
      <c r="F137" s="3" t="s">
        <v>19</v>
      </c>
      <c r="G137" s="3" t="s">
        <v>277</v>
      </c>
      <c r="H137" s="3" t="s">
        <v>11</v>
      </c>
      <c r="I137" s="3" t="s">
        <v>25</v>
      </c>
      <c r="J137" s="3" t="s">
        <v>52</v>
      </c>
      <c r="K137" s="3" t="s">
        <v>29</v>
      </c>
      <c r="L137" s="3" t="s">
        <v>50</v>
      </c>
      <c r="M137">
        <v>1</v>
      </c>
    </row>
    <row r="138" spans="1:13" x14ac:dyDescent="0.25">
      <c r="A138" s="2">
        <v>46167</v>
      </c>
      <c r="B138" s="1" t="str">
        <f ca="1">IF(Información1[[#This Row],[Fecha]]='Ajuste de fechas'!$A$2,"Día actual","Día anterior")</f>
        <v>Día actual</v>
      </c>
      <c r="C138" s="3" t="s">
        <v>28</v>
      </c>
      <c r="D138" t="s">
        <v>31</v>
      </c>
      <c r="E138" s="3" t="s">
        <v>278</v>
      </c>
      <c r="F138" s="3" t="s">
        <v>19</v>
      </c>
      <c r="G138" s="3" t="s">
        <v>71</v>
      </c>
      <c r="H138" s="3" t="s">
        <v>11</v>
      </c>
      <c r="I138" s="3" t="s">
        <v>7</v>
      </c>
      <c r="J138" s="3" t="s">
        <v>52</v>
      </c>
      <c r="K138" s="3" t="s">
        <v>9</v>
      </c>
      <c r="L138" s="3" t="s">
        <v>50</v>
      </c>
      <c r="M138">
        <v>1</v>
      </c>
    </row>
    <row r="139" spans="1:13" x14ac:dyDescent="0.25">
      <c r="A139" s="2">
        <v>46167</v>
      </c>
      <c r="B139" s="1" t="str">
        <f ca="1">IF(Información1[[#This Row],[Fecha]]='Ajuste de fechas'!$A$2,"Día actual","Día anterior")</f>
        <v>Día actual</v>
      </c>
      <c r="C139" s="3" t="s">
        <v>28</v>
      </c>
      <c r="D139" t="s">
        <v>31</v>
      </c>
      <c r="E139" s="3" t="s">
        <v>279</v>
      </c>
      <c r="F139" s="3" t="s">
        <v>19</v>
      </c>
      <c r="G139" s="3" t="s">
        <v>115</v>
      </c>
      <c r="H139" s="3" t="s">
        <v>11</v>
      </c>
      <c r="I139" s="3" t="s">
        <v>7</v>
      </c>
      <c r="J139" s="3" t="s">
        <v>52</v>
      </c>
      <c r="K139" s="3" t="s">
        <v>29</v>
      </c>
      <c r="L139" s="3" t="s">
        <v>49</v>
      </c>
      <c r="M139">
        <v>1</v>
      </c>
    </row>
    <row r="140" spans="1:13" x14ac:dyDescent="0.25">
      <c r="A140" s="2">
        <v>46167</v>
      </c>
      <c r="B140" s="1" t="str">
        <f ca="1">IF(Información1[[#This Row],[Fecha]]='Ajuste de fechas'!$A$2,"Día actual","Día anterior")</f>
        <v>Día actual</v>
      </c>
      <c r="C140" s="3" t="s">
        <v>28</v>
      </c>
      <c r="D140" t="s">
        <v>31</v>
      </c>
      <c r="E140" s="3" t="s">
        <v>280</v>
      </c>
      <c r="F140" s="3" t="s">
        <v>84</v>
      </c>
      <c r="G140" s="3" t="s">
        <v>229</v>
      </c>
      <c r="H140" s="3" t="s">
        <v>11</v>
      </c>
      <c r="I140" s="3" t="s">
        <v>7</v>
      </c>
      <c r="J140" s="3" t="s">
        <v>48</v>
      </c>
      <c r="K140" s="3" t="s">
        <v>29</v>
      </c>
      <c r="L140" s="3" t="s">
        <v>49</v>
      </c>
      <c r="M140">
        <v>1</v>
      </c>
    </row>
    <row r="141" spans="1:13" x14ac:dyDescent="0.25">
      <c r="A141" s="2">
        <v>46167</v>
      </c>
      <c r="B141" s="1" t="str">
        <f ca="1">IF(Información1[[#This Row],[Fecha]]='Ajuste de fechas'!$A$2,"Día actual","Día anterior")</f>
        <v>Día actual</v>
      </c>
      <c r="C141" s="3" t="s">
        <v>28</v>
      </c>
      <c r="D141" t="s">
        <v>31</v>
      </c>
      <c r="E141" s="3" t="s">
        <v>281</v>
      </c>
      <c r="F141" s="3" t="s">
        <v>282</v>
      </c>
      <c r="G141" s="3" t="s">
        <v>283</v>
      </c>
      <c r="H141" s="3" t="s">
        <v>11</v>
      </c>
      <c r="I141" s="3" t="s">
        <v>7</v>
      </c>
      <c r="J141" s="3" t="s">
        <v>48</v>
      </c>
      <c r="K141" s="3" t="s">
        <v>29</v>
      </c>
      <c r="L141" s="3" t="s">
        <v>51</v>
      </c>
      <c r="M141">
        <v>1</v>
      </c>
    </row>
    <row r="142" spans="1:13" x14ac:dyDescent="0.25">
      <c r="A142" s="2">
        <v>46167</v>
      </c>
      <c r="B142" s="1" t="str">
        <f ca="1">IF(Información1[[#This Row],[Fecha]]='Ajuste de fechas'!$A$2,"Día actual","Día anterior")</f>
        <v>Día actual</v>
      </c>
      <c r="C142" s="3" t="s">
        <v>28</v>
      </c>
      <c r="D142" t="s">
        <v>31</v>
      </c>
      <c r="E142" s="3" t="s">
        <v>284</v>
      </c>
      <c r="F142" s="3" t="s">
        <v>58</v>
      </c>
      <c r="G142" s="3" t="s">
        <v>285</v>
      </c>
      <c r="H142" s="3" t="s">
        <v>11</v>
      </c>
      <c r="I142" s="3" t="s">
        <v>7</v>
      </c>
      <c r="J142" s="3" t="s">
        <v>48</v>
      </c>
      <c r="K142" s="3" t="s">
        <v>29</v>
      </c>
      <c r="L142" s="3" t="s">
        <v>49</v>
      </c>
      <c r="M142">
        <v>1</v>
      </c>
    </row>
    <row r="143" spans="1:13" x14ac:dyDescent="0.25">
      <c r="A143" s="2">
        <v>46167</v>
      </c>
      <c r="B143" s="1" t="str">
        <f ca="1">IF(Información1[[#This Row],[Fecha]]='Ajuste de fechas'!$A$2,"Día actual","Día anterior")</f>
        <v>Día actual</v>
      </c>
      <c r="C143" s="3" t="s">
        <v>28</v>
      </c>
      <c r="D143" t="s">
        <v>31</v>
      </c>
      <c r="E143" s="3" t="s">
        <v>286</v>
      </c>
      <c r="F143" s="3" t="s">
        <v>23</v>
      </c>
      <c r="G143" s="3" t="s">
        <v>287</v>
      </c>
      <c r="H143" s="3" t="s">
        <v>11</v>
      </c>
      <c r="I143" s="3" t="s">
        <v>7</v>
      </c>
      <c r="J143" s="3" t="s">
        <v>48</v>
      </c>
      <c r="K143" s="3" t="s">
        <v>29</v>
      </c>
      <c r="L143" s="3" t="s">
        <v>51</v>
      </c>
      <c r="M143">
        <v>1</v>
      </c>
    </row>
    <row r="144" spans="1:13" x14ac:dyDescent="0.25">
      <c r="A144" s="2">
        <v>46167</v>
      </c>
      <c r="B144" s="1" t="str">
        <f ca="1">IF(Información1[[#This Row],[Fecha]]='Ajuste de fechas'!$A$2,"Día actual","Día anterior")</f>
        <v>Día actual</v>
      </c>
      <c r="C144" s="3" t="s">
        <v>28</v>
      </c>
      <c r="D144" t="s">
        <v>31</v>
      </c>
      <c r="E144" s="3" t="s">
        <v>225</v>
      </c>
      <c r="F144" s="3" t="s">
        <v>58</v>
      </c>
      <c r="G144" s="3" t="s">
        <v>226</v>
      </c>
      <c r="H144" s="3" t="s">
        <v>11</v>
      </c>
      <c r="I144" s="3" t="s">
        <v>7</v>
      </c>
      <c r="J144" s="3" t="s">
        <v>48</v>
      </c>
      <c r="K144" s="3" t="s">
        <v>29</v>
      </c>
      <c r="L144" s="3" t="s">
        <v>51</v>
      </c>
      <c r="M144">
        <v>1</v>
      </c>
    </row>
    <row r="145" spans="1:13" x14ac:dyDescent="0.25">
      <c r="A145" s="2">
        <v>46167</v>
      </c>
      <c r="B145" s="1" t="str">
        <f ca="1">IF(Información1[[#This Row],[Fecha]]='Ajuste de fechas'!$A$2,"Día actual","Día anterior")</f>
        <v>Día actual</v>
      </c>
      <c r="C145" s="3" t="s">
        <v>28</v>
      </c>
      <c r="D145" t="s">
        <v>31</v>
      </c>
      <c r="E145" s="3" t="s">
        <v>288</v>
      </c>
      <c r="F145" s="3" t="s">
        <v>23</v>
      </c>
      <c r="G145" s="3" t="s">
        <v>289</v>
      </c>
      <c r="H145" s="3" t="s">
        <v>11</v>
      </c>
      <c r="I145" s="3" t="s">
        <v>7</v>
      </c>
      <c r="J145" s="3" t="s">
        <v>48</v>
      </c>
      <c r="K145" s="3" t="s">
        <v>29</v>
      </c>
      <c r="L145" s="3" t="s">
        <v>49</v>
      </c>
      <c r="M145">
        <v>1</v>
      </c>
    </row>
    <row r="146" spans="1:13" x14ac:dyDescent="0.25">
      <c r="A146" s="2">
        <v>46167</v>
      </c>
      <c r="B146" s="1" t="str">
        <f ca="1">IF(Información1[[#This Row],[Fecha]]='Ajuste de fechas'!$A$2,"Día actual","Día anterior")</f>
        <v>Día actual</v>
      </c>
      <c r="C146" s="3" t="s">
        <v>28</v>
      </c>
      <c r="D146" t="s">
        <v>31</v>
      </c>
      <c r="E146" s="3" t="s">
        <v>290</v>
      </c>
      <c r="F146" s="3" t="s">
        <v>15</v>
      </c>
      <c r="G146" s="3" t="s">
        <v>248</v>
      </c>
      <c r="H146" s="3" t="s">
        <v>11</v>
      </c>
      <c r="I146" s="3" t="s">
        <v>7</v>
      </c>
      <c r="J146" s="3" t="s">
        <v>48</v>
      </c>
      <c r="K146" s="3" t="s">
        <v>29</v>
      </c>
      <c r="L146" s="3" t="s">
        <v>49</v>
      </c>
      <c r="M146">
        <v>1</v>
      </c>
    </row>
    <row r="147" spans="1:13" x14ac:dyDescent="0.25">
      <c r="A147" s="2">
        <v>46167</v>
      </c>
      <c r="B147" s="1" t="str">
        <f ca="1">IF(Información1[[#This Row],[Fecha]]='Ajuste de fechas'!$A$2,"Día actual","Día anterior")</f>
        <v>Día actual</v>
      </c>
      <c r="C147" s="3" t="s">
        <v>28</v>
      </c>
      <c r="D147" t="s">
        <v>31</v>
      </c>
      <c r="E147" s="3" t="s">
        <v>291</v>
      </c>
      <c r="F147" s="3" t="s">
        <v>26</v>
      </c>
      <c r="G147" s="3" t="s">
        <v>96</v>
      </c>
      <c r="H147" s="3" t="s">
        <v>11</v>
      </c>
      <c r="I147" s="3" t="s">
        <v>7</v>
      </c>
      <c r="J147" s="3" t="s">
        <v>48</v>
      </c>
      <c r="K147" s="3" t="s">
        <v>29</v>
      </c>
      <c r="L147" s="3" t="s">
        <v>50</v>
      </c>
      <c r="M147">
        <v>1</v>
      </c>
    </row>
    <row r="148" spans="1:13" x14ac:dyDescent="0.25">
      <c r="A148" s="2">
        <v>46167</v>
      </c>
      <c r="B148" s="1" t="str">
        <f ca="1">IF(Información1[[#This Row],[Fecha]]='Ajuste de fechas'!$A$2,"Día actual","Día anterior")</f>
        <v>Día actual</v>
      </c>
      <c r="C148" s="3" t="s">
        <v>28</v>
      </c>
      <c r="D148" t="s">
        <v>31</v>
      </c>
      <c r="E148" s="3" t="s">
        <v>292</v>
      </c>
      <c r="F148" s="3" t="s">
        <v>17</v>
      </c>
      <c r="G148" s="3" t="s">
        <v>96</v>
      </c>
      <c r="H148" s="3" t="s">
        <v>11</v>
      </c>
      <c r="I148" s="3" t="s">
        <v>7</v>
      </c>
      <c r="J148" s="3" t="s">
        <v>48</v>
      </c>
      <c r="K148" s="3" t="s">
        <v>29</v>
      </c>
      <c r="L148" s="3" t="s">
        <v>49</v>
      </c>
      <c r="M148">
        <v>1</v>
      </c>
    </row>
    <row r="149" spans="1:13" x14ac:dyDescent="0.25">
      <c r="A149" s="2">
        <v>46167</v>
      </c>
      <c r="B149" s="1" t="str">
        <f ca="1">IF(Información1[[#This Row],[Fecha]]='Ajuste de fechas'!$A$2,"Día actual","Día anterior")</f>
        <v>Día actual</v>
      </c>
      <c r="C149" s="3" t="s">
        <v>28</v>
      </c>
      <c r="D149" t="s">
        <v>31</v>
      </c>
      <c r="E149" s="3" t="s">
        <v>293</v>
      </c>
      <c r="F149" s="3" t="s">
        <v>82</v>
      </c>
      <c r="G149" s="3" t="s">
        <v>83</v>
      </c>
      <c r="H149" s="3" t="s">
        <v>11</v>
      </c>
      <c r="I149" s="3" t="s">
        <v>7</v>
      </c>
      <c r="J149" s="3" t="s">
        <v>24</v>
      </c>
      <c r="K149" s="3" t="s">
        <v>29</v>
      </c>
      <c r="L149" s="3" t="s">
        <v>49</v>
      </c>
      <c r="M149">
        <v>1</v>
      </c>
    </row>
    <row r="150" spans="1:13" x14ac:dyDescent="0.25">
      <c r="A150" s="2">
        <v>46167</v>
      </c>
      <c r="B150" s="1" t="str">
        <f ca="1">IF(Información1[[#This Row],[Fecha]]='Ajuste de fechas'!$A$2,"Día actual","Día anterior")</f>
        <v>Día actual</v>
      </c>
      <c r="C150" s="3" t="s">
        <v>28</v>
      </c>
      <c r="D150" t="s">
        <v>31</v>
      </c>
      <c r="E150" s="3" t="s">
        <v>294</v>
      </c>
      <c r="F150" s="3" t="s">
        <v>36</v>
      </c>
      <c r="G150" s="3" t="s">
        <v>98</v>
      </c>
      <c r="H150" s="3" t="s">
        <v>11</v>
      </c>
      <c r="I150" s="3" t="s">
        <v>7</v>
      </c>
      <c r="J150" s="3" t="s">
        <v>48</v>
      </c>
      <c r="K150" s="3" t="s">
        <v>29</v>
      </c>
      <c r="L150" s="3" t="s">
        <v>49</v>
      </c>
      <c r="M150">
        <v>1</v>
      </c>
    </row>
    <row r="151" spans="1:13" x14ac:dyDescent="0.25">
      <c r="A151" s="2">
        <v>46167</v>
      </c>
      <c r="B151" s="1" t="str">
        <f ca="1">IF(Información1[[#This Row],[Fecha]]='Ajuste de fechas'!$A$2,"Día actual","Día anterior")</f>
        <v>Día actual</v>
      </c>
      <c r="C151" s="3" t="s">
        <v>28</v>
      </c>
      <c r="D151" t="s">
        <v>31</v>
      </c>
      <c r="E151" s="3" t="s">
        <v>295</v>
      </c>
      <c r="F151" s="3" t="s">
        <v>223</v>
      </c>
      <c r="G151" s="3" t="s">
        <v>224</v>
      </c>
      <c r="H151" s="3" t="s">
        <v>11</v>
      </c>
      <c r="I151" s="3" t="s">
        <v>7</v>
      </c>
      <c r="J151" s="3" t="s">
        <v>48</v>
      </c>
      <c r="K151" s="3" t="s">
        <v>29</v>
      </c>
      <c r="L151" s="3" t="s">
        <v>49</v>
      </c>
      <c r="M151">
        <v>1</v>
      </c>
    </row>
    <row r="152" spans="1:13" x14ac:dyDescent="0.25">
      <c r="A152" s="2">
        <v>46167</v>
      </c>
      <c r="B152" s="1" t="str">
        <f ca="1">IF(Información1[[#This Row],[Fecha]]='Ajuste de fechas'!$A$2,"Día actual","Día anterior")</f>
        <v>Día actual</v>
      </c>
      <c r="C152" s="3" t="s">
        <v>28</v>
      </c>
      <c r="D152" t="s">
        <v>31</v>
      </c>
      <c r="E152" s="3" t="s">
        <v>296</v>
      </c>
      <c r="F152" s="3" t="s">
        <v>21</v>
      </c>
      <c r="G152" s="3" t="s">
        <v>297</v>
      </c>
      <c r="H152" s="3" t="s">
        <v>11</v>
      </c>
      <c r="I152" s="3" t="s">
        <v>7</v>
      </c>
      <c r="J152" s="3" t="s">
        <v>48</v>
      </c>
      <c r="K152" s="3" t="s">
        <v>29</v>
      </c>
      <c r="L152" s="3" t="s">
        <v>49</v>
      </c>
      <c r="M152">
        <v>1</v>
      </c>
    </row>
    <row r="153" spans="1:13" x14ac:dyDescent="0.25">
      <c r="A153" s="2">
        <v>46167</v>
      </c>
      <c r="B153" s="1" t="str">
        <f ca="1">IF(Información1[[#This Row],[Fecha]]='Ajuste de fechas'!$A$2,"Día actual","Día anterior")</f>
        <v>Día actual</v>
      </c>
      <c r="C153" s="3" t="s">
        <v>28</v>
      </c>
      <c r="D153" t="s">
        <v>31</v>
      </c>
      <c r="E153" s="3" t="s">
        <v>298</v>
      </c>
      <c r="F153" s="3" t="s">
        <v>26</v>
      </c>
      <c r="G153" s="3" t="s">
        <v>192</v>
      </c>
      <c r="H153" s="3" t="s">
        <v>11</v>
      </c>
      <c r="I153" s="3" t="s">
        <v>7</v>
      </c>
      <c r="J153" s="3" t="s">
        <v>48</v>
      </c>
      <c r="K153" s="3" t="s">
        <v>29</v>
      </c>
      <c r="L153" s="3" t="s">
        <v>50</v>
      </c>
      <c r="M153">
        <v>1</v>
      </c>
    </row>
    <row r="154" spans="1:13" x14ac:dyDescent="0.25">
      <c r="A154" s="2">
        <v>46167</v>
      </c>
      <c r="B154" s="1" t="str">
        <f ca="1">IF(Información1[[#This Row],[Fecha]]='Ajuste de fechas'!$A$2,"Día actual","Día anterior")</f>
        <v>Día actual</v>
      </c>
      <c r="C154" s="3" t="s">
        <v>8</v>
      </c>
      <c r="D154" t="s">
        <v>10</v>
      </c>
      <c r="E154" s="3" t="s">
        <v>88</v>
      </c>
      <c r="F154" s="3" t="s">
        <v>19</v>
      </c>
      <c r="G154" s="3" t="s">
        <v>89</v>
      </c>
      <c r="H154" s="3" t="s">
        <v>11</v>
      </c>
      <c r="I154" s="3" t="s">
        <v>25</v>
      </c>
      <c r="J154" s="3" t="s">
        <v>52</v>
      </c>
      <c r="K154" s="3" t="s">
        <v>9</v>
      </c>
      <c r="L154" s="3" t="s">
        <v>50</v>
      </c>
      <c r="M154">
        <v>1</v>
      </c>
    </row>
    <row r="155" spans="1:13" x14ac:dyDescent="0.25">
      <c r="A155" s="2">
        <v>46167</v>
      </c>
      <c r="B155" s="1" t="str">
        <f ca="1">IF(Información1[[#This Row],[Fecha]]='Ajuste de fechas'!$A$2,"Día actual","Día anterior")</f>
        <v>Día actual</v>
      </c>
      <c r="C155" s="3" t="s">
        <v>8</v>
      </c>
      <c r="D155" t="s">
        <v>10</v>
      </c>
      <c r="E155" s="3" t="s">
        <v>299</v>
      </c>
      <c r="F155" s="3" t="s">
        <v>23</v>
      </c>
      <c r="G155" s="3" t="s">
        <v>300</v>
      </c>
      <c r="H155" s="3" t="s">
        <v>11</v>
      </c>
      <c r="I155" s="3" t="s">
        <v>25</v>
      </c>
      <c r="J155" s="3" t="s">
        <v>48</v>
      </c>
      <c r="K155" s="3" t="s">
        <v>9</v>
      </c>
      <c r="L155" s="3" t="s">
        <v>50</v>
      </c>
      <c r="M155">
        <v>1</v>
      </c>
    </row>
    <row r="156" spans="1:13" x14ac:dyDescent="0.25">
      <c r="A156" s="2">
        <v>46167</v>
      </c>
      <c r="B156" s="1" t="str">
        <f ca="1">IF(Información1[[#This Row],[Fecha]]='Ajuste de fechas'!$A$2,"Día actual","Día anterior")</f>
        <v>Día actual</v>
      </c>
      <c r="C156" s="3" t="s">
        <v>8</v>
      </c>
      <c r="D156" t="s">
        <v>10</v>
      </c>
      <c r="E156" s="3" t="s">
        <v>301</v>
      </c>
      <c r="F156" s="3" t="s">
        <v>17</v>
      </c>
      <c r="G156" s="3" t="s">
        <v>75</v>
      </c>
      <c r="H156" s="3" t="s">
        <v>11</v>
      </c>
      <c r="I156" s="3" t="s">
        <v>25</v>
      </c>
      <c r="J156" s="3" t="s">
        <v>48</v>
      </c>
      <c r="K156" s="3" t="s">
        <v>9</v>
      </c>
      <c r="L156" s="3" t="s">
        <v>50</v>
      </c>
      <c r="M156">
        <v>1</v>
      </c>
    </row>
    <row r="157" spans="1:13" x14ac:dyDescent="0.25">
      <c r="A157" s="2">
        <v>46167</v>
      </c>
      <c r="B157" s="1" t="str">
        <f ca="1">IF(Información1[[#This Row],[Fecha]]='Ajuste de fechas'!$A$2,"Día actual","Día anterior")</f>
        <v>Día actual</v>
      </c>
      <c r="C157" s="3" t="s">
        <v>8</v>
      </c>
      <c r="D157" t="s">
        <v>10</v>
      </c>
      <c r="E157" s="3" t="s">
        <v>302</v>
      </c>
      <c r="F157" s="3" t="s">
        <v>17</v>
      </c>
      <c r="G157" s="3" t="s">
        <v>75</v>
      </c>
      <c r="H157" s="3" t="s">
        <v>11</v>
      </c>
      <c r="I157" s="3" t="s">
        <v>25</v>
      </c>
      <c r="J157" s="3" t="s">
        <v>48</v>
      </c>
      <c r="K157" s="3" t="s">
        <v>9</v>
      </c>
      <c r="L157" s="3" t="s">
        <v>50</v>
      </c>
      <c r="M157">
        <v>1</v>
      </c>
    </row>
    <row r="158" spans="1:13" x14ac:dyDescent="0.25">
      <c r="A158" s="2">
        <v>46167</v>
      </c>
      <c r="B158" s="1" t="str">
        <f ca="1">IF(Información1[[#This Row],[Fecha]]='Ajuste de fechas'!$A$2,"Día actual","Día anterior")</f>
        <v>Día actual</v>
      </c>
      <c r="C158" s="3" t="s">
        <v>8</v>
      </c>
      <c r="D158" t="s">
        <v>10</v>
      </c>
      <c r="E158" s="3" t="s">
        <v>303</v>
      </c>
      <c r="F158" s="3" t="s">
        <v>6</v>
      </c>
      <c r="G158" s="3" t="s">
        <v>304</v>
      </c>
      <c r="H158" s="3" t="s">
        <v>11</v>
      </c>
      <c r="I158" s="3" t="s">
        <v>25</v>
      </c>
      <c r="J158" s="3" t="s">
        <v>48</v>
      </c>
      <c r="K158" s="3" t="s">
        <v>9</v>
      </c>
      <c r="L158" s="3" t="s">
        <v>50</v>
      </c>
      <c r="M158">
        <v>1</v>
      </c>
    </row>
    <row r="159" spans="1:13" x14ac:dyDescent="0.25">
      <c r="A159" s="2">
        <v>46167</v>
      </c>
      <c r="B159" s="1" t="str">
        <f ca="1">IF(Información1[[#This Row],[Fecha]]='Ajuste de fechas'!$A$2,"Día actual","Día anterior")</f>
        <v>Día actual</v>
      </c>
      <c r="C159" s="3" t="s">
        <v>8</v>
      </c>
      <c r="D159" t="s">
        <v>10</v>
      </c>
      <c r="E159" s="3" t="s">
        <v>305</v>
      </c>
      <c r="F159" s="3" t="s">
        <v>6</v>
      </c>
      <c r="G159" s="3" t="s">
        <v>304</v>
      </c>
      <c r="H159" s="3" t="s">
        <v>11</v>
      </c>
      <c r="I159" s="3" t="s">
        <v>25</v>
      </c>
      <c r="J159" s="3" t="s">
        <v>48</v>
      </c>
      <c r="K159" s="3" t="s">
        <v>9</v>
      </c>
      <c r="L159" s="3" t="s">
        <v>50</v>
      </c>
      <c r="M159">
        <v>1</v>
      </c>
    </row>
    <row r="160" spans="1:13" x14ac:dyDescent="0.25">
      <c r="A160" s="2">
        <v>46167</v>
      </c>
      <c r="B160" s="1" t="str">
        <f ca="1">IF(Información1[[#This Row],[Fecha]]='Ajuste de fechas'!$A$2,"Día actual","Día anterior")</f>
        <v>Día actual</v>
      </c>
      <c r="C160" s="3" t="s">
        <v>8</v>
      </c>
      <c r="D160" t="s">
        <v>10</v>
      </c>
      <c r="E160" s="3" t="s">
        <v>306</v>
      </c>
      <c r="F160" s="3" t="s">
        <v>6</v>
      </c>
      <c r="G160" s="3" t="s">
        <v>57</v>
      </c>
      <c r="H160" s="3" t="s">
        <v>11</v>
      </c>
      <c r="I160" s="3" t="s">
        <v>25</v>
      </c>
      <c r="J160" s="3" t="s">
        <v>48</v>
      </c>
      <c r="K160" s="3" t="s">
        <v>9</v>
      </c>
      <c r="L160" s="3" t="s">
        <v>50</v>
      </c>
      <c r="M160">
        <v>1</v>
      </c>
    </row>
    <row r="161" spans="1:13" x14ac:dyDescent="0.25">
      <c r="A161" s="2">
        <v>46167</v>
      </c>
      <c r="B161" s="1" t="str">
        <f ca="1">IF(Información1[[#This Row],[Fecha]]='Ajuste de fechas'!$A$2,"Día actual","Día anterior")</f>
        <v>Día actual</v>
      </c>
      <c r="C161" s="3" t="s">
        <v>8</v>
      </c>
      <c r="D161" t="s">
        <v>10</v>
      </c>
      <c r="E161" s="3" t="s">
        <v>307</v>
      </c>
      <c r="F161" s="3" t="s">
        <v>6</v>
      </c>
      <c r="G161" s="3" t="s">
        <v>57</v>
      </c>
      <c r="H161" s="3" t="s">
        <v>11</v>
      </c>
      <c r="I161" s="3" t="s">
        <v>25</v>
      </c>
      <c r="J161" s="3" t="s">
        <v>48</v>
      </c>
      <c r="K161" s="3" t="s">
        <v>9</v>
      </c>
      <c r="L161" s="3" t="s">
        <v>50</v>
      </c>
      <c r="M161">
        <v>1</v>
      </c>
    </row>
    <row r="162" spans="1:13" x14ac:dyDescent="0.25">
      <c r="A162" s="2">
        <v>46167</v>
      </c>
      <c r="B162" s="1" t="str">
        <f ca="1">IF(Información1[[#This Row],[Fecha]]='Ajuste de fechas'!$A$2,"Día actual","Día anterior")</f>
        <v>Día actual</v>
      </c>
      <c r="C162" s="3" t="s">
        <v>8</v>
      </c>
      <c r="D162" t="s">
        <v>10</v>
      </c>
      <c r="E162" s="3" t="s">
        <v>308</v>
      </c>
      <c r="F162" s="3" t="s">
        <v>234</v>
      </c>
      <c r="G162" s="3" t="s">
        <v>69</v>
      </c>
      <c r="H162" s="3" t="s">
        <v>11</v>
      </c>
      <c r="I162" s="3" t="s">
        <v>7</v>
      </c>
      <c r="J162" s="3" t="s">
        <v>48</v>
      </c>
      <c r="K162" s="3" t="s">
        <v>9</v>
      </c>
      <c r="L162" s="3" t="s">
        <v>50</v>
      </c>
      <c r="M162">
        <v>1</v>
      </c>
    </row>
    <row r="163" spans="1:13" x14ac:dyDescent="0.25">
      <c r="A163" s="2">
        <v>46167</v>
      </c>
      <c r="B163" s="1" t="str">
        <f ca="1">IF(Información1[[#This Row],[Fecha]]='Ajuste de fechas'!$A$2,"Día actual","Día anterior")</f>
        <v>Día actual</v>
      </c>
      <c r="C163" s="3" t="s">
        <v>8</v>
      </c>
      <c r="D163" t="s">
        <v>10</v>
      </c>
      <c r="E163" s="3" t="s">
        <v>309</v>
      </c>
      <c r="F163" s="3" t="s">
        <v>22</v>
      </c>
      <c r="G163" s="3" t="s">
        <v>310</v>
      </c>
      <c r="H163" s="3" t="s">
        <v>11</v>
      </c>
      <c r="I163" s="3" t="s">
        <v>7</v>
      </c>
      <c r="J163" s="3" t="s">
        <v>53</v>
      </c>
      <c r="K163" s="3" t="s">
        <v>14</v>
      </c>
      <c r="L163" s="3" t="s">
        <v>49</v>
      </c>
      <c r="M163">
        <v>1</v>
      </c>
    </row>
    <row r="164" spans="1:13" x14ac:dyDescent="0.25">
      <c r="A164" s="2">
        <v>46167</v>
      </c>
      <c r="B164" s="1" t="str">
        <f ca="1">IF(Información1[[#This Row],[Fecha]]='Ajuste de fechas'!$A$2,"Día actual","Día anterior")</f>
        <v>Día actual</v>
      </c>
      <c r="C164" s="3" t="s">
        <v>8</v>
      </c>
      <c r="D164" t="s">
        <v>10</v>
      </c>
      <c r="E164" s="3" t="s">
        <v>311</v>
      </c>
      <c r="F164" s="3" t="s">
        <v>24</v>
      </c>
      <c r="G164" s="3" t="s">
        <v>312</v>
      </c>
      <c r="H164" s="3" t="s">
        <v>11</v>
      </c>
      <c r="I164" s="3" t="s">
        <v>7</v>
      </c>
      <c r="J164" s="3" t="s">
        <v>24</v>
      </c>
      <c r="K164" s="3" t="s">
        <v>14</v>
      </c>
      <c r="L164" s="3" t="s">
        <v>49</v>
      </c>
      <c r="M164">
        <v>1</v>
      </c>
    </row>
    <row r="165" spans="1:13" x14ac:dyDescent="0.25">
      <c r="A165" s="2">
        <v>46167</v>
      </c>
      <c r="B165" s="1" t="str">
        <f ca="1">IF(Información1[[#This Row],[Fecha]]='Ajuste de fechas'!$A$2,"Día actual","Día anterior")</f>
        <v>Día actual</v>
      </c>
      <c r="C165" s="3" t="s">
        <v>8</v>
      </c>
      <c r="D165" t="s">
        <v>10</v>
      </c>
      <c r="E165" s="3" t="s">
        <v>313</v>
      </c>
      <c r="F165" s="3" t="s">
        <v>17</v>
      </c>
      <c r="G165" s="3" t="s">
        <v>239</v>
      </c>
      <c r="H165" s="3" t="s">
        <v>11</v>
      </c>
      <c r="I165" s="3" t="s">
        <v>7</v>
      </c>
      <c r="J165" s="3" t="s">
        <v>48</v>
      </c>
      <c r="K165" s="3" t="s">
        <v>14</v>
      </c>
      <c r="L165" s="3" t="s">
        <v>49</v>
      </c>
      <c r="M165">
        <v>1</v>
      </c>
    </row>
    <row r="166" spans="1:13" x14ac:dyDescent="0.25">
      <c r="A166" s="2">
        <v>46167</v>
      </c>
      <c r="B166" s="1" t="str">
        <f ca="1">IF(Información1[[#This Row],[Fecha]]='Ajuste de fechas'!$A$2,"Día actual","Día anterior")</f>
        <v>Día actual</v>
      </c>
      <c r="C166" s="3" t="s">
        <v>8</v>
      </c>
      <c r="D166" t="s">
        <v>10</v>
      </c>
      <c r="E166" s="3" t="s">
        <v>314</v>
      </c>
      <c r="F166" s="3" t="s">
        <v>58</v>
      </c>
      <c r="G166" s="3" t="s">
        <v>96</v>
      </c>
      <c r="H166" s="3" t="s">
        <v>11</v>
      </c>
      <c r="I166" s="3" t="s">
        <v>7</v>
      </c>
      <c r="J166" s="3" t="s">
        <v>48</v>
      </c>
      <c r="K166" s="3" t="s">
        <v>14</v>
      </c>
      <c r="L166" s="3" t="s">
        <v>49</v>
      </c>
      <c r="M166">
        <v>1</v>
      </c>
    </row>
    <row r="167" spans="1:13" x14ac:dyDescent="0.25">
      <c r="A167" s="2">
        <v>46167</v>
      </c>
      <c r="B167" s="1" t="str">
        <f ca="1">IF(Información1[[#This Row],[Fecha]]='Ajuste de fechas'!$A$2,"Día actual","Día anterior")</f>
        <v>Día actual</v>
      </c>
      <c r="C167" s="3" t="s">
        <v>8</v>
      </c>
      <c r="D167" t="s">
        <v>10</v>
      </c>
      <c r="E167" s="3" t="s">
        <v>225</v>
      </c>
      <c r="F167" s="3" t="s">
        <v>58</v>
      </c>
      <c r="G167" s="3" t="s">
        <v>226</v>
      </c>
      <c r="H167" s="3" t="s">
        <v>11</v>
      </c>
      <c r="I167" s="3" t="s">
        <v>7</v>
      </c>
      <c r="J167" s="3" t="s">
        <v>48</v>
      </c>
      <c r="K167" s="3" t="s">
        <v>14</v>
      </c>
      <c r="L167" s="3" t="s">
        <v>51</v>
      </c>
      <c r="M167">
        <v>1</v>
      </c>
    </row>
    <row r="168" spans="1:13" x14ac:dyDescent="0.25">
      <c r="A168" s="2">
        <v>46167</v>
      </c>
      <c r="B168" s="1" t="str">
        <f ca="1">IF(Información1[[#This Row],[Fecha]]='Ajuste de fechas'!$A$2,"Día actual","Día anterior")</f>
        <v>Día actual</v>
      </c>
      <c r="C168" s="3" t="s">
        <v>8</v>
      </c>
      <c r="D168" t="s">
        <v>10</v>
      </c>
      <c r="E168" s="3" t="s">
        <v>315</v>
      </c>
      <c r="F168" s="3" t="s">
        <v>58</v>
      </c>
      <c r="G168" s="3" t="s">
        <v>263</v>
      </c>
      <c r="H168" s="3" t="s">
        <v>11</v>
      </c>
      <c r="I168" s="3" t="s">
        <v>7</v>
      </c>
      <c r="J168" s="3" t="s">
        <v>48</v>
      </c>
      <c r="K168" s="3" t="s">
        <v>14</v>
      </c>
      <c r="L168" s="3" t="s">
        <v>49</v>
      </c>
      <c r="M168">
        <v>1</v>
      </c>
    </row>
    <row r="169" spans="1:13" x14ac:dyDescent="0.25">
      <c r="A169" s="2">
        <v>46167</v>
      </c>
      <c r="B169" s="1" t="str">
        <f ca="1">IF(Información1[[#This Row],[Fecha]]='Ajuste de fechas'!$A$2,"Día actual","Día anterior")</f>
        <v>Día actual</v>
      </c>
      <c r="C169" s="3" t="s">
        <v>8</v>
      </c>
      <c r="D169" t="s">
        <v>10</v>
      </c>
      <c r="E169" s="3" t="s">
        <v>316</v>
      </c>
      <c r="F169" s="3" t="s">
        <v>23</v>
      </c>
      <c r="G169" s="3" t="s">
        <v>289</v>
      </c>
      <c r="H169" s="3" t="s">
        <v>11</v>
      </c>
      <c r="I169" s="3" t="s">
        <v>7</v>
      </c>
      <c r="J169" s="3" t="s">
        <v>48</v>
      </c>
      <c r="K169" s="3" t="s">
        <v>14</v>
      </c>
      <c r="L169" s="3" t="s">
        <v>51</v>
      </c>
      <c r="M169">
        <v>1</v>
      </c>
    </row>
    <row r="170" spans="1:13" x14ac:dyDescent="0.25">
      <c r="A170" s="2">
        <v>46167</v>
      </c>
      <c r="B170" s="1" t="str">
        <f ca="1">IF(Información1[[#This Row],[Fecha]]='Ajuste de fechas'!$A$2,"Día actual","Día anterior")</f>
        <v>Día actual</v>
      </c>
      <c r="C170" s="3" t="s">
        <v>8</v>
      </c>
      <c r="D170" t="s">
        <v>10</v>
      </c>
      <c r="E170" s="3" t="s">
        <v>20</v>
      </c>
      <c r="F170" s="3" t="s">
        <v>19</v>
      </c>
      <c r="G170" s="3" t="s">
        <v>40</v>
      </c>
      <c r="H170" s="3" t="s">
        <v>11</v>
      </c>
      <c r="I170" s="3" t="s">
        <v>12</v>
      </c>
      <c r="J170" s="3" t="s">
        <v>52</v>
      </c>
      <c r="K170" s="3" t="s">
        <v>14</v>
      </c>
      <c r="L170" s="3" t="s">
        <v>50</v>
      </c>
      <c r="M170">
        <v>1</v>
      </c>
    </row>
    <row r="171" spans="1:13" x14ac:dyDescent="0.25">
      <c r="A171" s="2">
        <v>46167</v>
      </c>
      <c r="B171" s="1" t="str">
        <f ca="1">IF(Información1[[#This Row],[Fecha]]='Ajuste de fechas'!$A$2,"Día actual","Día anterior")</f>
        <v>Día actual</v>
      </c>
      <c r="C171" s="3" t="s">
        <v>8</v>
      </c>
      <c r="D171" t="s">
        <v>10</v>
      </c>
      <c r="E171" s="3" t="s">
        <v>18</v>
      </c>
      <c r="F171" s="3" t="s">
        <v>19</v>
      </c>
      <c r="G171" s="3" t="s">
        <v>40</v>
      </c>
      <c r="H171" s="3" t="s">
        <v>11</v>
      </c>
      <c r="I171" s="3" t="s">
        <v>12</v>
      </c>
      <c r="J171" s="3" t="s">
        <v>52</v>
      </c>
      <c r="K171" s="3" t="s">
        <v>14</v>
      </c>
      <c r="L171" s="3" t="s">
        <v>50</v>
      </c>
      <c r="M171">
        <v>1</v>
      </c>
    </row>
    <row r="172" spans="1:13" x14ac:dyDescent="0.25">
      <c r="A172" s="2">
        <v>46167</v>
      </c>
      <c r="B172" s="1" t="str">
        <f ca="1">IF(Información1[[#This Row],[Fecha]]='Ajuste de fechas'!$A$2,"Día actual","Día anterior")</f>
        <v>Día actual</v>
      </c>
      <c r="C172" s="3" t="s">
        <v>8</v>
      </c>
      <c r="D172" t="s">
        <v>10</v>
      </c>
      <c r="E172" s="3" t="s">
        <v>85</v>
      </c>
      <c r="F172" s="3" t="s">
        <v>82</v>
      </c>
      <c r="G172" s="3" t="s">
        <v>40</v>
      </c>
      <c r="H172" s="3" t="s">
        <v>11</v>
      </c>
      <c r="I172" s="3" t="s">
        <v>12</v>
      </c>
      <c r="J172" s="3" t="s">
        <v>24</v>
      </c>
      <c r="K172" s="3" t="s">
        <v>14</v>
      </c>
      <c r="L172" s="3" t="s">
        <v>50</v>
      </c>
      <c r="M172">
        <v>1</v>
      </c>
    </row>
    <row r="173" spans="1:13" x14ac:dyDescent="0.25">
      <c r="A173" s="2">
        <v>46167</v>
      </c>
      <c r="B173" s="1" t="str">
        <f ca="1">IF(Información1[[#This Row],[Fecha]]='Ajuste de fechas'!$A$2,"Día actual","Día anterior")</f>
        <v>Día actual</v>
      </c>
      <c r="C173" s="3" t="s">
        <v>8</v>
      </c>
      <c r="D173" t="s">
        <v>10</v>
      </c>
      <c r="E173" s="3" t="s">
        <v>76</v>
      </c>
      <c r="F173" s="3" t="s">
        <v>21</v>
      </c>
      <c r="G173" s="3" t="s">
        <v>40</v>
      </c>
      <c r="H173" s="3" t="s">
        <v>11</v>
      </c>
      <c r="I173" s="3" t="s">
        <v>12</v>
      </c>
      <c r="J173" s="3" t="s">
        <v>48</v>
      </c>
      <c r="K173" s="3" t="s">
        <v>14</v>
      </c>
      <c r="L173" s="3" t="s">
        <v>50</v>
      </c>
      <c r="M173">
        <v>1</v>
      </c>
    </row>
    <row r="174" spans="1:13" x14ac:dyDescent="0.25">
      <c r="A174" s="2">
        <v>46167</v>
      </c>
      <c r="B174" s="1" t="str">
        <f ca="1">IF(Información1[[#This Row],[Fecha]]='Ajuste de fechas'!$A$2,"Día actual","Día anterior")</f>
        <v>Día actual</v>
      </c>
      <c r="C174" s="3" t="s">
        <v>8</v>
      </c>
      <c r="D174" t="s">
        <v>10</v>
      </c>
      <c r="E174" s="3" t="s">
        <v>13</v>
      </c>
      <c r="F174" s="3" t="s">
        <v>15</v>
      </c>
      <c r="G174" s="3" t="s">
        <v>40</v>
      </c>
      <c r="H174" s="3" t="s">
        <v>11</v>
      </c>
      <c r="I174" s="3" t="s">
        <v>12</v>
      </c>
      <c r="J174" s="3" t="s">
        <v>48</v>
      </c>
      <c r="K174" s="3" t="s">
        <v>14</v>
      </c>
      <c r="L174" s="3" t="s">
        <v>50</v>
      </c>
      <c r="M174">
        <v>1</v>
      </c>
    </row>
    <row r="175" spans="1:13" x14ac:dyDescent="0.25">
      <c r="A175" s="2">
        <v>46167</v>
      </c>
      <c r="B175" s="1" t="str">
        <f ca="1">IF(Información1[[#This Row],[Fecha]]='Ajuste de fechas'!$A$2,"Día actual","Día anterior")</f>
        <v>Día actual</v>
      </c>
      <c r="C175" s="3" t="s">
        <v>8</v>
      </c>
      <c r="D175" t="s">
        <v>10</v>
      </c>
      <c r="E175" s="3" t="s">
        <v>16</v>
      </c>
      <c r="F175" s="3" t="s">
        <v>17</v>
      </c>
      <c r="G175" s="3" t="s">
        <v>40</v>
      </c>
      <c r="H175" s="3" t="s">
        <v>11</v>
      </c>
      <c r="I175" s="3" t="s">
        <v>12</v>
      </c>
      <c r="J175" s="3" t="s">
        <v>48</v>
      </c>
      <c r="K175" s="3" t="s">
        <v>14</v>
      </c>
      <c r="L175" s="3" t="s">
        <v>50</v>
      </c>
      <c r="M175">
        <v>1</v>
      </c>
    </row>
    <row r="176" spans="1:13" x14ac:dyDescent="0.25">
      <c r="A176" s="2">
        <v>46167</v>
      </c>
      <c r="B176" s="1" t="str">
        <f ca="1">IF(Información1[[#This Row],[Fecha]]='Ajuste de fechas'!$A$2,"Día actual","Día anterior")</f>
        <v>Día actual</v>
      </c>
      <c r="C176" s="3" t="s">
        <v>8</v>
      </c>
      <c r="D176" t="s">
        <v>10</v>
      </c>
      <c r="E176" s="3" t="s">
        <v>77</v>
      </c>
      <c r="F176" s="3" t="s">
        <v>6</v>
      </c>
      <c r="G176" s="3" t="s">
        <v>40</v>
      </c>
      <c r="H176" s="3" t="s">
        <v>11</v>
      </c>
      <c r="I176" s="3" t="s">
        <v>12</v>
      </c>
      <c r="J176" s="3" t="s">
        <v>48</v>
      </c>
      <c r="K176" s="3" t="s">
        <v>14</v>
      </c>
      <c r="L176" s="3" t="s">
        <v>50</v>
      </c>
      <c r="M176">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55</v>
      </c>
      <c r="B1" t="s">
        <v>56</v>
      </c>
    </row>
    <row r="2" spans="1:2" x14ac:dyDescent="0.25">
      <c r="A2" s="2">
        <f ca="1">TODAY()</f>
        <v>46167</v>
      </c>
      <c r="B2" s="2">
        <f ca="1">A2-1</f>
        <v>46166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2026-05-26T00:26:44Z</dcterms:modified>
</cp:coreProperties>
</file>