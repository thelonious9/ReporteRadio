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vivie\Repositorios de capturas y reportes\ReporteRadio\"/>
    </mc:Choice>
  </mc:AlternateContent>
  <xr:revisionPtr revIDLastSave="0" documentId="13_ncr:1_{19C2AFDA-F697-47A7-BA42-0644D261580B}" xr6:coauthVersionLast="47" xr6:coauthVersionMax="47" xr10:uidLastSave="{00000000-0000-0000-0000-000000000000}"/>
  <bookViews>
    <workbookView xWindow="-120" yWindow="-120" windowWidth="29040" windowHeight="15720" xr2:uid="{5C0A4D95-2E1C-48C6-BF5D-23E5933B5009}"/>
  </bookViews>
  <sheets>
    <sheet name="Radio" sheetId="2" r:id="rId1"/>
    <sheet name="Ajuste de fechas" sheetId="1" r:id="rId2"/>
  </sheets>
  <definedNames>
    <definedName name="DatosExternos_1" localSheetId="0" hidden="1">Radio!$A$1:$M$83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B2" i="2" l="1"/>
  <c r="B3" i="2"/>
  <c r="B4" i="2"/>
  <c r="B5" i="2"/>
  <c r="B6" i="2"/>
  <c r="B7" i="2"/>
  <c r="B8" i="2"/>
  <c r="B9" i="2"/>
  <c r="B10" i="2"/>
  <c r="B11" i="2"/>
  <c r="B12" i="2"/>
  <c r="B13" i="2"/>
  <c r="B14" i="2"/>
  <c r="B15" i="2"/>
  <c r="B16" i="2"/>
  <c r="B17" i="2"/>
  <c r="B18" i="2"/>
  <c r="B19" i="2"/>
  <c r="B20" i="2"/>
  <c r="B21" i="2"/>
  <c r="B67" i="2"/>
  <c r="B71" i="2"/>
  <c r="B74" i="2"/>
  <c r="B77" i="2"/>
  <c r="B80" i="2"/>
  <c r="B22" i="2"/>
  <c r="B23" i="2"/>
  <c r="B24" i="2"/>
  <c r="B25" i="2"/>
  <c r="B26" i="2"/>
  <c r="B27" i="2"/>
  <c r="B28" i="2"/>
  <c r="B29" i="2"/>
  <c r="B30" i="2"/>
  <c r="B31" i="2"/>
  <c r="B32" i="2"/>
  <c r="B33" i="2"/>
  <c r="B34" i="2"/>
  <c r="B35" i="2"/>
  <c r="B36" i="2"/>
  <c r="B37" i="2"/>
  <c r="B38" i="2"/>
  <c r="B39" i="2"/>
  <c r="B40" i="2"/>
  <c r="B41" i="2"/>
  <c r="B42" i="2"/>
  <c r="B63" i="2"/>
  <c r="B65" i="2"/>
  <c r="B68" i="2"/>
  <c r="B70" i="2"/>
  <c r="B73" i="2"/>
  <c r="B76" i="2"/>
  <c r="B78" i="2"/>
  <c r="B81" i="2"/>
  <c r="B83" i="2"/>
  <c r="B43" i="2"/>
  <c r="B44" i="2"/>
  <c r="B45" i="2"/>
  <c r="B46" i="2"/>
  <c r="B47" i="2"/>
  <c r="B48" i="2"/>
  <c r="B49" i="2"/>
  <c r="B50" i="2"/>
  <c r="B51" i="2"/>
  <c r="B52" i="2"/>
  <c r="B53" i="2"/>
  <c r="B54" i="2"/>
  <c r="B55" i="2"/>
  <c r="B56" i="2"/>
  <c r="B57" i="2"/>
  <c r="B58" i="2"/>
  <c r="B59" i="2"/>
  <c r="B60" i="2"/>
  <c r="B61" i="2"/>
  <c r="B62" i="2"/>
  <c r="B64" i="2"/>
  <c r="B66" i="2"/>
  <c r="B69" i="2"/>
  <c r="B72" i="2"/>
  <c r="B75" i="2"/>
  <c r="B79" i="2"/>
  <c r="B82" i="2"/>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D715E1-36B2-47EA-B501-47E1D0A03250}" keepAlive="1" name="Consulta - Información1" description="Conexión a la consulta 'Información1' en el libro." type="5" refreshedVersion="8" background="1" saveData="1">
    <dbPr connection="Provider=Microsoft.Mashup.OleDb.1;Data Source=$Workbook$;Location=Información1;Extended Properties=&quot;&quot;" command="SELECT * FROM [Información1]"/>
  </connection>
</connections>
</file>

<file path=xl/sharedStrings.xml><?xml version="1.0" encoding="utf-8"?>
<sst xmlns="http://schemas.openxmlformats.org/spreadsheetml/2006/main" count="835" uniqueCount="185">
  <si>
    <t>Fecha</t>
  </si>
  <si>
    <t>Titular</t>
  </si>
  <si>
    <t>Dependencia</t>
  </si>
  <si>
    <t>Canal</t>
  </si>
  <si>
    <t>Tema</t>
  </si>
  <si>
    <t>Estatus</t>
  </si>
  <si>
    <t>Informativa</t>
  </si>
  <si>
    <t>Positiva</t>
  </si>
  <si>
    <t>Semot</t>
  </si>
  <si>
    <t>SEPH</t>
  </si>
  <si>
    <t>Negativa</t>
  </si>
  <si>
    <t>Día</t>
  </si>
  <si>
    <t>Radiodifusora</t>
  </si>
  <si>
    <t>Programa</t>
  </si>
  <si>
    <t>Clasificación</t>
  </si>
  <si>
    <t>Autor</t>
  </si>
  <si>
    <t>Género</t>
  </si>
  <si>
    <t>Gobierno del estado</t>
  </si>
  <si>
    <t>Noticia</t>
  </si>
  <si>
    <t>Opinión</t>
  </si>
  <si>
    <t>Boletín</t>
  </si>
  <si>
    <t>Recuento</t>
  </si>
  <si>
    <t>Día actual</t>
  </si>
  <si>
    <t>Día anterior</t>
  </si>
  <si>
    <t>Entrevista</t>
  </si>
  <si>
    <t>Segobh</t>
  </si>
  <si>
    <t>RADIO LOCAL</t>
  </si>
  <si>
    <t>NQ 90.1 FM</t>
  </si>
  <si>
    <t>Enlace Hidalgo1</t>
  </si>
  <si>
    <t>Jesús Riveros</t>
  </si>
  <si>
    <t>Juan Carlos Santamaría</t>
  </si>
  <si>
    <t>PGJEH</t>
  </si>
  <si>
    <t>Enlace Hidalgo2</t>
  </si>
  <si>
    <t>Radioescucha</t>
  </si>
  <si>
    <t>Ke Buena 106.7 FM</t>
  </si>
  <si>
    <t>Noticias 106.7</t>
  </si>
  <si>
    <t>David Cárdenas</t>
  </si>
  <si>
    <t>SSPH</t>
  </si>
  <si>
    <t>Ayuntamiento</t>
  </si>
  <si>
    <t>Alcaldías</t>
  </si>
  <si>
    <t>Otros</t>
  </si>
  <si>
    <t>Presidencia</t>
  </si>
  <si>
    <t>Presidencia de la República</t>
  </si>
  <si>
    <t>Gobernador</t>
  </si>
  <si>
    <t>Radio Lobo 96.7 FM</t>
  </si>
  <si>
    <t>Enlace Noticias</t>
  </si>
  <si>
    <t>Gina Lorenzo</t>
  </si>
  <si>
    <t>Apps de transporte</t>
  </si>
  <si>
    <t>Irving Sánchez</t>
  </si>
  <si>
    <t>Sipdus</t>
  </si>
  <si>
    <t>Combate Al Narcomenudeo</t>
  </si>
  <si>
    <t>Día De Muertos</t>
  </si>
  <si>
    <t>La titular de la Secretaría del Bienestar, Leticia Ramírez, anunció el calendario de pagos correspondiente al último bimestre de 2026, noviembre-diciembre, mediante el cual las personas beneficiarias de las pensiones y programas sociales recibirán sus apoyos económicos a partir del martes 3 de noviembre y hasta el viernes 27 de ese mes. De acuerdo con la información proporcionada, la dispersión de los recursos se realizará de manera escalonada, conforme a la primera letra del apellido de las personas derechohabientes, con el propósito de organizar la entrega de los apoyos a través del Banco del Bienestar. En el marco de la conferencia mañanera de la presidenta de México, Claudia Sheinbaum Pardo, se dio a conocer que el calendario comenzaría el martes 3 de noviembre con las personas cuyo primer apellido inicia con la letra A, mientras que el miércoles 4 corresponderá a quienes tienen la letra B. La distribución continuaría durante las siguientes semanas hasta concluir el viernes 27 de noviembre, fecha prevista para los beneficiarios cuyos apellidos comienzan con las letras W, X, Y y Z. Cabe mencionar que este depósito corresponde al sexto y último bimestre del año, por lo que representaría el último pago ordinario de 2026 para las personas inscritas en los programas contemplados en la dispersión.</t>
  </si>
  <si>
    <t>Programas Del Bienestar</t>
  </si>
  <si>
    <t>Protesta Transportistas</t>
  </si>
  <si>
    <t>Abasto De Agua</t>
  </si>
  <si>
    <t>Súper Stéreo 100.5 FM</t>
  </si>
  <si>
    <t>Enfoque Regional Matutino</t>
  </si>
  <si>
    <t>Christian García</t>
  </si>
  <si>
    <t>Acir 92.5 FM</t>
  </si>
  <si>
    <t>Panorama Informativo</t>
  </si>
  <si>
    <t>Eulalio Larrieta</t>
  </si>
  <si>
    <t>Eulalio Larrieta agradece Hans Islas del ayuntamiento de Mineral de la Reforma , por su apoyo en pasar los reportes.</t>
  </si>
  <si>
    <t>Atención a la ciudadanía</t>
  </si>
  <si>
    <t>Eulalio Larrieta informa que Jorge Hernández del ayuntamiento de Pachuca, esta al pendiente de todos los reportes de la ciudadania del Municipio de Pachuca</t>
  </si>
  <si>
    <t>Eulalio Larrieta agradece a Carlos Gamiño por estar al pendiente de temas.</t>
  </si>
  <si>
    <t>Congreso</t>
  </si>
  <si>
    <t>Eulalio Larrieta agradece a Edith Balderas de la Secretaria de Educación Pública.</t>
  </si>
  <si>
    <t>Eulalio Larrieta agradece a Uriel Ramirez y Jair Martínez de la SEGOBH, porque esta al pendiente de lo que se necesite y los reportes.</t>
  </si>
  <si>
    <t>Eulalio Larrieta agradece a Cristian Yahir Castañeda supervisor de la región Pachuca quien nos va atender los reportes que correspondan a la SEMOT</t>
  </si>
  <si>
    <t>Eulalio Larrieta agradece Paola García y Lic. Sarahi Pineda, por estar atentas a los mensajes de la ciudadanía y por atenderlos.</t>
  </si>
  <si>
    <t>Enfoque Regional Meridiano</t>
  </si>
  <si>
    <t>Conflicto agrario</t>
  </si>
  <si>
    <t>Jesús González</t>
  </si>
  <si>
    <t>Reportaje</t>
  </si>
  <si>
    <t>Entrega de reconocimientos</t>
  </si>
  <si>
    <t>Explosión</t>
  </si>
  <si>
    <t>Hoy no circula</t>
  </si>
  <si>
    <t>Visita Sheinbaum</t>
  </si>
  <si>
    <t>Radioescucha Karen Zepeda. «Muy buenos días, licenciado Larrieta, para comentarte que en la colonia Juan C. Doria llevamos una semana sin agua...»</t>
  </si>
  <si>
    <t>Radioescucha dice: “Hola, muy buenos días, Lalo Larrieta. Disculpe la molestia, pero en Rinconadas de San Francisco, Mineral de la Reforma, tenemos tres días sin agua “</t>
  </si>
  <si>
    <t>Locutor Jesús Riveros da lectura a comentario de radioescucha que reporta, la falta de suministro de agua potable en el fraccionamiento El Palmar, en la capital del estado de Hidalgo. Ante esta situación, se realizó un llamado de atención a la CAASIM para conocer las causas y la posible solución a esta problemática que afecta a los habitantes de la zona.</t>
  </si>
  <si>
    <t>Locutor David Cárdenas destacó la labor de la Secretaría de Agricultura y Desarrollo Rural (Saderh) encabezada por Napoleón González Pérez, enfocada en dotar de herramientas e insumos a los productores del campo de Nopala para hacer más rentable y eficiente su labor. Asimismo, se enfatizó la necesidad de impulsar programas exclusivos para las nuevas generaciones de hijos de campesinos, buscando motivar el relevo generacional ante el abandono que el campo ha sufrido por parte de administraciones anteriores y brindarles mayores oportunidades de desarrollo productivo.</t>
  </si>
  <si>
    <t>Saderh</t>
  </si>
  <si>
    <t>Apoyo Al Agro</t>
  </si>
  <si>
    <t>La Secretaría de Agricultura y Desarrollo Rural de Hidalgo (Saderh) anunció un programa enfocado en apoyar a las nuevas generaciones de hijos de campesinos dedicados al sector agropecuario, con el fin de facilitar herramientas que hagan más rentable y eficiente el trabajo de la tierra. Este anuncio se dio durante una reunión en Nopala, donde se entregaron 2,918,088 pesos en insumos agrícolas y pecuarios —como semillas, aves, ganado porcino, herramientas y árboles frutales— a 481 productores de la región. En el evento estuvieron presentes alcaldes de Nopala de Villagrán, Huichapan, Tecozautla y Chapantongo para coordinar acciones en favor del desarrollo rural</t>
  </si>
  <si>
    <t>La ventanilla recibe solicitudes para análisis de suelos, instalación de invernaderos para mujeres y subsidios por afectaciones agrícolas y pecuarias. Productores agrícolas y pecuarios de Tulancingo podrán solicitar apoyos estatales hasta este miércoles 28 de octubre, a través de una ventanilla habilitada por la Secretaría del Campo municipal para gestionar programas de análisis de suelos, instalación de invernaderos y atención a catástrofes en el sector rural. La recepción de documentos se realiza de 8:30 a 16:00 horas en la Dirección de Gestión y Fomento. Los requisitos varían según el programa y, para resolver dudas, la dependencia puso a disposición el teléfono 775 755 8450, extensión 1239. Entre los apoyos disponibles se encuentra Análisis de Suelos, que contempla la toma de muestras. Las personas interesadas deben presentar identificación oficial vigente, CURP actualizado y comprobante de domicilio. El componente Mujeres que Transforman el Campo, destinado al establecimiento de módulos de invernadero, requiere además acreditar la propiedad o posesión legal del terreno, entregar un croquis para ubicarlo y presentar una carta bajo protesta de decir verdad que confirme que el predio cuenta con tierra apta para cultivo y agua suficiente para el riego. Para acceder a los subsidios por catástrofes agrícolas y pecuarias, los solicitantes deberán entregar fotografías impresas que permitan identificar las afectaciones parciales o totales en sus cultivos o unidades productivas. La Secretaría del Campo municipal informó que estas gestiones buscan acercar a los productores los programas impulsados por el Gobierno de Hidalgo y fortalecer las actividades agrícolas y pecuarias, de las que dependen numerosas familias. La coordinación con los gobiernos estatal y federal busca ampliar el acceso a recursos y herramientas para atender las necesidades del sector rural y mejorar las condiciones de quienes trabajan la tierra.</t>
  </si>
  <si>
    <t>Hidalgo apuesta por el futuro del campo con oportunidades para jóvenes</t>
  </si>
  <si>
    <t>Entrevista con Miguel Saviñón sobre sus aspiraciones políticas y la estructura del PVEM en Tula. En la línea telefónica al delegado municipal del Partido Verde Ecologista de México (PVEM) aquí en Tula, el licenciado Miguel Saviñón, mi querido Saviñón, Savi como muchos también lo conocen, ¿cómo estás? Buenos días. "Muy bien, amigo Cristian, muchísimas gracias por la oportunidad, atesoro de sobremanera el espacio y un saludo muy cordial para toda la audiencia que sé que es muy vasta de este noticiero Retrovisor y de Super Estéreo. Muchas gracias, mi querido Miguel Saviñón, pues tenemos la oportunidad de poderte conocer y de verte a lo largo de los años también cómo te has desarrollado aquí en Tula ahora como delegado municipal del Partido Verde Ecologista de México y bueno pues se empiezan a correr también ya los procesos, procesos que serán para conocer quiénes irán dentro de ellos y quiénes participarán el siguiente año y saber y conocer de tu viva voz, mi querido Saviñón, si tú vas a participar, si tú quisieras estar dentro de esta contienda. Fíjate amigo que durante el transitar en la vida pública, en la política, pues siempre he tenido yo aspiraciones personales, sin embargo siempre he sido yo muy prudente y he seguido lo que ha indicado la dirigencia de cada uno de los institutos políticos donde he militado. Hoy en el Partido Verde Ecologista todavía no está nada definido, por supuesto que si en algún momento el partido dispone de mi perfil para estar dentro de la candidatura a la contienda para la presidencia municipal, pues lo haré yo con mucho entusiasmo y con mucho compromiso, sin embargo aún no se sabe, hoy estamos muy enfocados en seguir trabajando, en seguir aceitando la maquinaria de las estructuras del Partido Verde, estamos con el programa de la afiliación y seguir trabajando muy cercanos a la gente con propuestas muy sostenibles y sustentables en el tema ambiental, en el tema social y eso es lo que ahorita estamos muy enfocados en mi posición como delegado municipal del Partido Verde aquí en Tula y pues seguir invitando a la gente a que se sume a un proyecto donde tenemos muchas propuestas y muchas ideas innovadoras para Tula y por supuesto mucho compromiso y muchas muchas ganas de hacer las cosas bien."</t>
  </si>
  <si>
    <t>Aspirantes</t>
  </si>
  <si>
    <t>La Dirección de Protección Civil de Mineral de la Reforma determinó la clausura del establecimiento denominado Time Motel, ubicado sobre la carretera Pachuca-Ciudad Sahagún, derivado de una inspección en la que se identificó el incumplimiento de requisitos documentales y medidas de seguridad.Durante la verificación, el establecimiento no presentó el Programa Interno de Protección Civil ni la Opinión Técnica de Medidas de Seguridad vigente. Asimismo, se constató la falta de señalética y extintores, así como la ausencia de dictámenes estructurales.</t>
  </si>
  <si>
    <t>Clausura De Establecimiento</t>
  </si>
  <si>
    <t>La Policía en Hidalgo aseguró 29,000 litros de hidrocarburo y detuvo a una persona en Sempuala. Resulta que hubo un accidente, llegó la policía y detectaron durante la revisión que transportaba cerca de 30,000 litros de combustible»</t>
  </si>
  <si>
    <t>Combate al huachicol</t>
  </si>
  <si>
    <t>La Agencia de Investigación Criminal detuvo a tres personas en la localidad de Xochitlán de las Flores, aquí en Tula de Allende, por su presunta posesión de narcóticos y armas de fuego. Se trata de dos mujeres y un hombre.</t>
  </si>
  <si>
    <t>La Procuraduría General de Justicia del Estado de Hidalgo, a través de la Agencia de Investigación Criminal (AIC), detuvo a tres personas en posesión de sustancias con características de narcóticos, así como armas de fuego y cartuchos útiles.</t>
  </si>
  <si>
    <t>Fueron detenidas tres personas en posesión de narcóticos y armas de fuego, presentados ya están ante el Ministerio Público.</t>
  </si>
  <si>
    <t>Y también allá, en Ixmiquilpan, vecinos de la comunidad de Julián Villagrán, bloquearon la carretera federal México-Laredo para exigir la liberación de Macario N. y Lorenzo N., recluidos en el Cerezo de Pachuca por el presunto delito de despojo, en medio de un conflicto limítrofe con Pueblo Nuevo. Los manifestantes señalaron que protestaron por la falta de avances en el proceso legal.</t>
  </si>
  <si>
    <t>Un automovilista resultó ileso tras ser atacado a balazos en la colonia Santa Alicia, ahí en Ixmiquilpan. Su camioneta Chevrolet S10 presentó impactos en el parabrisas y en el marco de una puerta. El conductor, vecino de El Nith, señaló que un hombre en una motocicleta negra tipo chopper se le acercó y disparó contra la unidad antes de escapar. El afectado refirió que mantiene diferencias con el presunto agresor por la posesión de unos predios.</t>
  </si>
  <si>
    <t>Conflicto por predio</t>
  </si>
  <si>
    <t>Continuamos con la información, porque mire, ayer se llevaron a cabo diversas movilizaciones en el municipio de Ixmiquilpan, alrededor de 50 habitantes de la localidad de Los Pinos se manifestaron de manera pacífica frente a la presidencia municipal de Ixmiquilpan, portando cartulinas con mensajes dirigidos a las autoridades municipales y llamados a poner fin a los conflictos entre comunidades.</t>
  </si>
  <si>
    <t>Conflicto Territorial</t>
  </si>
  <si>
    <t>SEPH promueve entornos escolares seguros, inclusivos y libres de violencia</t>
  </si>
  <si>
    <t>Convivencia Escolar</t>
  </si>
  <si>
    <t>Vía telefónica a la secretaria de Cultura del Gobierno de Hidalgo, Neyda Naranjo Baltazar con el tema: Día de muertos</t>
  </si>
  <si>
    <t>Cultura</t>
  </si>
  <si>
    <t>Entrevista pautada</t>
  </si>
  <si>
    <t>Y miren en otra información, le queremos comentar que comerciantes de temporada esperan un incremento en sus ventas de un 5% a 10%, toda la información con nuestra compañera Claudia Alcántara. Se espera un incremento del 5% al 10% en las ventas principalmente en florerías, dulcerías y tiendas de disfraces, entre otros artículos para la celebración del Día de Muertos. Algunos comerciantes reconocen que se ha perdido la tradición de los altares para honrar a nuestros muertos, pero también hay quien continúa con esta bella tradición."Las tradiciones, el no olvidar a nuestros muertos, el rendirles un culto y que siempre están en nuestras mentes y en los corazones de uno. Está accesible, todavía podemos con él, pues está económico, es el más económico ahorita que hemos encontrado. ¿Cuánto? 50 pesos."Acudimos a algunos lugares de venta de flor de temporada y varían los precios. Hay desde 30 pesos un manojo de cempasúchil. Aquí la recomendación es buscar para no perder nuestras tradiciones.</t>
  </si>
  <si>
    <t>Danza, música y una ofrenda integral es la jornada cultural gratuita en el Centro de las Artes por el Día de Muertos.</t>
  </si>
  <si>
    <t>Vía telefónica Jerusalem Kuri del Campo Directora General del Museo Interactivo El Rehilete con el tema: Noches de Terror. Este 29 de octubre tenemos el concurso de altares. En él hicimos la convocatoria en su momento dirigida a alumnos desde primaria, secundaria, media superior y superior. Ellos van a poner su altar en el Museo El Rehilete.</t>
  </si>
  <si>
    <t>Con el propósito de preservar las tradiciones mexicanas, fortalecer la identidad comunitaria y promover la convivencia familiar, el Ayuntamiento de Mineral de la Reforma realizará la tercera edición del Festival de Día de Muertos “Chicomecóatl”, del 27 de octubre al 2 de noviembre, con actividades para todos los sectores de la población.A través de la Secretaría del Bienestar para la Comunidad, el gobierno municipal, prepara una programación que reunirá expresiones artísticas, música, danza, teatro, literatura y actividades tradicionales en sedes como La Calera, el Centro Mineralense de las Artes (CEMART), Pachuquilla y los panteones municipales.En esta edición, la figura de Chicomecóatl, diosa del maíz y la fertilidad, será el eje simbólico de las actividades, al representar el ciclo de la vida, la memoria y el regreso al hogar. Las actividades comenzarán el martes 27 de octubre en el Hospital con Garra, en La Calera, donde se llevará a cabo una feria de adopciones, el concurso de disfraces de perros y gatos 2026, una presentación escénica sobre la leyenda delxoloitzcuintle y la inauguración de un altar y un muro conmemorativo. Con ello, el festival incorpora el bienestar animal como parte fundamental de la celebración.</t>
  </si>
  <si>
    <t>Susana Fuentes, integrante del comité organizador, invitó a la ciudadanía a la celebración del Día de Muertos en la histórica Fundición de Apulco, ubicada en Ferrería, municipio de Metepec (a 30 minutos de Tulancingo). El evento se llevará a cabo el próximo sábado 31 a partir de las 6:00 p.m. y ofrecerá un recorrido enfocado en mitos y leyendas locales —como "La Bruja de Hierro" y "El Guardián de la Fundición"—, además de tours nocturnos, música en vivo, comida, concurso de disfraces y actividades para toda la familia. El costo de acceso es de 100 pesos por adulto y 50 pesos para niños de 6 a 12 años (los menores de 6 años entran gratis), contando también con opciones de hospedaje y reservaciones previas a través de sus redes sociales o vía telefónica.</t>
  </si>
  <si>
    <t>Como parte del programa Regreso a Casa: Día de Muertos Pachuca 2026, el Ayuntamiento de Pachuca invita a la ciudadanía a participar en los recorridos de terror en el Panteón Municipal, una de las actividades preparadas para celebrar las tradiciones de esta temporada. Los recorridos se realizarán los días 27, 28, 29 y 31 de octubre, en un horario de 19:00 a 22:00 horas, con una duración aproximada de 40 minutos por circuito. Para cada recorrido se contempla un aforo aproximado de 150 personas, por lo que se recomienda a las y los asistentes acudir con ropa cómoda para disfrutar de esta experiencia. Con esta propuesta, el Ayuntamiento de Pachuca busca ofrecer alternativas culturales y recreativas para celebrar el Día de Muertos, al tiempo que aprovecha espacios emblemáticos de la ciudad para acercar a la población a las tradiciones de estas fechas.</t>
  </si>
  <si>
    <t>También el gobernador de Hidalgo, Julio Menchaca Salazar, destacó el fortalecimiento de las finanzas estatales, con un incremento en la recaudación propia y una reducción de cuarenta y dos por ciento en la deuda pública. De acuerdo con cifras estatales, los ingresos propios pasaron de cuatro mil novecientos dieciséis millones de pesos en dos mil veintiuno, a más de nueve mil seiscientos treinta y seis millones en dos mil veinticinco, lo que representa un aumento del noventa y seis por ciento.</t>
  </si>
  <si>
    <t>Disciplina financiera</t>
  </si>
  <si>
    <t>Nos vamos hasta el estado de Hidalgo, reconoce Julio Menchaca la trayectoria y vocación del personal médico de Hidalgo. Distinguió a 18 profesionales por su dedicación al cuidado de la salud, en reconocimiento a la experiencia, profesionalismo y compromiso social de quienes dedican su vida al cuidado de la salud. El gobernador de Hidalgo, Julio Menchaca Salazar, encabezó la entrega de medallas y reconocimientos a 18 médicas y médicos cuya labor ha contribuido al bienestar de las familias hidalguenses. Vamos a escuchar parte de lo que destaca el mandatario de allá del estado de Hidalgo, Julio Menchaca Salazar.</t>
  </si>
  <si>
    <t>Son ya las siete de la mañana con once minutos y vamos con la información porque hay muchas cosas que compartirle en este miércoles, en esta mitad de semana. Miren, el gobernador de Hidalgo, Julio Menchaca Salazar, entregó medallas y reconocimientos a diecinueve médicas y médicos por su trayectoria de aportaciones a la salud en la entidad.</t>
  </si>
  <si>
    <t>Reconoce Julio Menchaca la trayectoria y vocación del personal médico de Hidalgo.</t>
  </si>
  <si>
    <t>Reconoce Julio Menchaca la trayectoria y vocación del personal médico de Hidalgo</t>
  </si>
  <si>
    <t>Se registró una explosión en una funeraria. Esto fue en la calle Mariano Arista, allá en Pachuca, que dejó como saldo a una persona lesionada y movilizó elementos de emergencia. El incidente habría sido provocado por una posible acumulación de gas.</t>
  </si>
  <si>
    <t>Radioescucha Lalo, saludos a todos de parte de tu amigo Gerardo Islas y toda la comunidad de Chavarría, La Calera, El Pedregal, comentando que hoy el «Hoy No Circula»... la realidad es que el gobierno y Semoth quier</t>
  </si>
  <si>
    <t>El Ayuntamiento de Pachuca, a través de la Secretaría de las Mujeres, realizó el Primer Encuentro de Mujeres de Pachuca “Dialogamos, construimos y avanzamos en la agenda”, un espacio de análisis, diálogo y construcción colectiva para visibilizar las necesidades de las mujeres y fortalecer las políticas públicas municipales con perspectiva de género.Con el impulso del presidente municipal Jorge Reyes, este encuentro reunió propuestas y experiencias para avanzar en la igualdad sustantiva y contribuir a garantizar una vida libre de violencia para las mujeres de la capital hidalguense.</t>
  </si>
  <si>
    <t>Perspectiva de género</t>
  </si>
  <si>
    <t>La Secretaría de Bienestar e Inclusión Social (Sebiso) llevó a cabo una gira de trabajo de dos días por municipios de la Huasteca y la Sierra Alta de Hidalgo, abarcando localidades como Xochiatipan, Huautla, Atlapexco, Huazalingo, Tlanchinol, Tepehuacán de Guerrero y Tianguistengo. Durante esta gira se entregaron 4,325 tarjetas de los programas Bienestar y Desarrollo y Madres Trabajadoras para evitar gastos de traslado a las familias beneficiarias. Asimismo, se distribuyeron paquetes de cacao y azúcar en Huazalingo y Tianguistengo para la elaboración de chocolate con motivo de las próximas festividades tradicionales y del Xantolo.</t>
  </si>
  <si>
    <t>Bienestar</t>
  </si>
  <si>
    <t>Programas Del Pueblo</t>
  </si>
  <si>
    <t>Lleva Sebiso apoyos directos a comunidades de la Huasteca y la sierra</t>
  </si>
  <si>
    <t>Tras acordar el diálogo con autoridades, los transportistas accedieron a retirar los bloqueos que mantenían en varios puntos carreteros. Esto lo informó la Secretaría de Gobernación. Los representantes de la Canacar realizarán mesas de diálogo con las dependencias competentes para abordar temas de seguridad carretera, de infraestructura, de asuntos fiscales, de seguridad social y condiciones laborales. Esto lo detalló la dependencia.</t>
  </si>
  <si>
    <t>El diputado Miguel Moreno Zamora afirmó que cuentan con un plan B en caso de que los municipios no aprueben la reforma al artículo 141 de la Constitución de Hidalgo, que facultaría a los alcaldes para firmar contratos sin consultar al cabildo. De acuerdo con el último corte oficial citado por el legislador, quince municipios han votado en contra de la minuta y trece a favor. Moreno Zamora no detalló en qué consiste la alternativa.</t>
  </si>
  <si>
    <t>Reforma a contrataciones municipales</t>
  </si>
  <si>
    <t>El relleno sanitario municipal de Tepeji del Río, estaría cerca de alcanzar su máxima capacidad, por lo que el gobierno local analiza adquirir un terreno para habilitar un nuevo confinamiento de residuos sólidos urbanos, la directora de Medio Ambiente, Vania Hipólito Barrera, informó la propuesta a integrantes del ayuntamiento, pero no precisó dónde se ubicaría el predio, debido al tiempo que resta a la actual administración, el proyecto podría quedar pendiente y ser heredado al gobierno municipal 2027-2030.</t>
  </si>
  <si>
    <t>Relleno Sanitario</t>
  </si>
  <si>
    <t>La presidenta de México, Claudia Sheinbaum, informó que su administración trabaja en el saneamiento de los ríos Lerma, Santiago, Atoyac y Tula. La mandataria señaló la importancia de intervenir en estas cuencas ante las afectaciones a la salud que se registran entre habitantes de las comunidades cercanas, particularmente por la presencia de padecimientos renales, situación que destacó como uno de los motivos para avanzar en los trabajos de recuperación ambiental. “ Se está trabajando eh tres ríos, los ríos más contaminados de México. El Atoyac, el segundo es el Lerma Santiago, y el tercero es el río Tula y todos sus afluentes, que también es un río eh pues muy contaminado, junto con la presa Endhó, que es una presa que en donde salen las descargas de agua de la zona metropolitana del Valle de México”</t>
  </si>
  <si>
    <t>Restauración ecológica</t>
  </si>
  <si>
    <t>El Instituto Mexicano del Seguro Social (IMSS) en Hidalgo reitera su llamado a la población para participar en la Campaña Nacional de Vacunación correspondiente a la temporada invernal 2026-2027, cuyo objetivo es prevenir enfermedades respiratorias y proteger la salud de las familias derechohabientes.La estrategia contempla la aplicación de vacunas contra influenza estacional y COVID-19, además de fortalecer la cobertura de biológicos como neumococo, dirigidos a los grupos de población que presentan mayor riesgo de complicaciones.</t>
  </si>
  <si>
    <t>Vacunación</t>
  </si>
  <si>
    <t>El Instituto Mexicano del Seguro Social (IMSS) en Hidalgo reforzó el llamado a la población para participar en la Campaña Nacional de Vacunación para la temporada invernal 2026-2027, que contempla la aplicación de dosis contra influenza estacional, COVID-19 y neumococo, de acuerdo con los grupos de riesgo. La estrategia tiene como objetivo prevenir enfermedades respiratorias y reducir el riesgo de complicaciones, principalmente entre los sectores más vulnerables de la población.</t>
  </si>
  <si>
    <t>Radioescucha manda audio y comenta muchos baches en la calle de Allende</t>
  </si>
  <si>
    <t>Vialidad en mal estado</t>
  </si>
  <si>
    <t>Continuando con la presidenta de México, Claudia Sheinbaum, cabe recordar que tiene prevista una agenda de trabajo aquí en Hidalgo que contempla su presencia en Pachuca mañana jueves para encabezar la entrega de apoyos a las personas afectadas por la vaguada monzónica. Asimismo, se espera que el viernes la mandataria federal realice un recorrido de supervisión por las obras del tren que conectará el Aeropuerto Internacional Felipe Ángeles con la capital hidalguense, como parte del seguimiento a tra- a este proyecto de infraestructura ferroviaria</t>
  </si>
  <si>
    <t>Antes de que concluya el año, el Congreso de Hidalgo realizará foros de discusión para analizar la posible regulación de Uber y otras plataformas digitales de transporte en la entidad. Así lo anunció el presidente de la Junta de Gobierno, Andrés Velázquez Vázquez, quien señaló que se escucharán las opiniones de sindicatos de transportistas, inversionistas y otros sectores involucrados. Por ahora, no existe una fecha definida para los foros, ni una propuesta de regulación aprobada."Hace 20 años, pues no habían esas plataformas, entonces, pues sí se les dio, hubo bastantes concesiones, pero creo que como todo va variando las plataformas, muchos temas de reparto y todo eso, pues sí tenemos que elegir. Estas circunstancias son obligadas porque a mayor oferta, los servicios se abaratan o hay una competencia y mejora siempre, ese tipo de cosas. Pero yo estaré en la disposición de analizar con prontitud para que también tengamos una respuesta para ver qué pasa si hay de que ingresan esas plataformas. Espero que sí, claro. Estamos abiertos a todas las ideas. Los congresos debemos estar conscientes que las circunstancias económicas van variando. Hoy vemos en día la inteligencia artificial, vemos en día servicios que antes no existían y que tenemos que nos adaptar."</t>
  </si>
  <si>
    <t>Panorama Informativo Pachuca</t>
  </si>
  <si>
    <t>Eulalio Larrieta agradece a Uriel Ramírez, y Jair Martínez de la SEGOBH, porque esta al pendiente de lo que se necesite y los reportes.</t>
  </si>
  <si>
    <t>Eulalio Larrieta agradece Hans Islas del ayuntamiento de Mineral de la Reforma , por su apoyo en pasar los reportes</t>
  </si>
  <si>
    <t>El Ayuntamiento de Mineral de la Reforma, encabezado por el presidente municipal, Eduardo Medécigo Rubio, y la Secretaría de Salud de Hidalgo (SSH) realizaron la Macro Jornada de Esterilización en la Explanada Principal de Pachuquilla, en la cual se intervinieron 200 perros y gatos. Eduardo Medécigo, reconoció que las campañas permanentes resultan insuficientes ante la alta demanda, por lo que se impulsó esta macro jornada. Destacó que las instalaciones de la presidencia municipal son pet friendly, así como la transformación de la antigua perrera municipal en el Hospital con Garra, que ofrece servicios veterinarios completos, incluido crematorio</t>
  </si>
  <si>
    <t>Campaña de esterilización</t>
  </si>
  <si>
    <t>En el presente año, Conagua atendió varios municipios de Hidalgo, donde realizó limpieza y desazolve de drenajes, pozos de visita, fosas sépticas. Además, mantiene un operativo de prevención mediante monitoreo en los ochenta y cuatro municipios hidalguenses."Tanto Conagua como con el estado, estamos estrechamente comunicados y trabajando conjuntamente. Yo creo que aquí lo importante ha sido este trabajo coordinado que hemos hecho con las áreas de obras públicas, también incluimos a los municipios, pero el trabajo coordinado más fuerte ha sido federación a través de la Conagua con gobierno del estado."</t>
  </si>
  <si>
    <t>Desazolve</t>
  </si>
  <si>
    <t>Con la finalidad de destinar agua para riego, la Comisión Nacional del Agua (Conagua), a través de su Dirección Local Hidalgo, continúa realizando acciones de desfogue controlado y programado de la presa Endhó, de 1.515 metros cúbicos por segundo (m3/s), sin que dichas maniobras representen riesgos para la población.Además, este embalse presenta un almacenamiento de 101.7 por ciento (%) de su capacidad. En cuanto a los niveles de almacenamiento de los embalses de esta región, la Conagua informa que, las presas que administra en el Valle de México, incluyendo la presa Endhó, cuentan con un almacenamiento global de 95 %.La presa Taxhimay se encuentra a 97.2 % de su capacidad, la presa Requena a 68.1 % mien con 41.158 Mm3; finalmente, la Vicente Aguirre se encuentra a 98.5 % de su capacidad.Para la región del Golfo Norte, la presa La Esperanza se encuentra al 100 % mientras que la presa Ing. Fernando Hiriart Balderrama, ubicada en el municipio de Zimapán, registra un 89.3 % de almacenamiento.</t>
  </si>
  <si>
    <t>Desfogue De Presa</t>
  </si>
  <si>
    <t>Canal 12 Huejutla</t>
  </si>
  <si>
    <t>Contacto Informativo N</t>
  </si>
  <si>
    <t>Vía telefónica a la secretaria de Cultura del Gobierno de Hidalgo, Neyda Naranjo Baltazar con el tema: Celebración del Día de Muertos, Celebración del De muertos: Presencia de Hidalgo en Berlín y Desfile alusivo al día de Muertos.</t>
  </si>
  <si>
    <t>Rubén Juárez</t>
  </si>
  <si>
    <t>Vía telefónica Prentice Escamilla. dir de vinculación de la secretaria de cultura del Gobierno de Hidalgo, con el tema: Celebración del Día de Muertos, Celebración del De muertos: Presencia de Hidalgo en Berlín y Desfile alusivo al día de Muertos.</t>
  </si>
  <si>
    <t>Miled 97.1 FM</t>
  </si>
  <si>
    <t>Línea En Alta Tensión</t>
  </si>
  <si>
    <t>María Antonieta Islas</t>
  </si>
  <si>
    <t>El Ayuntamiento de Pachuca prepara el Panteón Municipal para recibir a cerca de 20 mil visitantes durante las celebraciones del Día de Muertos, con trabajos integrales de mantenimiento, limpieza y acondicionamiento de las instalaciones, así como acciones de seguridad y prevención para garantizar una estancia ordenada y segura a las familias.La Secretaría de Servicios Públicos Municipales ha reforzado las labores para dejar el recinto en condiciones adecuadas, mediante trabajos de limpieza general, deshierbe, poda y mantenimiento de áreas verdes, además del acondicionamiento de espacios comunes y senderos. Asimismo, atenderá las necesidades de limpieza durante la jornada y garantizará el abasto de agua no potable para las labores de mantenimiento y servicios del panteón, a fin de mantener en buenas condiciones las instalaciones ante la llegada de miles de personas.En materia de seguridad, la Secretaría de Seguridad Pública, Tránsito y Vialidad desplegará un dispositivo especial del 31 de octubre al 2 de noviembre, con acciones de prevención, vigilancia y control vehicular en distintos panteones de la capital.Por su parte, Protección Civil municipal mantendrá unidades en puntos estratégicos y realizará recorridos a pie al interior y exterior del Panteón Municipal, con especial atención durante los días de mayor afluencia. El horario de visita será de 8:00 a 17:00 horas.</t>
  </si>
  <si>
    <t>En cabina, participación de Jorge Hernández, director de Comunicación Social del Ayuntamiento de Pachuca, con el tema: Festejos de día de Muertos</t>
  </si>
  <si>
    <t>Participación</t>
  </si>
  <si>
    <t>Vía telefónica a la secretaria de Cultura del Gobierno de Hidalgo, Neyda Naranjo Baltazar .</t>
  </si>
  <si>
    <t>Pasando a otra información, en la localidad de Doxey, municipio de Tlaxcoapan, se realiza la venta de flor de cempasúchil, una de las más buscadas durante la temporada de Día de Muertos. La flor se ofrece para adornar altares y tumbas. La actividad representa una opción para quienes buscan adquirirla directamente en esta comunidad y también un apoyo a los productores. Pero no solamente el cempasúchil tradicional.</t>
  </si>
  <si>
    <t>El gobernador Julio Menchaca descartó la aplicación del «Hoy No Circula» para reducir el tráfico vehicular en la Zona Metropolitana de Pachuca...</t>
  </si>
  <si>
    <t>Hoy No Circula</t>
  </si>
  <si>
    <t>Siete de la mañana con ocho minutos, mire también este tema ayer fue tema de conversación durante toda la tarde y lo será a lo largo de estos días y durante el fin de semana seguramente, porque el gobernador de Hidalgo, Julio Menchaca Salazar, descartó la implementación del programa Hoy no Circula, para reducir el tráfico en la zona metropolitana de Pachuca, al considerar que es una medida complicada para la ciudad</t>
  </si>
  <si>
    <t>Vía telefónica diputada Karla Perales con el tema: Iniciativas presentadas en el Congreso del Estado en el Parlamento Infantil. Anunció la realización de la décima tercera edición del Parlamento Infantil los días 18, 19 y 20 de noviembre en el Congreso del Estado de Hidalgo, espacio donde niñas y niños presentarán iniciativas enfocadas principalmente en la protección del medio ambiente. En el ámbito distrital (Mineral de la Reforma), la legisladora destacó actividades comunitarias en el fraccionamiento Los Tuzos y en la colonia Forjadores</t>
  </si>
  <si>
    <t>Parlamento infantil</t>
  </si>
  <si>
    <t>El Siete de la mañana ya con siete minutos, el gobernador Julio Menchaca Salazar informó que durante su administración el presupuesto destinado a la cultura en Hidalgo aumentó 150%, esto con el propósito de fortalecer la creación artística y preservar las tradiciones de la entidad. Durante un evento entregó estímulos a 85 proyectos del programa de estímulo a la creación y desarrollo artístico PECDA y reconocimientos a otras 35 iniciativas culturales</t>
  </si>
  <si>
    <t>PECDA</t>
  </si>
  <si>
    <t>Menchaca impulsa el talento que lleve la cultura hidalguense más allá de sus fronteras. El Programa para la Transformación Artística y Cultural impulsa 35 proyectos con una inversión total de 780 mil pesos</t>
  </si>
  <si>
    <t>OCSAD</t>
  </si>
  <si>
    <t>Arrancamos con la información, mire, también esto le ha dado vueltas desde ayer en la tarde-noche acerca de este accidente, al final es un accidente, y a propósito de este accidente que se dio la Secretaría de Educación Pública de Hidalgo anunció una investigación para esclarecer las circunstancias del accidente ocurrido en la escuela secundaria Teodomiro Manzano en el municipio de Huasca de Ocampo donde una estudiante resultó lesionada. A través de una tarjeta informativa, la dependencia señaló que se revisarán los hechos para deslindar responsabilidades y de ser necesario reforzar las medidas de seguridad en los planteles educativos</t>
  </si>
  <si>
    <t>Prevención De Fraudes</t>
  </si>
  <si>
    <t>Mire, escuche bien esta información que le vamos a compartir, porque se viene una temporada donde usted va a utilizar mucho sus tarjetas de débito y de crédito. ¿Por qué alertan de fraudes con tarjetas de crédito mediante falsos ejecutivos bancarios? Toda la información ponga atención con nuestra compañera Claudia Alcántara. Recientemente se han presentado una ola de fraudes a usuarios de sucursales bancarias, que ilusamente se dejan llevar por sujetos que se hacen pasar por trabajadores bancarios para robar el dinero de los cuentahabientes. Varios cuentahabientes han sido víctimas de estas farsas, que se derivan a raíz de una simple llamada telefónica.</t>
  </si>
  <si>
    <t>Se vivió el día de ayer y que nos dio muchísimo gusto ver esta renovación que le hicieron ahí en la Unidad Deportiva de Tula porque, mire, con una inversión de más de cinco millones de pesos, el presidente municipal de Tula de Allende, Cristian Martínez, en compañía de Óscar El Conejo Pérez, director general del Instituto Hidalguense del Deporte, encabezaron este miércoles la inauguración de la renovada duela de la Unidad Deportiva, un espacio que permaneció en el abandono durante más de veinte años.</t>
  </si>
  <si>
    <t>Rehabilitación de espacios públicos</t>
  </si>
  <si>
    <t>La presidenta de México también, Claudia Sheinbaum, reiteró que el saneamiento del río Tula en Hidalgo se mantiene como una de las prioridades ambientales de su administración, junto con los ríos Lerma Santiago y Atoyac. Durante su conferencia mañanera de este miércoles, la mandataria reconoció la problemática de contaminación que enfrentan estos cuerpos de agua y sus posibles afectaciones a la salud de las comunidades cercanas. En el caso del río Tula, que recibe aguas residuales provenientes del Valle de México, el saneamiento representa una demanda histórica de los habitantes de la región. Aunque Sheinbaum reafirmó el compromiso federal, no se precisaron nuevos plazos ni avances específicos de las acciones de recuperación del afluente hidalguense."Se están trabajando tres ríos, los ríos más contaminados de México. El Atoyac, el segundo es el Lerma Santiago y el tercero es el río Tula y todos sus afluentes, que también es un río muy contaminado, junto con la presa Endo, que es una presa en donde salen las descargas de agua de la zona metropolitana del Valle de México. Estas zonas tienen enfermedades renales, los vecinos de todas estas zonas, es decir, enfermedades del riñón provocadas en una parte por la mala calidad del agua. Entonces no solamente es limpiar los ríos, que es indispensable por la sanidad y por garantizar el agua potable, sino también los problemas de salud que se enfrentan en todos estos lugares."</t>
  </si>
  <si>
    <t>Mire, Conagua inició los preparativos para colocar barreras de contención en la presa Endo como parte del plan maestro de recuperación. Al embalse llegaron dos mil cien metros de barrera tipo cortina y la misma cantidad de barrera tipo boya. De la delimitación permitirá concentrar las zonas con hilo acuático y facilitar su retiro, así como focalizar la fumigación contra larvas del Mosco culex. La dependencia informó que del primero de mayo al 24 de octubre realizó siete jornadas de fumigación. Mientras tanto, continúan los trabajos para preparar los puntos de descarga y maniobra donde llegarán las embarcaciones especializadas. Esto lo destacó Mayela Godínez Alarcón, gerente de planificación hídrica de la Conagua."Estamos saliendo de la presa. Como pueden ver, ya iniciamos los preparativos para la llegada de los barcos. Estamos armando las barreras que servirán como cortinas y, por supuesto, las boyas que nos permitirán mejorar la extracción. También la fumigación para poder tener a la larva más controlada. Estamos haciendo un gran esfuerzo porque, como siempre, estamos escuchando a la ciudadanía."Habrá que darse una vuelta ahora que ya estén colocadas estas barreras para ver qué tal funcionan y cuál será el final de ellas también. Vamos con más información.</t>
  </si>
  <si>
    <t>El presidente municipal de Pachuca, Jorge Reyes, recorrió la colonia Matilde para supervisar la conclusión de cuatro obras de pavimentación con concreto hidráulico y verificar las condiciones de las vialidades intervenidas.Como parte de las obras, se colocó pavimento de concreto hidráulico y se construyeron guarniciones y se instalaron luminarias, mejoras que contribuyen a facilitar el tránsito vehicular y peatonal, además de favorecer el acceso a los hogares y los desplazamientos dentro de la colonia.Durante el recorrido, el alcalde constató la conclusión de los trabajos, como parte del seguimiento a las obras públicas que se realizan en distintos puntos de la capital hidalguense.A la renovación de estas cuatro calles se suman acciones para reforzar la seguridad en Matilde, con la instalación de cámaras de videovigilancia y luminarias que contribuyen a mejorar las condiciones de visibilidad y vigilancia en la colonia, tanto para quienes viven ahí como para quienes transitan por sus vialidades.</t>
  </si>
  <si>
    <t>Supervisión de obra</t>
  </si>
  <si>
    <t>Comento conductor Eulalio Larrieta, que el dia de hoy, la presidenta Claudia Sheinbaum visitara nuevamente el estado y realizara un recorrido en Villa de Tezontepec y Zapotlán</t>
  </si>
  <si>
    <t>Y en otra información, también aquí en Hidalgo, mire, la presidenta de México, Claudia Sheinbaum Pardo, realizará una gira oficial de trabajo en el estado de Hidalgo este jueves 29 y viernes 30 de octubre. Esto lo confirmó el gobernador Julio Menchaca Salazar para entregar el apoyo social y al desarrollo económico regional."La presidenta de la República viene. Si no hay una modificación, porque también estamos sujetos a eso, habíamos visualizado que en un solo día iba a ser todo un recorrido. Se tiene programado que si no hay cambio, que mañana esté en el polo del bienestar, que se firme ya el fideicomiso para el funcionamiento de las 910 hectáreas, que la empresa ya está iniciando los trabajos de infraestructura, la inauguración de las bodegas de mercado libre, y la inauguración de un importante de los laboratorios franceses. Entonces, eso sería en un día. Y si no hay una modificación, el viernes estaremos desde la mañana en el aeropuerto Felipe Ángeles, en el iPhone, luego en la refinería, y luego en Pachuca en la entrega de las tarjetas para el apoyo a las familias afectadas por la vaguada. Eso es cuando menos hasta ayer a la una de la mañana lo que teníamos."</t>
  </si>
  <si>
    <t>Fiesta de las Almas recorrerá Pachuca este viernes con 1,333 participantes, 42 contingentes y 25 carros alegóricos para celebrar el Día de Muertos. Los detalles con Joselyn Sánchez."Pachuca se prepara para recibir el desfile Fiesta de las Almas que se realizará este viernes 30 de octubre con la participación de 1,337 personas distribuidas en 42 contingentes provenientes de 20 municipios y sedes de Hidalgo, además de 25 carros alegóricos. El recorrido iniciará a las cinco de la tarde en el Centro Cultural del Ferrocarril y concluirá alrededor de las seis y media en el Reloj Monumental tras recorrer 3.4 kilómetros. Entre los participantes destacan comparsas de Xantolo de Yahualica, Huazalingo y Lolotla, así como agrupaciones de Pacula, Xochicoatlán y otros municipios que mostrarán las tradiciones del Día de Muertos. La secretaria de Cultura, Neida Naranjo Baltazar, destacó que esta celebración busca preservar la identidad y las costumbres de los pueblos hidalguenses. El desfile será gratuito, por lo que se espera la asistencia de familias y visitantes al centro de Pachuca. Para Enfoque Regional informó Joselyn Sánchez."</t>
  </si>
  <si>
    <t>Xantolo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</si>
</sst>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64" fontId="0" fillId="0" borderId="0" xfId="0" applyNumberFormat="1"/>
  </cellXfs>
  <cellStyles count="1">
    <cellStyle name="Normal" xfId="0" builtinId="0"/>
  </cellStyles>
  <dxfs count="11">
    <dxf>
      <numFmt numFmtId="19" formatCode="dd/mm/yyyy"/>
    </dxf>
    <dxf>
      <numFmt numFmtId="164" formatCode="d/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9EC5DF1A-B186-4054-9982-86BB894F851C}" autoFormatId="16" applyNumberFormats="0" applyBorderFormats="0" applyFontFormats="0" applyPatternFormats="0" applyAlignmentFormats="0" applyWidthHeightFormats="0">
  <queryTableRefresh nextId="21">
    <queryTableFields count="13">
      <queryTableField id="1" name="Fecha" tableColumnId="1"/>
      <queryTableField id="11" dataBound="0" tableColumnId="11"/>
      <queryTableField id="12" name="Radiodifusora" tableColumnId="12"/>
      <queryTableField id="13" name="Programa" tableColumnId="13"/>
      <queryTableField id="3" name="Titular" tableColumnId="3"/>
      <queryTableField id="6" name="Dependencia" tableColumnId="6"/>
      <queryTableField id="9" name="Tema" tableColumnId="9"/>
      <queryTableField id="8" name="Canal" tableColumnId="8"/>
      <queryTableField id="10" name="Estatus" tableColumnId="10"/>
      <queryTableField id="14" name="Clasificación" tableColumnId="14"/>
      <queryTableField id="15" name="Autor" tableColumnId="15"/>
      <queryTableField id="16" name="Género" tableColumnId="16"/>
      <queryTableField id="20" name="Recuento"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7AF3FA-E95C-4D17-A1C9-B8D7CBE34EF0}" name="Información1" displayName="Información1" ref="A1:M83" tableType="queryTable" totalsRowShown="0">
  <autoFilter ref="A1:M83" xr:uid="{717AF3FA-E95C-4D17-A1C9-B8D7CBE34EF0}"/>
  <tableColumns count="13">
    <tableColumn id="1" xr3:uid="{EB19E952-2F9B-4E64-9A19-C7B52F571890}" uniqueName="1" name="Fecha" queryTableFieldId="1" dataDxfId="1"/>
    <tableColumn id="11" xr3:uid="{A48192A8-75D4-491A-AE26-6A961BCFF6FF}" uniqueName="11" name="Día" queryTableFieldId="11" dataDxfId="0">
      <calculatedColumnFormula>IF(Información1[[#This Row],[Fecha]]='Ajuste de fechas'!$A$2,"Día actual","Día anterior")</calculatedColumnFormula>
    </tableColumn>
    <tableColumn id="12" xr3:uid="{4F30991B-1882-48AE-BBBC-64FCA8279BA1}" uniqueName="12" name="Radiodifusora" queryTableFieldId="12" dataDxfId="10"/>
    <tableColumn id="13" xr3:uid="{517B0A2C-DF6B-4794-9C97-29B5F886839A}" uniqueName="13" name="Programa" queryTableFieldId="13"/>
    <tableColumn id="3" xr3:uid="{3DD51BE0-FD5E-43FC-B095-76D2D204B603}" uniqueName="3" name="Titular" queryTableFieldId="3" dataDxfId="9"/>
    <tableColumn id="6" xr3:uid="{26FEF469-35CF-4C60-A1AE-6CF1039F413A}" uniqueName="6" name="Dependencia" queryTableFieldId="6" dataDxfId="8"/>
    <tableColumn id="9" xr3:uid="{A1DC7DCD-8016-4C54-B5CE-B9D28C1CC171}" uniqueName="9" name="Tema" queryTableFieldId="9" dataDxfId="7"/>
    <tableColumn id="8" xr3:uid="{B82BEC87-3598-42A1-B8B9-34F0762C5BB2}" uniqueName="8" name="Canal" queryTableFieldId="8" dataDxfId="6"/>
    <tableColumn id="10" xr3:uid="{692FF757-1020-40D1-A4F6-D548E7C4E980}" uniqueName="10" name="Estatus" queryTableFieldId="10" dataDxfId="5"/>
    <tableColumn id="14" xr3:uid="{C39741D3-700F-486E-B020-D2528DDA6016}" uniqueName="14" name="Clasificación" queryTableFieldId="14" dataDxfId="4"/>
    <tableColumn id="15" xr3:uid="{33A7D71D-EB15-4FD0-8031-4FF610A857BA}" uniqueName="15" name="Autor" queryTableFieldId="15" dataDxfId="3"/>
    <tableColumn id="16" xr3:uid="{B0698B4E-43A3-42F4-8099-288A9107B833}" uniqueName="16" name="Género" queryTableFieldId="16" dataDxfId="2"/>
    <tableColumn id="17" xr3:uid="{0B5B25B3-3146-48A6-884B-EBAF2D195A97}" uniqueName="17" name="Recuento" queryTableFieldId="2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0E258-ABE8-47CB-99E6-7B12678D449B}">
  <dimension ref="A1:M83"/>
  <sheetViews>
    <sheetView tabSelected="1" workbookViewId="0">
      <selection activeCell="D76" sqref="D76"/>
    </sheetView>
  </sheetViews>
  <sheetFormatPr baseColWidth="10" defaultRowHeight="15" x14ac:dyDescent="0.25"/>
  <cols>
    <col min="1" max="1" width="8.5703125" bestFit="1" customWidth="1"/>
    <col min="2" max="2" width="11.42578125" bestFit="1" customWidth="1"/>
    <col min="3" max="3" width="20" bestFit="1" customWidth="1"/>
    <col min="4" max="4" width="29.42578125" bestFit="1" customWidth="1"/>
    <col min="5" max="5" width="81.140625" bestFit="1" customWidth="1"/>
    <col min="6" max="6" width="15.28515625" bestFit="1" customWidth="1"/>
    <col min="7" max="7" width="35.7109375" bestFit="1" customWidth="1"/>
    <col min="8" max="8" width="12.42578125" bestFit="1" customWidth="1"/>
    <col min="9" max="9" width="11.140625" bestFit="1" customWidth="1"/>
    <col min="10" max="10" width="25.7109375" bestFit="1" customWidth="1"/>
    <col min="11" max="11" width="22.28515625" bestFit="1" customWidth="1"/>
    <col min="12" max="12" width="17.5703125" bestFit="1" customWidth="1"/>
    <col min="13" max="13" width="12" bestFit="1" customWidth="1"/>
    <col min="14" max="14" width="19.42578125" bestFit="1" customWidth="1"/>
    <col min="15" max="15" width="20.5703125" bestFit="1" customWidth="1"/>
    <col min="16" max="16" width="80.7109375" bestFit="1" customWidth="1"/>
    <col min="17" max="17" width="9.85546875" bestFit="1" customWidth="1"/>
  </cols>
  <sheetData>
    <row r="1" spans="1:13" x14ac:dyDescent="0.25">
      <c r="A1" t="s">
        <v>0</v>
      </c>
      <c r="B1" t="s">
        <v>11</v>
      </c>
      <c r="C1" t="s">
        <v>12</v>
      </c>
      <c r="D1" t="s">
        <v>13</v>
      </c>
      <c r="E1" t="s">
        <v>1</v>
      </c>
      <c r="F1" t="s">
        <v>2</v>
      </c>
      <c r="G1" t="s">
        <v>4</v>
      </c>
      <c r="H1" t="s">
        <v>3</v>
      </c>
      <c r="I1" t="s">
        <v>5</v>
      </c>
      <c r="J1" t="s">
        <v>14</v>
      </c>
      <c r="K1" t="s">
        <v>15</v>
      </c>
      <c r="L1" t="s">
        <v>16</v>
      </c>
      <c r="M1" t="s">
        <v>21</v>
      </c>
    </row>
    <row r="2" spans="1:13" x14ac:dyDescent="0.25">
      <c r="A2" s="2">
        <v>46323</v>
      </c>
      <c r="B2" s="1" t="str">
        <f ca="1">IF(Información1[[#This Row],[Fecha]]='Ajuste de fechas'!$A$2,"Día actual","Día anterior")</f>
        <v>Día anterior</v>
      </c>
      <c r="C2" t="s">
        <v>59</v>
      </c>
      <c r="D2" t="s">
        <v>60</v>
      </c>
      <c r="E2" t="s">
        <v>79</v>
      </c>
      <c r="F2" t="s">
        <v>49</v>
      </c>
      <c r="G2" t="s">
        <v>55</v>
      </c>
      <c r="H2" t="s">
        <v>26</v>
      </c>
      <c r="I2" t="s">
        <v>10</v>
      </c>
      <c r="J2" t="s">
        <v>17</v>
      </c>
      <c r="K2" t="s">
        <v>33</v>
      </c>
      <c r="L2" t="s">
        <v>19</v>
      </c>
      <c r="M2">
        <v>1</v>
      </c>
    </row>
    <row r="3" spans="1:13" x14ac:dyDescent="0.25">
      <c r="A3" s="2">
        <v>46323</v>
      </c>
      <c r="B3" s="1" t="str">
        <f ca="1">IF(Información1[[#This Row],[Fecha]]='Ajuste de fechas'!$A$2,"Día actual","Día anterior")</f>
        <v>Día anterior</v>
      </c>
      <c r="C3" t="s">
        <v>59</v>
      </c>
      <c r="D3" t="s">
        <v>60</v>
      </c>
      <c r="E3" t="s">
        <v>80</v>
      </c>
      <c r="F3" t="s">
        <v>49</v>
      </c>
      <c r="G3" t="s">
        <v>55</v>
      </c>
      <c r="H3" t="s">
        <v>26</v>
      </c>
      <c r="I3" t="s">
        <v>10</v>
      </c>
      <c r="J3" t="s">
        <v>17</v>
      </c>
      <c r="K3" t="s">
        <v>33</v>
      </c>
      <c r="L3" t="s">
        <v>19</v>
      </c>
      <c r="M3">
        <v>1</v>
      </c>
    </row>
    <row r="4" spans="1:13" x14ac:dyDescent="0.25">
      <c r="A4" s="2">
        <v>46323</v>
      </c>
      <c r="B4" s="1" t="str">
        <f ca="1">IF(Información1[[#This Row],[Fecha]]='Ajuste de fechas'!$A$2,"Día actual","Día anterior")</f>
        <v>Día anterior</v>
      </c>
      <c r="C4" t="s">
        <v>27</v>
      </c>
      <c r="D4" t="s">
        <v>28</v>
      </c>
      <c r="E4" t="s">
        <v>81</v>
      </c>
      <c r="F4" t="s">
        <v>49</v>
      </c>
      <c r="G4" t="s">
        <v>55</v>
      </c>
      <c r="H4" t="s">
        <v>26</v>
      </c>
      <c r="I4" t="s">
        <v>10</v>
      </c>
      <c r="J4" t="s">
        <v>17</v>
      </c>
      <c r="K4" t="s">
        <v>33</v>
      </c>
      <c r="L4" t="s">
        <v>19</v>
      </c>
      <c r="M4">
        <v>1</v>
      </c>
    </row>
    <row r="5" spans="1:13" x14ac:dyDescent="0.25">
      <c r="A5" s="2">
        <v>46323</v>
      </c>
      <c r="B5" s="1" t="str">
        <f ca="1">IF(Información1[[#This Row],[Fecha]]='Ajuste de fechas'!$A$2,"Día actual","Día anterior")</f>
        <v>Día anterior</v>
      </c>
      <c r="C5" t="s">
        <v>34</v>
      </c>
      <c r="D5" t="s">
        <v>35</v>
      </c>
      <c r="E5" t="s">
        <v>82</v>
      </c>
      <c r="F5" t="s">
        <v>83</v>
      </c>
      <c r="G5" t="s">
        <v>84</v>
      </c>
      <c r="H5" t="s">
        <v>26</v>
      </c>
      <c r="I5" t="s">
        <v>7</v>
      </c>
      <c r="J5" t="s">
        <v>17</v>
      </c>
      <c r="K5" t="s">
        <v>36</v>
      </c>
      <c r="L5" t="s">
        <v>19</v>
      </c>
      <c r="M5">
        <v>1</v>
      </c>
    </row>
    <row r="6" spans="1:13" x14ac:dyDescent="0.25">
      <c r="A6" s="2">
        <v>46323</v>
      </c>
      <c r="B6" s="1" t="str">
        <f ca="1">IF(Información1[[#This Row],[Fecha]]='Ajuste de fechas'!$A$2,"Día actual","Día anterior")</f>
        <v>Día anterior</v>
      </c>
      <c r="C6" t="s">
        <v>34</v>
      </c>
      <c r="D6" t="s">
        <v>35</v>
      </c>
      <c r="E6" t="s">
        <v>85</v>
      </c>
      <c r="F6" t="s">
        <v>83</v>
      </c>
      <c r="G6" t="s">
        <v>84</v>
      </c>
      <c r="H6" t="s">
        <v>26</v>
      </c>
      <c r="I6" t="s">
        <v>7</v>
      </c>
      <c r="J6" t="s">
        <v>17</v>
      </c>
      <c r="K6" t="s">
        <v>36</v>
      </c>
      <c r="L6" t="s">
        <v>18</v>
      </c>
      <c r="M6">
        <v>1</v>
      </c>
    </row>
    <row r="7" spans="1:13" x14ac:dyDescent="0.25">
      <c r="A7" s="2">
        <v>46323</v>
      </c>
      <c r="B7" s="1" t="str">
        <f ca="1">IF(Información1[[#This Row],[Fecha]]='Ajuste de fechas'!$A$2,"Día actual","Día anterior")</f>
        <v>Día anterior</v>
      </c>
      <c r="C7" t="s">
        <v>27</v>
      </c>
      <c r="D7" t="s">
        <v>28</v>
      </c>
      <c r="E7" t="s">
        <v>86</v>
      </c>
      <c r="F7" t="s">
        <v>38</v>
      </c>
      <c r="G7" t="s">
        <v>84</v>
      </c>
      <c r="H7" t="s">
        <v>26</v>
      </c>
      <c r="I7" t="s">
        <v>6</v>
      </c>
      <c r="J7" t="s">
        <v>39</v>
      </c>
      <c r="K7" t="s">
        <v>29</v>
      </c>
      <c r="L7" t="s">
        <v>18</v>
      </c>
      <c r="M7">
        <v>1</v>
      </c>
    </row>
    <row r="8" spans="1:13" x14ac:dyDescent="0.25">
      <c r="A8" s="2">
        <v>46323</v>
      </c>
      <c r="B8" s="1" t="str">
        <f ca="1">IF(Información1[[#This Row],[Fecha]]='Ajuste de fechas'!$A$2,"Día actual","Día anterior")</f>
        <v>Día anterior</v>
      </c>
      <c r="C8" t="s">
        <v>27</v>
      </c>
      <c r="D8" t="s">
        <v>28</v>
      </c>
      <c r="E8" t="s">
        <v>87</v>
      </c>
      <c r="F8" t="s">
        <v>83</v>
      </c>
      <c r="G8" t="s">
        <v>84</v>
      </c>
      <c r="H8" t="s">
        <v>26</v>
      </c>
      <c r="I8" t="s">
        <v>7</v>
      </c>
      <c r="J8" t="s">
        <v>17</v>
      </c>
      <c r="K8" t="s">
        <v>30</v>
      </c>
      <c r="L8" t="s">
        <v>20</v>
      </c>
      <c r="M8">
        <v>1</v>
      </c>
    </row>
    <row r="9" spans="1:13" x14ac:dyDescent="0.25">
      <c r="A9" s="2">
        <v>46323</v>
      </c>
      <c r="B9" s="1" t="str">
        <f ca="1">IF(Información1[[#This Row],[Fecha]]='Ajuste de fechas'!$A$2,"Día actual","Día anterior")</f>
        <v>Día anterior</v>
      </c>
      <c r="C9" t="s">
        <v>56</v>
      </c>
      <c r="D9" t="s">
        <v>57</v>
      </c>
      <c r="E9" t="s">
        <v>88</v>
      </c>
      <c r="F9" t="s">
        <v>66</v>
      </c>
      <c r="G9" t="s">
        <v>89</v>
      </c>
      <c r="H9" t="s">
        <v>26</v>
      </c>
      <c r="I9" t="s">
        <v>6</v>
      </c>
      <c r="J9" t="s">
        <v>40</v>
      </c>
      <c r="K9" t="s">
        <v>58</v>
      </c>
      <c r="L9" t="s">
        <v>24</v>
      </c>
      <c r="M9">
        <v>1</v>
      </c>
    </row>
    <row r="10" spans="1:13" x14ac:dyDescent="0.25">
      <c r="A10" s="2">
        <v>46323</v>
      </c>
      <c r="B10" s="1" t="str">
        <f ca="1">IF(Información1[[#This Row],[Fecha]]='Ajuste de fechas'!$A$2,"Día actual","Día anterior")</f>
        <v>Día anterior</v>
      </c>
      <c r="C10" t="s">
        <v>59</v>
      </c>
      <c r="D10" t="s">
        <v>60</v>
      </c>
      <c r="E10" t="s">
        <v>62</v>
      </c>
      <c r="F10" t="s">
        <v>38</v>
      </c>
      <c r="G10" t="s">
        <v>63</v>
      </c>
      <c r="H10" t="s">
        <v>26</v>
      </c>
      <c r="I10" t="s">
        <v>7</v>
      </c>
      <c r="J10" t="s">
        <v>39</v>
      </c>
      <c r="K10" t="s">
        <v>61</v>
      </c>
      <c r="L10" t="s">
        <v>19</v>
      </c>
      <c r="M10">
        <v>1</v>
      </c>
    </row>
    <row r="11" spans="1:13" x14ac:dyDescent="0.25">
      <c r="A11" s="2">
        <v>46323</v>
      </c>
      <c r="B11" s="1" t="str">
        <f ca="1">IF(Información1[[#This Row],[Fecha]]='Ajuste de fechas'!$A$2,"Día actual","Día anterior")</f>
        <v>Día anterior</v>
      </c>
      <c r="C11" t="s">
        <v>59</v>
      </c>
      <c r="D11" t="s">
        <v>60</v>
      </c>
      <c r="E11" t="s">
        <v>64</v>
      </c>
      <c r="F11" t="s">
        <v>38</v>
      </c>
      <c r="G11" t="s">
        <v>63</v>
      </c>
      <c r="H11" t="s">
        <v>26</v>
      </c>
      <c r="I11" t="s">
        <v>7</v>
      </c>
      <c r="J11" t="s">
        <v>39</v>
      </c>
      <c r="K11" t="s">
        <v>61</v>
      </c>
      <c r="L11" t="s">
        <v>19</v>
      </c>
      <c r="M11">
        <v>1</v>
      </c>
    </row>
    <row r="12" spans="1:13" x14ac:dyDescent="0.25">
      <c r="A12" s="2">
        <v>46323</v>
      </c>
      <c r="B12" s="1" t="str">
        <f ca="1">IF(Información1[[#This Row],[Fecha]]='Ajuste de fechas'!$A$2,"Día actual","Día anterior")</f>
        <v>Día anterior</v>
      </c>
      <c r="C12" t="s">
        <v>59</v>
      </c>
      <c r="D12" t="s">
        <v>60</v>
      </c>
      <c r="E12" t="s">
        <v>65</v>
      </c>
      <c r="F12" t="s">
        <v>66</v>
      </c>
      <c r="G12" t="s">
        <v>63</v>
      </c>
      <c r="H12" t="s">
        <v>26</v>
      </c>
      <c r="I12" t="s">
        <v>7</v>
      </c>
      <c r="J12" t="s">
        <v>40</v>
      </c>
      <c r="K12" t="s">
        <v>61</v>
      </c>
      <c r="L12" t="s">
        <v>19</v>
      </c>
      <c r="M12">
        <v>1</v>
      </c>
    </row>
    <row r="13" spans="1:13" x14ac:dyDescent="0.25">
      <c r="A13" s="2">
        <v>46323</v>
      </c>
      <c r="B13" s="1" t="str">
        <f ca="1">IF(Información1[[#This Row],[Fecha]]='Ajuste de fechas'!$A$2,"Día actual","Día anterior")</f>
        <v>Día anterior</v>
      </c>
      <c r="C13" t="s">
        <v>59</v>
      </c>
      <c r="D13" t="s">
        <v>60</v>
      </c>
      <c r="E13" t="s">
        <v>68</v>
      </c>
      <c r="F13" t="s">
        <v>25</v>
      </c>
      <c r="G13" t="s">
        <v>63</v>
      </c>
      <c r="H13" t="s">
        <v>26</v>
      </c>
      <c r="I13" t="s">
        <v>7</v>
      </c>
      <c r="J13" t="s">
        <v>17</v>
      </c>
      <c r="K13" t="s">
        <v>61</v>
      </c>
      <c r="L13" t="s">
        <v>19</v>
      </c>
      <c r="M13">
        <v>1</v>
      </c>
    </row>
    <row r="14" spans="1:13" x14ac:dyDescent="0.25">
      <c r="A14" s="2">
        <v>46323</v>
      </c>
      <c r="B14" s="1" t="str">
        <f ca="1">IF(Información1[[#This Row],[Fecha]]='Ajuste de fechas'!$A$2,"Día actual","Día anterior")</f>
        <v>Día anterior</v>
      </c>
      <c r="C14" t="s">
        <v>59</v>
      </c>
      <c r="D14" t="s">
        <v>60</v>
      </c>
      <c r="E14" t="s">
        <v>67</v>
      </c>
      <c r="F14" t="s">
        <v>9</v>
      </c>
      <c r="G14" t="s">
        <v>63</v>
      </c>
      <c r="H14" t="s">
        <v>26</v>
      </c>
      <c r="I14" t="s">
        <v>7</v>
      </c>
      <c r="J14" t="s">
        <v>17</v>
      </c>
      <c r="K14" t="s">
        <v>61</v>
      </c>
      <c r="L14" t="s">
        <v>19</v>
      </c>
      <c r="M14">
        <v>1</v>
      </c>
    </row>
    <row r="15" spans="1:13" x14ac:dyDescent="0.25">
      <c r="A15" s="2">
        <v>46323</v>
      </c>
      <c r="B15" s="1" t="str">
        <f ca="1">IF(Información1[[#This Row],[Fecha]]='Ajuste de fechas'!$A$2,"Día actual","Día anterior")</f>
        <v>Día anterior</v>
      </c>
      <c r="C15" t="s">
        <v>59</v>
      </c>
      <c r="D15" t="s">
        <v>60</v>
      </c>
      <c r="E15" t="s">
        <v>69</v>
      </c>
      <c r="F15" t="s">
        <v>8</v>
      </c>
      <c r="G15" t="s">
        <v>63</v>
      </c>
      <c r="H15" t="s">
        <v>26</v>
      </c>
      <c r="I15" t="s">
        <v>7</v>
      </c>
      <c r="J15" t="s">
        <v>17</v>
      </c>
      <c r="K15" t="s">
        <v>61</v>
      </c>
      <c r="L15" t="s">
        <v>19</v>
      </c>
      <c r="M15">
        <v>1</v>
      </c>
    </row>
    <row r="16" spans="1:13" x14ac:dyDescent="0.25">
      <c r="A16" s="2">
        <v>46323</v>
      </c>
      <c r="B16" s="1" t="str">
        <f ca="1">IF(Información1[[#This Row],[Fecha]]='Ajuste de fechas'!$A$2,"Día actual","Día anterior")</f>
        <v>Día anterior</v>
      </c>
      <c r="C16" t="s">
        <v>59</v>
      </c>
      <c r="D16" t="s">
        <v>60</v>
      </c>
      <c r="E16" t="s">
        <v>70</v>
      </c>
      <c r="F16" t="s">
        <v>49</v>
      </c>
      <c r="G16" t="s">
        <v>63</v>
      </c>
      <c r="H16" t="s">
        <v>26</v>
      </c>
      <c r="I16" t="s">
        <v>7</v>
      </c>
      <c r="J16" t="s">
        <v>17</v>
      </c>
      <c r="K16" t="s">
        <v>61</v>
      </c>
      <c r="L16" t="s">
        <v>19</v>
      </c>
      <c r="M16">
        <v>1</v>
      </c>
    </row>
    <row r="17" spans="1:13" x14ac:dyDescent="0.25">
      <c r="A17" s="2">
        <v>46323</v>
      </c>
      <c r="B17" s="1" t="str">
        <f ca="1">IF(Información1[[#This Row],[Fecha]]='Ajuste de fechas'!$A$2,"Día actual","Día anterior")</f>
        <v>Día anterior</v>
      </c>
      <c r="C17" t="s">
        <v>59</v>
      </c>
      <c r="D17" t="s">
        <v>60</v>
      </c>
      <c r="E17" t="s">
        <v>90</v>
      </c>
      <c r="F17" t="s">
        <v>38</v>
      </c>
      <c r="G17" t="s">
        <v>91</v>
      </c>
      <c r="H17" t="s">
        <v>26</v>
      </c>
      <c r="I17" t="s">
        <v>6</v>
      </c>
      <c r="J17" t="s">
        <v>39</v>
      </c>
      <c r="K17" t="s">
        <v>61</v>
      </c>
      <c r="L17" t="s">
        <v>18</v>
      </c>
      <c r="M17">
        <v>1</v>
      </c>
    </row>
    <row r="18" spans="1:13" x14ac:dyDescent="0.25">
      <c r="A18" s="2">
        <v>46323</v>
      </c>
      <c r="B18" s="1" t="str">
        <f ca="1">IF(Información1[[#This Row],[Fecha]]='Ajuste de fechas'!$A$2,"Día actual","Día anterior")</f>
        <v>Día anterior</v>
      </c>
      <c r="C18" t="s">
        <v>34</v>
      </c>
      <c r="D18" t="s">
        <v>35</v>
      </c>
      <c r="E18" t="s">
        <v>92</v>
      </c>
      <c r="F18" t="s">
        <v>37</v>
      </c>
      <c r="G18" t="s">
        <v>93</v>
      </c>
      <c r="H18" t="s">
        <v>26</v>
      </c>
      <c r="I18" t="s">
        <v>6</v>
      </c>
      <c r="J18" t="s">
        <v>17</v>
      </c>
      <c r="K18" t="s">
        <v>36</v>
      </c>
      <c r="L18" t="s">
        <v>18</v>
      </c>
      <c r="M18">
        <v>1</v>
      </c>
    </row>
    <row r="19" spans="1:13" x14ac:dyDescent="0.25">
      <c r="A19" s="2">
        <v>46323</v>
      </c>
      <c r="B19" s="1" t="str">
        <f ca="1">IF(Información1[[#This Row],[Fecha]]='Ajuste de fechas'!$A$2,"Día actual","Día anterior")</f>
        <v>Día anterior</v>
      </c>
      <c r="C19" t="s">
        <v>56</v>
      </c>
      <c r="D19" t="s">
        <v>57</v>
      </c>
      <c r="E19" t="s">
        <v>94</v>
      </c>
      <c r="F19" t="s">
        <v>31</v>
      </c>
      <c r="G19" t="s">
        <v>50</v>
      </c>
      <c r="H19" t="s">
        <v>26</v>
      </c>
      <c r="I19" t="s">
        <v>6</v>
      </c>
      <c r="J19" t="s">
        <v>17</v>
      </c>
      <c r="K19" t="s">
        <v>58</v>
      </c>
      <c r="L19" t="s">
        <v>18</v>
      </c>
      <c r="M19">
        <v>1</v>
      </c>
    </row>
    <row r="20" spans="1:13" x14ac:dyDescent="0.25">
      <c r="A20" s="2">
        <v>46323</v>
      </c>
      <c r="B20" s="1" t="str">
        <f ca="1">IF(Información1[[#This Row],[Fecha]]='Ajuste de fechas'!$A$2,"Día actual","Día anterior")</f>
        <v>Día anterior</v>
      </c>
      <c r="C20" t="s">
        <v>59</v>
      </c>
      <c r="D20" t="s">
        <v>60</v>
      </c>
      <c r="E20" t="s">
        <v>95</v>
      </c>
      <c r="F20" t="s">
        <v>31</v>
      </c>
      <c r="G20" t="s">
        <v>50</v>
      </c>
      <c r="H20" t="s">
        <v>26</v>
      </c>
      <c r="I20" t="s">
        <v>6</v>
      </c>
      <c r="J20" t="s">
        <v>17</v>
      </c>
      <c r="K20" t="s">
        <v>61</v>
      </c>
      <c r="L20" t="s">
        <v>20</v>
      </c>
      <c r="M20">
        <v>1</v>
      </c>
    </row>
    <row r="21" spans="1:13" x14ac:dyDescent="0.25">
      <c r="A21" s="2">
        <v>46323</v>
      </c>
      <c r="B21" s="1" t="str">
        <f ca="1">IF(Información1[[#This Row],[Fecha]]='Ajuste de fechas'!$A$2,"Día actual","Día anterior")</f>
        <v>Día anterior</v>
      </c>
      <c r="C21" t="s">
        <v>34</v>
      </c>
      <c r="D21" t="s">
        <v>35</v>
      </c>
      <c r="E21" t="s">
        <v>96</v>
      </c>
      <c r="F21" t="s">
        <v>31</v>
      </c>
      <c r="G21" t="s">
        <v>50</v>
      </c>
      <c r="H21" t="s">
        <v>26</v>
      </c>
      <c r="I21" t="s">
        <v>6</v>
      </c>
      <c r="J21" t="s">
        <v>17</v>
      </c>
      <c r="K21" t="s">
        <v>36</v>
      </c>
      <c r="L21" t="s">
        <v>18</v>
      </c>
      <c r="M21">
        <v>1</v>
      </c>
    </row>
    <row r="22" spans="1:13" x14ac:dyDescent="0.25">
      <c r="A22" s="2">
        <v>46323</v>
      </c>
      <c r="B22" s="1" t="str">
        <f ca="1">IF(Información1[[#This Row],[Fecha]]='Ajuste de fechas'!$A$2,"Día actual","Día anterior")</f>
        <v>Día anterior</v>
      </c>
      <c r="C22" t="s">
        <v>56</v>
      </c>
      <c r="D22" t="s">
        <v>57</v>
      </c>
      <c r="E22" t="s">
        <v>97</v>
      </c>
      <c r="F22" t="s">
        <v>38</v>
      </c>
      <c r="G22" t="s">
        <v>72</v>
      </c>
      <c r="H22" t="s">
        <v>26</v>
      </c>
      <c r="I22" t="s">
        <v>6</v>
      </c>
      <c r="J22" t="s">
        <v>39</v>
      </c>
      <c r="K22" t="s">
        <v>58</v>
      </c>
      <c r="L22" t="s">
        <v>18</v>
      </c>
      <c r="M22">
        <v>1</v>
      </c>
    </row>
    <row r="23" spans="1:13" x14ac:dyDescent="0.25">
      <c r="A23" s="2">
        <v>46323</v>
      </c>
      <c r="B23" s="1" t="str">
        <f ca="1">IF(Información1[[#This Row],[Fecha]]='Ajuste de fechas'!$A$2,"Día actual","Día anterior")</f>
        <v>Día anterior</v>
      </c>
      <c r="C23" t="s">
        <v>56</v>
      </c>
      <c r="D23" t="s">
        <v>57</v>
      </c>
      <c r="E23" t="s">
        <v>98</v>
      </c>
      <c r="F23" t="s">
        <v>38</v>
      </c>
      <c r="G23" t="s">
        <v>99</v>
      </c>
      <c r="H23" t="s">
        <v>26</v>
      </c>
      <c r="I23" t="s">
        <v>6</v>
      </c>
      <c r="J23" t="s">
        <v>39</v>
      </c>
      <c r="K23" t="s">
        <v>58</v>
      </c>
      <c r="L23" t="s">
        <v>18</v>
      </c>
      <c r="M23">
        <v>1</v>
      </c>
    </row>
    <row r="24" spans="1:13" x14ac:dyDescent="0.25">
      <c r="A24" s="2">
        <v>46323</v>
      </c>
      <c r="B24" s="1" t="str">
        <f ca="1">IF(Información1[[#This Row],[Fecha]]='Ajuste de fechas'!$A$2,"Día actual","Día anterior")</f>
        <v>Día anterior</v>
      </c>
      <c r="C24" t="s">
        <v>56</v>
      </c>
      <c r="D24" t="s">
        <v>57</v>
      </c>
      <c r="E24" t="s">
        <v>100</v>
      </c>
      <c r="F24" t="s">
        <v>38</v>
      </c>
      <c r="G24" t="s">
        <v>101</v>
      </c>
      <c r="H24" t="s">
        <v>26</v>
      </c>
      <c r="I24" t="s">
        <v>6</v>
      </c>
      <c r="J24" t="s">
        <v>39</v>
      </c>
      <c r="K24" t="s">
        <v>58</v>
      </c>
      <c r="L24" t="s">
        <v>18</v>
      </c>
      <c r="M24">
        <v>1</v>
      </c>
    </row>
    <row r="25" spans="1:13" x14ac:dyDescent="0.25">
      <c r="A25" s="2">
        <v>46323</v>
      </c>
      <c r="B25" s="1" t="str">
        <f ca="1">IF(Información1[[#This Row],[Fecha]]='Ajuste de fechas'!$A$2,"Día actual","Día anterior")</f>
        <v>Día anterior</v>
      </c>
      <c r="C25" t="s">
        <v>34</v>
      </c>
      <c r="D25" t="s">
        <v>35</v>
      </c>
      <c r="E25" t="s">
        <v>102</v>
      </c>
      <c r="F25" t="s">
        <v>9</v>
      </c>
      <c r="G25" t="s">
        <v>103</v>
      </c>
      <c r="H25" t="s">
        <v>26</v>
      </c>
      <c r="I25" t="s">
        <v>6</v>
      </c>
      <c r="J25" t="s">
        <v>17</v>
      </c>
      <c r="K25" t="s">
        <v>36</v>
      </c>
      <c r="L25" t="s">
        <v>20</v>
      </c>
      <c r="M25">
        <v>1</v>
      </c>
    </row>
    <row r="26" spans="1:13" x14ac:dyDescent="0.25">
      <c r="A26" s="2">
        <v>46323</v>
      </c>
      <c r="B26" s="1" t="str">
        <f ca="1">IF(Información1[[#This Row],[Fecha]]='Ajuste de fechas'!$A$2,"Día actual","Día anterior")</f>
        <v>Día anterior</v>
      </c>
      <c r="C26" t="s">
        <v>56</v>
      </c>
      <c r="D26" t="s">
        <v>71</v>
      </c>
      <c r="E26" t="s">
        <v>104</v>
      </c>
      <c r="F26" t="s">
        <v>105</v>
      </c>
      <c r="G26" t="s">
        <v>51</v>
      </c>
      <c r="H26" t="s">
        <v>26</v>
      </c>
      <c r="I26" t="s">
        <v>7</v>
      </c>
      <c r="J26" t="s">
        <v>17</v>
      </c>
      <c r="K26" t="s">
        <v>73</v>
      </c>
      <c r="L26" t="s">
        <v>106</v>
      </c>
      <c r="M26">
        <v>1</v>
      </c>
    </row>
    <row r="27" spans="1:13" x14ac:dyDescent="0.25">
      <c r="A27" s="2">
        <v>46323</v>
      </c>
      <c r="B27" s="1" t="str">
        <f ca="1">IF(Información1[[#This Row],[Fecha]]='Ajuste de fechas'!$A$2,"Día actual","Día anterior")</f>
        <v>Día anterior</v>
      </c>
      <c r="C27" t="s">
        <v>56</v>
      </c>
      <c r="D27" t="s">
        <v>57</v>
      </c>
      <c r="E27" t="s">
        <v>107</v>
      </c>
      <c r="F27" t="s">
        <v>40</v>
      </c>
      <c r="G27" t="s">
        <v>51</v>
      </c>
      <c r="H27" t="s">
        <v>26</v>
      </c>
      <c r="I27" t="s">
        <v>6</v>
      </c>
      <c r="J27" t="s">
        <v>40</v>
      </c>
      <c r="K27" t="s">
        <v>58</v>
      </c>
      <c r="L27" t="s">
        <v>74</v>
      </c>
      <c r="M27">
        <v>1</v>
      </c>
    </row>
    <row r="28" spans="1:13" x14ac:dyDescent="0.25">
      <c r="A28" s="2">
        <v>46323</v>
      </c>
      <c r="B28" s="1" t="str">
        <f ca="1">IF(Información1[[#This Row],[Fecha]]='Ajuste de fechas'!$A$2,"Día actual","Día anterior")</f>
        <v>Día anterior</v>
      </c>
      <c r="C28" t="s">
        <v>59</v>
      </c>
      <c r="D28" t="s">
        <v>60</v>
      </c>
      <c r="E28" t="s">
        <v>108</v>
      </c>
      <c r="F28" t="s">
        <v>105</v>
      </c>
      <c r="G28" t="s">
        <v>51</v>
      </c>
      <c r="H28" t="s">
        <v>26</v>
      </c>
      <c r="I28" t="s">
        <v>6</v>
      </c>
      <c r="J28" t="s">
        <v>17</v>
      </c>
      <c r="K28" t="s">
        <v>61</v>
      </c>
      <c r="L28" t="s">
        <v>20</v>
      </c>
      <c r="M28">
        <v>1</v>
      </c>
    </row>
    <row r="29" spans="1:13" x14ac:dyDescent="0.25">
      <c r="A29" s="2">
        <v>46323</v>
      </c>
      <c r="B29" s="1" t="str">
        <f ca="1">IF(Información1[[#This Row],[Fecha]]='Ajuste de fechas'!$A$2,"Día actual","Día anterior")</f>
        <v>Día anterior</v>
      </c>
      <c r="C29" t="s">
        <v>59</v>
      </c>
      <c r="D29" t="s">
        <v>60</v>
      </c>
      <c r="E29" t="s">
        <v>109</v>
      </c>
      <c r="F29" t="s">
        <v>9</v>
      </c>
      <c r="G29" t="s">
        <v>51</v>
      </c>
      <c r="H29" t="s">
        <v>26</v>
      </c>
      <c r="I29" t="s">
        <v>6</v>
      </c>
      <c r="J29" t="s">
        <v>17</v>
      </c>
      <c r="K29" t="s">
        <v>61</v>
      </c>
      <c r="L29" t="s">
        <v>24</v>
      </c>
      <c r="M29">
        <v>1</v>
      </c>
    </row>
    <row r="30" spans="1:13" x14ac:dyDescent="0.25">
      <c r="A30" s="2">
        <v>46323</v>
      </c>
      <c r="B30" s="1" t="str">
        <f ca="1">IF(Información1[[#This Row],[Fecha]]='Ajuste de fechas'!$A$2,"Día actual","Día anterior")</f>
        <v>Día anterior</v>
      </c>
      <c r="C30" t="s">
        <v>59</v>
      </c>
      <c r="D30" t="s">
        <v>60</v>
      </c>
      <c r="E30" t="s">
        <v>110</v>
      </c>
      <c r="F30" t="s">
        <v>38</v>
      </c>
      <c r="G30" t="s">
        <v>51</v>
      </c>
      <c r="H30" t="s">
        <v>26</v>
      </c>
      <c r="I30" t="s">
        <v>6</v>
      </c>
      <c r="J30" t="s">
        <v>39</v>
      </c>
      <c r="K30" t="s">
        <v>61</v>
      </c>
      <c r="L30" t="s">
        <v>18</v>
      </c>
      <c r="M30">
        <v>1</v>
      </c>
    </row>
    <row r="31" spans="1:13" x14ac:dyDescent="0.25">
      <c r="A31" s="2">
        <v>46323</v>
      </c>
      <c r="B31" s="1" t="str">
        <f ca="1">IF(Información1[[#This Row],[Fecha]]='Ajuste de fechas'!$A$2,"Día actual","Día anterior")</f>
        <v>Día anterior</v>
      </c>
      <c r="C31" t="s">
        <v>27</v>
      </c>
      <c r="D31" t="s">
        <v>28</v>
      </c>
      <c r="E31" t="s">
        <v>111</v>
      </c>
      <c r="F31" t="s">
        <v>38</v>
      </c>
      <c r="G31" t="s">
        <v>51</v>
      </c>
      <c r="H31" t="s">
        <v>26</v>
      </c>
      <c r="I31" t="s">
        <v>6</v>
      </c>
      <c r="J31" t="s">
        <v>39</v>
      </c>
      <c r="K31" t="s">
        <v>30</v>
      </c>
      <c r="L31" t="s">
        <v>24</v>
      </c>
      <c r="M31">
        <v>1</v>
      </c>
    </row>
    <row r="32" spans="1:13" x14ac:dyDescent="0.25">
      <c r="A32" s="2">
        <v>46323</v>
      </c>
      <c r="B32" s="1" t="str">
        <f ca="1">IF(Información1[[#This Row],[Fecha]]='Ajuste de fechas'!$A$2,"Día actual","Día anterior")</f>
        <v>Día anterior</v>
      </c>
      <c r="C32" t="s">
        <v>27</v>
      </c>
      <c r="D32" t="s">
        <v>28</v>
      </c>
      <c r="E32" t="s">
        <v>112</v>
      </c>
      <c r="F32" t="s">
        <v>38</v>
      </c>
      <c r="G32" t="s">
        <v>51</v>
      </c>
      <c r="H32" t="s">
        <v>26</v>
      </c>
      <c r="I32" t="s">
        <v>6</v>
      </c>
      <c r="J32" t="s">
        <v>39</v>
      </c>
      <c r="K32" t="s">
        <v>30</v>
      </c>
      <c r="L32" t="s">
        <v>18</v>
      </c>
      <c r="M32">
        <v>1</v>
      </c>
    </row>
    <row r="33" spans="1:13" x14ac:dyDescent="0.25">
      <c r="A33" s="2">
        <v>46323</v>
      </c>
      <c r="B33" s="1" t="str">
        <f ca="1">IF(Información1[[#This Row],[Fecha]]='Ajuste de fechas'!$A$2,"Día actual","Día anterior")</f>
        <v>Día anterior</v>
      </c>
      <c r="C33" t="s">
        <v>56</v>
      </c>
      <c r="D33" t="s">
        <v>57</v>
      </c>
      <c r="E33" t="s">
        <v>113</v>
      </c>
      <c r="F33" t="s">
        <v>43</v>
      </c>
      <c r="G33" t="s">
        <v>114</v>
      </c>
      <c r="H33" t="s">
        <v>26</v>
      </c>
      <c r="I33" t="s">
        <v>6</v>
      </c>
      <c r="J33" t="s">
        <v>17</v>
      </c>
      <c r="K33" t="s">
        <v>58</v>
      </c>
      <c r="L33" t="s">
        <v>18</v>
      </c>
      <c r="M33">
        <v>1</v>
      </c>
    </row>
    <row r="34" spans="1:13" x14ac:dyDescent="0.25">
      <c r="A34" s="2">
        <v>46323</v>
      </c>
      <c r="B34" s="1" t="str">
        <f ca="1">IF(Información1[[#This Row],[Fecha]]='Ajuste de fechas'!$A$2,"Día actual","Día anterior")</f>
        <v>Día anterior</v>
      </c>
      <c r="C34" t="s">
        <v>44</v>
      </c>
      <c r="D34" t="s">
        <v>45</v>
      </c>
      <c r="E34" t="s">
        <v>115</v>
      </c>
      <c r="F34" t="s">
        <v>43</v>
      </c>
      <c r="G34" t="s">
        <v>75</v>
      </c>
      <c r="H34" t="s">
        <v>26</v>
      </c>
      <c r="I34" t="s">
        <v>6</v>
      </c>
      <c r="J34" t="s">
        <v>17</v>
      </c>
      <c r="K34" t="s">
        <v>46</v>
      </c>
      <c r="L34" t="s">
        <v>20</v>
      </c>
      <c r="M34">
        <v>1</v>
      </c>
    </row>
    <row r="35" spans="1:13" x14ac:dyDescent="0.25">
      <c r="A35" s="2">
        <v>46323</v>
      </c>
      <c r="B35" s="1" t="str">
        <f ca="1">IF(Información1[[#This Row],[Fecha]]='Ajuste de fechas'!$A$2,"Día actual","Día anterior")</f>
        <v>Día anterior</v>
      </c>
      <c r="C35" t="s">
        <v>56</v>
      </c>
      <c r="D35" t="s">
        <v>57</v>
      </c>
      <c r="E35" t="s">
        <v>116</v>
      </c>
      <c r="F35" t="s">
        <v>43</v>
      </c>
      <c r="G35" t="s">
        <v>75</v>
      </c>
      <c r="H35" t="s">
        <v>26</v>
      </c>
      <c r="I35" t="s">
        <v>6</v>
      </c>
      <c r="J35" t="s">
        <v>17</v>
      </c>
      <c r="K35" t="s">
        <v>58</v>
      </c>
      <c r="L35" t="s">
        <v>18</v>
      </c>
      <c r="M35">
        <v>1</v>
      </c>
    </row>
    <row r="36" spans="1:13" x14ac:dyDescent="0.25">
      <c r="A36" s="2">
        <v>46323</v>
      </c>
      <c r="B36" s="1" t="str">
        <f ca="1">IF(Información1[[#This Row],[Fecha]]='Ajuste de fechas'!$A$2,"Día actual","Día anterior")</f>
        <v>Día anterior</v>
      </c>
      <c r="C36" t="s">
        <v>34</v>
      </c>
      <c r="D36" t="s">
        <v>35</v>
      </c>
      <c r="E36" t="s">
        <v>117</v>
      </c>
      <c r="F36" t="s">
        <v>43</v>
      </c>
      <c r="G36" t="s">
        <v>75</v>
      </c>
      <c r="H36" t="s">
        <v>26</v>
      </c>
      <c r="I36" t="s">
        <v>7</v>
      </c>
      <c r="J36" t="s">
        <v>17</v>
      </c>
      <c r="K36" t="s">
        <v>36</v>
      </c>
      <c r="L36" t="s">
        <v>20</v>
      </c>
      <c r="M36">
        <v>1</v>
      </c>
    </row>
    <row r="37" spans="1:13" x14ac:dyDescent="0.25">
      <c r="A37" s="2">
        <v>46323</v>
      </c>
      <c r="B37" s="1" t="str">
        <f ca="1">IF(Información1[[#This Row],[Fecha]]='Ajuste de fechas'!$A$2,"Día actual","Día anterior")</f>
        <v>Día anterior</v>
      </c>
      <c r="C37" t="s">
        <v>27</v>
      </c>
      <c r="D37" t="s">
        <v>28</v>
      </c>
      <c r="E37" t="s">
        <v>118</v>
      </c>
      <c r="F37" t="s">
        <v>43</v>
      </c>
      <c r="G37" t="s">
        <v>75</v>
      </c>
      <c r="H37" t="s">
        <v>26</v>
      </c>
      <c r="I37" t="s">
        <v>7</v>
      </c>
      <c r="J37" t="s">
        <v>17</v>
      </c>
      <c r="K37" t="s">
        <v>30</v>
      </c>
      <c r="L37" t="s">
        <v>20</v>
      </c>
      <c r="M37">
        <v>1</v>
      </c>
    </row>
    <row r="38" spans="1:13" x14ac:dyDescent="0.25">
      <c r="A38" s="2">
        <v>46323</v>
      </c>
      <c r="B38" s="1" t="str">
        <f ca="1">IF(Información1[[#This Row],[Fecha]]='Ajuste de fechas'!$A$2,"Día actual","Día anterior")</f>
        <v>Día anterior</v>
      </c>
      <c r="C38" t="s">
        <v>56</v>
      </c>
      <c r="D38" t="s">
        <v>57</v>
      </c>
      <c r="E38" t="s">
        <v>119</v>
      </c>
      <c r="F38" t="s">
        <v>38</v>
      </c>
      <c r="G38" t="s">
        <v>76</v>
      </c>
      <c r="H38" t="s">
        <v>26</v>
      </c>
      <c r="I38" t="s">
        <v>6</v>
      </c>
      <c r="J38" t="s">
        <v>39</v>
      </c>
      <c r="K38" t="s">
        <v>58</v>
      </c>
      <c r="L38" t="s">
        <v>18</v>
      </c>
      <c r="M38">
        <v>1</v>
      </c>
    </row>
    <row r="39" spans="1:13" x14ac:dyDescent="0.25">
      <c r="A39" s="2">
        <v>46323</v>
      </c>
      <c r="B39" s="1" t="str">
        <f ca="1">IF(Información1[[#This Row],[Fecha]]='Ajuste de fechas'!$A$2,"Día actual","Día anterior")</f>
        <v>Día anterior</v>
      </c>
      <c r="C39" t="s">
        <v>59</v>
      </c>
      <c r="D39" t="s">
        <v>60</v>
      </c>
      <c r="E39" t="s">
        <v>120</v>
      </c>
      <c r="F39" t="s">
        <v>8</v>
      </c>
      <c r="G39" t="s">
        <v>77</v>
      </c>
      <c r="H39" t="s">
        <v>26</v>
      </c>
      <c r="I39" t="s">
        <v>10</v>
      </c>
      <c r="J39" t="s">
        <v>17</v>
      </c>
      <c r="K39" t="s">
        <v>33</v>
      </c>
      <c r="L39" t="s">
        <v>19</v>
      </c>
      <c r="M39">
        <v>1</v>
      </c>
    </row>
    <row r="40" spans="1:13" x14ac:dyDescent="0.25">
      <c r="A40" s="2">
        <v>46323</v>
      </c>
      <c r="B40" s="1" t="str">
        <f ca="1">IF(Información1[[#This Row],[Fecha]]='Ajuste de fechas'!$A$2,"Día actual","Día anterior")</f>
        <v>Día anterior</v>
      </c>
      <c r="C40" t="s">
        <v>59</v>
      </c>
      <c r="D40" t="s">
        <v>60</v>
      </c>
      <c r="E40" t="s">
        <v>121</v>
      </c>
      <c r="F40" t="s">
        <v>38</v>
      </c>
      <c r="G40" t="s">
        <v>122</v>
      </c>
      <c r="H40" t="s">
        <v>26</v>
      </c>
      <c r="I40" t="s">
        <v>6</v>
      </c>
      <c r="J40" t="s">
        <v>39</v>
      </c>
      <c r="K40" t="s">
        <v>61</v>
      </c>
      <c r="L40" t="s">
        <v>18</v>
      </c>
      <c r="M40">
        <v>1</v>
      </c>
    </row>
    <row r="41" spans="1:13" x14ac:dyDescent="0.25">
      <c r="A41" s="2">
        <v>46323</v>
      </c>
      <c r="B41" s="1" t="str">
        <f ca="1">IF(Información1[[#This Row],[Fecha]]='Ajuste de fechas'!$A$2,"Día actual","Día anterior")</f>
        <v>Día anterior</v>
      </c>
      <c r="C41" t="s">
        <v>27</v>
      </c>
      <c r="D41" t="s">
        <v>32</v>
      </c>
      <c r="E41" t="s">
        <v>52</v>
      </c>
      <c r="F41" t="s">
        <v>41</v>
      </c>
      <c r="G41" t="s">
        <v>53</v>
      </c>
      <c r="H41" t="s">
        <v>26</v>
      </c>
      <c r="I41" t="s">
        <v>6</v>
      </c>
      <c r="J41" t="s">
        <v>42</v>
      </c>
      <c r="K41" t="s">
        <v>48</v>
      </c>
      <c r="L41" t="s">
        <v>18</v>
      </c>
      <c r="M41">
        <v>1</v>
      </c>
    </row>
    <row r="42" spans="1:13" x14ac:dyDescent="0.25">
      <c r="A42" s="2">
        <v>46323</v>
      </c>
      <c r="B42" s="1" t="str">
        <f ca="1">IF(Información1[[#This Row],[Fecha]]='Ajuste de fechas'!$A$2,"Día actual","Día anterior")</f>
        <v>Día anterior</v>
      </c>
      <c r="C42" t="s">
        <v>34</v>
      </c>
      <c r="D42" t="s">
        <v>35</v>
      </c>
      <c r="E42" t="s">
        <v>123</v>
      </c>
      <c r="F42" t="s">
        <v>124</v>
      </c>
      <c r="G42" t="s">
        <v>125</v>
      </c>
      <c r="H42" t="s">
        <v>26</v>
      </c>
      <c r="I42" t="s">
        <v>7</v>
      </c>
      <c r="J42" t="s">
        <v>17</v>
      </c>
      <c r="K42" t="s">
        <v>36</v>
      </c>
      <c r="L42" t="s">
        <v>18</v>
      </c>
      <c r="M42">
        <v>1</v>
      </c>
    </row>
    <row r="43" spans="1:13" x14ac:dyDescent="0.25">
      <c r="A43" s="2">
        <v>46323</v>
      </c>
      <c r="B43" s="1" t="str">
        <f ca="1">IF(Información1[[#This Row],[Fecha]]='Ajuste de fechas'!$A$2,"Día actual","Día anterior")</f>
        <v>Día anterior</v>
      </c>
      <c r="C43" t="s">
        <v>27</v>
      </c>
      <c r="D43" t="s">
        <v>28</v>
      </c>
      <c r="E43" t="s">
        <v>126</v>
      </c>
      <c r="F43" t="s">
        <v>124</v>
      </c>
      <c r="G43" t="s">
        <v>125</v>
      </c>
      <c r="H43" t="s">
        <v>26</v>
      </c>
      <c r="I43" t="s">
        <v>7</v>
      </c>
      <c r="J43" t="s">
        <v>17</v>
      </c>
      <c r="K43" t="s">
        <v>30</v>
      </c>
      <c r="L43" t="s">
        <v>20</v>
      </c>
      <c r="M43">
        <v>1</v>
      </c>
    </row>
    <row r="44" spans="1:13" x14ac:dyDescent="0.25">
      <c r="A44" s="2">
        <v>46323</v>
      </c>
      <c r="B44" s="1" t="str">
        <f ca="1">IF(Información1[[#This Row],[Fecha]]='Ajuste de fechas'!$A$2,"Día actual","Día anterior")</f>
        <v>Día anterior</v>
      </c>
      <c r="C44" t="s">
        <v>56</v>
      </c>
      <c r="D44" t="s">
        <v>57</v>
      </c>
      <c r="E44" t="s">
        <v>127</v>
      </c>
      <c r="F44" t="s">
        <v>41</v>
      </c>
      <c r="G44" t="s">
        <v>54</v>
      </c>
      <c r="H44" t="s">
        <v>26</v>
      </c>
      <c r="I44" t="s">
        <v>6</v>
      </c>
      <c r="J44" t="s">
        <v>42</v>
      </c>
      <c r="K44" t="s">
        <v>58</v>
      </c>
      <c r="L44" t="s">
        <v>18</v>
      </c>
      <c r="M44">
        <v>1</v>
      </c>
    </row>
    <row r="45" spans="1:13" x14ac:dyDescent="0.25">
      <c r="A45" s="2">
        <v>46323</v>
      </c>
      <c r="B45" s="1" t="str">
        <f ca="1">IF(Información1[[#This Row],[Fecha]]='Ajuste de fechas'!$A$2,"Día actual","Día anterior")</f>
        <v>Día anterior</v>
      </c>
      <c r="C45" t="s">
        <v>56</v>
      </c>
      <c r="D45" t="s">
        <v>57</v>
      </c>
      <c r="E45" t="s">
        <v>128</v>
      </c>
      <c r="F45" t="s">
        <v>66</v>
      </c>
      <c r="G45" t="s">
        <v>129</v>
      </c>
      <c r="H45" t="s">
        <v>26</v>
      </c>
      <c r="I45" t="s">
        <v>6</v>
      </c>
      <c r="J45" t="s">
        <v>40</v>
      </c>
      <c r="K45" t="s">
        <v>58</v>
      </c>
      <c r="L45" t="s">
        <v>18</v>
      </c>
      <c r="M45">
        <v>1</v>
      </c>
    </row>
    <row r="46" spans="1:13" x14ac:dyDescent="0.25">
      <c r="A46" s="2">
        <v>46323</v>
      </c>
      <c r="B46" s="1" t="str">
        <f ca="1">IF(Información1[[#This Row],[Fecha]]='Ajuste de fechas'!$A$2,"Día actual","Día anterior")</f>
        <v>Día anterior</v>
      </c>
      <c r="C46" t="s">
        <v>56</v>
      </c>
      <c r="D46" t="s">
        <v>57</v>
      </c>
      <c r="E46" t="s">
        <v>130</v>
      </c>
      <c r="F46" t="s">
        <v>38</v>
      </c>
      <c r="G46" t="s">
        <v>131</v>
      </c>
      <c r="H46" t="s">
        <v>26</v>
      </c>
      <c r="I46" t="s">
        <v>6</v>
      </c>
      <c r="J46" t="s">
        <v>39</v>
      </c>
      <c r="K46" t="s">
        <v>58</v>
      </c>
      <c r="L46" t="s">
        <v>18</v>
      </c>
      <c r="M46">
        <v>1</v>
      </c>
    </row>
    <row r="47" spans="1:13" x14ac:dyDescent="0.25">
      <c r="A47" s="2">
        <v>46323</v>
      </c>
      <c r="B47" s="1" t="str">
        <f ca="1">IF(Información1[[#This Row],[Fecha]]='Ajuste de fechas'!$A$2,"Día actual","Día anterior")</f>
        <v>Día anterior</v>
      </c>
      <c r="C47" t="s">
        <v>56</v>
      </c>
      <c r="D47" t="s">
        <v>71</v>
      </c>
      <c r="E47" t="s">
        <v>132</v>
      </c>
      <c r="F47" t="s">
        <v>41</v>
      </c>
      <c r="G47" t="s">
        <v>133</v>
      </c>
      <c r="H47" t="s">
        <v>26</v>
      </c>
      <c r="I47" t="s">
        <v>6</v>
      </c>
      <c r="J47" t="s">
        <v>42</v>
      </c>
      <c r="K47" t="s">
        <v>73</v>
      </c>
      <c r="L47" t="s">
        <v>18</v>
      </c>
      <c r="M47">
        <v>1</v>
      </c>
    </row>
    <row r="48" spans="1:13" x14ac:dyDescent="0.25">
      <c r="A48" s="2">
        <v>46323</v>
      </c>
      <c r="B48" s="1" t="str">
        <f ca="1">IF(Información1[[#This Row],[Fecha]]='Ajuste de fechas'!$A$2,"Día actual","Día anterior")</f>
        <v>Día anterior</v>
      </c>
      <c r="C48" t="s">
        <v>59</v>
      </c>
      <c r="D48" t="s">
        <v>60</v>
      </c>
      <c r="E48" t="s">
        <v>134</v>
      </c>
      <c r="F48" t="s">
        <v>41</v>
      </c>
      <c r="G48" t="s">
        <v>135</v>
      </c>
      <c r="H48" t="s">
        <v>26</v>
      </c>
      <c r="I48" t="s">
        <v>6</v>
      </c>
      <c r="J48" t="s">
        <v>42</v>
      </c>
      <c r="K48" t="s">
        <v>61</v>
      </c>
      <c r="L48" t="s">
        <v>18</v>
      </c>
      <c r="M48">
        <v>1</v>
      </c>
    </row>
    <row r="49" spans="1:13" x14ac:dyDescent="0.25">
      <c r="A49" s="2">
        <v>46323</v>
      </c>
      <c r="B49" s="1" t="str">
        <f ca="1">IF(Información1[[#This Row],[Fecha]]='Ajuste de fechas'!$A$2,"Día actual","Día anterior")</f>
        <v>Día anterior</v>
      </c>
      <c r="C49" t="s">
        <v>34</v>
      </c>
      <c r="D49" t="s">
        <v>35</v>
      </c>
      <c r="E49" t="s">
        <v>136</v>
      </c>
      <c r="F49" t="s">
        <v>41</v>
      </c>
      <c r="G49" t="s">
        <v>135</v>
      </c>
      <c r="H49" t="s">
        <v>26</v>
      </c>
      <c r="I49" t="s">
        <v>6</v>
      </c>
      <c r="J49" t="s">
        <v>42</v>
      </c>
      <c r="K49" t="s">
        <v>36</v>
      </c>
      <c r="L49" t="s">
        <v>18</v>
      </c>
      <c r="M49">
        <v>1</v>
      </c>
    </row>
    <row r="50" spans="1:13" x14ac:dyDescent="0.25">
      <c r="A50" s="2">
        <v>46323</v>
      </c>
      <c r="B50" s="1" t="str">
        <f ca="1">IF(Información1[[#This Row],[Fecha]]='Ajuste de fechas'!$A$2,"Día actual","Día anterior")</f>
        <v>Día anterior</v>
      </c>
      <c r="C50" t="s">
        <v>59</v>
      </c>
      <c r="D50" t="s">
        <v>60</v>
      </c>
      <c r="E50" t="s">
        <v>137</v>
      </c>
      <c r="F50" t="s">
        <v>38</v>
      </c>
      <c r="G50" t="s">
        <v>138</v>
      </c>
      <c r="H50" t="s">
        <v>26</v>
      </c>
      <c r="I50" t="s">
        <v>10</v>
      </c>
      <c r="J50" t="s">
        <v>39</v>
      </c>
      <c r="K50" t="s">
        <v>33</v>
      </c>
      <c r="L50" t="s">
        <v>19</v>
      </c>
      <c r="M50">
        <v>1</v>
      </c>
    </row>
    <row r="51" spans="1:13" x14ac:dyDescent="0.25">
      <c r="A51" s="2">
        <v>46323</v>
      </c>
      <c r="B51" s="1" t="str">
        <f ca="1">IF(Información1[[#This Row],[Fecha]]='Ajuste de fechas'!$A$2,"Día actual","Día anterior")</f>
        <v>Día anterior</v>
      </c>
      <c r="C51" t="s">
        <v>56</v>
      </c>
      <c r="D51" t="s">
        <v>71</v>
      </c>
      <c r="E51" t="s">
        <v>139</v>
      </c>
      <c r="F51" t="s">
        <v>41</v>
      </c>
      <c r="G51" t="s">
        <v>78</v>
      </c>
      <c r="H51" t="s">
        <v>26</v>
      </c>
      <c r="I51" t="s">
        <v>6</v>
      </c>
      <c r="J51" t="s">
        <v>42</v>
      </c>
      <c r="K51" t="s">
        <v>73</v>
      </c>
      <c r="L51" t="s">
        <v>18</v>
      </c>
      <c r="M51">
        <v>1</v>
      </c>
    </row>
    <row r="52" spans="1:13" x14ac:dyDescent="0.25">
      <c r="A52" s="2">
        <v>46324</v>
      </c>
      <c r="B52" s="1" t="str">
        <f ca="1">IF(Información1[[#This Row],[Fecha]]='Ajuste de fechas'!$A$2,"Día actual","Día anterior")</f>
        <v>Día actual</v>
      </c>
      <c r="C52" t="s">
        <v>56</v>
      </c>
      <c r="D52" t="s">
        <v>57</v>
      </c>
      <c r="E52" t="s">
        <v>140</v>
      </c>
      <c r="F52" t="s">
        <v>66</v>
      </c>
      <c r="G52" t="s">
        <v>47</v>
      </c>
      <c r="H52" t="s">
        <v>26</v>
      </c>
      <c r="I52" t="s">
        <v>6</v>
      </c>
      <c r="J52" t="s">
        <v>40</v>
      </c>
      <c r="K52" t="s">
        <v>58</v>
      </c>
      <c r="L52" t="s">
        <v>18</v>
      </c>
      <c r="M52">
        <v>1</v>
      </c>
    </row>
    <row r="53" spans="1:13" x14ac:dyDescent="0.25">
      <c r="A53" s="2">
        <v>46324</v>
      </c>
      <c r="B53" s="1" t="str">
        <f ca="1">IF(Información1[[#This Row],[Fecha]]='Ajuste de fechas'!$A$2,"Día actual","Día anterior")</f>
        <v>Día actual</v>
      </c>
      <c r="C53" t="s">
        <v>59</v>
      </c>
      <c r="D53" t="s">
        <v>141</v>
      </c>
      <c r="E53" t="s">
        <v>70</v>
      </c>
      <c r="F53" t="s">
        <v>49</v>
      </c>
      <c r="G53" t="s">
        <v>63</v>
      </c>
      <c r="H53" t="s">
        <v>26</v>
      </c>
      <c r="I53" t="s">
        <v>7</v>
      </c>
      <c r="J53" t="s">
        <v>17</v>
      </c>
      <c r="K53" t="s">
        <v>61</v>
      </c>
      <c r="L53" t="s">
        <v>19</v>
      </c>
      <c r="M53">
        <v>1</v>
      </c>
    </row>
    <row r="54" spans="1:13" x14ac:dyDescent="0.25">
      <c r="A54" s="2">
        <v>46324</v>
      </c>
      <c r="B54" s="1" t="str">
        <f ca="1">IF(Información1[[#This Row],[Fecha]]='Ajuste de fechas'!$A$2,"Día actual","Día anterior")</f>
        <v>Día actual</v>
      </c>
      <c r="C54" t="s">
        <v>59</v>
      </c>
      <c r="D54" t="s">
        <v>141</v>
      </c>
      <c r="E54" t="s">
        <v>69</v>
      </c>
      <c r="F54" t="s">
        <v>8</v>
      </c>
      <c r="G54" t="s">
        <v>63</v>
      </c>
      <c r="H54" t="s">
        <v>26</v>
      </c>
      <c r="I54" t="s">
        <v>7</v>
      </c>
      <c r="J54" t="s">
        <v>17</v>
      </c>
      <c r="K54" t="s">
        <v>61</v>
      </c>
      <c r="L54" t="s">
        <v>19</v>
      </c>
      <c r="M54">
        <v>1</v>
      </c>
    </row>
    <row r="55" spans="1:13" x14ac:dyDescent="0.25">
      <c r="A55" s="2">
        <v>46324</v>
      </c>
      <c r="B55" s="1" t="str">
        <f ca="1">IF(Información1[[#This Row],[Fecha]]='Ajuste de fechas'!$A$2,"Día actual","Día anterior")</f>
        <v>Día actual</v>
      </c>
      <c r="C55" t="s">
        <v>59</v>
      </c>
      <c r="D55" t="s">
        <v>141</v>
      </c>
      <c r="E55" t="s">
        <v>142</v>
      </c>
      <c r="F55" t="s">
        <v>25</v>
      </c>
      <c r="G55" t="s">
        <v>63</v>
      </c>
      <c r="H55" t="s">
        <v>26</v>
      </c>
      <c r="I55" t="s">
        <v>7</v>
      </c>
      <c r="J55" t="s">
        <v>17</v>
      </c>
      <c r="K55" t="s">
        <v>61</v>
      </c>
      <c r="L55" t="s">
        <v>19</v>
      </c>
      <c r="M55">
        <v>1</v>
      </c>
    </row>
    <row r="56" spans="1:13" x14ac:dyDescent="0.25">
      <c r="A56" s="2">
        <v>46324</v>
      </c>
      <c r="B56" s="1" t="str">
        <f ca="1">IF(Información1[[#This Row],[Fecha]]='Ajuste de fechas'!$A$2,"Día actual","Día anterior")</f>
        <v>Día actual</v>
      </c>
      <c r="C56" t="s">
        <v>59</v>
      </c>
      <c r="D56" t="s">
        <v>141</v>
      </c>
      <c r="E56" t="s">
        <v>67</v>
      </c>
      <c r="F56" t="s">
        <v>9</v>
      </c>
      <c r="G56" t="s">
        <v>63</v>
      </c>
      <c r="H56" t="s">
        <v>26</v>
      </c>
      <c r="I56" t="s">
        <v>7</v>
      </c>
      <c r="J56" t="s">
        <v>17</v>
      </c>
      <c r="K56" t="s">
        <v>61</v>
      </c>
      <c r="L56" t="s">
        <v>19</v>
      </c>
      <c r="M56">
        <v>1</v>
      </c>
    </row>
    <row r="57" spans="1:13" x14ac:dyDescent="0.25">
      <c r="A57" s="2">
        <v>46324</v>
      </c>
      <c r="B57" s="1" t="str">
        <f ca="1">IF(Información1[[#This Row],[Fecha]]='Ajuste de fechas'!$A$2,"Día actual","Día anterior")</f>
        <v>Día actual</v>
      </c>
      <c r="C57" t="s">
        <v>59</v>
      </c>
      <c r="D57" t="s">
        <v>141</v>
      </c>
      <c r="E57" t="s">
        <v>65</v>
      </c>
      <c r="F57" t="s">
        <v>66</v>
      </c>
      <c r="G57" t="s">
        <v>63</v>
      </c>
      <c r="H57" t="s">
        <v>26</v>
      </c>
      <c r="I57" t="s">
        <v>7</v>
      </c>
      <c r="J57" t="s">
        <v>40</v>
      </c>
      <c r="K57" t="s">
        <v>61</v>
      </c>
      <c r="L57" t="s">
        <v>19</v>
      </c>
      <c r="M57">
        <v>1</v>
      </c>
    </row>
    <row r="58" spans="1:13" x14ac:dyDescent="0.25">
      <c r="A58" s="2">
        <v>46324</v>
      </c>
      <c r="B58" s="1" t="str">
        <f ca="1">IF(Información1[[#This Row],[Fecha]]='Ajuste de fechas'!$A$2,"Día actual","Día anterior")</f>
        <v>Día actual</v>
      </c>
      <c r="C58" t="s">
        <v>59</v>
      </c>
      <c r="D58" t="s">
        <v>141</v>
      </c>
      <c r="E58" t="s">
        <v>64</v>
      </c>
      <c r="F58" t="s">
        <v>38</v>
      </c>
      <c r="G58" t="s">
        <v>63</v>
      </c>
      <c r="H58" t="s">
        <v>26</v>
      </c>
      <c r="I58" t="s">
        <v>7</v>
      </c>
      <c r="J58" t="s">
        <v>39</v>
      </c>
      <c r="K58" t="s">
        <v>61</v>
      </c>
      <c r="L58" t="s">
        <v>19</v>
      </c>
      <c r="M58">
        <v>1</v>
      </c>
    </row>
    <row r="59" spans="1:13" x14ac:dyDescent="0.25">
      <c r="A59" s="2">
        <v>46324</v>
      </c>
      <c r="B59" s="1" t="str">
        <f ca="1">IF(Información1[[#This Row],[Fecha]]='Ajuste de fechas'!$A$2,"Día actual","Día anterior")</f>
        <v>Día actual</v>
      </c>
      <c r="C59" t="s">
        <v>59</v>
      </c>
      <c r="D59" t="s">
        <v>141</v>
      </c>
      <c r="E59" t="s">
        <v>143</v>
      </c>
      <c r="F59" t="s">
        <v>38</v>
      </c>
      <c r="G59" t="s">
        <v>63</v>
      </c>
      <c r="H59" t="s">
        <v>26</v>
      </c>
      <c r="I59" t="s">
        <v>7</v>
      </c>
      <c r="J59" t="s">
        <v>39</v>
      </c>
      <c r="K59" t="s">
        <v>61</v>
      </c>
      <c r="L59" t="s">
        <v>19</v>
      </c>
      <c r="M59">
        <v>1</v>
      </c>
    </row>
    <row r="60" spans="1:13" x14ac:dyDescent="0.25">
      <c r="A60" s="2">
        <v>46324</v>
      </c>
      <c r="B60" s="1" t="str">
        <f ca="1">IF(Información1[[#This Row],[Fecha]]='Ajuste de fechas'!$A$2,"Día actual","Día anterior")</f>
        <v>Día actual</v>
      </c>
      <c r="C60" t="s">
        <v>59</v>
      </c>
      <c r="D60" t="s">
        <v>141</v>
      </c>
      <c r="E60" t="s">
        <v>144</v>
      </c>
      <c r="F60" t="s">
        <v>38</v>
      </c>
      <c r="G60" t="s">
        <v>145</v>
      </c>
      <c r="H60" t="s">
        <v>26</v>
      </c>
      <c r="I60" t="s">
        <v>6</v>
      </c>
      <c r="J60" t="s">
        <v>39</v>
      </c>
      <c r="K60" t="s">
        <v>61</v>
      </c>
      <c r="L60" t="s">
        <v>18</v>
      </c>
      <c r="M60">
        <v>1</v>
      </c>
    </row>
    <row r="61" spans="1:13" x14ac:dyDescent="0.25">
      <c r="A61" s="2">
        <v>46324</v>
      </c>
      <c r="B61" s="1" t="str">
        <f ca="1">IF(Información1[[#This Row],[Fecha]]='Ajuste de fechas'!$A$2,"Día actual","Día anterior")</f>
        <v>Día actual</v>
      </c>
      <c r="C61" t="s">
        <v>56</v>
      </c>
      <c r="D61" t="s">
        <v>57</v>
      </c>
      <c r="E61" t="s">
        <v>146</v>
      </c>
      <c r="F61" t="s">
        <v>41</v>
      </c>
      <c r="G61" t="s">
        <v>147</v>
      </c>
      <c r="H61" t="s">
        <v>26</v>
      </c>
      <c r="I61" t="s">
        <v>6</v>
      </c>
      <c r="J61" t="s">
        <v>42</v>
      </c>
      <c r="K61" t="s">
        <v>58</v>
      </c>
      <c r="L61" t="s">
        <v>18</v>
      </c>
      <c r="M61">
        <v>1</v>
      </c>
    </row>
    <row r="62" spans="1:13" x14ac:dyDescent="0.25">
      <c r="A62" s="2">
        <v>46324</v>
      </c>
      <c r="B62" s="1" t="str">
        <f ca="1">IF(Información1[[#This Row],[Fecha]]='Ajuste de fechas'!$A$2,"Día actual","Día anterior")</f>
        <v>Día actual</v>
      </c>
      <c r="C62" t="s">
        <v>59</v>
      </c>
      <c r="D62" t="s">
        <v>141</v>
      </c>
      <c r="E62" t="s">
        <v>148</v>
      </c>
      <c r="F62" t="s">
        <v>41</v>
      </c>
      <c r="G62" t="s">
        <v>149</v>
      </c>
      <c r="H62" t="s">
        <v>26</v>
      </c>
      <c r="I62" t="s">
        <v>6</v>
      </c>
      <c r="J62" t="s">
        <v>42</v>
      </c>
      <c r="K62" t="s">
        <v>61</v>
      </c>
      <c r="L62" t="s">
        <v>18</v>
      </c>
      <c r="M62">
        <v>1</v>
      </c>
    </row>
    <row r="63" spans="1:13" x14ac:dyDescent="0.25">
      <c r="A63" s="2">
        <v>46323</v>
      </c>
      <c r="B63" s="1" t="str">
        <f ca="1">IF(Información1[[#This Row],[Fecha]]='Ajuste de fechas'!$A$2,"Día actual","Día anterior")</f>
        <v>Día anterior</v>
      </c>
      <c r="C63" t="s">
        <v>150</v>
      </c>
      <c r="D63" t="s">
        <v>151</v>
      </c>
      <c r="E63" t="s">
        <v>152</v>
      </c>
      <c r="F63" t="s">
        <v>105</v>
      </c>
      <c r="G63" t="s">
        <v>51</v>
      </c>
      <c r="H63" t="s">
        <v>26</v>
      </c>
      <c r="I63" t="s">
        <v>7</v>
      </c>
      <c r="J63" t="s">
        <v>17</v>
      </c>
      <c r="K63" t="s">
        <v>153</v>
      </c>
      <c r="L63" t="s">
        <v>106</v>
      </c>
      <c r="M63">
        <v>1</v>
      </c>
    </row>
    <row r="64" spans="1:13" x14ac:dyDescent="0.25">
      <c r="A64" s="2">
        <v>46324</v>
      </c>
      <c r="B64" s="1" t="str">
        <f ca="1">IF(Información1[[#This Row],[Fecha]]='Ajuste de fechas'!$A$2,"Día actual","Día anterior")</f>
        <v>Día actual</v>
      </c>
      <c r="C64" t="s">
        <v>27</v>
      </c>
      <c r="D64" t="s">
        <v>28</v>
      </c>
      <c r="E64" t="s">
        <v>154</v>
      </c>
      <c r="F64" t="s">
        <v>105</v>
      </c>
      <c r="G64" t="s">
        <v>51</v>
      </c>
      <c r="H64" t="s">
        <v>26</v>
      </c>
      <c r="I64" t="s">
        <v>7</v>
      </c>
      <c r="J64" t="s">
        <v>17</v>
      </c>
      <c r="K64" t="s">
        <v>30</v>
      </c>
      <c r="L64" t="s">
        <v>106</v>
      </c>
      <c r="M64">
        <v>1</v>
      </c>
    </row>
    <row r="65" spans="1:13" x14ac:dyDescent="0.25">
      <c r="A65" s="2">
        <v>46324</v>
      </c>
      <c r="B65" s="1" t="str">
        <f ca="1">IF(Información1[[#This Row],[Fecha]]='Ajuste de fechas'!$A$2,"Día actual","Día anterior")</f>
        <v>Día actual</v>
      </c>
      <c r="C65" t="s">
        <v>155</v>
      </c>
      <c r="D65" t="s">
        <v>156</v>
      </c>
      <c r="E65" t="s">
        <v>154</v>
      </c>
      <c r="F65" t="s">
        <v>105</v>
      </c>
      <c r="G65" t="s">
        <v>51</v>
      </c>
      <c r="H65" t="s">
        <v>26</v>
      </c>
      <c r="I65" t="s">
        <v>7</v>
      </c>
      <c r="J65" t="s">
        <v>17</v>
      </c>
      <c r="K65" t="s">
        <v>157</v>
      </c>
      <c r="L65" t="s">
        <v>106</v>
      </c>
      <c r="M65">
        <v>1</v>
      </c>
    </row>
    <row r="66" spans="1:13" x14ac:dyDescent="0.25">
      <c r="A66" s="2">
        <v>46324</v>
      </c>
      <c r="B66" s="1" t="str">
        <f ca="1">IF(Información1[[#This Row],[Fecha]]='Ajuste de fechas'!$A$2,"Día actual","Día anterior")</f>
        <v>Día actual</v>
      </c>
      <c r="C66" t="s">
        <v>59</v>
      </c>
      <c r="D66" t="s">
        <v>141</v>
      </c>
      <c r="E66" t="s">
        <v>158</v>
      </c>
      <c r="F66" t="s">
        <v>38</v>
      </c>
      <c r="G66" t="s">
        <v>51</v>
      </c>
      <c r="H66" t="s">
        <v>26</v>
      </c>
      <c r="I66" t="s">
        <v>6</v>
      </c>
      <c r="J66" t="s">
        <v>39</v>
      </c>
      <c r="K66" t="s">
        <v>61</v>
      </c>
      <c r="L66" t="s">
        <v>18</v>
      </c>
      <c r="M66">
        <v>1</v>
      </c>
    </row>
    <row r="67" spans="1:13" x14ac:dyDescent="0.25">
      <c r="A67" s="2">
        <v>46324</v>
      </c>
      <c r="B67" s="1" t="str">
        <f ca="1">IF(Información1[[#This Row],[Fecha]]='Ajuste de fechas'!$A$2,"Día actual","Día anterior")</f>
        <v>Día actual</v>
      </c>
      <c r="C67" t="s">
        <v>59</v>
      </c>
      <c r="D67" t="s">
        <v>141</v>
      </c>
      <c r="E67" t="s">
        <v>159</v>
      </c>
      <c r="F67" t="s">
        <v>38</v>
      </c>
      <c r="G67" t="s">
        <v>51</v>
      </c>
      <c r="H67" t="s">
        <v>26</v>
      </c>
      <c r="I67" t="s">
        <v>6</v>
      </c>
      <c r="J67" t="s">
        <v>39</v>
      </c>
      <c r="K67" t="s">
        <v>61</v>
      </c>
      <c r="L67" t="s">
        <v>160</v>
      </c>
      <c r="M67">
        <v>1</v>
      </c>
    </row>
    <row r="68" spans="1:13" x14ac:dyDescent="0.25">
      <c r="A68" s="2">
        <v>46324</v>
      </c>
      <c r="B68" s="1" t="str">
        <f ca="1">IF(Información1[[#This Row],[Fecha]]='Ajuste de fechas'!$A$2,"Día actual","Día anterior")</f>
        <v>Día actual</v>
      </c>
      <c r="C68" t="s">
        <v>59</v>
      </c>
      <c r="D68" t="s">
        <v>141</v>
      </c>
      <c r="E68" t="s">
        <v>161</v>
      </c>
      <c r="F68" t="s">
        <v>105</v>
      </c>
      <c r="G68" t="s">
        <v>51</v>
      </c>
      <c r="H68" t="s">
        <v>26</v>
      </c>
      <c r="I68" t="s">
        <v>6</v>
      </c>
      <c r="J68" t="s">
        <v>17</v>
      </c>
      <c r="K68" t="s">
        <v>61</v>
      </c>
      <c r="L68" t="s">
        <v>106</v>
      </c>
      <c r="M68">
        <v>1</v>
      </c>
    </row>
    <row r="69" spans="1:13" x14ac:dyDescent="0.25">
      <c r="A69" s="2">
        <v>46324</v>
      </c>
      <c r="B69" s="1" t="str">
        <f ca="1">IF(Información1[[#This Row],[Fecha]]='Ajuste de fechas'!$A$2,"Día actual","Día anterior")</f>
        <v>Día actual</v>
      </c>
      <c r="C69" t="s">
        <v>56</v>
      </c>
      <c r="D69" t="s">
        <v>57</v>
      </c>
      <c r="E69" t="s">
        <v>162</v>
      </c>
      <c r="F69" t="s">
        <v>40</v>
      </c>
      <c r="G69" t="s">
        <v>51</v>
      </c>
      <c r="H69" t="s">
        <v>26</v>
      </c>
      <c r="I69" t="s">
        <v>6</v>
      </c>
      <c r="J69" t="s">
        <v>40</v>
      </c>
      <c r="K69" t="s">
        <v>58</v>
      </c>
      <c r="L69" t="s">
        <v>74</v>
      </c>
      <c r="M69">
        <v>1</v>
      </c>
    </row>
    <row r="70" spans="1:13" x14ac:dyDescent="0.25">
      <c r="A70" s="2">
        <v>46324</v>
      </c>
      <c r="B70" s="1" t="str">
        <f ca="1">IF(Información1[[#This Row],[Fecha]]='Ajuste de fechas'!$A$2,"Día actual","Día anterior")</f>
        <v>Día actual</v>
      </c>
      <c r="C70" t="s">
        <v>59</v>
      </c>
      <c r="D70" t="s">
        <v>141</v>
      </c>
      <c r="E70" t="s">
        <v>163</v>
      </c>
      <c r="F70" t="s">
        <v>43</v>
      </c>
      <c r="G70" t="s">
        <v>164</v>
      </c>
      <c r="H70" t="s">
        <v>26</v>
      </c>
      <c r="I70" t="s">
        <v>6</v>
      </c>
      <c r="J70" t="s">
        <v>17</v>
      </c>
      <c r="K70" t="s">
        <v>61</v>
      </c>
      <c r="L70" t="s">
        <v>18</v>
      </c>
      <c r="M70">
        <v>1</v>
      </c>
    </row>
    <row r="71" spans="1:13" x14ac:dyDescent="0.25">
      <c r="A71" s="2">
        <v>46324</v>
      </c>
      <c r="B71" s="1" t="str">
        <f ca="1">IF(Información1[[#This Row],[Fecha]]='Ajuste de fechas'!$A$2,"Día actual","Día anterior")</f>
        <v>Día actual</v>
      </c>
      <c r="C71" t="s">
        <v>56</v>
      </c>
      <c r="D71" t="s">
        <v>57</v>
      </c>
      <c r="E71" t="s">
        <v>165</v>
      </c>
      <c r="F71" t="s">
        <v>43</v>
      </c>
      <c r="G71" t="s">
        <v>164</v>
      </c>
      <c r="H71" t="s">
        <v>26</v>
      </c>
      <c r="I71" t="s">
        <v>6</v>
      </c>
      <c r="J71" t="s">
        <v>17</v>
      </c>
      <c r="K71" t="s">
        <v>58</v>
      </c>
      <c r="L71" t="s">
        <v>18</v>
      </c>
      <c r="M71">
        <v>1</v>
      </c>
    </row>
    <row r="72" spans="1:13" x14ac:dyDescent="0.25">
      <c r="A72" s="2">
        <v>46324</v>
      </c>
      <c r="B72" s="1" t="str">
        <f ca="1">IF(Información1[[#This Row],[Fecha]]='Ajuste de fechas'!$A$2,"Día actual","Día anterior")</f>
        <v>Día actual</v>
      </c>
      <c r="C72" t="s">
        <v>59</v>
      </c>
      <c r="D72" t="s">
        <v>141</v>
      </c>
      <c r="E72" t="s">
        <v>166</v>
      </c>
      <c r="F72" t="s">
        <v>66</v>
      </c>
      <c r="G72" t="s">
        <v>167</v>
      </c>
      <c r="H72" t="s">
        <v>26</v>
      </c>
      <c r="I72" t="s">
        <v>6</v>
      </c>
      <c r="J72" t="s">
        <v>40</v>
      </c>
      <c r="K72" t="s">
        <v>61</v>
      </c>
      <c r="L72" t="s">
        <v>24</v>
      </c>
      <c r="M72">
        <v>1</v>
      </c>
    </row>
    <row r="73" spans="1:13" x14ac:dyDescent="0.25">
      <c r="A73" s="2">
        <v>46324</v>
      </c>
      <c r="B73" s="1" t="str">
        <f ca="1">IF(Información1[[#This Row],[Fecha]]='Ajuste de fechas'!$A$2,"Día actual","Día anterior")</f>
        <v>Día actual</v>
      </c>
      <c r="C73" t="s">
        <v>56</v>
      </c>
      <c r="D73" t="s">
        <v>57</v>
      </c>
      <c r="E73" t="s">
        <v>168</v>
      </c>
      <c r="F73" t="s">
        <v>43</v>
      </c>
      <c r="G73" t="s">
        <v>169</v>
      </c>
      <c r="H73" t="s">
        <v>26</v>
      </c>
      <c r="I73" t="s">
        <v>6</v>
      </c>
      <c r="J73" t="s">
        <v>17</v>
      </c>
      <c r="K73" t="s">
        <v>58</v>
      </c>
      <c r="L73" t="s">
        <v>18</v>
      </c>
      <c r="M73">
        <v>1</v>
      </c>
    </row>
    <row r="74" spans="1:13" x14ac:dyDescent="0.25">
      <c r="A74" s="2">
        <v>46324</v>
      </c>
      <c r="B74" s="1" t="str">
        <f ca="1">IF(Información1[[#This Row],[Fecha]]='Ajuste de fechas'!$A$2,"Día actual","Día anterior")</f>
        <v>Día actual</v>
      </c>
      <c r="C74" t="s">
        <v>44</v>
      </c>
      <c r="D74" t="s">
        <v>45</v>
      </c>
      <c r="E74" t="s">
        <v>170</v>
      </c>
      <c r="F74" t="s">
        <v>171</v>
      </c>
      <c r="G74" t="s">
        <v>169</v>
      </c>
      <c r="H74" t="s">
        <v>26</v>
      </c>
      <c r="I74" t="s">
        <v>6</v>
      </c>
      <c r="J74" t="s">
        <v>17</v>
      </c>
      <c r="K74" t="s">
        <v>46</v>
      </c>
      <c r="L74" t="s">
        <v>18</v>
      </c>
      <c r="M74">
        <v>1</v>
      </c>
    </row>
    <row r="75" spans="1:13" x14ac:dyDescent="0.25">
      <c r="A75" s="2">
        <v>46324</v>
      </c>
      <c r="B75" s="1" t="str">
        <f ca="1">IF(Información1[[#This Row],[Fecha]]='Ajuste de fechas'!$A$2,"Día actual","Día anterior")</f>
        <v>Día actual</v>
      </c>
      <c r="C75" t="s">
        <v>56</v>
      </c>
      <c r="D75" t="s">
        <v>57</v>
      </c>
      <c r="E75" t="s">
        <v>172</v>
      </c>
      <c r="F75" t="s">
        <v>9</v>
      </c>
      <c r="G75" t="s">
        <v>173</v>
      </c>
      <c r="H75" t="s">
        <v>26</v>
      </c>
      <c r="I75" t="s">
        <v>6</v>
      </c>
      <c r="J75" t="s">
        <v>17</v>
      </c>
      <c r="K75" t="s">
        <v>58</v>
      </c>
      <c r="L75" t="s">
        <v>18</v>
      </c>
      <c r="M75">
        <v>1</v>
      </c>
    </row>
    <row r="76" spans="1:13" x14ac:dyDescent="0.25">
      <c r="A76" s="2">
        <v>46324</v>
      </c>
      <c r="B76" s="1" t="str">
        <f ca="1">IF(Información1[[#This Row],[Fecha]]='Ajuste de fechas'!$A$2,"Día actual","Día anterior")</f>
        <v>Día actual</v>
      </c>
      <c r="C76" t="s">
        <v>56</v>
      </c>
      <c r="D76" t="s">
        <v>57</v>
      </c>
      <c r="E76" t="s">
        <v>174</v>
      </c>
      <c r="F76" t="s">
        <v>40</v>
      </c>
      <c r="G76" t="s">
        <v>173</v>
      </c>
      <c r="H76" t="s">
        <v>26</v>
      </c>
      <c r="I76" t="s">
        <v>6</v>
      </c>
      <c r="J76" t="s">
        <v>40</v>
      </c>
      <c r="K76" t="s">
        <v>58</v>
      </c>
      <c r="L76" t="s">
        <v>74</v>
      </c>
      <c r="M76">
        <v>1</v>
      </c>
    </row>
    <row r="77" spans="1:13" x14ac:dyDescent="0.25">
      <c r="A77" s="2">
        <v>46324</v>
      </c>
      <c r="B77" s="1" t="str">
        <f ca="1">IF(Información1[[#This Row],[Fecha]]='Ajuste de fechas'!$A$2,"Día actual","Día anterior")</f>
        <v>Día actual</v>
      </c>
      <c r="C77" t="s">
        <v>56</v>
      </c>
      <c r="D77" t="s">
        <v>57</v>
      </c>
      <c r="E77" t="s">
        <v>175</v>
      </c>
      <c r="F77" t="s">
        <v>38</v>
      </c>
      <c r="G77" t="s">
        <v>176</v>
      </c>
      <c r="H77" t="s">
        <v>26</v>
      </c>
      <c r="I77" t="s">
        <v>6</v>
      </c>
      <c r="J77" t="s">
        <v>39</v>
      </c>
      <c r="K77" t="s">
        <v>58</v>
      </c>
      <c r="L77" t="s">
        <v>18</v>
      </c>
      <c r="M77">
        <v>1</v>
      </c>
    </row>
    <row r="78" spans="1:13" x14ac:dyDescent="0.25">
      <c r="A78" s="2">
        <v>46324</v>
      </c>
      <c r="B78" s="1" t="str">
        <f ca="1">IF(Información1[[#This Row],[Fecha]]='Ajuste de fechas'!$A$2,"Día actual","Día anterior")</f>
        <v>Día actual</v>
      </c>
      <c r="C78" t="s">
        <v>56</v>
      </c>
      <c r="D78" t="s">
        <v>57</v>
      </c>
      <c r="E78" t="s">
        <v>177</v>
      </c>
      <c r="F78" t="s">
        <v>41</v>
      </c>
      <c r="G78" t="s">
        <v>133</v>
      </c>
      <c r="H78" t="s">
        <v>26</v>
      </c>
      <c r="I78" t="s">
        <v>6</v>
      </c>
      <c r="J78" t="s">
        <v>42</v>
      </c>
      <c r="K78" t="s">
        <v>58</v>
      </c>
      <c r="L78" t="s">
        <v>18</v>
      </c>
      <c r="M78">
        <v>1</v>
      </c>
    </row>
    <row r="79" spans="1:13" x14ac:dyDescent="0.25">
      <c r="A79" s="2">
        <v>46324</v>
      </c>
      <c r="B79" s="1" t="str">
        <f ca="1">IF(Información1[[#This Row],[Fecha]]='Ajuste de fechas'!$A$2,"Día actual","Día anterior")</f>
        <v>Día actual</v>
      </c>
      <c r="C79" t="s">
        <v>56</v>
      </c>
      <c r="D79" t="s">
        <v>57</v>
      </c>
      <c r="E79" t="s">
        <v>178</v>
      </c>
      <c r="F79" t="s">
        <v>41</v>
      </c>
      <c r="G79" t="s">
        <v>133</v>
      </c>
      <c r="H79" t="s">
        <v>26</v>
      </c>
      <c r="I79" t="s">
        <v>6</v>
      </c>
      <c r="J79" t="s">
        <v>42</v>
      </c>
      <c r="K79" t="s">
        <v>58</v>
      </c>
      <c r="L79" t="s">
        <v>18</v>
      </c>
      <c r="M79">
        <v>1</v>
      </c>
    </row>
    <row r="80" spans="1:13" x14ac:dyDescent="0.25">
      <c r="A80" s="2">
        <v>46324</v>
      </c>
      <c r="B80" s="1" t="str">
        <f ca="1">IF(Información1[[#This Row],[Fecha]]='Ajuste de fechas'!$A$2,"Día actual","Día anterior")</f>
        <v>Día actual</v>
      </c>
      <c r="C80" t="s">
        <v>59</v>
      </c>
      <c r="D80" t="s">
        <v>141</v>
      </c>
      <c r="E80" t="s">
        <v>179</v>
      </c>
      <c r="F80" t="s">
        <v>38</v>
      </c>
      <c r="G80" t="s">
        <v>180</v>
      </c>
      <c r="H80" t="s">
        <v>26</v>
      </c>
      <c r="I80" t="s">
        <v>6</v>
      </c>
      <c r="J80" t="s">
        <v>39</v>
      </c>
      <c r="K80" t="s">
        <v>61</v>
      </c>
      <c r="L80" t="s">
        <v>18</v>
      </c>
      <c r="M80">
        <v>1</v>
      </c>
    </row>
    <row r="81" spans="1:13" x14ac:dyDescent="0.25">
      <c r="A81" s="2">
        <v>46324</v>
      </c>
      <c r="B81" s="1" t="str">
        <f ca="1">IF(Información1[[#This Row],[Fecha]]='Ajuste de fechas'!$A$2,"Día actual","Día anterior")</f>
        <v>Día actual</v>
      </c>
      <c r="C81" t="s">
        <v>59</v>
      </c>
      <c r="D81" t="s">
        <v>141</v>
      </c>
      <c r="E81" t="s">
        <v>181</v>
      </c>
      <c r="F81" t="s">
        <v>41</v>
      </c>
      <c r="G81" t="s">
        <v>78</v>
      </c>
      <c r="H81" t="s">
        <v>26</v>
      </c>
      <c r="I81" t="s">
        <v>6</v>
      </c>
      <c r="J81" t="s">
        <v>42</v>
      </c>
      <c r="K81" t="s">
        <v>61</v>
      </c>
      <c r="L81" t="s">
        <v>18</v>
      </c>
      <c r="M81">
        <v>1</v>
      </c>
    </row>
    <row r="82" spans="1:13" x14ac:dyDescent="0.25">
      <c r="A82" s="2">
        <v>46324</v>
      </c>
      <c r="B82" s="1" t="str">
        <f ca="1">IF(Información1[[#This Row],[Fecha]]='Ajuste de fechas'!$A$2,"Día actual","Día anterior")</f>
        <v>Día actual</v>
      </c>
      <c r="C82" t="s">
        <v>56</v>
      </c>
      <c r="D82" t="s">
        <v>57</v>
      </c>
      <c r="E82" t="s">
        <v>182</v>
      </c>
      <c r="F82" t="s">
        <v>41</v>
      </c>
      <c r="G82" t="s">
        <v>78</v>
      </c>
      <c r="H82" t="s">
        <v>26</v>
      </c>
      <c r="I82" t="s">
        <v>6</v>
      </c>
      <c r="J82" t="s">
        <v>42</v>
      </c>
      <c r="K82" t="s">
        <v>58</v>
      </c>
      <c r="L82" t="s">
        <v>18</v>
      </c>
      <c r="M82">
        <v>1</v>
      </c>
    </row>
    <row r="83" spans="1:13" x14ac:dyDescent="0.25">
      <c r="A83" s="2">
        <v>46324</v>
      </c>
      <c r="B83" s="1" t="str">
        <f ca="1">IF(Información1[[#This Row],[Fecha]]='Ajuste de fechas'!$A$2,"Día actual","Día anterior")</f>
        <v>Día actual</v>
      </c>
      <c r="C83" t="s">
        <v>56</v>
      </c>
      <c r="D83" t="s">
        <v>57</v>
      </c>
      <c r="E83" t="s">
        <v>183</v>
      </c>
      <c r="F83" t="s">
        <v>105</v>
      </c>
      <c r="G83" t="s">
        <v>184</v>
      </c>
      <c r="H83" t="s">
        <v>26</v>
      </c>
      <c r="I83" t="s">
        <v>6</v>
      </c>
      <c r="J83" t="s">
        <v>17</v>
      </c>
      <c r="K83" t="s">
        <v>58</v>
      </c>
      <c r="L83" t="s">
        <v>18</v>
      </c>
      <c r="M83">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B2386-6258-484E-8101-12D045481F45}">
  <dimension ref="A1:B2"/>
  <sheetViews>
    <sheetView workbookViewId="0">
      <selection activeCell="A2" sqref="A2"/>
    </sheetView>
  </sheetViews>
  <sheetFormatPr baseColWidth="10" defaultRowHeight="15" x14ac:dyDescent="0.25"/>
  <sheetData>
    <row r="1" spans="1:2" x14ac:dyDescent="0.25">
      <c r="A1" t="s">
        <v>22</v>
      </c>
      <c r="B1" t="s">
        <v>23</v>
      </c>
    </row>
    <row r="2" spans="1:2" x14ac:dyDescent="0.25">
      <c r="A2" s="2">
        <f ca="1">TODAY()</f>
        <v>46324</v>
      </c>
      <c r="B2" s="2">
        <f ca="1">A2-1</f>
        <v>46323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2EDC08-6C78-43A4-B375-F21756B410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Radio</vt:lpstr>
      <vt:lpstr>Ajuste de fechas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Villeda Velazquez</dc:creator>
  <cp:lastModifiedBy>Francisco Villeda Velazquez</cp:lastModifiedBy>
  <dcterms:created xsi:type="dcterms:W3CDTF">2026-04-13T21:10:05Z</dcterms:created>
  <dcterms:modified xsi:type="dcterms:W3CDTF">2026-10-29T22:15:10Z</dcterms:modified>
</cp:coreProperties>
</file>