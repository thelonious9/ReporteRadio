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sitorios GitHub\ReporteRadio\"/>
    </mc:Choice>
  </mc:AlternateContent>
  <xr:revisionPtr revIDLastSave="0" documentId="13_ncr:1_{D565BBFC-44CC-4FA0-9FB4-4539A5D5D6C1}" xr6:coauthVersionLast="47" xr6:coauthVersionMax="47" xr10:uidLastSave="{00000000-0000-0000-0000-000000000000}"/>
  <bookViews>
    <workbookView xWindow="-110" yWindow="-110" windowWidth="19420" windowHeight="10300" xr2:uid="{5C0A4D95-2E1C-48C6-BF5D-23E5933B5009}"/>
  </bookViews>
  <sheets>
    <sheet name="Radio" sheetId="2" r:id="rId1"/>
    <sheet name="Ajuste de fechas" sheetId="1" r:id="rId2"/>
  </sheets>
  <definedNames>
    <definedName name="DatosExternos_1" localSheetId="0" hidden="1">Radio!$A$1:$M$224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s="1"/>
  <c r="B177" i="2" l="1"/>
  <c r="B105" i="2"/>
  <c r="B41" i="2"/>
  <c r="B224" i="2"/>
  <c r="B184" i="2"/>
  <c r="B152" i="2"/>
  <c r="B120" i="2"/>
  <c r="B112" i="2"/>
  <c r="B96" i="2"/>
  <c r="B56" i="2"/>
  <c r="B40" i="2"/>
  <c r="B32" i="2"/>
  <c r="B24" i="2"/>
  <c r="B16" i="2"/>
  <c r="B8" i="2"/>
  <c r="B201" i="2"/>
  <c r="B145" i="2"/>
  <c r="B81" i="2"/>
  <c r="B9" i="2"/>
  <c r="B176" i="2"/>
  <c r="B72" i="2"/>
  <c r="B199" i="2"/>
  <c r="B183" i="2"/>
  <c r="B175" i="2"/>
  <c r="B167" i="2"/>
  <c r="B159" i="2"/>
  <c r="B151" i="2"/>
  <c r="B143" i="2"/>
  <c r="B135" i="2"/>
  <c r="B127" i="2"/>
  <c r="B119" i="2"/>
  <c r="B111" i="2"/>
  <c r="B103" i="2"/>
  <c r="B95" i="2"/>
  <c r="B87" i="2"/>
  <c r="B79" i="2"/>
  <c r="B71" i="2"/>
  <c r="B63" i="2"/>
  <c r="B55" i="2"/>
  <c r="B47" i="2"/>
  <c r="B39" i="2"/>
  <c r="B31" i="2"/>
  <c r="B23" i="2"/>
  <c r="B15" i="2"/>
  <c r="B7" i="2"/>
  <c r="B209" i="2"/>
  <c r="B129" i="2"/>
  <c r="B49" i="2"/>
  <c r="B168" i="2"/>
  <c r="B80" i="2"/>
  <c r="B215" i="2"/>
  <c r="B206" i="2"/>
  <c r="B198" i="2"/>
  <c r="B190" i="2"/>
  <c r="B182" i="2"/>
  <c r="B174" i="2"/>
  <c r="B166" i="2"/>
  <c r="B158" i="2"/>
  <c r="B150" i="2"/>
  <c r="B142" i="2"/>
  <c r="B134" i="2"/>
  <c r="B126" i="2"/>
  <c r="B118" i="2"/>
  <c r="B110" i="2"/>
  <c r="B102" i="2"/>
  <c r="B94" i="2"/>
  <c r="B86" i="2"/>
  <c r="B78" i="2"/>
  <c r="B70" i="2"/>
  <c r="B62" i="2"/>
  <c r="B54" i="2"/>
  <c r="B46" i="2"/>
  <c r="B38" i="2"/>
  <c r="B30" i="2"/>
  <c r="B22" i="2"/>
  <c r="B14" i="2"/>
  <c r="B6" i="2"/>
  <c r="B185" i="2"/>
  <c r="B137" i="2"/>
  <c r="B97" i="2"/>
  <c r="B57" i="2"/>
  <c r="B208" i="2"/>
  <c r="B136" i="2"/>
  <c r="B48" i="2"/>
  <c r="B222" i="2"/>
  <c r="B213" i="2"/>
  <c r="B197" i="2"/>
  <c r="B189" i="2"/>
  <c r="B181" i="2"/>
  <c r="B173" i="2"/>
  <c r="B165" i="2"/>
  <c r="B157" i="2"/>
  <c r="B149" i="2"/>
  <c r="B141" i="2"/>
  <c r="B133" i="2"/>
  <c r="B125" i="2"/>
  <c r="B117" i="2"/>
  <c r="B109" i="2"/>
  <c r="B101" i="2"/>
  <c r="B93" i="2"/>
  <c r="B85" i="2"/>
  <c r="B77" i="2"/>
  <c r="B69" i="2"/>
  <c r="B61" i="2"/>
  <c r="B53" i="2"/>
  <c r="B45" i="2"/>
  <c r="B37" i="2"/>
  <c r="B29" i="2"/>
  <c r="B21" i="2"/>
  <c r="B13" i="2"/>
  <c r="B5" i="2"/>
  <c r="B169" i="2"/>
  <c r="B121" i="2"/>
  <c r="B73" i="2"/>
  <c r="B25" i="2"/>
  <c r="B216" i="2"/>
  <c r="B144" i="2"/>
  <c r="B88" i="2"/>
  <c r="B207" i="2"/>
  <c r="B221" i="2"/>
  <c r="B205" i="2"/>
  <c r="B220" i="2"/>
  <c r="B212" i="2"/>
  <c r="B204" i="2"/>
  <c r="B196" i="2"/>
  <c r="B188" i="2"/>
  <c r="B180" i="2"/>
  <c r="B172" i="2"/>
  <c r="B164" i="2"/>
  <c r="B156" i="2"/>
  <c r="B148" i="2"/>
  <c r="B140" i="2"/>
  <c r="B132" i="2"/>
  <c r="B124" i="2"/>
  <c r="B116" i="2"/>
  <c r="B108" i="2"/>
  <c r="B100" i="2"/>
  <c r="B92" i="2"/>
  <c r="B84" i="2"/>
  <c r="B76" i="2"/>
  <c r="B68" i="2"/>
  <c r="B60" i="2"/>
  <c r="B52" i="2"/>
  <c r="B44" i="2"/>
  <c r="B36" i="2"/>
  <c r="B28" i="2"/>
  <c r="B20" i="2"/>
  <c r="B12" i="2"/>
  <c r="B4" i="2"/>
  <c r="B161" i="2"/>
  <c r="B89" i="2"/>
  <c r="B17" i="2"/>
  <c r="B192" i="2"/>
  <c r="B128" i="2"/>
  <c r="B64" i="2"/>
  <c r="B223" i="2"/>
  <c r="B214" i="2"/>
  <c r="B219" i="2"/>
  <c r="B211" i="2"/>
  <c r="B203" i="2"/>
  <c r="B195" i="2"/>
  <c r="B187" i="2"/>
  <c r="B179" i="2"/>
  <c r="B171" i="2"/>
  <c r="B163" i="2"/>
  <c r="B155" i="2"/>
  <c r="B147" i="2"/>
  <c r="B139" i="2"/>
  <c r="B131" i="2"/>
  <c r="B123" i="2"/>
  <c r="B115" i="2"/>
  <c r="B107" i="2"/>
  <c r="B99" i="2"/>
  <c r="B91" i="2"/>
  <c r="B83" i="2"/>
  <c r="B75" i="2"/>
  <c r="B67" i="2"/>
  <c r="B59" i="2"/>
  <c r="B51" i="2"/>
  <c r="B43" i="2"/>
  <c r="B35" i="2"/>
  <c r="B27" i="2"/>
  <c r="B19" i="2"/>
  <c r="B11" i="2"/>
  <c r="B3" i="2"/>
  <c r="B217" i="2"/>
  <c r="B193" i="2"/>
  <c r="B153" i="2"/>
  <c r="B113" i="2"/>
  <c r="B65" i="2"/>
  <c r="B33" i="2"/>
  <c r="B200" i="2"/>
  <c r="B160" i="2"/>
  <c r="B104" i="2"/>
  <c r="B191" i="2"/>
  <c r="B218" i="2"/>
  <c r="B210" i="2"/>
  <c r="B202" i="2"/>
  <c r="B194" i="2"/>
  <c r="B186" i="2"/>
  <c r="B178" i="2"/>
  <c r="B170" i="2"/>
  <c r="B162" i="2"/>
  <c r="B154" i="2"/>
  <c r="B146" i="2"/>
  <c r="B138" i="2"/>
  <c r="B130" i="2"/>
  <c r="B122" i="2"/>
  <c r="B114" i="2"/>
  <c r="B106" i="2"/>
  <c r="B98" i="2"/>
  <c r="B90" i="2"/>
  <c r="B82" i="2"/>
  <c r="B74" i="2"/>
  <c r="B66" i="2"/>
  <c r="B58" i="2"/>
  <c r="B50" i="2"/>
  <c r="B42" i="2"/>
  <c r="B34" i="2"/>
  <c r="B26" i="2"/>
  <c r="B18" i="2"/>
  <c r="B10"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<sst xmlns="http://schemas.openxmlformats.org/spreadsheetml/2006/main" count="2245" uniqueCount="382">
  <si>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</si>
  <si>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</si>
  <si>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</si>
  <si>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</si>
  <si>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</si>
  <si>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</si>
  <si>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</si>
  <si>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</si>
  <si>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</si>
  <si>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</si>
  <si>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</si>
  <si>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</si>
  <si>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</si>
  <si>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</si>
  <si>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</si>
  <si>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</si>
  <si>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</si>
  <si>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</si>
  <si>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</si>
  <si>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</si>
  <si>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</si>
  <si>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</si>
  <si>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</si>
  <si>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</si>
  <si>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</si>
  <si>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</si>
  <si>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</si>
  <si>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</si>
  <si>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</si>
  <si>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</si>
  <si>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</si>
  <si>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</si>
  <si>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</si>
  <si>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</si>
  <si>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</si>
  <si>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</si>
  <si>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</si>
  <si>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</si>
  <si>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</si>
  <si>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</si>
  <si>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</si>
  <si>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</si>
  <si>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</si>
  <si>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</si>
  <si>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</si>
  <si>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</si>
  <si>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</si>
  <si>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</si>
  <si>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</si>
  <si>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</si>
  <si>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</si>
  <si>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</si>
  <si>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</si>
  <si>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Mundial De Futbol</t>
  </si>
  <si>
    <t>Eulalio Larrieta agradece a Edith Balderas de la Secretaria de Educación Pública.</t>
  </si>
  <si>
    <t>Eulalio Larrieta agradece Paola García y Lic. Sarahi Pineda, por estar atentas a los mensajes de la ciudadanía y por atenderlos.</t>
  </si>
  <si>
    <t>Congreso</t>
  </si>
  <si>
    <t>Enlace Hidalgo2</t>
  </si>
  <si>
    <t>Auxilio a la ciudadanía</t>
  </si>
  <si>
    <t>TV local</t>
  </si>
  <si>
    <t>Modernización Tuzobús</t>
  </si>
  <si>
    <t>Radiodifusoras</t>
  </si>
  <si>
    <t>DIFH</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</si>
  <si>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</si>
  <si>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</si>
  <si>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</si>
  <si>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</si>
  <si>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</si>
  <si>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</si>
  <si>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</si>
  <si>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</si>
  <si>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</si>
  <si>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OCSAD</t>
  </si>
  <si>
    <t>Procuraduría Municipal del Menor</t>
  </si>
  <si>
    <t>Prevención De Riesgos</t>
  </si>
  <si>
    <t>Fuga De Agua</t>
  </si>
  <si>
    <t>Eulalio Larrieta agradece a Carlos Gamiño por estar al pendiente de temas</t>
  </si>
  <si>
    <t>Bienestar</t>
  </si>
  <si>
    <t>TV Cable hidalguense Canal 6</t>
  </si>
  <si>
    <t>Contigo Noticias</t>
  </si>
  <si>
    <t>Localización de cuerpo</t>
  </si>
  <si>
    <t>Alerta Meteorológica</t>
  </si>
  <si>
    <t>Alcantarillado</t>
  </si>
  <si>
    <t>Gobierno</t>
  </si>
  <si>
    <t>Turismo</t>
  </si>
  <si>
    <t>Queja transporte público</t>
  </si>
  <si>
    <t>Búsqueda de personas</t>
  </si>
  <si>
    <t>La Poderosa Tuxpan 93.1 FM</t>
  </si>
  <si>
    <t>NN Nuestras Noticias Zona Norte</t>
  </si>
  <si>
    <t>Liz Argüelles</t>
  </si>
  <si>
    <t>Con el programa Raíces de Hidalgo, Sebiso impulsa el reencuentro de familias migrantes</t>
  </si>
  <si>
    <t>Apoyo A Migrantes</t>
  </si>
  <si>
    <t>Atención Afectaciones Por Lluvias</t>
  </si>
  <si>
    <t>Iniciativa</t>
  </si>
  <si>
    <t>Milton Cortés</t>
  </si>
  <si>
    <t>Anegamiento</t>
  </si>
  <si>
    <t>Saderh</t>
  </si>
  <si>
    <t>Apoyo Al Agro</t>
  </si>
  <si>
    <t>Vialidad En Mal Estado</t>
  </si>
  <si>
    <t>Irving Sánchez</t>
  </si>
  <si>
    <t>El IMSS e IMSS-Bienestar en Hidalgo han lanzado oficialmente su campaña de Jornadas de Vasectomía Sin Bisturí vigentes durante el mes de junio de 2026. Se trata de un procedimiento totalmente gratuito, rápido y ambulatorio dirigido tanto a derechohabientes como a la población en general que haya decidido culminar su etapa reproductiva. Las jornadas intensivas del IMSS se llevan a cabo de manera escalonada en diferentes municipios como: Pachuca, Tulancingo, Ciudad Sahagún, Mixquiahuala y Huejutla. Para conocer los días exactos por clínica, se debe acudir al área de Trabajo Social o Medicina Familiar local.</t>
  </si>
  <si>
    <t>Jornada de cirugías</t>
  </si>
  <si>
    <t>Locutor Jesús Riveros da lectura a comentario de radioescucha que reporta a un taxi que se estaciona frente a la entrada de su domicilio ubicado en Jardines de Napateco, señala que, ya hablaron con el chofer, pero. Al parecer, maneja bajo los influjos de alguna sustancia porque se pone muy grosero y prepotente.</t>
  </si>
  <si>
    <t>Locutor Jesús Riveros da lectura a comentario de radioescucha que reporta a una colectiva de la ruta Medias Tierras-Centro con número económico A53-363K, el conductor casi lo atropella por corretearse y ganarle el pasaje a la colectiva que venía detrás, pide a las autoridades la intervención correspondiente.</t>
  </si>
  <si>
    <t>Respecto al reporte de una colectiva de Tulancingo, locutor Jesús Responde que hay que reportarlo a la Semot y recuerda que el llamado que realizó la titular de la Semot en una entrevista en NQ, fue realizar las denuncias y reportes de manera formal a través de los medios de contacto oficiales.</t>
  </si>
  <si>
    <t>Las intensas lluvias registradas en los últimos días provocaron un incremento en el nivel del río que atraviesa el Parque Ecoturístico El Río ubicado en el municipio de Progreso de Obregón, situación que llevó a las autoridades municipales a determinar el cierre temporal de este espacio recreativo como medida preventiva. A través de un comunicado, el gobierno municipal informó que el parque permanecerá cerrado hasta nuevo aviso, en tanto se evalúan las condiciones de seguridad para los visitantes. Las autoridades señalaron que el aumento en el caudal del afluente se derivó de las precipitaciones que han tenido lugar recientemente, lo que representa un riesgo para quienes acuden al lugar, por lo que se decidió restringir el acceso con el objetivo de salvaguardar la integridad de los visitantes. En coordinación con personal de Protección Civil y Seguridad Pública, el ayuntamiento mantiene monitoreo permanente de la zona para detectar cualquier posible situación de riesgo. Asimismo, se exhortó a la ciudadanía a respetar las áreas restringidas, evitar acercarse a la ribera del río y abstenerse de cruzar corrientes de agua, ya que las condiciones pueden cambiar de manera repentina. Las autoridades reiteraron que el Parque Ecoturístico será reabierto una vez que disminuyan los niveles del afluente y se determine que no existe riesgo para los visitantes.</t>
  </si>
  <si>
    <t>El legislador Avelino Tovar Iglesias (PVEM) propuso la iniciativa que modifica el Código de Procedimientos Civiles del Estado de Hidalgo, la cual contempla la incorporación de plataformas digitales como medios alternativos para la realización de notificaciones en los procedimientos judiciales.</t>
  </si>
  <si>
    <t>En sesión ordinaria, diputadas y diputados integrantes de la LXVI Legislatura avalaron con 24 votos a favor, cero en contra y cero abstenciones, el dictamen que aprueba con modificaciones la iniciativa que reforma la Ley de los Derechos de las Personas Adultas Mayores del Estado de Hidalgo, en materia del principio de progresividad, promovido por el legislador Francisco Javier Téllez Sánchez (PT), emitido por la primera Comisión Permanente de Legislación y Puntos Constitucionales. El diputado José Luis Rodríguez Higareda (Morena) explicó que la incorporación del principio de progresividad en el catálogo rector de la ley tiene como finalidad consolidar una visión dinámica y evolutiva en la protección de los derechos de las personas adultas mayores, asegurando que la actuación del estado no se limite a preservar estándares mínimos, sino que se oriente a su mejora constante.</t>
  </si>
  <si>
    <t>Reforma De Ley</t>
  </si>
  <si>
    <t>Destaca IMCO a Hidalgo por su vanguardia en política industrial y alineación estratégica con el "Plan México"</t>
  </si>
  <si>
    <t>Sedeco</t>
  </si>
  <si>
    <t>Plan México</t>
  </si>
  <si>
    <t>ICATHI y Cultura fortalecen capacidades para proteger el legado cultural hidalguense (AUDIO OJGH)/(AUDIO JIACB)/(AUDIO NNB)</t>
  </si>
  <si>
    <t>STPSH</t>
  </si>
  <si>
    <t>Firma De Convenio</t>
  </si>
  <si>
    <t>Natividad Castrejón realiza gira de trabajo por escuelas de Tepeji del Río. (AUDIO NCV).</t>
  </si>
  <si>
    <t>Infraestructura escolar</t>
  </si>
  <si>
    <t>LSM abre camino hacia la inclusión en Hidalgo</t>
  </si>
  <si>
    <t>Lengua De Señas</t>
  </si>
  <si>
    <t>Hidalgo avanza en la simplificación de trámites para mejorar atención ciudadana. (AUDIO MATV)</t>
  </si>
  <si>
    <t>Simplificación de trámites</t>
  </si>
  <si>
    <t>Despacho del Gobernador consolida atención al pueblo mediante canales digitales</t>
  </si>
  <si>
    <t>Despacho</t>
  </si>
  <si>
    <t>Atención al pueblo</t>
  </si>
  <si>
    <t>Menchaca Salazar entrega nuevas instalaciones al Tribunal de Justicia Administrativa. (AUDIO JMS)/ (AUDIO EOAP)</t>
  </si>
  <si>
    <t>Entrega de instalaciones</t>
  </si>
  <si>
    <t>Locutor Jesús Riveros transmite audio de radioescucha en donde reporta las malas condiciones de la carretera estatal San Nicolas Cebolletas, no han recibido ayuda, nunca los han visto como pueblo señala.</t>
  </si>
  <si>
    <t>Carretera En Mal Estado</t>
  </si>
  <si>
    <t>Con inversión de 5.6 millones de pesos, Saderh beneficia a más de mil productores de 17 municipios</t>
  </si>
  <si>
    <t>Derivado de los efectos indirectos de la tormenta tropical Boris, la Subsecretaría de Protección Civil y Gestión de Riesgos del Gobierno del Estado de Hidalgo reportó incidencias por lluvias en cinco municipios, Nicolás Flores, Huautla, Tenango de Doria, Tepeji del Río y Tianguistengo.</t>
  </si>
  <si>
    <t>Refuerza gobierno de Hidalgo apoyo a familias de Tianguistengo ante estas lluvias.</t>
  </si>
  <si>
    <t>Menchaca Salazar entrega nuevas instalaciones al Tribunal de Justicia Administrativa</t>
  </si>
  <si>
    <t>Luego de que un infante de 10 meses de edad, fue secuestrado desde el pasado 2 de mayo del año en curso, en la colonia La Cañada del municipio de Huehuetoca, Estado de México, lo que generó el temor y la zozobra de sus afligidos padres, quienes sin medir el peligro iniciaron las indagatorias para descubrir el paradero de su hijo, finalmente lo localizaron en la comunidad de Tepetates del municipio de Tepeapulco y la policía procedió a su rescate. Fue un mes y seis días, de esta infame pesadilla para los familiares del bebé, en los cuales día a día mantenían la esperanza de recuperarlo, por fin fue en territorio hidalguense donde se logró hallarlo y gracias a la intervención policial se concretó su rescate. Nunca perdieron la esperanza, los padres del afectado refieren que desde el primer día ellos iniciaron su búsqueda y poco fueron encontrando la hebra de la madeja y finalmente lograron su ubicación en el municipio de Tepeapulco, Hidalgo. No obstante, ellos pasaron por muchas contrariedades, pues una de las más atemorizantes fue el haber recibido una llamada en la que les exigían una elevada cantidad de dinero para regresarlo, pero también tuvieron soportar la presión de haber sido amenazados de muerte, pero ellos mantuvieron su objetivo y nada de eso amainó su deseo de reencontrarse con su hijo. Se sabe que una vez que localizaron el paradero del infante pidieron apoyo a los gobiernos del Estado de México e Hidalgo, para recuperar al pequeño José. En su peregrinar también se enfrentaron a irregularidades pues a pesar de que la denuncia se presentó el día de los hechos, se reveló que la fiscalía general de Justicia del Estado de México, al inicio fue omisa en el cumplimiento de su responsabilidad. Este amargo relato refiere que luego de la localización del infante, los padres se trasladaron a Ciudad Sahagún donde se presentaron en la Agencia del Ministerio Público para denunciar que el menor se encontraba en un domicilio de la colonia Tepetates de Tepeapulco. Así mismo detallaron que iniciaron una carpeta de investigación en Cuautitlán, Estado de México, pero no tuvieron respuesta, por lo que ellos mismos trataron de localizar a su bebé al que detectaron en el domicilio de los secuestradores. No obstante, denunciaron que fueron amenazados por los plagiarios con armas de fuego y les pidieron una fuerte cantidad de dinero para recuperar al menor de 10 meses. Desesperados suplicaron en redes sociales el apoyo inmediato y refirieron; “Tenemos miedo de que huyan con el bebé y no lo podamos encontrar más por eso este clamor de justicia y de ayuda hacia ustedes es para que se haga viral porque necesitamos compartir el dolor que nos causa saber que se encuentra expuesto a un grave peligro”. Venturosamente la noche de este lunes, se implementó un operativo conjunto entre las policías de Hidalgo y del Estado de México, quienes lograron el rescate del niño sano y salvo. Posteriormente los oficiales y las autoridades de la Procuraduría General de Justicia de Hidalgo, notificaron a la Fiscalía del Estado de México y se realizó su traslado al municipio de Cuautitlán, donde el pequeño quedo bajo custodia del Ministerio Público de esa entidad. Así mismo se informó a los padres, quienes fueron testigos de las acciones que permitieron él rescate del niño y se procedió a realizar su entrega, para devolver la tranquilidad a los afectados. La mañana de este martes el abogado de los padres del niño, corroboró la recuperación del bebé y mediante un video que subió a las redes sociales destacó que este acierto fue producto de la presión que hemos ejercido a través de las redes sociales, trabajando desde ese momento para recuperación de un menor secuestrado y alejado de sus padres y agradeció la participación, el apoyo de las autoridades y de la ciudadanía en general.</t>
  </si>
  <si>
    <t>Rescate secuestro</t>
  </si>
  <si>
    <t>Tarjeta informativa acerca de señalamiento vial de “Carril Exclusivo Tuzobús”</t>
  </si>
  <si>
    <t>Señalética</t>
  </si>
  <si>
    <t>Daniel Martínez critica el hecho de que el alcalde de Mineral del Monte, Edmundo Méndez Tejeda designó el nombre de la presidenta Claudia Sheinbaum a una calle de la comunidad de Tezoantla el pasado 7 de marzo en el marco del Día Internacional de la Mujer. Pregunta si no hay más mujeres a quien se les pueda rendir homenaje y esto es más "un queda bien" por parte del alcalde.</t>
  </si>
  <si>
    <t>Nomenclaturas</t>
  </si>
  <si>
    <t>El alcalde de Mineral del Monte, Edmundo Méndez Tejeda designó el nombre de la presidenta Claudia Sheinbaum a una calle de la comunidad de Tezoantla el pasado 7 de marzo en el marco del Día Internacional de la Mujer. La medida fue aprobada por unanimidad en el Cabildo el 25 de febrero bajo la justificación de la asignación del nombre como una reconocimiento a figuras femeninas con participación en la historia social, cultural y política del país.</t>
  </si>
  <si>
    <t>Natividad Castrejón realiza gira de trabajo por escuelas de Tepeji del Río</t>
  </si>
  <si>
    <t>Elementos de la Policía Municipal de Tizayuca lograron frustrar un intento de extorsión telefónica y localizaron a dos menores de edad que habían sido engañados para mantenerse incomunicados con sus familiares. De acuerdo con el reporte, los menores recibieron llamadas telefónicas mediante las cuales fueron manipulados para cortar toda comunicación con sus familiares, una modalidad de engaño utilizada con frecuencia por delincuentes para generar temor y exigir dinero a las familias.</t>
  </si>
  <si>
    <t>Extosión</t>
  </si>
  <si>
    <t>Elementos de la Secretaría de Seguridad Pública de Pachuca localizaron a una mujer que contaba con ficha de búsqueda vigente emitida por la Procuraduría General de Justicia del Estado de Hidalgo. Los hechos ocurrieron en el fraccionamiento Haciendas de Hidalgo, luego de que a través del C4 se reportara la presencia de una persona desorientada en una privada de la zona. Al arribar al lugar, los oficiales entrevistaron a la mujer y, tras verificar sus datos generales, confirmaron que contaba con una ficha de búsqueda vigente. Para garantizar su integridad física, la persona fue trasladada a las instalaciones de la corporación, donde recibió valoración médica y se determinó que se encontraba en buen estado de salud. Posteriormente, siguiendo los protocolos correspondientes, fue canalizada a la Subprocuraduría de Delitos de Género, Desaparición de Personas e Impacto Social, instancia que quedó a cargo de su resguardo y atención.</t>
  </si>
  <si>
    <t>Exigen localización de persona</t>
  </si>
  <si>
    <t>Un incendio registrado la mañana del 9 de junio movilizó a elementos de bomberos en el fraccionamiento Paseos de Chavarría, luego de que el fuego se originara dentro de una vivienda de dos pisos. Cuerpos de emergencia acudieron al lugar tras recibir el reporte al respecto, iniciando las labores para controlar las llamas y evitar que el fuego se extendiera a otras áreas del inmueble o a viviendas cercanas. No se reportaron personas lesionadas derivadas de la deflagración; hasta el momento no se conoce la causa que provocó la deflagración. Por lo que será a partir de la investigación respectiva como se establezcan las responsabilidades sobre la emergencia que finalmente fue atendida sin generarse una situación mayor.</t>
  </si>
  <si>
    <t>Control de incendios</t>
  </si>
  <si>
    <t>Dos hechos de tránsito registrados en el Corredor de la Montaña generaron movilización de cuerpos de emergencia en distintos puntos de esta vía, una de las rutas más transitadas entre Pachuca, Mineral del Monte y la zona turística de la montaña</t>
  </si>
  <si>
    <t>Familiares y amigos de José Roberto Palacios Velázquez, asesinado con un objeto punzocortante afuera de un bar donde trabajaba como guardia de seguridad, se manifestaron en las instalaciones de la Procuraduría General de Justicia de Hidalgo (PGJEH). Los familiares del hombre que falleció tras recibir 19 puñaladas, reprocharon que no ven avances en la investigación al caso, enfatizando que el presunto responsable del ataque mortal aún está en libertad. El ataque se registró la madrugada del 28 de febrero de este año; José Roberto falleció debido a una de las lesiones que recibió en el tórax y le perforó el pulmón izquierdo, pese a los esfuerzos médicos para salvarle la vida. El padre y la hermana de la víctima aseguraron durante la manifestación que con imágenes captadas por cámaras de videovigilancia instaladas en el bar, se pudo identificar al agresor, quien aún sigue en libertad. A poco más de tres meses del ataque, señalaron que no existe ningún avance en la investigación sobre la situación, además que consideraron que existen irregularidades, incluido que no se ha dado el registro del presunto responsable del fallecimiento de José Roberto. Jonathan Guadalupe Valdez Rodríguez, director general de la Unidad Especializada en la Investigación de Delitos de Homicidio Doloso y Narcomenudeo de la PGJEH, informó que hay una orden de aprehensión vigente. Señaló que el presunto responsable del ataque mortal “no está ubicado en Tlanalapa”, como lo refirieron los manifestantes. El funcionario agregó que el pasado 9 de junio se reunió con la hija de la víctima para informarle los avances de asunto.</t>
  </si>
  <si>
    <t>Exigen esclarecer homicidio</t>
  </si>
  <si>
    <t>La reubicación del Centro de Reinserción Social (Cereso) de Ixmiquilpan es una prioridad para el municipio, afirmó el presidente municipal Emanuel Hernández, quien informó que existen dos comunidades interesadas en que la nueva instalación se construya en su territorio y que actualmente se realizan los análisis correspondientes. El edil señaló que el proyecto es atendido directamente por la Secretaría de Seguridad Pública de Hidalgo y precisó que hasta el momento no ha sostenido diálogo con la dependencia sobre el tema. Recordó que el Cereso opera actualmente al interior de la presidencia municipal. De acuerdo con información que conoció durante una reunión reciente con el director del centro penitenciario, en el inmueble se encuentran 106 personas privadas de la libertad del sexo masculino y siete mujeres, en un espacio de 15 por 7 metros. Añadió que, debido a las condiciones de ocupación, se utilizan colchonetas para que algunas personas puedan dormir en el suelo, situación que, indicó, refuerza la necesidad de contar con una nueva sede. Hernández también recordó que el Cereso de Ixmiquilpan tiene carácter regional, por lo que alberga a personas privadas de la libertad provenientes de municipios como Chilcuautla, Cardonal, Tasquillo, Zimapán y otras localidades de la región de la Sierra Gorda. El alcalde reiteró que la salida del centro penitenciario de la presidencia municipal es una necesidad para el municipio, debido a que ha permanecido en ese lugar desde hace varios años.</t>
  </si>
  <si>
    <t>Construcción de Cereso</t>
  </si>
  <si>
    <t>La Comisión de Búsqueda de Personas del Estado de Hidalgo (CBPEH) inició un proceso de verificación tras el hallazgo en Sonora de una identificación oficial perteneciente a un ciudadano hidalguense, identificado como Emmanuel O. V., en una presunta fosa clandestina, fue enviado un mensaje a medios de información sobre esta persona donde afirma que se encuentra bien y con su familia.</t>
  </si>
  <si>
    <t>Durante el periodo vacacional de verano, la Comisión de Búsqueda de Personas del Estado de Hidalgo refuerza acciones preventivas para evitar un incremento en los reportes de desaparición de adolescentes y menores de edad, así lo informó su titular, Francisco García Reyes, durante una entrevista con medios de comunicación. El funcionario señaló que las temporadas vacacionales representan un periodo en el que pueden presentarse situaciones relacionadas con conflictos familiares, falta de comunicación o ausencias voluntarias de adolescentes, por lo que desde el inicio de este año se puso en marcha la campaña denominada “Que No Falte Nadie”. La estrategia, explicó, se ha desarrollado en diversos planteles educativos de la entidad con el propósito de fortalecer la comunicación entre estudiantes, padres de familia y docentes, además de difundir medidas preventivas que contribuyan a reducir los riesgos de desaparición. “En el próximo periodo vacacional esperamos que se mantenga y que se pueda reducir, no que incremente”, compartió que entre el 31 y 33 por ciento de los reportes de desaparición involucra a adolescentes y aclaró que algunos casos tienen relación con situaciones de sustracción derivadas de conflictos legales o disputas entre padres de familia. Respecto al número total de personas desaparecidas registradas en lo que va del 2026, mencionó que las cifras actualizadas serán presentadas durante la próxima sesión del Sistema Estatal correspondiente al cierre de mes, pero descartó un incremento en comparación con el año anterior.</t>
  </si>
  <si>
    <t>Con el fin de proteger de manera más amplia la identidad, privacidad, seguridad jurídica y patrimonio de la población, el Congreso de Hidalgo pretende actualizar en el Código Penal del estado nuevas formas de usurpación de identidad que utilizan las tecnologías de información y comunicación. En la reciente sesión de la 66 Legislatura, se presentó la iniciativa para reformar el artículo 370 del Código Penal para el Estado de Hidalgo, para actualizar el tipo penal de usurpación de identidad, a quien por cualquier medio y con fines ilícitos, se apodere, apropie, transfiera, utilice o disponga de datos personales.</t>
  </si>
  <si>
    <t>Habitantes de la comunidad indígena de San Ildefonso, en Tepeji del Río, acudieron este martes al Congreso de Hidalgo para denunciar una presunta intervención del gobierno municipal en la designación de su autoridad comunitaria y exigir la intervención de los legisladores para que se respete la decisión tomada en asamblea. Integrantes de distintos comités comunitarios se manifestaron en la sede legislativa y solicitaron ser atendidos por la Comisión de Pueblos y Comunidades Indígenas. Los inconformes acusaron al ayuntamiento, de intentar imponer como delegado indígena a Melitón Donís, pese a que, aseguran, la asamblea comunitaria determinó dar continuidad al encargo de Víctor Benítez Martínez. “Que la presidenta municipal deje de manipular a nuestra gente y reconozca la voluntad de la asamblea”, expresó Mateo Cruz Martínez, uno de los pobladores que participaron en la protesta. De acuerdo con los manifestantes, la asamblea comunitaria se llevó a cabo el pasado 24 de mayo y en ella se acordó mantener la continuidad de la autoridad indígena para concluir diversos proyectos pendientes. Sin embargo, señalaron que un día después el ayuntamiento reconoció a otra persona, lo que consideran una intromisión en decisiones que corresponden exclusivamente a la comunidad. Los habitantes sostuvieron que, conforme a sus usos y costumbres, únicamente la asamblea tiene facultades para reconocer a sus autoridades tradicionales, por lo que rechazaron cualquier nombramiento realizado desde instancias externas. Durante su visita al Congreso, los representantes comunitarios entregaron documentación relacionada con la asamblea y pidieron que tanto los diputados como la Comisión de Pueblos y Comunidades Indígenas intervengan para evitar conflictos internos y garantizar el respeto a la libre determinación de la comunidad indígena de San Ildefonso, que cuenta con aproximadamente 12 mil habitantes.</t>
  </si>
  <si>
    <t>Imposición de delegados</t>
  </si>
  <si>
    <t>Daniel Martínez comenta que "Al que la leche le quema hasta al jocoque le sopla", esto en relación a que después de los accidentes ha tenido el Tuzobús en las últimas dos semanas aproximadamente, incluso el día en que arrancó oficialmente el Sistema de transporte Metropolitano, a minutos tubo un accidente, pues ahora el SITMAH saca boletines informativos como ayer que un carro chocó una señal del Tuzobús e inmediatamente dijeron que no fue cosa de ellos y que el servicio estaba funcionando correctamente. Andan en el asunto de revisar que funcione bien el Tuzobús</t>
  </si>
  <si>
    <t>Comunicación gubernamental</t>
  </si>
  <si>
    <t>Las fallas e incidentes registrados durante los primeros días de operación de las nuevas unidades del Sistema de Transporte Metropolitano no representan una situación fuera de lo previsto, aseguró el gobernador de Hidalgo, Julio Menchaca Salazar, al referirse a la renovación del servicio de transporte masivo en Pachuca. A siete días de que comenzaron a circular los 80 nuevos autobuses, el mandatario estatal señaló que se trata de un proceso de transformación importante y que los problemas detectados serán corregidos conforme avance la operación del sistema. Indicó que también continúan los trabajos administrativos relacionados con la modernización del servicio, entre ellos las licitaciones para rehabilitar las estaciones de la ruta troncal y la terminal ubicada en Téllez. En cuanto a los señalamientos surgidos en redes sociales sobre un supuesto reciclaje de unidades, luego de que en algunas fotografías se apreciara color verde en la parte superior de los autobuses, Menchaca descartó esa versión y sostuvo que los vehículos incorporados son completamente nuevos. El gobernador pidió a los usuarios y a la población en general considerar que el sistema atraviesa una etapa de adaptación, además de recordar que la operación ya no se encuentra en manos de una empresa concesionaria, sino del propio Gobierno estatal.</t>
  </si>
  <si>
    <t>El Gobierno de Hidalgo exhortó formalmente a los 84 ayuntamientos de la entidad a evitar la transmisión pública de los partidos de la Copa Mundial de la FIFA 2026 sin contar con las licencias correspondientes. La advertencia surge ante el riesgo inminente de recibir sanciones económicas millonarias, ya que la difusión de contenido protegido en plazas o espacios abiertos sin derechos es ilegal.</t>
  </si>
  <si>
    <t>Más de 900 siniestros han movilizado a los cuerpos de Bomberos y Protección Civil de Tulancingo y Santiago Tulantepec durante los primeros meses de 2026. De acuerdo con información oficial de ambas corporaciones, en conjunto se han atendido 916 emergencias relacionadas principalmente con la quema de pastizales, basura y vegetación seca. Las cifras corresponden al periodo del 1 de enero al 8 de junio en Tulancingo y de enero a mayo en Santiago Tulantepec. Del total de incidentes reportados, la mayoría estuvieron relacionados con incendios de pastizales, hierba seca y vegetación, lo que confirma que este tipo de siniestros continúa siendo el principal reto para los cuerpos de emergencia de la región. En Tulancingo, el director de Bomberos y Protección Civil, Jesús García Ávila, informó que del 1 de enero al 8 de junio se atendieron 669 incendios de diversa índole, cifra que representa cerca del 73 por ciento de los casos registrados entre ambos municipios. Del total, 453 correspondieron a incendios de hierba seca y pasto, convirtiéndose en el tipo de emergencia más recurrente para la corporación. El reporte también contabiliza 99 incendios de basura, 52 de llantas, 24 de vehículos, 19 en casa habitación, cuatro en establecimientos comerciales y cuatro forestales. Además, se registraron incidentes relacionados con árboles, madera, desechos y equipamiento urbano. Por su parte, el director de Bomberos y Protección Civil de Santiago Tulantepec, Edmundo Hernández Chimal, reportó que entre enero y mayo fueron atendidos 247 incendios en el municipio. De acuerdo con el concentrado de reportes, los incendios de pastizal representaron la mayor parte de las emergencias registradas en Santiago Tulantepec, especialmente durante enero y febrero, meses en los que se presentó la mayor incidencia. Las cifras de ambos municipios reflejan que el fuego en terrenos baldíos, áreas con vegetación seca y sitios donde se acumulan residuos continúa siendo uno de los principales desafíos para las corporaciones de emergencia de la región.</t>
  </si>
  <si>
    <t>Daniel Martínez comenta que se solicitó una entrevista con directivos de la dirección municipal de Movilidad y Tránsito de Tulancingo para conocer las estadísticas de los operativos de revisión a motonetas y motocicletas, tanto del cumplimiento de las normativas, como de detección de vehículos con reporte de robo, pero no pudo realizarla porque en el área de Comunicación Social le dijeron que tenía que ser autorizada por la Secretaría de Seguridad Pública de Hidalgo, responsable del Mando Coordinado. Señala que no pedía infamación que pusiera en riesgo la estabilidad de la nación, sino solo datos, estadísticas y conocer si se reforzaría la revisión de motocicletas y motonetas, lo que no es nuevo y que dada la situación de inseguridad que se está viviendo en Tulancingo, estaría bien que la gente supiera cómo se están llevando las acciones y si se está fortaleciendo.</t>
  </si>
  <si>
    <t>Conductores de motonetas, motocicletas o vehículos similares tienen obligación de contar con la licencia respectiva, además que el vehículo deberá contar con su respectiva placa. Lo anterior se encuentra establecido en el artículo 82 del Reglamento municipal de Tránsito y Movilidad para Tulancingo, donde señala que existen multas así como la retención del vehículo al no contar con los requisitos señalados para circular en vehículos ligeros. El numeral XIV señala respecto a la obligación de la licencia para conducir moto, motocicleta o vehículos similares; mientras que el numeral XVI establece la obligación de contar con la placa de circulación en este tipo de unidades. En el mismo artículo se señala que ante la falta de licencia, placa, o ambos, se aplicarán sanciones entre 5 a 7 Unidades de Medida y Actualización, equivalentes a 586.55 a 821.17 pesos, además de la detención del vehículo. Desde hace por lo menos dos administraciones se han implementado operativos para verificar el cumplimiento de estas medidas, así como para el uso del casco de los ocupantes de este tipo de vehículos automotores. Entre finales de enero y principios de abril del año pasado, se reforzaron dichos operativos por parte de corporaciones de seguridad pública, a partir de una serie de hechos delictivos donde fueron usadas motonetas y motocicletas. En el recuento de robos a joyerías, se detectó que este tipo de vehículos han sido utilizados en los cuatro casos que se han registrado durante la actual administración municipal.</t>
  </si>
  <si>
    <t>Emplacamiento</t>
  </si>
  <si>
    <t>El Subsecretario de Protección Civil y Prevención de Riesgos, Román Bernal Díaz informó que continúan las evaluaciones técnicas en distintos municipios de predios afectados por las inundaciones y deslaves registrados el 9 de octubre del año pasado a fin de determinar cuáles son viables para construir viviendas. Son alrededor de 10 dictámenes técnicos los que se llevan realizados y que las evaluaciones se concentran principalmente en los municipios de Tianguistengo, Tenango de Doria, Huhuetla, Xochiatipan y San Bartolo Tutotepec considerados prioritarios tras la afectaciones por las lluvias.</t>
  </si>
  <si>
    <t>Reubicación de viviendas</t>
  </si>
  <si>
    <t>Las intensas lluvias que continúan registrándose en territorio hidalguense han generado diversas afectaciones en caminos y carreteras de al menos 12 municipios, donde autoridades estatales trabajan para restablecer la circulación y atender los daños provocados por los deslaves. La Secretaría de Infraestructura Pública y Desarrollo Urbano Sostenible (SIPDUS) informó que las precipitaciones ocasionaron el desprendimiento de aproximadamente mil 720 metros cúbicos de material sobre diferentes vialidades. De esa cantidad, poco más de 700 metros cúbicos ya fueron retirados mediante labores de limpieza y remoción. Actualmente se reportan 24 caminos con algún tipo de afectación derivada de las condiciones climatológicas. Además, nueve pasos provisionales en carreteras estatales y municipales permanecen bloqueados, aunque las autoridades aseguran que existen rutas alternas para mantener la comunicación con las localidades involucradas. El balance también incluye tres caminos con daños parciales y 12 más que ya fueron rehabilitados, permitiendo nuevamente el tránsito vehicular. Entre las afectaciones más relevantes se encuentra el aislamiento de siete comunidades, situación que continúa bajo seguimiento por parte de las autoridades estatales.</t>
  </si>
  <si>
    <t>La Secretaría de Educación Pública de Hidalgo comunicó que, con motivo de la ceremonia de inauguración del Mundial 2026, que se celebrará el jueves 11 de junio, los planteles en la entidad podrán decidir si suspenden o no las clases.</t>
  </si>
  <si>
    <t>Hoy el gobernador Julio Menchaca estará a las 10:45 de la mañana en el Campo deportivo del municipio de Santiago de Anaya con las Rutas de la Transformación y la Feria de Servicios.</t>
  </si>
  <si>
    <t>Ruta de la Transformación</t>
  </si>
  <si>
    <t>Hoy por la tarde en el el Teatro Bartolomé de Medina de Pachuca, el secretario de Gobierno, Guillermo Olivares va a firmar una solicitud de publicación de bandos de policía y buen gobierno</t>
  </si>
  <si>
    <t>Bando de policía y gobierno</t>
  </si>
  <si>
    <t>Elementos de la Secretaría de Seguridad Pública de Pachuca localizaron a una mujer que contaba con ficha de búsqueda vigente emitida por la Procuraduría General de Justicia del Estado de Hidalgo. Los hechos ocurrieron en el fraccionamiento Haciendas de Hidalgo, luego de que a través del C4 se reportara la presencia de una persona desorientada en una privada de la zona. Al arribar al lugar, los oficiales entrevistaron a la mujer y, tras verificar sus datos generales, confirmaron que contaba con una ficha de búsqueda vigente.</t>
  </si>
  <si>
    <t>Localización de persona</t>
  </si>
  <si>
    <t>Como parte de la estrategia de seguridad impulsada por el alcalde de Pachuca, Jorge Reyes, la Secretaría de Seguridad Pública de Pachuca, en coordinación con la Guardia Nacional y el Ejército Mexicano, desplegó un operativo de vigilancia en Plaza Gran Patio, la Central de Abastos y Plaza Independencia. Durante los recorridos, las corporaciones realizaron labores de proximidad, supervisión y presencia preventiva en zonas de alta afluencia de personas, con el objetivo de inhibir conductas ilícitas y brindar tranquilidad a comerciantes, trabajadores y visitantes.</t>
  </si>
  <si>
    <t>Refuerzo De Seguridad</t>
  </si>
  <si>
    <t>Hidalgo avanza en la simplificación de trámites para mejorar atención ciudadana</t>
  </si>
  <si>
    <t>El Congreso del Estado Libre y Soberano de Hidalgo y la Comisión de Derechos Humanos del Estado de Hidalgo (CDHEH) firmaron un convenio de colaboración con la finalidad de establecer las bases generales para el desarrollo de programas de capacitación, posgrados y trabajo colaborativo, dirigidos a la formación, actualización y profesionalización de las personas legisladoras, así como de las personas servidoras públicas de ambas partes. El diputado Andrés Velázquez Vázquez, presidente de la Junta de Gobierno, aseguró que los derechos humanos son fundamentales para la democracia, igualdad, inclusión y justicia social, por lo que la capacitación y profesionalización permanente de servidores públicos y legisladores representan una obligación institucional.</t>
  </si>
  <si>
    <t>Lluvias por Boris dejan afectaciones en cinco municipios de Hidalgo</t>
  </si>
  <si>
    <t>Refuerza gobierno de Hidalgo apoyo a familias de Tianguistengo ante estas lluvias</t>
  </si>
  <si>
    <t>Andrés Torres señala que ya es casi un mes de que el 1010 AM El Vocero Huasteco está fuera del aire.</t>
  </si>
  <si>
    <t>Gobierno de Hidalgo exhorta a municipios a prevenir transmisiones no autorizadas del Mundial 2026</t>
  </si>
  <si>
    <t>Radioescucha Pedro Nieto reporta coladera tapada en calle Venustiano Carranza por el merecado Benito Juarez</t>
  </si>
  <si>
    <t>Enlace clima Luis García de la Conagua en la Republica Mexicana e Hidalgo, zona huasteca máxima de 31 mínima de 20, para la Sierra 26 máxima mínima de 17, Altiplano máxima de 21 mínima de 9, para Pachuca y Tizayuca 22 mínima de 11, en la Zona Tepehua máxima de 27 mínima de 17, Valle de Tulancingo máxima de 18 mínima de 10 en el Valle del Mezquital máxima 26 mínimas de 13 , Huichapan y Tecozayutla máxima 21 y mínima de 12</t>
  </si>
  <si>
    <t>Radioescucha agradece que Caasim ya fue a reparar el encharcamiento; por la colonia Cuesco, está antes de llegar a Colegio Londres.</t>
  </si>
  <si>
    <t>Radioescucha manda audio, informa que la femenina que fue agredida por unos vecinos la semana pasada, ya fue atendida por parte de la PGJEH</t>
  </si>
  <si>
    <t>Atención A Víctimas</t>
  </si>
  <si>
    <t>Reporta SIPDUS incidencias por lluvias en 12 municipios</t>
  </si>
  <si>
    <t>Autoridades federales, estatales, municipales y representantes de las comunidades ribereñas afectadas por la proliferación del Mosco cúlex, alcanzaron este martes una serie de acuerdos para fortalecer las acciones de saneamiento de la Presa Endhó,entre ellos la incorporación de tres nuevas máquinas trituradoras de lirio acuático, AUDIO APOYO</t>
  </si>
  <si>
    <t>Control lirio acuático</t>
  </si>
  <si>
    <t>Radioescucha reporta que Caasim no termina la reparación de drenaje en el Barrio de las Lajas, ya tiene mucho tiempo que la están reparando y nada.</t>
  </si>
  <si>
    <t>Drenaje</t>
  </si>
  <si>
    <t>Menchaca Salazar entrega nuevas instalaciones al Tribunal de Justicia Administrativa, AUDIO APOYO</t>
  </si>
  <si>
    <t>ICATHI y Cultura fortalecen capacidades para proteger el legado cultural hidalguense</t>
  </si>
  <si>
    <t>Cultura</t>
  </si>
  <si>
    <t>Radioescucha reporta nuevamente que desde el viernes se reportó una fuga de agua en el Fraccionamiento Villas del Alamo; ya se reportó y nada que hace algo Caasim</t>
  </si>
  <si>
    <t>Radioescucha reporta que sigue fuga de agua en la calle principal de colonia Valle del Palmar, entre la barda del Fraccionamiento Esperanza II. Ya se reportó en otras ocasiones y se mandaron fotos, pero no hacen nada.</t>
  </si>
  <si>
    <t>El presidente municipal Cristhian Martínez realiza como cada 8 dias recorridos en todas las comunidades del municipio,para ver las necesidades y entegar diferentes obras, AUDIO APOYO</t>
  </si>
  <si>
    <t>Identificación de necesidades</t>
  </si>
  <si>
    <t>Integrantes de la LXVI Legislatura del Congreso de Hidalgo presentaron una iniciativa para reformar la Ley Federal del Trabajo, la Ley del Seguro Social y la Ley Federal de los Trabajadores al Servicio del Estado, con el propósito de ampliar las licencias de paternidad para trabajadores de los sectores público y privado.La propuesta fue presentada por la diputada Karla Perales Arrieta y el diputado Carlos Alejandro Alcántara Carbajal ante el Pleno del Congreso local, con el objetivo de fortalecer la corresponsabilidad familiar y la participación de los padres en el cuidado de hijas e hijos desde el nacimiento o la adopción.</t>
  </si>
  <si>
    <t>Elementos de la Secretaría de Seguridad Pública Tránsito y Vialidad de Pachuca localizaron a una mujer que contaba con ficha de búsqueda activa emitida por la PGJEH. El hallazgo ocurrió en el fraccionamiento Haciendas de Hidalgo, tras un reporte del C4 en el que se alertó sobre la presencia de una persona desorientada deambulando por una privada de la zona.Al llegar al lugar, los oficiales entrevistaron a la mujer y tras verificar sus datos generales, confirmaron que contaba con una ficha de búsqueda vigente.Las autoridades informaron que para garantizar la integridad física de la mujer, fue trasladada a las instalaciones de la coorporación, donde recibió valoración médica y se determinó que su estado que se encontraba con buen estado de salud.Dando seguimiento a los protocólos, la mujer fue canalizada a la Subprocuraduría de delitos de Género, Desaparición de Personas e Impacto Social, para su resguardo y atención.</t>
  </si>
  <si>
    <t>El zoológico de Tulancingo fue invitado por la Procuraduría Federal de Protección al Ambiente (PROFEPA), delegación Hidalgo, a formar parte de la campaña nacional “Anota un gol por el medio ambiente”.La invitación se da gracias a las acciones permanentes que desarrolla el zoológico en favor del cuidado de la fauna bajo resguardo, así como a sus programas de educación ambiental y participación ciudadana.Así mismo representa un reconocimiento al trabajo que realiza diariamente el personal del recinto, cuyo compromiso trasciende el cuidado de las especies para convertirse también en un promotor activo de la conciencia ambiental entre la población.Se informó que la campaña tiene como propósito fomentar el reuso de materiales plásticos y textiles, invitando a la población a participar de manera directa en acciones que contribuyan a reducir la generación de residuos y fortalecer hábitos de consumo responsables.En los próximos días, el zoológico dará a conocer la mecánica de participación para que las familias puedan donar envases plásticos y prendas de mezclilla que ya no utilicen.Estos materiales serán transformados en productos con una nueva vida útil: los envases plásticos se convertirán en escobas de uso cotidiano, mientras que la mezclilla será reutilizada para la elaboración de caminos de mesa y manteles individuales.</t>
  </si>
  <si>
    <t>Mitigación ambiental</t>
  </si>
  <si>
    <t>César Cravioto, secretario de Gobierno de la CDMX, asegura que los aficionados podrán ingresar sin problemas al Estadio Azteca durante la inauguración del Mundial 2026.</t>
  </si>
  <si>
    <t>Ya estamos a una horas de que empiece la a inauguración de la Copa Mundial de Futbol 2026</t>
  </si>
  <si>
    <t>Radioescucha pregunta: ¿Qué van a poner en donde era Poliforum? Comenta conductor que serán las nuevas instalaciones de Protección Civil y una nueva estación de bomberos.</t>
  </si>
  <si>
    <t>Polifórum</t>
  </si>
  <si>
    <t>Refuerza gobierno de Hidalgo apoyo a familias de Tianguistengo ante estas lluvias, AUDIO APOYO</t>
  </si>
  <si>
    <t>Radioescucha Jorge Quiroz reporta a una colectiva en Tilcuautla, que circula sin rotulación completa.</t>
  </si>
  <si>
    <t>Radioescucha reporta baches en calle Felipe Ángeles, por donde pone tianguis de los Tuzos; ojalá las autoridades de Mineral de la Reforma ya trabajen</t>
  </si>
  <si>
    <t>Radioescucha manda audio y pide que tapen los baches que se estan haciendo en la colonia Piracantos, y eso que tiene como 2 años que apenas arreglaron</t>
  </si>
  <si>
    <t>La muestra “El Juego de Pelota en Tula: El eco del movimiento divino” será inaugurada el próximo 12 de junio en el Museo de Sitio Jorge R. Acosta, dentro de la Zona Arqueológica de Tula.De acuerdo con el Centro INAH Hidalgo, la exposición busca mostrar el significado ritual, político y astronómico del tlachtli, considerado una de las ceremonias más importantes del México prehispánico.</t>
  </si>
  <si>
    <t>Zona Arqueológica</t>
  </si>
  <si>
    <t>El día de mañana comienza uno de los eventos más vistos que es la Copa del Mundo, y con ello habrá un total de 104 partidos que se desarrollarán en México, Estados Unidos y Canadá, pero en esta edición de la justa mundialista, los restaurantes y bares tendrán que hacer algunos ajustes, así como tener cuidado al momento de proyectar los encuentros de futbol a través de sus pantallas, ya que, si no cuentan con una señal legal autorizada para uso comercial, podrán ser acreedores a una sanción e incluso una multa económica, que podría llegar a las 250,000 UMAs, que son las unidades de media y actualización, una cantidad que ronda los $28 millones de pesos, al respecto, la Cámara Nacional de la Industria de Restaurantes y Alimentos Condimentados emitió una serie de lineamientos para los propietarios de establecimientos que deseen proyectar los partidos, de esa manera, compartió que las únicas señales lícitas autorizadas para negocios son las que proporcionan los servicios de IC Negocios, así como Sky Business,</t>
  </si>
  <si>
    <t>Hermilio Rangel, presidente municipal de Zimapán, hace la invitación en general para participar y para asistir a este torneo de pesca de orilla y de kayak.</t>
  </si>
  <si>
    <t>Justa Deportiva</t>
  </si>
  <si>
    <t>Este miércoles 10 de junio a las 11:00, la Secretaría de Turismo de Hidalgo llevó a cabo una rueda de prensa en el Hotel Vía Dorada Salón Cristal para presentar los detalles del primer torneo de pesca de orilla y kayak 2026, que se realizará en la presa Zimapán en la comunidad de Saucillo. La presentación estuvo encabezada por Hermilio Trejo Rangel, presidente municipal de Zimapán; el chef David Castillo Aceves, presidente de la Delegación de Pesca Deportiva del Estado de Hidalgo; Remedios Vega, directora de Turismo municipal de Zimapán; Enrique Barrera Barrera, presidente de la Unión de Cooperativas de la Presa de Zimapán; y Daniel Ramírez, organizador del torneo, quienes dieron a conocer la convocatoria.</t>
  </si>
  <si>
    <t>Julio Menchaca destinó más de 183 mdp para obra pública en Santiago de Anaya</t>
  </si>
  <si>
    <t>Certifican a 50 nuevos intérpretes de lenguas indígenas en Hidalgo</t>
  </si>
  <si>
    <t>Certificación de intérpretes</t>
  </si>
  <si>
    <t>Feria Patronal</t>
  </si>
  <si>
    <t>El regidor con licencia Omar Ramírez, tras recuperar su libertad, sostuvo una reunión con sus cercanos, a quienes les externó su agradecimiento. Aseguró que no se irá del municipio y se tomará un tiempo para definir sus prioridades. “No me iré. No hice nada, quienes estuvieron presentes saben que no hicimos nada, lo único que hicimos fue defender nuestro patrimonio”, externó a unas hora de retomar su vida cotidiana, luego de salir de reclusión. Play Video En cuanto a retomar sus actividades como regidor del ayuntamiento de Actopan, el militante del Partido Verde Ecologista de México, dijo que no le dan ganas de regresar, pues lo que desea es estar cerca de su familia en este momento. Asimismo, de manera pública agradeció a Claudia Sheinbaum Pardo,presidenta de México, pues explicó que su esposa recurrió a ella y revisaron su caso, condición que le permitió que se le liberara por no estar relacionado. También agradeció al gobernador estatal.</t>
  </si>
  <si>
    <t>Detención Regidor</t>
  </si>
  <si>
    <t>La mañana de este lunes en la escuela primaria “Himno Nacional “, ubicada en la cabecera municipal dé Alfajayucan, un enjambre de abejas tabaco , al menos, a 20 estudiantes.Las autoridades del plantel dieron aviso a Protección Civil del municipio cuando los insectos iniciaron su ataque por lo que fue necesario evacuar el plantel y suspender labores.</t>
  </si>
  <si>
    <t>Una persona perdió la vida y dos más resultaron lesionadas tras la volcadura de una camioneta. El trágico accidente ocurrió la tarde del domingo sobre la carretera que conecta con la localidad de Remedios (en la zona de Samayoa), municipio de Ixmiquilpan, Hidalgo.</t>
  </si>
  <si>
    <t>Elementos de seguridad pública de Tlaxcoapan hicieron el hallazgo durante recorrido de vigilancia, tras lo cual solicitaron el apoyo de personal de Protección Civil, quienes tras revisión a la persona, confirmaron que ya no tenía signos vitales. Hasta el momento no se ha informado oficialmente si el cuerpo presentaba lesiones visibles, huellas de violencia o algún otro indicio que permita establecer de manera preliminar la causa del fallecimiento. De acuerdo con los reportes disponibles, familiares del joven acudieron al lugar y lo identificaron con las iniciales J.J.R.G., señalando que tenía reporte de desaparición desde el pasado 6 de junio de este año.</t>
  </si>
  <si>
    <t>A toda la población derechohabiente y no derechohabiente al IMSS, se le comunica que este 8 y 15 de junio 2026 se estará llevando a cabo la jornada de vasectomías en la UMF No. 34.</t>
  </si>
  <si>
    <t>Prevención cáncer de mama</t>
  </si>
  <si>
    <t>El censo dirigido a pueblos y comunidades indígenas del municipio, que inició el pasado 25 de mayo, registra a la fecha un avance del 70 por ciento, de acuerdo con información de la Secretaría de Desarrollo Humano y Social. El titular de la dependencia, Alberto Campillo Santos, señaló que este ejercicio se encuentra en su etapa final y tiene como meta la aplicación de 900 cuestionarios. Precisó que la comunidad de Santa María Asunción será la última en participar en esta importante actividad de consulta y participación ciudadana. El personal encargado del levantamiento acude plenamente identificado mediante gafete oficial, oficio de comisión, chaleco institucional y equipo electrónico para la captura de datos. La información se registra a través de tabletas electrónicas y es enviada de manera directa a la Unidad de Planeación y Prospectiva del Estado de Hidalgo, instancia responsable de su procesamiento, validación y resguardo. Hasta el momento, el censo se ha desarrollado con una positiva participación ciudadana en las comunidades de Tepaltzingo, Laguna del Cerrito, San Rafael Loma Bonita, San Rafael El Jagüey, San Vidal, Huitititla y Santa Ana Hueytlalpan. La presidenta municipal, Lorena García Cázares, ha reiterado la importancia de escuchar y atender la voz de las comunidades indígenas, con el propósito de impulsar políticas públicas que respondan de manera más precisa a sus necesidades y contribuyan a reducir rezagos históricos en materia de inclusión, bienestar y desarrollo social. Los resultados obtenidos servirán como base para la planeación y ejecución de acciones gubernamentales durante la segunda mitad de la actual administración municipal.</t>
  </si>
  <si>
    <t>Consulta Indígena</t>
  </si>
  <si>
    <t>Con la actualización del Programa Municipal de Desarrollo Urbano y Ordenamiento Territorial (PMDU) de Tulancingo, será posible que se puedan gestionar y aplicar más recursos para obras y acciones públicas, consideró la alcaldesa Lorena García Cázares. Durante la conmemoración del Día de la Libertad de Expresión, el pasado domingo 7 de junio, la funcionaria hizo un recuento de obras y acciones realizadas durante la actual administración municipal que encabeza. Fue en ese recuento donde señaló que la actualización del PMDU, tiene un rezago de aproximadamente 25 años, pues al no estar bien establecidas las zonas de desarrollo, reserva territorial, uso agrícola, entre otras, no se ha podido en varios casos obtener recursos públicos que se puedan aplicar para el desarrollo de Tulancingo. A inicios del pasado mes de mayo, por Armando Pérez Alcibar, titular de la Secretaría municipal de Desarrollo Urbano, Obras Públicas y Medio Ambiente, señaló que ya se está trabajando en dicha actualización. En entrevista realizada en ese momento, señaló que en el actual PMDU señala que la colonia El Paraíso en varias de sus secciones, así como las colonias San Antonio Farías y Jaltepec, entre otras, estén consideradas como agrícolas tecnificadas.</t>
  </si>
  <si>
    <t>Ordenamiento Territorial</t>
  </si>
  <si>
    <t>La Asociación Nacional de Transportistas (ANTAC) anunció una jornada de protestas y movilizaciones para el próximo 11 de junio, fecha en la que México será sede del partido inaugural del Mundial 2026. La organización informó que la manifestación tiene como finalidad exponer diversas problemáticas que afectan al sector, principalmente los robos al transporte de carga, la inseguridad en carreteras y las dificultades que enfrentan operadores y empresas para realizar sus actividades en distintas regiones del país. De acuerdo con los convocantes, la elección de la fecha busca aprovechar la atención internacional que generará el arranque del Mundial, evento que concentrará a miles de visitantes, medios de comunicación y representantes de distintos países. Se prevé que las movilizaciones se desarrollen en puntos carreteros y accesos estratégicos de varias entidades del país. Entre las zonas donde podrían registrarse afectaciones se encuentran las ciudades que albergarán encuentros mundialistas: Ciudad de México, Guadalajara y Monterrey. En el caso de la capital del país, transportistas contemplan realizar concentraciones en vialidades de gran afluencia vehicular y en rutas de acceso hacia el Estadio Azteca, recinto programado para recibir el partido inaugural del torneo. Los representantes de ANTAC señalaron que buscan que las autoridades federales fortalezcan las acciones para combatir los delitos que afectan al autotransporte, un sector que continuamente reporta pérdidas económicas derivadas de asaltos y actos de violencia en carreteras. Además de las organizaciones de transportistas, algunos colectivos relacionados con actividades productivas del campo han expresado su intención de sumarse a las protestas para exponer demandas propias de sus sectores.</t>
  </si>
  <si>
    <t>Bloqueo Carretero</t>
  </si>
  <si>
    <t>Vía telefónica Gerardo González, Gerardo González, líder en Hidalgo de la AMOTAC asevera que no han bajado los robos y ataque a los transportistas sobre todo en la carretera Puebla- Veracruz, por lo que están considerando realizar un paro nacional a modo de protesta ante esta situación (La entrevista se interrumpe debido a problemas con la internet)</t>
  </si>
  <si>
    <t>Bloqueo transportistas</t>
  </si>
  <si>
    <t>Entrevista</t>
  </si>
  <si>
    <t>Respecto a la información de la localización de una credencial de un habitante d​e Acaxochitlán en una fosa clandestina de Sonora, el ayuntamiento informa que Emanuel se encuentra bien y en casa. La credencial de Emmanuel O. V., joven originario de San Pedr⁠o Tlachichilco, fue extraviada por su propietario hace tiempo. Él se encuentra bien, en su hogar y con su familia; nunca estuvo‌ desaparecido ni en situación de riesgo. La localización ‌de la credencial durante una búsqueda en Sonora no está relacionada con la desaparición del joven ni con una situación de riesgo.</t>
  </si>
  <si>
    <t>Localización de identificaciones</t>
  </si>
  <si>
    <t>Trabajadores del Hospital General “Columba Rivera Osorio” del ISSSTE en Pachuca volvieron a manifestarse este lunes para exigir soluciones a diversas problemáticas laborales que, aseguran, afectan a cientos de empleados de distintas áreas del nosocomio. Vestidos con batas blancas y acompañados de pancartas, médicos, enfermeras, laboratoristas y personal administrativo realizaron una protesta pacífica en la que denunciaron retrasos en pagos, exceso de carga de trabajo y presuntas anomalías en procesos administrativos. Durante la movilización, los inconformes recordaron que en una protesta previa se registraron incidentes que dejaron tres trabajadores lesionados. Según señalaron, una enfermera continúa incapacitada debido a las heridas sufridas, mientras que otros dos empleados permanecen activos pese a no contar con prestaciones laborales. Enrique Gil Borja, secretario de Educación Sindical de la Sección 18 del ISSSTE, informó que ya fueron identificados cuatro elementos de seguridad que presuntamente participaron en las agresiones. Indicó que se integró un reporte detallado de lo ocurrido para que las autoridades correspondientes determinen las posibles responsabilidades. Uno de los principales reclamos de los manifestantes es la destitución de la subdirectora administrativa del hospital, Ivonne Hernández Anaya, a quien atribuyen presuntas irregularidades relacionadas con la gestión de pagos y trámites laborales. Mireya Hernández, supervisora del hospital, afirmó que la remoción de la funcionaria es una exigencia central del movimiento, al considerar que durante su gestión se han vulnerado derechos laborales de los trabajadores.</t>
  </si>
  <si>
    <t>Exigen destitución de funcionario</t>
  </si>
  <si>
    <t>Una iniciativa presentada en el Congreso de Hidalgo busca establecer medidas específicas para prevenir y sancionar las agresiones digitales contra trabajadores del sector educativo, una problemática que ha cobrado relevancia con el uso cada vez más frecuente de redes sociales y aplicaciones de mensajería. La propuesta fue impulsada por el diputado local José Alejandro Pérez Ramírez, quien planteó la necesidad de dotar al estado de herramientas jurídicas que permitan atender los casos de ciberacoso dirigidos a maestras, maestros y demás personal que labora en instituciones educativas. De acuerdo con el planteamiento, los espacios digitales han facilitado la comunicación entre integrantes de la comunidad escolar, pero también han sido utilizados para difundir contenido ofensivo, mensajes intimidatorios, señalamientos sin sustento y campañas que afectan la imagen y el desempeño profesional de trabajadores de la educación.</t>
  </si>
  <si>
    <t>La Unidad de Rehabilitación de Fauna Silvestre va a liberar en Tenango de Doria a una Martucha, que ha sido exitosamente rehabilitada.</t>
  </si>
  <si>
    <t>Rehabilitación animal</t>
  </si>
  <si>
    <t>Andrés Torres menciona que la Constitución de Hidalgo dice que la próxima gubernatura será de solo dos años para empatar las elecciones con las federales, pero se habla de modificar esto para que sea de 5 años. Sin embargo, hasta el momento no hay una iniciativa y debe ser antes de septiembre para que dé tiempo.</t>
  </si>
  <si>
    <t>Sucesión Gubernamental</t>
  </si>
  <si>
    <t>Andrés Torres en respuesta a un radioescucha que pregunta que cómo va el ambiente político en Hidalgo, responde que hay una creciente teoría de que la secretaria de Salud, Vanesa Escalante Arroyo, podría ser la candidata de Morena a la gubernatura de Hidalgo en el 2028. Asimismo, dice que se han aplicado encuestas por parte de Morena gobierno del estado con base en figuras que contenderían para la renovación del Congreso estatal, las diputaciones federales y las 84 alcaldías en el 2027 y los resultados no fueron nada positivos. Hubo municipios como en Pachuca, Tulancingo e Ixmiquilpan en donde esperaban que los resultados fueran positivos y no fue así. Cuauhtémoc Ochoa pidió varias presidencias municipales, como la de Pachuca encabezada por Benjamín Rico y la respuesta fue que no, que le van a dar algo por Santiago Tulantepec o Singuilucan, pero entonces pidió que lo dejen poner a su candidato a diputado federal en Huejutla, Raúl Badillo. Se avecina tormenta en la huasteca.</t>
  </si>
  <si>
    <t>Aspirantes</t>
  </si>
  <si>
    <t>Candidaturas</t>
  </si>
  <si>
    <t>Sucesión gubernamental</t>
  </si>
  <si>
    <t>André Torres hace una llamado a la presidencia municipal de Pachuca a que verifiquen y apoyen a dos personas en situación de calle, pues hoy por la mañana frente a las instalaciones del SAT encontraron a una mujer en una jardinera y hay otro hombre que al parecer vive debajo del puente 500 años de Minería.</t>
  </si>
  <si>
    <t>Apoyo a personas vulnerables</t>
  </si>
  <si>
    <t>Una intensa lluvia registrada este lunes provocó severas afectaciones en diversas zonas del municipio de Tepeji, reportándose inundaciones en viviendas, el colapso de una barda, la caída de más de una decena de árboles y al menos una persona lesionada. De acuerdo con los reportes de la dirección de protección civil municipal, el incidente que causó daños humanos ocurrió en la Plaza Central, donde el peso del agua y el viento provocaron el colapso de una estructura, la cual impactó a una persona. El ojo de la tormenta se concentró en las zonas habitacionales, en la colonia Ignacio Ramírez, el volumen de la precipitación causó el desbordamiento de un cuerpo de agua, lo que agravó la situación en la zona. La dependencia confirmó que el agua ingresó a múltiples viviendas particulares de las colonias Ignacio Ramírez, La Corona, Ojo de Agua. Elementos de Protección Civil, en coordinación con servicios municipales, desplegaron un operativo para el retiro de 11 árboles caídos y múltiples ramas que obstruían la vía pública y ponían en riesgo a la población.</t>
  </si>
  <si>
    <t>Afectaciones Por Lluvias</t>
  </si>
  <si>
    <t>La mañana de este lunes en la escuela primaria “Himno Nacional “, ubicada en la cabecera municipal dé Alfajayucan, un enjambre de abejas tabaco , al menos, a 20 estudiantes. Las autoridades del plantel dieron aviso a Protección Civil del municipio cuando los insectos iniciaron su ataque por lo que fue necesario evacuar el plantel y suspender labores. De acuerdo a los primeros reportes otorgados por el municipio, por lo menos 20 niños y niñas fueron trasladados al centro de salud local para valoración ya que presentaban diversas picaduras.</t>
  </si>
  <si>
    <t>La mañana de este martes, se presentó un accidente vial en el bulevar Felipe Ángeles, en Pachuca. De acuerdo con la Policía municipal, el percance se presentó a la altura de Venta Prieta, donde un vehículo particular impactó contra un letrero vial.</t>
  </si>
  <si>
    <t>Accidente Vial</t>
  </si>
  <si>
    <t>Radioescucha reporta una coladera destapada; es un peligro para la gente que transita, esto en las oficinas de la Auditoría Superior, del lado donde venden comida en la banqueta.</t>
  </si>
  <si>
    <t>El accidente carretero registrado el fin de semana en la ruta hacia las Grutas de Tolantongo dejó un saldo de cuatro personas fallecidas y varios lesionados, todos originarios del municipio de Tarandacuao, Guanajuato.Las autoridades de ambos estados continúan brindando apoyo a las familias afectadas mientras avanza la atención médica de los sobrevivientes.Las víctimas mortales fueron identificadas como una mujer de 50 años, una joven de 18 años, una niña de nueve años y un hombre de 60 años. De acuerdo con la información confirmada por autoridades guanajuatenses, varias de las personas involucradas pertenecían a una misma familia.Entre las personas fallecidas se encontraba María Carolina Sandoval García, trabajadora del Ayuntamiento de Tarandacuao, quien perdió la vida junto con su hija Daniela García Sandoval y su sobrina Ana Sofía. También falleció Juan Parrales Ríos, quien viajaba con el grupo.</t>
  </si>
  <si>
    <t>Enlace clima Luis García de la Conagua en la Republica Mexicana e Hidalgo, zona huasteca máxima de 30 mínima de 20, para la Sierra 27 máxima mínima de 17, Altiplano máxima de 20 mínima de 10, para Pachuca y Tizayuca 22 mínima de 11, en la Zona Tepehua máxima de 27 mínima de 17, Valle de Tulancingo máxima de 20 mínima de 10 en el Valle del Mezquital máxima 25 mínimas de 13 , Huichapan y Tecozayutla máxima 24 y mínima de 12</t>
  </si>
  <si>
    <t>Hans Islas, del ayuntamiento de Mineral de la Reforma, informa que ya se pasó el reporte del patrullaje en la colonia 11 de julio.</t>
  </si>
  <si>
    <t>La mañana de este lunes en la escuela primaria “Himno Nacional “, ubicada en la cabecera municipal dé Alfajayucan, un enjambre de abejas tabaco , al menos, a 20 estudiantes.Las autoridades del plantel dieron aviso a Protección Civil del municipio cuando los insectos iniciaron su ataque por lo que fue necesario evacuar el plantel y suspender labores</t>
  </si>
  <si>
    <t>La Presidencia Municipal de Pachuca informó que, a través del programa Auxilio Vial, se han brindado mil 176 atenciones a automovilistas en lo que va de 2026.De acuerdo con la Secretaría de Seguridad Pública, Tránsito y Vialidad, los servicios incluyen asistencia mecánica básica, cambio de neumáticos, paso de corriente, apoyo para la compra de combustible o refacciones, así como el resguardo de unidades en caso necesario.</t>
  </si>
  <si>
    <t>Auxilio vial</t>
  </si>
  <si>
    <t>Radioescucha reporta que el transito que se hace al sur d ela ciudad es por la falta de balizamiento en las calles , que la ingenieria de transito y vialidad ya chequen eso</t>
  </si>
  <si>
    <t>Balizamiento</t>
  </si>
  <si>
    <t>Tras la manifestación y bloqueo carretero del pasado viernes, trabajadores del Hospital ISSSTE de Pachuca, retomaron las protestas y varias horas después, lograron la remoción de la administradora Ivonne Hernández Anaya y el pago a personal suplente y de guardia, AUDIO APOYO</t>
  </si>
  <si>
    <t>Radioescucha manda fotos de una persona que va vestida de negro y se esta saltando a las casa para robar , esto en la parte de atrás de Xochiquétzal y Paseo Toltecas, piden a las autoridades pongas cartas en el asunto para detener a esta persona</t>
  </si>
  <si>
    <t>Inseguridad</t>
  </si>
  <si>
    <t>Radioescucha pide al ayuntamiento que los apoye en limpiar el área verde en colonia Alta Tensión</t>
  </si>
  <si>
    <t>Limpieza Urbana</t>
  </si>
  <si>
    <t>Con nueve votos en contra, cinco a favor y tres abstenciones, el ayuntamiento de Ixmiquilpan no aprobó la minuta enviada por el Congreso de Hidalgo que reforma y adiciona la Constitución Política del Estado de Hidalgo, en donde se reducirían los espacios al interior del Cabildo, quitando una sindicatura a Ixmiquilpan.Lo anterior lo informó el regidor Enrique Simón Romero, quien externó que eliminar un espacio edilicio no resuelve ninguna problemática en Ixmiquilpan; la reforma tendría que haber planteado la profesionalización, ser más eficientes y productivos, así como que exista una verdadera independencia entre el cuerpo edilicio y el titular del ejecutivo para así dar mejores resultados.</t>
  </si>
  <si>
    <t>Plan B</t>
  </si>
  <si>
    <t>El presidente municipal, Cristhian Martínez Reséndiz,quien encabezó esta instalación de esta Procuraduría Municipal para la Protección de Niñas, Niños y Adolescentes en este municipio, destacó que la creación de esta instancia representa un paso firme en la consolidación de políticas públicas orientadas a garantizar el pleno ejercicio de los derechos de las niñas, niños y adolescentes, colocando su bienestar como una prioridad para la administración municipal, AUDIO APOYO</t>
  </si>
  <si>
    <t>La Asociación Hidalguense para la Protección de los Animales advirtió que recurrirá a las máximas instancias judiciales, incluida la Suprema Corte de Justicia de la Nación (SCJN), si el gobierno municipal insiste en realizar la Santiagada este año.Paola Monterrubio Islas, representante de la asociación, reveló que justo antes de la edición del año pasado, en coordinación con la organización Jauría de Balú, sostuvieron una reunión con la alcaldesa Yanet Fernández Fernández, a quien le exhortaron formalmente la creación de un reglamento de bienestar animal para el municipio, la atención a las denuncias por maltrato y la eliminación definitiva de la Santiagada. “No fue así, no cumplió”, acusó la activista.</t>
  </si>
  <si>
    <t>Santiagada</t>
  </si>
  <si>
    <t>Radioescucha Sr. Juan reporta que los semáforos de Prismas y Nuevo Hidalgo con dirección a Tulipanes, ya que no funcionan bien</t>
  </si>
  <si>
    <t>Semaforización</t>
  </si>
  <si>
    <t>El gobierno municipal de Mineral de la Reforma puso en operación una Unidad Médica Móvil para acercar servicios de atención a habitantes de colonias, fraccionamientos y comunidades del municipio.Durante la presentación, el presidente municipal, Eduardo Medécigo Rubio, acompañado por la presidenta del Sistema Municipal DIF, Samantha Esparza Hernández, informó que la unidad fue adquirida con recursos propios del municipio.</t>
  </si>
  <si>
    <t>Unidad Médica Móviles</t>
  </si>
  <si>
    <t>Radioescucha reporta que Bosques del Peñar es abandonado desde hace muchos años por parte del ayuntamiento; ojalá pronto vengan a arreglar las calles, que le hacen mucha falta.</t>
  </si>
  <si>
    <t>Radioescucha Sr. Fidel comenta que las calles de Piracantos estan en muy mal estado, tienen muchos baches</t>
  </si>
  <si>
    <t>La tarde de este martes, un sujeto resultó lesionado al intentar ganarle el paso al tren con su vehículo, en Tlaxcoapan. De acuerdo con la Policía municipal, el percance se presentó a la altura de la comunidad Teocalco, donde un vehículo compacto intentó ganarle el paso a una locomotora, lo que produjo el percance. Por este hecho, una persona resultó lesionada, por lo que tuvo que ser trasladada a un hospital para su atención médica. En estos momentos, peritos de la secretaría de Seguridad Pública de Tlaxcoapan se encargan de las indagatorias correspondientes para deslindar responsabilidades.</t>
  </si>
  <si>
    <t>Accidente de tren</t>
  </si>
  <si>
    <t>En un hecho distinto, también sobre la autopista México-Tuxpan, se reportó un accidente a la altura del kilómetro 115, con dirección a la Ciudad de México, en el tramo San Alejo-Tejocotal. En este segundo caso, un tractocamión con un solo remolque salió de la carpeta asfáltica y terminó recargado sobre un talud en la cuneta. La unidad quedó en una posición de riesgo, cerca de volcar, por lo que se generó reducción de carril en la zona. De acuerdo con los reportes, el conductor resultó ileso y no se registraron personas lesionadas por este percance. Sin embargo, autoridades y personal de Capufe acudieron al sitio para tomar conocimiento de los hechos y coordinar las labores correspondientes. Se advirtió que podría presentarse un cierre más tarde debido a las maniobras necesarias para retirar la unidad, por lo que se pidió a los automovilistas atender las indicaciones viales y circular con precaución.</t>
  </si>
  <si>
    <t>Accidente Carretero</t>
  </si>
  <si>
    <t>Cinco personas resultaron lesionadas la mañana de este martes tras un choque entre un autobús de pasajeros y un tractocamión con caja seca sobre la carretera México-Tuxpan, en el tramo Tejocotal-Nuevo Necaxa. El percance ocurrió a la altura del kilómetro 123+200, en inmediaciones del punto conocido como “La Desviación”, dentro de una zona de circulación constante para unidades de carga, transporte público y vehículos particulares que transitan por esta vía. De acuerdo con la información preliminar, elementos de la Dirección de Seguridad Pública de Acaxochitlán realizaban recorridos de vigilancia cuando recibieron la instrucción de trasladarse al sitio para atender un hecho de tránsito terrestre reportado en la autopista. Al llegar al lugar, los policías municipales establecieron contacto con agentes de la Guardia Nacional, quienes fungieron como primeros respondientes en la atención del accidente. Posteriormente se realizaron las labores de apoyo, abanderamiento y coordinación para permitir la atención de las personas lesionadas. En el hecho estuvieron involucradas dos unidades. La primera fue un tractocamión marca International, con placas de circulación 02-BF-4Z, conducido por una persona identificada con las iniciales L.A.V. La segunda fue un autobús de transporte público de pasajeros de la línea Futura, marca Volvo, con placas 62-HC-2C, cuyo operador fue identificado con las iniciales C.C.A.M.L. Según los reportes disponibles, el autobús se impactó contra la parte posterior del tractocamión. Tras el choque, cinco personas resultaron lesionadas y fueron trasladadas a distintos centros hospitalarios para su valoración y atención médica. Hasta el momento no se ha informado de manera oficial la gravedad de las lesiones ni la identidad de los pasajeros afectados. Tampoco se han dado a conocer mayores detalles sobre si alguno de los conductores requirió atención médica.</t>
  </si>
  <si>
    <t>Entrevista vía telefónica Jesús García, director de Bomberos y Protección Civil de Tulancingo. - Habló sobre las recomendaciones ante la presencia de lluvias, así como las actividades en materia de prevención y monitoreo de presas y ríos en Tulancingo; en ese sentido, habló sobre la acumulación de basura que es una de las principales causas de encharcamientos derivado de las lluvias, motivo por el que pide a la ciudadanía evitar realizar estas acciones y contribuir a un mejor cuidado. Dijo, que trabajan de manera conjunta con las diferentes dependencias como la Subsecretaría de Protección Civil y Protección de Riesgos a fin de implementar las estrategias adecuadas y prevenir afectaciones.</t>
  </si>
  <si>
    <t>Pese a que existe la veda del uso del fuego, Hidalgo superó las tres mil hectáreas afectadas por los incendios forestales y se encuentra entre las diez entidades con incidencia media de incendios, de acuerdo con el Reporte Semanal Nacional de Incendios Forestales, elaborado por la Comisión Nacional Forestal (Conafor). ntre el 1 de enero y el 4 de junio de este año Hidalgo registró 118 incendios forestales que afectaron tres mil 127 hectáreas, de las cuales 176 hectáreas son de arbolado de renuevo, dos mil 175 de material arbustivo, 718 hectáreas de hierba y 56 hectáreas de hojarasca. El reporte de la Conafor señala que los 10 estados con mayor presencia de incendios son: Jalisco con 670, Estado de México con 474, Michoacán con 448, Ciudad de México con 381, Guerrero con 261, Chihuahua con 245, Durango con 242, Chiapas con 234, Oaxaca con 219 y Puebla con 194. En tanto Hidalgo se encuentra entre los diez estados con inciden media de incendios junto con Nayarit, Zacatecas, San Luis Potosí, Aguascalientes, Guanajuato, Veracruz, Tlaxcala, Morelos y Campeche. Los municipios en los que se han registrado los 118 incendios forestales en Hidalgo son: Pachuca de Soto, Tulancingo de Bravo, Singuilucan, Epazoyucan, Huichapan, Mineral de la Reforma, Tepeapulco, Cuautepec, Francisco I. Madero, San Agustín Tlaxiaca, Acaxochitlán, Acatlán, Apan, Tula de Allende y Zempoala. Además de El Arenal, Emiliano Zapata, Jacala, San Salvador, Tlanalapa, Zapotlán, Ajacuba, Almoloya, Huasca, Metztitlán, Mineral del Chico, Mineral del Monte, Omitlán, Tasquillo, Tezontepec de Aldama, Villa de Tezontepec y Zacualtipán de Ángeles. Actualmente continúa vigente la veda del uso del fuego, implementada por la Secretaría del Medio Ambiente y Recursos Naturales de Hidalgo (Semarnath), comenzó el pasado 5 de febrero y concluirá el 30 de junio, la cual tiene como objetivo disminuir los incendios forestales en la entidad. A través de esta acción se establecieron como zonas de veda para el uso el fuego todos los ecosistemas forestales en el estado de Hidalgo, siendo éstas las áreas cubiertas de vegetación forestal, pastizales, maleza, matorrales y en general, en cualquiera de los diferentes tipos de asociaciones vegetales en terrenos forestales o preferentemente forestales, así como áreas de otro uso distinto al forestal que colinde y límite con este tipo de terrenos de la entidad. La veda del uso del fuego lo prohíbe en fogatas a cielo abierto para actividades de recreación; actividades de campismo; en terrenos forestales o preferentemente forestales designados a la actividad de ecoturismo, que no cuenten con la infraestructura para dicha actividad. Así como las quemas para eliminar residuos de cosechas, pastos; la preparación de forrajes para el ganado; los esquilmos agrícolas en áreas adyacentes a zonas con vegetación forestal; basura orgánica y desperdicios contaminantes; uso de pirotecnia y globos de cantoya; actividades cinegéticas; y la eliminación de residuos por aprovechamiento forestal. Como acciones preventivas se recomendó no dejar residuos de basura principalmente vidrios o cristales que puedan hacer efecto lupa y generar la ignición dentro de terrenos forestales o preferentemente forestales; y encender fogatas en áreas no apropiadas, que no cuenten con la infraestructura adecuada designada para dicha actividad.</t>
  </si>
  <si>
    <t>Incendios forestales</t>
  </si>
  <si>
    <t>l Instituto Nacional Electoral (INE) comenzó la emisión de los nuevos tipos “I” y “J” de la Credencial para Votar, documentos que incorporan innovaciones tecnológicas orientadas a reforzar la seguridad, la autenticidad y la protección de los datos personales de millones de ciudadanos mexicanos. La actualización forma parte de la evolución permanente que ha experimentado la credencial desde que el entonces Instituto Federal Electoral asumió, en 1992, la responsabilidad de emitir este documento de identificación oficial. Durante más de tres décadas, la autoridad electoral ha incorporado mecanismos cada vez más sofisticados para prevenir alteraciones, falsificaciones y usos indebidos. Entre las principales novedades destaca la incorporación de un nuevo Dispositivo de Imagen Ópticamente Variable Difractivo (DOVID), considerado uno de los sistemas de autenticación documental más avanzados utilizados hasta ahora en la credencial. Este elemento permite apreciar efectos visuales que cambian según el ángulo de observación, además de integrar microtextos, nanotextos, efectos tridimensionales y variaciones de color difíciles de reproducir mediante métodos convencionales. La nueva generación de credenciales también incorpora fotografías a color de alta resolución, imágenes impresas con tintas reactivas a la luz ultravioleta, imágenes latentes y diversos patrones de seguridad que facilitan la verificación de la autenticidad del documento. Como parte de una estrategia de inclusión, el nuevo diseño integra elementos táctiles para apoyar a personas con discapacidad visual. Entre ellos destaca una muesca ubicada en la parte superior izquierda de la credencial que permite identificar y orientar el documento mediante el tacto. La seguridad del nuevo modelo se sustenta en una arquitectura compuesta por múltiples capas de protección física, óptica, digital y criptográfica. Entre los mecanismos incorporados se encuentran microtextos personalizados, líneas Guilloche generadas por software especializado, efectos moiré, impresión arcoíris, fotografías fantasmas, tintas fotocromáticas y termocromáticas, así como complejos patrones geométricos de seguridad.</t>
  </si>
  <si>
    <t>Credencial de elector</t>
  </si>
  <si>
    <t>Las lluvias registradas durante los últimos días han provocado derrumbes y deslaves en diversos puntos del tramo carretero Santuario-Nicolás Flores, situación que ha generado afectaciones a la circulación y mantiene en alerta a las autoridades municipales y cuerpos de emergencia. De acuerdo con reportes oficiales, personal de Protección Civil y operadores de maquinaria pesada trabajan de manera permanente en la remoción de tierra, piedras y material desprendido de los cerros, con el objetivo de mantener despejadas las vialidades y reducir riesgos para los automovilistas. Aunque el tránsito vehicular continúa, las autoridades han solicitado a la población extremar precauciones al circular por la zona, ya que durante el día se desarrollan trabajos de limpieza en distintos puntos de la carretera y persiste el riesgo de nuevos desprendimientos debido a la saturación de humedad en los terrenos. Cabe recordar que Nicolás Flores fue uno de los municipios más afectados por la vaguada monzónica que impactó a Hidalgo en octubre de 2025, fenómeno meteorológico que dejó severos daños en carreteras, caminos rurales, puentes y accesos comunitarios a consecuencia de deslaves, derrumbes y anegaciones. Las afectaciones registradas el año pasado dejaron incomunicadas temporalmente a varias localidades y provocaron daños que durante meses dificultaron la movilidad de los habitantes, especialmente en las comunidades ubicadas en las zonas más alejadas del municipio. Por lo anterior, hace aproximadamente un mes autoridades municipales informaron que se daría inició a diversas acciones de rehabilitación en la infraestructura dañada, trabajos que cuentan con el respaldo del gobierno estatal y federal.</t>
  </si>
  <si>
    <t>El Instituto Nacional Electoral (INE) comenzó la emisión de los nuevos tipos “I” y “J” de la Credencial para Votar, documentos que incorporan innovaciones tecnológicas orientadas a reforzar la seguridad, la autenticidad y la protección de los datos personales de millones de ciudadanos mexicanos. La actualización forma parte de la evolución permanente que ha experimentado la credencial desde que el entonces Instituto Federal Electoral asumió, en 1992, la responsabilidad de emitir este documento de identificación oficial. Durante más de tres décadas, la autoridad electoral ha incorporado mecanismos cada vez más sofisticados para prevenir alteraciones, falsificaciones y usos indebidos. Entre las principales novedades destaca la incorporación de un nuevo Dispositivo de Imagen Ópticamente Variable Difractivo (DOVID), considerado uno de los sistemas de autenticación documental más avanzados utilizados hasta ahora en la credencial. Este elemento permite apreciar efectos visuales que cambian según el ángulo de observación, además de integrar microtextos, nanotextos, efectos tridimensionales y variaciones de color difíciles de reproducir mediante métodos convencionales. La nueva generación de credenciales también incorpora fotografías a color de alta resolución, imágenes impresas con tintas reactivas a la luz ultravioleta, imágenes latentes y diversos patrones de seguridad que facilitan la verificación de la autenticidad del documento. Como parte de una estrategia de inclusión, el nuevo diseño integra elementos táctiles para apoyar a personas con discapacidad visual. Entre ellos destaca una muesca ubicada en la parte superior izquierda de la credencial que permite identificar y orientar el documento mediante el tacto. La seguridad del nuevo modelo se sustenta en una arquitectura compuesta por múltiples capas de protección física, óptica, digital y criptográfica. Entre los mecanismos incorporados se encuentran microtextos personalizados, líneas Guilloche generadas por software especializado, efectos moiré, impresión arcoíris, fotografías fantasmas, tintas fotocromáticas y termocromáticas, así como complejos patrones geométricos de seguridad.</t>
  </si>
  <si>
    <t>La Unidad de Rehabilitación de Fauna Silvestre participará en la liberación de una martucha (Potos flavus), especie protegida en México y catalogada como Sujeta a Protección Especial de acuerdo con la Norma Oficial Mexicana NOM-059-SEMARNAT. Este hecho representa uno de los logros más importantes de la Unidad, ya que es la primera ocasión en que se rehabilita exitosamente un ejemplar de esta especie hasta alcanzar las condiciones necesarias para su retorno a la vida silvestre. La liberación se realizará en coordinación con la PROFEPA y autoridades del municipio de Tenango de Doria, como parte de los esfuerzos conjuntos para la conservación de la biodiversidad y la protección de la fauna silvestre. El ejemplar, llamado “Tena”, fue localizado por personal de la Dirección de Ecología en una zona afectada por un incendio forestal. Posteriormente, fue trasladado a la Unidad de Rehabilitación en abril de 2025 por personal de la Secretaría de Medio Ambiente y Recursos Naturales de Hidalgo. A su ingreso, la cría tenía aproximadamente cinco días de nacida y pesaba poco más de 250 gramos, por lo que requirió atención especializada. Para su recuperación se diseñó un programa de nutrición específico y se implementó vigilancia permanente para garantizar su desarrollo. Tras varios meses de cuidados, el ejemplar fue trasladado a un biosimulador donde continuó su proceso de rehabilitación, fortaleciendo las habilidades necesarias para sobrevivir de manera independiente en su hábitat natural. La liberación de esta martucha representa un caso exitoso de conservación y recuperación de fauna silvestre, así como un ejemplo del trabajo coordinado entre instituciones para proteger el patrimonio natural de Hidalgo. Estas acciones se alinean con la visión del gobierno encabezado por el presidente municipal Jorge Reyes, que ha impulsado políticas enfocadas en el cuidado del medio ambiente, la protección de los animales y la preservación de los recursos naturales, fortaleciendo el compromiso de Pachuca con el desarrollo sostenible y la conservación de la biodiversidad.</t>
  </si>
  <si>
    <t>Liberación Fauna Silvestre</t>
  </si>
  <si>
    <t>Derivado de la nota sobre el asalto en una Joyería de Tulancingo, Jesús Riveros comentó que van cuatro asaltos en lo que va del 2026 en Tulancingo, por lo que hace un llamado a las autoridades para reforzar las medidas de seguridad en el municipio.</t>
  </si>
  <si>
    <t>Asalto A Comercio</t>
  </si>
  <si>
    <t>La mañana de este martes, un domicilio, ubicado en Mineral de la Reforma, se incendió, por lo que tuvieron que intervenir bomberos del estado y elementos de Protección Civil municipal. De acuerdo con los reportes oficiales, mediante una llamada de Emergencia, se dio aviso sobre un siniestro en el interior de un inmueble, localizado en la privada Flor de Jazmín, en Haciendas de Chavarria. Al arribar al lugar, los bomberos se percataron de que el incendio fue causado por una veladora prendida. Por dicho hecho ocurrido en Mineral de la Reforma, no se reportan personas lesionadas solo daños materiales.</t>
  </si>
  <si>
    <t>Alejandro Bernal, Goordinador general de la Fiesta Patronal de San Juan Bautista 2026, aseguró que Zimapán se encuentra listo para recibir a visitantes y participantes durante esta importante celebración. Asimismo, invitó a la audiencia de Canal 6 a disfrutar de las festividades que se llevarán a cabo del 14 al 24 de junio.</t>
  </si>
  <si>
    <t>El mandatario estatal Julio Menchaca acerca de la manifestación de trabajadores de la clínica del ISSSTE, dijo que se debe de respetar también el libre tránsito y que si alguien en el cumplimiento de sus responsabilidad excede los protocolos tendrá una sanción. Niega que en su gobierno exista represión.</t>
  </si>
  <si>
    <t>Desalojo de manifestantes</t>
  </si>
  <si>
    <t>En el marco del día de la libertad de expresión en México, el gobernador del estado de Hidalgo, Julio Menchaca Salazar, expresó un mensaje de reconocimiento a las y los representantes de los medios de comunicación, destacando la importancia de su labor en la construcción de una sociedad informada y participativa. Durante su intervención, el mandatario estatal agradeció el trabajo que diariamente realizan los periodistas, reporteros, camarógrafos, fotógrafos y comunicadores para llevar información oportuna a la ciudadanía. Asimismo, reiteró el compromiso de su administración con el respeto irrestricto a la libertad de expresión y al ejercicio periodístico como pilares fundamentales de la vida democrática.</t>
  </si>
  <si>
    <t>Día libertad de expresión</t>
  </si>
  <si>
    <t>En el marco del día de la libertad de expresión en México, conmemorado cada 7 de junio y establecido en 1951 como una fecha para reconocer la importancia de una prensa libre en la vida democrática del país, se llevó a cabo la conferencia matutina habitual del Gobierno del Estado de Hidalgo a las 9:00 en la Sala del Pueblo del edificio de gobierno. La jornada estuvo encabezada por la Secretaria de Turismo del Estado de Hidalgo, Elizabeth Quintanar Gómez; la embajadora de Sudáfrica en México, Betty Rosi Sulú; el presidente de la Asociación Sudafricana de Fútbol, Dani Jordán; el entrenador del equipo Leyendas de Sudáfrica, Gordon Igerson; los exfutbolistas sudafricanos Siboncio Gacza y Lance Davids; así como Oscar Pérez Rojas, referente histórico del fútbol mexicano y actual director del Instituto hidalguense del Deporte. La sesión inició con la proyección de un material audiovisual sobre los círculos de diálogo impulsados a través de las rutas de la transformación, en esta ocasión las acciones desarrolladas en el municipio de Progreso de Obregón. Durante su intervención, la secretaria de Turismo del estado de Hidalgo, Elizabeth Quintanar Gómez, destacó el fortalecimiento de los vínculos entre México y Sudáfrica, así como el trabajo institucional realizado para concretar la presencia de la selección sudafricana en territorio hidalguense. Asimismo, resaltó el impacto turístico, deportivo y cultural que representa este intercambio internacional para la entidad. La embajadora hizo una llamada al ministro Mackenzie y le dijo: deben de venir a Hidalgo, debemos de tener un encuentro de un partido amistoso, legendario.</t>
  </si>
  <si>
    <t>Mañanera de Hidalgo</t>
  </si>
  <si>
    <t>Estudiantes de la UPH desarrollan sistema inteligente para reducir el consumo eléctrico</t>
  </si>
  <si>
    <t>Investigación académica</t>
  </si>
  <si>
    <t>En Tezontepec de Aldama, SSPH recupera más de 3 mil litros de hidrocarburo robado</t>
  </si>
  <si>
    <t>Combate Al Huachicol</t>
  </si>
  <si>
    <t>Una persona perdió la vida la mañana de este lunes 8 de junio cuando era trasladado para recibir atención médica. El incidente se registró sobre bulevar Felipe Ángeles, en Pachuca, donde una camioneta habría salido de la vialidad a un costado del carril de circulación del Tuzobús, a la altura de la estación San Antonio, hasta donde acudió personal de atención a emergencias. Se reportó el fallecimiento de una de las personas que viajaba en la unidad, quien era trasladado para recibir atención médica; hasta ahora no se han dado a conocer los motivos o la causa precisa de su muerte. Por medio de un comunicado, el Sistema Integrado de Transporte Masivo de Hidalgo informó que ninguna unidad del Transporte Metropolitano se vio involucrada en el incidente, agregando que el servicio tampoco tuvo afectaciones. Pero la presencia de ambulancia y personal de auxilio generó reducción de velocidad y atención de los conductores que pasaban por el sitio.</t>
  </si>
  <si>
    <t>En Atitalaquia en el Barrio Dendho un hombre de 49 años perdió la vida por arma de fuego. El cuerpo se localizó dentro de un vehículo junto con una mujer que resultó lesionada y fue trasladada a un hospital.</t>
  </si>
  <si>
    <t>Homicidios</t>
  </si>
  <si>
    <t>Gabinete de Seguridad informa de la recuperación de más de 50 mil litros de combustible</t>
  </si>
  <si>
    <t>Reunión Gabinete De Seguridad</t>
  </si>
  <si>
    <t>Ante lluvias SIPDUS mantiene monitoreo y despliegue de maquinaria en todo el estado</t>
  </si>
  <si>
    <t>Cuatro robos a joyerías en Tulancingo se han registrado durante la actual administración municipal, siendo el más reciente este lunes 8 de junio en un local ubicado en el edificio Hidalgo, en el centro de la ciudad. De acuerdo a registros hemerográficos, el primer robo a joyería dentro del municipio se registró el 8 de mayo del año pasado, en un local ubicado en la calle Libertad Poniente, en el centro de la ciudad. En esa ocasión un hombre de 51 años de edad fue lesionado por los asaltantes en ataque por arma de fuego. Tras revisar las cámaras de videovigilancia del establecimiento, las autoridades identificaron a tres sujetos a bordo de una motocicleta color rojo con blanco como los presuntos responsables del atraco; no se registraron personas detenidas relacionadas con el asalto. Posteriormente, el 22 de junio del 2025, una joyería ubicada en avenida Manuel Fernando Soto, entre las calles Hidalgo y Primero de Mayo también fue asaltada. El pasado 13 de febrero se registró un tercer asalto en una joyería ubicada en la calle Hidalgo, entre 21 de Marzo y Fernando Soto, con saldo de una persona lesionada por arma de fuego. El robo más reciente se registró la tarde del lunes 8 de junio a una joyería ubicada también en el centro de la ciudad. Se conoció que en dicho robo habrían participado cinco personas, quienes tras cometer el ilícito, huyeron hacia la zona de museos de Tulancingo. Dos hombres y una mujer que presuntamente participaron del robo fueron detenidos en operativo conjunto entre elementos policiacos municipales y agentes de la Secretaría de Seguridad Pública de Hidalgo. Ello luego de que abandonaran sobre bulevar Bicentenario, casi al cruce con bulevar Matamoros, la motocicleta en la que se trasladaban. Además, fueron recuperadas piezas de joyería y se aseguraron un arma corta y dos motocicletas con reporte de robo.</t>
  </si>
  <si>
    <t>Detención</t>
  </si>
  <si>
    <t>Vía telefónica Milton Cortés comenta que este fin de semana se realizó una reunión con autoridades estatales, en la que se determinó un plazo de 15 días para atender las problemáticas como encharcamientos, municipalización y seguridad de fraccionamientos y colonias ubicadas en Mineral de la Reforma y Zempoala.</t>
  </si>
  <si>
    <t>Atención A Manifestantes</t>
  </si>
  <si>
    <t>Andrés Torres comenta que ayer el gobernador aclaró que todas las unidades que están operando en el nuevo Sistema Metropolitano de Trasporte son nuevas y que no habían llegado antes porque estaban "atoradas" en la aduana de Veracruz y que el video que circuló en redes sociales donde se venía una unidad mal pintada, fue editado. Asimismo, el gobernador dijo que todos los días se trabaja para ajustar horarios y corridas, así como que está abierta la convocatoria para ser chofer de este Sistema de Transporte.</t>
  </si>
  <si>
    <t>Radioescucha: el parador (del Tuzobús) no tiene un horario definido, por lo que pide que las autoridades ya lo definan.</t>
  </si>
  <si>
    <t>Quejas Tuzobús</t>
  </si>
  <si>
    <t>Andrés Torres en respuesta a un radioescucha sobe el Mando Coordenado, señala que el propósito de que este exista y que los municipios se unan es responder de manera oportuna y eficaz a situaciones de emergencia y que el gobernador Julio Menchaca es el que está al frente del Gabinete de Seguridad y por lo tanto del Mando Coordinado no el secretario de Seguridad Pública.</t>
  </si>
  <si>
    <t>Mando Coordinado</t>
  </si>
  <si>
    <t>SSH</t>
  </si>
  <si>
    <t>Andrés Torres informa que la reportera Maripaz Roldán, quien junto con el camarógrafo de Radio y Televisión de Hidalgo, Danilo Badillo fue agredida físicamente por personal de seguridad privada durante una protesta de trabajadores de la salud frente al hospital del ISSSTE en Pachuca, ya habló con varias autoridades y fue invitada por la Coordinación de Comunicación Social del Estado de Hidalgo a presentar su denuncia ante la Procuraduría General de Justicia del Estado y expresó que lo que más molesta es la indiferencia y acoso que se vive en la televisión estatal y "solo espero que no me corran, me falta poco para irme, pero me quiero ir yo sola". Es lo que dice Maripaz Roldán en una denuncia pública que hace sobre el acoso laboral que vivimos en Radio y Televisión de Hidalgo. En este sentido, Andrés Torres señala que da todo su apoyo a Maripaz Roldán y Danilo Badillo.</t>
  </si>
  <si>
    <t>Acoso Laboral</t>
  </si>
  <si>
    <t>Ayer en la conferencia mañanera el gobernador Julio Menchaca y dirigió un mensaje a las y los integrantes de la prensa con motivo del Día de la Libertad de Expresión. El mandatario hizo un reconocimiento al trabajo y conminó a a todos los trabajadores de la prensa en nuestro estado a conducirse con profesionalismo y ética.</t>
  </si>
  <si>
    <t>Andrés Torres comenta que el 1010 AM El Vocero Huasteco cumple dos meses fuera del aire y espera que las autoridades administrativas de Radio y Televisión de Hidalgo se ponga a trabajar y entiendan que es importantísimo y se puede caer en faltas legales si no pone al aire esta estación solo por un capricho, porque el diesel solo es para las camionetas del director y de los directores, que ahora dicen que ellos pagan su gasolina, lo cual es totalmente falso. Asegura que estuvo en una reunión con el gobernador, en la que llegaron áreas preguntando por los vehículos y donde el director general pidió que su carro tuviera llanta de refacción y don Orlando Ángeles, Oficial Mayor montó en cólera y les pidió que por escrito les pasara todos los requerimientos para los vehículos, porque lo que les importaba era traer camioneta, no tratar de arreglar los problemas de radio y Televisión de Hidalgo.</t>
  </si>
  <si>
    <t>Radioescucha reporta que fue al Centro de Salud para realizarse un estudio y no pudo realizarlos porque no tienen insumos; comenta que es una persona de la 3.ª edad y no puede pagarlos de manera particular.</t>
  </si>
  <si>
    <t>Abasto De Insumos Médicos</t>
  </si>
  <si>
    <t>La Subsecretaría de Protección Civil y Gestión de Riesgos de Hidalgo, informo de la permanencia de Semáforo Amarillo para el Valle del Mezquital , Sierra Alta y la Huasteca</t>
  </si>
  <si>
    <t>Radioescucha pide a las autoridades ir a checar un encharcamiento; por la colonia Cuesco, está antes de llegar a Colegio Londres.</t>
  </si>
  <si>
    <t>Saderh entrega más de 9 mdp en apoyos para las y los productores de la región del Valle del Mezquital, AUDIO APOYO</t>
  </si>
  <si>
    <t>SSPH frena robo de combustible por drenaje en Atotonilco de Tula</t>
  </si>
  <si>
    <t>El gobernador Julio Menchaca hablo sobre el tema de la cooperativa La Cruz Azul en Tula, confirmó que se reunió con el ingeniero Víctor Velásquez, presidente del consejo de la cooperativa. Señaló que habrá buenas noticias en los próximos días, AUDIO JMS</t>
  </si>
  <si>
    <t>Cruz Azul</t>
  </si>
  <si>
    <t>El mandatario estatal Julio Menchaca fue cuestionado sobre la manifestación de trabajadores de la clínica del ISSSTE, dijo que se debe de respetar también el libre tránsito y que si alguien en el cumplimiento de sus responsabilidad excede los protocolos tendrá una sanción. Niega que en su gobierno exista represión. México es donde alguien pueda insultar a un policía o un militar, todavía tenemos el síndrome del 68,AUDIO JMS</t>
  </si>
  <si>
    <t>El gobernador Julio Menchaca fue cuestionado sobre la situación que viven los pobladores de las comunidades ribereñas de la presa Endho, en torno al mosco cúlex y el uso de avionetas para acabar con estos insectos. AUDIO JMS</t>
  </si>
  <si>
    <t>Fumigación mosco Culex</t>
  </si>
  <si>
    <t>IHE realiza Jornada Nacional por la Paz y contra las Adicciones</t>
  </si>
  <si>
    <t>Prevención De Adicciones</t>
  </si>
  <si>
    <t>Formalizan Tula y Tepeji Procuradurías de Protección para Niñas, Niños y Adolescentes, AUDIO APOYO</t>
  </si>
  <si>
    <t>Radioescucha reporta a un conductor de taxi, que iba hablando por celular en un buen tramo, el número de su medallón es 0825.</t>
  </si>
  <si>
    <t>Radioescucha reporta que en la esquina de Arizpe, rompieron un tubo de agua</t>
  </si>
  <si>
    <t>Reparación De Tubería</t>
  </si>
  <si>
    <t>Radioescucha reporta que en la esquina de Arizpe, las personas que estan arregalndo la calle, rompieron un tubo de agua y solo le pusieron tierra, pedimos Caasim cheque eso</t>
  </si>
  <si>
    <t>Radioescucha manda audio, informa que una femenina fue golpeada, tocada y amenazada de muerte por unos vecinos la semana pasada; fue a la Procuraduría de la Mujer y le dieron cita hasta el 18 de junio. Su vida está en riesgo, sufrió golpes y todo. ¿Qué se debe hacer? Uno se debe esperar hasta que la maten.</t>
  </si>
  <si>
    <t>Violencia De Género</t>
  </si>
  <si>
    <t>Locutor Irving Sánchez da lectura a comentario de radioescucha que reporta aumento de tarifas en las cuotas escolares.</t>
  </si>
  <si>
    <t>Queja padres de familia</t>
  </si>
  <si>
    <t>Las intensas lluvias registradas durante las últimas horas en Hidalgo han provocado afectaciones en diversas regiones del estado, particularmente en la Sierra Otomí-Tepehua y la Huasteca, donde varias comunidades permanecen incomunicadas debido al colapso de pasos provisionales habilitados tras los daños ocasionados por la vaguada monzónica de octubre pasado. Por ello, las autoridades mantienen un monitoreo permanente en las zonas consideradas de mayor vulnerabilidad, donde se han intensificado las labores preventivas y los recorridos de supervisión. Elementos de Protección Civil, Seguridad Pública y dependencias de los tres órdenes de gobierno permanecen desplegados en distintos puntos de la entidad para atender cualquier contingencia y brindar apoyo a las localidades afectadas. Ante el pronóstico de que las lluvias continuarán en gran parte del territorio estatal, las autoridades exhortaron a la población a mantenerse atenta a los avisos oficiales, evitar cruzar ríos, arroyos o zonas inundadas, y reportar cualquier emergencia a los números de atención correspondientes. El gobierno estatal informó que los protocolos de prevención y respuesta se mantienen activos para actuar de manera oportuna ante cualquier situación de riesgo derivada de las condiciones meteorológicas que afectan a la entidad. De acuerdo con el gobernador de Hidalgo, Julio Menchaca Salazar, la entidad se encuentra en alerta roja debido a las intensas lluvias. El mandatario confirmó que ya existen comunidades incomunicadas por el colapso de pasos provisionales y señaló que el monitoreo es permanente en las regiones de la Sierra Otomí-Tepehua y la Huasteca, donde se concentra la atención de las autoridades para salvaguardar la integridad de la población.</t>
  </si>
  <si>
    <t>El mandatario estatal Julio Menchaca habló acerca de la manifestación de trabajadores de la clínica del ISSSTE, dijo que se debe de respetar también el libre tránsito y que si alguien en el cumplimiento de sus responsabilidad excede los protocolos tendrá una sanción. Niega que en su gobierno exista represión.</t>
  </si>
  <si>
    <t>La Casa de la Mujer Indígena de Tenango de Doria registra 76 por ciento de avance</t>
  </si>
  <si>
    <t>Casa de la Mujer Indígena</t>
  </si>
  <si>
    <t>Saderh entrega más de 9 mdp en apoyos para las y los productores de la región del Valle del Mezquital</t>
  </si>
  <si>
    <t>Sudáfrica e Hidalgo estrecharán lazos tras histórico encuentro deportivo</t>
  </si>
  <si>
    <t>Entrevista vía telefónica Jimena Verónica Carrera Quiroz, alumna del Instituto Tecnológico Superior del Oriente del Estado de Hidalgo - Habló sobre su destacada participación en el Campeonato Mundial de Robótica VEX U 2026 celebrado en St. Louis, Missouri, Estados Unidos. El equipo ITESA1 destacó al posicionarse como el mejor representante del estado de Hidalgo y el tercer equipo mexicano mejor clasificado de la justa. Durante esta justa internacional, el equipo tuvo la oportunidad de competir con universidades de países como: Australia, Puerto Rico, Colombia, Libia y Nueva Zelanda, así como con alumnos de universidades de Nebraska, Illinois, New Jersey y Ohio, de Estados Unidos.</t>
  </si>
  <si>
    <t>Campeonato de robótica</t>
  </si>
  <si>
    <t>Una fuerte movilización policíaca se registró la tarde de este lunes 8 de junio en el centro de Tulancingo, debido al asalto a una joyería, perpetrado por sujetos que huyeron en motocicleta y que fueron perseguidos por elementos policíacos. Hay por lo menos un detenido. El asalto de la joyería “Jade” ubicado al interior del edificio Hidalgo, en pleno centro de Tulancingo, fue reportado inmediatamente a las autoridades. De acuerdo con un video de cámara de vigilancia fue aproximadamente a las 14:10 horas el momento que se registró dicho asalto y donde se percibe el momento en que los tres sujetos salen del establecimiento con una bolsa negra, donde se presume que llevaban su botín. Tras dar aviso a las fuerzas de seguridad pública, los elementos se movilizaron y siguieron a los sujetos que huían a bordo de dos motocicletas. Los presuntos responsables del asalto fueron alcanzados en el Boulevard Bicentenario, donde abandonaron la moto e inmediatamente emprendieron la huida a pie. Las personas detenidas, así como los objetos asegurados, fueron puestos a disposición del Ministerio Público para la integración de la carpeta de investigación correspondiente y el deslinde de responsabilidades.</t>
  </si>
  <si>
    <t>Julio Menchaca reconoce labor del gremio periodístico hidalguense</t>
  </si>
  <si>
    <t>Abre Contraloría convocatoria para el Premio Nacional de Contraloría Social 2026 en Hidalgo</t>
  </si>
  <si>
    <t>Contraloría</t>
  </si>
  <si>
    <t>Contraloría Social</t>
  </si>
  <si>
    <t>Referente al accidente vial registrado el día de hoy sobre el bulevar Felipe Ángeles, a la altura de la estación San Antonio, el Sistema Integrado de Transporte Masivo de Hidalgo (Sitmah) informa que ninguna unidad del Transporte Metropolitano se vio involucrada en este siniestro.</t>
  </si>
  <si>
    <t>La Subsecretaría de Protección Civil y Gestión de Riesgos informa a la población que, para este 09 de junio de 2026, se prevén intervalos de chubascos con lluvias puntuales fuertes de 25 a 50 mm en las regiones norte y este del estado, así como vientos de 20 a 30 km/h con rachas de 40 a 60 km/h.</t>
  </si>
  <si>
    <t>Formalizan Tula y Tepeji Procuradurías de Protección para Niñas, Niños y Adolescentes</t>
  </si>
  <si>
    <t>Fe, cultura y tradición se preparan para llenar las calles de Zimapán con la celebración de la fiesta patronal en honor a San Juan Bautista 2026.La Secretaría de Turismo del estado, dio a conocer en conferencia de prensa, las actividades que año con año, reúnen a familias, visitantes y fieles en una de las expresiones más importantes de identidad y patrimonio cultural de este pueblo mágico.</t>
  </si>
  <si>
    <t>Fiesta patronal</t>
  </si>
  <si>
    <t>TV del Mezquital</t>
  </si>
  <si>
    <t>https://www.youtube.com/watch?v=DetzX29R7tQ</t>
  </si>
  <si>
    <t>Oscar Reséndiz</t>
  </si>
  <si>
    <t>"NN Nuestras Noticias ""El Resumen"""</t>
  </si>
  <si>
    <t>Tomás Sosa</t>
  </si>
  <si>
    <t>Más espacios para la comunidad sorda en Hidalgo</t>
  </si>
  <si>
    <t>Tele Urban</t>
  </si>
  <si>
    <t>Noticieros Tele Urban</t>
  </si>
  <si>
    <t>Entregan nuevas instalaciones al Tribunal</t>
  </si>
  <si>
    <t>Redacción</t>
  </si>
  <si>
    <t>Radio Urban</t>
  </si>
  <si>
    <t>Noticieros Radio Urban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</si>
</sst>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24" tableType="queryTable" totalsRowShown="0">
  <autoFilter ref="A1:M224"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24"/>
  <sheetViews>
    <sheetView tabSelected="1" topLeftCell="A206" workbookViewId="0">
      <selection activeCell="A224" sqref="A224"/>
    </sheetView>
  </sheetViews>
  <sheetFormatPr baseColWidth="10" defaultRowHeight="14.5" x14ac:dyDescent="0.35"/>
  <cols>
    <col min="1" max="1" width="8.1796875" bestFit="1" customWidth="1"/>
    <col min="2" max="2" width="10.26953125" bestFit="1" customWidth="1"/>
    <col min="3" max="3" width="24.6328125" bestFit="1" customWidth="1"/>
    <col min="4" max="4" width="41.36328125" bestFit="1" customWidth="1"/>
    <col min="5" max="5" width="80.7265625" bestFit="1" customWidth="1"/>
    <col min="6" max="6" width="14.26953125" bestFit="1" customWidth="1"/>
    <col min="7" max="7" width="28.26953125" bestFit="1" customWidth="1"/>
    <col min="8" max="8" width="9.6328125" bestFit="1" customWidth="1"/>
    <col min="9" max="9" width="9.90625" bestFit="1" customWidth="1"/>
    <col min="10" max="10" width="23.08984375" bestFit="1" customWidth="1"/>
    <col min="11" max="11" width="19.81640625" bestFit="1" customWidth="1"/>
    <col min="12" max="12" width="9.08984375" bestFit="1" customWidth="1"/>
    <col min="13" max="13" width="11.08984375" bestFit="1" customWidth="1"/>
    <col min="14" max="14" width="19.453125" bestFit="1" customWidth="1"/>
    <col min="15" max="15" width="20.54296875" bestFit="1" customWidth="1"/>
    <col min="16" max="16" width="80.7265625" bestFit="1" customWidth="1"/>
    <col min="17" max="17" width="9.81640625" bestFit="1" customWidth="1"/>
  </cols>
  <sheetData>
    <row r="1" spans="1:13" x14ac:dyDescent="0.35">
      <c r="A1" t="s">
        <v>0</v>
      </c>
      <c r="B1" t="s">
        <v>33</v>
      </c>
      <c r="C1" t="s">
        <v>34</v>
      </c>
      <c r="D1" t="s">
        <v>35</v>
      </c>
      <c r="E1" t="s">
        <v>1</v>
      </c>
      <c r="F1" t="s">
        <v>2</v>
      </c>
      <c r="G1" t="s">
        <v>4</v>
      </c>
      <c r="H1" t="s">
        <v>3</v>
      </c>
      <c r="I1" t="s">
        <v>5</v>
      </c>
      <c r="J1" t="s">
        <v>36</v>
      </c>
      <c r="K1" t="s">
        <v>37</v>
      </c>
      <c r="L1" t="s">
        <v>38</v>
      </c>
      <c r="M1" t="s">
        <v>45</v>
      </c>
    </row>
    <row r="2" spans="1:13" x14ac:dyDescent="0.35">
      <c r="A2" s="2">
        <v>46182</v>
      </c>
      <c r="B2" s="1" t="str">
        <f ca="1">IF(Información1[[#This Row],[Fecha]]='Ajuste de fechas'!$A$2,"Día actual","Día anterior")</f>
        <v>Día anterior</v>
      </c>
      <c r="C2" s="3" t="s">
        <v>63</v>
      </c>
      <c r="D2" t="s">
        <v>64</v>
      </c>
      <c r="E2" s="3" t="s">
        <v>221</v>
      </c>
      <c r="F2" s="3" t="s">
        <v>19</v>
      </c>
      <c r="G2" s="3" t="s">
        <v>222</v>
      </c>
      <c r="H2" s="3" t="s">
        <v>11</v>
      </c>
      <c r="I2" s="3" t="s">
        <v>7</v>
      </c>
      <c r="J2" s="3" t="s">
        <v>43</v>
      </c>
      <c r="K2" s="3" t="s">
        <v>65</v>
      </c>
      <c r="L2" s="3" t="s">
        <v>40</v>
      </c>
      <c r="M2">
        <v>1</v>
      </c>
    </row>
    <row r="3" spans="1:13" x14ac:dyDescent="0.35">
      <c r="A3" s="2">
        <v>46182</v>
      </c>
      <c r="B3" s="1" t="str">
        <f ca="1">IF(Información1[[#This Row],[Fecha]]='Ajuste de fechas'!$A$2,"Día actual","Día anterior")</f>
        <v>Día anterior</v>
      </c>
      <c r="C3" s="3" t="s">
        <v>63</v>
      </c>
      <c r="D3" t="s">
        <v>64</v>
      </c>
      <c r="E3" s="3" t="s">
        <v>223</v>
      </c>
      <c r="F3" s="3" t="s">
        <v>19</v>
      </c>
      <c r="G3" s="3" t="s">
        <v>58</v>
      </c>
      <c r="H3" s="3" t="s">
        <v>11</v>
      </c>
      <c r="I3" s="3" t="s">
        <v>7</v>
      </c>
      <c r="J3" s="3" t="s">
        <v>43</v>
      </c>
      <c r="K3" s="3" t="s">
        <v>65</v>
      </c>
      <c r="L3" s="3" t="s">
        <v>40</v>
      </c>
      <c r="M3">
        <v>1</v>
      </c>
    </row>
    <row r="4" spans="1:13" x14ac:dyDescent="0.35">
      <c r="A4" s="2">
        <v>46182</v>
      </c>
      <c r="B4" s="1" t="str">
        <f ca="1">IF(Información1[[#This Row],[Fecha]]='Ajuste de fechas'!$A$2,"Día actual","Día anterior")</f>
        <v>Día anterior</v>
      </c>
      <c r="C4" s="3" t="s">
        <v>63</v>
      </c>
      <c r="D4" t="s">
        <v>64</v>
      </c>
      <c r="E4" s="3" t="s">
        <v>224</v>
      </c>
      <c r="F4" s="3" t="s">
        <v>19</v>
      </c>
      <c r="G4" s="3" t="s">
        <v>58</v>
      </c>
      <c r="H4" s="3" t="s">
        <v>11</v>
      </c>
      <c r="I4" s="3" t="s">
        <v>7</v>
      </c>
      <c r="J4" s="3" t="s">
        <v>43</v>
      </c>
      <c r="K4" s="3" t="s">
        <v>65</v>
      </c>
      <c r="L4" s="3" t="s">
        <v>40</v>
      </c>
      <c r="M4">
        <v>1</v>
      </c>
    </row>
    <row r="5" spans="1:13" x14ac:dyDescent="0.35">
      <c r="A5" s="2">
        <v>46182</v>
      </c>
      <c r="B5" s="1" t="str">
        <f ca="1">IF(Información1[[#This Row],[Fecha]]='Ajuste de fechas'!$A$2,"Día actual","Día anterior")</f>
        <v>Día anterior</v>
      </c>
      <c r="C5" s="3" t="s">
        <v>63</v>
      </c>
      <c r="D5" t="s">
        <v>64</v>
      </c>
      <c r="E5" s="3" t="s">
        <v>225</v>
      </c>
      <c r="F5" s="3" t="s">
        <v>19</v>
      </c>
      <c r="G5" s="3" t="s">
        <v>80</v>
      </c>
      <c r="H5" s="3" t="s">
        <v>11</v>
      </c>
      <c r="I5" s="3" t="s">
        <v>7</v>
      </c>
      <c r="J5" s="3" t="s">
        <v>43</v>
      </c>
      <c r="K5" s="3" t="s">
        <v>65</v>
      </c>
      <c r="L5" s="3" t="s">
        <v>40</v>
      </c>
      <c r="M5">
        <v>1</v>
      </c>
    </row>
    <row r="6" spans="1:13" x14ac:dyDescent="0.35">
      <c r="A6" s="2">
        <v>46182</v>
      </c>
      <c r="B6" s="1" t="str">
        <f ca="1">IF(Información1[[#This Row],[Fecha]]='Ajuste de fechas'!$A$2,"Día actual","Día anterior")</f>
        <v>Día anterior</v>
      </c>
      <c r="C6" s="3" t="s">
        <v>63</v>
      </c>
      <c r="D6" t="s">
        <v>64</v>
      </c>
      <c r="E6" s="3" t="s">
        <v>226</v>
      </c>
      <c r="F6" s="3" t="s">
        <v>22</v>
      </c>
      <c r="G6" s="3" t="s">
        <v>227</v>
      </c>
      <c r="H6" s="3" t="s">
        <v>11</v>
      </c>
      <c r="I6" s="3" t="s">
        <v>7</v>
      </c>
      <c r="J6" s="3" t="s">
        <v>44</v>
      </c>
      <c r="K6" s="3" t="s">
        <v>65</v>
      </c>
      <c r="L6" s="3" t="s">
        <v>40</v>
      </c>
      <c r="M6">
        <v>1</v>
      </c>
    </row>
    <row r="7" spans="1:13" x14ac:dyDescent="0.35">
      <c r="A7" s="2">
        <v>46182</v>
      </c>
      <c r="B7" s="1" t="str">
        <f ca="1">IF(Información1[[#This Row],[Fecha]]='Ajuste de fechas'!$A$2,"Día actual","Día anterior")</f>
        <v>Día anterior</v>
      </c>
      <c r="C7" s="3" t="s">
        <v>63</v>
      </c>
      <c r="D7" t="s">
        <v>64</v>
      </c>
      <c r="E7" s="3" t="s">
        <v>228</v>
      </c>
      <c r="F7" s="3" t="s">
        <v>19</v>
      </c>
      <c r="G7" s="3" t="s">
        <v>229</v>
      </c>
      <c r="H7" s="3" t="s">
        <v>11</v>
      </c>
      <c r="I7" s="3" t="s">
        <v>7</v>
      </c>
      <c r="J7" s="3" t="s">
        <v>43</v>
      </c>
      <c r="K7" s="3" t="s">
        <v>65</v>
      </c>
      <c r="L7" s="3" t="s">
        <v>40</v>
      </c>
      <c r="M7">
        <v>1</v>
      </c>
    </row>
    <row r="8" spans="1:13" x14ac:dyDescent="0.35">
      <c r="A8" s="2">
        <v>46182</v>
      </c>
      <c r="B8" s="1" t="str">
        <f ca="1">IF(Información1[[#This Row],[Fecha]]='Ajuste de fechas'!$A$2,"Día actual","Día anterior")</f>
        <v>Día anterior</v>
      </c>
      <c r="C8" s="3" t="s">
        <v>63</v>
      </c>
      <c r="D8" t="s">
        <v>64</v>
      </c>
      <c r="E8" s="3" t="s">
        <v>230</v>
      </c>
      <c r="F8" s="3" t="s">
        <v>19</v>
      </c>
      <c r="G8" s="3" t="s">
        <v>231</v>
      </c>
      <c r="H8" s="3" t="s">
        <v>11</v>
      </c>
      <c r="I8" s="3" t="s">
        <v>7</v>
      </c>
      <c r="J8" s="3" t="s">
        <v>43</v>
      </c>
      <c r="K8" s="3" t="s">
        <v>65</v>
      </c>
      <c r="L8" s="3" t="s">
        <v>40</v>
      </c>
      <c r="M8">
        <v>1</v>
      </c>
    </row>
    <row r="9" spans="1:13" x14ac:dyDescent="0.35">
      <c r="A9" s="2">
        <v>46182</v>
      </c>
      <c r="B9" s="1" t="str">
        <f ca="1">IF(Información1[[#This Row],[Fecha]]='Ajuste de fechas'!$A$2,"Día actual","Día anterior")</f>
        <v>Día anterior</v>
      </c>
      <c r="C9" s="3" t="s">
        <v>63</v>
      </c>
      <c r="D9" t="s">
        <v>64</v>
      </c>
      <c r="E9" s="3" t="s">
        <v>232</v>
      </c>
      <c r="F9" s="3" t="s">
        <v>22</v>
      </c>
      <c r="G9" s="3" t="s">
        <v>233</v>
      </c>
      <c r="H9" s="3" t="s">
        <v>11</v>
      </c>
      <c r="I9" s="3" t="s">
        <v>25</v>
      </c>
      <c r="J9" s="3" t="s">
        <v>44</v>
      </c>
      <c r="K9" s="3" t="s">
        <v>65</v>
      </c>
      <c r="L9" s="3" t="s">
        <v>40</v>
      </c>
      <c r="M9">
        <v>1</v>
      </c>
    </row>
    <row r="10" spans="1:13" x14ac:dyDescent="0.35">
      <c r="A10" s="2">
        <v>46182</v>
      </c>
      <c r="B10" s="1" t="str">
        <f ca="1">IF(Información1[[#This Row],[Fecha]]='Ajuste de fechas'!$A$2,"Día actual","Día anterior")</f>
        <v>Día anterior</v>
      </c>
      <c r="C10" s="3" t="s">
        <v>63</v>
      </c>
      <c r="D10" t="s">
        <v>64</v>
      </c>
      <c r="E10" s="3" t="s">
        <v>234</v>
      </c>
      <c r="F10" s="3" t="s">
        <v>22</v>
      </c>
      <c r="G10" s="3" t="s">
        <v>235</v>
      </c>
      <c r="H10" s="3" t="s">
        <v>11</v>
      </c>
      <c r="I10" s="3" t="s">
        <v>25</v>
      </c>
      <c r="J10" s="3" t="s">
        <v>44</v>
      </c>
      <c r="K10" s="3" t="s">
        <v>65</v>
      </c>
      <c r="L10" s="3" t="s">
        <v>236</v>
      </c>
      <c r="M10">
        <v>1</v>
      </c>
    </row>
    <row r="11" spans="1:13" x14ac:dyDescent="0.35">
      <c r="A11" s="2">
        <v>46182</v>
      </c>
      <c r="B11" s="1" t="str">
        <f ca="1">IF(Información1[[#This Row],[Fecha]]='Ajuste de fechas'!$A$2,"Día actual","Día anterior")</f>
        <v>Día anterior</v>
      </c>
      <c r="C11" s="3" t="s">
        <v>63</v>
      </c>
      <c r="D11" t="s">
        <v>64</v>
      </c>
      <c r="E11" s="3" t="s">
        <v>66</v>
      </c>
      <c r="F11" s="3" t="s">
        <v>19</v>
      </c>
      <c r="G11" s="3" t="s">
        <v>58</v>
      </c>
      <c r="H11" s="3" t="s">
        <v>11</v>
      </c>
      <c r="I11" s="3" t="s">
        <v>7</v>
      </c>
      <c r="J11" s="3" t="s">
        <v>43</v>
      </c>
      <c r="K11" s="3" t="s">
        <v>65</v>
      </c>
      <c r="L11" s="3" t="s">
        <v>40</v>
      </c>
      <c r="M11">
        <v>1</v>
      </c>
    </row>
    <row r="12" spans="1:13" x14ac:dyDescent="0.35">
      <c r="A12" s="2">
        <v>46182</v>
      </c>
      <c r="B12" s="1" t="str">
        <f ca="1">IF(Información1[[#This Row],[Fecha]]='Ajuste de fechas'!$A$2,"Día actual","Día anterior")</f>
        <v>Día anterior</v>
      </c>
      <c r="C12" s="3" t="s">
        <v>63</v>
      </c>
      <c r="D12" t="s">
        <v>64</v>
      </c>
      <c r="E12" s="3" t="s">
        <v>237</v>
      </c>
      <c r="F12" s="3" t="s">
        <v>19</v>
      </c>
      <c r="G12" s="3" t="s">
        <v>238</v>
      </c>
      <c r="H12" s="3" t="s">
        <v>11</v>
      </c>
      <c r="I12" s="3" t="s">
        <v>7</v>
      </c>
      <c r="J12" s="3" t="s">
        <v>43</v>
      </c>
      <c r="K12" s="3" t="s">
        <v>65</v>
      </c>
      <c r="L12" s="3" t="s">
        <v>40</v>
      </c>
      <c r="M12">
        <v>1</v>
      </c>
    </row>
    <row r="13" spans="1:13" x14ac:dyDescent="0.35">
      <c r="A13" s="2">
        <v>46182</v>
      </c>
      <c r="B13" s="1" t="str">
        <f ca="1">IF(Información1[[#This Row],[Fecha]]='Ajuste de fechas'!$A$2,"Día actual","Día anterior")</f>
        <v>Día anterior</v>
      </c>
      <c r="C13" s="3" t="s">
        <v>63</v>
      </c>
      <c r="D13" t="s">
        <v>64</v>
      </c>
      <c r="E13" s="3" t="s">
        <v>239</v>
      </c>
      <c r="F13" s="3" t="s">
        <v>22</v>
      </c>
      <c r="G13" s="3" t="s">
        <v>240</v>
      </c>
      <c r="H13" s="3" t="s">
        <v>11</v>
      </c>
      <c r="I13" s="3" t="s">
        <v>7</v>
      </c>
      <c r="J13" s="3" t="s">
        <v>44</v>
      </c>
      <c r="K13" s="3" t="s">
        <v>65</v>
      </c>
      <c r="L13" s="3" t="s">
        <v>40</v>
      </c>
      <c r="M13">
        <v>1</v>
      </c>
    </row>
    <row r="14" spans="1:13" x14ac:dyDescent="0.35">
      <c r="A14" s="2">
        <v>46182</v>
      </c>
      <c r="B14" s="1" t="str">
        <f ca="1">IF(Información1[[#This Row],[Fecha]]='Ajuste de fechas'!$A$2,"Día actual","Día anterior")</f>
        <v>Día anterior</v>
      </c>
      <c r="C14" s="3" t="s">
        <v>63</v>
      </c>
      <c r="D14" t="s">
        <v>64</v>
      </c>
      <c r="E14" s="3" t="s">
        <v>241</v>
      </c>
      <c r="F14" s="3" t="s">
        <v>56</v>
      </c>
      <c r="G14" s="3" t="s">
        <v>93</v>
      </c>
      <c r="H14" s="3" t="s">
        <v>11</v>
      </c>
      <c r="I14" s="3" t="s">
        <v>7</v>
      </c>
      <c r="J14" s="3" t="s">
        <v>24</v>
      </c>
      <c r="K14" s="3" t="s">
        <v>65</v>
      </c>
      <c r="L14" s="3" t="s">
        <v>40</v>
      </c>
      <c r="M14">
        <v>1</v>
      </c>
    </row>
    <row r="15" spans="1:13" x14ac:dyDescent="0.35">
      <c r="A15" s="2">
        <v>46182</v>
      </c>
      <c r="B15" s="1" t="str">
        <f ca="1">IF(Información1[[#This Row],[Fecha]]='Ajuste de fechas'!$A$2,"Día actual","Día anterior")</f>
        <v>Día anterior</v>
      </c>
      <c r="C15" s="3" t="s">
        <v>29</v>
      </c>
      <c r="D15" t="s">
        <v>30</v>
      </c>
      <c r="E15" s="3" t="s">
        <v>242</v>
      </c>
      <c r="F15" s="3" t="s">
        <v>19</v>
      </c>
      <c r="G15" s="3" t="s">
        <v>243</v>
      </c>
      <c r="H15" s="3" t="s">
        <v>59</v>
      </c>
      <c r="I15" s="3" t="s">
        <v>7</v>
      </c>
      <c r="J15" s="3" t="s">
        <v>43</v>
      </c>
      <c r="K15" s="3" t="s">
        <v>27</v>
      </c>
      <c r="L15" s="3" t="s">
        <v>40</v>
      </c>
      <c r="M15">
        <v>1</v>
      </c>
    </row>
    <row r="16" spans="1:13" x14ac:dyDescent="0.35">
      <c r="A16" s="2">
        <v>46182</v>
      </c>
      <c r="B16" s="1" t="str">
        <f ca="1">IF(Información1[[#This Row],[Fecha]]='Ajuste de fechas'!$A$2,"Día actual","Día anterior")</f>
        <v>Día anterior</v>
      </c>
      <c r="C16" s="3" t="s">
        <v>29</v>
      </c>
      <c r="D16" t="s">
        <v>30</v>
      </c>
      <c r="E16" s="3" t="s">
        <v>244</v>
      </c>
      <c r="F16" s="3" t="s">
        <v>56</v>
      </c>
      <c r="G16" s="3" t="s">
        <v>245</v>
      </c>
      <c r="H16" s="3" t="s">
        <v>59</v>
      </c>
      <c r="I16" s="3" t="s">
        <v>7</v>
      </c>
      <c r="J16" s="3" t="s">
        <v>24</v>
      </c>
      <c r="K16" s="3" t="s">
        <v>27</v>
      </c>
      <c r="L16" s="3" t="s">
        <v>41</v>
      </c>
      <c r="M16">
        <v>1</v>
      </c>
    </row>
    <row r="17" spans="1:13" x14ac:dyDescent="0.35">
      <c r="A17" s="2">
        <v>46182</v>
      </c>
      <c r="B17" s="1" t="str">
        <f ca="1">IF(Información1[[#This Row],[Fecha]]='Ajuste de fechas'!$A$2,"Día actual","Día anterior")</f>
        <v>Día anterior</v>
      </c>
      <c r="C17" s="3" t="s">
        <v>29</v>
      </c>
      <c r="D17" t="s">
        <v>30</v>
      </c>
      <c r="E17" s="3" t="s">
        <v>246</v>
      </c>
      <c r="F17" s="3" t="s">
        <v>247</v>
      </c>
      <c r="G17" s="3" t="s">
        <v>248</v>
      </c>
      <c r="H17" s="3" t="s">
        <v>59</v>
      </c>
      <c r="I17" s="3" t="s">
        <v>7</v>
      </c>
      <c r="J17" s="3" t="s">
        <v>249</v>
      </c>
      <c r="K17" s="3" t="s">
        <v>27</v>
      </c>
      <c r="L17" s="3" t="s">
        <v>41</v>
      </c>
      <c r="M17">
        <v>1</v>
      </c>
    </row>
    <row r="18" spans="1:13" x14ac:dyDescent="0.35">
      <c r="A18" s="2">
        <v>46182</v>
      </c>
      <c r="B18" s="1" t="str">
        <f ca="1">IF(Información1[[#This Row],[Fecha]]='Ajuste de fechas'!$A$2,"Día actual","Día anterior")</f>
        <v>Día anterior</v>
      </c>
      <c r="C18" s="3" t="s">
        <v>29</v>
      </c>
      <c r="D18" t="s">
        <v>30</v>
      </c>
      <c r="E18" s="3" t="s">
        <v>250</v>
      </c>
      <c r="F18" s="3" t="s">
        <v>19</v>
      </c>
      <c r="G18" s="3" t="s">
        <v>251</v>
      </c>
      <c r="H18" s="3" t="s">
        <v>59</v>
      </c>
      <c r="I18" s="3" t="s">
        <v>7</v>
      </c>
      <c r="J18" s="3" t="s">
        <v>43</v>
      </c>
      <c r="K18" s="3" t="s">
        <v>27</v>
      </c>
      <c r="L18" s="3" t="s">
        <v>40</v>
      </c>
      <c r="M18">
        <v>1</v>
      </c>
    </row>
    <row r="19" spans="1:13" x14ac:dyDescent="0.35">
      <c r="A19" s="2">
        <v>46182</v>
      </c>
      <c r="B19" s="1" t="str">
        <f ca="1">IF(Información1[[#This Row],[Fecha]]='Ajuste de fechas'!$A$2,"Día actual","Día anterior")</f>
        <v>Día anterior</v>
      </c>
      <c r="C19" s="3" t="s">
        <v>29</v>
      </c>
      <c r="D19" t="s">
        <v>30</v>
      </c>
      <c r="E19" s="3" t="s">
        <v>252</v>
      </c>
      <c r="F19" s="3" t="s">
        <v>19</v>
      </c>
      <c r="G19" s="3" t="s">
        <v>253</v>
      </c>
      <c r="H19" s="3" t="s">
        <v>59</v>
      </c>
      <c r="I19" s="3" t="s">
        <v>7</v>
      </c>
      <c r="J19" s="3" t="s">
        <v>43</v>
      </c>
      <c r="K19" s="3" t="s">
        <v>27</v>
      </c>
      <c r="L19" s="3" t="s">
        <v>40</v>
      </c>
      <c r="M19">
        <v>1</v>
      </c>
    </row>
    <row r="20" spans="1:13" x14ac:dyDescent="0.35">
      <c r="A20" s="2">
        <v>46182</v>
      </c>
      <c r="B20" s="1" t="str">
        <f ca="1">IF(Información1[[#This Row],[Fecha]]='Ajuste de fechas'!$A$2,"Día actual","Día anterior")</f>
        <v>Día anterior</v>
      </c>
      <c r="C20" s="3" t="s">
        <v>29</v>
      </c>
      <c r="D20" t="s">
        <v>30</v>
      </c>
      <c r="E20" s="3" t="s">
        <v>254</v>
      </c>
      <c r="F20" s="3" t="s">
        <v>19</v>
      </c>
      <c r="G20" s="3" t="s">
        <v>58</v>
      </c>
      <c r="H20" s="3" t="s">
        <v>59</v>
      </c>
      <c r="I20" s="3" t="s">
        <v>25</v>
      </c>
      <c r="J20" s="3" t="s">
        <v>43</v>
      </c>
      <c r="K20" s="3" t="s">
        <v>27</v>
      </c>
      <c r="L20" s="3" t="s">
        <v>40</v>
      </c>
      <c r="M20">
        <v>1</v>
      </c>
    </row>
    <row r="21" spans="1:13" x14ac:dyDescent="0.35">
      <c r="A21" s="2">
        <v>46182</v>
      </c>
      <c r="B21" s="1" t="str">
        <f ca="1">IF(Información1[[#This Row],[Fecha]]='Ajuste de fechas'!$A$2,"Día actual","Día anterior")</f>
        <v>Día anterior</v>
      </c>
      <c r="C21" s="3" t="s">
        <v>29</v>
      </c>
      <c r="D21" t="s">
        <v>30</v>
      </c>
      <c r="E21" s="3" t="s">
        <v>255</v>
      </c>
      <c r="F21" s="3" t="s">
        <v>19</v>
      </c>
      <c r="G21" s="3" t="s">
        <v>256</v>
      </c>
      <c r="H21" s="3" t="s">
        <v>59</v>
      </c>
      <c r="I21" s="3" t="s">
        <v>7</v>
      </c>
      <c r="J21" s="3" t="s">
        <v>43</v>
      </c>
      <c r="K21" s="3" t="s">
        <v>27</v>
      </c>
      <c r="L21" s="3" t="s">
        <v>40</v>
      </c>
      <c r="M21">
        <v>1</v>
      </c>
    </row>
    <row r="22" spans="1:13" x14ac:dyDescent="0.35">
      <c r="A22" s="2">
        <v>46182</v>
      </c>
      <c r="B22" s="1" t="str">
        <f ca="1">IF(Información1[[#This Row],[Fecha]]='Ajuste de fechas'!$A$2,"Día actual","Día anterior")</f>
        <v>Día anterior</v>
      </c>
      <c r="C22" s="3" t="s">
        <v>8</v>
      </c>
      <c r="D22" t="s">
        <v>10</v>
      </c>
      <c r="E22" s="3" t="s">
        <v>257</v>
      </c>
      <c r="F22" s="3" t="s">
        <v>19</v>
      </c>
      <c r="G22" s="3" t="s">
        <v>82</v>
      </c>
      <c r="H22" s="3" t="s">
        <v>11</v>
      </c>
      <c r="I22" s="3" t="s">
        <v>25</v>
      </c>
      <c r="J22" s="3" t="s">
        <v>43</v>
      </c>
      <c r="K22" s="3" t="s">
        <v>9</v>
      </c>
      <c r="L22" s="3" t="s">
        <v>41</v>
      </c>
      <c r="M22">
        <v>1</v>
      </c>
    </row>
    <row r="23" spans="1:13" x14ac:dyDescent="0.35">
      <c r="A23" s="2">
        <v>46182</v>
      </c>
      <c r="B23" s="1" t="str">
        <f ca="1">IF(Información1[[#This Row],[Fecha]]='Ajuste de fechas'!$A$2,"Día actual","Día anterior")</f>
        <v>Día anterior</v>
      </c>
      <c r="C23" s="3" t="s">
        <v>28</v>
      </c>
      <c r="D23" t="s">
        <v>70</v>
      </c>
      <c r="E23" s="3" t="s">
        <v>258</v>
      </c>
      <c r="F23" s="3" t="s">
        <v>24</v>
      </c>
      <c r="G23" s="3" t="s">
        <v>81</v>
      </c>
      <c r="H23" s="3" t="s">
        <v>11</v>
      </c>
      <c r="I23" s="3" t="s">
        <v>7</v>
      </c>
      <c r="J23" s="3" t="s">
        <v>24</v>
      </c>
      <c r="K23" s="3" t="s">
        <v>71</v>
      </c>
      <c r="L23" s="3" t="s">
        <v>40</v>
      </c>
      <c r="M23">
        <v>1</v>
      </c>
    </row>
    <row r="24" spans="1:13" x14ac:dyDescent="0.35">
      <c r="A24" s="2">
        <v>46182</v>
      </c>
      <c r="B24" s="1" t="str">
        <f ca="1">IF(Información1[[#This Row],[Fecha]]='Ajuste de fechas'!$A$2,"Día actual","Día anterior")</f>
        <v>Día anterior</v>
      </c>
      <c r="C24" s="3" t="s">
        <v>28</v>
      </c>
      <c r="D24" t="s">
        <v>70</v>
      </c>
      <c r="E24" s="3" t="s">
        <v>259</v>
      </c>
      <c r="F24" s="3" t="s">
        <v>22</v>
      </c>
      <c r="G24" s="3" t="s">
        <v>81</v>
      </c>
      <c r="H24" s="3" t="s">
        <v>11</v>
      </c>
      <c r="I24" s="3" t="s">
        <v>7</v>
      </c>
      <c r="J24" s="3" t="s">
        <v>44</v>
      </c>
      <c r="K24" s="3" t="s">
        <v>71</v>
      </c>
      <c r="L24" s="3" t="s">
        <v>40</v>
      </c>
      <c r="M24">
        <v>1</v>
      </c>
    </row>
    <row r="25" spans="1:13" x14ac:dyDescent="0.35">
      <c r="A25" s="2">
        <v>46182</v>
      </c>
      <c r="B25" s="1" t="str">
        <f ca="1">IF(Información1[[#This Row],[Fecha]]='Ajuste de fechas'!$A$2,"Día actual","Día anterior")</f>
        <v>Día anterior</v>
      </c>
      <c r="C25" s="3" t="s">
        <v>8</v>
      </c>
      <c r="D25" t="s">
        <v>10</v>
      </c>
      <c r="E25" s="3" t="s">
        <v>260</v>
      </c>
      <c r="F25" s="3" t="s">
        <v>19</v>
      </c>
      <c r="G25" s="3" t="s">
        <v>32</v>
      </c>
      <c r="H25" s="3" t="s">
        <v>11</v>
      </c>
      <c r="I25" s="3" t="s">
        <v>12</v>
      </c>
      <c r="J25" s="3" t="s">
        <v>43</v>
      </c>
      <c r="K25" s="3" t="s">
        <v>9</v>
      </c>
      <c r="L25" s="3" t="s">
        <v>41</v>
      </c>
      <c r="M25">
        <v>1</v>
      </c>
    </row>
    <row r="26" spans="1:13" x14ac:dyDescent="0.35">
      <c r="A26" s="2">
        <v>46182</v>
      </c>
      <c r="B26" s="1" t="str">
        <f ca="1">IF(Información1[[#This Row],[Fecha]]='Ajuste de fechas'!$A$2,"Día actual","Día anterior")</f>
        <v>Día anterior</v>
      </c>
      <c r="C26" s="3" t="s">
        <v>8</v>
      </c>
      <c r="D26" t="s">
        <v>10</v>
      </c>
      <c r="E26" s="3" t="s">
        <v>20</v>
      </c>
      <c r="F26" s="3" t="s">
        <v>19</v>
      </c>
      <c r="G26" s="3" t="s">
        <v>32</v>
      </c>
      <c r="H26" s="3" t="s">
        <v>11</v>
      </c>
      <c r="I26" s="3" t="s">
        <v>12</v>
      </c>
      <c r="J26" s="3" t="s">
        <v>43</v>
      </c>
      <c r="K26" s="3" t="s">
        <v>14</v>
      </c>
      <c r="L26" s="3" t="s">
        <v>41</v>
      </c>
      <c r="M26">
        <v>1</v>
      </c>
    </row>
    <row r="27" spans="1:13" x14ac:dyDescent="0.35">
      <c r="A27" s="2">
        <v>46182</v>
      </c>
      <c r="B27" s="1" t="str">
        <f ca="1">IF(Información1[[#This Row],[Fecha]]='Ajuste de fechas'!$A$2,"Día actual","Día anterior")</f>
        <v>Día anterior</v>
      </c>
      <c r="C27" s="3" t="s">
        <v>8</v>
      </c>
      <c r="D27" t="s">
        <v>10</v>
      </c>
      <c r="E27" s="3" t="s">
        <v>18</v>
      </c>
      <c r="F27" s="3" t="s">
        <v>19</v>
      </c>
      <c r="G27" s="3" t="s">
        <v>32</v>
      </c>
      <c r="H27" s="3" t="s">
        <v>11</v>
      </c>
      <c r="I27" s="3" t="s">
        <v>12</v>
      </c>
      <c r="J27" s="3" t="s">
        <v>43</v>
      </c>
      <c r="K27" s="3" t="s">
        <v>14</v>
      </c>
      <c r="L27" s="3" t="s">
        <v>41</v>
      </c>
      <c r="M27">
        <v>1</v>
      </c>
    </row>
    <row r="28" spans="1:13" x14ac:dyDescent="0.35">
      <c r="A28" s="2">
        <v>46182</v>
      </c>
      <c r="B28" s="1" t="str">
        <f ca="1">IF(Información1[[#This Row],[Fecha]]='Ajuste de fechas'!$A$2,"Día actual","Día anterior")</f>
        <v>Día anterior</v>
      </c>
      <c r="C28" s="3" t="s">
        <v>8</v>
      </c>
      <c r="D28" t="s">
        <v>10</v>
      </c>
      <c r="E28" s="3" t="s">
        <v>261</v>
      </c>
      <c r="F28" s="3" t="s">
        <v>19</v>
      </c>
      <c r="G28" s="3" t="s">
        <v>58</v>
      </c>
      <c r="H28" s="3" t="s">
        <v>11</v>
      </c>
      <c r="I28" s="3" t="s">
        <v>7</v>
      </c>
      <c r="J28" s="3" t="s">
        <v>43</v>
      </c>
      <c r="K28" s="3" t="s">
        <v>9</v>
      </c>
      <c r="L28" s="3" t="s">
        <v>41</v>
      </c>
      <c r="M28">
        <v>1</v>
      </c>
    </row>
    <row r="29" spans="1:13" x14ac:dyDescent="0.35">
      <c r="A29" s="2">
        <v>46182</v>
      </c>
      <c r="B29" s="1" t="str">
        <f ca="1">IF(Información1[[#This Row],[Fecha]]='Ajuste de fechas'!$A$2,"Día actual","Día anterior")</f>
        <v>Día anterior</v>
      </c>
      <c r="C29" s="3" t="s">
        <v>8</v>
      </c>
      <c r="D29" t="s">
        <v>10</v>
      </c>
      <c r="E29" s="3" t="s">
        <v>262</v>
      </c>
      <c r="F29" s="3" t="s">
        <v>19</v>
      </c>
      <c r="G29" s="3" t="s">
        <v>263</v>
      </c>
      <c r="H29" s="3" t="s">
        <v>11</v>
      </c>
      <c r="I29" s="3" t="s">
        <v>7</v>
      </c>
      <c r="J29" s="3" t="s">
        <v>43</v>
      </c>
      <c r="K29" s="3" t="s">
        <v>14</v>
      </c>
      <c r="L29" s="3" t="s">
        <v>40</v>
      </c>
      <c r="M29">
        <v>1</v>
      </c>
    </row>
    <row r="30" spans="1:13" x14ac:dyDescent="0.35">
      <c r="A30" s="2">
        <v>46182</v>
      </c>
      <c r="B30" s="1" t="str">
        <f ca="1">IF(Información1[[#This Row],[Fecha]]='Ajuste de fechas'!$A$2,"Día actual","Día anterior")</f>
        <v>Día anterior</v>
      </c>
      <c r="C30" s="3" t="s">
        <v>8</v>
      </c>
      <c r="D30" t="s">
        <v>10</v>
      </c>
      <c r="E30" s="3" t="s">
        <v>264</v>
      </c>
      <c r="F30" s="3" t="s">
        <v>19</v>
      </c>
      <c r="G30" s="3" t="s">
        <v>265</v>
      </c>
      <c r="H30" s="3" t="s">
        <v>11</v>
      </c>
      <c r="I30" s="3" t="s">
        <v>25</v>
      </c>
      <c r="J30" s="3" t="s">
        <v>43</v>
      </c>
      <c r="K30" s="3" t="s">
        <v>9</v>
      </c>
      <c r="L30" s="3" t="s">
        <v>41</v>
      </c>
      <c r="M30">
        <v>1</v>
      </c>
    </row>
    <row r="31" spans="1:13" x14ac:dyDescent="0.35">
      <c r="A31" s="2">
        <v>46182</v>
      </c>
      <c r="B31" s="1" t="str">
        <f ca="1">IF(Información1[[#This Row],[Fecha]]='Ajuste de fechas'!$A$2,"Día actual","Día anterior")</f>
        <v>Día anterior</v>
      </c>
      <c r="C31" s="3" t="s">
        <v>28</v>
      </c>
      <c r="D31" t="s">
        <v>70</v>
      </c>
      <c r="E31" s="3" t="s">
        <v>266</v>
      </c>
      <c r="F31" s="3" t="s">
        <v>22</v>
      </c>
      <c r="G31" s="3" t="s">
        <v>240</v>
      </c>
      <c r="H31" s="3" t="s">
        <v>11</v>
      </c>
      <c r="I31" s="3" t="s">
        <v>7</v>
      </c>
      <c r="J31" s="3" t="s">
        <v>44</v>
      </c>
      <c r="K31" s="3" t="s">
        <v>71</v>
      </c>
      <c r="L31" s="3" t="s">
        <v>40</v>
      </c>
      <c r="M31">
        <v>1</v>
      </c>
    </row>
    <row r="32" spans="1:13" x14ac:dyDescent="0.35">
      <c r="A32" s="2">
        <v>46182</v>
      </c>
      <c r="B32" s="1" t="str">
        <f ca="1">IF(Información1[[#This Row],[Fecha]]='Ajuste de fechas'!$A$2,"Día actual","Día anterior")</f>
        <v>Día anterior</v>
      </c>
      <c r="C32" s="3" t="s">
        <v>8</v>
      </c>
      <c r="D32" t="s">
        <v>10</v>
      </c>
      <c r="E32" s="3" t="s">
        <v>267</v>
      </c>
      <c r="F32" s="3" t="s">
        <v>19</v>
      </c>
      <c r="G32" s="3" t="s">
        <v>268</v>
      </c>
      <c r="H32" s="3" t="s">
        <v>11</v>
      </c>
      <c r="I32" s="3" t="s">
        <v>25</v>
      </c>
      <c r="J32" s="3" t="s">
        <v>43</v>
      </c>
      <c r="K32" s="3" t="s">
        <v>9</v>
      </c>
      <c r="L32" s="3" t="s">
        <v>41</v>
      </c>
      <c r="M32">
        <v>1</v>
      </c>
    </row>
    <row r="33" spans="1:13" x14ac:dyDescent="0.35">
      <c r="A33" s="2">
        <v>46182</v>
      </c>
      <c r="B33" s="1" t="str">
        <f ca="1">IF(Información1[[#This Row],[Fecha]]='Ajuste de fechas'!$A$2,"Día actual","Día anterior")</f>
        <v>Día anterior</v>
      </c>
      <c r="C33" s="3" t="s">
        <v>8</v>
      </c>
      <c r="D33" t="s">
        <v>10</v>
      </c>
      <c r="E33" s="3" t="s">
        <v>269</v>
      </c>
      <c r="F33" s="3" t="s">
        <v>19</v>
      </c>
      <c r="G33" s="3" t="s">
        <v>270</v>
      </c>
      <c r="H33" s="3" t="s">
        <v>11</v>
      </c>
      <c r="I33" s="3" t="s">
        <v>7</v>
      </c>
      <c r="J33" s="3" t="s">
        <v>43</v>
      </c>
      <c r="K33" s="3" t="s">
        <v>9</v>
      </c>
      <c r="L33" s="3" t="s">
        <v>41</v>
      </c>
      <c r="M33">
        <v>1</v>
      </c>
    </row>
    <row r="34" spans="1:13" x14ac:dyDescent="0.35">
      <c r="A34" s="2">
        <v>46182</v>
      </c>
      <c r="B34" s="1" t="str">
        <f ca="1">IF(Información1[[#This Row],[Fecha]]='Ajuste de fechas'!$A$2,"Día actual","Día anterior")</f>
        <v>Día anterior</v>
      </c>
      <c r="C34" s="3" t="s">
        <v>28</v>
      </c>
      <c r="D34" t="s">
        <v>70</v>
      </c>
      <c r="E34" s="3" t="s">
        <v>271</v>
      </c>
      <c r="F34" s="3" t="s">
        <v>19</v>
      </c>
      <c r="G34" s="3" t="s">
        <v>272</v>
      </c>
      <c r="H34" s="3" t="s">
        <v>11</v>
      </c>
      <c r="I34" s="3" t="s">
        <v>7</v>
      </c>
      <c r="J34" s="3" t="s">
        <v>43</v>
      </c>
      <c r="K34" s="3" t="s">
        <v>71</v>
      </c>
      <c r="L34" s="3" t="s">
        <v>40</v>
      </c>
      <c r="M34">
        <v>1</v>
      </c>
    </row>
    <row r="35" spans="1:13" x14ac:dyDescent="0.35">
      <c r="A35" s="2">
        <v>46182</v>
      </c>
      <c r="B35" s="1" t="str">
        <f ca="1">IF(Información1[[#This Row],[Fecha]]='Ajuste de fechas'!$A$2,"Día actual","Día anterior")</f>
        <v>Día anterior</v>
      </c>
      <c r="C35" s="3" t="s">
        <v>28</v>
      </c>
      <c r="D35" t="s">
        <v>70</v>
      </c>
      <c r="E35" s="3" t="s">
        <v>273</v>
      </c>
      <c r="F35" s="3" t="s">
        <v>19</v>
      </c>
      <c r="G35" s="3" t="s">
        <v>73</v>
      </c>
      <c r="H35" s="3" t="s">
        <v>11</v>
      </c>
      <c r="I35" s="3" t="s">
        <v>7</v>
      </c>
      <c r="J35" s="3" t="s">
        <v>43</v>
      </c>
      <c r="K35" s="3" t="s">
        <v>71</v>
      </c>
      <c r="L35" s="3" t="s">
        <v>40</v>
      </c>
      <c r="M35">
        <v>1</v>
      </c>
    </row>
    <row r="36" spans="1:13" x14ac:dyDescent="0.35">
      <c r="A36" s="2">
        <v>46182</v>
      </c>
      <c r="B36" s="1" t="str">
        <f ca="1">IF(Información1[[#This Row],[Fecha]]='Ajuste de fechas'!$A$2,"Día actual","Día anterior")</f>
        <v>Día anterior</v>
      </c>
      <c r="C36" s="3" t="s">
        <v>28</v>
      </c>
      <c r="D36" t="s">
        <v>70</v>
      </c>
      <c r="E36" s="3" t="s">
        <v>274</v>
      </c>
      <c r="F36" s="3" t="s">
        <v>24</v>
      </c>
      <c r="G36" s="3" t="s">
        <v>275</v>
      </c>
      <c r="H36" s="3" t="s">
        <v>11</v>
      </c>
      <c r="I36" s="3" t="s">
        <v>7</v>
      </c>
      <c r="J36" s="3" t="s">
        <v>24</v>
      </c>
      <c r="K36" s="3" t="s">
        <v>71</v>
      </c>
      <c r="L36" s="3" t="s">
        <v>40</v>
      </c>
      <c r="M36">
        <v>1</v>
      </c>
    </row>
    <row r="37" spans="1:13" x14ac:dyDescent="0.35">
      <c r="A37" s="2">
        <v>46182</v>
      </c>
      <c r="B37" s="1" t="str">
        <f ca="1">IF(Información1[[#This Row],[Fecha]]='Ajuste de fechas'!$A$2,"Día actual","Día anterior")</f>
        <v>Día anterior</v>
      </c>
      <c r="C37" s="3" t="s">
        <v>8</v>
      </c>
      <c r="D37" t="s">
        <v>10</v>
      </c>
      <c r="E37" s="3" t="s">
        <v>276</v>
      </c>
      <c r="F37" s="3" t="s">
        <v>19</v>
      </c>
      <c r="G37" s="3" t="s">
        <v>277</v>
      </c>
      <c r="H37" s="3" t="s">
        <v>11</v>
      </c>
      <c r="I37" s="3" t="s">
        <v>25</v>
      </c>
      <c r="J37" s="3" t="s">
        <v>43</v>
      </c>
      <c r="K37" s="3" t="s">
        <v>9</v>
      </c>
      <c r="L37" s="3" t="s">
        <v>41</v>
      </c>
      <c r="M37">
        <v>1</v>
      </c>
    </row>
    <row r="38" spans="1:13" x14ac:dyDescent="0.35">
      <c r="A38" s="2">
        <v>46182</v>
      </c>
      <c r="B38" s="1" t="str">
        <f ca="1">IF(Información1[[#This Row],[Fecha]]='Ajuste de fechas'!$A$2,"Día actual","Día anterior")</f>
        <v>Día anterior</v>
      </c>
      <c r="C38" s="3" t="s">
        <v>8</v>
      </c>
      <c r="D38" t="s">
        <v>10</v>
      </c>
      <c r="E38" s="3" t="s">
        <v>278</v>
      </c>
      <c r="F38" s="3" t="s">
        <v>19</v>
      </c>
      <c r="G38" s="3" t="s">
        <v>279</v>
      </c>
      <c r="H38" s="3" t="s">
        <v>11</v>
      </c>
      <c r="I38" s="3" t="s">
        <v>7</v>
      </c>
      <c r="J38" s="3" t="s">
        <v>43</v>
      </c>
      <c r="K38" s="3" t="s">
        <v>14</v>
      </c>
      <c r="L38" s="3" t="s">
        <v>41</v>
      </c>
      <c r="M38">
        <v>1</v>
      </c>
    </row>
    <row r="39" spans="1:13" x14ac:dyDescent="0.35">
      <c r="A39" s="2">
        <v>46182</v>
      </c>
      <c r="B39" s="1" t="str">
        <f ca="1">IF(Información1[[#This Row],[Fecha]]='Ajuste de fechas'!$A$2,"Día actual","Día anterior")</f>
        <v>Día anterior</v>
      </c>
      <c r="C39" s="3" t="s">
        <v>8</v>
      </c>
      <c r="D39" t="s">
        <v>10</v>
      </c>
      <c r="E39" s="3" t="s">
        <v>280</v>
      </c>
      <c r="F39" s="3" t="s">
        <v>19</v>
      </c>
      <c r="G39" s="3" t="s">
        <v>98</v>
      </c>
      <c r="H39" s="3" t="s">
        <v>11</v>
      </c>
      <c r="I39" s="3" t="s">
        <v>25</v>
      </c>
      <c r="J39" s="3" t="s">
        <v>43</v>
      </c>
      <c r="K39" s="3" t="s">
        <v>9</v>
      </c>
      <c r="L39" s="3" t="s">
        <v>41</v>
      </c>
      <c r="M39">
        <v>1</v>
      </c>
    </row>
    <row r="40" spans="1:13" x14ac:dyDescent="0.35">
      <c r="A40" s="2">
        <v>46182</v>
      </c>
      <c r="B40" s="1" t="str">
        <f ca="1">IF(Información1[[#This Row],[Fecha]]='Ajuste de fechas'!$A$2,"Día actual","Día anterior")</f>
        <v>Día anterior</v>
      </c>
      <c r="C40" s="3" t="s">
        <v>8</v>
      </c>
      <c r="D40" t="s">
        <v>10</v>
      </c>
      <c r="E40" s="3" t="s">
        <v>281</v>
      </c>
      <c r="F40" s="3" t="s">
        <v>19</v>
      </c>
      <c r="G40" s="3" t="s">
        <v>98</v>
      </c>
      <c r="H40" s="3" t="s">
        <v>11</v>
      </c>
      <c r="I40" s="3" t="s">
        <v>25</v>
      </c>
      <c r="J40" s="3" t="s">
        <v>43</v>
      </c>
      <c r="K40" s="3" t="s">
        <v>9</v>
      </c>
      <c r="L40" s="3" t="s">
        <v>41</v>
      </c>
      <c r="M40">
        <v>1</v>
      </c>
    </row>
    <row r="41" spans="1:13" x14ac:dyDescent="0.35">
      <c r="A41" s="2">
        <v>46182</v>
      </c>
      <c r="B41" s="1" t="str">
        <f ca="1">IF(Información1[[#This Row],[Fecha]]='Ajuste de fechas'!$A$2,"Día actual","Día anterior")</f>
        <v>Día anterior</v>
      </c>
      <c r="C41" s="3" t="s">
        <v>50</v>
      </c>
      <c r="D41" t="s">
        <v>57</v>
      </c>
      <c r="E41" s="3" t="s">
        <v>282</v>
      </c>
      <c r="F41" s="3" t="s">
        <v>19</v>
      </c>
      <c r="G41" s="3" t="s">
        <v>283</v>
      </c>
      <c r="H41" s="3" t="s">
        <v>11</v>
      </c>
      <c r="I41" s="3" t="s">
        <v>7</v>
      </c>
      <c r="J41" s="3" t="s">
        <v>43</v>
      </c>
      <c r="K41" s="3" t="s">
        <v>51</v>
      </c>
      <c r="L41" s="3" t="s">
        <v>40</v>
      </c>
      <c r="M41">
        <v>1</v>
      </c>
    </row>
    <row r="42" spans="1:13" x14ac:dyDescent="0.35">
      <c r="A42" s="2">
        <v>46182</v>
      </c>
      <c r="B42" s="1" t="str">
        <f ca="1">IF(Información1[[#This Row],[Fecha]]='Ajuste de fechas'!$A$2,"Día actual","Día anterior")</f>
        <v>Día anterior</v>
      </c>
      <c r="C42" s="3" t="s">
        <v>50</v>
      </c>
      <c r="D42" t="s">
        <v>57</v>
      </c>
      <c r="E42" s="3" t="s">
        <v>284</v>
      </c>
      <c r="F42" s="3" t="s">
        <v>19</v>
      </c>
      <c r="G42" s="3" t="s">
        <v>285</v>
      </c>
      <c r="H42" s="3" t="s">
        <v>11</v>
      </c>
      <c r="I42" s="3" t="s">
        <v>7</v>
      </c>
      <c r="J42" s="3" t="s">
        <v>43</v>
      </c>
      <c r="K42" s="3" t="s">
        <v>51</v>
      </c>
      <c r="L42" s="3" t="s">
        <v>40</v>
      </c>
      <c r="M42">
        <v>1</v>
      </c>
    </row>
    <row r="43" spans="1:13" x14ac:dyDescent="0.35">
      <c r="A43" s="2">
        <v>46182</v>
      </c>
      <c r="B43" s="1" t="str">
        <f ca="1">IF(Información1[[#This Row],[Fecha]]='Ajuste de fechas'!$A$2,"Día actual","Día anterior")</f>
        <v>Día anterior</v>
      </c>
      <c r="C43" s="3" t="s">
        <v>50</v>
      </c>
      <c r="D43" t="s">
        <v>57</v>
      </c>
      <c r="E43" s="3" t="s">
        <v>286</v>
      </c>
      <c r="F43" s="3" t="s">
        <v>19</v>
      </c>
      <c r="G43" s="3" t="s">
        <v>285</v>
      </c>
      <c r="H43" s="3" t="s">
        <v>11</v>
      </c>
      <c r="I43" s="3" t="s">
        <v>7</v>
      </c>
      <c r="J43" s="3" t="s">
        <v>43</v>
      </c>
      <c r="K43" s="3" t="s">
        <v>51</v>
      </c>
      <c r="L43" s="3" t="s">
        <v>40</v>
      </c>
      <c r="M43">
        <v>1</v>
      </c>
    </row>
    <row r="44" spans="1:13" x14ac:dyDescent="0.35">
      <c r="A44" s="2">
        <v>46182</v>
      </c>
      <c r="B44" s="1" t="str">
        <f ca="1">IF(Información1[[#This Row],[Fecha]]='Ajuste de fechas'!$A$2,"Día actual","Día anterior")</f>
        <v>Día anterior</v>
      </c>
      <c r="C44" s="3" t="s">
        <v>50</v>
      </c>
      <c r="D44" t="s">
        <v>57</v>
      </c>
      <c r="E44" s="3" t="s">
        <v>287</v>
      </c>
      <c r="F44" s="3" t="s">
        <v>19</v>
      </c>
      <c r="G44" s="3" t="s">
        <v>92</v>
      </c>
      <c r="H44" s="3" t="s">
        <v>11</v>
      </c>
      <c r="I44" s="3" t="s">
        <v>7</v>
      </c>
      <c r="J44" s="3" t="s">
        <v>43</v>
      </c>
      <c r="K44" s="3" t="s">
        <v>99</v>
      </c>
      <c r="L44" s="3" t="s">
        <v>236</v>
      </c>
      <c r="M44">
        <v>1</v>
      </c>
    </row>
    <row r="45" spans="1:13" x14ac:dyDescent="0.35">
      <c r="A45" s="2">
        <v>46182</v>
      </c>
      <c r="B45" s="1" t="str">
        <f ca="1">IF(Información1[[#This Row],[Fecha]]='Ajuste de fechas'!$A$2,"Día actual","Día anterior")</f>
        <v>Día anterior</v>
      </c>
      <c r="C45" s="3" t="s">
        <v>67</v>
      </c>
      <c r="D45" t="s">
        <v>68</v>
      </c>
      <c r="E45" s="3" t="s">
        <v>288</v>
      </c>
      <c r="F45" s="3" t="s">
        <v>22</v>
      </c>
      <c r="G45" s="3" t="s">
        <v>289</v>
      </c>
      <c r="H45" s="3" t="s">
        <v>11</v>
      </c>
      <c r="I45" s="3" t="s">
        <v>7</v>
      </c>
      <c r="J45" s="3" t="s">
        <v>44</v>
      </c>
      <c r="K45" s="3" t="s">
        <v>69</v>
      </c>
      <c r="L45" s="3" t="s">
        <v>40</v>
      </c>
      <c r="M45">
        <v>1</v>
      </c>
    </row>
    <row r="46" spans="1:13" x14ac:dyDescent="0.35">
      <c r="A46" s="2">
        <v>46182</v>
      </c>
      <c r="B46" s="1" t="str">
        <f ca="1">IF(Información1[[#This Row],[Fecha]]='Ajuste de fechas'!$A$2,"Día actual","Día anterior")</f>
        <v>Día anterior</v>
      </c>
      <c r="C46" s="3" t="s">
        <v>67</v>
      </c>
      <c r="D46" t="s">
        <v>68</v>
      </c>
      <c r="E46" s="3" t="s">
        <v>290</v>
      </c>
      <c r="F46" s="3" t="s">
        <v>24</v>
      </c>
      <c r="G46" s="3" t="s">
        <v>291</v>
      </c>
      <c r="H46" s="3" t="s">
        <v>11</v>
      </c>
      <c r="I46" s="3" t="s">
        <v>7</v>
      </c>
      <c r="J46" s="3" t="s">
        <v>24</v>
      </c>
      <c r="K46" s="3" t="s">
        <v>69</v>
      </c>
      <c r="L46" s="3" t="s">
        <v>40</v>
      </c>
      <c r="M46">
        <v>1</v>
      </c>
    </row>
    <row r="47" spans="1:13" x14ac:dyDescent="0.35">
      <c r="A47" s="2">
        <v>46182</v>
      </c>
      <c r="B47" s="1" t="str">
        <f ca="1">IF(Información1[[#This Row],[Fecha]]='Ajuste de fechas'!$A$2,"Día actual","Día anterior")</f>
        <v>Día anterior</v>
      </c>
      <c r="C47" s="3" t="s">
        <v>67</v>
      </c>
      <c r="D47" t="s">
        <v>68</v>
      </c>
      <c r="E47" s="3" t="s">
        <v>292</v>
      </c>
      <c r="F47" s="3" t="s">
        <v>19</v>
      </c>
      <c r="G47" s="3" t="s">
        <v>253</v>
      </c>
      <c r="H47" s="3" t="s">
        <v>11</v>
      </c>
      <c r="I47" s="3" t="s">
        <v>7</v>
      </c>
      <c r="J47" s="3" t="s">
        <v>43</v>
      </c>
      <c r="K47" s="3" t="s">
        <v>69</v>
      </c>
      <c r="L47" s="3" t="s">
        <v>40</v>
      </c>
      <c r="M47">
        <v>1</v>
      </c>
    </row>
    <row r="48" spans="1:13" x14ac:dyDescent="0.35">
      <c r="A48" s="2">
        <v>46182</v>
      </c>
      <c r="B48" s="1" t="str">
        <f ca="1">IF(Información1[[#This Row],[Fecha]]='Ajuste de fechas'!$A$2,"Día actual","Día anterior")</f>
        <v>Día anterior</v>
      </c>
      <c r="C48" s="3" t="s">
        <v>50</v>
      </c>
      <c r="D48" t="s">
        <v>52</v>
      </c>
      <c r="E48" s="3" t="s">
        <v>293</v>
      </c>
      <c r="F48" s="3" t="s">
        <v>24</v>
      </c>
      <c r="G48" s="3" t="s">
        <v>291</v>
      </c>
      <c r="H48" s="3" t="s">
        <v>11</v>
      </c>
      <c r="I48" s="3" t="s">
        <v>7</v>
      </c>
      <c r="J48" s="3" t="s">
        <v>24</v>
      </c>
      <c r="K48" s="3" t="s">
        <v>51</v>
      </c>
      <c r="L48" s="3" t="s">
        <v>40</v>
      </c>
      <c r="M48">
        <v>1</v>
      </c>
    </row>
    <row r="49" spans="1:13" x14ac:dyDescent="0.35">
      <c r="A49" s="2">
        <v>46182</v>
      </c>
      <c r="B49" s="1" t="str">
        <f ca="1">IF(Información1[[#This Row],[Fecha]]='Ajuste de fechas'!$A$2,"Día actual","Día anterior")</f>
        <v>Día anterior</v>
      </c>
      <c r="C49" s="3" t="s">
        <v>50</v>
      </c>
      <c r="D49" t="s">
        <v>52</v>
      </c>
      <c r="E49" s="3" t="s">
        <v>294</v>
      </c>
      <c r="F49" s="3" t="s">
        <v>19</v>
      </c>
      <c r="G49" s="3" t="s">
        <v>295</v>
      </c>
      <c r="H49" s="3" t="s">
        <v>11</v>
      </c>
      <c r="I49" s="3" t="s">
        <v>7</v>
      </c>
      <c r="J49" s="3" t="s">
        <v>43</v>
      </c>
      <c r="K49" s="3" t="s">
        <v>49</v>
      </c>
      <c r="L49" s="3" t="s">
        <v>40</v>
      </c>
      <c r="M49">
        <v>1</v>
      </c>
    </row>
    <row r="50" spans="1:13" x14ac:dyDescent="0.35">
      <c r="A50" s="2">
        <v>46182</v>
      </c>
      <c r="B50" s="1" t="str">
        <f ca="1">IF(Información1[[#This Row],[Fecha]]='Ajuste de fechas'!$A$2,"Día actual","Día anterior")</f>
        <v>Día anterior</v>
      </c>
      <c r="C50" s="3" t="s">
        <v>50</v>
      </c>
      <c r="D50" t="s">
        <v>52</v>
      </c>
      <c r="E50" s="3" t="s">
        <v>296</v>
      </c>
      <c r="F50" s="3" t="s">
        <v>19</v>
      </c>
      <c r="G50" s="3" t="s">
        <v>297</v>
      </c>
      <c r="H50" s="3" t="s">
        <v>11</v>
      </c>
      <c r="I50" s="3" t="s">
        <v>25</v>
      </c>
      <c r="J50" s="3" t="s">
        <v>43</v>
      </c>
      <c r="K50" s="3" t="s">
        <v>51</v>
      </c>
      <c r="L50" s="3" t="s">
        <v>41</v>
      </c>
      <c r="M50">
        <v>1</v>
      </c>
    </row>
    <row r="51" spans="1:13" x14ac:dyDescent="0.35">
      <c r="A51" s="2">
        <v>46182</v>
      </c>
      <c r="B51" s="1" t="str">
        <f ca="1">IF(Información1[[#This Row],[Fecha]]='Ajuste de fechas'!$A$2,"Día actual","Día anterior")</f>
        <v>Día anterior</v>
      </c>
      <c r="C51" s="3" t="s">
        <v>78</v>
      </c>
      <c r="D51" t="s">
        <v>79</v>
      </c>
      <c r="E51" s="3" t="s">
        <v>298</v>
      </c>
      <c r="F51" s="3" t="s">
        <v>19</v>
      </c>
      <c r="G51" s="3" t="s">
        <v>145</v>
      </c>
      <c r="H51" s="3" t="s">
        <v>59</v>
      </c>
      <c r="I51" s="3" t="s">
        <v>7</v>
      </c>
      <c r="J51" s="3" t="s">
        <v>43</v>
      </c>
      <c r="K51" s="3" t="s">
        <v>49</v>
      </c>
      <c r="L51" s="3" t="s">
        <v>40</v>
      </c>
      <c r="M51">
        <v>1</v>
      </c>
    </row>
    <row r="52" spans="1:13" x14ac:dyDescent="0.35">
      <c r="A52" s="2">
        <v>46182</v>
      </c>
      <c r="B52" s="1" t="str">
        <f ca="1">IF(Información1[[#This Row],[Fecha]]='Ajuste de fechas'!$A$2,"Día actual","Día anterior")</f>
        <v>Día anterior</v>
      </c>
      <c r="C52" s="3" t="s">
        <v>78</v>
      </c>
      <c r="D52" t="s">
        <v>79</v>
      </c>
      <c r="E52" s="3" t="s">
        <v>255</v>
      </c>
      <c r="F52" s="3" t="s">
        <v>19</v>
      </c>
      <c r="G52" s="3" t="s">
        <v>256</v>
      </c>
      <c r="H52" s="3" t="s">
        <v>59</v>
      </c>
      <c r="I52" s="3" t="s">
        <v>7</v>
      </c>
      <c r="J52" s="3" t="s">
        <v>43</v>
      </c>
      <c r="K52" s="3" t="s">
        <v>49</v>
      </c>
      <c r="L52" s="3" t="s">
        <v>40</v>
      </c>
      <c r="M52">
        <v>1</v>
      </c>
    </row>
    <row r="53" spans="1:13" x14ac:dyDescent="0.35">
      <c r="A53" s="2">
        <v>46182</v>
      </c>
      <c r="B53" s="1" t="str">
        <f ca="1">IF(Información1[[#This Row],[Fecha]]='Ajuste de fechas'!$A$2,"Día actual","Día anterior")</f>
        <v>Día anterior</v>
      </c>
      <c r="C53" s="3" t="s">
        <v>78</v>
      </c>
      <c r="D53" t="s">
        <v>79</v>
      </c>
      <c r="E53" s="3" t="s">
        <v>299</v>
      </c>
      <c r="F53" s="3" t="s">
        <v>19</v>
      </c>
      <c r="G53" s="3" t="s">
        <v>220</v>
      </c>
      <c r="H53" s="3" t="s">
        <v>59</v>
      </c>
      <c r="I53" s="3" t="s">
        <v>7</v>
      </c>
      <c r="J53" s="3" t="s">
        <v>43</v>
      </c>
      <c r="K53" s="3" t="s">
        <v>49</v>
      </c>
      <c r="L53" s="3" t="s">
        <v>40</v>
      </c>
      <c r="M53">
        <v>1</v>
      </c>
    </row>
    <row r="54" spans="1:13" x14ac:dyDescent="0.35">
      <c r="A54" s="2">
        <v>46182</v>
      </c>
      <c r="B54" s="1" t="str">
        <f ca="1">IF(Información1[[#This Row],[Fecha]]='Ajuste de fechas'!$A$2,"Día actual","Día anterior")</f>
        <v>Día anterior</v>
      </c>
      <c r="C54" s="3" t="s">
        <v>78</v>
      </c>
      <c r="D54" t="s">
        <v>79</v>
      </c>
      <c r="E54" s="3" t="s">
        <v>300</v>
      </c>
      <c r="F54" s="3" t="s">
        <v>26</v>
      </c>
      <c r="G54" s="3" t="s">
        <v>301</v>
      </c>
      <c r="H54" s="3" t="s">
        <v>59</v>
      </c>
      <c r="I54" s="3" t="s">
        <v>7</v>
      </c>
      <c r="J54" s="3" t="s">
        <v>39</v>
      </c>
      <c r="K54" s="3" t="s">
        <v>49</v>
      </c>
      <c r="L54" s="3" t="s">
        <v>40</v>
      </c>
      <c r="M54">
        <v>1</v>
      </c>
    </row>
    <row r="55" spans="1:13" x14ac:dyDescent="0.35">
      <c r="A55" s="2">
        <v>46182</v>
      </c>
      <c r="B55" s="1" t="str">
        <f ca="1">IF(Información1[[#This Row],[Fecha]]='Ajuste de fechas'!$A$2,"Día actual","Día anterior")</f>
        <v>Día anterior</v>
      </c>
      <c r="C55" s="3" t="s">
        <v>78</v>
      </c>
      <c r="D55" t="s">
        <v>79</v>
      </c>
      <c r="E55" s="3" t="s">
        <v>302</v>
      </c>
      <c r="F55" s="3" t="s">
        <v>26</v>
      </c>
      <c r="G55" s="3" t="s">
        <v>303</v>
      </c>
      <c r="H55" s="3" t="s">
        <v>59</v>
      </c>
      <c r="I55" s="3" t="s">
        <v>7</v>
      </c>
      <c r="J55" s="3" t="s">
        <v>39</v>
      </c>
      <c r="K55" s="3" t="s">
        <v>49</v>
      </c>
      <c r="L55" s="3" t="s">
        <v>40</v>
      </c>
      <c r="M55">
        <v>1</v>
      </c>
    </row>
    <row r="56" spans="1:13" x14ac:dyDescent="0.35">
      <c r="A56" s="2">
        <v>46182</v>
      </c>
      <c r="B56" s="1" t="str">
        <f ca="1">IF(Información1[[#This Row],[Fecha]]='Ajuste de fechas'!$A$2,"Día actual","Día anterior")</f>
        <v>Día anterior</v>
      </c>
      <c r="C56" s="3" t="s">
        <v>78</v>
      </c>
      <c r="D56" t="s">
        <v>79</v>
      </c>
      <c r="E56" s="3" t="s">
        <v>304</v>
      </c>
      <c r="F56" s="3" t="s">
        <v>72</v>
      </c>
      <c r="G56" s="3" t="s">
        <v>305</v>
      </c>
      <c r="H56" s="3" t="s">
        <v>59</v>
      </c>
      <c r="I56" s="3" t="s">
        <v>7</v>
      </c>
      <c r="J56" s="3" t="s">
        <v>39</v>
      </c>
      <c r="K56" s="3" t="s">
        <v>49</v>
      </c>
      <c r="L56" s="3" t="s">
        <v>40</v>
      </c>
      <c r="M56">
        <v>1</v>
      </c>
    </row>
    <row r="57" spans="1:13" x14ac:dyDescent="0.35">
      <c r="A57" s="2">
        <v>46182</v>
      </c>
      <c r="B57" s="1" t="str">
        <f ca="1">IF(Información1[[#This Row],[Fecha]]='Ajuste de fechas'!$A$2,"Día actual","Día anterior")</f>
        <v>Día anterior</v>
      </c>
      <c r="C57" s="3" t="s">
        <v>63</v>
      </c>
      <c r="D57" t="s">
        <v>64</v>
      </c>
      <c r="E57" s="3" t="s">
        <v>90</v>
      </c>
      <c r="F57" s="3" t="s">
        <v>77</v>
      </c>
      <c r="G57" s="3" t="s">
        <v>91</v>
      </c>
      <c r="H57" s="3" t="s">
        <v>11</v>
      </c>
      <c r="I57" s="3" t="s">
        <v>7</v>
      </c>
      <c r="J57" s="3" t="s">
        <v>39</v>
      </c>
      <c r="K57" s="3" t="s">
        <v>65</v>
      </c>
      <c r="L57" s="3" t="s">
        <v>42</v>
      </c>
      <c r="M57">
        <v>1</v>
      </c>
    </row>
    <row r="58" spans="1:13" x14ac:dyDescent="0.35">
      <c r="A58" s="2">
        <v>46182</v>
      </c>
      <c r="B58" s="1" t="str">
        <f ca="1">IF(Información1[[#This Row],[Fecha]]='Ajuste de fechas'!$A$2,"Día actual","Día anterior")</f>
        <v>Día anterior</v>
      </c>
      <c r="C58" s="3" t="s">
        <v>63</v>
      </c>
      <c r="D58" t="s">
        <v>64</v>
      </c>
      <c r="E58" s="3" t="s">
        <v>306</v>
      </c>
      <c r="F58" s="3" t="s">
        <v>21</v>
      </c>
      <c r="G58" s="3" t="s">
        <v>307</v>
      </c>
      <c r="H58" s="3" t="s">
        <v>11</v>
      </c>
      <c r="I58" s="3" t="s">
        <v>7</v>
      </c>
      <c r="J58" s="3" t="s">
        <v>39</v>
      </c>
      <c r="K58" s="3" t="s">
        <v>65</v>
      </c>
      <c r="L58" s="3" t="s">
        <v>42</v>
      </c>
      <c r="M58">
        <v>1</v>
      </c>
    </row>
    <row r="59" spans="1:13" x14ac:dyDescent="0.35">
      <c r="A59" s="2">
        <v>46182</v>
      </c>
      <c r="B59" s="1" t="str">
        <f ca="1">IF(Información1[[#This Row],[Fecha]]='Ajuste de fechas'!$A$2,"Día actual","Día anterior")</f>
        <v>Día anterior</v>
      </c>
      <c r="C59" s="3" t="s">
        <v>63</v>
      </c>
      <c r="D59" t="s">
        <v>64</v>
      </c>
      <c r="E59" s="3" t="s">
        <v>308</v>
      </c>
      <c r="F59" s="3" t="s">
        <v>23</v>
      </c>
      <c r="G59" s="3" t="s">
        <v>309</v>
      </c>
      <c r="H59" s="3" t="s">
        <v>11</v>
      </c>
      <c r="I59" s="3" t="s">
        <v>7</v>
      </c>
      <c r="J59" s="3" t="s">
        <v>39</v>
      </c>
      <c r="K59" s="3" t="s">
        <v>65</v>
      </c>
      <c r="L59" s="3" t="s">
        <v>42</v>
      </c>
      <c r="M59">
        <v>1</v>
      </c>
    </row>
    <row r="60" spans="1:13" x14ac:dyDescent="0.35">
      <c r="A60" s="2">
        <v>46182</v>
      </c>
      <c r="B60" s="1" t="str">
        <f ca="1">IF(Información1[[#This Row],[Fecha]]='Ajuste de fechas'!$A$2,"Día actual","Día anterior")</f>
        <v>Día anterior</v>
      </c>
      <c r="C60" s="3" t="s">
        <v>63</v>
      </c>
      <c r="D60" t="s">
        <v>64</v>
      </c>
      <c r="E60" s="3" t="s">
        <v>310</v>
      </c>
      <c r="F60" s="3" t="s">
        <v>17</v>
      </c>
      <c r="G60" s="3" t="s">
        <v>256</v>
      </c>
      <c r="H60" s="3" t="s">
        <v>11</v>
      </c>
      <c r="I60" s="3" t="s">
        <v>7</v>
      </c>
      <c r="J60" s="3" t="s">
        <v>39</v>
      </c>
      <c r="K60" s="3" t="s">
        <v>65</v>
      </c>
      <c r="L60" s="3" t="s">
        <v>40</v>
      </c>
      <c r="M60">
        <v>1</v>
      </c>
    </row>
    <row r="61" spans="1:13" x14ac:dyDescent="0.35">
      <c r="A61" s="2">
        <v>46182</v>
      </c>
      <c r="B61" s="1" t="str">
        <f ca="1">IF(Información1[[#This Row],[Fecha]]='Ajuste de fechas'!$A$2,"Día actual","Día anterior")</f>
        <v>Día anterior</v>
      </c>
      <c r="C61" s="3" t="s">
        <v>63</v>
      </c>
      <c r="D61" t="s">
        <v>64</v>
      </c>
      <c r="E61" s="3" t="s">
        <v>311</v>
      </c>
      <c r="F61" s="3" t="s">
        <v>48</v>
      </c>
      <c r="G61" s="3" t="s">
        <v>312</v>
      </c>
      <c r="H61" s="3" t="s">
        <v>11</v>
      </c>
      <c r="I61" s="3" t="s">
        <v>25</v>
      </c>
      <c r="J61" s="3" t="s">
        <v>39</v>
      </c>
      <c r="K61" s="3" t="s">
        <v>65</v>
      </c>
      <c r="L61" s="3" t="s">
        <v>40</v>
      </c>
      <c r="M61">
        <v>1</v>
      </c>
    </row>
    <row r="62" spans="1:13" x14ac:dyDescent="0.35">
      <c r="A62" s="2">
        <v>46182</v>
      </c>
      <c r="B62" s="1" t="str">
        <f ca="1">IF(Información1[[#This Row],[Fecha]]='Ajuste de fechas'!$A$2,"Día actual","Día anterior")</f>
        <v>Día anterior</v>
      </c>
      <c r="C62" s="3" t="s">
        <v>63</v>
      </c>
      <c r="D62" t="s">
        <v>64</v>
      </c>
      <c r="E62" s="3" t="s">
        <v>313</v>
      </c>
      <c r="F62" s="3" t="s">
        <v>26</v>
      </c>
      <c r="G62" s="3" t="s">
        <v>314</v>
      </c>
      <c r="H62" s="3" t="s">
        <v>11</v>
      </c>
      <c r="I62" s="3" t="s">
        <v>7</v>
      </c>
      <c r="J62" s="3" t="s">
        <v>39</v>
      </c>
      <c r="K62" s="3" t="s">
        <v>65</v>
      </c>
      <c r="L62" s="3" t="s">
        <v>42</v>
      </c>
      <c r="M62">
        <v>1</v>
      </c>
    </row>
    <row r="63" spans="1:13" x14ac:dyDescent="0.35">
      <c r="A63" s="2">
        <v>46182</v>
      </c>
      <c r="B63" s="1" t="str">
        <f ca="1">IF(Información1[[#This Row],[Fecha]]='Ajuste de fechas'!$A$2,"Día actual","Día anterior")</f>
        <v>Día anterior</v>
      </c>
      <c r="C63" s="3" t="s">
        <v>63</v>
      </c>
      <c r="D63" t="s">
        <v>64</v>
      </c>
      <c r="E63" s="3" t="s">
        <v>315</v>
      </c>
      <c r="F63" s="3" t="s">
        <v>6</v>
      </c>
      <c r="G63" s="3" t="s">
        <v>92</v>
      </c>
      <c r="H63" s="3" t="s">
        <v>11</v>
      </c>
      <c r="I63" s="3" t="s">
        <v>7</v>
      </c>
      <c r="J63" s="3" t="s">
        <v>39</v>
      </c>
      <c r="K63" s="3" t="s">
        <v>65</v>
      </c>
      <c r="L63" s="3" t="s">
        <v>42</v>
      </c>
      <c r="M63">
        <v>1</v>
      </c>
    </row>
    <row r="64" spans="1:13" x14ac:dyDescent="0.35">
      <c r="A64" s="2">
        <v>46182</v>
      </c>
      <c r="B64" s="1" t="str">
        <f ca="1">IF(Información1[[#This Row],[Fecha]]='Ajuste de fechas'!$A$2,"Día actual","Día anterior")</f>
        <v>Día anterior</v>
      </c>
      <c r="C64" s="3" t="s">
        <v>63</v>
      </c>
      <c r="D64" t="s">
        <v>64</v>
      </c>
      <c r="E64" s="3" t="s">
        <v>316</v>
      </c>
      <c r="F64" s="3" t="s">
        <v>23</v>
      </c>
      <c r="G64" s="3" t="s">
        <v>317</v>
      </c>
      <c r="H64" s="3" t="s">
        <v>11</v>
      </c>
      <c r="I64" s="3" t="s">
        <v>7</v>
      </c>
      <c r="J64" s="3" t="s">
        <v>39</v>
      </c>
      <c r="K64" s="3" t="s">
        <v>65</v>
      </c>
      <c r="L64" s="3" t="s">
        <v>40</v>
      </c>
      <c r="M64">
        <v>1</v>
      </c>
    </row>
    <row r="65" spans="1:13" x14ac:dyDescent="0.35">
      <c r="A65" s="2">
        <v>46182</v>
      </c>
      <c r="B65" s="1" t="str">
        <f ca="1">IF(Información1[[#This Row],[Fecha]]='Ajuste de fechas'!$A$2,"Día actual","Día anterior")</f>
        <v>Día anterior</v>
      </c>
      <c r="C65" s="3" t="s">
        <v>29</v>
      </c>
      <c r="D65" t="s">
        <v>30</v>
      </c>
      <c r="E65" s="3" t="s">
        <v>318</v>
      </c>
      <c r="F65" s="3" t="s">
        <v>15</v>
      </c>
      <c r="G65" s="3" t="s">
        <v>319</v>
      </c>
      <c r="H65" s="3" t="s">
        <v>59</v>
      </c>
      <c r="I65" s="3" t="s">
        <v>7</v>
      </c>
      <c r="J65" s="3" t="s">
        <v>39</v>
      </c>
      <c r="K65" s="3" t="s">
        <v>94</v>
      </c>
      <c r="L65" s="3" t="s">
        <v>40</v>
      </c>
      <c r="M65">
        <v>1</v>
      </c>
    </row>
    <row r="66" spans="1:13" x14ac:dyDescent="0.35">
      <c r="A66" s="2">
        <v>46182</v>
      </c>
      <c r="B66" s="1" t="str">
        <f ca="1">IF(Información1[[#This Row],[Fecha]]='Ajuste de fechas'!$A$2,"Día actual","Día anterior")</f>
        <v>Día anterior</v>
      </c>
      <c r="C66" s="3" t="s">
        <v>29</v>
      </c>
      <c r="D66" t="s">
        <v>30</v>
      </c>
      <c r="E66" s="3" t="s">
        <v>320</v>
      </c>
      <c r="F66" s="3" t="s">
        <v>26</v>
      </c>
      <c r="G66" s="3" t="s">
        <v>60</v>
      </c>
      <c r="H66" s="3" t="s">
        <v>59</v>
      </c>
      <c r="I66" s="3" t="s">
        <v>7</v>
      </c>
      <c r="J66" s="3" t="s">
        <v>39</v>
      </c>
      <c r="K66" s="3" t="s">
        <v>27</v>
      </c>
      <c r="L66" s="3" t="s">
        <v>40</v>
      </c>
      <c r="M66">
        <v>1</v>
      </c>
    </row>
    <row r="67" spans="1:13" x14ac:dyDescent="0.35">
      <c r="A67" s="2">
        <v>46182</v>
      </c>
      <c r="B67" s="1" t="str">
        <f ca="1">IF(Información1[[#This Row],[Fecha]]='Ajuste de fechas'!$A$2,"Día actual","Día anterior")</f>
        <v>Día anterior</v>
      </c>
      <c r="C67" s="3" t="s">
        <v>29</v>
      </c>
      <c r="D67" t="s">
        <v>30</v>
      </c>
      <c r="E67" s="3" t="s">
        <v>321</v>
      </c>
      <c r="F67" s="3" t="s">
        <v>17</v>
      </c>
      <c r="G67" s="3" t="s">
        <v>322</v>
      </c>
      <c r="H67" s="3" t="s">
        <v>59</v>
      </c>
      <c r="I67" s="3" t="s">
        <v>7</v>
      </c>
      <c r="J67" s="3" t="s">
        <v>39</v>
      </c>
      <c r="K67" s="3" t="s">
        <v>9</v>
      </c>
      <c r="L67" s="3" t="s">
        <v>41</v>
      </c>
      <c r="M67">
        <v>1</v>
      </c>
    </row>
    <row r="68" spans="1:13" x14ac:dyDescent="0.35">
      <c r="A68" s="2">
        <v>46182</v>
      </c>
      <c r="B68" s="1" t="str">
        <f ca="1">IF(Información1[[#This Row],[Fecha]]='Ajuste de fechas'!$A$2,"Día actual","Día anterior")</f>
        <v>Día anterior</v>
      </c>
      <c r="C68" s="3" t="s">
        <v>29</v>
      </c>
      <c r="D68" t="s">
        <v>30</v>
      </c>
      <c r="E68" s="3" t="s">
        <v>323</v>
      </c>
      <c r="F68" s="3" t="s">
        <v>26</v>
      </c>
      <c r="G68" s="3" t="s">
        <v>324</v>
      </c>
      <c r="H68" s="3" t="s">
        <v>59</v>
      </c>
      <c r="I68" s="3" t="s">
        <v>7</v>
      </c>
      <c r="J68" s="3" t="s">
        <v>39</v>
      </c>
      <c r="K68" s="3" t="s">
        <v>27</v>
      </c>
      <c r="L68" s="3" t="s">
        <v>41</v>
      </c>
      <c r="M68">
        <v>1</v>
      </c>
    </row>
    <row r="69" spans="1:13" x14ac:dyDescent="0.35">
      <c r="A69" s="2">
        <v>46182</v>
      </c>
      <c r="B69" s="1" t="str">
        <f ca="1">IF(Información1[[#This Row],[Fecha]]='Ajuste de fechas'!$A$2,"Día actual","Día anterior")</f>
        <v>Día anterior</v>
      </c>
      <c r="C69" s="3" t="s">
        <v>29</v>
      </c>
      <c r="D69" t="s">
        <v>30</v>
      </c>
      <c r="E69" s="3" t="s">
        <v>246</v>
      </c>
      <c r="F69" s="3" t="s">
        <v>325</v>
      </c>
      <c r="G69" s="3" t="s">
        <v>245</v>
      </c>
      <c r="H69" s="3" t="s">
        <v>59</v>
      </c>
      <c r="I69" s="3" t="s">
        <v>7</v>
      </c>
      <c r="J69" s="3" t="s">
        <v>39</v>
      </c>
      <c r="K69" s="3" t="s">
        <v>27</v>
      </c>
      <c r="L69" s="3" t="s">
        <v>41</v>
      </c>
      <c r="M69">
        <v>1</v>
      </c>
    </row>
    <row r="70" spans="1:13" x14ac:dyDescent="0.35">
      <c r="A70" s="2">
        <v>46182</v>
      </c>
      <c r="B70" s="1" t="str">
        <f ca="1">IF(Información1[[#This Row],[Fecha]]='Ajuste de fechas'!$A$2,"Día actual","Día anterior")</f>
        <v>Día anterior</v>
      </c>
      <c r="C70" s="3" t="s">
        <v>29</v>
      </c>
      <c r="D70" t="s">
        <v>30</v>
      </c>
      <c r="E70" s="3" t="s">
        <v>313</v>
      </c>
      <c r="F70" s="3" t="s">
        <v>26</v>
      </c>
      <c r="G70" s="3" t="s">
        <v>314</v>
      </c>
      <c r="H70" s="3" t="s">
        <v>59</v>
      </c>
      <c r="I70" s="3" t="s">
        <v>7</v>
      </c>
      <c r="J70" s="3" t="s">
        <v>39</v>
      </c>
      <c r="K70" s="3" t="s">
        <v>27</v>
      </c>
      <c r="L70" s="3" t="s">
        <v>42</v>
      </c>
      <c r="M70">
        <v>1</v>
      </c>
    </row>
    <row r="71" spans="1:13" x14ac:dyDescent="0.35">
      <c r="A71" s="2">
        <v>46182</v>
      </c>
      <c r="B71" s="1" t="str">
        <f ca="1">IF(Información1[[#This Row],[Fecha]]='Ajuste de fechas'!$A$2,"Día actual","Día anterior")</f>
        <v>Día anterior</v>
      </c>
      <c r="C71" s="3" t="s">
        <v>29</v>
      </c>
      <c r="D71" t="s">
        <v>30</v>
      </c>
      <c r="E71" s="3" t="s">
        <v>326</v>
      </c>
      <c r="F71" s="3" t="s">
        <v>15</v>
      </c>
      <c r="G71" s="3" t="s">
        <v>327</v>
      </c>
      <c r="H71" s="3" t="s">
        <v>59</v>
      </c>
      <c r="I71" s="3" t="s">
        <v>25</v>
      </c>
      <c r="J71" s="3" t="s">
        <v>39</v>
      </c>
      <c r="K71" s="3" t="s">
        <v>27</v>
      </c>
      <c r="L71" s="3" t="s">
        <v>40</v>
      </c>
      <c r="M71">
        <v>1</v>
      </c>
    </row>
    <row r="72" spans="1:13" x14ac:dyDescent="0.35">
      <c r="A72" s="2">
        <v>46182</v>
      </c>
      <c r="B72" s="1" t="str">
        <f ca="1">IF(Información1[[#This Row],[Fecha]]='Ajuste de fechas'!$A$2,"Día actual","Día anterior")</f>
        <v>Día anterior</v>
      </c>
      <c r="C72" s="3" t="s">
        <v>29</v>
      </c>
      <c r="D72" t="s">
        <v>30</v>
      </c>
      <c r="E72" s="3" t="s">
        <v>328</v>
      </c>
      <c r="F72" s="3" t="s">
        <v>26</v>
      </c>
      <c r="G72" s="3" t="s">
        <v>303</v>
      </c>
      <c r="H72" s="3" t="s">
        <v>59</v>
      </c>
      <c r="I72" s="3" t="s">
        <v>7</v>
      </c>
      <c r="J72" s="3" t="s">
        <v>39</v>
      </c>
      <c r="K72" s="3" t="s">
        <v>27</v>
      </c>
      <c r="L72" s="3" t="s">
        <v>40</v>
      </c>
      <c r="M72">
        <v>1</v>
      </c>
    </row>
    <row r="73" spans="1:13" x14ac:dyDescent="0.35">
      <c r="A73" s="2">
        <v>46182</v>
      </c>
      <c r="B73" s="1" t="str">
        <f ca="1">IF(Información1[[#This Row],[Fecha]]='Ajuste de fechas'!$A$2,"Día actual","Día anterior")</f>
        <v>Día anterior</v>
      </c>
      <c r="C73" s="3" t="s">
        <v>29</v>
      </c>
      <c r="D73" t="s">
        <v>30</v>
      </c>
      <c r="E73" s="3" t="s">
        <v>329</v>
      </c>
      <c r="F73" s="3" t="s">
        <v>15</v>
      </c>
      <c r="G73" s="3" t="s">
        <v>61</v>
      </c>
      <c r="H73" s="3" t="s">
        <v>59</v>
      </c>
      <c r="I73" s="3" t="s">
        <v>25</v>
      </c>
      <c r="J73" s="3" t="s">
        <v>39</v>
      </c>
      <c r="K73" s="3" t="s">
        <v>27</v>
      </c>
      <c r="L73" s="3" t="s">
        <v>41</v>
      </c>
      <c r="M73">
        <v>1</v>
      </c>
    </row>
    <row r="74" spans="1:13" x14ac:dyDescent="0.35">
      <c r="A74" s="2">
        <v>46182</v>
      </c>
      <c r="B74" s="1" t="str">
        <f ca="1">IF(Información1[[#This Row],[Fecha]]='Ajuste de fechas'!$A$2,"Día actual","Día anterior")</f>
        <v>Día anterior</v>
      </c>
      <c r="C74" s="3" t="s">
        <v>8</v>
      </c>
      <c r="D74" t="s">
        <v>10</v>
      </c>
      <c r="E74" s="3" t="s">
        <v>330</v>
      </c>
      <c r="F74" s="3" t="s">
        <v>325</v>
      </c>
      <c r="G74" s="3" t="s">
        <v>331</v>
      </c>
      <c r="H74" s="3" t="s">
        <v>11</v>
      </c>
      <c r="I74" s="3" t="s">
        <v>25</v>
      </c>
      <c r="J74" s="3" t="s">
        <v>39</v>
      </c>
      <c r="K74" s="3" t="s">
        <v>9</v>
      </c>
      <c r="L74" s="3" t="s">
        <v>41</v>
      </c>
      <c r="M74">
        <v>1</v>
      </c>
    </row>
    <row r="75" spans="1:13" x14ac:dyDescent="0.35">
      <c r="A75" s="2">
        <v>46182</v>
      </c>
      <c r="B75" s="1" t="str">
        <f ca="1">IF(Información1[[#This Row],[Fecha]]='Ajuste de fechas'!$A$2,"Día actual","Día anterior")</f>
        <v>Día anterior</v>
      </c>
      <c r="C75" s="3" t="s">
        <v>28</v>
      </c>
      <c r="D75" t="s">
        <v>70</v>
      </c>
      <c r="E75" s="3" t="s">
        <v>332</v>
      </c>
      <c r="F75" s="3" t="s">
        <v>15</v>
      </c>
      <c r="G75" s="3" t="s">
        <v>81</v>
      </c>
      <c r="H75" s="3" t="s">
        <v>11</v>
      </c>
      <c r="I75" s="3" t="s">
        <v>7</v>
      </c>
      <c r="J75" s="3" t="s">
        <v>39</v>
      </c>
      <c r="K75" s="3" t="s">
        <v>71</v>
      </c>
      <c r="L75" s="3" t="s">
        <v>40</v>
      </c>
      <c r="M75">
        <v>1</v>
      </c>
    </row>
    <row r="76" spans="1:13" x14ac:dyDescent="0.35">
      <c r="A76" s="2">
        <v>46182</v>
      </c>
      <c r="B76" s="1" t="str">
        <f ca="1">IF(Información1[[#This Row],[Fecha]]='Ajuste de fechas'!$A$2,"Día actual","Día anterior")</f>
        <v>Día anterior</v>
      </c>
      <c r="C76" s="3" t="s">
        <v>8</v>
      </c>
      <c r="D76" t="s">
        <v>10</v>
      </c>
      <c r="E76" s="3" t="s">
        <v>333</v>
      </c>
      <c r="F76" s="3" t="s">
        <v>6</v>
      </c>
      <c r="G76" s="3" t="s">
        <v>95</v>
      </c>
      <c r="H76" s="3" t="s">
        <v>11</v>
      </c>
      <c r="I76" s="3" t="s">
        <v>7</v>
      </c>
      <c r="J76" s="3" t="s">
        <v>39</v>
      </c>
      <c r="K76" s="3" t="s">
        <v>9</v>
      </c>
      <c r="L76" s="3" t="s">
        <v>41</v>
      </c>
      <c r="M76">
        <v>1</v>
      </c>
    </row>
    <row r="77" spans="1:13" x14ac:dyDescent="0.35">
      <c r="A77" s="2">
        <v>46182</v>
      </c>
      <c r="B77" s="1" t="str">
        <f ca="1">IF(Información1[[#This Row],[Fecha]]='Ajuste de fechas'!$A$2,"Día actual","Día anterior")</f>
        <v>Día anterior</v>
      </c>
      <c r="C77" s="3" t="s">
        <v>87</v>
      </c>
      <c r="D77" t="s">
        <v>88</v>
      </c>
      <c r="E77" s="3" t="s">
        <v>334</v>
      </c>
      <c r="F77" s="3" t="s">
        <v>96</v>
      </c>
      <c r="G77" s="3" t="s">
        <v>97</v>
      </c>
      <c r="H77" s="3" t="s">
        <v>11</v>
      </c>
      <c r="I77" s="3" t="s">
        <v>7</v>
      </c>
      <c r="J77" s="3" t="s">
        <v>39</v>
      </c>
      <c r="K77" s="3" t="s">
        <v>89</v>
      </c>
      <c r="L77" s="3" t="s">
        <v>42</v>
      </c>
      <c r="M77">
        <v>1</v>
      </c>
    </row>
    <row r="78" spans="1:13" x14ac:dyDescent="0.35">
      <c r="A78" s="2">
        <v>46182</v>
      </c>
      <c r="B78" s="1" t="str">
        <f ca="1">IF(Información1[[#This Row],[Fecha]]='Ajuste de fechas'!$A$2,"Día actual","Día anterior")</f>
        <v>Día anterior</v>
      </c>
      <c r="C78" s="3" t="s">
        <v>8</v>
      </c>
      <c r="D78" t="s">
        <v>10</v>
      </c>
      <c r="E78" s="3" t="s">
        <v>315</v>
      </c>
      <c r="F78" s="3" t="s">
        <v>6</v>
      </c>
      <c r="G78" s="3" t="s">
        <v>92</v>
      </c>
      <c r="H78" s="3" t="s">
        <v>11</v>
      </c>
      <c r="I78" s="3" t="s">
        <v>7</v>
      </c>
      <c r="J78" s="3" t="s">
        <v>39</v>
      </c>
      <c r="K78" s="3" t="s">
        <v>14</v>
      </c>
      <c r="L78" s="3" t="s">
        <v>42</v>
      </c>
      <c r="M78">
        <v>1</v>
      </c>
    </row>
    <row r="79" spans="1:13" x14ac:dyDescent="0.35">
      <c r="A79" s="2">
        <v>46182</v>
      </c>
      <c r="B79" s="1" t="str">
        <f ca="1">IF(Información1[[#This Row],[Fecha]]='Ajuste de fechas'!$A$2,"Día actual","Día anterior")</f>
        <v>Día anterior</v>
      </c>
      <c r="C79" s="3" t="s">
        <v>8</v>
      </c>
      <c r="D79" t="s">
        <v>10</v>
      </c>
      <c r="E79" s="3" t="s">
        <v>54</v>
      </c>
      <c r="F79" s="3" t="s">
        <v>21</v>
      </c>
      <c r="G79" s="3" t="s">
        <v>32</v>
      </c>
      <c r="H79" s="3" t="s">
        <v>11</v>
      </c>
      <c r="I79" s="3" t="s">
        <v>12</v>
      </c>
      <c r="J79" s="3" t="s">
        <v>39</v>
      </c>
      <c r="K79" s="3" t="s">
        <v>14</v>
      </c>
      <c r="L79" s="3" t="s">
        <v>41</v>
      </c>
      <c r="M79">
        <v>1</v>
      </c>
    </row>
    <row r="80" spans="1:13" x14ac:dyDescent="0.35">
      <c r="A80" s="2">
        <v>46182</v>
      </c>
      <c r="B80" s="1" t="str">
        <f ca="1">IF(Información1[[#This Row],[Fecha]]='Ajuste de fechas'!$A$2,"Día actual","Día anterior")</f>
        <v>Día anterior</v>
      </c>
      <c r="C80" s="3" t="s">
        <v>8</v>
      </c>
      <c r="D80" t="s">
        <v>10</v>
      </c>
      <c r="E80" s="3" t="s">
        <v>13</v>
      </c>
      <c r="F80" s="3" t="s">
        <v>15</v>
      </c>
      <c r="G80" s="3" t="s">
        <v>32</v>
      </c>
      <c r="H80" s="3" t="s">
        <v>11</v>
      </c>
      <c r="I80" s="3" t="s">
        <v>12</v>
      </c>
      <c r="J80" s="3" t="s">
        <v>39</v>
      </c>
      <c r="K80" s="3" t="s">
        <v>14</v>
      </c>
      <c r="L80" s="3" t="s">
        <v>41</v>
      </c>
      <c r="M80">
        <v>1</v>
      </c>
    </row>
    <row r="81" spans="1:13" x14ac:dyDescent="0.35">
      <c r="A81" s="2">
        <v>46182</v>
      </c>
      <c r="B81" s="1" t="str">
        <f ca="1">IF(Información1[[#This Row],[Fecha]]='Ajuste de fechas'!$A$2,"Día actual","Día anterior")</f>
        <v>Día anterior</v>
      </c>
      <c r="C81" s="3" t="s">
        <v>8</v>
      </c>
      <c r="D81" t="s">
        <v>10</v>
      </c>
      <c r="E81" s="3" t="s">
        <v>16</v>
      </c>
      <c r="F81" s="3" t="s">
        <v>17</v>
      </c>
      <c r="G81" s="3" t="s">
        <v>32</v>
      </c>
      <c r="H81" s="3" t="s">
        <v>11</v>
      </c>
      <c r="I81" s="3" t="s">
        <v>12</v>
      </c>
      <c r="J81" s="3" t="s">
        <v>39</v>
      </c>
      <c r="K81" s="3" t="s">
        <v>14</v>
      </c>
      <c r="L81" s="3" t="s">
        <v>41</v>
      </c>
      <c r="M81">
        <v>1</v>
      </c>
    </row>
    <row r="82" spans="1:13" x14ac:dyDescent="0.35">
      <c r="A82" s="2">
        <v>46182</v>
      </c>
      <c r="B82" s="1" t="str">
        <f ca="1">IF(Información1[[#This Row],[Fecha]]='Ajuste de fechas'!$A$2,"Día actual","Día anterior")</f>
        <v>Día anterior</v>
      </c>
      <c r="C82" s="3" t="s">
        <v>8</v>
      </c>
      <c r="D82" t="s">
        <v>10</v>
      </c>
      <c r="E82" s="3" t="s">
        <v>55</v>
      </c>
      <c r="F82" s="3" t="s">
        <v>6</v>
      </c>
      <c r="G82" s="3" t="s">
        <v>32</v>
      </c>
      <c r="H82" s="3" t="s">
        <v>11</v>
      </c>
      <c r="I82" s="3" t="s">
        <v>12</v>
      </c>
      <c r="J82" s="3" t="s">
        <v>39</v>
      </c>
      <c r="K82" s="3" t="s">
        <v>14</v>
      </c>
      <c r="L82" s="3" t="s">
        <v>41</v>
      </c>
      <c r="M82">
        <v>1</v>
      </c>
    </row>
    <row r="83" spans="1:13" x14ac:dyDescent="0.35">
      <c r="A83" s="2">
        <v>46182</v>
      </c>
      <c r="B83" s="1" t="str">
        <f ca="1">IF(Información1[[#This Row],[Fecha]]='Ajuste de fechas'!$A$2,"Día actual","Día anterior")</f>
        <v>Día anterior</v>
      </c>
      <c r="C83" s="3" t="s">
        <v>8</v>
      </c>
      <c r="D83" t="s">
        <v>10</v>
      </c>
      <c r="E83" s="3" t="s">
        <v>335</v>
      </c>
      <c r="F83" s="3" t="s">
        <v>23</v>
      </c>
      <c r="G83" s="3" t="s">
        <v>309</v>
      </c>
      <c r="H83" s="3" t="s">
        <v>11</v>
      </c>
      <c r="I83" s="3" t="s">
        <v>7</v>
      </c>
      <c r="J83" s="3" t="s">
        <v>39</v>
      </c>
      <c r="K83" s="3" t="s">
        <v>14</v>
      </c>
      <c r="L83" s="3" t="s">
        <v>42</v>
      </c>
      <c r="M83">
        <v>1</v>
      </c>
    </row>
    <row r="84" spans="1:13" x14ac:dyDescent="0.35">
      <c r="A84" s="2">
        <v>46182</v>
      </c>
      <c r="B84" s="1" t="str">
        <f ca="1">IF(Información1[[#This Row],[Fecha]]='Ajuste de fechas'!$A$2,"Día actual","Día anterior")</f>
        <v>Día anterior</v>
      </c>
      <c r="C84" s="3" t="s">
        <v>28</v>
      </c>
      <c r="D84" t="s">
        <v>70</v>
      </c>
      <c r="E84" s="3" t="s">
        <v>336</v>
      </c>
      <c r="F84" s="3" t="s">
        <v>26</v>
      </c>
      <c r="G84" s="3" t="s">
        <v>337</v>
      </c>
      <c r="H84" s="3" t="s">
        <v>11</v>
      </c>
      <c r="I84" s="3" t="s">
        <v>7</v>
      </c>
      <c r="J84" s="3" t="s">
        <v>39</v>
      </c>
      <c r="K84" s="3" t="s">
        <v>71</v>
      </c>
      <c r="L84" s="3" t="s">
        <v>40</v>
      </c>
      <c r="M84">
        <v>1</v>
      </c>
    </row>
    <row r="85" spans="1:13" x14ac:dyDescent="0.35">
      <c r="A85" s="2">
        <v>46182</v>
      </c>
      <c r="B85" s="1" t="str">
        <f ca="1">IF(Información1[[#This Row],[Fecha]]='Ajuste de fechas'!$A$2,"Día actual","Día anterior")</f>
        <v>Día anterior</v>
      </c>
      <c r="C85" s="3" t="s">
        <v>28</v>
      </c>
      <c r="D85" t="s">
        <v>70</v>
      </c>
      <c r="E85" s="3" t="s">
        <v>338</v>
      </c>
      <c r="F85" s="3" t="s">
        <v>26</v>
      </c>
      <c r="G85" s="3" t="s">
        <v>301</v>
      </c>
      <c r="H85" s="3" t="s">
        <v>11</v>
      </c>
      <c r="I85" s="3" t="s">
        <v>7</v>
      </c>
      <c r="J85" s="3" t="s">
        <v>39</v>
      </c>
      <c r="K85" s="3" t="s">
        <v>71</v>
      </c>
      <c r="L85" s="3" t="s">
        <v>40</v>
      </c>
      <c r="M85">
        <v>1</v>
      </c>
    </row>
    <row r="86" spans="1:13" x14ac:dyDescent="0.35">
      <c r="A86" s="2">
        <v>46182</v>
      </c>
      <c r="B86" s="1" t="str">
        <f ca="1">IF(Información1[[#This Row],[Fecha]]='Ajuste de fechas'!$A$2,"Día actual","Día anterior")</f>
        <v>Día anterior</v>
      </c>
      <c r="C86" s="3" t="s">
        <v>28</v>
      </c>
      <c r="D86" t="s">
        <v>70</v>
      </c>
      <c r="E86" s="3" t="s">
        <v>339</v>
      </c>
      <c r="F86" s="3" t="s">
        <v>26</v>
      </c>
      <c r="G86" s="3" t="s">
        <v>340</v>
      </c>
      <c r="H86" s="3" t="s">
        <v>11</v>
      </c>
      <c r="I86" s="3" t="s">
        <v>7</v>
      </c>
      <c r="J86" s="3" t="s">
        <v>39</v>
      </c>
      <c r="K86" s="3" t="s">
        <v>71</v>
      </c>
      <c r="L86" s="3" t="s">
        <v>40</v>
      </c>
      <c r="M86">
        <v>1</v>
      </c>
    </row>
    <row r="87" spans="1:13" x14ac:dyDescent="0.35">
      <c r="A87" s="2">
        <v>46182</v>
      </c>
      <c r="B87" s="1" t="str">
        <f ca="1">IF(Información1[[#This Row],[Fecha]]='Ajuste de fechas'!$A$2,"Día actual","Día anterior")</f>
        <v>Día anterior</v>
      </c>
      <c r="C87" s="3" t="s">
        <v>8</v>
      </c>
      <c r="D87" t="s">
        <v>10</v>
      </c>
      <c r="E87" s="3" t="s">
        <v>341</v>
      </c>
      <c r="F87" s="3" t="s">
        <v>21</v>
      </c>
      <c r="G87" s="3" t="s">
        <v>342</v>
      </c>
      <c r="H87" s="3" t="s">
        <v>11</v>
      </c>
      <c r="I87" s="3" t="s">
        <v>7</v>
      </c>
      <c r="J87" s="3" t="s">
        <v>39</v>
      </c>
      <c r="K87" s="3" t="s">
        <v>14</v>
      </c>
      <c r="L87" s="3" t="s">
        <v>42</v>
      </c>
      <c r="M87">
        <v>1</v>
      </c>
    </row>
    <row r="88" spans="1:13" x14ac:dyDescent="0.35">
      <c r="A88" s="2">
        <v>46182</v>
      </c>
      <c r="B88" s="1" t="str">
        <f ca="1">IF(Información1[[#This Row],[Fecha]]='Ajuste de fechas'!$A$2,"Día actual","Día anterior")</f>
        <v>Día anterior</v>
      </c>
      <c r="C88" s="3" t="s">
        <v>28</v>
      </c>
      <c r="D88" t="s">
        <v>70</v>
      </c>
      <c r="E88" s="3" t="s">
        <v>343</v>
      </c>
      <c r="F88" s="3" t="s">
        <v>62</v>
      </c>
      <c r="G88" s="3" t="s">
        <v>73</v>
      </c>
      <c r="H88" s="3" t="s">
        <v>11</v>
      </c>
      <c r="I88" s="3" t="s">
        <v>7</v>
      </c>
      <c r="J88" s="3" t="s">
        <v>39</v>
      </c>
      <c r="K88" s="3" t="s">
        <v>71</v>
      </c>
      <c r="L88" s="3" t="s">
        <v>42</v>
      </c>
      <c r="M88">
        <v>1</v>
      </c>
    </row>
    <row r="89" spans="1:13" x14ac:dyDescent="0.35">
      <c r="A89" s="2">
        <v>46182</v>
      </c>
      <c r="B89" s="1" t="str">
        <f ca="1">IF(Información1[[#This Row],[Fecha]]='Ajuste de fechas'!$A$2,"Día actual","Día anterior")</f>
        <v>Día anterior</v>
      </c>
      <c r="C89" s="3" t="s">
        <v>8</v>
      </c>
      <c r="D89" t="s">
        <v>10</v>
      </c>
      <c r="E89" s="3" t="s">
        <v>344</v>
      </c>
      <c r="F89" s="3" t="s">
        <v>17</v>
      </c>
      <c r="G89" s="3" t="s">
        <v>85</v>
      </c>
      <c r="H89" s="3" t="s">
        <v>11</v>
      </c>
      <c r="I89" s="3" t="s">
        <v>25</v>
      </c>
      <c r="J89" s="3" t="s">
        <v>39</v>
      </c>
      <c r="K89" s="3" t="s">
        <v>9</v>
      </c>
      <c r="L89" s="3" t="s">
        <v>41</v>
      </c>
      <c r="M89">
        <v>1</v>
      </c>
    </row>
    <row r="90" spans="1:13" x14ac:dyDescent="0.35">
      <c r="A90" s="2">
        <v>46182</v>
      </c>
      <c r="B90" s="1" t="str">
        <f ca="1">IF(Información1[[#This Row],[Fecha]]='Ajuste de fechas'!$A$2,"Día actual","Día anterior")</f>
        <v>Día anterior</v>
      </c>
      <c r="C90" s="3" t="s">
        <v>8</v>
      </c>
      <c r="D90" t="s">
        <v>10</v>
      </c>
      <c r="E90" s="3" t="s">
        <v>345</v>
      </c>
      <c r="F90" s="3" t="s">
        <v>6</v>
      </c>
      <c r="G90" s="3" t="s">
        <v>346</v>
      </c>
      <c r="H90" s="3" t="s">
        <v>11</v>
      </c>
      <c r="I90" s="3" t="s">
        <v>25</v>
      </c>
      <c r="J90" s="3" t="s">
        <v>39</v>
      </c>
      <c r="K90" s="3" t="s">
        <v>9</v>
      </c>
      <c r="L90" s="3" t="s">
        <v>41</v>
      </c>
      <c r="M90">
        <v>1</v>
      </c>
    </row>
    <row r="91" spans="1:13" x14ac:dyDescent="0.35">
      <c r="A91" s="2">
        <v>46182</v>
      </c>
      <c r="B91" s="1" t="str">
        <f ca="1">IF(Información1[[#This Row],[Fecha]]='Ajuste de fechas'!$A$2,"Día actual","Día anterior")</f>
        <v>Día anterior</v>
      </c>
      <c r="C91" s="3" t="s">
        <v>8</v>
      </c>
      <c r="D91" t="s">
        <v>10</v>
      </c>
      <c r="E91" s="3" t="s">
        <v>347</v>
      </c>
      <c r="F91" s="3" t="s">
        <v>6</v>
      </c>
      <c r="G91" s="3" t="s">
        <v>346</v>
      </c>
      <c r="H91" s="3" t="s">
        <v>11</v>
      </c>
      <c r="I91" s="3" t="s">
        <v>25</v>
      </c>
      <c r="J91" s="3" t="s">
        <v>39</v>
      </c>
      <c r="K91" s="3" t="s">
        <v>9</v>
      </c>
      <c r="L91" s="3" t="s">
        <v>41</v>
      </c>
      <c r="M91">
        <v>1</v>
      </c>
    </row>
    <row r="92" spans="1:13" x14ac:dyDescent="0.35">
      <c r="A92" s="2">
        <v>46182</v>
      </c>
      <c r="B92" s="1" t="str">
        <f ca="1">IF(Información1[[#This Row],[Fecha]]='Ajuste de fechas'!$A$2,"Día actual","Día anterior")</f>
        <v>Día anterior</v>
      </c>
      <c r="C92" s="3" t="s">
        <v>28</v>
      </c>
      <c r="D92" t="s">
        <v>70</v>
      </c>
      <c r="E92" s="3" t="s">
        <v>313</v>
      </c>
      <c r="F92" s="3" t="s">
        <v>26</v>
      </c>
      <c r="G92" s="3" t="s">
        <v>314</v>
      </c>
      <c r="H92" s="3" t="s">
        <v>11</v>
      </c>
      <c r="I92" s="3" t="s">
        <v>7</v>
      </c>
      <c r="J92" s="3" t="s">
        <v>39</v>
      </c>
      <c r="K92" s="3" t="s">
        <v>71</v>
      </c>
      <c r="L92" s="3" t="s">
        <v>42</v>
      </c>
      <c r="M92">
        <v>1</v>
      </c>
    </row>
    <row r="93" spans="1:13" x14ac:dyDescent="0.35">
      <c r="A93" s="2">
        <v>46182</v>
      </c>
      <c r="B93" s="1" t="str">
        <f ca="1">IF(Información1[[#This Row],[Fecha]]='Ajuste de fechas'!$A$2,"Día actual","Día anterior")</f>
        <v>Día anterior</v>
      </c>
      <c r="C93" s="3" t="s">
        <v>8</v>
      </c>
      <c r="D93" t="s">
        <v>10</v>
      </c>
      <c r="E93" s="3" t="s">
        <v>348</v>
      </c>
      <c r="F93" s="3" t="s">
        <v>48</v>
      </c>
      <c r="G93" s="3" t="s">
        <v>349</v>
      </c>
      <c r="H93" s="3" t="s">
        <v>11</v>
      </c>
      <c r="I93" s="3" t="s">
        <v>25</v>
      </c>
      <c r="J93" s="3" t="s">
        <v>39</v>
      </c>
      <c r="K93" s="3" t="s">
        <v>9</v>
      </c>
      <c r="L93" s="3" t="s">
        <v>41</v>
      </c>
      <c r="M93">
        <v>1</v>
      </c>
    </row>
    <row r="94" spans="1:13" x14ac:dyDescent="0.35">
      <c r="A94" s="2">
        <v>46182</v>
      </c>
      <c r="B94" s="1" t="str">
        <f ca="1">IF(Información1[[#This Row],[Fecha]]='Ajuste de fechas'!$A$2,"Día actual","Día anterior")</f>
        <v>Día anterior</v>
      </c>
      <c r="C94" s="3" t="s">
        <v>50</v>
      </c>
      <c r="D94" t="s">
        <v>57</v>
      </c>
      <c r="E94" s="3" t="s">
        <v>350</v>
      </c>
      <c r="F94" s="3" t="s">
        <v>21</v>
      </c>
      <c r="G94" s="3" t="s">
        <v>351</v>
      </c>
      <c r="H94" s="3" t="s">
        <v>11</v>
      </c>
      <c r="I94" s="3" t="s">
        <v>25</v>
      </c>
      <c r="J94" s="3" t="s">
        <v>39</v>
      </c>
      <c r="K94" s="3" t="s">
        <v>9</v>
      </c>
      <c r="L94" s="3" t="s">
        <v>41</v>
      </c>
      <c r="M94">
        <v>1</v>
      </c>
    </row>
    <row r="95" spans="1:13" x14ac:dyDescent="0.35">
      <c r="A95" s="2">
        <v>46182</v>
      </c>
      <c r="B95" s="1" t="str">
        <f ca="1">IF(Información1[[#This Row],[Fecha]]='Ajuste de fechas'!$A$2,"Día actual","Día anterior")</f>
        <v>Día anterior</v>
      </c>
      <c r="C95" s="3" t="s">
        <v>50</v>
      </c>
      <c r="D95" t="s">
        <v>57</v>
      </c>
      <c r="E95" s="3" t="s">
        <v>352</v>
      </c>
      <c r="F95" s="3" t="s">
        <v>26</v>
      </c>
      <c r="G95" s="3" t="s">
        <v>253</v>
      </c>
      <c r="H95" s="3" t="s">
        <v>11</v>
      </c>
      <c r="I95" s="3" t="s">
        <v>7</v>
      </c>
      <c r="J95" s="3" t="s">
        <v>39</v>
      </c>
      <c r="K95" s="3" t="s">
        <v>51</v>
      </c>
      <c r="L95" s="3" t="s">
        <v>40</v>
      </c>
      <c r="M95">
        <v>1</v>
      </c>
    </row>
    <row r="96" spans="1:13" x14ac:dyDescent="0.35">
      <c r="A96" s="2">
        <v>46182</v>
      </c>
      <c r="B96" s="1" t="str">
        <f ca="1">IF(Información1[[#This Row],[Fecha]]='Ajuste de fechas'!$A$2,"Día actual","Día anterior")</f>
        <v>Día anterior</v>
      </c>
      <c r="C96" s="3" t="s">
        <v>67</v>
      </c>
      <c r="D96" t="s">
        <v>68</v>
      </c>
      <c r="E96" s="3" t="s">
        <v>353</v>
      </c>
      <c r="F96" s="3" t="s">
        <v>26</v>
      </c>
      <c r="G96" s="3" t="s">
        <v>301</v>
      </c>
      <c r="H96" s="3" t="s">
        <v>11</v>
      </c>
      <c r="I96" s="3" t="s">
        <v>7</v>
      </c>
      <c r="J96" s="3" t="s">
        <v>39</v>
      </c>
      <c r="K96" s="3" t="s">
        <v>69</v>
      </c>
      <c r="L96" s="3" t="s">
        <v>40</v>
      </c>
      <c r="M96">
        <v>1</v>
      </c>
    </row>
    <row r="97" spans="1:13" x14ac:dyDescent="0.35">
      <c r="A97" s="2">
        <v>46182</v>
      </c>
      <c r="B97" s="1" t="str">
        <f ca="1">IF(Información1[[#This Row],[Fecha]]='Ajuste de fechas'!$A$2,"Día actual","Día anterior")</f>
        <v>Día anterior</v>
      </c>
      <c r="C97" s="3" t="s">
        <v>67</v>
      </c>
      <c r="D97" t="s">
        <v>68</v>
      </c>
      <c r="E97" s="3" t="s">
        <v>354</v>
      </c>
      <c r="F97" s="3" t="s">
        <v>31</v>
      </c>
      <c r="G97" s="3" t="s">
        <v>355</v>
      </c>
      <c r="H97" s="3" t="s">
        <v>11</v>
      </c>
      <c r="I97" s="3" t="s">
        <v>7</v>
      </c>
      <c r="J97" s="3" t="s">
        <v>39</v>
      </c>
      <c r="K97" s="3" t="s">
        <v>69</v>
      </c>
      <c r="L97" s="3" t="s">
        <v>42</v>
      </c>
      <c r="M97">
        <v>1</v>
      </c>
    </row>
    <row r="98" spans="1:13" x14ac:dyDescent="0.35">
      <c r="A98" s="2">
        <v>46182</v>
      </c>
      <c r="B98" s="1" t="str">
        <f ca="1">IF(Información1[[#This Row],[Fecha]]='Ajuste de fechas'!$A$2,"Día actual","Día anterior")</f>
        <v>Día anterior</v>
      </c>
      <c r="C98" s="3" t="s">
        <v>67</v>
      </c>
      <c r="D98" t="s">
        <v>68</v>
      </c>
      <c r="E98" s="3" t="s">
        <v>356</v>
      </c>
      <c r="F98" s="3" t="s">
        <v>96</v>
      </c>
      <c r="G98" s="3" t="s">
        <v>97</v>
      </c>
      <c r="H98" s="3" t="s">
        <v>11</v>
      </c>
      <c r="I98" s="3" t="s">
        <v>7</v>
      </c>
      <c r="J98" s="3" t="s">
        <v>39</v>
      </c>
      <c r="K98" s="3" t="s">
        <v>69</v>
      </c>
      <c r="L98" s="3" t="s">
        <v>42</v>
      </c>
      <c r="M98">
        <v>1</v>
      </c>
    </row>
    <row r="99" spans="1:13" x14ac:dyDescent="0.35">
      <c r="A99" s="2">
        <v>46182</v>
      </c>
      <c r="B99" s="1" t="str">
        <f ca="1">IF(Información1[[#This Row],[Fecha]]='Ajuste de fechas'!$A$2,"Día actual","Día anterior")</f>
        <v>Día anterior</v>
      </c>
      <c r="C99" s="3" t="s">
        <v>67</v>
      </c>
      <c r="D99" t="s">
        <v>68</v>
      </c>
      <c r="E99" s="3" t="s">
        <v>357</v>
      </c>
      <c r="F99" s="3" t="s">
        <v>72</v>
      </c>
      <c r="G99" s="3" t="s">
        <v>305</v>
      </c>
      <c r="H99" s="3" t="s">
        <v>11</v>
      </c>
      <c r="I99" s="3" t="s">
        <v>7</v>
      </c>
      <c r="J99" s="3" t="s">
        <v>39</v>
      </c>
      <c r="K99" s="3" t="s">
        <v>69</v>
      </c>
      <c r="L99" s="3" t="s">
        <v>42</v>
      </c>
      <c r="M99">
        <v>1</v>
      </c>
    </row>
    <row r="100" spans="1:13" x14ac:dyDescent="0.35">
      <c r="A100" s="2">
        <v>46182</v>
      </c>
      <c r="B100" s="1" t="str">
        <f ca="1">IF(Información1[[#This Row],[Fecha]]='Ajuste de fechas'!$A$2,"Día actual","Día anterior")</f>
        <v>Día anterior</v>
      </c>
      <c r="C100" s="3" t="s">
        <v>67</v>
      </c>
      <c r="D100" t="s">
        <v>68</v>
      </c>
      <c r="E100" s="3" t="s">
        <v>315</v>
      </c>
      <c r="F100" s="3" t="s">
        <v>6</v>
      </c>
      <c r="G100" s="3" t="s">
        <v>92</v>
      </c>
      <c r="H100" s="3" t="s">
        <v>11</v>
      </c>
      <c r="I100" s="3" t="s">
        <v>7</v>
      </c>
      <c r="J100" s="3" t="s">
        <v>39</v>
      </c>
      <c r="K100" s="3" t="s">
        <v>69</v>
      </c>
      <c r="L100" s="3" t="s">
        <v>42</v>
      </c>
      <c r="M100">
        <v>1</v>
      </c>
    </row>
    <row r="101" spans="1:13" x14ac:dyDescent="0.35">
      <c r="A101" s="2">
        <v>46182</v>
      </c>
      <c r="B101" s="1" t="str">
        <f ca="1">IF(Información1[[#This Row],[Fecha]]='Ajuste de fechas'!$A$2,"Día actual","Día anterior")</f>
        <v>Día anterior</v>
      </c>
      <c r="C101" s="3" t="s">
        <v>67</v>
      </c>
      <c r="D101" t="s">
        <v>68</v>
      </c>
      <c r="E101" s="3" t="s">
        <v>313</v>
      </c>
      <c r="F101" s="3" t="s">
        <v>26</v>
      </c>
      <c r="G101" s="3" t="s">
        <v>314</v>
      </c>
      <c r="H101" s="3" t="s">
        <v>11</v>
      </c>
      <c r="I101" s="3" t="s">
        <v>7</v>
      </c>
      <c r="J101" s="3" t="s">
        <v>39</v>
      </c>
      <c r="K101" s="3" t="s">
        <v>69</v>
      </c>
      <c r="L101" s="3" t="s">
        <v>42</v>
      </c>
      <c r="M101">
        <v>1</v>
      </c>
    </row>
    <row r="102" spans="1:13" x14ac:dyDescent="0.35">
      <c r="A102" s="2">
        <v>46182</v>
      </c>
      <c r="B102" s="1" t="str">
        <f ca="1">IF(Información1[[#This Row],[Fecha]]='Ajuste de fechas'!$A$2,"Día actual","Día anterior")</f>
        <v>Día anterior</v>
      </c>
      <c r="C102" s="3" t="s">
        <v>50</v>
      </c>
      <c r="D102" t="s">
        <v>52</v>
      </c>
      <c r="E102" s="3" t="s">
        <v>358</v>
      </c>
      <c r="F102" s="3" t="s">
        <v>21</v>
      </c>
      <c r="G102" s="3" t="s">
        <v>359</v>
      </c>
      <c r="H102" s="3" t="s">
        <v>11</v>
      </c>
      <c r="I102" s="3" t="s">
        <v>12</v>
      </c>
      <c r="J102" s="3" t="s">
        <v>39</v>
      </c>
      <c r="K102" s="3" t="s">
        <v>49</v>
      </c>
      <c r="L102" s="3" t="s">
        <v>236</v>
      </c>
      <c r="M102">
        <v>1</v>
      </c>
    </row>
    <row r="103" spans="1:13" x14ac:dyDescent="0.35">
      <c r="A103" s="2">
        <v>46182</v>
      </c>
      <c r="B103" s="1" t="str">
        <f ca="1">IF(Información1[[#This Row],[Fecha]]='Ajuste de fechas'!$A$2,"Día actual","Día anterior")</f>
        <v>Día anterior</v>
      </c>
      <c r="C103" s="3" t="s">
        <v>50</v>
      </c>
      <c r="D103" t="s">
        <v>52</v>
      </c>
      <c r="E103" s="3" t="s">
        <v>360</v>
      </c>
      <c r="F103" s="3" t="s">
        <v>23</v>
      </c>
      <c r="G103" s="3" t="s">
        <v>317</v>
      </c>
      <c r="H103" s="3" t="s">
        <v>11</v>
      </c>
      <c r="I103" s="3" t="s">
        <v>7</v>
      </c>
      <c r="J103" s="3" t="s">
        <v>39</v>
      </c>
      <c r="K103" s="3" t="s">
        <v>51</v>
      </c>
      <c r="L103" s="3" t="s">
        <v>40</v>
      </c>
      <c r="M103">
        <v>1</v>
      </c>
    </row>
    <row r="104" spans="1:13" x14ac:dyDescent="0.35">
      <c r="A104" s="2">
        <v>46182</v>
      </c>
      <c r="B104" s="1" t="str">
        <f ca="1">IF(Información1[[#This Row],[Fecha]]='Ajuste de fechas'!$A$2,"Día actual","Día anterior")</f>
        <v>Día anterior</v>
      </c>
      <c r="C104" s="3" t="s">
        <v>50</v>
      </c>
      <c r="D104" t="s">
        <v>52</v>
      </c>
      <c r="E104" s="3" t="s">
        <v>361</v>
      </c>
      <c r="F104" s="3" t="s">
        <v>26</v>
      </c>
      <c r="G104" s="3" t="s">
        <v>303</v>
      </c>
      <c r="H104" s="3" t="s">
        <v>11</v>
      </c>
      <c r="I104" s="3" t="s">
        <v>7</v>
      </c>
      <c r="J104" s="3" t="s">
        <v>39</v>
      </c>
      <c r="K104" s="3" t="s">
        <v>49</v>
      </c>
      <c r="L104" s="3" t="s">
        <v>42</v>
      </c>
      <c r="M104">
        <v>1</v>
      </c>
    </row>
    <row r="105" spans="1:13" x14ac:dyDescent="0.35">
      <c r="A105" s="2">
        <v>46182</v>
      </c>
      <c r="B105" s="1" t="str">
        <f ca="1">IF(Información1[[#This Row],[Fecha]]='Ajuste de fechas'!$A$2,"Día actual","Día anterior")</f>
        <v>Día anterior</v>
      </c>
      <c r="C105" s="3" t="s">
        <v>50</v>
      </c>
      <c r="D105" t="s">
        <v>52</v>
      </c>
      <c r="E105" s="3" t="s">
        <v>362</v>
      </c>
      <c r="F105" s="3" t="s">
        <v>363</v>
      </c>
      <c r="G105" s="3" t="s">
        <v>364</v>
      </c>
      <c r="H105" s="3" t="s">
        <v>11</v>
      </c>
      <c r="I105" s="3" t="s">
        <v>7</v>
      </c>
      <c r="J105" s="3" t="s">
        <v>39</v>
      </c>
      <c r="K105" s="3" t="s">
        <v>49</v>
      </c>
      <c r="L105" s="3" t="s">
        <v>42</v>
      </c>
      <c r="M105">
        <v>1</v>
      </c>
    </row>
    <row r="106" spans="1:13" x14ac:dyDescent="0.35">
      <c r="A106" s="2">
        <v>46182</v>
      </c>
      <c r="B106" s="1" t="str">
        <f ca="1">IF(Información1[[#This Row],[Fecha]]='Ajuste de fechas'!$A$2,"Día actual","Día anterior")</f>
        <v>Día anterior</v>
      </c>
      <c r="C106" s="3" t="s">
        <v>50</v>
      </c>
      <c r="D106" t="s">
        <v>52</v>
      </c>
      <c r="E106" s="3" t="s">
        <v>365</v>
      </c>
      <c r="F106" s="3" t="s">
        <v>17</v>
      </c>
      <c r="G106" s="3" t="s">
        <v>256</v>
      </c>
      <c r="H106" s="3" t="s">
        <v>11</v>
      </c>
      <c r="I106" s="3" t="s">
        <v>7</v>
      </c>
      <c r="J106" s="3" t="s">
        <v>39</v>
      </c>
      <c r="K106" s="3" t="s">
        <v>49</v>
      </c>
      <c r="L106" s="3" t="s">
        <v>42</v>
      </c>
      <c r="M106">
        <v>1</v>
      </c>
    </row>
    <row r="107" spans="1:13" x14ac:dyDescent="0.35">
      <c r="A107" s="2">
        <v>46182</v>
      </c>
      <c r="B107" s="1" t="str">
        <f ca="1">IF(Información1[[#This Row],[Fecha]]='Ajuste de fechas'!$A$2,"Día actual","Día anterior")</f>
        <v>Día anterior</v>
      </c>
      <c r="C107" s="3" t="s">
        <v>50</v>
      </c>
      <c r="D107" t="s">
        <v>52</v>
      </c>
      <c r="E107" s="3" t="s">
        <v>315</v>
      </c>
      <c r="F107" s="3" t="s">
        <v>6</v>
      </c>
      <c r="G107" s="3" t="s">
        <v>92</v>
      </c>
      <c r="H107" s="3" t="s">
        <v>11</v>
      </c>
      <c r="I107" s="3" t="s">
        <v>7</v>
      </c>
      <c r="J107" s="3" t="s">
        <v>39</v>
      </c>
      <c r="K107" s="3" t="s">
        <v>49</v>
      </c>
      <c r="L107" s="3" t="s">
        <v>42</v>
      </c>
      <c r="M107">
        <v>1</v>
      </c>
    </row>
    <row r="108" spans="1:13" x14ac:dyDescent="0.35">
      <c r="A108" s="2">
        <v>46182</v>
      </c>
      <c r="B108" s="1" t="str">
        <f ca="1">IF(Información1[[#This Row],[Fecha]]='Ajuste de fechas'!$A$2,"Día actual","Día anterior")</f>
        <v>Día anterior</v>
      </c>
      <c r="C108" s="3" t="s">
        <v>50</v>
      </c>
      <c r="D108" t="s">
        <v>52</v>
      </c>
      <c r="E108" s="3" t="s">
        <v>366</v>
      </c>
      <c r="F108" s="3" t="s">
        <v>15</v>
      </c>
      <c r="G108" s="3" t="s">
        <v>81</v>
      </c>
      <c r="H108" s="3" t="s">
        <v>11</v>
      </c>
      <c r="I108" s="3" t="s">
        <v>7</v>
      </c>
      <c r="J108" s="3" t="s">
        <v>39</v>
      </c>
      <c r="K108" s="3" t="s">
        <v>49</v>
      </c>
      <c r="L108" s="3" t="s">
        <v>42</v>
      </c>
      <c r="M108">
        <v>1</v>
      </c>
    </row>
    <row r="109" spans="1:13" x14ac:dyDescent="0.35">
      <c r="A109" s="2">
        <v>46182</v>
      </c>
      <c r="B109" s="1" t="str">
        <f ca="1">IF(Información1[[#This Row],[Fecha]]='Ajuste de fechas'!$A$2,"Día actual","Día anterior")</f>
        <v>Día anterior</v>
      </c>
      <c r="C109" s="3" t="s">
        <v>50</v>
      </c>
      <c r="D109" t="s">
        <v>52</v>
      </c>
      <c r="E109" s="3" t="s">
        <v>313</v>
      </c>
      <c r="F109" s="3" t="s">
        <v>26</v>
      </c>
      <c r="G109" s="3" t="s">
        <v>314</v>
      </c>
      <c r="H109" s="3" t="s">
        <v>11</v>
      </c>
      <c r="I109" s="3" t="s">
        <v>7</v>
      </c>
      <c r="J109" s="3" t="s">
        <v>39</v>
      </c>
      <c r="K109" s="3" t="s">
        <v>49</v>
      </c>
      <c r="L109" s="3" t="s">
        <v>42</v>
      </c>
      <c r="M109">
        <v>1</v>
      </c>
    </row>
    <row r="110" spans="1:13" x14ac:dyDescent="0.35">
      <c r="A110" s="2">
        <v>46182</v>
      </c>
      <c r="B110" s="1" t="str">
        <f ca="1">IF(Información1[[#This Row],[Fecha]]='Ajuste de fechas'!$A$2,"Día actual","Día anterior")</f>
        <v>Día anterior</v>
      </c>
      <c r="C110" s="3" t="s">
        <v>78</v>
      </c>
      <c r="D110" t="s">
        <v>79</v>
      </c>
      <c r="E110" s="3" t="s">
        <v>313</v>
      </c>
      <c r="F110" s="3" t="s">
        <v>26</v>
      </c>
      <c r="G110" s="3" t="s">
        <v>314</v>
      </c>
      <c r="H110" s="3" t="s">
        <v>59</v>
      </c>
      <c r="I110" s="3" t="s">
        <v>7</v>
      </c>
      <c r="J110" s="3" t="s">
        <v>39</v>
      </c>
      <c r="K110" s="3" t="s">
        <v>49</v>
      </c>
      <c r="L110" s="3" t="s">
        <v>42</v>
      </c>
      <c r="M110">
        <v>1</v>
      </c>
    </row>
    <row r="111" spans="1:13" x14ac:dyDescent="0.35">
      <c r="A111" s="2">
        <v>46182</v>
      </c>
      <c r="B111" s="1" t="str">
        <f ca="1">IF(Información1[[#This Row],[Fecha]]='Ajuste de fechas'!$A$2,"Día actual","Día anterior")</f>
        <v>Día anterior</v>
      </c>
      <c r="C111" s="3" t="s">
        <v>78</v>
      </c>
      <c r="D111" t="s">
        <v>79</v>
      </c>
      <c r="E111" s="3" t="s">
        <v>367</v>
      </c>
      <c r="F111" s="3" t="s">
        <v>62</v>
      </c>
      <c r="G111" s="3" t="s">
        <v>73</v>
      </c>
      <c r="H111" s="3" t="s">
        <v>59</v>
      </c>
      <c r="I111" s="3" t="s">
        <v>7</v>
      </c>
      <c r="J111" s="3" t="s">
        <v>39</v>
      </c>
      <c r="K111" s="3" t="s">
        <v>49</v>
      </c>
      <c r="L111" s="3" t="s">
        <v>42</v>
      </c>
      <c r="M111">
        <v>1</v>
      </c>
    </row>
    <row r="112" spans="1:13" x14ac:dyDescent="0.35">
      <c r="A112" s="2">
        <v>46182</v>
      </c>
      <c r="B112" s="1" t="str">
        <f ca="1">IF(Información1[[#This Row],[Fecha]]='Ajuste de fechas'!$A$2,"Día actual","Día anterior")</f>
        <v>Día anterior</v>
      </c>
      <c r="C112" s="3" t="s">
        <v>78</v>
      </c>
      <c r="D112" t="s">
        <v>79</v>
      </c>
      <c r="E112" s="3" t="s">
        <v>354</v>
      </c>
      <c r="F112" s="3" t="s">
        <v>31</v>
      </c>
      <c r="G112" s="3" t="s">
        <v>355</v>
      </c>
      <c r="H112" s="3" t="s">
        <v>59</v>
      </c>
      <c r="I112" s="3" t="s">
        <v>7</v>
      </c>
      <c r="J112" s="3" t="s">
        <v>39</v>
      </c>
      <c r="K112" s="3" t="s">
        <v>49</v>
      </c>
      <c r="L112" s="3" t="s">
        <v>42</v>
      </c>
      <c r="M112">
        <v>1</v>
      </c>
    </row>
    <row r="113" spans="1:13" x14ac:dyDescent="0.35">
      <c r="A113" s="2">
        <v>46182</v>
      </c>
      <c r="B113" s="1" t="str">
        <f ca="1">IF(Información1[[#This Row],[Fecha]]='Ajuste de fechas'!$A$2,"Día actual","Día anterior")</f>
        <v>Día anterior</v>
      </c>
      <c r="C113" s="3" t="s">
        <v>78</v>
      </c>
      <c r="D113" t="s">
        <v>79</v>
      </c>
      <c r="E113" s="3" t="s">
        <v>90</v>
      </c>
      <c r="F113" s="3" t="s">
        <v>77</v>
      </c>
      <c r="G113" s="3" t="s">
        <v>91</v>
      </c>
      <c r="H113" s="3" t="s">
        <v>59</v>
      </c>
      <c r="I113" s="3" t="s">
        <v>7</v>
      </c>
      <c r="J113" s="3" t="s">
        <v>39</v>
      </c>
      <c r="K113" s="3" t="s">
        <v>49</v>
      </c>
      <c r="L113" s="3" t="s">
        <v>42</v>
      </c>
      <c r="M113">
        <v>1</v>
      </c>
    </row>
    <row r="114" spans="1:13" x14ac:dyDescent="0.35">
      <c r="A114" s="2">
        <v>46182</v>
      </c>
      <c r="B114" s="1" t="str">
        <f ca="1">IF(Información1[[#This Row],[Fecha]]='Ajuste de fechas'!$A$2,"Día actual","Día anterior")</f>
        <v>Día anterior</v>
      </c>
      <c r="C114" s="3" t="s">
        <v>78</v>
      </c>
      <c r="D114" t="s">
        <v>79</v>
      </c>
      <c r="E114" s="3" t="s">
        <v>357</v>
      </c>
      <c r="F114" s="3" t="s">
        <v>72</v>
      </c>
      <c r="G114" s="3" t="s">
        <v>305</v>
      </c>
      <c r="H114" s="3" t="s">
        <v>59</v>
      </c>
      <c r="I114" s="3" t="s">
        <v>7</v>
      </c>
      <c r="J114" s="3" t="s">
        <v>39</v>
      </c>
      <c r="K114" s="3" t="s">
        <v>49</v>
      </c>
      <c r="L114" s="3" t="s">
        <v>42</v>
      </c>
      <c r="M114">
        <v>1</v>
      </c>
    </row>
    <row r="115" spans="1:13" x14ac:dyDescent="0.35">
      <c r="A115" s="2">
        <v>46182</v>
      </c>
      <c r="B115" s="1" t="str">
        <f ca="1">IF(Información1[[#This Row],[Fecha]]='Ajuste de fechas'!$A$2,"Día actual","Día anterior")</f>
        <v>Día anterior</v>
      </c>
      <c r="C115" s="3" t="s">
        <v>78</v>
      </c>
      <c r="D115" t="s">
        <v>79</v>
      </c>
      <c r="E115" s="3" t="s">
        <v>368</v>
      </c>
      <c r="F115" s="3" t="s">
        <v>84</v>
      </c>
      <c r="G115" s="3" t="s">
        <v>369</v>
      </c>
      <c r="H115" s="3" t="s">
        <v>59</v>
      </c>
      <c r="I115" s="3" t="s">
        <v>7</v>
      </c>
      <c r="J115" s="3" t="s">
        <v>39</v>
      </c>
      <c r="K115" s="3" t="s">
        <v>49</v>
      </c>
      <c r="L115" s="3" t="s">
        <v>40</v>
      </c>
      <c r="M115">
        <v>1</v>
      </c>
    </row>
    <row r="116" spans="1:13" x14ac:dyDescent="0.35">
      <c r="A116" s="2">
        <v>46183</v>
      </c>
      <c r="B116" s="1" t="str">
        <f ca="1">IF(Información1[[#This Row],[Fecha]]='Ajuste de fechas'!$A$2,"Día actual","Día anterior")</f>
        <v>Día anterior</v>
      </c>
      <c r="C116" s="3" t="s">
        <v>50</v>
      </c>
      <c r="D116" t="s">
        <v>57</v>
      </c>
      <c r="E116" s="3" t="s">
        <v>100</v>
      </c>
      <c r="F116" s="3" t="s">
        <v>22</v>
      </c>
      <c r="G116" s="3" t="s">
        <v>101</v>
      </c>
      <c r="H116" s="3" t="s">
        <v>11</v>
      </c>
      <c r="I116" s="3" t="s">
        <v>7</v>
      </c>
      <c r="J116" s="3" t="s">
        <v>44</v>
      </c>
      <c r="K116" s="3" t="s">
        <v>51</v>
      </c>
      <c r="L116" s="3" t="s">
        <v>40</v>
      </c>
      <c r="M116">
        <v>1</v>
      </c>
    </row>
    <row r="117" spans="1:13" x14ac:dyDescent="0.35">
      <c r="A117" s="2">
        <v>46183</v>
      </c>
      <c r="B117" s="1" t="str">
        <f ca="1">IF(Información1[[#This Row],[Fecha]]='Ajuste de fechas'!$A$2,"Día actual","Día anterior")</f>
        <v>Día anterior</v>
      </c>
      <c r="C117" s="3" t="s">
        <v>67</v>
      </c>
      <c r="D117" t="s">
        <v>68</v>
      </c>
      <c r="E117" s="3" t="s">
        <v>105</v>
      </c>
      <c r="F117" s="3" t="s">
        <v>19</v>
      </c>
      <c r="G117" s="3" t="s">
        <v>74</v>
      </c>
      <c r="H117" s="3" t="s">
        <v>11</v>
      </c>
      <c r="I117" s="3" t="s">
        <v>7</v>
      </c>
      <c r="J117" s="3" t="s">
        <v>43</v>
      </c>
      <c r="K117" s="3" t="s">
        <v>69</v>
      </c>
      <c r="L117" s="3" t="s">
        <v>40</v>
      </c>
      <c r="M117">
        <v>1</v>
      </c>
    </row>
    <row r="118" spans="1:13" x14ac:dyDescent="0.35">
      <c r="A118" s="2">
        <v>46183</v>
      </c>
      <c r="B118" s="1" t="str">
        <f ca="1">IF(Información1[[#This Row],[Fecha]]='Ajuste de fechas'!$A$2,"Día actual","Día anterior")</f>
        <v>Día anterior</v>
      </c>
      <c r="C118" s="3" t="s">
        <v>67</v>
      </c>
      <c r="D118" t="s">
        <v>68</v>
      </c>
      <c r="E118" s="3" t="s">
        <v>106</v>
      </c>
      <c r="F118" s="3" t="s">
        <v>56</v>
      </c>
      <c r="G118" s="3" t="s">
        <v>93</v>
      </c>
      <c r="H118" s="3" t="s">
        <v>11</v>
      </c>
      <c r="I118" s="3" t="s">
        <v>7</v>
      </c>
      <c r="J118" s="3" t="s">
        <v>24</v>
      </c>
      <c r="K118" s="3" t="s">
        <v>69</v>
      </c>
      <c r="L118" s="3" t="s">
        <v>40</v>
      </c>
      <c r="M118">
        <v>1</v>
      </c>
    </row>
    <row r="119" spans="1:13" x14ac:dyDescent="0.35">
      <c r="A119" s="2">
        <v>46183</v>
      </c>
      <c r="B119" s="1" t="str">
        <f ca="1">IF(Información1[[#This Row],[Fecha]]='Ajuste de fechas'!$A$2,"Día actual","Día anterior")</f>
        <v>Día anterior</v>
      </c>
      <c r="C119" s="3" t="s">
        <v>67</v>
      </c>
      <c r="D119" t="s">
        <v>68</v>
      </c>
      <c r="E119" s="3" t="s">
        <v>107</v>
      </c>
      <c r="F119" s="3" t="s">
        <v>56</v>
      </c>
      <c r="G119" s="3" t="s">
        <v>108</v>
      </c>
      <c r="H119" s="3" t="s">
        <v>11</v>
      </c>
      <c r="I119" s="3" t="s">
        <v>7</v>
      </c>
      <c r="J119" s="3" t="s">
        <v>24</v>
      </c>
      <c r="K119" s="3" t="s">
        <v>69</v>
      </c>
      <c r="L119" s="3" t="s">
        <v>40</v>
      </c>
      <c r="M119">
        <v>1</v>
      </c>
    </row>
    <row r="120" spans="1:13" x14ac:dyDescent="0.35">
      <c r="A120" s="2">
        <v>46183</v>
      </c>
      <c r="B120" s="1" t="str">
        <f ca="1">IF(Información1[[#This Row],[Fecha]]='Ajuste de fechas'!$A$2,"Día actual","Día anterior")</f>
        <v>Día anterior</v>
      </c>
      <c r="C120" s="3" t="s">
        <v>63</v>
      </c>
      <c r="D120" t="s">
        <v>64</v>
      </c>
      <c r="E120" s="3" t="s">
        <v>136</v>
      </c>
      <c r="F120" s="3" t="s">
        <v>19</v>
      </c>
      <c r="G120" s="3" t="s">
        <v>137</v>
      </c>
      <c r="H120" s="3" t="s">
        <v>11</v>
      </c>
      <c r="I120" s="3" t="s">
        <v>25</v>
      </c>
      <c r="J120" s="3" t="s">
        <v>43</v>
      </c>
      <c r="K120" s="3" t="s">
        <v>65</v>
      </c>
      <c r="L120" s="3" t="s">
        <v>41</v>
      </c>
      <c r="M120">
        <v>1</v>
      </c>
    </row>
    <row r="121" spans="1:13" x14ac:dyDescent="0.35">
      <c r="A121" s="2">
        <v>46183</v>
      </c>
      <c r="B121" s="1" t="str">
        <f ca="1">IF(Información1[[#This Row],[Fecha]]='Ajuste de fechas'!$A$2,"Día actual","Día anterior")</f>
        <v>Día anterior</v>
      </c>
      <c r="C121" s="3" t="s">
        <v>63</v>
      </c>
      <c r="D121" t="s">
        <v>64</v>
      </c>
      <c r="E121" s="3" t="s">
        <v>138</v>
      </c>
      <c r="F121" s="3" t="s">
        <v>19</v>
      </c>
      <c r="G121" s="3" t="s">
        <v>137</v>
      </c>
      <c r="H121" s="3" t="s">
        <v>11</v>
      </c>
      <c r="I121" s="3" t="s">
        <v>7</v>
      </c>
      <c r="J121" s="3" t="s">
        <v>43</v>
      </c>
      <c r="K121" s="3" t="s">
        <v>65</v>
      </c>
      <c r="L121" s="3" t="s">
        <v>40</v>
      </c>
      <c r="M121">
        <v>1</v>
      </c>
    </row>
    <row r="122" spans="1:13" x14ac:dyDescent="0.35">
      <c r="A122" s="2">
        <v>46183</v>
      </c>
      <c r="B122" s="1" t="str">
        <f ca="1">IF(Información1[[#This Row],[Fecha]]='Ajuste de fechas'!$A$2,"Día actual","Día anterior")</f>
        <v>Día anterior</v>
      </c>
      <c r="C122" s="3" t="s">
        <v>63</v>
      </c>
      <c r="D122" t="s">
        <v>64</v>
      </c>
      <c r="E122" s="3" t="s">
        <v>140</v>
      </c>
      <c r="F122" s="3" t="s">
        <v>19</v>
      </c>
      <c r="G122" s="3" t="s">
        <v>141</v>
      </c>
      <c r="H122" s="3" t="s">
        <v>11</v>
      </c>
      <c r="I122" s="3" t="s">
        <v>7</v>
      </c>
      <c r="J122" s="3" t="s">
        <v>43</v>
      </c>
      <c r="K122" s="3" t="s">
        <v>65</v>
      </c>
      <c r="L122" s="3" t="s">
        <v>40</v>
      </c>
      <c r="M122">
        <v>1</v>
      </c>
    </row>
    <row r="123" spans="1:13" x14ac:dyDescent="0.35">
      <c r="A123" s="2">
        <v>46183</v>
      </c>
      <c r="B123" s="1" t="str">
        <f ca="1">IF(Información1[[#This Row],[Fecha]]='Ajuste de fechas'!$A$2,"Día actual","Día anterior")</f>
        <v>Día anterior</v>
      </c>
      <c r="C123" s="3" t="s">
        <v>63</v>
      </c>
      <c r="D123" t="s">
        <v>64</v>
      </c>
      <c r="E123" s="3" t="s">
        <v>142</v>
      </c>
      <c r="F123" s="3" t="s">
        <v>19</v>
      </c>
      <c r="G123" s="3" t="s">
        <v>143</v>
      </c>
      <c r="H123" s="3" t="s">
        <v>11</v>
      </c>
      <c r="I123" s="3" t="s">
        <v>7</v>
      </c>
      <c r="J123" s="3" t="s">
        <v>43</v>
      </c>
      <c r="K123" s="3" t="s">
        <v>65</v>
      </c>
      <c r="L123" s="3" t="s">
        <v>40</v>
      </c>
      <c r="M123">
        <v>1</v>
      </c>
    </row>
    <row r="124" spans="1:13" x14ac:dyDescent="0.35">
      <c r="A124" s="2">
        <v>46183</v>
      </c>
      <c r="B124" s="1" t="str">
        <f ca="1">IF(Información1[[#This Row],[Fecha]]='Ajuste de fechas'!$A$2,"Día actual","Día anterior")</f>
        <v>Día anterior</v>
      </c>
      <c r="C124" s="3" t="s">
        <v>63</v>
      </c>
      <c r="D124" t="s">
        <v>64</v>
      </c>
      <c r="E124" s="3" t="s">
        <v>144</v>
      </c>
      <c r="F124" s="3" t="s">
        <v>19</v>
      </c>
      <c r="G124" s="3" t="s">
        <v>145</v>
      </c>
      <c r="H124" s="3" t="s">
        <v>11</v>
      </c>
      <c r="I124" s="3" t="s">
        <v>7</v>
      </c>
      <c r="J124" s="3" t="s">
        <v>43</v>
      </c>
      <c r="K124" s="3" t="s">
        <v>65</v>
      </c>
      <c r="L124" s="3" t="s">
        <v>40</v>
      </c>
      <c r="M124">
        <v>1</v>
      </c>
    </row>
    <row r="125" spans="1:13" x14ac:dyDescent="0.35">
      <c r="A125" s="2">
        <v>46183</v>
      </c>
      <c r="B125" s="1" t="str">
        <f ca="1">IF(Información1[[#This Row],[Fecha]]='Ajuste de fechas'!$A$2,"Día actual","Día anterior")</f>
        <v>Día anterior</v>
      </c>
      <c r="C125" s="3" t="s">
        <v>63</v>
      </c>
      <c r="D125" t="s">
        <v>64</v>
      </c>
      <c r="E125" s="3" t="s">
        <v>146</v>
      </c>
      <c r="F125" s="3" t="s">
        <v>19</v>
      </c>
      <c r="G125" s="3" t="s">
        <v>58</v>
      </c>
      <c r="H125" s="3" t="s">
        <v>11</v>
      </c>
      <c r="I125" s="3" t="s">
        <v>7</v>
      </c>
      <c r="J125" s="3" t="s">
        <v>43</v>
      </c>
      <c r="K125" s="3" t="s">
        <v>65</v>
      </c>
      <c r="L125" s="3" t="s">
        <v>40</v>
      </c>
      <c r="M125">
        <v>1</v>
      </c>
    </row>
    <row r="126" spans="1:13" x14ac:dyDescent="0.35">
      <c r="A126" s="2">
        <v>46183</v>
      </c>
      <c r="B126" s="1" t="str">
        <f ca="1">IF(Información1[[#This Row],[Fecha]]='Ajuste de fechas'!$A$2,"Día actual","Día anterior")</f>
        <v>Día anterior</v>
      </c>
      <c r="C126" s="3" t="s">
        <v>63</v>
      </c>
      <c r="D126" t="s">
        <v>64</v>
      </c>
      <c r="E126" s="3" t="s">
        <v>149</v>
      </c>
      <c r="F126" s="3" t="s">
        <v>19</v>
      </c>
      <c r="G126" s="3" t="s">
        <v>150</v>
      </c>
      <c r="H126" s="3" t="s">
        <v>11</v>
      </c>
      <c r="I126" s="3" t="s">
        <v>7</v>
      </c>
      <c r="J126" s="3" t="s">
        <v>43</v>
      </c>
      <c r="K126" s="3" t="s">
        <v>65</v>
      </c>
      <c r="L126" s="3" t="s">
        <v>40</v>
      </c>
      <c r="M126">
        <v>1</v>
      </c>
    </row>
    <row r="127" spans="1:13" x14ac:dyDescent="0.35">
      <c r="A127" s="2">
        <v>46183</v>
      </c>
      <c r="B127" s="1" t="str">
        <f ca="1">IF(Información1[[#This Row],[Fecha]]='Ajuste de fechas'!$A$2,"Día actual","Día anterior")</f>
        <v>Día anterior</v>
      </c>
      <c r="C127" s="3" t="s">
        <v>63</v>
      </c>
      <c r="D127" t="s">
        <v>64</v>
      </c>
      <c r="E127" s="3" t="s">
        <v>153</v>
      </c>
      <c r="F127" s="3" t="s">
        <v>56</v>
      </c>
      <c r="G127" s="3" t="s">
        <v>93</v>
      </c>
      <c r="H127" s="3" t="s">
        <v>11</v>
      </c>
      <c r="I127" s="3" t="s">
        <v>7</v>
      </c>
      <c r="J127" s="3" t="s">
        <v>24</v>
      </c>
      <c r="K127" s="3" t="s">
        <v>65</v>
      </c>
      <c r="L127" s="3" t="s">
        <v>40</v>
      </c>
      <c r="M127">
        <v>1</v>
      </c>
    </row>
    <row r="128" spans="1:13" x14ac:dyDescent="0.35">
      <c r="A128" s="2">
        <v>46183</v>
      </c>
      <c r="B128" s="1" t="str">
        <f ca="1">IF(Información1[[#This Row],[Fecha]]='Ajuste de fechas'!$A$2,"Día actual","Día anterior")</f>
        <v>Día anterior</v>
      </c>
      <c r="C128" s="3" t="s">
        <v>63</v>
      </c>
      <c r="D128" t="s">
        <v>64</v>
      </c>
      <c r="E128" s="3" t="s">
        <v>154</v>
      </c>
      <c r="F128" s="3" t="s">
        <v>19</v>
      </c>
      <c r="G128" s="3" t="s">
        <v>155</v>
      </c>
      <c r="H128" s="3" t="s">
        <v>11</v>
      </c>
      <c r="I128" s="3" t="s">
        <v>7</v>
      </c>
      <c r="J128" s="3" t="s">
        <v>43</v>
      </c>
      <c r="K128" s="3" t="s">
        <v>65</v>
      </c>
      <c r="L128" s="3" t="s">
        <v>40</v>
      </c>
      <c r="M128">
        <v>1</v>
      </c>
    </row>
    <row r="129" spans="1:13" x14ac:dyDescent="0.35">
      <c r="A129" s="2">
        <v>46183</v>
      </c>
      <c r="B129" s="1" t="str">
        <f ca="1">IF(Información1[[#This Row],[Fecha]]='Ajuste de fechas'!$A$2,"Día actual","Día anterior")</f>
        <v>Día anterior</v>
      </c>
      <c r="C129" s="3" t="s">
        <v>63</v>
      </c>
      <c r="D129" t="s">
        <v>64</v>
      </c>
      <c r="E129" s="3" t="s">
        <v>160</v>
      </c>
      <c r="F129" s="3" t="s">
        <v>19</v>
      </c>
      <c r="G129" s="3" t="s">
        <v>145</v>
      </c>
      <c r="H129" s="3" t="s">
        <v>11</v>
      </c>
      <c r="I129" s="3" t="s">
        <v>7</v>
      </c>
      <c r="J129" s="3" t="s">
        <v>43</v>
      </c>
      <c r="K129" s="3" t="s">
        <v>65</v>
      </c>
      <c r="L129" s="3" t="s">
        <v>40</v>
      </c>
      <c r="M129">
        <v>1</v>
      </c>
    </row>
    <row r="130" spans="1:13" x14ac:dyDescent="0.35">
      <c r="A130" s="2">
        <v>46183</v>
      </c>
      <c r="B130" s="1" t="str">
        <f ca="1">IF(Información1[[#This Row],[Fecha]]='Ajuste de fechas'!$A$2,"Día actual","Día anterior")</f>
        <v>Día anterior</v>
      </c>
      <c r="C130" s="3" t="s">
        <v>63</v>
      </c>
      <c r="D130" t="s">
        <v>64</v>
      </c>
      <c r="E130" s="3" t="s">
        <v>161</v>
      </c>
      <c r="F130" s="3" t="s">
        <v>19</v>
      </c>
      <c r="G130" s="3" t="s">
        <v>157</v>
      </c>
      <c r="H130" s="3" t="s">
        <v>11</v>
      </c>
      <c r="I130" s="3" t="s">
        <v>25</v>
      </c>
      <c r="J130" s="3" t="s">
        <v>43</v>
      </c>
      <c r="K130" s="3" t="s">
        <v>65</v>
      </c>
      <c r="L130" s="3" t="s">
        <v>41</v>
      </c>
      <c r="M130">
        <v>1</v>
      </c>
    </row>
    <row r="131" spans="1:13" x14ac:dyDescent="0.35">
      <c r="A131" s="2">
        <v>46183</v>
      </c>
      <c r="B131" s="1" t="str">
        <f ca="1">IF(Información1[[#This Row],[Fecha]]='Ajuste de fechas'!$A$2,"Día actual","Día anterior")</f>
        <v>Día anterior</v>
      </c>
      <c r="C131" s="3" t="s">
        <v>63</v>
      </c>
      <c r="D131" t="s">
        <v>64</v>
      </c>
      <c r="E131" s="3" t="s">
        <v>162</v>
      </c>
      <c r="F131" s="3" t="s">
        <v>19</v>
      </c>
      <c r="G131" s="3" t="s">
        <v>163</v>
      </c>
      <c r="H131" s="3" t="s">
        <v>11</v>
      </c>
      <c r="I131" s="3" t="s">
        <v>7</v>
      </c>
      <c r="J131" s="3" t="s">
        <v>43</v>
      </c>
      <c r="K131" s="3" t="s">
        <v>65</v>
      </c>
      <c r="L131" s="3" t="s">
        <v>40</v>
      </c>
      <c r="M131">
        <v>1</v>
      </c>
    </row>
    <row r="132" spans="1:13" x14ac:dyDescent="0.35">
      <c r="A132" s="2">
        <v>46183</v>
      </c>
      <c r="B132" s="1" t="str">
        <f ca="1">IF(Información1[[#This Row],[Fecha]]='Ajuste de fechas'!$A$2,"Día actual","Día anterior")</f>
        <v>Día anterior</v>
      </c>
      <c r="C132" s="3" t="s">
        <v>29</v>
      </c>
      <c r="D132" t="s">
        <v>30</v>
      </c>
      <c r="E132" s="3" t="s">
        <v>172</v>
      </c>
      <c r="F132" s="3" t="s">
        <v>19</v>
      </c>
      <c r="G132" s="3" t="s">
        <v>173</v>
      </c>
      <c r="H132" s="3" t="s">
        <v>59</v>
      </c>
      <c r="I132" s="3" t="s">
        <v>7</v>
      </c>
      <c r="J132" s="3" t="s">
        <v>43</v>
      </c>
      <c r="K132" s="3" t="s">
        <v>27</v>
      </c>
      <c r="L132" s="3" t="s">
        <v>40</v>
      </c>
      <c r="M132">
        <v>1</v>
      </c>
    </row>
    <row r="133" spans="1:13" x14ac:dyDescent="0.35">
      <c r="A133" s="2">
        <v>46183</v>
      </c>
      <c r="B133" s="1" t="str">
        <f ca="1">IF(Información1[[#This Row],[Fecha]]='Ajuste de fechas'!$A$2,"Día actual","Día anterior")</f>
        <v>Día anterior</v>
      </c>
      <c r="C133" s="3" t="s">
        <v>29</v>
      </c>
      <c r="D133" t="s">
        <v>30</v>
      </c>
      <c r="E133" s="3" t="s">
        <v>174</v>
      </c>
      <c r="F133" s="3" t="s">
        <v>19</v>
      </c>
      <c r="G133" s="3" t="s">
        <v>175</v>
      </c>
      <c r="H133" s="3" t="s">
        <v>59</v>
      </c>
      <c r="I133" s="3" t="s">
        <v>7</v>
      </c>
      <c r="J133" s="3" t="s">
        <v>43</v>
      </c>
      <c r="K133" s="3" t="s">
        <v>27</v>
      </c>
      <c r="L133" s="3" t="s">
        <v>40</v>
      </c>
      <c r="M133">
        <v>1</v>
      </c>
    </row>
    <row r="134" spans="1:13" x14ac:dyDescent="0.35">
      <c r="A134" s="2">
        <v>46183</v>
      </c>
      <c r="B134" s="1" t="str">
        <f ca="1">IF(Información1[[#This Row],[Fecha]]='Ajuste de fechas'!$A$2,"Día actual","Día anterior")</f>
        <v>Día anterior</v>
      </c>
      <c r="C134" s="3" t="s">
        <v>29</v>
      </c>
      <c r="D134" t="s">
        <v>30</v>
      </c>
      <c r="E134" s="3" t="s">
        <v>177</v>
      </c>
      <c r="F134" s="3" t="s">
        <v>56</v>
      </c>
      <c r="G134" s="3" t="s">
        <v>114</v>
      </c>
      <c r="H134" s="3" t="s">
        <v>59</v>
      </c>
      <c r="I134" s="3" t="s">
        <v>7</v>
      </c>
      <c r="J134" s="3" t="s">
        <v>24</v>
      </c>
      <c r="K134" s="3" t="s">
        <v>27</v>
      </c>
      <c r="L134" s="3" t="s">
        <v>40</v>
      </c>
      <c r="M134">
        <v>1</v>
      </c>
    </row>
    <row r="135" spans="1:13" x14ac:dyDescent="0.35">
      <c r="A135" s="2">
        <v>46183</v>
      </c>
      <c r="B135" s="1" t="str">
        <f ca="1">IF(Información1[[#This Row],[Fecha]]='Ajuste de fechas'!$A$2,"Día actual","Día anterior")</f>
        <v>Día anterior</v>
      </c>
      <c r="C135" s="3" t="s">
        <v>28</v>
      </c>
      <c r="D135" t="s">
        <v>70</v>
      </c>
      <c r="E135" s="3" t="s">
        <v>183</v>
      </c>
      <c r="F135" s="3" t="s">
        <v>22</v>
      </c>
      <c r="G135" s="3" t="s">
        <v>81</v>
      </c>
      <c r="H135" s="3" t="s">
        <v>11</v>
      </c>
      <c r="I135" s="3" t="s">
        <v>7</v>
      </c>
      <c r="J135" s="3" t="s">
        <v>44</v>
      </c>
      <c r="K135" s="3" t="s">
        <v>71</v>
      </c>
      <c r="L135" s="3" t="s">
        <v>40</v>
      </c>
      <c r="M135">
        <v>1</v>
      </c>
    </row>
    <row r="136" spans="1:13" x14ac:dyDescent="0.35">
      <c r="A136" s="2">
        <v>46183</v>
      </c>
      <c r="B136" s="1" t="str">
        <f ca="1">IF(Información1[[#This Row],[Fecha]]='Ajuste de fechas'!$A$2,"Día actual","Día anterior")</f>
        <v>Día anterior</v>
      </c>
      <c r="C136" s="3" t="s">
        <v>8</v>
      </c>
      <c r="D136" t="s">
        <v>10</v>
      </c>
      <c r="E136" s="3" t="s">
        <v>20</v>
      </c>
      <c r="F136" s="3" t="s">
        <v>19</v>
      </c>
      <c r="G136" s="3" t="s">
        <v>32</v>
      </c>
      <c r="H136" s="3" t="s">
        <v>11</v>
      </c>
      <c r="I136" s="3" t="s">
        <v>12</v>
      </c>
      <c r="J136" s="3" t="s">
        <v>43</v>
      </c>
      <c r="K136" s="3" t="s">
        <v>14</v>
      </c>
      <c r="L136" s="3" t="s">
        <v>41</v>
      </c>
      <c r="M136">
        <v>1</v>
      </c>
    </row>
    <row r="137" spans="1:13" x14ac:dyDescent="0.35">
      <c r="A137" s="2">
        <v>46183</v>
      </c>
      <c r="B137" s="1" t="str">
        <f ca="1">IF(Información1[[#This Row],[Fecha]]='Ajuste de fechas'!$A$2,"Día actual","Día anterior")</f>
        <v>Día anterior</v>
      </c>
      <c r="C137" s="3" t="s">
        <v>8</v>
      </c>
      <c r="D137" t="s">
        <v>10</v>
      </c>
      <c r="E137" s="3" t="s">
        <v>18</v>
      </c>
      <c r="F137" s="3" t="s">
        <v>19</v>
      </c>
      <c r="G137" s="3" t="s">
        <v>32</v>
      </c>
      <c r="H137" s="3" t="s">
        <v>11</v>
      </c>
      <c r="I137" s="3" t="s">
        <v>12</v>
      </c>
      <c r="J137" s="3" t="s">
        <v>43</v>
      </c>
      <c r="K137" s="3" t="s">
        <v>14</v>
      </c>
      <c r="L137" s="3" t="s">
        <v>41</v>
      </c>
      <c r="M137">
        <v>1</v>
      </c>
    </row>
    <row r="138" spans="1:13" x14ac:dyDescent="0.35">
      <c r="A138" s="2">
        <v>46183</v>
      </c>
      <c r="B138" s="1" t="str">
        <f ca="1">IF(Información1[[#This Row],[Fecha]]='Ajuste de fechas'!$A$2,"Día actual","Día anterior")</f>
        <v>Día anterior</v>
      </c>
      <c r="C138" s="3" t="s">
        <v>8</v>
      </c>
      <c r="D138" t="s">
        <v>10</v>
      </c>
      <c r="E138" s="3" t="s">
        <v>76</v>
      </c>
      <c r="F138" s="3" t="s">
        <v>56</v>
      </c>
      <c r="G138" s="3" t="s">
        <v>32</v>
      </c>
      <c r="H138" s="3" t="s">
        <v>11</v>
      </c>
      <c r="I138" s="3" t="s">
        <v>12</v>
      </c>
      <c r="J138" s="3" t="s">
        <v>24</v>
      </c>
      <c r="K138" s="3" t="s">
        <v>14</v>
      </c>
      <c r="L138" s="3" t="s">
        <v>41</v>
      </c>
      <c r="M138">
        <v>1</v>
      </c>
    </row>
    <row r="139" spans="1:13" x14ac:dyDescent="0.35">
      <c r="A139" s="2">
        <v>46183</v>
      </c>
      <c r="B139" s="1" t="str">
        <f ca="1">IF(Información1[[#This Row],[Fecha]]='Ajuste de fechas'!$A$2,"Día actual","Día anterior")</f>
        <v>Día anterior</v>
      </c>
      <c r="C139" s="3" t="s">
        <v>28</v>
      </c>
      <c r="D139" t="s">
        <v>70</v>
      </c>
      <c r="E139" s="3" t="s">
        <v>188</v>
      </c>
      <c r="F139" s="3" t="s">
        <v>22</v>
      </c>
      <c r="G139" s="3" t="s">
        <v>189</v>
      </c>
      <c r="H139" s="3" t="s">
        <v>11</v>
      </c>
      <c r="I139" s="3" t="s">
        <v>7</v>
      </c>
      <c r="J139" s="3" t="s">
        <v>44</v>
      </c>
      <c r="K139" s="3" t="s">
        <v>71</v>
      </c>
      <c r="L139" s="3" t="s">
        <v>40</v>
      </c>
      <c r="M139">
        <v>1</v>
      </c>
    </row>
    <row r="140" spans="1:13" x14ac:dyDescent="0.35">
      <c r="A140" s="2">
        <v>46183</v>
      </c>
      <c r="B140" s="1" t="str">
        <f ca="1">IF(Información1[[#This Row],[Fecha]]='Ajuste de fechas'!$A$2,"Día actual","Día anterior")</f>
        <v>Día anterior</v>
      </c>
      <c r="C140" s="3" t="s">
        <v>28</v>
      </c>
      <c r="D140" t="s">
        <v>70</v>
      </c>
      <c r="E140" s="3" t="s">
        <v>197</v>
      </c>
      <c r="F140" s="3" t="s">
        <v>19</v>
      </c>
      <c r="G140" s="3" t="s">
        <v>198</v>
      </c>
      <c r="H140" s="3" t="s">
        <v>11</v>
      </c>
      <c r="I140" s="3" t="s">
        <v>7</v>
      </c>
      <c r="J140" s="3" t="s">
        <v>43</v>
      </c>
      <c r="K140" s="3" t="s">
        <v>71</v>
      </c>
      <c r="L140" s="3" t="s">
        <v>40</v>
      </c>
      <c r="M140">
        <v>1</v>
      </c>
    </row>
    <row r="141" spans="1:13" x14ac:dyDescent="0.35">
      <c r="A141" s="2">
        <v>46183</v>
      </c>
      <c r="B141" s="1" t="str">
        <f ca="1">IF(Información1[[#This Row],[Fecha]]='Ajuste de fechas'!$A$2,"Día actual","Día anterior")</f>
        <v>Día anterior</v>
      </c>
      <c r="C141" s="3" t="s">
        <v>8</v>
      </c>
      <c r="D141" t="s">
        <v>10</v>
      </c>
      <c r="E141" s="3" t="s">
        <v>199</v>
      </c>
      <c r="F141" s="3" t="s">
        <v>56</v>
      </c>
      <c r="G141" s="3" t="s">
        <v>93</v>
      </c>
      <c r="H141" s="3" t="s">
        <v>11</v>
      </c>
      <c r="I141" s="3" t="s">
        <v>7</v>
      </c>
      <c r="J141" s="3" t="s">
        <v>24</v>
      </c>
      <c r="K141" s="3" t="s">
        <v>14</v>
      </c>
      <c r="L141" s="3" t="s">
        <v>40</v>
      </c>
      <c r="M141">
        <v>1</v>
      </c>
    </row>
    <row r="142" spans="1:13" x14ac:dyDescent="0.35">
      <c r="A142" s="2">
        <v>46183</v>
      </c>
      <c r="B142" s="1" t="str">
        <f ca="1">IF(Información1[[#This Row],[Fecha]]='Ajuste de fechas'!$A$2,"Día actual","Día anterior")</f>
        <v>Día anterior</v>
      </c>
      <c r="C142" s="3" t="s">
        <v>8</v>
      </c>
      <c r="D142" t="s">
        <v>10</v>
      </c>
      <c r="E142" s="3" t="s">
        <v>200</v>
      </c>
      <c r="F142" s="3" t="s">
        <v>19</v>
      </c>
      <c r="G142" s="3" t="s">
        <v>173</v>
      </c>
      <c r="H142" s="3" t="s">
        <v>11</v>
      </c>
      <c r="I142" s="3" t="s">
        <v>7</v>
      </c>
      <c r="J142" s="3" t="s">
        <v>43</v>
      </c>
      <c r="K142" s="3" t="s">
        <v>14</v>
      </c>
      <c r="L142" s="3" t="s">
        <v>40</v>
      </c>
      <c r="M142">
        <v>1</v>
      </c>
    </row>
    <row r="143" spans="1:13" x14ac:dyDescent="0.35">
      <c r="A143" s="2">
        <v>46183</v>
      </c>
      <c r="B143" s="1" t="str">
        <f ca="1">IF(Información1[[#This Row],[Fecha]]='Ajuste de fechas'!$A$2,"Día actual","Día anterior")</f>
        <v>Día anterior</v>
      </c>
      <c r="C143" s="3" t="s">
        <v>8</v>
      </c>
      <c r="D143" t="s">
        <v>10</v>
      </c>
      <c r="E143" s="3" t="s">
        <v>201</v>
      </c>
      <c r="F143" s="3" t="s">
        <v>19</v>
      </c>
      <c r="G143" s="3" t="s">
        <v>202</v>
      </c>
      <c r="H143" s="3" t="s">
        <v>11</v>
      </c>
      <c r="I143" s="3" t="s">
        <v>7</v>
      </c>
      <c r="J143" s="3" t="s">
        <v>43</v>
      </c>
      <c r="K143" s="3" t="s">
        <v>14</v>
      </c>
      <c r="L143" s="3" t="s">
        <v>40</v>
      </c>
      <c r="M143">
        <v>1</v>
      </c>
    </row>
    <row r="144" spans="1:13" x14ac:dyDescent="0.35">
      <c r="A144" s="2">
        <v>46183</v>
      </c>
      <c r="B144" s="1" t="str">
        <f ca="1">IF(Información1[[#This Row],[Fecha]]='Ajuste de fechas'!$A$2,"Día actual","Día anterior")</f>
        <v>Día anterior</v>
      </c>
      <c r="C144" s="3" t="s">
        <v>8</v>
      </c>
      <c r="D144" t="s">
        <v>10</v>
      </c>
      <c r="E144" s="3" t="s">
        <v>203</v>
      </c>
      <c r="F144" s="3" t="s">
        <v>24</v>
      </c>
      <c r="G144" s="3" t="s">
        <v>53</v>
      </c>
      <c r="H144" s="3" t="s">
        <v>11</v>
      </c>
      <c r="I144" s="3" t="s">
        <v>7</v>
      </c>
      <c r="J144" s="3" t="s">
        <v>24</v>
      </c>
      <c r="K144" s="3" t="s">
        <v>14</v>
      </c>
      <c r="L144" s="3" t="s">
        <v>40</v>
      </c>
      <c r="M144">
        <v>1</v>
      </c>
    </row>
    <row r="145" spans="1:13" x14ac:dyDescent="0.35">
      <c r="A145" s="2">
        <v>46183</v>
      </c>
      <c r="B145" s="1" t="str">
        <f ca="1">IF(Información1[[#This Row],[Fecha]]='Ajuste de fechas'!$A$2,"Día actual","Día anterior")</f>
        <v>Día anterior</v>
      </c>
      <c r="C145" s="3" t="s">
        <v>28</v>
      </c>
      <c r="D145" t="s">
        <v>70</v>
      </c>
      <c r="E145" s="3" t="s">
        <v>204</v>
      </c>
      <c r="F145" s="3" t="s">
        <v>24</v>
      </c>
      <c r="G145" s="3" t="s">
        <v>53</v>
      </c>
      <c r="H145" s="3" t="s">
        <v>11</v>
      </c>
      <c r="I145" s="3" t="s">
        <v>7</v>
      </c>
      <c r="J145" s="3" t="s">
        <v>24</v>
      </c>
      <c r="K145" s="3" t="s">
        <v>71</v>
      </c>
      <c r="L145" s="3" t="s">
        <v>40</v>
      </c>
      <c r="M145">
        <v>1</v>
      </c>
    </row>
    <row r="146" spans="1:13" x14ac:dyDescent="0.35">
      <c r="A146" s="2">
        <v>46183</v>
      </c>
      <c r="B146" s="1" t="str">
        <f ca="1">IF(Información1[[#This Row],[Fecha]]='Ajuste de fechas'!$A$2,"Día actual","Día anterior")</f>
        <v>Día anterior</v>
      </c>
      <c r="C146" s="3" t="s">
        <v>8</v>
      </c>
      <c r="D146" t="s">
        <v>10</v>
      </c>
      <c r="E146" s="3" t="s">
        <v>209</v>
      </c>
      <c r="F146" s="3" t="s">
        <v>19</v>
      </c>
      <c r="G146" s="3" t="s">
        <v>98</v>
      </c>
      <c r="H146" s="3" t="s">
        <v>11</v>
      </c>
      <c r="I146" s="3" t="s">
        <v>25</v>
      </c>
      <c r="J146" s="3" t="s">
        <v>43</v>
      </c>
      <c r="K146" s="3" t="s">
        <v>9</v>
      </c>
      <c r="L146" s="3" t="s">
        <v>41</v>
      </c>
      <c r="M146">
        <v>1</v>
      </c>
    </row>
    <row r="147" spans="1:13" x14ac:dyDescent="0.35">
      <c r="A147" s="2">
        <v>46183</v>
      </c>
      <c r="B147" s="1" t="str">
        <f ca="1">IF(Información1[[#This Row],[Fecha]]='Ajuste de fechas'!$A$2,"Día actual","Día anterior")</f>
        <v>Día anterior</v>
      </c>
      <c r="C147" s="3" t="s">
        <v>8</v>
      </c>
      <c r="D147" t="s">
        <v>10</v>
      </c>
      <c r="E147" s="3" t="s">
        <v>210</v>
      </c>
      <c r="F147" s="3" t="s">
        <v>19</v>
      </c>
      <c r="G147" s="3" t="s">
        <v>98</v>
      </c>
      <c r="H147" s="3" t="s">
        <v>11</v>
      </c>
      <c r="I147" s="3" t="s">
        <v>25</v>
      </c>
      <c r="J147" s="3" t="s">
        <v>43</v>
      </c>
      <c r="K147" s="3" t="s">
        <v>9</v>
      </c>
      <c r="L147" s="3" t="s">
        <v>41</v>
      </c>
      <c r="M147">
        <v>1</v>
      </c>
    </row>
    <row r="148" spans="1:13" x14ac:dyDescent="0.35">
      <c r="A148" s="2">
        <v>46183</v>
      </c>
      <c r="B148" s="1" t="str">
        <f ca="1">IF(Información1[[#This Row],[Fecha]]='Ajuste de fechas'!$A$2,"Día actual","Día anterior")</f>
        <v>Día anterior</v>
      </c>
      <c r="C148" s="3" t="s">
        <v>28</v>
      </c>
      <c r="D148" t="s">
        <v>70</v>
      </c>
      <c r="E148" s="3" t="s">
        <v>211</v>
      </c>
      <c r="F148" s="3" t="s">
        <v>22</v>
      </c>
      <c r="G148" s="3" t="s">
        <v>212</v>
      </c>
      <c r="H148" s="3" t="s">
        <v>11</v>
      </c>
      <c r="I148" s="3" t="s">
        <v>7</v>
      </c>
      <c r="J148" s="3" t="s">
        <v>44</v>
      </c>
      <c r="K148" s="3" t="s">
        <v>71</v>
      </c>
      <c r="L148" s="3" t="s">
        <v>40</v>
      </c>
      <c r="M148">
        <v>1</v>
      </c>
    </row>
    <row r="149" spans="1:13" x14ac:dyDescent="0.35">
      <c r="A149" s="2">
        <v>46183</v>
      </c>
      <c r="B149" s="1" t="str">
        <f ca="1">IF(Información1[[#This Row],[Fecha]]='Ajuste de fechas'!$A$2,"Día actual","Día anterior")</f>
        <v>Día anterior</v>
      </c>
      <c r="C149" s="3" t="s">
        <v>78</v>
      </c>
      <c r="D149" t="s">
        <v>79</v>
      </c>
      <c r="E149" s="3" t="s">
        <v>213</v>
      </c>
      <c r="F149" s="3" t="s">
        <v>24</v>
      </c>
      <c r="G149" s="3" t="s">
        <v>53</v>
      </c>
      <c r="H149" s="3" t="s">
        <v>59</v>
      </c>
      <c r="I149" s="3" t="s">
        <v>7</v>
      </c>
      <c r="J149" s="3" t="s">
        <v>24</v>
      </c>
      <c r="K149" s="3" t="s">
        <v>49</v>
      </c>
      <c r="L149" s="3" t="s">
        <v>40</v>
      </c>
      <c r="M149">
        <v>1</v>
      </c>
    </row>
    <row r="150" spans="1:13" x14ac:dyDescent="0.35">
      <c r="A150" s="2">
        <v>46183</v>
      </c>
      <c r="B150" s="1" t="str">
        <f ca="1">IF(Información1[[#This Row],[Fecha]]='Ajuste de fechas'!$A$2,"Día actual","Día anterior")</f>
        <v>Día anterior</v>
      </c>
      <c r="C150" s="3" t="s">
        <v>78</v>
      </c>
      <c r="D150" t="s">
        <v>79</v>
      </c>
      <c r="E150" s="3" t="s">
        <v>214</v>
      </c>
      <c r="F150" s="3" t="s">
        <v>19</v>
      </c>
      <c r="G150" s="3" t="s">
        <v>215</v>
      </c>
      <c r="H150" s="3" t="s">
        <v>59</v>
      </c>
      <c r="I150" s="3" t="s">
        <v>7</v>
      </c>
      <c r="J150" s="3" t="s">
        <v>43</v>
      </c>
      <c r="K150" s="3" t="s">
        <v>49</v>
      </c>
      <c r="L150" s="3" t="s">
        <v>40</v>
      </c>
      <c r="M150">
        <v>1</v>
      </c>
    </row>
    <row r="151" spans="1:13" x14ac:dyDescent="0.35">
      <c r="A151" s="2">
        <v>46183</v>
      </c>
      <c r="B151" s="1" t="str">
        <f ca="1">IF(Información1[[#This Row],[Fecha]]='Ajuste de fechas'!$A$2,"Día actual","Día anterior")</f>
        <v>Día anterior</v>
      </c>
      <c r="C151" s="3" t="s">
        <v>50</v>
      </c>
      <c r="D151" t="s">
        <v>57</v>
      </c>
      <c r="E151" s="3" t="s">
        <v>102</v>
      </c>
      <c r="F151" s="3" t="s">
        <v>17</v>
      </c>
      <c r="G151" s="3" t="s">
        <v>85</v>
      </c>
      <c r="H151" s="3" t="s">
        <v>11</v>
      </c>
      <c r="I151" s="3" t="s">
        <v>25</v>
      </c>
      <c r="J151" s="3" t="s">
        <v>39</v>
      </c>
      <c r="K151" s="3" t="s">
        <v>9</v>
      </c>
      <c r="L151" s="3" t="s">
        <v>41</v>
      </c>
      <c r="M151">
        <v>1</v>
      </c>
    </row>
    <row r="152" spans="1:13" x14ac:dyDescent="0.35">
      <c r="A152" s="2">
        <v>46183</v>
      </c>
      <c r="B152" s="1" t="str">
        <f ca="1">IF(Información1[[#This Row],[Fecha]]='Ajuste de fechas'!$A$2,"Día actual","Día anterior")</f>
        <v>Día anterior</v>
      </c>
      <c r="C152" s="3" t="s">
        <v>50</v>
      </c>
      <c r="D152" t="s">
        <v>57</v>
      </c>
      <c r="E152" s="3" t="s">
        <v>103</v>
      </c>
      <c r="F152" s="3" t="s">
        <v>17</v>
      </c>
      <c r="G152" s="3" t="s">
        <v>85</v>
      </c>
      <c r="H152" s="3" t="s">
        <v>11</v>
      </c>
      <c r="I152" s="3" t="s">
        <v>25</v>
      </c>
      <c r="J152" s="3" t="s">
        <v>39</v>
      </c>
      <c r="K152" s="3" t="s">
        <v>9</v>
      </c>
      <c r="L152" s="3" t="s">
        <v>41</v>
      </c>
      <c r="M152">
        <v>1</v>
      </c>
    </row>
    <row r="153" spans="1:13" x14ac:dyDescent="0.35">
      <c r="A153" s="2">
        <v>46183</v>
      </c>
      <c r="B153" s="1" t="str">
        <f ca="1">IF(Información1[[#This Row],[Fecha]]='Ajuste de fechas'!$A$2,"Día actual","Día anterior")</f>
        <v>Día anterior</v>
      </c>
      <c r="C153" s="3" t="s">
        <v>50</v>
      </c>
      <c r="D153" t="s">
        <v>57</v>
      </c>
      <c r="E153" s="3" t="s">
        <v>104</v>
      </c>
      <c r="F153" s="3" t="s">
        <v>17</v>
      </c>
      <c r="G153" s="3" t="s">
        <v>85</v>
      </c>
      <c r="H153" s="3" t="s">
        <v>11</v>
      </c>
      <c r="I153" s="3" t="s">
        <v>7</v>
      </c>
      <c r="J153" s="3" t="s">
        <v>39</v>
      </c>
      <c r="K153" s="3" t="s">
        <v>51</v>
      </c>
      <c r="L153" s="3" t="s">
        <v>41</v>
      </c>
      <c r="M153">
        <v>1</v>
      </c>
    </row>
    <row r="154" spans="1:13" x14ac:dyDescent="0.35">
      <c r="A154" s="2">
        <v>46183</v>
      </c>
      <c r="B154" s="1" t="str">
        <f ca="1">IF(Información1[[#This Row],[Fecha]]='Ajuste de fechas'!$A$2,"Día actual","Día anterior")</f>
        <v>Día anterior</v>
      </c>
      <c r="C154" s="3" t="s">
        <v>67</v>
      </c>
      <c r="D154" t="s">
        <v>68</v>
      </c>
      <c r="E154" s="3" t="s">
        <v>109</v>
      </c>
      <c r="F154" s="3" t="s">
        <v>110</v>
      </c>
      <c r="G154" s="3" t="s">
        <v>111</v>
      </c>
      <c r="H154" s="3" t="s">
        <v>11</v>
      </c>
      <c r="I154" s="3" t="s">
        <v>7</v>
      </c>
      <c r="J154" s="3" t="s">
        <v>39</v>
      </c>
      <c r="K154" s="3" t="s">
        <v>69</v>
      </c>
      <c r="L154" s="3" t="s">
        <v>42</v>
      </c>
      <c r="M154">
        <v>1</v>
      </c>
    </row>
    <row r="155" spans="1:13" x14ac:dyDescent="0.35">
      <c r="A155" s="2">
        <v>46183</v>
      </c>
      <c r="B155" s="1" t="str">
        <f ca="1">IF(Información1[[#This Row],[Fecha]]='Ajuste de fechas'!$A$2,"Día actual","Día anterior")</f>
        <v>Día anterior</v>
      </c>
      <c r="C155" s="3" t="s">
        <v>67</v>
      </c>
      <c r="D155" t="s">
        <v>68</v>
      </c>
      <c r="E155" s="3" t="s">
        <v>112</v>
      </c>
      <c r="F155" s="3" t="s">
        <v>113</v>
      </c>
      <c r="G155" s="3" t="s">
        <v>114</v>
      </c>
      <c r="H155" s="3" t="s">
        <v>11</v>
      </c>
      <c r="I155" s="3" t="s">
        <v>7</v>
      </c>
      <c r="J155" s="3" t="s">
        <v>39</v>
      </c>
      <c r="K155" s="3" t="s">
        <v>69</v>
      </c>
      <c r="L155" s="3" t="s">
        <v>42</v>
      </c>
      <c r="M155">
        <v>1</v>
      </c>
    </row>
    <row r="156" spans="1:13" x14ac:dyDescent="0.35">
      <c r="A156" s="2">
        <v>46183</v>
      </c>
      <c r="B156" s="1" t="str">
        <f ca="1">IF(Información1[[#This Row],[Fecha]]='Ajuste de fechas'!$A$2,"Día actual","Día anterior")</f>
        <v>Día anterior</v>
      </c>
      <c r="C156" s="3" t="s">
        <v>67</v>
      </c>
      <c r="D156" t="s">
        <v>68</v>
      </c>
      <c r="E156" s="3" t="s">
        <v>115</v>
      </c>
      <c r="F156" s="3" t="s">
        <v>21</v>
      </c>
      <c r="G156" s="3" t="s">
        <v>116</v>
      </c>
      <c r="H156" s="3" t="s">
        <v>11</v>
      </c>
      <c r="I156" s="3" t="s">
        <v>7</v>
      </c>
      <c r="J156" s="3" t="s">
        <v>39</v>
      </c>
      <c r="K156" s="3" t="s">
        <v>69</v>
      </c>
      <c r="L156" s="3" t="s">
        <v>42</v>
      </c>
      <c r="M156">
        <v>1</v>
      </c>
    </row>
    <row r="157" spans="1:13" x14ac:dyDescent="0.35">
      <c r="A157" s="2">
        <v>46183</v>
      </c>
      <c r="B157" s="1" t="str">
        <f ca="1">IF(Información1[[#This Row],[Fecha]]='Ajuste de fechas'!$A$2,"Día actual","Día anterior")</f>
        <v>Día anterior</v>
      </c>
      <c r="C157" s="3" t="s">
        <v>67</v>
      </c>
      <c r="D157" t="s">
        <v>68</v>
      </c>
      <c r="E157" s="3" t="s">
        <v>117</v>
      </c>
      <c r="F157" s="3" t="s">
        <v>72</v>
      </c>
      <c r="G157" s="3" t="s">
        <v>118</v>
      </c>
      <c r="H157" s="3" t="s">
        <v>11</v>
      </c>
      <c r="I157" s="3" t="s">
        <v>7</v>
      </c>
      <c r="J157" s="3" t="s">
        <v>39</v>
      </c>
      <c r="K157" s="3" t="s">
        <v>69</v>
      </c>
      <c r="L157" s="3" t="s">
        <v>42</v>
      </c>
      <c r="M157">
        <v>1</v>
      </c>
    </row>
    <row r="158" spans="1:13" x14ac:dyDescent="0.35">
      <c r="A158" s="2">
        <v>46183</v>
      </c>
      <c r="B158" s="1" t="str">
        <f ca="1">IF(Información1[[#This Row],[Fecha]]='Ajuste de fechas'!$A$2,"Día actual","Día anterior")</f>
        <v>Día anterior</v>
      </c>
      <c r="C158" s="3" t="s">
        <v>67</v>
      </c>
      <c r="D158" t="s">
        <v>68</v>
      </c>
      <c r="E158" s="3" t="s">
        <v>119</v>
      </c>
      <c r="F158" s="3" t="s">
        <v>31</v>
      </c>
      <c r="G158" s="3" t="s">
        <v>120</v>
      </c>
      <c r="H158" s="3" t="s">
        <v>11</v>
      </c>
      <c r="I158" s="3" t="s">
        <v>7</v>
      </c>
      <c r="J158" s="3" t="s">
        <v>39</v>
      </c>
      <c r="K158" s="3" t="s">
        <v>69</v>
      </c>
      <c r="L158" s="3" t="s">
        <v>42</v>
      </c>
      <c r="M158">
        <v>1</v>
      </c>
    </row>
    <row r="159" spans="1:13" x14ac:dyDescent="0.35">
      <c r="A159" s="2">
        <v>46183</v>
      </c>
      <c r="B159" s="1" t="str">
        <f ca="1">IF(Información1[[#This Row],[Fecha]]='Ajuste de fechas'!$A$2,"Día actual","Día anterior")</f>
        <v>Día anterior</v>
      </c>
      <c r="C159" s="3" t="s">
        <v>67</v>
      </c>
      <c r="D159" t="s">
        <v>68</v>
      </c>
      <c r="E159" s="3" t="s">
        <v>121</v>
      </c>
      <c r="F159" s="3" t="s">
        <v>122</v>
      </c>
      <c r="G159" s="3" t="s">
        <v>123</v>
      </c>
      <c r="H159" s="3" t="s">
        <v>11</v>
      </c>
      <c r="I159" s="3" t="s">
        <v>7</v>
      </c>
      <c r="J159" s="3" t="s">
        <v>39</v>
      </c>
      <c r="K159" s="3" t="s">
        <v>69</v>
      </c>
      <c r="L159" s="3" t="s">
        <v>42</v>
      </c>
      <c r="M159">
        <v>1</v>
      </c>
    </row>
    <row r="160" spans="1:13" x14ac:dyDescent="0.35">
      <c r="A160" s="2">
        <v>46183</v>
      </c>
      <c r="B160" s="1" t="str">
        <f ca="1">IF(Información1[[#This Row],[Fecha]]='Ajuste de fechas'!$A$2,"Día actual","Día anterior")</f>
        <v>Día anterior</v>
      </c>
      <c r="C160" s="3" t="s">
        <v>67</v>
      </c>
      <c r="D160" t="s">
        <v>68</v>
      </c>
      <c r="E160" s="3" t="s">
        <v>124</v>
      </c>
      <c r="F160" s="3" t="s">
        <v>26</v>
      </c>
      <c r="G160" s="3" t="s">
        <v>125</v>
      </c>
      <c r="H160" s="3" t="s">
        <v>11</v>
      </c>
      <c r="I160" s="3" t="s">
        <v>7</v>
      </c>
      <c r="J160" s="3" t="s">
        <v>39</v>
      </c>
      <c r="K160" s="3" t="s">
        <v>69</v>
      </c>
      <c r="L160" s="3" t="s">
        <v>42</v>
      </c>
      <c r="M160">
        <v>1</v>
      </c>
    </row>
    <row r="161" spans="1:13" x14ac:dyDescent="0.35">
      <c r="A161" s="2">
        <v>46183</v>
      </c>
      <c r="B161" s="1" t="str">
        <f ca="1">IF(Información1[[#This Row],[Fecha]]='Ajuste de fechas'!$A$2,"Día actual","Día anterior")</f>
        <v>Día anterior</v>
      </c>
      <c r="C161" s="3" t="s">
        <v>50</v>
      </c>
      <c r="D161" t="s">
        <v>52</v>
      </c>
      <c r="E161" s="3" t="s">
        <v>126</v>
      </c>
      <c r="F161" s="3" t="s">
        <v>6</v>
      </c>
      <c r="G161" s="3" t="s">
        <v>127</v>
      </c>
      <c r="H161" s="3" t="s">
        <v>11</v>
      </c>
      <c r="I161" s="3" t="s">
        <v>25</v>
      </c>
      <c r="J161" s="3" t="s">
        <v>39</v>
      </c>
      <c r="K161" s="3" t="s">
        <v>9</v>
      </c>
      <c r="L161" s="3" t="s">
        <v>41</v>
      </c>
      <c r="M161">
        <v>1</v>
      </c>
    </row>
    <row r="162" spans="1:13" x14ac:dyDescent="0.35">
      <c r="A162" s="2">
        <v>46183</v>
      </c>
      <c r="B162" s="1" t="str">
        <f ca="1">IF(Información1[[#This Row],[Fecha]]='Ajuste de fechas'!$A$2,"Día actual","Día anterior")</f>
        <v>Día anterior</v>
      </c>
      <c r="C162" s="3" t="s">
        <v>50</v>
      </c>
      <c r="D162" t="s">
        <v>52</v>
      </c>
      <c r="E162" s="3" t="s">
        <v>128</v>
      </c>
      <c r="F162" s="3" t="s">
        <v>96</v>
      </c>
      <c r="G162" s="3" t="s">
        <v>97</v>
      </c>
      <c r="H162" s="3" t="s">
        <v>11</v>
      </c>
      <c r="I162" s="3" t="s">
        <v>7</v>
      </c>
      <c r="J162" s="3" t="s">
        <v>39</v>
      </c>
      <c r="K162" s="3" t="s">
        <v>49</v>
      </c>
      <c r="L162" s="3" t="s">
        <v>42</v>
      </c>
      <c r="M162">
        <v>1</v>
      </c>
    </row>
    <row r="163" spans="1:13" x14ac:dyDescent="0.35">
      <c r="A163" s="2">
        <v>46183</v>
      </c>
      <c r="B163" s="1" t="str">
        <f ca="1">IF(Información1[[#This Row],[Fecha]]='Ajuste de fechas'!$A$2,"Día actual","Día anterior")</f>
        <v>Día anterior</v>
      </c>
      <c r="C163" s="3" t="s">
        <v>50</v>
      </c>
      <c r="D163" t="s">
        <v>52</v>
      </c>
      <c r="E163" s="3" t="s">
        <v>129</v>
      </c>
      <c r="F163" s="3" t="s">
        <v>72</v>
      </c>
      <c r="G163" s="3" t="s">
        <v>92</v>
      </c>
      <c r="H163" s="3" t="s">
        <v>11</v>
      </c>
      <c r="I163" s="3" t="s">
        <v>7</v>
      </c>
      <c r="J163" s="3" t="s">
        <v>39</v>
      </c>
      <c r="K163" s="3" t="s">
        <v>49</v>
      </c>
      <c r="L163" s="3" t="s">
        <v>42</v>
      </c>
      <c r="M163">
        <v>1</v>
      </c>
    </row>
    <row r="164" spans="1:13" x14ac:dyDescent="0.35">
      <c r="A164" s="2">
        <v>46183</v>
      </c>
      <c r="B164" s="1" t="str">
        <f ca="1">IF(Información1[[#This Row],[Fecha]]='Ajuste de fechas'!$A$2,"Día actual","Día anterior")</f>
        <v>Día anterior</v>
      </c>
      <c r="C164" s="3" t="s">
        <v>50</v>
      </c>
      <c r="D164" t="s">
        <v>52</v>
      </c>
      <c r="E164" s="3" t="s">
        <v>130</v>
      </c>
      <c r="F164" s="3" t="s">
        <v>72</v>
      </c>
      <c r="G164" s="3" t="s">
        <v>74</v>
      </c>
      <c r="H164" s="3" t="s">
        <v>11</v>
      </c>
      <c r="I164" s="3" t="s">
        <v>7</v>
      </c>
      <c r="J164" s="3" t="s">
        <v>39</v>
      </c>
      <c r="K164" s="3" t="s">
        <v>49</v>
      </c>
      <c r="L164" s="3" t="s">
        <v>42</v>
      </c>
      <c r="M164">
        <v>1</v>
      </c>
    </row>
    <row r="165" spans="1:13" x14ac:dyDescent="0.35">
      <c r="A165" s="2">
        <v>46183</v>
      </c>
      <c r="B165" s="1" t="str">
        <f ca="1">IF(Información1[[#This Row],[Fecha]]='Ajuste de fechas'!$A$2,"Día actual","Día anterior")</f>
        <v>Día anterior</v>
      </c>
      <c r="C165" s="3" t="s">
        <v>50</v>
      </c>
      <c r="D165" t="s">
        <v>52</v>
      </c>
      <c r="E165" s="3" t="s">
        <v>131</v>
      </c>
      <c r="F165" s="3" t="s">
        <v>26</v>
      </c>
      <c r="G165" s="3" t="s">
        <v>125</v>
      </c>
      <c r="H165" s="3" t="s">
        <v>11</v>
      </c>
      <c r="I165" s="3" t="s">
        <v>7</v>
      </c>
      <c r="J165" s="3" t="s">
        <v>39</v>
      </c>
      <c r="K165" s="3" t="s">
        <v>49</v>
      </c>
      <c r="L165" s="3" t="s">
        <v>42</v>
      </c>
      <c r="M165">
        <v>1</v>
      </c>
    </row>
    <row r="166" spans="1:13" x14ac:dyDescent="0.35">
      <c r="A166" s="2">
        <v>46183</v>
      </c>
      <c r="B166" s="1" t="str">
        <f ca="1">IF(Información1[[#This Row],[Fecha]]='Ajuste de fechas'!$A$2,"Día actual","Día anterior")</f>
        <v>Día anterior</v>
      </c>
      <c r="C166" s="3" t="s">
        <v>50</v>
      </c>
      <c r="D166" t="s">
        <v>52</v>
      </c>
      <c r="E166" s="3" t="s">
        <v>132</v>
      </c>
      <c r="F166" s="3" t="s">
        <v>23</v>
      </c>
      <c r="G166" s="3" t="s">
        <v>133</v>
      </c>
      <c r="H166" s="3" t="s">
        <v>11</v>
      </c>
      <c r="I166" s="3" t="s">
        <v>7</v>
      </c>
      <c r="J166" s="3" t="s">
        <v>39</v>
      </c>
      <c r="K166" s="3" t="s">
        <v>51</v>
      </c>
      <c r="L166" s="3" t="s">
        <v>40</v>
      </c>
      <c r="M166">
        <v>1</v>
      </c>
    </row>
    <row r="167" spans="1:13" x14ac:dyDescent="0.35">
      <c r="A167" s="2">
        <v>46183</v>
      </c>
      <c r="B167" s="1" t="str">
        <f ca="1">IF(Información1[[#This Row],[Fecha]]='Ajuste de fechas'!$A$2,"Día actual","Día anterior")</f>
        <v>Día anterior</v>
      </c>
      <c r="C167" s="3" t="s">
        <v>50</v>
      </c>
      <c r="D167" t="s">
        <v>52</v>
      </c>
      <c r="E167" s="3" t="s">
        <v>134</v>
      </c>
      <c r="F167" s="3" t="s">
        <v>17</v>
      </c>
      <c r="G167" s="3" t="s">
        <v>135</v>
      </c>
      <c r="H167" s="3" t="s">
        <v>11</v>
      </c>
      <c r="I167" s="3" t="s">
        <v>7</v>
      </c>
      <c r="J167" s="3" t="s">
        <v>39</v>
      </c>
      <c r="K167" s="3" t="s">
        <v>49</v>
      </c>
      <c r="L167" s="3" t="s">
        <v>42</v>
      </c>
      <c r="M167">
        <v>1</v>
      </c>
    </row>
    <row r="168" spans="1:13" x14ac:dyDescent="0.35">
      <c r="A168" s="2">
        <v>46183</v>
      </c>
      <c r="B168" s="1" t="str">
        <f ca="1">IF(Información1[[#This Row],[Fecha]]='Ajuste de fechas'!$A$2,"Día actual","Día anterior")</f>
        <v>Día anterior</v>
      </c>
      <c r="C168" s="3" t="s">
        <v>63</v>
      </c>
      <c r="D168" t="s">
        <v>64</v>
      </c>
      <c r="E168" s="3" t="s">
        <v>139</v>
      </c>
      <c r="F168" s="3" t="s">
        <v>21</v>
      </c>
      <c r="G168" s="3" t="s">
        <v>116</v>
      </c>
      <c r="H168" s="3" t="s">
        <v>11</v>
      </c>
      <c r="I168" s="3" t="s">
        <v>7</v>
      </c>
      <c r="J168" s="3" t="s">
        <v>39</v>
      </c>
      <c r="K168" s="3" t="s">
        <v>65</v>
      </c>
      <c r="L168" s="3" t="s">
        <v>42</v>
      </c>
      <c r="M168">
        <v>1</v>
      </c>
    </row>
    <row r="169" spans="1:13" x14ac:dyDescent="0.35">
      <c r="A169" s="2">
        <v>46183</v>
      </c>
      <c r="B169" s="1" t="str">
        <f ca="1">IF(Información1[[#This Row],[Fecha]]='Ajuste de fechas'!$A$2,"Día actual","Día anterior")</f>
        <v>Día anterior</v>
      </c>
      <c r="C169" s="3" t="s">
        <v>63</v>
      </c>
      <c r="D169" t="s">
        <v>64</v>
      </c>
      <c r="E169" s="3" t="s">
        <v>147</v>
      </c>
      <c r="F169" s="3" t="s">
        <v>48</v>
      </c>
      <c r="G169" s="3" t="s">
        <v>148</v>
      </c>
      <c r="H169" s="3" t="s">
        <v>11</v>
      </c>
      <c r="I169" s="3" t="s">
        <v>25</v>
      </c>
      <c r="J169" s="3" t="s">
        <v>39</v>
      </c>
      <c r="K169" s="3" t="s">
        <v>65</v>
      </c>
      <c r="L169" s="3" t="s">
        <v>40</v>
      </c>
      <c r="M169">
        <v>1</v>
      </c>
    </row>
    <row r="170" spans="1:13" x14ac:dyDescent="0.35">
      <c r="A170" s="2">
        <v>46183</v>
      </c>
      <c r="B170" s="1" t="str">
        <f ca="1">IF(Información1[[#This Row],[Fecha]]='Ajuste de fechas'!$A$2,"Día actual","Día anterior")</f>
        <v>Día anterior</v>
      </c>
      <c r="C170" s="3" t="s">
        <v>63</v>
      </c>
      <c r="D170" t="s">
        <v>64</v>
      </c>
      <c r="E170" s="3" t="s">
        <v>121</v>
      </c>
      <c r="F170" s="3" t="s">
        <v>122</v>
      </c>
      <c r="G170" s="3" t="s">
        <v>123</v>
      </c>
      <c r="H170" s="3" t="s">
        <v>11</v>
      </c>
      <c r="I170" s="3" t="s">
        <v>7</v>
      </c>
      <c r="J170" s="3" t="s">
        <v>39</v>
      </c>
      <c r="K170" s="3" t="s">
        <v>65</v>
      </c>
      <c r="L170" s="3" t="s">
        <v>42</v>
      </c>
      <c r="M170">
        <v>1</v>
      </c>
    </row>
    <row r="171" spans="1:13" x14ac:dyDescent="0.35">
      <c r="A171" s="2">
        <v>46183</v>
      </c>
      <c r="B171" s="1" t="str">
        <f ca="1">IF(Información1[[#This Row],[Fecha]]='Ajuste de fechas'!$A$2,"Día actual","Día anterior")</f>
        <v>Día anterior</v>
      </c>
      <c r="C171" s="3" t="s">
        <v>63</v>
      </c>
      <c r="D171" t="s">
        <v>64</v>
      </c>
      <c r="E171" s="3" t="s">
        <v>151</v>
      </c>
      <c r="F171" s="3" t="s">
        <v>15</v>
      </c>
      <c r="G171" s="3" t="s">
        <v>86</v>
      </c>
      <c r="H171" s="3" t="s">
        <v>11</v>
      </c>
      <c r="I171" s="3" t="s">
        <v>7</v>
      </c>
      <c r="J171" s="3" t="s">
        <v>39</v>
      </c>
      <c r="K171" s="3" t="s">
        <v>65</v>
      </c>
      <c r="L171" s="3" t="s">
        <v>40</v>
      </c>
      <c r="M171">
        <v>1</v>
      </c>
    </row>
    <row r="172" spans="1:13" x14ac:dyDescent="0.35">
      <c r="A172" s="2">
        <v>46183</v>
      </c>
      <c r="B172" s="1" t="str">
        <f ca="1">IF(Información1[[#This Row],[Fecha]]='Ajuste de fechas'!$A$2,"Día actual","Día anterior")</f>
        <v>Día anterior</v>
      </c>
      <c r="C172" s="3" t="s">
        <v>63</v>
      </c>
      <c r="D172" t="s">
        <v>64</v>
      </c>
      <c r="E172" s="3" t="s">
        <v>152</v>
      </c>
      <c r="F172" s="3" t="s">
        <v>15</v>
      </c>
      <c r="G172" s="3" t="s">
        <v>86</v>
      </c>
      <c r="H172" s="3" t="s">
        <v>11</v>
      </c>
      <c r="I172" s="3" t="s">
        <v>7</v>
      </c>
      <c r="J172" s="3" t="s">
        <v>39</v>
      </c>
      <c r="K172" s="3" t="s">
        <v>65</v>
      </c>
      <c r="L172" s="3" t="s">
        <v>40</v>
      </c>
      <c r="M172">
        <v>1</v>
      </c>
    </row>
    <row r="173" spans="1:13" x14ac:dyDescent="0.35">
      <c r="A173" s="2">
        <v>46183</v>
      </c>
      <c r="B173" s="1" t="str">
        <f ca="1">IF(Información1[[#This Row],[Fecha]]='Ajuste de fechas'!$A$2,"Día actual","Día anterior")</f>
        <v>Día anterior</v>
      </c>
      <c r="C173" s="3" t="s">
        <v>63</v>
      </c>
      <c r="D173" t="s">
        <v>64</v>
      </c>
      <c r="E173" s="3" t="s">
        <v>156</v>
      </c>
      <c r="F173" s="3" t="s">
        <v>17</v>
      </c>
      <c r="G173" s="3" t="s">
        <v>157</v>
      </c>
      <c r="H173" s="3" t="s">
        <v>11</v>
      </c>
      <c r="I173" s="3" t="s">
        <v>25</v>
      </c>
      <c r="J173" s="3" t="s">
        <v>39</v>
      </c>
      <c r="K173" s="3" t="s">
        <v>65</v>
      </c>
      <c r="L173" s="3" t="s">
        <v>41</v>
      </c>
      <c r="M173">
        <v>1</v>
      </c>
    </row>
    <row r="174" spans="1:13" x14ac:dyDescent="0.35">
      <c r="A174" s="2">
        <v>46183</v>
      </c>
      <c r="B174" s="1" t="str">
        <f ca="1">IF(Información1[[#This Row],[Fecha]]='Ajuste de fechas'!$A$2,"Día actual","Día anterior")</f>
        <v>Día anterior</v>
      </c>
      <c r="C174" s="3" t="s">
        <v>63</v>
      </c>
      <c r="D174" t="s">
        <v>64</v>
      </c>
      <c r="E174" s="3" t="s">
        <v>158</v>
      </c>
      <c r="F174" s="3" t="s">
        <v>26</v>
      </c>
      <c r="G174" s="3" t="s">
        <v>60</v>
      </c>
      <c r="H174" s="3" t="s">
        <v>11</v>
      </c>
      <c r="I174" s="3" t="s">
        <v>7</v>
      </c>
      <c r="J174" s="3" t="s">
        <v>39</v>
      </c>
      <c r="K174" s="3" t="s">
        <v>65</v>
      </c>
      <c r="L174" s="3" t="s">
        <v>40</v>
      </c>
      <c r="M174">
        <v>1</v>
      </c>
    </row>
    <row r="175" spans="1:13" x14ac:dyDescent="0.35">
      <c r="A175" s="2">
        <v>46183</v>
      </c>
      <c r="B175" s="1" t="str">
        <f ca="1">IF(Información1[[#This Row],[Fecha]]='Ajuste de fechas'!$A$2,"Día actual","Día anterior")</f>
        <v>Día anterior</v>
      </c>
      <c r="C175" s="3" t="s">
        <v>63</v>
      </c>
      <c r="D175" t="s">
        <v>64</v>
      </c>
      <c r="E175" s="3" t="s">
        <v>159</v>
      </c>
      <c r="F175" s="3" t="s">
        <v>83</v>
      </c>
      <c r="G175" s="3" t="s">
        <v>53</v>
      </c>
      <c r="H175" s="3" t="s">
        <v>11</v>
      </c>
      <c r="I175" s="3" t="s">
        <v>7</v>
      </c>
      <c r="J175" s="3" t="s">
        <v>39</v>
      </c>
      <c r="K175" s="3" t="s">
        <v>65</v>
      </c>
      <c r="L175" s="3" t="s">
        <v>40</v>
      </c>
      <c r="M175">
        <v>1</v>
      </c>
    </row>
    <row r="176" spans="1:13" x14ac:dyDescent="0.35">
      <c r="A176" s="2">
        <v>46183</v>
      </c>
      <c r="B176" s="1" t="str">
        <f ca="1">IF(Información1[[#This Row],[Fecha]]='Ajuste de fechas'!$A$2,"Día actual","Día anterior")</f>
        <v>Día anterior</v>
      </c>
      <c r="C176" s="3" t="s">
        <v>63</v>
      </c>
      <c r="D176" t="s">
        <v>64</v>
      </c>
      <c r="E176" s="3" t="s">
        <v>164</v>
      </c>
      <c r="F176" s="3" t="s">
        <v>15</v>
      </c>
      <c r="G176" s="3" t="s">
        <v>165</v>
      </c>
      <c r="H176" s="3" t="s">
        <v>11</v>
      </c>
      <c r="I176" s="3" t="s">
        <v>7</v>
      </c>
      <c r="J176" s="3" t="s">
        <v>39</v>
      </c>
      <c r="K176" s="3" t="s">
        <v>65</v>
      </c>
      <c r="L176" s="3" t="s">
        <v>40</v>
      </c>
      <c r="M176">
        <v>1</v>
      </c>
    </row>
    <row r="177" spans="1:13" x14ac:dyDescent="0.35">
      <c r="A177" s="2">
        <v>46183</v>
      </c>
      <c r="B177" s="1" t="str">
        <f ca="1">IF(Información1[[#This Row],[Fecha]]='Ajuste de fechas'!$A$2,"Día actual","Día anterior")</f>
        <v>Día anterior</v>
      </c>
      <c r="C177" s="3" t="s">
        <v>63</v>
      </c>
      <c r="D177" t="s">
        <v>64</v>
      </c>
      <c r="E177" s="3" t="s">
        <v>129</v>
      </c>
      <c r="F177" s="3" t="s">
        <v>72</v>
      </c>
      <c r="G177" s="3" t="s">
        <v>92</v>
      </c>
      <c r="H177" s="3" t="s">
        <v>11</v>
      </c>
      <c r="I177" s="3" t="s">
        <v>7</v>
      </c>
      <c r="J177" s="3" t="s">
        <v>39</v>
      </c>
      <c r="K177" s="3" t="s">
        <v>65</v>
      </c>
      <c r="L177" s="3" t="s">
        <v>42</v>
      </c>
      <c r="M177">
        <v>1</v>
      </c>
    </row>
    <row r="178" spans="1:13" x14ac:dyDescent="0.35">
      <c r="A178" s="2">
        <v>46183</v>
      </c>
      <c r="B178" s="1" t="str">
        <f ca="1">IF(Información1[[#This Row],[Fecha]]='Ajuste de fechas'!$A$2,"Día actual","Día anterior")</f>
        <v>Día anterior</v>
      </c>
      <c r="C178" s="3" t="s">
        <v>63</v>
      </c>
      <c r="D178" t="s">
        <v>64</v>
      </c>
      <c r="E178" s="3" t="s">
        <v>166</v>
      </c>
      <c r="F178" s="3" t="s">
        <v>6</v>
      </c>
      <c r="G178" s="3" t="s">
        <v>92</v>
      </c>
      <c r="H178" s="3" t="s">
        <v>11</v>
      </c>
      <c r="I178" s="3" t="s">
        <v>7</v>
      </c>
      <c r="J178" s="3" t="s">
        <v>39</v>
      </c>
      <c r="K178" s="3" t="s">
        <v>65</v>
      </c>
      <c r="L178" s="3" t="s">
        <v>40</v>
      </c>
      <c r="M178">
        <v>1</v>
      </c>
    </row>
    <row r="179" spans="1:13" x14ac:dyDescent="0.35">
      <c r="A179" s="2">
        <v>46183</v>
      </c>
      <c r="B179" s="1" t="str">
        <f ca="1">IF(Información1[[#This Row],[Fecha]]='Ajuste de fechas'!$A$2,"Día actual","Día anterior")</f>
        <v>Día anterior</v>
      </c>
      <c r="C179" s="3" t="s">
        <v>29</v>
      </c>
      <c r="D179" t="s">
        <v>30</v>
      </c>
      <c r="E179" s="3" t="s">
        <v>167</v>
      </c>
      <c r="F179" s="3" t="s">
        <v>21</v>
      </c>
      <c r="G179" s="3" t="s">
        <v>53</v>
      </c>
      <c r="H179" s="3" t="s">
        <v>59</v>
      </c>
      <c r="I179" s="3" t="s">
        <v>7</v>
      </c>
      <c r="J179" s="3" t="s">
        <v>39</v>
      </c>
      <c r="K179" s="3" t="s">
        <v>27</v>
      </c>
      <c r="L179" s="3" t="s">
        <v>40</v>
      </c>
      <c r="M179">
        <v>1</v>
      </c>
    </row>
    <row r="180" spans="1:13" x14ac:dyDescent="0.35">
      <c r="A180" s="2">
        <v>46183</v>
      </c>
      <c r="B180" s="1" t="str">
        <f ca="1">IF(Información1[[#This Row],[Fecha]]='Ajuste de fechas'!$A$2,"Día actual","Día anterior")</f>
        <v>Día anterior</v>
      </c>
      <c r="C180" s="3" t="s">
        <v>29</v>
      </c>
      <c r="D180" t="s">
        <v>30</v>
      </c>
      <c r="E180" s="3" t="s">
        <v>128</v>
      </c>
      <c r="F180" s="3" t="s">
        <v>96</v>
      </c>
      <c r="G180" s="3" t="s">
        <v>97</v>
      </c>
      <c r="H180" s="3" t="s">
        <v>59</v>
      </c>
      <c r="I180" s="3" t="s">
        <v>7</v>
      </c>
      <c r="J180" s="3" t="s">
        <v>39</v>
      </c>
      <c r="K180" s="3" t="s">
        <v>27</v>
      </c>
      <c r="L180" s="3" t="s">
        <v>42</v>
      </c>
      <c r="M180">
        <v>1</v>
      </c>
    </row>
    <row r="181" spans="1:13" x14ac:dyDescent="0.35">
      <c r="A181" s="2">
        <v>46183</v>
      </c>
      <c r="B181" s="1" t="str">
        <f ca="1">IF(Información1[[#This Row],[Fecha]]='Ajuste de fechas'!$A$2,"Día actual","Día anterior")</f>
        <v>Día anterior</v>
      </c>
      <c r="C181" s="3" t="s">
        <v>29</v>
      </c>
      <c r="D181" t="s">
        <v>30</v>
      </c>
      <c r="E181" s="3" t="s">
        <v>139</v>
      </c>
      <c r="F181" s="3" t="s">
        <v>21</v>
      </c>
      <c r="G181" s="3" t="s">
        <v>116</v>
      </c>
      <c r="H181" s="3" t="s">
        <v>59</v>
      </c>
      <c r="I181" s="3" t="s">
        <v>7</v>
      </c>
      <c r="J181" s="3" t="s">
        <v>39</v>
      </c>
      <c r="K181" s="3" t="s">
        <v>27</v>
      </c>
      <c r="L181" s="3" t="s">
        <v>42</v>
      </c>
      <c r="M181">
        <v>1</v>
      </c>
    </row>
    <row r="182" spans="1:13" x14ac:dyDescent="0.35">
      <c r="A182" s="2">
        <v>46183</v>
      </c>
      <c r="B182" s="1" t="str">
        <f ca="1">IF(Información1[[#This Row],[Fecha]]='Ajuste de fechas'!$A$2,"Día actual","Día anterior")</f>
        <v>Día anterior</v>
      </c>
      <c r="C182" s="3" t="s">
        <v>29</v>
      </c>
      <c r="D182" t="s">
        <v>30</v>
      </c>
      <c r="E182" s="3" t="s">
        <v>168</v>
      </c>
      <c r="F182" s="3" t="s">
        <v>26</v>
      </c>
      <c r="G182" s="3" t="s">
        <v>169</v>
      </c>
      <c r="H182" s="3" t="s">
        <v>59</v>
      </c>
      <c r="I182" s="3" t="s">
        <v>7</v>
      </c>
      <c r="J182" s="3" t="s">
        <v>39</v>
      </c>
      <c r="K182" s="3" t="s">
        <v>27</v>
      </c>
      <c r="L182" s="3" t="s">
        <v>40</v>
      </c>
      <c r="M182">
        <v>1</v>
      </c>
    </row>
    <row r="183" spans="1:13" x14ac:dyDescent="0.35">
      <c r="A183" s="2">
        <v>46183</v>
      </c>
      <c r="B183" s="1" t="str">
        <f ca="1">IF(Información1[[#This Row],[Fecha]]='Ajuste de fechas'!$A$2,"Día actual","Día anterior")</f>
        <v>Día anterior</v>
      </c>
      <c r="C183" s="3" t="s">
        <v>29</v>
      </c>
      <c r="D183" t="s">
        <v>30</v>
      </c>
      <c r="E183" s="3" t="s">
        <v>170</v>
      </c>
      <c r="F183" s="3" t="s">
        <v>15</v>
      </c>
      <c r="G183" s="3" t="s">
        <v>171</v>
      </c>
      <c r="H183" s="3" t="s">
        <v>59</v>
      </c>
      <c r="I183" s="3" t="s">
        <v>7</v>
      </c>
      <c r="J183" s="3" t="s">
        <v>39</v>
      </c>
      <c r="K183" s="3" t="s">
        <v>27</v>
      </c>
      <c r="L183" s="3" t="s">
        <v>40</v>
      </c>
      <c r="M183">
        <v>1</v>
      </c>
    </row>
    <row r="184" spans="1:13" x14ac:dyDescent="0.35">
      <c r="A184" s="2">
        <v>46183</v>
      </c>
      <c r="B184" s="1" t="str">
        <f ca="1">IF(Información1[[#This Row],[Fecha]]='Ajuste de fechas'!$A$2,"Día actual","Día anterior")</f>
        <v>Día anterior</v>
      </c>
      <c r="C184" s="3" t="s">
        <v>29</v>
      </c>
      <c r="D184" t="s">
        <v>30</v>
      </c>
      <c r="E184" s="3" t="s">
        <v>176</v>
      </c>
      <c r="F184" s="3" t="s">
        <v>31</v>
      </c>
      <c r="G184" s="3" t="s">
        <v>120</v>
      </c>
      <c r="H184" s="3" t="s">
        <v>59</v>
      </c>
      <c r="I184" s="3" t="s">
        <v>7</v>
      </c>
      <c r="J184" s="3" t="s">
        <v>39</v>
      </c>
      <c r="K184" s="3" t="s">
        <v>27</v>
      </c>
      <c r="L184" s="3" t="s">
        <v>42</v>
      </c>
      <c r="M184">
        <v>1</v>
      </c>
    </row>
    <row r="185" spans="1:13" x14ac:dyDescent="0.35">
      <c r="A185" s="2">
        <v>46183</v>
      </c>
      <c r="B185" s="1" t="str">
        <f ca="1">IF(Información1[[#This Row],[Fecha]]='Ajuste de fechas'!$A$2,"Día actual","Día anterior")</f>
        <v>Día anterior</v>
      </c>
      <c r="C185" s="3" t="s">
        <v>29</v>
      </c>
      <c r="D185" t="s">
        <v>30</v>
      </c>
      <c r="E185" s="3" t="s">
        <v>131</v>
      </c>
      <c r="F185" s="3" t="s">
        <v>26</v>
      </c>
      <c r="G185" s="3" t="s">
        <v>125</v>
      </c>
      <c r="H185" s="3" t="s">
        <v>59</v>
      </c>
      <c r="I185" s="3" t="s">
        <v>7</v>
      </c>
      <c r="J185" s="3" t="s">
        <v>39</v>
      </c>
      <c r="K185" s="3" t="s">
        <v>27</v>
      </c>
      <c r="L185" s="3" t="s">
        <v>42</v>
      </c>
      <c r="M185">
        <v>1</v>
      </c>
    </row>
    <row r="186" spans="1:13" x14ac:dyDescent="0.35">
      <c r="A186" s="2">
        <v>46183</v>
      </c>
      <c r="B186" s="1" t="str">
        <f ca="1">IF(Información1[[#This Row],[Fecha]]='Ajuste de fechas'!$A$2,"Día actual","Día anterior")</f>
        <v>Día anterior</v>
      </c>
      <c r="C186" s="3" t="s">
        <v>29</v>
      </c>
      <c r="D186" t="s">
        <v>30</v>
      </c>
      <c r="E186" s="3" t="s">
        <v>178</v>
      </c>
      <c r="F186" s="3" t="s">
        <v>72</v>
      </c>
      <c r="G186" s="3" t="s">
        <v>92</v>
      </c>
      <c r="H186" s="3" t="s">
        <v>59</v>
      </c>
      <c r="I186" s="3" t="s">
        <v>7</v>
      </c>
      <c r="J186" s="3" t="s">
        <v>39</v>
      </c>
      <c r="K186" s="3" t="s">
        <v>27</v>
      </c>
      <c r="L186" s="3" t="s">
        <v>42</v>
      </c>
      <c r="M186">
        <v>1</v>
      </c>
    </row>
    <row r="187" spans="1:13" x14ac:dyDescent="0.35">
      <c r="A187" s="2">
        <v>46183</v>
      </c>
      <c r="B187" s="1" t="str">
        <f ca="1">IF(Información1[[#This Row],[Fecha]]='Ajuste de fechas'!$A$2,"Día actual","Día anterior")</f>
        <v>Día anterior</v>
      </c>
      <c r="C187" s="3" t="s">
        <v>29</v>
      </c>
      <c r="D187" t="s">
        <v>30</v>
      </c>
      <c r="E187" s="3" t="s">
        <v>179</v>
      </c>
      <c r="F187" s="3" t="s">
        <v>72</v>
      </c>
      <c r="G187" s="3" t="s">
        <v>74</v>
      </c>
      <c r="H187" s="3" t="s">
        <v>59</v>
      </c>
      <c r="I187" s="3" t="s">
        <v>7</v>
      </c>
      <c r="J187" s="3" t="s">
        <v>39</v>
      </c>
      <c r="K187" s="3" t="s">
        <v>27</v>
      </c>
      <c r="L187" s="3" t="s">
        <v>42</v>
      </c>
      <c r="M187">
        <v>1</v>
      </c>
    </row>
    <row r="188" spans="1:13" x14ac:dyDescent="0.35">
      <c r="A188" s="2">
        <v>46183</v>
      </c>
      <c r="B188" s="1" t="str">
        <f ca="1">IF(Información1[[#This Row],[Fecha]]='Ajuste de fechas'!$A$2,"Día actual","Día anterior")</f>
        <v>Día anterior</v>
      </c>
      <c r="C188" s="3" t="s">
        <v>29</v>
      </c>
      <c r="D188" t="s">
        <v>30</v>
      </c>
      <c r="E188" s="3" t="s">
        <v>180</v>
      </c>
      <c r="F188" s="3" t="s">
        <v>15</v>
      </c>
      <c r="G188" s="3" t="s">
        <v>61</v>
      </c>
      <c r="H188" s="3" t="s">
        <v>59</v>
      </c>
      <c r="I188" s="3" t="s">
        <v>7</v>
      </c>
      <c r="J188" s="3" t="s">
        <v>39</v>
      </c>
      <c r="K188" s="3" t="s">
        <v>27</v>
      </c>
      <c r="L188" s="3" t="s">
        <v>40</v>
      </c>
      <c r="M188">
        <v>1</v>
      </c>
    </row>
    <row r="189" spans="1:13" x14ac:dyDescent="0.35">
      <c r="A189" s="2">
        <v>46183</v>
      </c>
      <c r="B189" s="1" t="str">
        <f ca="1">IF(Información1[[#This Row],[Fecha]]='Ajuste de fechas'!$A$2,"Día actual","Día anterior")</f>
        <v>Día anterior</v>
      </c>
      <c r="C189" s="3" t="s">
        <v>29</v>
      </c>
      <c r="D189" t="s">
        <v>30</v>
      </c>
      <c r="E189" s="3" t="s">
        <v>181</v>
      </c>
      <c r="F189" s="3" t="s">
        <v>15</v>
      </c>
      <c r="G189" s="3" t="s">
        <v>53</v>
      </c>
      <c r="H189" s="3" t="s">
        <v>59</v>
      </c>
      <c r="I189" s="3" t="s">
        <v>7</v>
      </c>
      <c r="J189" s="3" t="s">
        <v>39</v>
      </c>
      <c r="K189" s="3" t="s">
        <v>27</v>
      </c>
      <c r="L189" s="3" t="s">
        <v>40</v>
      </c>
      <c r="M189">
        <v>1</v>
      </c>
    </row>
    <row r="190" spans="1:13" x14ac:dyDescent="0.35">
      <c r="A190" s="2">
        <v>46183</v>
      </c>
      <c r="B190" s="1" t="str">
        <f ca="1">IF(Información1[[#This Row],[Fecha]]='Ajuste de fechas'!$A$2,"Día actual","Día anterior")</f>
        <v>Día anterior</v>
      </c>
      <c r="C190" s="3" t="s">
        <v>8</v>
      </c>
      <c r="D190" t="s">
        <v>10</v>
      </c>
      <c r="E190" s="3" t="s">
        <v>182</v>
      </c>
      <c r="F190" s="3" t="s">
        <v>6</v>
      </c>
      <c r="G190" s="3" t="s">
        <v>82</v>
      </c>
      <c r="H190" s="3" t="s">
        <v>11</v>
      </c>
      <c r="I190" s="3" t="s">
        <v>25</v>
      </c>
      <c r="J190" s="3" t="s">
        <v>39</v>
      </c>
      <c r="K190" s="3" t="s">
        <v>9</v>
      </c>
      <c r="L190" s="3" t="s">
        <v>41</v>
      </c>
      <c r="M190">
        <v>1</v>
      </c>
    </row>
    <row r="191" spans="1:13" x14ac:dyDescent="0.35">
      <c r="A191" s="2">
        <v>46183</v>
      </c>
      <c r="B191" s="1" t="str">
        <f ca="1">IF(Información1[[#This Row],[Fecha]]='Ajuste de fechas'!$A$2,"Día actual","Día anterior")</f>
        <v>Día anterior</v>
      </c>
      <c r="C191" s="3" t="s">
        <v>8</v>
      </c>
      <c r="D191" t="s">
        <v>10</v>
      </c>
      <c r="E191" s="3" t="s">
        <v>184</v>
      </c>
      <c r="F191" s="3" t="s">
        <v>6</v>
      </c>
      <c r="G191" s="3" t="s">
        <v>95</v>
      </c>
      <c r="H191" s="3" t="s">
        <v>11</v>
      </c>
      <c r="I191" s="3" t="s">
        <v>12</v>
      </c>
      <c r="J191" s="3" t="s">
        <v>39</v>
      </c>
      <c r="K191" s="3" t="s">
        <v>9</v>
      </c>
      <c r="L191" s="3" t="s">
        <v>41</v>
      </c>
      <c r="M191">
        <v>1</v>
      </c>
    </row>
    <row r="192" spans="1:13" x14ac:dyDescent="0.35">
      <c r="A192" s="2">
        <v>46183</v>
      </c>
      <c r="B192" s="1" t="str">
        <f ca="1">IF(Información1[[#This Row],[Fecha]]='Ajuste de fechas'!$A$2,"Día actual","Día anterior")</f>
        <v>Día anterior</v>
      </c>
      <c r="C192" s="3" t="s">
        <v>8</v>
      </c>
      <c r="D192" t="s">
        <v>10</v>
      </c>
      <c r="E192" s="3" t="s">
        <v>90</v>
      </c>
      <c r="F192" s="3" t="s">
        <v>77</v>
      </c>
      <c r="G192" s="3" t="s">
        <v>91</v>
      </c>
      <c r="H192" s="3" t="s">
        <v>11</v>
      </c>
      <c r="I192" s="3" t="s">
        <v>7</v>
      </c>
      <c r="J192" s="3" t="s">
        <v>39</v>
      </c>
      <c r="K192" s="3" t="s">
        <v>14</v>
      </c>
      <c r="L192" s="3" t="s">
        <v>42</v>
      </c>
      <c r="M192">
        <v>1</v>
      </c>
    </row>
    <row r="193" spans="1:13" x14ac:dyDescent="0.35">
      <c r="A193" s="2">
        <v>46183</v>
      </c>
      <c r="B193" s="1" t="str">
        <f ca="1">IF(Información1[[#This Row],[Fecha]]='Ajuste de fechas'!$A$2,"Día actual","Día anterior")</f>
        <v>Día anterior</v>
      </c>
      <c r="C193" s="3" t="s">
        <v>8</v>
      </c>
      <c r="D193" t="s">
        <v>10</v>
      </c>
      <c r="E193" s="3" t="s">
        <v>185</v>
      </c>
      <c r="F193" s="3" t="s">
        <v>48</v>
      </c>
      <c r="G193" s="3" t="s">
        <v>186</v>
      </c>
      <c r="H193" s="3" t="s">
        <v>11</v>
      </c>
      <c r="I193" s="3" t="s">
        <v>12</v>
      </c>
      <c r="J193" s="3" t="s">
        <v>39</v>
      </c>
      <c r="K193" s="3" t="s">
        <v>9</v>
      </c>
      <c r="L193" s="3" t="s">
        <v>41</v>
      </c>
      <c r="M193">
        <v>1</v>
      </c>
    </row>
    <row r="194" spans="1:13" x14ac:dyDescent="0.35">
      <c r="A194" s="2">
        <v>46183</v>
      </c>
      <c r="B194" s="1" t="str">
        <f ca="1">IF(Información1[[#This Row],[Fecha]]='Ajuste de fechas'!$A$2,"Día actual","Día anterior")</f>
        <v>Día anterior</v>
      </c>
      <c r="C194" s="3" t="s">
        <v>8</v>
      </c>
      <c r="D194" t="s">
        <v>10</v>
      </c>
      <c r="E194" s="3" t="s">
        <v>187</v>
      </c>
      <c r="F194" s="3" t="s">
        <v>6</v>
      </c>
      <c r="G194" s="3" t="s">
        <v>92</v>
      </c>
      <c r="H194" s="3" t="s">
        <v>11</v>
      </c>
      <c r="I194" s="3" t="s">
        <v>7</v>
      </c>
      <c r="J194" s="3" t="s">
        <v>39</v>
      </c>
      <c r="K194" s="3" t="s">
        <v>14</v>
      </c>
      <c r="L194" s="3" t="s">
        <v>42</v>
      </c>
      <c r="M194">
        <v>1</v>
      </c>
    </row>
    <row r="195" spans="1:13" x14ac:dyDescent="0.35">
      <c r="A195" s="2">
        <v>46183</v>
      </c>
      <c r="B195" s="1" t="str">
        <f ca="1">IF(Información1[[#This Row],[Fecha]]='Ajuste de fechas'!$A$2,"Día actual","Día anterior")</f>
        <v>Día anterior</v>
      </c>
      <c r="C195" s="3" t="s">
        <v>8</v>
      </c>
      <c r="D195" t="s">
        <v>10</v>
      </c>
      <c r="E195" s="3" t="s">
        <v>54</v>
      </c>
      <c r="F195" s="3" t="s">
        <v>21</v>
      </c>
      <c r="G195" s="3" t="s">
        <v>32</v>
      </c>
      <c r="H195" s="3" t="s">
        <v>11</v>
      </c>
      <c r="I195" s="3" t="s">
        <v>12</v>
      </c>
      <c r="J195" s="3" t="s">
        <v>39</v>
      </c>
      <c r="K195" s="3" t="s">
        <v>14</v>
      </c>
      <c r="L195" s="3" t="s">
        <v>41</v>
      </c>
      <c r="M195">
        <v>1</v>
      </c>
    </row>
    <row r="196" spans="1:13" x14ac:dyDescent="0.35">
      <c r="A196" s="2">
        <v>46183</v>
      </c>
      <c r="B196" s="1" t="str">
        <f ca="1">IF(Información1[[#This Row],[Fecha]]='Ajuste de fechas'!$A$2,"Día actual","Día anterior")</f>
        <v>Día anterior</v>
      </c>
      <c r="C196" s="3" t="s">
        <v>8</v>
      </c>
      <c r="D196" t="s">
        <v>10</v>
      </c>
      <c r="E196" s="3" t="s">
        <v>13</v>
      </c>
      <c r="F196" s="3" t="s">
        <v>15</v>
      </c>
      <c r="G196" s="3" t="s">
        <v>32</v>
      </c>
      <c r="H196" s="3" t="s">
        <v>11</v>
      </c>
      <c r="I196" s="3" t="s">
        <v>12</v>
      </c>
      <c r="J196" s="3" t="s">
        <v>39</v>
      </c>
      <c r="K196" s="3" t="s">
        <v>14</v>
      </c>
      <c r="L196" s="3" t="s">
        <v>41</v>
      </c>
      <c r="M196">
        <v>1</v>
      </c>
    </row>
    <row r="197" spans="1:13" x14ac:dyDescent="0.35">
      <c r="A197" s="2">
        <v>46183</v>
      </c>
      <c r="B197" s="1" t="str">
        <f ca="1">IF(Información1[[#This Row],[Fecha]]='Ajuste de fechas'!$A$2,"Día actual","Día anterior")</f>
        <v>Día anterior</v>
      </c>
      <c r="C197" s="3" t="s">
        <v>8</v>
      </c>
      <c r="D197" t="s">
        <v>10</v>
      </c>
      <c r="E197" s="3" t="s">
        <v>16</v>
      </c>
      <c r="F197" s="3" t="s">
        <v>17</v>
      </c>
      <c r="G197" s="3" t="s">
        <v>32</v>
      </c>
      <c r="H197" s="3" t="s">
        <v>11</v>
      </c>
      <c r="I197" s="3" t="s">
        <v>12</v>
      </c>
      <c r="J197" s="3" t="s">
        <v>39</v>
      </c>
      <c r="K197" s="3" t="s">
        <v>14</v>
      </c>
      <c r="L197" s="3" t="s">
        <v>41</v>
      </c>
      <c r="M197">
        <v>1</v>
      </c>
    </row>
    <row r="198" spans="1:13" x14ac:dyDescent="0.35">
      <c r="A198" s="2">
        <v>46183</v>
      </c>
      <c r="B198" s="1" t="str">
        <f ca="1">IF(Información1[[#This Row],[Fecha]]='Ajuste de fechas'!$A$2,"Día actual","Día anterior")</f>
        <v>Día anterior</v>
      </c>
      <c r="C198" s="3" t="s">
        <v>8</v>
      </c>
      <c r="D198" t="s">
        <v>10</v>
      </c>
      <c r="E198" s="3" t="s">
        <v>55</v>
      </c>
      <c r="F198" s="3" t="s">
        <v>6</v>
      </c>
      <c r="G198" s="3" t="s">
        <v>32</v>
      </c>
      <c r="H198" s="3" t="s">
        <v>11</v>
      </c>
      <c r="I198" s="3" t="s">
        <v>12</v>
      </c>
      <c r="J198" s="3" t="s">
        <v>39</v>
      </c>
      <c r="K198" s="3" t="s">
        <v>14</v>
      </c>
      <c r="L198" s="3" t="s">
        <v>41</v>
      </c>
      <c r="M198">
        <v>1</v>
      </c>
    </row>
    <row r="199" spans="1:13" x14ac:dyDescent="0.35">
      <c r="A199" s="2">
        <v>46183</v>
      </c>
      <c r="B199" s="1" t="str">
        <f ca="1">IF(Información1[[#This Row],[Fecha]]='Ajuste de fechas'!$A$2,"Día actual","Día anterior")</f>
        <v>Día anterior</v>
      </c>
      <c r="C199" s="3" t="s">
        <v>8</v>
      </c>
      <c r="D199" t="s">
        <v>10</v>
      </c>
      <c r="E199" s="3" t="s">
        <v>190</v>
      </c>
      <c r="F199" s="3" t="s">
        <v>6</v>
      </c>
      <c r="G199" s="3" t="s">
        <v>191</v>
      </c>
      <c r="H199" s="3" t="s">
        <v>11</v>
      </c>
      <c r="I199" s="3" t="s">
        <v>25</v>
      </c>
      <c r="J199" s="3" t="s">
        <v>39</v>
      </c>
      <c r="K199" s="3" t="s">
        <v>9</v>
      </c>
      <c r="L199" s="3" t="s">
        <v>41</v>
      </c>
      <c r="M199">
        <v>1</v>
      </c>
    </row>
    <row r="200" spans="1:13" x14ac:dyDescent="0.35">
      <c r="A200" s="2">
        <v>46183</v>
      </c>
      <c r="B200" s="1" t="str">
        <f ca="1">IF(Información1[[#This Row],[Fecha]]='Ajuste de fechas'!$A$2,"Día actual","Día anterior")</f>
        <v>Día anterior</v>
      </c>
      <c r="C200" s="3" t="s">
        <v>87</v>
      </c>
      <c r="D200" t="s">
        <v>88</v>
      </c>
      <c r="E200" s="3" t="s">
        <v>192</v>
      </c>
      <c r="F200" s="3" t="s">
        <v>26</v>
      </c>
      <c r="G200" s="3" t="s">
        <v>125</v>
      </c>
      <c r="H200" s="3" t="s">
        <v>11</v>
      </c>
      <c r="I200" s="3" t="s">
        <v>7</v>
      </c>
      <c r="J200" s="3" t="s">
        <v>39</v>
      </c>
      <c r="K200" s="3" t="s">
        <v>89</v>
      </c>
      <c r="L200" s="3" t="s">
        <v>42</v>
      </c>
      <c r="M200">
        <v>1</v>
      </c>
    </row>
    <row r="201" spans="1:13" x14ac:dyDescent="0.35">
      <c r="A201" s="2">
        <v>46183</v>
      </c>
      <c r="B201" s="1" t="str">
        <f ca="1">IF(Información1[[#This Row],[Fecha]]='Ajuste de fechas'!$A$2,"Día actual","Día anterior")</f>
        <v>Día anterior</v>
      </c>
      <c r="C201" s="3" t="s">
        <v>28</v>
      </c>
      <c r="D201" t="s">
        <v>70</v>
      </c>
      <c r="E201" s="3" t="s">
        <v>192</v>
      </c>
      <c r="F201" s="3" t="s">
        <v>26</v>
      </c>
      <c r="G201" s="3" t="s">
        <v>125</v>
      </c>
      <c r="H201" s="3" t="s">
        <v>11</v>
      </c>
      <c r="I201" s="3" t="s">
        <v>7</v>
      </c>
      <c r="J201" s="3" t="s">
        <v>39</v>
      </c>
      <c r="K201" s="3" t="s">
        <v>71</v>
      </c>
      <c r="L201" s="3" t="s">
        <v>42</v>
      </c>
      <c r="M201">
        <v>1</v>
      </c>
    </row>
    <row r="202" spans="1:13" x14ac:dyDescent="0.35">
      <c r="A202" s="2">
        <v>46183</v>
      </c>
      <c r="B202" s="1" t="str">
        <f ca="1">IF(Información1[[#This Row],[Fecha]]='Ajuste de fechas'!$A$2,"Día actual","Día anterior")</f>
        <v>Día anterior</v>
      </c>
      <c r="C202" s="3" t="s">
        <v>8</v>
      </c>
      <c r="D202" t="s">
        <v>10</v>
      </c>
      <c r="E202" s="3" t="s">
        <v>193</v>
      </c>
      <c r="F202" s="3" t="s">
        <v>194</v>
      </c>
      <c r="G202" s="3" t="s">
        <v>114</v>
      </c>
      <c r="H202" s="3" t="s">
        <v>11</v>
      </c>
      <c r="I202" s="3" t="s">
        <v>7</v>
      </c>
      <c r="J202" s="3" t="s">
        <v>39</v>
      </c>
      <c r="K202" s="3" t="s">
        <v>14</v>
      </c>
      <c r="L202" s="3" t="s">
        <v>42</v>
      </c>
      <c r="M202">
        <v>1</v>
      </c>
    </row>
    <row r="203" spans="1:13" x14ac:dyDescent="0.35">
      <c r="A203" s="2">
        <v>46183</v>
      </c>
      <c r="B203" s="1" t="str">
        <f ca="1">IF(Información1[[#This Row],[Fecha]]='Ajuste de fechas'!$A$2,"Día actual","Día anterior")</f>
        <v>Día anterior</v>
      </c>
      <c r="C203" s="3" t="s">
        <v>8</v>
      </c>
      <c r="D203" t="s">
        <v>10</v>
      </c>
      <c r="E203" s="3" t="s">
        <v>193</v>
      </c>
      <c r="F203" s="3" t="s">
        <v>113</v>
      </c>
      <c r="G203" s="3" t="s">
        <v>114</v>
      </c>
      <c r="H203" s="3" t="s">
        <v>11</v>
      </c>
      <c r="I203" s="3" t="s">
        <v>7</v>
      </c>
      <c r="J203" s="3" t="s">
        <v>39</v>
      </c>
      <c r="K203" s="3" t="s">
        <v>14</v>
      </c>
      <c r="L203" s="3" t="s">
        <v>42</v>
      </c>
      <c r="M203">
        <v>1</v>
      </c>
    </row>
    <row r="204" spans="1:13" x14ac:dyDescent="0.35">
      <c r="A204" s="2">
        <v>46183</v>
      </c>
      <c r="B204" s="1" t="str">
        <f ca="1">IF(Información1[[#This Row],[Fecha]]='Ajuste de fechas'!$A$2,"Día actual","Día anterior")</f>
        <v>Día anterior</v>
      </c>
      <c r="C204" s="3" t="s">
        <v>8</v>
      </c>
      <c r="D204" t="s">
        <v>10</v>
      </c>
      <c r="E204" s="3" t="s">
        <v>195</v>
      </c>
      <c r="F204" s="3" t="s">
        <v>6</v>
      </c>
      <c r="G204" s="3" t="s">
        <v>75</v>
      </c>
      <c r="H204" s="3" t="s">
        <v>11</v>
      </c>
      <c r="I204" s="3" t="s">
        <v>25</v>
      </c>
      <c r="J204" s="3" t="s">
        <v>39</v>
      </c>
      <c r="K204" s="3" t="s">
        <v>9</v>
      </c>
      <c r="L204" s="3" t="s">
        <v>41</v>
      </c>
      <c r="M204">
        <v>1</v>
      </c>
    </row>
    <row r="205" spans="1:13" x14ac:dyDescent="0.35">
      <c r="A205" s="2">
        <v>46183</v>
      </c>
      <c r="B205" s="1" t="str">
        <f ca="1">IF(Información1[[#This Row],[Fecha]]='Ajuste de fechas'!$A$2,"Día actual","Día anterior")</f>
        <v>Día anterior</v>
      </c>
      <c r="C205" s="3" t="s">
        <v>8</v>
      </c>
      <c r="D205" t="s">
        <v>10</v>
      </c>
      <c r="E205" s="3" t="s">
        <v>196</v>
      </c>
      <c r="F205" s="3" t="s">
        <v>6</v>
      </c>
      <c r="G205" s="3" t="s">
        <v>75</v>
      </c>
      <c r="H205" s="3" t="s">
        <v>11</v>
      </c>
      <c r="I205" s="3" t="s">
        <v>25</v>
      </c>
      <c r="J205" s="3" t="s">
        <v>39</v>
      </c>
      <c r="K205" s="3" t="s">
        <v>9</v>
      </c>
      <c r="L205" s="3" t="s">
        <v>41</v>
      </c>
      <c r="M205">
        <v>1</v>
      </c>
    </row>
    <row r="206" spans="1:13" x14ac:dyDescent="0.35">
      <c r="A206" s="2">
        <v>46183</v>
      </c>
      <c r="B206" s="1" t="str">
        <f ca="1">IF(Información1[[#This Row],[Fecha]]='Ajuste de fechas'!$A$2,"Día actual","Día anterior")</f>
        <v>Día anterior</v>
      </c>
      <c r="C206" s="3" t="s">
        <v>87</v>
      </c>
      <c r="D206" t="s">
        <v>88</v>
      </c>
      <c r="E206" s="3" t="s">
        <v>139</v>
      </c>
      <c r="F206" s="3" t="s">
        <v>21</v>
      </c>
      <c r="G206" s="3" t="s">
        <v>116</v>
      </c>
      <c r="H206" s="3" t="s">
        <v>11</v>
      </c>
      <c r="I206" s="3" t="s">
        <v>7</v>
      </c>
      <c r="J206" s="3" t="s">
        <v>39</v>
      </c>
      <c r="K206" s="3" t="s">
        <v>89</v>
      </c>
      <c r="L206" s="3" t="s">
        <v>42</v>
      </c>
      <c r="M206">
        <v>1</v>
      </c>
    </row>
    <row r="207" spans="1:13" x14ac:dyDescent="0.35">
      <c r="A207" s="2">
        <v>46183</v>
      </c>
      <c r="B207" s="1" t="str">
        <f ca="1">IF(Información1[[#This Row],[Fecha]]='Ajuste de fechas'!$A$2,"Día actual","Día anterior")</f>
        <v>Día anterior</v>
      </c>
      <c r="C207" s="3" t="s">
        <v>28</v>
      </c>
      <c r="D207" t="s">
        <v>70</v>
      </c>
      <c r="E207" s="3" t="s">
        <v>159</v>
      </c>
      <c r="F207" s="3" t="s">
        <v>83</v>
      </c>
      <c r="G207" s="3" t="s">
        <v>53</v>
      </c>
      <c r="H207" s="3" t="s">
        <v>11</v>
      </c>
      <c r="I207" s="3" t="s">
        <v>7</v>
      </c>
      <c r="J207" s="3" t="s">
        <v>39</v>
      </c>
      <c r="K207" s="3" t="s">
        <v>71</v>
      </c>
      <c r="L207" s="3" t="s">
        <v>40</v>
      </c>
      <c r="M207">
        <v>1</v>
      </c>
    </row>
    <row r="208" spans="1:13" x14ac:dyDescent="0.35">
      <c r="A208" s="2">
        <v>46183</v>
      </c>
      <c r="B208" s="1" t="str">
        <f ca="1">IF(Información1[[#This Row],[Fecha]]='Ajuste de fechas'!$A$2,"Día actual","Día anterior")</f>
        <v>Día anterior</v>
      </c>
      <c r="C208" s="3" t="s">
        <v>8</v>
      </c>
      <c r="D208" t="s">
        <v>10</v>
      </c>
      <c r="E208" s="3" t="s">
        <v>205</v>
      </c>
      <c r="F208" s="3" t="s">
        <v>6</v>
      </c>
      <c r="G208" s="3" t="s">
        <v>206</v>
      </c>
      <c r="H208" s="3" t="s">
        <v>11</v>
      </c>
      <c r="I208" s="3" t="s">
        <v>7</v>
      </c>
      <c r="J208" s="3" t="s">
        <v>39</v>
      </c>
      <c r="K208" s="3" t="s">
        <v>9</v>
      </c>
      <c r="L208" s="3" t="s">
        <v>41</v>
      </c>
      <c r="M208">
        <v>1</v>
      </c>
    </row>
    <row r="209" spans="1:13" x14ac:dyDescent="0.35">
      <c r="A209" s="2">
        <v>46183</v>
      </c>
      <c r="B209" s="1" t="str">
        <f ca="1">IF(Información1[[#This Row],[Fecha]]='Ajuste de fechas'!$A$2,"Día actual","Día anterior")</f>
        <v>Día anterior</v>
      </c>
      <c r="C209" s="3" t="s">
        <v>28</v>
      </c>
      <c r="D209" t="s">
        <v>70</v>
      </c>
      <c r="E209" s="3" t="s">
        <v>207</v>
      </c>
      <c r="F209" s="3" t="s">
        <v>72</v>
      </c>
      <c r="G209" s="3" t="s">
        <v>74</v>
      </c>
      <c r="H209" s="3" t="s">
        <v>11</v>
      </c>
      <c r="I209" s="3" t="s">
        <v>7</v>
      </c>
      <c r="J209" s="3" t="s">
        <v>39</v>
      </c>
      <c r="K209" s="3" t="s">
        <v>71</v>
      </c>
      <c r="L209" s="3" t="s">
        <v>42</v>
      </c>
      <c r="M209">
        <v>1</v>
      </c>
    </row>
    <row r="210" spans="1:13" x14ac:dyDescent="0.35">
      <c r="A210" s="2">
        <v>46183</v>
      </c>
      <c r="B210" s="1" t="str">
        <f ca="1">IF(Información1[[#This Row],[Fecha]]='Ajuste de fechas'!$A$2,"Día actual","Día anterior")</f>
        <v>Día anterior</v>
      </c>
      <c r="C210" s="3" t="s">
        <v>8</v>
      </c>
      <c r="D210" t="s">
        <v>10</v>
      </c>
      <c r="E210" s="3" t="s">
        <v>208</v>
      </c>
      <c r="F210" s="3" t="s">
        <v>17</v>
      </c>
      <c r="G210" s="3" t="s">
        <v>85</v>
      </c>
      <c r="H210" s="3" t="s">
        <v>11</v>
      </c>
      <c r="I210" s="3" t="s">
        <v>25</v>
      </c>
      <c r="J210" s="3" t="s">
        <v>39</v>
      </c>
      <c r="K210" s="3" t="s">
        <v>9</v>
      </c>
      <c r="L210" s="3" t="s">
        <v>41</v>
      </c>
      <c r="M210">
        <v>1</v>
      </c>
    </row>
    <row r="211" spans="1:13" x14ac:dyDescent="0.35">
      <c r="A211" s="2">
        <v>46183</v>
      </c>
      <c r="B211" s="1" t="str">
        <f ca="1">IF(Información1[[#This Row],[Fecha]]='Ajuste de fechas'!$A$2,"Día actual","Día anterior")</f>
        <v>Día anterior</v>
      </c>
      <c r="C211" s="3" t="s">
        <v>78</v>
      </c>
      <c r="D211" t="s">
        <v>79</v>
      </c>
      <c r="E211" s="3" t="s">
        <v>179</v>
      </c>
      <c r="F211" s="3" t="s">
        <v>72</v>
      </c>
      <c r="G211" s="3" t="s">
        <v>74</v>
      </c>
      <c r="H211" s="3" t="s">
        <v>59</v>
      </c>
      <c r="I211" s="3" t="s">
        <v>7</v>
      </c>
      <c r="J211" s="3" t="s">
        <v>39</v>
      </c>
      <c r="K211" s="3" t="s">
        <v>49</v>
      </c>
      <c r="L211" s="3" t="s">
        <v>42</v>
      </c>
      <c r="M211">
        <v>1</v>
      </c>
    </row>
    <row r="212" spans="1:13" x14ac:dyDescent="0.35">
      <c r="A212" s="2">
        <v>46183</v>
      </c>
      <c r="B212" s="1" t="str">
        <f ca="1">IF(Información1[[#This Row],[Fecha]]='Ajuste de fechas'!$A$2,"Día actual","Día anterior")</f>
        <v>Día anterior</v>
      </c>
      <c r="C212" s="3" t="s">
        <v>78</v>
      </c>
      <c r="D212" t="s">
        <v>79</v>
      </c>
      <c r="E212" s="3" t="s">
        <v>129</v>
      </c>
      <c r="F212" s="3" t="s">
        <v>15</v>
      </c>
      <c r="G212" s="3" t="s">
        <v>92</v>
      </c>
      <c r="H212" s="3" t="s">
        <v>59</v>
      </c>
      <c r="I212" s="3" t="s">
        <v>7</v>
      </c>
      <c r="J212" s="3" t="s">
        <v>39</v>
      </c>
      <c r="K212" s="3" t="s">
        <v>49</v>
      </c>
      <c r="L212" s="3" t="s">
        <v>42</v>
      </c>
      <c r="M212">
        <v>1</v>
      </c>
    </row>
    <row r="213" spans="1:13" x14ac:dyDescent="0.35">
      <c r="A213" s="2">
        <v>46183</v>
      </c>
      <c r="B213" s="1" t="str">
        <f ca="1">IF(Información1[[#This Row],[Fecha]]='Ajuste de fechas'!$A$2,"Día actual","Día anterior")</f>
        <v>Día anterior</v>
      </c>
      <c r="C213" s="3" t="s">
        <v>78</v>
      </c>
      <c r="D213" t="s">
        <v>79</v>
      </c>
      <c r="E213" s="3" t="s">
        <v>187</v>
      </c>
      <c r="F213" s="3" t="s">
        <v>6</v>
      </c>
      <c r="G213" s="3" t="s">
        <v>92</v>
      </c>
      <c r="H213" s="3" t="s">
        <v>59</v>
      </c>
      <c r="I213" s="3" t="s">
        <v>7</v>
      </c>
      <c r="J213" s="3" t="s">
        <v>39</v>
      </c>
      <c r="K213" s="3" t="s">
        <v>49</v>
      </c>
      <c r="L213" s="3" t="s">
        <v>42</v>
      </c>
      <c r="M213">
        <v>1</v>
      </c>
    </row>
    <row r="214" spans="1:13" x14ac:dyDescent="0.35">
      <c r="A214" s="2">
        <v>46183</v>
      </c>
      <c r="B214" s="1" t="str">
        <f ca="1">IF(Información1[[#This Row],[Fecha]]='Ajuste de fechas'!$A$2,"Día actual","Día anterior")</f>
        <v>Día anterior</v>
      </c>
      <c r="C214" s="3" t="s">
        <v>78</v>
      </c>
      <c r="D214" t="s">
        <v>79</v>
      </c>
      <c r="E214" s="3" t="s">
        <v>128</v>
      </c>
      <c r="F214" s="3" t="s">
        <v>96</v>
      </c>
      <c r="G214" s="3" t="s">
        <v>97</v>
      </c>
      <c r="H214" s="3" t="s">
        <v>59</v>
      </c>
      <c r="I214" s="3" t="s">
        <v>7</v>
      </c>
      <c r="J214" s="3" t="s">
        <v>39</v>
      </c>
      <c r="K214" s="3" t="s">
        <v>49</v>
      </c>
      <c r="L214" s="3" t="s">
        <v>42</v>
      </c>
      <c r="M214">
        <v>1</v>
      </c>
    </row>
    <row r="215" spans="1:13" x14ac:dyDescent="0.35">
      <c r="A215" s="2">
        <v>46183</v>
      </c>
      <c r="B215" s="1" t="str">
        <f ca="1">IF(Información1[[#This Row],[Fecha]]='Ajuste de fechas'!$A$2,"Día actual","Día anterior")</f>
        <v>Día anterior</v>
      </c>
      <c r="C215" s="3" t="s">
        <v>78</v>
      </c>
      <c r="D215" t="s">
        <v>79</v>
      </c>
      <c r="E215" s="3" t="s">
        <v>139</v>
      </c>
      <c r="F215" s="3" t="s">
        <v>21</v>
      </c>
      <c r="G215" s="3" t="s">
        <v>116</v>
      </c>
      <c r="H215" s="3" t="s">
        <v>59</v>
      </c>
      <c r="I215" s="3" t="s">
        <v>7</v>
      </c>
      <c r="J215" s="3" t="s">
        <v>39</v>
      </c>
      <c r="K215" s="3" t="s">
        <v>49</v>
      </c>
      <c r="L215" s="3" t="s">
        <v>42</v>
      </c>
      <c r="M215">
        <v>1</v>
      </c>
    </row>
    <row r="216" spans="1:13" x14ac:dyDescent="0.35">
      <c r="A216" s="2">
        <v>46183</v>
      </c>
      <c r="B216" s="1" t="str">
        <f ca="1">IF(Información1[[#This Row],[Fecha]]='Ajuste de fechas'!$A$2,"Día actual","Día anterior")</f>
        <v>Día anterior</v>
      </c>
      <c r="C216" s="3" t="s">
        <v>78</v>
      </c>
      <c r="D216" t="s">
        <v>79</v>
      </c>
      <c r="E216" s="3" t="s">
        <v>121</v>
      </c>
      <c r="F216" s="3" t="s">
        <v>122</v>
      </c>
      <c r="G216" s="3" t="s">
        <v>123</v>
      </c>
      <c r="H216" s="3" t="s">
        <v>59</v>
      </c>
      <c r="I216" s="3" t="s">
        <v>7</v>
      </c>
      <c r="J216" s="3" t="s">
        <v>39</v>
      </c>
      <c r="K216" s="3" t="s">
        <v>49</v>
      </c>
      <c r="L216" s="3" t="s">
        <v>42</v>
      </c>
      <c r="M216">
        <v>1</v>
      </c>
    </row>
    <row r="217" spans="1:13" x14ac:dyDescent="0.35">
      <c r="A217" s="2">
        <v>46183</v>
      </c>
      <c r="B217" s="1" t="str">
        <f ca="1">IF(Información1[[#This Row],[Fecha]]='Ajuste de fechas'!$A$2,"Día actual","Día anterior")</f>
        <v>Día anterior</v>
      </c>
      <c r="C217" s="3" t="s">
        <v>78</v>
      </c>
      <c r="D217" t="s">
        <v>79</v>
      </c>
      <c r="E217" s="3" t="s">
        <v>216</v>
      </c>
      <c r="F217" s="3" t="s">
        <v>84</v>
      </c>
      <c r="G217" s="3" t="s">
        <v>215</v>
      </c>
      <c r="H217" s="3" t="s">
        <v>59</v>
      </c>
      <c r="I217" s="3" t="s">
        <v>7</v>
      </c>
      <c r="J217" s="3" t="s">
        <v>39</v>
      </c>
      <c r="K217" s="3" t="s">
        <v>49</v>
      </c>
      <c r="L217" s="3" t="s">
        <v>40</v>
      </c>
      <c r="M217">
        <v>1</v>
      </c>
    </row>
    <row r="218" spans="1:13" x14ac:dyDescent="0.35">
      <c r="A218" s="2">
        <v>46183</v>
      </c>
      <c r="B218" s="1" t="str">
        <f ca="1">IF(Información1[[#This Row],[Fecha]]='Ajuste de fechas'!$A$2,"Día actual","Día anterior")</f>
        <v>Día anterior</v>
      </c>
      <c r="C218" s="3" t="s">
        <v>78</v>
      </c>
      <c r="D218" t="s">
        <v>79</v>
      </c>
      <c r="E218" s="3" t="s">
        <v>131</v>
      </c>
      <c r="F218" s="3" t="s">
        <v>26</v>
      </c>
      <c r="G218" s="3" t="s">
        <v>125</v>
      </c>
      <c r="H218" s="3" t="s">
        <v>59</v>
      </c>
      <c r="I218" s="3" t="s">
        <v>7</v>
      </c>
      <c r="J218" s="3" t="s">
        <v>39</v>
      </c>
      <c r="K218" s="3" t="s">
        <v>49</v>
      </c>
      <c r="L218" s="3" t="s">
        <v>42</v>
      </c>
      <c r="M218">
        <v>1</v>
      </c>
    </row>
    <row r="219" spans="1:13" x14ac:dyDescent="0.35">
      <c r="A219" s="2">
        <v>46182</v>
      </c>
      <c r="B219" s="1" t="str">
        <f ca="1">IF(Información1[[#This Row],[Fecha]]='Ajuste de fechas'!$A$2,"Día actual","Día anterior")</f>
        <v>Día anterior</v>
      </c>
      <c r="C219" s="3" t="s">
        <v>370</v>
      </c>
      <c r="D219" t="s">
        <v>371</v>
      </c>
      <c r="E219" s="3" t="s">
        <v>313</v>
      </c>
      <c r="F219" s="3" t="s">
        <v>26</v>
      </c>
      <c r="G219" s="3" t="s">
        <v>314</v>
      </c>
      <c r="H219" s="3" t="s">
        <v>59</v>
      </c>
      <c r="I219" s="3" t="s">
        <v>7</v>
      </c>
      <c r="J219" s="3" t="s">
        <v>39</v>
      </c>
      <c r="K219" s="3" t="s">
        <v>372</v>
      </c>
      <c r="L219" s="3" t="s">
        <v>42</v>
      </c>
      <c r="M219">
        <v>1</v>
      </c>
    </row>
    <row r="220" spans="1:13" x14ac:dyDescent="0.35">
      <c r="A220" s="2">
        <v>46183</v>
      </c>
      <c r="B220" s="1" t="str">
        <f ca="1">IF(Información1[[#This Row],[Fecha]]='Ajuste de fechas'!$A$2,"Día actual","Día anterior")</f>
        <v>Día anterior</v>
      </c>
      <c r="C220" s="3" t="s">
        <v>87</v>
      </c>
      <c r="D220" t="s">
        <v>373</v>
      </c>
      <c r="E220" s="3" t="s">
        <v>218</v>
      </c>
      <c r="F220" s="3" t="s">
        <v>31</v>
      </c>
      <c r="G220" s="3" t="s">
        <v>219</v>
      </c>
      <c r="H220" s="3" t="s">
        <v>11</v>
      </c>
      <c r="I220" s="3" t="s">
        <v>7</v>
      </c>
      <c r="J220" s="3" t="s">
        <v>39</v>
      </c>
      <c r="K220" s="3" t="s">
        <v>374</v>
      </c>
      <c r="L220" s="3" t="s">
        <v>42</v>
      </c>
      <c r="M220">
        <v>1</v>
      </c>
    </row>
    <row r="221" spans="1:13" x14ac:dyDescent="0.35">
      <c r="A221" s="2">
        <v>46183</v>
      </c>
      <c r="B221" s="1" t="str">
        <f ca="1">IF(Información1[[#This Row],[Fecha]]='Ajuste de fechas'!$A$2,"Día actual","Día anterior")</f>
        <v>Día anterior</v>
      </c>
      <c r="C221" s="3" t="s">
        <v>87</v>
      </c>
      <c r="D221" t="s">
        <v>373</v>
      </c>
      <c r="E221" s="3" t="s">
        <v>375</v>
      </c>
      <c r="F221" s="3" t="s">
        <v>72</v>
      </c>
      <c r="G221" s="3" t="s">
        <v>118</v>
      </c>
      <c r="H221" s="3" t="s">
        <v>11</v>
      </c>
      <c r="I221" s="3" t="s">
        <v>7</v>
      </c>
      <c r="J221" s="3" t="s">
        <v>39</v>
      </c>
      <c r="K221" s="3" t="s">
        <v>374</v>
      </c>
      <c r="L221" s="3" t="s">
        <v>42</v>
      </c>
      <c r="M221">
        <v>1</v>
      </c>
    </row>
    <row r="222" spans="1:13" x14ac:dyDescent="0.35">
      <c r="A222" s="2">
        <v>46183</v>
      </c>
      <c r="B222" s="1" t="str">
        <f ca="1">IF(Información1[[#This Row],[Fecha]]='Ajuste de fechas'!$A$2,"Día actual","Día anterior")</f>
        <v>Día anterior</v>
      </c>
      <c r="C222" s="3" t="s">
        <v>87</v>
      </c>
      <c r="D222" t="s">
        <v>373</v>
      </c>
      <c r="E222" s="3" t="s">
        <v>217</v>
      </c>
      <c r="F222" s="3" t="s">
        <v>26</v>
      </c>
      <c r="G222" s="3" t="s">
        <v>169</v>
      </c>
      <c r="H222" s="3" t="s">
        <v>11</v>
      </c>
      <c r="I222" s="3" t="s">
        <v>7</v>
      </c>
      <c r="J222" s="3" t="s">
        <v>39</v>
      </c>
      <c r="K222" s="3" t="s">
        <v>374</v>
      </c>
      <c r="L222" s="3" t="s">
        <v>42</v>
      </c>
      <c r="M222">
        <v>1</v>
      </c>
    </row>
    <row r="223" spans="1:13" x14ac:dyDescent="0.35">
      <c r="A223" s="2">
        <v>46183</v>
      </c>
      <c r="B223" s="1" t="str">
        <f ca="1">IF(Información1[[#This Row],[Fecha]]='Ajuste de fechas'!$A$2,"Día actual","Día anterior")</f>
        <v>Día anterior</v>
      </c>
      <c r="C223" s="3" t="s">
        <v>376</v>
      </c>
      <c r="D223" t="s">
        <v>377</v>
      </c>
      <c r="E223" s="3" t="s">
        <v>378</v>
      </c>
      <c r="F223" s="3" t="s">
        <v>26</v>
      </c>
      <c r="G223" s="3" t="s">
        <v>125</v>
      </c>
      <c r="H223" s="3" t="s">
        <v>59</v>
      </c>
      <c r="I223" s="3" t="s">
        <v>7</v>
      </c>
      <c r="J223" s="3" t="s">
        <v>39</v>
      </c>
      <c r="K223" s="3" t="s">
        <v>379</v>
      </c>
      <c r="L223" s="3" t="s">
        <v>40</v>
      </c>
      <c r="M223">
        <v>1</v>
      </c>
    </row>
    <row r="224" spans="1:13" x14ac:dyDescent="0.35">
      <c r="A224" s="2">
        <v>46183</v>
      </c>
      <c r="B224" s="1" t="str">
        <f ca="1">IF(Información1[[#This Row],[Fecha]]='Ajuste de fechas'!$A$2,"Día actual","Día anterior")</f>
        <v>Día anterior</v>
      </c>
      <c r="C224" s="3" t="s">
        <v>380</v>
      </c>
      <c r="D224" t="s">
        <v>381</v>
      </c>
      <c r="E224" s="3" t="s">
        <v>378</v>
      </c>
      <c r="F224" s="3" t="s">
        <v>26</v>
      </c>
      <c r="G224" s="3" t="s">
        <v>125</v>
      </c>
      <c r="H224" s="3" t="s">
        <v>11</v>
      </c>
      <c r="I224" s="3" t="s">
        <v>7</v>
      </c>
      <c r="J224" s="3" t="s">
        <v>39</v>
      </c>
      <c r="K224" s="3" t="s">
        <v>379</v>
      </c>
      <c r="L224" s="3" t="s">
        <v>40</v>
      </c>
      <c r="M224">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4.5" x14ac:dyDescent="0.35"/>
  <sheetData>
    <row r="1" spans="1:2" x14ac:dyDescent="0.35">
      <c r="A1" t="s">
        <v>46</v>
      </c>
      <c r="B1" t="s">
        <v>47</v>
      </c>
    </row>
    <row r="2" spans="1:2" x14ac:dyDescent="0.35">
      <c r="A2" s="2">
        <f ca="1">TODAY()</f>
        <v>46225</v>
      </c>
      <c r="B2" s="2">
        <f ca="1">A2-1</f>
        <v>46224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2026-07-22T15:29:58Z</dcterms:modified>
</cp:coreProperties>
</file>