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78E99AAB-8C23-42EC-B6F0-D36239318BD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164" i="2"/>
  <c r="B167" i="2"/>
  <c r="B170" i="2"/>
  <c r="B172" i="2"/>
  <c r="B175" i="2"/>
  <c r="B178" i="2"/>
  <c r="B181" i="2"/>
  <c r="B184" i="2"/>
  <c r="B187" i="2"/>
  <c r="B190" i="2"/>
  <c r="B193" i="2"/>
  <c r="B195" i="2"/>
  <c r="B198" i="2"/>
  <c r="B201" i="2"/>
  <c r="B204" i="2"/>
  <c r="B207" i="2"/>
  <c r="B210"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54" i="2"/>
  <c r="B156" i="2"/>
  <c r="B158" i="2"/>
  <c r="B160" i="2"/>
  <c r="B162" i="2"/>
  <c r="B165" i="2"/>
  <c r="B166" i="2"/>
  <c r="B169" i="2"/>
  <c r="B173" i="2"/>
  <c r="B176" i="2"/>
  <c r="B179" i="2"/>
  <c r="B182" i="2"/>
  <c r="B185" i="2"/>
  <c r="B188" i="2"/>
  <c r="B191" i="2"/>
  <c r="B194" i="2"/>
  <c r="B197" i="2"/>
  <c r="B200" i="2"/>
  <c r="B203" i="2"/>
  <c r="B206" i="2"/>
  <c r="B209"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5" i="2"/>
  <c r="B157" i="2"/>
  <c r="B159" i="2"/>
  <c r="B161" i="2"/>
  <c r="B163" i="2"/>
  <c r="B168" i="2"/>
  <c r="B171" i="2"/>
  <c r="B174" i="2"/>
  <c r="B177" i="2"/>
  <c r="B180" i="2"/>
  <c r="B183" i="2"/>
  <c r="B186" i="2"/>
  <c r="B189" i="2"/>
  <c r="B192" i="2"/>
  <c r="B196" i="2"/>
  <c r="B199" i="2"/>
  <c r="B202" i="2"/>
  <c r="B205" i="2"/>
  <c r="B20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<sst xmlns="http://schemas.openxmlformats.org/spreadsheetml/2006/main" count="2104" uniqueCount="353">
  <si>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</si>
  <si>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</si>
  <si>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</si>
  <si>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</si>
  <si>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</si>
  <si>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</si>
  <si>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</si>
  <si>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</si>
  <si>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</si>
  <si>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</si>
  <si>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</si>
  <si>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</si>
  <si>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</si>
  <si>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</si>
  <si>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</si>
  <si>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</si>
  <si>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</si>
  <si>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</si>
  <si>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</si>
  <si>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</si>
  <si>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</si>
  <si>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</si>
  <si>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</si>
  <si>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</si>
  <si>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</si>
  <si>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</si>
  <si>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</si>
  <si>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</si>
  <si>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</si>
  <si>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</si>
  <si>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Matutino</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</si>
  <si>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</si>
  <si>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</si>
  <si>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</si>
  <si>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</si>
  <si>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</si>
  <si>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</si>
  <si>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</si>
  <si>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</si>
  <si>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</si>
  <si>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</si>
  <si>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</si>
  <si>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</si>
  <si>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</si>
  <si>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</si>
  <si>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</si>
  <si>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</si>
  <si>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</si>
  <si>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</si>
  <si>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</si>
  <si>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</si>
  <si>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</si>
  <si>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</si>
  <si>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</si>
  <si>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</si>
  <si>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</si>
  <si>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</si>
  <si>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</si>
  <si>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</si>
  <si>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Congreso</t>
  </si>
  <si>
    <t>SSH</t>
  </si>
  <si>
    <t>Enlace Hidalgo2</t>
  </si>
  <si>
    <t>Saderh</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</si>
  <si>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</si>
  <si>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</si>
  <si>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</si>
  <si>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</si>
  <si>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</si>
  <si>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</si>
  <si>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</si>
  <si>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</si>
  <si>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</si>
  <si>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Semaforización</t>
  </si>
  <si>
    <t>Ley del ISSSTE</t>
  </si>
  <si>
    <t>Accidente Tuzobús</t>
  </si>
  <si>
    <t>Disminución salarial</t>
  </si>
  <si>
    <t>Ke Buena 106.7 FM</t>
  </si>
  <si>
    <t>Noticias 106.7</t>
  </si>
  <si>
    <t>David Cárdenas</t>
  </si>
  <si>
    <t>Regidor ebrio</t>
  </si>
  <si>
    <t>Reforma De Ley</t>
  </si>
  <si>
    <t>Iniciativa</t>
  </si>
  <si>
    <t>Refuerza Hidalgo estrategia sanitaria rumbo al Mundial 2026</t>
  </si>
  <si>
    <t>Vigilancia Epidemiológica</t>
  </si>
  <si>
    <t>Enfoque Regional Meridiano</t>
  </si>
  <si>
    <t>Jesús González</t>
  </si>
  <si>
    <t>Radio Lobo 96.7 FM</t>
  </si>
  <si>
    <t>Enlace Noticias</t>
  </si>
  <si>
    <t>Llamado a las personas conductoras a respetar el carril exclusivo del Transporte Metropolitano</t>
  </si>
  <si>
    <t>Gina Lorenzo</t>
  </si>
  <si>
    <t>La Poderosa Tuxpan 93.1 FM</t>
  </si>
  <si>
    <t>NN Nuestras Noticias Zona Norte</t>
  </si>
  <si>
    <t>Liz Argüelles</t>
  </si>
  <si>
    <t>Control lirio acuático</t>
  </si>
  <si>
    <t>Radioescucha reporta fuga de drenaje en Avenida 6, la que baja del Panteón</t>
  </si>
  <si>
    <t>UAEH</t>
  </si>
  <si>
    <t>Queja padres de familia</t>
  </si>
  <si>
    <t>Recolección De Basura</t>
  </si>
  <si>
    <t>Semarnath</t>
  </si>
  <si>
    <t>Reforestación</t>
  </si>
  <si>
    <t>Registro de celulares</t>
  </si>
  <si>
    <t>Partidos</t>
  </si>
  <si>
    <t>Zanjas Caasim</t>
  </si>
  <si>
    <t>Torre legislativa</t>
  </si>
  <si>
    <t>Luminarias</t>
  </si>
  <si>
    <t>Reclutamiento</t>
  </si>
  <si>
    <t>Atención a jóvenes</t>
  </si>
  <si>
    <t>Jornada por la paz</t>
  </si>
  <si>
    <t>Milton Cortés</t>
  </si>
  <si>
    <t>Radioescucha reporta que fueron a reparar y dejaron todo su escombro en la colonia Doctores en la calle Epinoza Arteaga.</t>
  </si>
  <si>
    <t>La licitación para la construcción del nuevo Salón de Plenos del Congreso de Hidalgo podría publicarse durante la primera quincena de junio, informó el presidente de la Junta de Gobierno del Poder Legislativo, Andrés Velázquez Vázquez. El legislador señaló que el proyecto forma parte de las acciones de infraestructura contempladas para fortalecer las instalaciones del Congreso local y mejorar las condiciones para el desarrollo de las actividades legislativas. AUDIO DE APOYO</t>
  </si>
  <si>
    <t>Mientras tanto, las autoridades ambientales, representantes comunitarios y habitantes de la región participaron en un foro informativo realizado en Tlaxcoapan para abordar los avances y alcances del programa de restauración ecológica en la zona de influencia de la Presa Endhó. La alcaldesa de Tlaxcoapan, Teresa Olivares Reyna, encabezó la bienvenida a los asistentes y destacó la importancia de mantener espacios de participación ciudadana en torno a los proyectos que impactan a los municipios de la zona. El encuentro se llevó a cabo en el Auditorio Municipal y contó con la participación de funcionarios de la Semarnat de Hidalgo, quienes presentaron información relacionada con las acciones contempladas dentro del proyecto. Representantes de la Semarnat explicaron que el proyecto de restauración ecológica en la zona de influencia de la Presa Endhó no se limita únicamente al embalse, sino que contempla un análisis integral de los diversos factores que contribuyen al deterioro ambiental de la región. Entre ellos, destaca la actividad industrial en municipios como Tula de Allende, Atitalaquia, Tepeji del Río y Atotonilco de Tula, el uso de plaguicidas en actividades agrícolas, las afectaciones derivadas de la extracción ilegal de hidrocarburos que generan contaminación del suelo, así como la calidad de los pozos de agua destinados al consumo humano. Señalaron que el objetivo es identificar y atender de manera conjunta las distintas fuentes de contaminación que inciden en la problemática ambiental de la zona. AUDIO DE APOYO</t>
  </si>
  <si>
    <t>Restauración Ecológica</t>
  </si>
  <si>
    <t>Gobierno de México destina recursos históricos para mejorar carreteras y caminos de Hidalgo, .AUDIO APOYO</t>
  </si>
  <si>
    <t>OCSAD</t>
  </si>
  <si>
    <t>Rehabilitación carretera</t>
  </si>
  <si>
    <t>Gobierno de México destina recursos históricos para mejorar carreteras y caminos de Hidalgo</t>
  </si>
  <si>
    <t>Como parte de las acciones para combatir la incidencia delictiva en las carreteras del país, la Coordinación Estatal de la Guardia Nacional en Hidalgo puso en marcha un operativo de seguridad en la autopista Arco Norte, a la altura de la caseta Pachuca.El despliegue inició la noche de ayer a las 21:00 horas y forma parte de la estrategia nacional “Cero Robos” y del programa Balam, impulsados por el Gobierno de México con el objetivo de fortalecer la seguridad en las vías de comunicación consideradas de alta siniestralidad.</t>
  </si>
  <si>
    <t>Refuerzo De Seguridad</t>
  </si>
  <si>
    <t>Hoteles y moteles en el Estado de Hidalgo podrían obligarse a verificar la identidad de un adulto en caso de llegar a solicitar hospedaje acompañado de una niña, niño o adolescente, además de confirmar que tengan algún parentesco. Lo anterior a partir de las adecuaciones propuestas por el Congreso del Estado de Hidalgo a la Ley estatal de Turismo, las que fueron aprobadas con 24 votos a favor de los legisladores locales. Además, las adecuaciones incluyen a la implementación de protocolos de seguridad y notificar a autoridades ante sospechas de falta de seguridad para menores de edad y adolescentes. Con 24 votos a favor, los legisladores locales aprobaron las iniciativas que reforman la Ley de Turismo Sustentable y la Ley de los Derechos de Niñas, Niños y Adolescentes del estado, en materia de protección en entornos de servicios turísticos de hospedaje, AUDIO APOYO</t>
  </si>
  <si>
    <t>Una persecución derivada del presunto robo de un tractocamión movilizó la tarde de ayer a corporaciones de seguridad en la región de Tizayuca, dejando como saldo dos personas detenidas y al menos dos elementos policíacos lesionados.De acuerdo con los reportes preliminares, la unidad, un tractocamión con remolque tipo cisterna, habría sido sustraída en el municipio de Temascalapa, Estado de México, y posteriormente fue detectada por autoridades que le dieron seguimiento hasta el territorio hidalguense. Durante la persecución, el vehículo presuntamente impactó una camioneta y varios automóviles, hasta ser interceptado a la altura del puente de Rojo Gómez, en la zona de Tepojaco. En medio del operativo, una patrulla de la policía que se dirigía en apoyo a las acciones, se vio involucrada en un accidente al colisionar con una camioneta particular. Fuentes extraoficiales refieren que un elemento de seguridad resultó lesionado por proyectil de arma de fuego en una pierna, mientras que otro policía presentó golpes derivados del percance vehicular.</t>
  </si>
  <si>
    <t>Recuperación De Vehículos Robados</t>
  </si>
  <si>
    <t>Radioescucha reporta que la persona que barre en Madero siempre deja muy sucio, y solo se lleva la basura de los locales.</t>
  </si>
  <si>
    <t>Padres y madres de familia de la Escuela Primaria Ignacio Manuel Altamirano, en el municipio de Tlaxcoapan, realizaron ayer una manifestación para exigir una solución que permita la reapertura del plantel.Durante la movilización, los inconformes solicitaron la intervención de la Secretaría de Educación Pública de Hidalgo con el objetivo de alcanzar acuerdos que garanticen el regreso a las actividades escolares en condiciones que consideren adecuadas para la comunidad educativa de Tlaxcoapan. Los manifestantes señalaron que esperan el cumplimiento de los compromisos y condiciones planteados a las autoridades educativas para poder resolver la situación que mantiene sin operaciones al centro escolar. AUDIO DE APOYO</t>
  </si>
  <si>
    <t>El Director del Sistema DIF en Hidalgo, Ricardo Enrique Arvizu Contreras explicó cuáles son las funciones de estas dependencias municipales llamadas las Procuradurías Municipales para la Atención y Protección de Niñas, Niños y Adolescentes, esto incluye un abogado, una trabajadora social y un psicólogo, AUDIO</t>
  </si>
  <si>
    <t>Procuraduría Municipal del Menor</t>
  </si>
  <si>
    <t>En Chilcuautla, acompaña Edda Vite formalización de la Procuraduría Municipal de Protección de Niñas, Niños y Adolescentes</t>
  </si>
  <si>
    <t>El gobierno municipal de Tula que encabeza el presidente municipal Cristhian Martínez, en coordinación con la Dirección de Protección Civil y Bomberos de Tula, está monitoreando el río y realizando recorridos, en los que nos notifican que al corte de las 2:00 p. m. no existe algún riesgo para la población. Piden estar al pendiente de información oficial; se sabe que va a estar lloviendo en las próximas 24 horas.</t>
  </si>
  <si>
    <t>Prevención De Riesgos</t>
  </si>
  <si>
    <t>SIPDUS realiza obras para reducir riesgos de inundaciones en Tuzos</t>
  </si>
  <si>
    <t>Prevención de inundaciones</t>
  </si>
  <si>
    <t>La ubicación geográfica de Hidalgo ha sido considerada durante décadas una de sus principales fortalezas. Sin embargo, diversos factores limitaron el aprovechamiento pleno de ese potencial estratégico para impulsar el crecimiento económico y la atracción de inversiones. Así lo señaló Miguel Ángel Tello Vargas, titular de la Unidad de Planeación y Prospectiva, al referirse a los desafíos que históricamente enfrentó la entidad para consolidarse como un polo de desarrollo en la región centro del país. AUDIO DE APOYO</t>
  </si>
  <si>
    <t>Polos del Bienestar</t>
  </si>
  <si>
    <t>Con el objetivo de fortalecer la seguridad y mantener entornos más tranquilos para las familias pachuqueñas, la Secretaría de Seguridad Pública, Tránsito y Vialidad de Pachuca continúa desplegando acciones preventivas y de proximidad en distintos sectores de la capital hidalguense.Como parte del operativo “Barrio Seguro”, elementos de la corporación municipal, en coordinación con la Policía Estatal, realizaron recorridos a pie tierra, patrullajes preventivos y vigilancia aérea mediante drones en las colonias Felipe Ángeles y La Raza, reforzando la presencia policial en calles, pasillos y espacios de convivencia de los Barrios Altos.Durante las acciones se verificaron en Plataforma México 11 motocicletas y 4 vehículos, además de concretar 19 contactos ciudadanos, fortaleciendo el vínculo entre la autoridad y la población para atender inquietudes, generar confianza y promover la cultura de la prevención</t>
  </si>
  <si>
    <t>Operativo de Seguridad</t>
  </si>
  <si>
    <t>Radiescucha comenta : “Lastima de las nuevas unidades del Tuzobús, ayer nos hicieron una vez más esperar muhco tiempo “</t>
  </si>
  <si>
    <t>La primera Comisión Permanente de Protección Civil y Gestión Integral de Riesgos del Congreso del Estado Libre y Soberano de Hidalgo, encabezada por el diputado Francisco Javier Téllez Sánchez, presentó ante medios de comunicación, instituciones públicas y privadas, organizaciones civiles y ciudadanía en general la convocatoria de la “Medalla al Mérito de Protección Civil 2026”, con la finalidad de reconocer a personas hidalguenses que se hayan distinguido por acciones relevantes en la materia.</t>
  </si>
  <si>
    <t>Medalla al mérito</t>
  </si>
  <si>
    <t>Integrantes de la Coordinadora Nacional de Trabajadores de la Educación, la CNTE, convocaron a una marcha este viernes en la ciudad de Pachuca como parte de las movilizaciones que el magisterio mantiene a nivel nacional para exigir atención a diversas demandas laborales y de seguridad social. Algunas de estas formas de llamar la atención me parecen a mí, en la opinión personal de su servidor, un tanto extremas. Vandalizar oficinas, vandalizar automóviles de ciudadanos que van pasando por ahí, que son trabajadores de la misma Secretaría, no creo que sea una forma de solucionar sus demandas.</t>
  </si>
  <si>
    <t>Fuga De Agua</t>
  </si>
  <si>
    <t>Radioescucha reporta fuga de agua en Pitayas; ya lleva dos días.</t>
  </si>
  <si>
    <t>Radioescucha reporta fuga de agua en Fracionamiento Esperanza 2</t>
  </si>
  <si>
    <t>Vecinos de la comunidad Lomas de la Cantera en Tepeji del Río, esperaron ayer a las afueras de la Casa de Cabildo a que saliera la presidenta municipal Tania Valdez para reclamarle de una obra que aseguran ella se comprometió a realizar desde que era candidata, AUDIO APOYO</t>
  </si>
  <si>
    <t>Exigencia de obra</t>
  </si>
  <si>
    <t>Ya a casi tres meses de la desaparición de Joshua Cisneros, joven reportado como no localizado en el municipio de Cuautitlán Izcalli, Estado de México, familiares y colectivos de búsqueda ampliaron las labores de rastreo hacia territorio hidalguense mientras continúan las investigaciones para determinar su paradero. La madre del joven, la madre señaló que pese a las jornadas realizadas en distintos puntos del Estado de México e Hidalgo, los avances en la investigación han sido limitados, por lo que reiteró el llamado a las autoridades para fortalecer las acciones de búsqueda y seguimiento del caso. Hace un llamado a la PGJEH. AUDIO APOYO</t>
  </si>
  <si>
    <t>Exigen localización de persona</t>
  </si>
  <si>
    <t>En sesión ordinaria, diputadas y diputados integrantes de la LXVI Legislatura avalaron con 23 votos a favor, cero en contra y cero abstenciones, el acuerdo económico que exhorta a los 84 ayuntamientos sobre la regulación de giros comerciales, emitido por la primera Comisión Permanente de Fortalecimiento y Desarrollo Municipal.La legisladora María del Rosario Guerrero Martínez (Morena) recordó que se solicita a los municipios, a través de las áreas de Reglamentos y Espectáculos, diseñar, aprobar e implementar acciones de mejora regulatoria de simplificación administrativa y expedición ágil en el otorgamiento de licencias de funcionamiento para molinos de nixtamal y tortillerías, a fin de acceder al Acuerdo Nacional Maíz-Tortilla, impulsado por el gobierno federal. La legisladora Yarabi González Martínez (Morena), promovente del acuerdo, explicó que el gobierno impulsa el Acuerdo Nacional Maíz-Tortilla para estabilizar los precios y apoyar tanto a productores como a consumidores mediante incentivos dirigidos a molinos y tortillerías. No obstante, muchos de estos negocios no pueden acceder al programa debido a la falta de licencias de funcionamiento, por lo que se considera necesario implementar acciones de mejora regulatoria y simplificación administrativa que faciliten su regularización y participación.</t>
  </si>
  <si>
    <t>Exhorto</t>
  </si>
  <si>
    <t>El Ayuntamiento de Huichapan en Hidalgo aprobó reducir en un 50 por ciento las dietas de regidores, síndico y alcaldesa, luego de una votacion dividida , durante una seccion de cabildo de la presidente municipal Yeymi Yadira Solís Zavala,AUDIO APOYO</t>
  </si>
  <si>
    <t>Este jueves, delegados y comisariados de las comunidades aledañas a la Presa Endhó, tenían programado una mesa de diálogo en las instalaciones de la Secretaría de Gobernación en la Ciudad de México. Sin embargo, debido a las movilizaciones que actualmente mantiene la Coordinadora Nacional de Trabajadores de la Educación en la zona, las autoridades federales les notificaron la reprogramación del encuentro. Así lo dio a conocer Valentín Lugo, comisariado ejidal de San Francisco Bojay. El comisariado ejidal subrayó que el encuentro programado con autoridades de la Secretaría de Gobernación en la Ciudad de México corresponde exclusivamente a una mesa de diálogo entre delegados, comisariados y representantes federales, y no a una manifestación o movilización social, AUDIO APOYO</t>
  </si>
  <si>
    <t>Este jueves, delegados y comisariados de las comunidades aledañas a la Presa Endhó, tenían programado una mesa de diálogo en las instalaciones de la Secretaría de Gobernación en la Ciudad de México. Sin embargo, debido a las movilizaciones que actualmente mantiene la Coordinadora Nacional de Trabajadores de la Educación en la zona, las autoridades federales les notificaron la reprogramación del encuentro. La reunión tenía como propósito dar seguimiento a las demandas de los habitantes de la región, quienes buscan una solución integral a la problemática ambiental que enfrenta la presa, particularmente en lo relacionado con la trituración y retiro del lirio acuático, y de igual forma, la implementación de acciones para el tratamiento y saneamiento del agua. Así lo dio a conocer Valentín Lugo, comisariado ejidal de San Francisco Bojay. El comisariado ejidal subrayó que el encuentro programado con autoridades de la Secretaría de Gobernación en la Ciudad de México corresponde exclusivamente a una mesa de diálogo entre delegados, comisariados y representantes federales, y no a una manifestación o movilización social.</t>
  </si>
  <si>
    <t>Es un tema muy complejo porque en primera la falta de participación de la ciudadanía, ni siquiera el 50% de las personas que están involucradas en esta región, pues les interesa el tema. Lo vimos en la consulta ciudadana de este parque ecológico y de reciclaje. No participó en la votación ni el 10% del electorado. Una, dos, mencionan el problema del huachicol como un problema ambiental ¿y quién consume huachicol? ¿Quién pica los ductos? Yo pregunto. Y muchas, en muchas ocasiones, las propuestas que genera o que pues pretende implementar el gobierno federal, pues no nos gustan y las echamos para atrás. Y ya lo decía el comisariado de San Francisco Bojay, no hay unidad.No hay unidad. No nos interesa el tema. Se hacen foros, se hacen consultas, se hacen pláticas o charlas de información y no asistimos. Ahí es uno de los grandes puntos y de los grandes problemas que pues por eso el tema no termina de avanzar. Usted tiene la mejor opinión. Durante la reunión, comisariados ejidales, delegados y población en general tuvieron la oportunidad de intercambiar opiniones, plantear propuestas orientadas a la atención de problemáticas ambientales que se enfrentan en la región."</t>
  </si>
  <si>
    <t>Contaminación Tula</t>
  </si>
  <si>
    <t>Cae célula dedicada a la venta de droga en Ciudad Sahagún</t>
  </si>
  <si>
    <t>Combate Al Narcomenudeo</t>
  </si>
  <si>
    <t>Eulalio Larrieta agradece a Carlos Gamiño por estar al pendiente de temas</t>
  </si>
  <si>
    <t>Impulsa IAAMEH taller de creación literaria</t>
  </si>
  <si>
    <t>Bienestar</t>
  </si>
  <si>
    <t>Atención a adultos mayores</t>
  </si>
  <si>
    <t>Radioescucha comenta: “Los del Tuzobús no ocupan una avestruz negra, ocupan una buena capacitación”</t>
  </si>
  <si>
    <t>Un accidente entre una unidad del Sistema de Transporte Metropolitano (Tuzobús) y un vehículo particular se registró la mañana de este miércoles sobre el bulevar Felipe Ángeles, con dirección al sur de Pachuca, luego de que el conductor del auto invadiera el carril exclusivo del transporte público.De acuerdo con el reporte preliminar del Sistema Integrado de Transporte Masivo de Hidalgo (Sitmah), el percance ocurrió en el tramo comprendido entre las estaciones Vicente Segura y Centro de Justicia Poniente, una de las zonas de mayor circulación del corredor metropolitano.La unidad involucrada corresponde al servicio T01 y cuenta con el número económico 14. Según la información oficial, el automóvil particular se incorporó de manera indebida a la vía confinada y realizó un corte de circulación, lo que obstruyó la trayectoria del autobús.</t>
  </si>
  <si>
    <t>El Sitmah, informa que este día se registró un accidente vial en las inmediaciones de la Terminal Téllez. De acuerdo con el reporte preliminar, una persona cruzó el arroyo vehicular sin precaución mientras la unidad transitaba para incorporarse a la Terminal Téllez</t>
  </si>
  <si>
    <t>TV Cable hidalguense Canal 6</t>
  </si>
  <si>
    <t>Contigo Noticias</t>
  </si>
  <si>
    <t>Contraloría</t>
  </si>
  <si>
    <t>Realiza IHE etapa estatal de la Olimpiada del Conocimiento Infantil 2026</t>
  </si>
  <si>
    <t>Olimpiada del Conocimiento</t>
  </si>
  <si>
    <t>UTHH capacita a docentes en herraLa transformación digital en los gobiernos no solo implica incorporar tecnología, sino hacer más sencilla la vida de las personas. En Tulancingo, este objetivo progresa mediante el fortalecimiento del Registro Municipal de Trámites y Servicios, una herramienta que permite a la ciudadanía consultar en línea toda la información necesaria para realizar gestiones municipales de manera rápida y confiable. A través del portal www.rmtys.tulancingo.gob.mx las y los ciudadanos pueden conocer con anticipación los documentos requeridos para cada trámite, así como costos, tiempos de respuesta, ubicación de oficinas y medios de contacto. Esto se traduce en menos traslados, menor tiempo de espera y una atención más eficiente.mientas digitales</t>
  </si>
  <si>
    <t>Digitalización de trámites</t>
  </si>
  <si>
    <t>La moto niveladora marca Caterpillar que había sido reportada como robada en días pasados en la colonia Olmos fue localizada tras un reporte ciudadano, luego de que sus propietarios ofrecieran una recompensa de 100 mil pesos por información que permitiera recuperarla. De acuerdo con la información disponible, el hallazgo fue realizado por particulares, quienes notificaron directamente a los dueños de la unidad y no a las autoridades. Tras recibir el aviso, los propietarios se trasladaron al municipio de Temascalapa, Estado de México, donde confirmaron la ubicación de la maquinaria. La Secretaría de Seguridad Ciudadana (SSC) informó que personal de la Policía Municipal acudió al sitio donde fue depositada la maquinaria para tomar conocimiento de los hechos. Sin embargo, precisó que la corporación no participó en las labores de localización ni en el seguimiento que permitió recuperar la unidad.</t>
  </si>
  <si>
    <t>La mañana de este martes 3 de junio se registró un incendio en un establecimiento ubicado al interior de la Central de Abastos de Tezontepec de Aldama, lo que generó una intensa movilización de corporaciones de emergencia y seguridad. De acuerdo con información de la Secretaría de Seguridad Pública de Hidalgo, el siniestro ocurrió en la colonia El Tinaco, sobre la carretera Tlahuelilpan-Mixquiahuala, donde personal especializado realizó labores para controlar y extinguir las llamas. Las autoridades recomendaron a la población evitar el área afectada y seguir las indicaciones de los cuerpos de emergencia mientras se desarrollaban las maniobras para sofocar el incendio y determinar las causas que lo originaron. Hasta el momento no se reportaron personas lesionadas ni se informó sobre la magnitud de los daños materiales ocasionados por el siniestro.</t>
  </si>
  <si>
    <t>Control de incendios</t>
  </si>
  <si>
    <t>Una mujer de 26 años fue localizada sin signos vitales la mañana de este miércoles al interior de una vivienda ubicada en el fraccionamiento Haciendas, en el municipio de Tizayuca, por lo que autoridades estatales iniciaron las investigaciones correspondientes para esclarecer los hechos. De acuerdo con información de la Policía Municipal, el reporte se recibió a través de una llamada de emergencia en la que se alertó sobre una persona inconsciente dentro de un domicilio.</t>
  </si>
  <si>
    <t>Localización de cuerpo</t>
  </si>
  <si>
    <t>Un oficial de la Secretaría de Seguridad Pública Municipal de Progreso de Obregón, Hidalgo, perdió la vida y otro más resultó lesionado tras un accidente registrado sobre la carretera Progreso-Xochitlán, a la altura de la comunidad de La Ranchería. De acuerdo con los reportes, en el percance estuvieron involucradas una patrulla de la corporación municipal y una camioneta particular conducida por un joven de 21 años, quien también resultó lesionado. Tras la colisión, la unidad oficial salió del camino y terminó volcada. Al sitio acudieron elementos de rescate y cuerpos de emergencia, quienes confirmaron el fallecimiento del agente Jerónimo García Estanco, quien se encontraba al interior de la patrulla.</t>
  </si>
  <si>
    <t>Deceso de policía</t>
  </si>
  <si>
    <t>Denuncian aumento de asaltos en la carretera Atlapexco–Calnali; piden reforzar vigilancia. Automovilistas que circulan por el tramo carretero Atlapexco–Calnali denunciaron el incremento de asaltos en esta vía. Señalaron que no se observa presencia de elementos de seguridad estatales ni municipales de Atlapexco, Calnali y Yahualica. Indicaron que la madrugada del domingo 31 de mayo una persona fue despojada de su vehículo con violencia. El hecho ocurrió sobre la carretera estatal Atlapexco–Calnali, a la altura de la localidad de Atlaltipa Tecolotitla, en el municipio de Atlapexco. El hecho ocurrió poco después de las 00:00 horas, cuando varios hombres golpearon a la víctima, de identidad reservada, y le quitaron una camioneta. Posteriormente huyeron con rumbo desconocido.</t>
  </si>
  <si>
    <t>Exigen seguridad</t>
  </si>
  <si>
    <t>Con el objetivo de fortalecer la seguridad y mantener entornos más tranquilos para las familias pachuqueñas, la Secretaría de Seguridad Pública, Tránsito y Vialidad de Pachuca continúa desplegando acciones preventivas y de proximidad en distintos sectores de la capital hidalguense. Como parte del operativo “Barrio Seguro”, elementos de la corporación municipal, en coordinación con la Policía Estatal, realizaron recorridos a pie tierra, patrullajes preventivos y vigilancia aérea mediante drones en las colonias Felipe Ángeles y La Raza, reforzando la presencia policial en calles, pasillos y espacios de convivencia de los Barrios Altos. Durante las acciones se verificaron en Plataforma México 11 motocicletas y 4 vehículos, además de concretar 19 contactos ciudadanos, fortaleciendo el vínculo entre la autoridad y la población para atender inquietudes, generar confianza y promover la cultura de la prevención. El dispositivo concluyó sin incidentes, resultado del trabajo coordinado y de la presencia permanente de los cuerpos de seguridad en zonas prioritarias del municipio. Los operativos “Barrio Seguro” seguirán implementándose de manera constante en distintos puntos de la capital, como parte del trabajo diario para fortalecer la vigilancia y la capacidad de respuesta institucional.</t>
  </si>
  <si>
    <t>habitantes de La Cañada, El Refugio, Quma y Ocampo, en el municipio de Atotonilco de Tula, se manifestaron de manera pacífica para expresar su rechazo a la construcción de Viviendas del Bienestar, bajo el argumento de que la región hay escasez de agua potable. La movilización se efectuó en el marco de la visita del gobernador Julio Menchaca, con el objetivo de hacer llegar directamente sus inquietudes, no obstante, fue reprogramada la llegada del titular del ejecutivo estatal para mañana 3 de junio. En las instalaciones de la presidencia municipal, representantes de las comunidades señalaron que su oposición al proyecto no responde a intereses políticos, sino a la disponibilidad de servicios básicos, principalmente el abastecimiento de agua. Indicaron que la construcción de nuevos desarrollos habitacionales incrementaría la demanda de agua en comunidades donde el suministro ya es insuficiente. Señalaron que existen observaciones respecto a algunos de los predios contemplados para el desarrollo. “En el caso de La Cañada, el terreno propuesto corresponde a un panteón comunitario donde ya existen dos personas sepultadas, por lo que debería ser inviable”.</t>
  </si>
  <si>
    <t>Plan Nacional De Vivienda</t>
  </si>
  <si>
    <t>Vigilancia epidemiológica en Hidalgo, ante la llegada de visitantes por el Mundial 2026</t>
  </si>
  <si>
    <t>De las 144 millones 585 mil 131 líneas activas para comunicación por dispositivos móviles, sobre todo celulares, apenas 51 millones 905 mil 160 han concretado el registro obligatorio, vinculándolas con sus datos personales. A menos de un mes para que se venza el plazo para dicho registro y vinculación de datos, las cifras señalan que apenas el 36 por ciento de dichas líneas cuentan con dicha vinculación, de acuerdo a datos por parte de la Comisión Reguladora de Telecomunicaciones (CRT). Fernando Esquivel, director de Investigación de Mercados en The Competitive Intelligence Unit (The CIU), señala que aún existen millones de personas quienes todavía desconocen la obligación de vincular su línea telefónica, mientras que una parte importante de quienes sí conocen el procedimiento simplemente están decidiendo no registrarse por desconfianza. “Le preguntamos a la gente si conocen el registro de telefonía móvil y el 60 por ciento de los usuarios saben de este registro, pero esto significa que hay un 40 por ciento de personas que no saben que tiene que hacer la vinculación de su línea”, señaló Esquivel.</t>
  </si>
  <si>
    <t>Un total de once municipios solicitaron endeudamiento por 125.6 millones de pesos al Banco Nacional de Obras, a cuenta del Fondo de Aportaciones para la Infraestructura Social (FAIS) y del Fondo General de Participaciones. San Salvador va por dos. Salvador Tallabs Rubio, gerente ejecutivo de la institución crediticia, dio a conocer que el financiamiento de cinco ayuntamientos, que ya fue aprobado y entregado, suman 44.1 millones de pesos. “Se trata de Nicolás Flores, Singuilucan, San Salvador y Cuautepec”, destacó que fueron los primeros en acceder a este mecanismo para la construcción de infraestructura social. Los tres ayuntamientos que están en proceso de formalización y contratación crediticia son: San Agustín Tlaxiaca, San Salvador (en una segunda solicitud por del Fondo General de Participaciones) y Huazalingo. El monto asciende a 27.2 millones de pesos. En el desglose, se destaca que entre los 26 municipios que pueden acceder a crédito derivado de la vaguada monzónica, la bolsa es de 54.5 millones de pesos. Y los primeros en ingresar su solicitud fueron Tianguistengo y Zacualtipán de Ángeles, pero ya mostró interés Tepehuacán de Guerrero.</t>
  </si>
  <si>
    <t>Financiamiento</t>
  </si>
  <si>
    <t>La Subsecretaría de Protección Civil y Gestión de Riesgos de Hidalgo informó que avanza la evaluación de terrenos para la posible reubicación de familias que habitan en zonas de riesgo, particularmente en municipios afectados por la vaguada registrada el año pasado. El subsecretario Román Bernal Díaz señaló que actualmente se analizan predios en 28 municipios y que alrededor del 80 por ciento de los espacios revisados cumplen con las condiciones necesarias para ser considerados en futuros proyectos de relocalización. "Van a ser evaluados alrededor de unos 40 o 50 predios", indicó el funcionario, quien explicó que los estudios buscan determinar la viabilidad de los terrenos para brindar alternativas seguras a las familias asentadas en áreas vulnerables. Respecto a la resistencia de algunas familias para abandonar zonas peligrosas, el subsecretario señaló que se trata principalmente de un tema de arraigo a la tierra y a sus comunidades.</t>
  </si>
  <si>
    <t>Huracán Priscilla</t>
  </si>
  <si>
    <t>Las brigadas de atención a alumbrado público del Gobierno de Tulancingo atienden diariamente entre 40 a 50 servicios diarios durante los dos turnos en los que laboran. La información fue compartida por Juan Alberto Santuario Elías, secretario de Servicios Municipales, señalando que los principales servicios que se atienden son reposición y cambios de lámparas, arreglo de la infraestructura y retiro de sarro así como limpieza de las celdas fotovoltaicas que tienen las luminarias. “Sí hay de momento, varias fallas, una de ellas es que se funda el foco, otras que la luminaria falla en su conjunto, otras es que la fotocelda se le forme sarro y por eso deja de funcionar”, puntualizó el funcionario. El funcionario señaló que por parte de la población se reciben entre 15 a 20 reportes tanto para reparación de alumbrado público, como de retiro y sustitución de lámparas. “Atendemos una cantidad mayor de servicios que de los reportes que se reciben por parte de la población”, agregó. Los restantes servicios provienen de la revisión del alumbrado público durante los recorridos de ruta, así como la atención a reportes presentados previamente por los vecinos en diversos sectores del municipio. Santuario Elías dijo que no existe un sector del municipio donde haya una mayor cantidad de reportes, pues cada zona tiene sus características sociales específicas, y por tanto, sus propias necesidades respecto al servicio de alumbrado público.</t>
  </si>
  <si>
    <t>El Congreso de Hidalgo propuso obligar a las empresas que operan las aplicaciones de entrega rápida mediante motocicletas, a inscribirse en un registro estatal, para ello se presentó una iniciativa que busca regular el reparto y mensajería en territorio estatal. Durante sesión ordinaria de la 66 Legislatura se presentó una iniciativa para reformar y adicionar diversas disposiciones de la Ley de Movilidad y Transporte, y de la Ley de Tránsito y Seguridad Vial, ambas de Hidalgo, para garantizar una movilidad segura y proteger la integridad de los trabajadores repartidores mediante aplicaciones digitales.</t>
  </si>
  <si>
    <t>Daniel Martínez comenta que ayer fue otro dúa malo para el Tuzobús, pues se presentaron 4 accidentes en un día y súmele las otras 3 de la semana pasada, más todas las fallas que está teniendo. algo está ocurriendo, esto ya no es un casualidad, una serie de factores que se están sumando. Algo está ocurriendo en las unidades y en el servicio, señaló.</t>
  </si>
  <si>
    <t>El Sitmah informa que este día se registraron dos percances viales ocasionados por maniobras de otros vehículos, en los que se vieron involucradas unidades del Sistema de Transporte Metropolitano, sin que se registraran personas lesionadas.</t>
  </si>
  <si>
    <t>Hoteles y moteles en el Estado de Hidalgo podrían obligarse a verificar la identidad de un adulto en caso de llegar a solicitar hospedaje acompañado de una niña, niño o adolescente, además de confirmar que tengan algún parentesco. Lo anterior a partir de las adecuaciones propuestas por el Congreso del Estado de Hidalgo a la Ley estatal de Turismo, las que fueron aprobadas con 24 votos a favor de los legisladores locales. Además, las adecuaciones incluyen a la implementación de protocolos de seguridad y notificar a autoridades ante sospechas de falta de seguridad para menores de edad y adolescentes. Con 24 votos a favor, los legisladores locales aprobaron las iniciativas que reforman la Ley de Turismo Sustentable y la Ley de los Derechos de Niñas, Niños y Adolescentes del estado, en materia de protección en entornos de servicios turísticos de hospedaje. El dictamen obliga a los prestadores de servicio turístico de hospedaje a solicitar la exhibición de credencial de elector o de cualquier otro documento oficial que demuestre la mayoría de edad e identidad de la persona que solicita el servicio.</t>
  </si>
  <si>
    <t>De cara a la Copa Mundial 2026, México enfrenta el reto de reforzar las acciones de prevención contra la trata de personas, especialmente en niñas, niños y adolescentes, advirtió Rafael Castelán, integrante del Consejo Directivo de la Red por los Derechos de la Infancia en México (REDIM). Durante una entrevista con Ultra Noticias Hidalgo, señaló que una evaluación realizada en la Ciudad de México entre organizaciones civiles y el Consejo Ciudadano para la Seguridad y Justicia reveló que uno de cada dos menores de edad víctimas de trata fue vinculado con sus explotadores a través de una persona conocida o incluso de un familiar cercano. Castelán explicó que, además de la explotación sexual, durante eventos masivos también existe el riesgo de explotación laboral infantil, ya que menores pueden ser obligados a trabajar en zonas turísticas, cruceros, espacios públicos o ser forzados a pedir dinero en las calles. En este contexto, destacó como una medida positiva la reciente aprobación en Hidalgo de disposiciones que obligan a hoteles y establecimientos de hospedaje a solicitar que los adultos acrediten ser responsables de los menores de edad que ingresan con ellos. Sin embargo, lamentó que este tipo de protocolos no existan en todas las entidades del país, lo que incrementa la vulnerabilidad de niñas, niños y adolescentes ante posibles casos de trata y explotación.</t>
  </si>
  <si>
    <t>Mara Olvera y su columna Ajedrez Político habla del respaldo del gobernador Juli Menchaca la presidenta de México, Claudia Sheinbaum en la defensa de la soberanía del país, esto durante el festejo en la Plaza Juárez de Pachuca de los 2 años de su ascenso. Destaca</t>
  </si>
  <si>
    <t>Aniversario de la Transformación</t>
  </si>
  <si>
    <t>Vía telefónica Milton Cortés informó que luego de que vecinos de fraccionamientos de Pachuca, Mineral de la reforma y Zempoala amenazaran con realizar bloqueos en algunas vías de circulación, esto por la falta de cumplimiento de compromisos por parte de Gobierno del Estado para mejorar la calidad de vida de los habitantes; hoy han dado a conocer que darán marcha atrás a esta intención luego de que la Secretaría de Gobierno, que encabeza Guillermo Olivares acordó realizar una mesa de trabajo en busca de soluciones el próximo 6 de junio al mediodía. Se ha convocado a esta reunión a los alcaldes de estos municipios, para que conozcan la problemática y necesidades de la población.</t>
  </si>
  <si>
    <t>Atención a manifestantes</t>
  </si>
  <si>
    <t>Andrés Torres hace referencia sobre una pelea en un Oxxo de Río de las Avenidas en Pachuca y señala que hay una creciente violencia en la sociedad hidalguense, y en este sentido, dice: Imagínese usted que un director va y arranca una televisión y se la lleva porque no quiere que esté en una oficina y se la lleva a otra. Eso es violencia, eso está tipificado y es hasta acoso laboral y eso pasa todos los días.</t>
  </si>
  <si>
    <t>Violencia laboral</t>
  </si>
  <si>
    <t>Andrés Torres durante un corte comercial dio lectura (entre dientes) a un trascendido que le enviaron de Radio y Televisión y lo poco que se entiende es que hace mención a que cometieron errores e hicieron hablar al gobernado antes de tiempo y entró desfasado con la transmisión a nivel nacional.</t>
  </si>
  <si>
    <t>En sesión ordinaria, diputadas y diputados integrantes de la LXVI Legislatura avalaron con 24 votos a favor, cero en contra y cero abstenciones, el acuerdo de la Junta de Gobierno que propone los procesos y las convocatorias para la designación de las personas titulares de los órganos internos de control de la Comisión de Derechos Humanos, del Instituto Estatal Electoral y el Tribunal Electoral, todos del Estado de Hidalgo. La diputada Mónica Leanett Reyes Martínez (Nueva Alianza), leyó las bases de la convocatoria y los requisitos para las y los candidatos. Además, avalaron con 24 votos a favor, cero en contra y cero abstenciones, el acuerdo de la Junta de Gobierno que propone la convocatoria y el proceso para la designación de la persona que ocupará la titularidad del órgano interno de control de la Auditoría Superior del Estado de Hidalgo.</t>
  </si>
  <si>
    <t>Trabajo legislativo</t>
  </si>
  <si>
    <t>En sesión ordinaria, diputadas y diputados integrantes de la LXVI Legislatura avalaron con 23 votos a favor, cero en contra y cero abstenciones, el acuerdo económico que exhorta a los 84 ayuntamientos sobre la regulación de giros comerciales, emitido por la primera Comisión Permanente de Fortalecimiento y Desarrollo Municipal. La legisladora María del Rosario Guerrero Martínez (Morena) recordó que se solicita a los municipios, a través de las áreas de Reglamentos y Espectáculos, diseñar, aprobar e implementar acciones de mejora regulatoria de simplificación administrativa y expedición ágil en el otorgamiento de licencias de funcionamiento para molinos de nixtamal y tortillerías, a fin de acceder al Acuerdo Nacional Maíz-Tortilla, impulsado por el gobierno federal.</t>
  </si>
  <si>
    <t>Radioescucha, Osr Samperio Ortiz: de nada sirven las nuevas unidades, se tardan mucho tiempo, se descomponen a medio camino.</t>
  </si>
  <si>
    <t>Quejas Tuzobús</t>
  </si>
  <si>
    <t>Ayer otra vez fue un día difícil para el Sistema Metropolitano de Transporte. Lamentablemente se presentaron 3 incidentes, el primero de ellos se presentó sobre el bulevar Felipe Ángeles en donde un vehículos particular invadió el carril confinado. El segundo percance se presentó en Téllez cuando un peatón cruzó sin precaución y fue impactado por la unidad resultan do lesionado y fue atendido por paramédicos de la Cruz Roja. Asimismo se presentaron dos incidentes más en el bulevar Felipe Ángeles a la altura del Estadio Hidalgo, en donde un automóvil particular y un autobús se vieron involucrados.</t>
  </si>
  <si>
    <t>La Subsecretaría de Protección Civil y Gestión de Riesgos informa a la población que, para este 04 de junio de 2026, se prevén lluvias fuertes con puntuales muy fuertes de 50 a 75 mm en las regiones noroeste, centro y suroeste del estado. Asimismo, se pronostican temperaturas máximas de 30 a 35 °C, así como viento de componente este con rachas de hasta 40 km/h en la región.</t>
  </si>
  <si>
    <t>Alerta Meteorológica</t>
  </si>
  <si>
    <t>Ayer el secretario de Gobierno encabezó las mesas por la paz en Tlanalapa.</t>
  </si>
  <si>
    <t>Hoy hay Ruta de la Transformación, el gobernador Julio Menchaca estará en Santiago Tulantepec a las 11:30 de la mañana en a Unidad Deportiva.</t>
  </si>
  <si>
    <t>Ruta de la salud</t>
  </si>
  <si>
    <t>El secretario de Planeación, Miguel Ángel Tello participó en un debate en Milenio televisión en donde estuvo Moreira, y ahí se habló del tema que se vive entre el gobierno federal y EE.UU., así como de temas de seguridad. Miguel Ángel Tello habló de la transformación que avanza desde la llegada de López Obrados y ahora con la presidenta Claudia Sheinbaum, quien ha defendido la soberanía nacional. La participación del funcionario habla del momento que vive.</t>
  </si>
  <si>
    <t>La Secretaría de Infraestructura Pública y Desarrollo Urbano Sostenible (SIPDUS) ejecuta trabajos de desazolve, ampliación y elevación de bordos en el Río de las Avenidas para incrementar la capacidad del cauce y agilizar el desalojo de aguas pluviales en la zona de Los Tuzos. El titular de la dependencia, Alejandro Sánchez García, informó que las acciones abarcan más de seis kilómetros, desde aguas arriba del fraccionamiento Los Tuzos hasta el Jagüey de Téllez.</t>
  </si>
  <si>
    <t>Andrés Torres comenta que el Síndico de Singuilucan, Donato de Jesús en su video de disculpa, nunca hace eso, pedir disculpas y que además debería pedir ayuda, pues es sabido que tiene problemas con el alcohol.</t>
  </si>
  <si>
    <t>En Singuilucan el Síndico Donato de Jesús hizo un video que difundió en todas sus redes sociales, en el cual dice estar arrepentido y pide disculpas por sus acciones en una fiesta en la que insultó y amenazó a varias personas. Sin embargo, los regidores Areli López Alcántara, Ali Denis Martínez Romero, Alberto Vargas Bistrain y Felipe León Téllez solicitaron el inicio de una investigación formal en contra del funcionario, a quien acusan de amenazas de muerte, abuso de autoridad y conducta indebida.</t>
  </si>
  <si>
    <t>Ayer abrieron el verificentro En Dios Padre, Ixmiquilpan lo que ayudará a desahogar un poco el servicio de verificación vehicular.</t>
  </si>
  <si>
    <t>Verificentros</t>
  </si>
  <si>
    <t>El Sistema Integral de Transporte Masivo de Hidalgo (SITMAH) emitió una convocatoria para contratar a 141 operadores del Sistema de Transporte Metropolitano, y conformar una plantilla total de 351 conductores para las 140 unidades que darán el servicio. Para la operación de las 80 nuevas unidades del Tuzobús cuentan con 210 conductores debidamente capacitados, pero contratarán más para 60 vagonetas de las rutas alimentadoras.</t>
  </si>
  <si>
    <t>Andrés Torres comenta que la estación del 1010 AM El Vocero huasteco, ya casi cumple dos meses fuera del aire y espera que pronto las autoridades los ayuden a resolver esto que es ocasionado por un capricho administrativo.</t>
  </si>
  <si>
    <t>En las redes sociales del gobernador del estado, Julio Menchaca, se está compartiendo recomendaciones para ante las lluvias que se prevé están presentes desde este día y hasta el próximo domingo y en algunas regiones de la entidad serán lluvias fuertes, incluso con presencia de granizo en algunas zonas del estado, para que tenga sus precauciones. Por favor y atender estas recomendaciones y así estamos concluyendo esta emisión de Contigo Noticias.</t>
  </si>
  <si>
    <t>Promueve UTVM autocuidado y resiliencia entre estudiantes</t>
  </si>
  <si>
    <t>Salud Mental</t>
  </si>
  <si>
    <t>Contraloría estatal y Zempoala fortalecen participación ciudadana y rendición de cuentas</t>
  </si>
  <si>
    <t>Contraloría Social</t>
  </si>
  <si>
    <t>Llamado a respetar el carril exclusivo y la operación del Sistema de Transporte Metropolitano</t>
  </si>
  <si>
    <t>Carril confinado</t>
  </si>
  <si>
    <t>UPLAPH y Semarnath invitan a la ciudadanía a donar semillas de especies nativas para reforestar Hidalgo</t>
  </si>
  <si>
    <t>Este fin de semana el municipio de Tezontepec de Aldama tendrá su tradicional Festival del Río y con él la cuarta edición de su Feria del Pescado. Mencionarte Juan Carlos que este municipio vecino de Tula de Allende es el principal productor acuícola de Hidalgo, que apenas el pasado 31 de mayo cumplió 161 años de su creación como municipio y de ahí que sus habitantes festejen. Con el ingrediente culinario por excelencia, el pescado y que le dio el distintivo estatal de pueblo con sabor en el 2022. El programa de actividades para este fin de semana del 6 y 7 de junio es muy amplio, ya que habrá una carrera atlética.</t>
  </si>
  <si>
    <t>Festival Gastronómico</t>
  </si>
  <si>
    <t>Edson Vélez</t>
  </si>
  <si>
    <t>Con servicios gratuitos Inhjuve fortalece el bienestar integral de las juventudes</t>
  </si>
  <si>
    <t>Fortalece Hidalgo su liderazgo nacional en producción acuícola con entrega regional de 900 mil crías de peces</t>
  </si>
  <si>
    <t>Acuicultura</t>
  </si>
  <si>
    <t>Gobierno de Hidalgo impulsa la evaluación de políticas públicas ante los retos de la inteligencia artificial</t>
  </si>
  <si>
    <t>Inteligencia Artificial</t>
  </si>
  <si>
    <t>A una semana que inicie la Copa Mundial de Futbol 2026, la Secretaría de Educación Pública de Hidalgo (SEPH) descartó que se vayan a suspender clases en las escuelas de la entidad por la ceremonia de inauguración que está programada antes del mediodía del 11 de junio. En días recientes el gobierno de la Ciudad de México anunció que el próximo jueves 11 de junio se suspenderán clases en educación preescolar, primaria, secundaria y media superior de la capital del país debido al partido inaugural que jugarán las selecciones de México y Sudáfrica, que se llevará a cabo en el estadio Banorte. Sin embargo, la dependencia estatal negó que en Hidalgo aplique la misma situación, por lo que las labores académicas continuarán como lo marca el calendario escolar 2025-2026, el cual concluye el 15 de julio. Además, la SEPH a través de la subsecretaría de Educación Básica indicó que hasta la fecha ninguna escuela se encuentra sin clases por el paro nacional que mantienen docentes de la Coordinadora Nacional de Trabajadores de la Educación, con actividades que realizan en la capital del país. Durante la conferencia matutina del 4 de junio la presidenta de la república, Claudia Sheinbaum fue cuestionada si en todo el país podrían tomar clases en línea o trabajar desde casa para ver el partido inaugural del Mundial.</t>
  </si>
  <si>
    <t>Impulsa IHE alianzas estratégicas para fortalecer la alfabetización inicial en Hidalgo</t>
  </si>
  <si>
    <t>Alfabetización</t>
  </si>
  <si>
    <t>Daniel Martínez respecto a que estudiantes del sexto semestre de la carrera técnica en Enfermería General del Bachillerato Tecnológico Casa de la Mujer Hidalguense participaron en la Ceremonia de Paso de la Luz, destaca que algunas alumnas de esta institución son jovencitas que son resguardadas y apoyadas por el DIFH y que las están encaminando a estudiar enfermería para invitarlas a hacerse socialmente responsables de otros. Es un componente social muy especial porque se trata de jóvenes que vienen de entornos sociales complicados.</t>
  </si>
  <si>
    <t>Graduación</t>
  </si>
  <si>
    <t>Paso de la Luz marca el inicio de una nueva etapa para estudiantes de Enfermería</t>
  </si>
  <si>
    <t>Tulancingo recibirá este 4 y 5 de junio a la delegación sudafricana de leyendas que participará en una serie de actividades deportivas, culturales y turísticas como parte del intercambio rumbo a la Copa Mundial de 2026. El programa contempla convivencias con aficionados, firmas de autógrafos, recorridos turísticos y una clínica deportiva, en una agenda que busca acercar a la ciudadanía con representantes del fútbol sudafricano y fortalecer el vínculo internacional del municipio. Las actividades arrancarán este jueves 4 de junio en el Jardín La Floresta, donde desde las 17:00 horas comenzará una verbena popular para dar la bienvenida al ambiente futbolero.</t>
  </si>
  <si>
    <t>Detiene PGJEH a tres personas en posesión de narcóticos, arma de fuego y un vehículo con reporte de robo</t>
  </si>
  <si>
    <t>El cuerpo de un hombre fue localizado en la localidad de El Dendho, dentro del municipio de Atitalaquia, durante la mañana del jueves 4 de junio; posteriormente siendo confirmado que ya no contaba con signos vitales. El hallazgo fue realizado en la calle Morelos de la localidad citada, a donde acudieron elementos policiacos y de Protección Civil tras recibir reporte al respecto. Los elementos de atención a emergencias, confirmando que ya no estaba con vida; al parecer, tenía impactos provocados por arma de fuego. La Procuraduría General de Justicia del Estado de Hidalgo inició las investigaciones respectivas al caso.</t>
  </si>
  <si>
    <t>Tras persecución, SSPH rescata a conductor privado de su libertad y recupera tractocamión cargado con hidrocarburo</t>
  </si>
  <si>
    <t>Combate a la delincuencia</t>
  </si>
  <si>
    <t>En sesión extraordinaria de Cabildo, el Ayuntamiento de Progreso de Obregón aprobó la celebración de un convenio de colaboración en materia de Mando Coordinado con el Gobierno de Hidalgo y la Secretaría de Seguridad Pública municipal, luego de la detención de nueve elementos de la corporación por su presunta participación en delitos de homicidio doloso calificado y lesiones. Durante la cuarta sesión extraordinaria del ayuntamiento, la presidenta municipal, Lorena Estrada Flores, explicó que esta medida busca fortalecer la coordinación operativa entre el municipio y el estado en materia de seguridad pública, así como mejorar la articulación institucional para la prevención del delito, la profesionalización policial y el fortalecimiento de las acciones de seguridad. Estrada Flores detalló que el convenio establece que el Gobierno del Estado, a través de la Secretaría de Seguridad Pública y en coordinación con la presidencia municipal, propondrá a la persona que estará a cargo de la operatividad policial y que asumirá la dirección de Seguridad Pública en el municipio. La alcaldesa recordó que Progreso de Obregón se incorporó al esquema de Mando Coordinado en 2016, sin embargo, en 2020, durante la administración del entonces alcalde Raúl Meneses, se notificó al entonces secretario de Seguridad Pública estatal, Mauricio Delmar Saavedra, la desincorporación del convenio.</t>
  </si>
  <si>
    <t>Mando Coordinado</t>
  </si>
  <si>
    <t>Los robos en la autopista Arco Norte en su trazo por el Estado de Hidalgo se han incrementado, reconoció Salvador Cruz Neri, titular de la Secretaría de Seguridad Pública de Hidalgo. Durante la octava reunión interestatal de seguridad del Arco Norte, el mando señaló que en prácticamente en todos los tipos de vehículo, se registra incremento en el robo. Detalló que el robo al transporte de carga pasó de 15 a 19 casos, un aumento de 27 por ciento, mientras que el robo de vehículos particulares creció de 16 a 21 casos. Añadió que alrededor del 45 por ciento de los robos registrados en el Arco Norte se concentran en el tramo que atraviesa los municipios de Tula de Allende. Mientras que el resto en Tolcayuca, Atitalaquia y Emiliano Zapata, por lo que urgió a implementar medidas para revertir la tendencia y evitar que el año cierre con un mayor número de robos. Señaló que la concesionaria IDEAL, a cargo de la vialidad, avanza en la instalación de infraestructura de vigilancia, con siete de las diez cámaras comprometidas ya conectadas al sistema estatal. Por su parte, la Guardia Nacional informó sobre la instalación de tres módulos adicionales de vigilancia, lo que permitirá reforzar los esquemas para prevenir y en su caso, atender hechos delictivos. Cruz Neri consideró que además de la infraestructura es necesario fortalecer la coordinación operativa entre las instituciones para mejorar la capacidad de reacción e impedir que los delitos se sigan cometiendo.</t>
  </si>
  <si>
    <t>Coordinación interestatal</t>
  </si>
  <si>
    <t>Hay una manifestación en el Bulevar Felipe Ángeles, en donde protestan trabajadores para exigir la destitución de mandos del ISSSTE Pachuca porque acusan malos tratos, vejaciones, humillaciones; entre otras cosas. Tienen tiempo trabajando bajo protesta, pero al ver que no les hacen caso, por eso recurren a esto. No está cerrado por completo el paso, hay elementos policiacos.</t>
  </si>
  <si>
    <t>Exigen destitución de funcionario</t>
  </si>
  <si>
    <t>Hidalgo forma parte de las entidades que serán beneficiadas durante 2026 con el programa federal de Caminos Artesanales, una estrategia impulsada por la Secretaría de Infraestructura, Comunicaciones y Transportes (SICT) para mejorar la conectividad en comunidades con altos niveles de marginación. Durante la conferencia matutina de la presidenta de México, Claudia Sheinbaum Pardo, el titular de la SICT, Jesús Antonio Esteva Medina, dio a conocer los avances de diversos proyectos de infraestructura carretera, entre ellos la construcción de 388 caminos artesanales en distintas regiones del país. En el caso de Hidalgo, se desarrollarán siete proyectos distribuidos en los municipios de Cardonal, Ixmiquilpan, San Agustín Tlaxiaca, Tecozautla y Tlahuiltepa. Para estas obras se contempla una inversión superior a los 40 millones de pesos y la construcción de 6.3 kilómetros de caminos. La estrategia federal busca facilitar el acceso entre cabeceras municipales y localidades alejadas mediante obras ejecutadas con participación de habitantes de las propias comunidades, generando además oportunidades de empleo temporal. A nivel nacional, el programa contempla una inversión de 6 mil millones de pesos para la construcción de 888 kilómetros de caminos, en beneficio de más de 327 mil personas. Los trabajos se llevarán a cabo entre junio y diciembre de este año. Como parte de la misma política de infraestructura, el Gobierno de México destina durante 2026 alrededor de 70 mil millones de pesos para acciones de conservación y modernización de carreteras. Entre ellas destaca el programa Megabachetón, mediante el cual se han reparado más de 37 mil baches en diferentes estados del país.</t>
  </si>
  <si>
    <t>El presidente municipal de Tula de Allende, Christian Evanivaldo Martínez Resendiz, informó que se prevé que el próximo 8 de junio entre en operación la nueva celda para la disposición de residuos sólidos, habilitada en la localidad de Tocalco. El alcalde explicó que, tras la clausura del relleno sanitario regional, los residuos generados en Tula eran trasladados hasta el municipio de Zumpango, lo que generó un gasto de cinco millones de pesos. “Es un tema que tenía muchísimos años de administraciones irresponsables que no le habían querido entrar. Nosotros lo estamos afrontando con toda la responsabilidad y hoy estamos muy contentos de poderles decir que tentativamente el 8 de junio podríamos iniciar operaciones”. Actualmente el municipio genera alrededor de 70 toneladas de residuos al día, y cerca de dos mil toneladas mensuales.</t>
  </si>
  <si>
    <t>Relleno Sanitario</t>
  </si>
  <si>
    <t>Habitantes de la comunidad de San Joaquín formalizaron su rechazo al proyecto fotovoltaico denominado “FV y Tecozautla” y declararon su territorio libre de actividades extractivas y megaproyectos energéticos que impliquen modificaciones al uso del suelo sin la aprobación de la población. La decisión fue tomada durante asambleas realizadas el pasado 26 de mayo, de las que derivaron tres actas: una comunitaria, una ejidal y una infantil-juvenil. En estos documentos, la población manifestó su oposición a proyectos relacionados con minería, hidrocarburos, generación hidroeléctrica, así como desarrollos eólicos y solares que no cuenten con el consentimiento expreso de la comunidad. El posicionamiento está dirigido particularmente al proyecto “FV Tecozautla”, impulsado por Green Park Energy, empresa señalada como filial de Iberdrola. La iniciativa cuenta con un permiso de generación eléctrica otorgado por la Comisión Nacional de Energía (CEN) el pasado 19 de diciembre de 2025, cuya vigencia es de 25 años. De acuerdo con organizaciones que acompañan a la comunidad, la determinación representa un hecho inédito en la región del Valle del Mezquital, al convertir el rechazo social al proyecto en una declaración respaldada por mecanismos comunitarios y legales. Los pobladores argumentan que su decisión se sustenta en el artículo 2 de la Constitución Mexicana, criterios emitidos por la Suprema Corte de Justicia de la Nación, la Ley Agraria y la Convención sobre los Derechos del Niño. Según la información difundida, el proyecto contempla ocupar aproximadamente 588 hectáreas ubicadas al suroeste de la cabecera municipal de Tecozautla, en una zona cercana a San Joaquín y al área de preservación ecológica conocida como Bondojito. Además, también se prevé la colocación de 204 mil paneles fotovoltaicos en las poblaciones de El Mercader, Maguey Verde y San Francisco.</t>
  </si>
  <si>
    <t>Parque Fotovoltaico</t>
  </si>
  <si>
    <t>El talento, la perseverancia y el espíritu emprendedor de las y los tulancinguenses encontraron un nuevo aliado este 3 de junio, cuando el Gobierno Municipal de Tulancingo realizó la primera entrega de apoyos económicos reembolsables de los programas “Transforma Tulancingo” y “Mujer Emprende y Transforma”, beneficiando a 139 personas con una inversión de un millón 390 mil pesos. Encabezada por la presidenta municipal, Lorena García Cázares, esta acción reafirma la visión de un gobierno cercano a la ciudadanía, comprometido con el fortalecimiento de la economía local desde la base social y con la generación de oportunidades para quienes buscan mejorar sus condiciones de vida mediante el trabajo y el emprendimiento. En esta primera etapa fueron beneficiadas 99 mujeres y 40 microempresarios y emprendedores, quienes recibieron recursos para impulsar, fortalecer o consolidar sus proyectos productivos. Los apoyos llegaron a habitantes de diversos sectores del municipio, entre ellos Napateco, La Cañada, Guadalupe, Rincones de la Hacienda, Santa María Asunción y Santa Ana Hueytlalpan, ampliando así el alcance de los programas y favoreciendo el desarrollo económico en distintas comunidades.</t>
  </si>
  <si>
    <t>Apoyo a emprendedores</t>
  </si>
  <si>
    <t>Con inversión inicial por 34.5 millones de pesos, iniciará la rehabilitación de la carretera estatal Tulancingo-Santiago Tulantepec, en un tramo aún por darse a conocer. El anuncio fue realizado por Alejandro Sánchez García, titular de la Secretaría de Infraestructura Pública y Desarrollo Urbano Sostenible, durante la Ruta de la Transformación realizada este jueves 4 de junio en el municipio de Santiago Tulantepec. El funcionario reconoció durante el anuncio que se trata de una de las obras viales más solicitadas en la región, por la gran cantidad de usuarios que circulan diariamente. En entrevista posterior, el Gobernador de Hidalgo, Julio Menchaca Salazar, reiteró que la rehabilitación de la vialidad será en una primera etapa que se ejecutará este mismo año; la obra total alcanzaría un presupuesto por aproximadamente 90 millones de pesos. Respecto a características, como extensión de la obra a atender, material que se utilizará, tiempo de ejecución, entre otros aspectos, dijo que se conocerá en la licitación que en su momento será lanzada. Reconoció que la obra generará algunas molestias por los cierres que se realizarán mientras se ejecuta, por lo que solicitó la comprensión de los usuarios de la vialidad, señalando que el beneficio final es lo importante.</t>
  </si>
  <si>
    <t>Ruta de la Transformación</t>
  </si>
  <si>
    <t>La presidencia municipal de Tulancingo está regalando 500 boletos dobrels para asistir al partido de Leyendas México vs. Sudáfrica.</t>
  </si>
  <si>
    <t>A pesar de los acuerdos anunciados por la Dirección de Mercados y Centros de Abasto para reforzar el orden y eliminar el comercio ambulante en calles aledañas a los tianguis del municipio, la presencia de vendedores informales continúa siendo una constante en diversas vialidades del centro de Tulancingo, particularmente los jueves, aunque también es visible durante otros días de la semana. En un recorrido realizado por Ultra Noticias Hidalgo, se pudo constatar que sobre la calle 21 de Marzo, en el tramo comprendido entre Morelos y Juan C. Doria, persisten diversos puestos semifijos y ambulantes, principalmente dedicados a la venta de alimentos, que ocupan parte de las banquetas y áreas destinadas al tránsito peatonal. Además de la presencia de comerciantes, también se observó la práctica de apartar espacios en la vía pública mediante objetos colocados sobre la calle para reservar lugares de estacionamiento, situación que genera molestias entre automovilistas y peatones. Ciudadanos consultados durante el recorrido señalaron que uno de los principales problemas es la invasión de banquetas, ya que en varios puntos los puestos reducen considerablemente el espacio para caminar.</t>
  </si>
  <si>
    <t>Ambulantaje</t>
  </si>
  <si>
    <t>Si así lo consideran, las personas que fueron agredidas verbalmente por Donato Ramírez, Síndico municipal de Singuilucan, pueden presentar su denuncia formal ante autoridades, así como sería el partido político al que pertenece, si le aplica alguna sanción. Tal es el posicionamiento del Gobernador de Hidalgo, Julio Menchaca Salazar respecto a dicha situación, la cual fue captada en video, donde incluso se escuchan amenazas de muerte por lo menos a una persona no identificada, por parte del integrante de la Asamblea Municipal de Singuilucan “Se seguirá el conducto adecuado y eso es una decisión que le toca a otras áreas. Si es un área política le tocará al partido y si generó una conducta que pueda llegar a ser un tipo penal como amenazas o algo, las personas que se sientan agraviadas que presenten su denuncia”, señaló al respecto Menchaca Salazar. La situación se habría registrado el pasado fin de semana, en calles de la cabecera municipal; en el video, además de escucharse los insultos y amenazas, se observa a un grupo de personas que sujetan al representante popular, mientras que oficiales policiacos sólo observan lo que ocurría, sin intervención alguna.</t>
  </si>
  <si>
    <t>Como parte de las acciones para fortalecer la atención y conservación de la fauna silvestre, la Unidad de Rehabilitación de Pachuca llevó a cabo un curso teórico-práctico especializado en entrenamiento con condicionamiento operante para fines médicos. La capacitación fue impartida por Silvia Torner, especialista de Proactive Animal con más de 30 años de experiencia, y reunió a más de 30 participantes provenientes de distintas entidades del país, interesados en perfeccionar técnicas que permitan a los animales colaborar de manera voluntaria en revisiones médicas, reduciendo los niveles de estrés durante su atención.</t>
  </si>
  <si>
    <t>Capacitación</t>
  </si>
  <si>
    <t>En Atitalaquia fue localizado el cuerpo sin vida de una persona con impactos de arma de fuego, por dicho hecho personal de la Procuraduría inició la carpeta de investigación correspondiente.</t>
  </si>
  <si>
    <t>Elementos de la Secretaría de Seguridad Pública del Estado y de Tizayuca lograron detener a tres personas, las cuales presuntamente están relacionadas con el robo de un tráiler. De acuerdo a la policía estatal se dio aviso de un tráiler que conducía a gran velocidad y al arribo lograron frustrar el robo, pero un oficial resultó lesionado; en el intento de huida, los delincuentes chocaron al menos dos vehículos particulares más con el tractocamión.</t>
  </si>
  <si>
    <t>Andrés Torres en respuesta a un radioescucha que comenta que es lamentable la decisión de no abrir al público la señal de Vocales radio a los paisanos de la huasteca, señala que es un tema de ignorancia supina y que dicen que no es importante que la estación esté al aire. Asevera que su obligación como funcionario es denunciar y lo hace todos los días. Hay una deuda social, pero hay gente a la que no le importa más que brincar al siguiente cargo porque ya les gustó Radio y Televisión de Hidalgo como trampolín, hay uno que decía que iba a a ser diputado (el exdirector) y ayer lo andaban buscando los de los juzgados de la Procuraduría.</t>
  </si>
  <si>
    <t>CECyTE Hidalgo destaca en Festival Académico Nacional 2026</t>
  </si>
  <si>
    <t>Justa Académica</t>
  </si>
  <si>
    <t>UPLAPH participa en la Segunda Sesión Ordinaria 2026 del Copladem en Tizayuca</t>
  </si>
  <si>
    <t>COPLADEM</t>
  </si>
  <si>
    <t>Andrés Torres recuerda que está fuera del aire por un capricho en Radio y Televisión en una de sus estaciones más importantes, el 1010 AM de Huejutla, en este momento tan importante que hay una emergencia climática en la Huasteca. "No la quieren prender porque dicen que no es importante", para la dirección general no es importante y son casi dos meses fuera del aire. Ojalá no suceda nada en la zona de la huasteca en este momento de emergencia climática, para que no digan- no nos avisaron- y entonces empiecen a deslindar responsabilidades. Hay una enorme deuda social, esto es un asunto claramente desconocimiento, una ignorancia supina por parte de las autoridades administrativas de Radio y Televisión que se niegan a prender la estación, porque dicen que es muy caro comprar diesel.</t>
  </si>
  <si>
    <t>Radioescucha, Osr Samperio Ortiz: mi sugerencia para el nuevo sistema de transporte no son las unidades nuevas, es acondicionar sus horarios. dijo el director de de este sistema que el mejor crítico es el público .</t>
  </si>
  <si>
    <t>“Seguimos en la ruta; vamos a redoblar esfuerzos”, sostiene Julio Menchaca</t>
  </si>
  <si>
    <t>Julio Menchaca verifica avance de la carretera Cuautepec-Tulancingo</t>
  </si>
  <si>
    <t>La Secretaría de Infraestructura Pública y Desarrollo Urbano Sostenible (SIPDUS) anunció la construcción de un carril adicional (tercer carril) en el bulevar Felipe Ángeles, a la altura del puente Colonias, con el objetivo de aliviar el cuello de botella que se genera al sur de Pachuca.</t>
  </si>
  <si>
    <t>Ampliación carretera</t>
  </si>
  <si>
    <t>La dirección municipal de Protección Civil de Pachuca emitió un aviso a la población, destacando que los próximos días se registrará un aumento significativo de humedad que provocará lluvias intensas y tormentas acompañadas de granizo, principalmente en el centro del país, incluyendo al estado de Hidalgo. Estas condiciones podrían generar inundaciones repentinas, encharcamientos severos y riesgos por caída de ramas, árboles o espectaculares debido a los fuertes vientos.</t>
  </si>
  <si>
    <t>El gobernador Julio Menchaca comparte en sus redes sociales: Les comparto que desde hoy y hasta el domingo, se esperan lluvias fuertes a muy fuertes en distintas regiones de Hidalgo, acompañadas de actividad eléctrica, con posible caída de granizo y rachas de viento. Manténganse informados a través de los canales oficiales y sigan las recomendaciones de la Subsecretaría de Protección Civil y Gestión de Riesgos. En caso de emergencia, llama al 911.</t>
  </si>
  <si>
    <t>Ante el pronóstico de lluvias muy fuertes a intensas de 75 a 150 mm en la región norte de Hidalgo, así como altas temperaturas y rachas de viento, exhortamos a la población a extremar precauciones. No cruces corrientes de agua, calles inundadas, ríos o arroyos, ni a pie ni en vehículo. Mantente informado por medios oficiales y, en caso de emergencia, llama al 911.</t>
  </si>
  <si>
    <t>La Universidad Autónoma del Estado de Hidalgo (UAEH) emitió un comunicado en donde infirmó que colabora activamente con las autoridades locales aportando grabaciones de sus cámaras de videovigilancia para esclarecer la muerte de un elemento de la Policía Industrial Bancaria del Estado de Hidalgo (PIBEH), cuyo cuerpo fue hallado sin vida la mañana del viernes 5 de junio de 2026 dentro de las instalaciones universitarias.</t>
  </si>
  <si>
    <t>Jesús Riveros responde a comentario de radioescucha sobre la visita del gobernador a Santiago Tulantepec y Cuautepec, señala que, efectivamente, el gobernador se dio cuenta de varios detalles, incluso, el Comité de Obra de acercó con él para hacerle notar algunas situaciones.</t>
  </si>
  <si>
    <t>Locutor Jesús Riveros da lectura a comentario de radioescucha que dice: Espero que con la visita de ayer del gober que vio los caminos hacia Santiago y allá sufrió de lo que pasamos todos los automovilistas en la obra de Cuautepec, me encantó que ayer fuera a la hora de la lluvia y se diera cuenta de la situación.</t>
  </si>
  <si>
    <t>La manifestación del personal de salud del Hospital "Dra. Columba Rivera Osorio" en Pachuca escaló a riña. Los trabajadores, que exigían el pago de suplencias, bloquearon el bulevar Felipe Ángeles. La protesta derivó en empujones con policías que intentaban replegarlos, dejando un saldo de al menos dos personas detenidas.</t>
  </si>
  <si>
    <t>Desalojo de manifestantes</t>
  </si>
  <si>
    <t>Comunicado respecto a lo acontecido en Servi Garza, en Mineral de la Reforma</t>
  </si>
  <si>
    <t>La regidora de San Salvador, Briseida Mera Ángeles, presentará una denuncia ante las instancias correspondientes por presuntos actos de violencia política y digital en su contra, luego de que en los últimos días circularan publicaciones y comentarios en redes sociales relacionados con su vida personal. Ayer por la noche, durante la sesión de Cabildo, la asambleísta manifestó su preocupación por los señalamientos difundidos en plataformas digitales, al considerar que se trata de una forma de violencia que busca vulnerar su imagen y su participación en la vida pública. Adelantó que emprenderá acciones legales para que los hechos sean investigados. Asimismo, lanzó un llamado a no normalizar este tipo de conductas y convocó a las mujeres que participan en la política a mantenerse unidas frente a cualquier manifestación de violencia de género, además de impulsar mecanismos que permitan prevenir y sancionar estas prácticas en los espacios de representación popular. Tras su intervención, todos los integrantes de la Asamblea municipal expresaron su respaldo a la regidora, condenaron los ataques dirigidos a su persona y se comprometieron a acompañarla en las acciones legales que decida emprender. En la misma sesión, fue aprobada por unanimidad la solicitud de licencia por tiempo indefinido presentada por Mera Ángeles, quien dejará temporalmente sus funciones a partir del próximo 16 de junio. Cabe señalar que, durante los últimos días, en redes sociales y grupos digitales del municipio de San Salvador han circulado publicaciones y comentarios que presuntamente relacionan a la edil con el expresidente municipal Armando Azpeitia Díaz.</t>
  </si>
  <si>
    <t>Violencia política</t>
  </si>
  <si>
    <t>Como parte de la estrategia de austeridad que impulsa Morena en Hidalgo, la regidora de Cardonal, Lucero Cruz Ambrosio, manifestó su respaldo a la propuesta de reducir en un 50 por ciento los salarios de regidores y síndicos; sin embargo, advirtió que la aplicación de esta medida podría enfrentar diversos obstáculos en algunos ayuntamientos, tanto por las condiciones financieras de cada municipio como por la conformación política de los cabildos. En entrevista para Quadratín Hidalgo, la asambleísta señaló que se encuentra alineada con los principios de la Cuarta Transformación y con los lineamientos promovidos por su partido en materia de austeridad gubernamental. No obstante, consideró que la realidad de cada municipio es distinta y que ello podría dificultar que la iniciativa prospere en todos los casos. Apenas estos martes integrantes de cabildo en Huichapan aprobaron la reducción del 50 por ciento de los salarios de regidores y síndicos, medida que ha sido presentada por Morena como un ejemplo de ahorro y racionalización del gasto público. Además, este día, el dirigente estatal de Morena, Marco Antonio Rico Mercado, reiteró que esta política forma parte de los principios del movimiento y dejó entrever posibles consecuencias partidistas para quienes se aparten de dicha línea. Ante este escenario, Cruz Ambrosio sostuvo que existen municipios donde los ingresos son considerablemente menores, por lo que el impacto financiero de una reducción salarial no necesariamente sería el mismo que en otros ayuntamientos con mayores recursos. Asimismo, señaló que en varios cabildos los representantes de Morena no cuentan con mayoría suficiente para impulsar o aprobar este tipo de propuestas. Como ejemplo, expuso el caso de Cardonal, donde aseguró que ocurrió una situación opuesta a la que actualmente promueve el partido guinda, ya que a inicios de este 2026 fue presentada una propuesta para incrementar los salarios de la asamblea municipal, iniciativa presentada por la alcaldesa emanada de Movimiento Ciudadano, Karla Hernández Cerroblanco, la cual finalmente fue aprobada por mayoría. De acuerdo con Cruz Ambrosio, ella fue la única que votó en contra del aumento salarial, al considerar que los recursos públicos debían orientarse prioritariamente a atender necesidades de la población.</t>
  </si>
  <si>
    <t>El diputado local del PVEM, Avelino Tovar dio a conocer que ha recibido injurías y amenazas directas como consecuencia de la iniciativa que presentó ante el Congreso de Hidalgo en torno a la prohibición la violencia en contra d elos animales y de manera particular, em contra de que se prohiba la tauromaquia en Hidalgo.</t>
  </si>
  <si>
    <t>Tauromaquia</t>
  </si>
  <si>
    <t>Caravana Cultural llegará a Chilcuautla, en el marco del Festival del Tlacoyo y la Gordita.</t>
  </si>
  <si>
    <t>Cultura</t>
  </si>
  <si>
    <t>Caravanas Culturales</t>
  </si>
  <si>
    <t>Llamado a respetar el carril exclusivo y la operación del Sistema de Transporte Metropolitano.</t>
  </si>
  <si>
    <t>Tras persecución, SSPH rescata a conductor privado de su libertad y recupera tractocamión cargado con hidrocarburo.</t>
  </si>
  <si>
    <t>Detiene PGJEH a tres personas en posesión de narcóticos, arma de fuego y un vehículo con reporte de robo.</t>
  </si>
  <si>
    <t>UPLAPH y Semarnath invitan a la ciudadanía a donar semillas de especies nativas para reforestar Hidalgo.</t>
  </si>
  <si>
    <t>UPLAPH y Semarnath invitan a la ciudadanía a donar semillas de especies nativas para reforestar Hidalgo. (AUDIO MATV).</t>
  </si>
  <si>
    <t>CECyTE Hidalgo destaca en Festival Académico Nacional 2026.</t>
  </si>
  <si>
    <t>Gobierno de Hidalgo llama a extremar precauciones ante pronóstico de lluvias intensas</t>
  </si>
  <si>
    <t>Seguimos en la ruta; vamos a redoblar esfuerzos”, sostiene Julio Menchaca. (AUDIO JMS).</t>
  </si>
  <si>
    <t>Julio Menchaca verifica avance de la carretera Cuautepec-Tulancingo. . (AUDIO JMS).</t>
  </si>
  <si>
    <t>Locutor Jesús Riveros informó que, el día de ayer, el gobernador realizó una gira de trabajo en Cuautepec para supervisar la segunda atapa de pavimentación hidráulica de la carretera estatal Cuautepec-Tulancingo, en donde, el Comité de Obras se acercó para externarle que revise el tema de las constructoras a las que se les otorga este tipo de contratos para hacer obra, ya que, la empresa encargada del primero y segundo tramo quedó mucho a deber por la calidad de su trabajo, por la falta de seriedad en el tema de los tiempos, situación que afectó enormemente a toda la población por los retrasos injustificados que se tuvieron, ya que, incluso, aseguran que la obra todavía no se termina al cien por ciento (recordará que, días antes al día de ayer, se apresuraron los encargados de la obra en tratar de terminar la obra y dejarla al cien por ciento, sin embargo, les faltó, Comentó Jesús Riveros). Situación por la que, se le solicitó expresamente al gobernador que no otorgue el siguiente tramo de la carretera a esta misma empresa; a lo que respondió el gobernador -Asegura el Comité de Obra - que se iba a revisar y en caso de encontrar fallas en cuanto a sus cumplimientos en tiempos y en calidad, se iba a vetar a esta compañía. De igual manera, se le solicitó al gobernador la construcción de un dren pluvial que alivie el tema de la creciente que se hace sobre la carretera, ya que, el problema se agrava con el aumento de la urbanización y las lluvias. Fueron las demandad del Comité de Obra allá en Cuautepec.</t>
  </si>
  <si>
    <t>Locutor Juan Carlos Santamaría informó que, se inició con la plantación de dos mil árboles en el Parque Nacional El Chico, como parte de la conmemoración del “Día Mundial del Medio Ambiente” este 5 de junio, por lo que, la Semarnarth lleva a cabo esta actividad con la participación de Mónica Mixtega Trejo, titular de la secretaría; Jannet Martínez Monzalvo, titular de la Oficina de Representación en Hidalgo de la Semarnat y Luis Alberto moreno López, titular de la Conafor en Hidalgo.</t>
  </si>
  <si>
    <t>Locutor Jesús Riveros transmite audio del gobernador Julio Menchaca en donde emite su posicionamiento sobre el actuar del síndico procurador de Singuilucan y la polémica que se ha generado, haciendo un llamado al síndico y a todos los funcionarios para que respeten la investidura que tienen como funcionarios públicos; al tiempo, de él mismo se pone como ejemplo, señalando “Yo me he comportado a la altura y me dirijo a la gente como a mí me gustaría que me traten” (AUDIO JMS). La anterior, dijo Jesús Riveros, lo expresó el gobernador en entrevista con medios de comunicación al término del evento de las Rutas de la Transformación en Santiago Tulantepec.</t>
  </si>
  <si>
    <t>Jesús Riveros informó que, el día de ayer, el gobernador Julio Menchaca estuvo en Santiago Tulantepec en donde les cayó una tromba justo después del discurso del gobernador en el marco de las rutas de la transformación. Entre los anuncios, dio a conocer que habrá una inversión millonaria para reconstruir la carretera Santiago Tulantepec-Tulancingo, información que fue confirmada también por el titular de la Sipdus, Alejandro Sánchez García. Al término del acto protocolario que le llevó a cabo en la unidad Deportiva, el gobernador reconoció que esta obra responde a una necesidad muy sentida debido al deterioro que presenta dicha vía de comunicación, sin precisar el tramo intervenido, aclaró que el recurso contemplado no cubrirá la totalidad del proyecto, el cual fue presupuestado en 90 mdp, dijo que se realizará en tres etapas y que espera que la reconstrucción se concluya en esta misma administración. (AUDIO JMS).</t>
  </si>
  <si>
    <t>En su colaboración semanal, Gustavo Rosales comentarista deportivo habló sobre la participación del “Club “Dragones Rojos de Ajedrez” que participaron en los Juegos Nacionales Escolares Conade de Primaria realizados en Jalisco, en donde obtuvieron resultados positivos, resaltando la participación del medallista de bronce Jaime Mauricio Cruz Méndez de 12 años de edad.</t>
  </si>
  <si>
    <t>Nacionales Conade</t>
  </si>
  <si>
    <t>Caasim refuerza acciones preventivas y despliega equipo especializado ante pronóstico de lluvias intensas</t>
  </si>
  <si>
    <t>La Subsecretaría de Protección Civil y Gestión de Riesgos informa a la población que, para este 05 de junio de 2026, se prevén lluvias fuertes con puntuales intensas de 75 a 150 mm en la región norte del estado. Asimismo, se pronostican temperaturas máximas de 30 a 35 °C, así como vientos de 10 a 20 km/h con rachas de 30 a 50 km/h.</t>
  </si>
  <si>
    <t>La escritora psicóloga y maestra en ciencias sociales Claudia Sandoval Zamora se convirtió en la primera autora vinculada a Hidalgo en obtener el Premio de Bellas Artes de Poesía Aguascalientes 2026 considerado uno de los máximos reconocimientos de la poesía en México aunque nació en el Estado de México la autora ha residido en Pachuca desde los siete años de edad ciudad que ha identificado como su hogar y desde donde pues ha desarrollado gran parte de su trayectoria literaria el galardón que cuenta con una de las mayores tradiciones dentro de la literatura mexicana reconoce la calidad y aportación de obras inéditas en el ámbito de la poesía además de representar uno de los premios más prestigiosos del país en este género. AUDIO DE APOYO.</t>
  </si>
  <si>
    <t>Radioescucha reporta que en la calle principal del Valle del Palmar, no caea agua</t>
  </si>
  <si>
    <t>Radioescucha reporta que las coladeras de Venustiano Carranza están tapadas; pide a las autoridades.</t>
  </si>
  <si>
    <t>Alcantarillado</t>
  </si>
  <si>
    <t>Enlace clima Luis García de la Conagua en la Republica Mexicana e Hidalgo, zona huasteca máxima de 35 mínima de 20, para la Sierra 26 máxima mínima de 17, Altiplano máxima de 21 mínima de 15, para Pachuca y Tizayuca 23 mínima de 12, en la Zona Tepehua máxima de 29 mínima de 17, Valle de Tulancingo máxima de 22 mínima de 10 en el Valle del Mezquital máxima 25 mínimas de 14 , Huichapan y Tecozayutla máxima 23 y mínima de 13</t>
  </si>
  <si>
    <t>El gobernador Julio Menchaca Salazar informó que ante el pronóstico de lluvias fuertes a muy fuertes para los próximos días, están acompañadas de actividad eléctrica, posible caída de granizo y rachas de viento. Por ello, ha instruido el mandatario hidalguense a las dependencias de seguridad, atención de emergencias y protección civil a mantenerse alerta y preparadas para atender de manera oportuna cualquier eventualidad que pudiera presentarse derivada de las condiciones meteorológicas.</t>
  </si>
  <si>
    <t>¿Ya tiene plan para este fin de semana? quiero invitarlo este viernes 5 de junio a que visite el municipio de Tepetitlán ya que será sede de la edición número 31 del Mercadito Emprendedor hoy viernes 5 de junio una iniciativa que se ha consolidado como un espacio para la promoción del comercio local y el fortalecimiento de los pequeños negocios ¿se acuerda usted de esta idea de consume local? Pues se sigue reforzando con este tipo de estrategias como Mercadito Emprendedor esta actividad se va a llevar a cabo a partir de las 9 de la mañana en un par de horas en la plaza principal donde se van a reunir emprendedoras y emprendedores van a ofrecer sus productos y servicios de acuerdo con la presidenta de Tepetitlán Ana Elsa Castillo Acosta el objetivo es impulsar el consumo local y generar oportunidades de desarrollo económico para las familias del municipio</t>
  </si>
  <si>
    <t>Eulalio Larrieta agradece Hans Islas del ayuntamiento de Mineral de la Reforma , por su apoyo en pasar los reportes</t>
  </si>
  <si>
    <t>Como parte de las acciones para fortalecer la atención y conservación de la fauna silvestre, la Unidad de Rehabilitación de Pachuca llevó a cabo un curso teórico-práctico especializado en entrenamiento con condicionamiento operante para fines médicos.La capacitación fue impartida por la especialista Silvia Torner, de Proactive Animal, quien cuenta con más de 30 años de experiencia, y reunió a más de 30 participantes provenientes de distintas entidades del país, interesados en perfeccionar técnicas que permitan a los animales colaborar de manera voluntaria en revisiones médicas, reduciendo así los niveles de estrés.Estas acciones consolidan a la Unidad de Rehabilitación como un espacio de referencia nacional en la profesionalización del manejo y atención de fauna silvestre, fortaleciendo las capacidades técnicas de quienes trabajan en su cuidado.En este mismo sentido, se llevó a cabo la liberación de un ejemplar de temazate, el venado más pequeño de México, el cual fue rescatado tras quedar atrapado en una malla en el municipio de San Agustín Metzquititlán, presentando únicamente lesiones superficiales.Tras su atención y estabilización, el ejemplar fue reintegrado a su hábitat natural en una zona de bosque mesófilo de la misma zona, en coordinación con la PROFEPA y autoridades municipales, garantizando su bienestar y contribuyendo a la preservación.</t>
  </si>
  <si>
    <t>Tras una persecución en la región de Tizayuca, autoridades recuperaron un autotanque con más de 31 mil litros de combustible y detuvieron a tres personas. El operativo inició luego del reporte por el robo de un tractocamión que circulaba hacia la carretera federal México-Pachuca. Gracias al monitoreo del C5i, la unidad fue localizada sobre la carretera Tepojaco-Temascalapa.Durante la persecución se registraron daños a vehículos particulares y una patrulla estatal, con saldo de dos policías lesionados. Finalmente, la unidad fue interceptada en las inmediaciones de la autopista México-Pachuca, donde además fue localizado el conductor privado de la libertad y maniatado dentro de la cabina. También fue asegurada un arma de fuego,</t>
  </si>
  <si>
    <t>Tres personas fueron detenidas en Tezontepec de Aldama durante un operativo de la Agencia de Investigación Criminal. La intervención ocurrió en la colonia Presas, donde agentes de investigación realizaban una inspección en un caso de asalto y robo. Detectaron una camioneta relacionada con una carpeta de investigación. Durante la revisión, los elementos aseguraron diversas dosis de presuntos narcóticos, un arma de fuego y una camioneta con reporte de robo, además de una motocicleta. Los tres detenidos quedaron a disposición del Ministerio Público.</t>
  </si>
  <si>
    <t>Personal de la Agencia de Investigación Criminal, adscrito a la Procuraduría General de Justicia del estado (PGJEH), detuvo a tres personas que viajaban en una camioneta con reporte de robo en el municipio de Tezontepec de Aldama.Los agentes pertenecientes al Grupo Mixquiahuala capturaron a los sujetos en la calle Degollado, de la colonia Presas, mientras realizaban labores de investigación relacionadas con asaltos y robos, cuando observaron un vehículo con características similares al que era objeto de una indagatoria.Los investigadores detectaron que en la unidad se encontraban un hombre y una mujer, mientras que un motociclista permanecía a un costado del vehículo. Sin embargo, al notar la presencia de los elementos, mostraron actitudes evasivas, por lo que les solicitaron una inspección.Las personas fueron identificadas con las iniciales R.O.H.T., O.A.H.C. y L.V.M. Durante la revisión, los agentes localizaron varias dosis de narcóticos, así como un arma de fuego, de la cual no pudieron acreditar su posesión legal, por lo que fueron trasladados ante el Ministerio Público para determinar su situación jurídica.</t>
  </si>
  <si>
    <t>La Policía Industrial Bancaria del Estado de Hidalgo, lamenta el sensible fallecimiento del policía tercero de iniciales A.T.L., de 57 años, con 18 años de servicio, quien desafortunadamente perdió la vida la mañana de este viernes 5 de junio.</t>
  </si>
  <si>
    <t>Un elemento de la Policía Industrial Bancaria del Estado de Hidalgo (PIBEH) perdió la vida en las instalaciones de Servi Garza UAEH, ubicadas en Mineral de la Reforma. El incidente ocurrió cuando se recibió una llamada de emergencia sobre un elemento inconsciente al interior de la gasolinera. Al llegar al lugar, se confirmó que el policía, identificado con las iniciales A.T.L., ya no contaba con signos vitales y presentaba un impacto de arma de fuego. Las autoridades han iniciado una carpeta de investigación para esclarecer los hechos y determinar las circunstancias de la muerte. La Universidad Autónoma del Estado de Hidalgo (UAEH) ha expresado sus condolencias y solidaridad con los familiares, amistades y compañeros del policía fallecido.</t>
  </si>
  <si>
    <t>Informa conductor que una persona perdió la vida; era elemento de la policía bancaria. Esto al oriente de la capital hidalguense, dentro de su patrulla. El deceso fue afuera de una tienda muy conocida de abarrotes; esto es ahí adelantito de la Universidad Autónoma del Estado de Hidalgo, en la carretera Pachuca y Pachuquilla, prácticamente.</t>
  </si>
  <si>
    <t>Un motociclista fue detenido por elementos de la Secretaría de Seguridad Pública de Pachuca en la zona centro de la capital. De acuerdo con la información proporcionada por la corporación, los hechos ocurrieron en las inmediaciones del monumento a los Niños Héroes, donde un oficial marcó el alto al conductor de una motocicleta. Sin embargo, el motociclista habría hecho caso omiso a la instrucción, lo que derivó en una intervención por parte de los elementos de seguridad. Tras ser interceptado, el conductor fue asegurado y posteriormente trasladado ante el Ministerio Público. El hecho generó reacciones en redes sociales, donde usuarios difundieron videos y comentarios en los que cuestionan la actuación de los elementos policiales durante la detención</t>
  </si>
  <si>
    <t>Detención abuso policiaco</t>
  </si>
  <si>
    <t>Marco Rico presidente Morena aseguró que la reducción salarial en Huichapan fue resultado del diálogo con la alcaldesa, AUDIO APOYO</t>
  </si>
  <si>
    <t>Morena</t>
  </si>
  <si>
    <t>Reportan manifestación en Boulevard Felipe Ángeles por parte de trabajadores del hospital ISSSTE Hidalgo; están trabajando bajo protesta, se quejan de la mala administración dentro del hospital y exigen mejores condiciones de trabajo.</t>
  </si>
  <si>
    <t>Radioescucha reporta fuga de agua en Piracantos, atrás de la secundaria tecnica 40</t>
  </si>
  <si>
    <t>La Coordinadora Nacional de Trabajadores de la Educación (CNTE) llevará a cabo una marcha en Pachuca, Hidalgo, en apoyo a la huelga nacional del gremio.La concentración se realizará desde la Normal Superior Siglo XXI, y los participantes avanzarán hacia el Reloj Monumental.El recorrido congregará a maestros y maestras de la sección 15 del SNTE-CNTE, quienes buscan visibilizar demandas históricas y laborales, entre ellas la abrogación de la Ley del ISSSTE 2007, la garantía de una jubilación digna para trabajadores con 28 y 30 años de servicio y la implementación del décimo transitorio.</t>
  </si>
  <si>
    <t>Radioescucha pregunta: ¿A partir de qué hora será la manifestación de maestros de la CNTE en Pachuca ?. Comenta conductor: informa que es a partir de las 15:30 horas que saldrá de Siglo XXI para terminar en el Reloj Monumental.</t>
  </si>
  <si>
    <t>Ayer jueves se registró una movilización de corporaciones de seguridad y cuerpos de emergencia en la comunidad de Dendhó, en el municipio de Atitalaquia, tras el hallazgo de un hombre sin vida sobre la vía pública. De acuerdo con los primeros reportes, el hecho fue notificado en la calle Morelos, donde vecinos alertaron a las autoridades sobre la presencia de una persona inconsciente. Al arribar al lugar, elementos de seguridad y personal de emergencia confirmaron que la víctima ya no contaba con signos vitales. De manera preliminar, se informó que se trata de un hombre de aproximadamente 25 años de edad</t>
  </si>
  <si>
    <t>Los municipios de Progreso de Obregón y Tezontepec de Aldama se van a incorporar al esquema de mando coordinado de la Secretaría de Seguridad Pública de Hidalgo, así lo informó el Secretario de Seguridad Estatal, Salvador Cruz Neri. La decisión se produce luego de diversos acontecimientos que han impactado a las corporaciones locales, en el caso de Progreso de Obregón, usted recuerda varios policías fueron detenidos por su presunta participación en delitos relacionados con homicidio y lesiones, mientras que en Tezontepec de Aldama se desarrollan investigaciones vinculadas con presuntos delitos de narcomenudeo y posesión ilegal de armas, de acuerdo con Cruz Neri la incorporación al mando coordinado permitirá fortalecer la coordinación entre autoridades estatales y municipales, además de reforzar los mecanismos de supervisión, operación y estrategia policial en ambas localidades. AUDIO DE APOYO.</t>
  </si>
  <si>
    <t>Radioescucha Sr. Paderes pregunta: ¿Las unidades de Tuzobús cuentan con controlador que pueda ver cómo van?</t>
  </si>
  <si>
    <t>A una semana que inicie la Copa Mundial de Futbol 2026, la Secretaría de Educación Pública de Hidalgo (SEPH) descartó que se vayan a suspender clases en las escuelas de la entidad por la ceremonia de inauguración que está programada antes del mediodía del 11 de junio.En días recientes el gobierno de la Ciudad de México anunció que el próximo jueves 11 de junio se suspenderán clases en educación preescolar, primaria, secundaria y media superior de la capital del país debido al partido inaugural que jugarán las selecciones de México y Sudáfrica, que se llevará a cabo en el estadio Banorte.</t>
  </si>
  <si>
    <t>Mundial Mujeres Libres desafía roles y estereotipos de género en Hidalgo, AUDIO APOYO</t>
  </si>
  <si>
    <t>El gobernador Julio Menchaca Salazar fue cuestionado sobre los reportes relacionados con presuntas patrullas piratas de la Guardia Nacional que se han visto detectadas circulando en la región de Tulancingo, y sobre la carretera Pachuca-Tulancingo al respecto. El mandatario estatal fijó su postura y se refirió a las acciones que se han emprendido para atender esta situación y garantizar la seguridad de la población.“Hay una reunión, primero, todos los lunes tengo gabinete de seguridad con el secretario de gobierno, secretario de seguridad pública, y el procurador. Y los martes y jueves hay un gabinete de seguridad con Guardia Nacional y con la decimoctava zona militar, con las áreas de inteligencia, y estamos muy en comunicación. Desafortunadamente ese fenómeno sí se ha dado, no solamente en el estado, hay pillos que han utilizado esto, pero también quiero decirles que tenemos registro de quienes los hemos identificado y han sido detenidos y puestos a disposición. O sea, aquí importa mucho la denuncia ciudadana. Cuando nos han dicho a tiempo que han sido, aunque ya tenemos un sistema muy robusto de C5 y de la 911, es muy importante que cuando se detecte esto nos estén comunicando. Es muy fácil, es el 911, y entonces podremos estar dando una pronta respuesta." AUDIO DE APOYO</t>
  </si>
  <si>
    <t>Patrulla pirata</t>
  </si>
  <si>
    <t>El municipio de Chilcuautla formalizó la instalación de su Procuraduría Municipal de Protección de Niñas, Niños y Adolescentes, convirtiéndose en uno de los ayuntamientos que se incorporan a la estrategia estatal para fortalecer la atención y defensa de los derechos de la infancia. Durante la ceremonia, la presidenta del Patronato del Sistema DIF Hidalgo, Edda Vite Ramos, destacó que estas instancias permitirán acercar los mecanismos de protección a las comunidades y agilizar la atención de casos relacionados con la vulneración de derechos de niñas, niños y adolescentes. De acuerdo con información del DIF estatal, más de 59 municipios ya cuentan con los equipos multidisciplinarios requeridos para operar estas instancias, integrados por personal jurídico, psicológico y de trabajo social, mientras que el resto continúa en proceso de adecuación. Las nuevas procuradurías sustituyen a las antiguas unidades de primer contacto y tendrán la responsabilidad de brindar atención especializada, acompañamiento y seguimiento a casos que involucren a menores de edad, con el propósito de reducir tiempos de respuesta y fortalecer la restitución de derechos en cada municipio</t>
  </si>
  <si>
    <t>En una entrevista con medios de comunicación, el gobernador de Hidalgo, Julio Menchaca Salazar, declaró que debemos honrar los cargos para los que fuimos elegidos por la gente, esto respecto a la polémica generada por el síndico procurador de Singilucan, Donato Ramírez, quien fue exhibido en redes sociales por presuntamente lanzar amenazas e insultos durante un altercado ocurrido en días recientes, AUDIO JMS</t>
  </si>
  <si>
    <t>“Seguimos en la ruta; vamos a redoblar esfuerzos”, sostiene Julio Menchaca.</t>
  </si>
  <si>
    <t>Julio Menchaca verifica avance de la carretera Cuautepec-Tulancingo, AUDIO APOYO</t>
  </si>
  <si>
    <t>Después de estas rutas de la transformación, pues, el gobernador de Hidalgo, Julio Menchaca Salazar, sostuvo un encuentro con medios de comunicación donde fue cuestionado sobre la controversia que involucra al síndico procurador de Singuilucan, Donato Ramírez Olvera. Usted recuerda esta difusión de un video en redes sociales en el que, presuntamente, se observa al funcionario municipal amenazando a un grupo de jóvenes. Posteriormente, el propio síndico, Donato Ramírez Olvera, emitió un mensaje público ofreciendo disculpas por lo ocurrido.Las declaraciones del gobernador se producen en medio de la exigencia de integrantes del Cabildo de Singuilucan, quienes promovieron una queja formal ante la Contraloría Municipal para que se investiguen los hechos y se determine si existe responsabilidad administrativa por parte del funcionario, e incluso, se analice su permanencia en el cargo. Seguirá conducto adecuado, y eso es una decisión que particularmente le toca a otras áreas. Si es un área política, pues le tocará al partido por el cual está en esa responsabilidad, y si generó una conducta que pueda llegar a ser un tipo penal, como amenaza de muerte, pues en las personas que se sientan agraviadas, que presenten sus denuncias, es un acto muy desafortunado, y no abona a la imagen de los servidores públicos. Desde mi punto de vista, debemos honrar los cargos en que la gente, la ciudadanía, nos eligió, y debemos de conducirnos de la mejor manera posible. Nos merecemos respeto, y hoy, ante una sociedad frenética por muchas cosas, por el estrés, por los problemas, por las redes sociales, por tanta información que nos llega, pues debemos tener serenidad, calma, dignidad, y comportarnos de una mejor manera. No abonemos a que exista el encono, y ese tipo de cosas, no ayudan en nada. Entonces es una invitación a que disfrutemos la vida, que respetemos a las personas, y que honremos el cargo, cualquier responsabilidad, que nos honremos como personas. AUDIO DE APOYO</t>
  </si>
  <si>
    <t>El gobernador de Hidalgo, Julio Menchaca Salazar, encabezó una nueva jornada en las rutas de la transformación en el municipio de Santiago Tulantepec, donde acercó diversos apoyos gubernamentales y servicios a la población a través del programa Servicios para el Pueblo.Me da muchísimo gusto estar por quinta ocasión como gobernador del estado en Santiago Tulantepec y hacer un reconocimiento al esfuerzo que hacen sus habitantes junto con su presidenta municipal a la que agradezco la anfitrionía, sé del enorme esfuerzo que realiza la presidenta, sus regidores, su ayuntamiento, su equipo de trabajo y esto es identificar que trabajar en equipo siempre da buenos resultados. Y en las rutas de la transformación, que es este ejercicio de dar cuentas, tenemos un ejército de más de 30 mil personas en los comités de la Contraloría, en los comités de la obra pública. Por su parte, el secretario de Infraestructura Pública y Desarrollo Urbano Sostenible, Alejandro Sánchez García, detalló las inversiones realizadas en Santiago Tulantepec. Casi tres años y medio en lo que va de la administración del gobernador Julio Menchaca. AUDIO DE APOYO</t>
  </si>
  <si>
    <t>Radioescucha Sr. Juan reporta que los semáforos de Prismas y Nuevo Hidalgo con dirección a Tulipanes, ya que no funcionan bien</t>
  </si>
  <si>
    <t>Y los dos hombres, señalados por su presunta participación en el robo de 1.3 millones de pesos a un cuentahabiente el viernes pasado en Pachuca, ya fueron vinculados a proceso, luego de que un juez de control consideró que existen elementos suficientes para que continúe el procedimiento penal en su contra. Durante la continuación de la audiencia inicial celebrada ayer, el juez de control resolvió iniciar proceso penal contra los imputados identificados con las iniciales G.H.A.G. y E.M.A. por su probable responsabilidad en los delitos de asalto agravado y robo.La determinación judicial se produjo tras el análisis de los datos de prueba presentados por el Ministerio Público, así como los argumentos expuestos por la defensa de los acusados. Como parte de la resolución, el juzgador determinó mantener la medida cautelar de prisión preventiva justificada, por lo que ambos permanecerán internados en el Cereso de Pachuca mientras continúan las investigaciones.</t>
  </si>
  <si>
    <t>Vinculación A Proceso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</si>
</sst>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0" tableType="queryTable" totalsRowShown="0">
  <autoFilter ref="A1:M21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0"/>
  <sheetViews>
    <sheetView tabSelected="1" topLeftCell="A73" workbookViewId="0">
      <selection activeCell="D90" sqref="D90"/>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35</v>
      </c>
      <c r="C1" t="s">
        <v>36</v>
      </c>
      <c r="D1" t="s">
        <v>37</v>
      </c>
      <c r="E1" t="s">
        <v>1</v>
      </c>
      <c r="F1" t="s">
        <v>2</v>
      </c>
      <c r="G1" t="s">
        <v>4</v>
      </c>
      <c r="H1" t="s">
        <v>3</v>
      </c>
      <c r="I1" t="s">
        <v>5</v>
      </c>
      <c r="J1" t="s">
        <v>38</v>
      </c>
      <c r="K1" t="s">
        <v>39</v>
      </c>
      <c r="L1" t="s">
        <v>40</v>
      </c>
      <c r="M1" t="s">
        <v>47</v>
      </c>
    </row>
    <row r="2" spans="1:13" x14ac:dyDescent="0.25">
      <c r="A2" s="2">
        <v>46177</v>
      </c>
      <c r="B2" s="1" t="str">
        <f ca="1">IF(Información1[[#This Row],[Fecha]]='Ajuste de fechas'!$A$2,"Día actual","Día anterior")</f>
        <v>Día anterior</v>
      </c>
      <c r="C2" s="3" t="s">
        <v>8</v>
      </c>
      <c r="D2" t="s">
        <v>10</v>
      </c>
      <c r="E2" s="3" t="s">
        <v>109</v>
      </c>
      <c r="F2" s="3" t="s">
        <v>6</v>
      </c>
      <c r="G2" s="3" t="s">
        <v>102</v>
      </c>
      <c r="H2" s="3" t="s">
        <v>11</v>
      </c>
      <c r="I2" s="3" t="s">
        <v>25</v>
      </c>
      <c r="J2" s="3" t="s">
        <v>41</v>
      </c>
      <c r="K2" s="3" t="s">
        <v>9</v>
      </c>
      <c r="L2" s="3" t="s">
        <v>43</v>
      </c>
      <c r="M2">
        <v>1</v>
      </c>
    </row>
    <row r="3" spans="1:13" x14ac:dyDescent="0.25">
      <c r="A3" s="2">
        <v>46177</v>
      </c>
      <c r="B3" s="1" t="str">
        <f ca="1">IF(Información1[[#This Row],[Fecha]]='Ajuste de fechas'!$A$2,"Día actual","Día anterior")</f>
        <v>Día anterior</v>
      </c>
      <c r="C3" s="3" t="s">
        <v>8</v>
      </c>
      <c r="D3" t="s">
        <v>10</v>
      </c>
      <c r="E3" s="3" t="s">
        <v>82</v>
      </c>
      <c r="F3" s="3" t="s">
        <v>60</v>
      </c>
      <c r="G3" s="3" t="s">
        <v>83</v>
      </c>
      <c r="H3" s="3" t="s">
        <v>11</v>
      </c>
      <c r="I3" s="3" t="s">
        <v>7</v>
      </c>
      <c r="J3" s="3" t="s">
        <v>41</v>
      </c>
      <c r="K3" s="3" t="s">
        <v>14</v>
      </c>
      <c r="L3" s="3" t="s">
        <v>44</v>
      </c>
      <c r="M3">
        <v>1</v>
      </c>
    </row>
    <row r="4" spans="1:13" x14ac:dyDescent="0.25">
      <c r="A4" s="2">
        <v>46177</v>
      </c>
      <c r="B4" s="1" t="str">
        <f ca="1">IF(Información1[[#This Row],[Fecha]]='Ajuste de fechas'!$A$2,"Día actual","Día anterior")</f>
        <v>Día anterior</v>
      </c>
      <c r="C4" s="3" t="s">
        <v>28</v>
      </c>
      <c r="D4" t="s">
        <v>30</v>
      </c>
      <c r="E4" s="3" t="s">
        <v>110</v>
      </c>
      <c r="F4" s="3" t="s">
        <v>59</v>
      </c>
      <c r="G4" s="3" t="s">
        <v>103</v>
      </c>
      <c r="H4" s="3" t="s">
        <v>11</v>
      </c>
      <c r="I4" s="3" t="s">
        <v>7</v>
      </c>
      <c r="J4" s="3" t="s">
        <v>24</v>
      </c>
      <c r="K4" s="3" t="s">
        <v>29</v>
      </c>
      <c r="L4" s="3" t="s">
        <v>42</v>
      </c>
      <c r="M4">
        <v>1</v>
      </c>
    </row>
    <row r="5" spans="1:13" x14ac:dyDescent="0.25">
      <c r="A5" s="2">
        <v>46177</v>
      </c>
      <c r="B5" s="1" t="str">
        <f ca="1">IF(Información1[[#This Row],[Fecha]]='Ajuste de fechas'!$A$2,"Día actual","Día anterior")</f>
        <v>Día anterior</v>
      </c>
      <c r="C5" s="3" t="s">
        <v>28</v>
      </c>
      <c r="D5" t="s">
        <v>30</v>
      </c>
      <c r="E5" s="3" t="s">
        <v>111</v>
      </c>
      <c r="F5" s="3" t="s">
        <v>19</v>
      </c>
      <c r="G5" s="3" t="s">
        <v>112</v>
      </c>
      <c r="H5" s="3" t="s">
        <v>11</v>
      </c>
      <c r="I5" s="3" t="s">
        <v>7</v>
      </c>
      <c r="J5" s="3" t="s">
        <v>45</v>
      </c>
      <c r="K5" s="3" t="s">
        <v>29</v>
      </c>
      <c r="L5" s="3" t="s">
        <v>42</v>
      </c>
      <c r="M5">
        <v>1</v>
      </c>
    </row>
    <row r="6" spans="1:13" x14ac:dyDescent="0.25">
      <c r="A6" s="2">
        <v>46177</v>
      </c>
      <c r="B6" s="1" t="str">
        <f ca="1">IF(Información1[[#This Row],[Fecha]]='Ajuste de fechas'!$A$2,"Día actual","Día anterior")</f>
        <v>Día anterior</v>
      </c>
      <c r="C6" s="3" t="s">
        <v>28</v>
      </c>
      <c r="D6" t="s">
        <v>84</v>
      </c>
      <c r="E6" s="3" t="s">
        <v>113</v>
      </c>
      <c r="F6" s="3" t="s">
        <v>114</v>
      </c>
      <c r="G6" s="3" t="s">
        <v>115</v>
      </c>
      <c r="H6" s="3" t="s">
        <v>11</v>
      </c>
      <c r="I6" s="3" t="s">
        <v>7</v>
      </c>
      <c r="J6" s="3" t="s">
        <v>41</v>
      </c>
      <c r="K6" s="3" t="s">
        <v>85</v>
      </c>
      <c r="L6" s="3" t="s">
        <v>44</v>
      </c>
      <c r="M6">
        <v>1</v>
      </c>
    </row>
    <row r="7" spans="1:13" x14ac:dyDescent="0.25">
      <c r="A7" s="2">
        <v>46177</v>
      </c>
      <c r="B7" s="1" t="str">
        <f ca="1">IF(Información1[[#This Row],[Fecha]]='Ajuste de fechas'!$A$2,"Día actual","Día anterior")</f>
        <v>Día anterior</v>
      </c>
      <c r="C7" s="3" t="s">
        <v>90</v>
      </c>
      <c r="D7" t="s">
        <v>91</v>
      </c>
      <c r="E7" s="3" t="s">
        <v>116</v>
      </c>
      <c r="F7" s="3" t="s">
        <v>114</v>
      </c>
      <c r="G7" s="3" t="s">
        <v>115</v>
      </c>
      <c r="H7" s="3" t="s">
        <v>11</v>
      </c>
      <c r="I7" s="3" t="s">
        <v>7</v>
      </c>
      <c r="J7" s="3" t="s">
        <v>41</v>
      </c>
      <c r="K7" s="3" t="s">
        <v>92</v>
      </c>
      <c r="L7" s="3" t="s">
        <v>44</v>
      </c>
      <c r="M7">
        <v>1</v>
      </c>
    </row>
    <row r="8" spans="1:13" x14ac:dyDescent="0.25">
      <c r="A8" s="2">
        <v>46177</v>
      </c>
      <c r="B8" s="1" t="str">
        <f ca="1">IF(Información1[[#This Row],[Fecha]]='Ajuste de fechas'!$A$2,"Día actual","Día anterior")</f>
        <v>Día anterior</v>
      </c>
      <c r="C8" s="3" t="s">
        <v>28</v>
      </c>
      <c r="D8" t="s">
        <v>84</v>
      </c>
      <c r="E8" s="3" t="s">
        <v>117</v>
      </c>
      <c r="F8" s="3" t="s">
        <v>22</v>
      </c>
      <c r="G8" s="3" t="s">
        <v>118</v>
      </c>
      <c r="H8" s="3" t="s">
        <v>11</v>
      </c>
      <c r="I8" s="3" t="s">
        <v>7</v>
      </c>
      <c r="J8" s="3" t="s">
        <v>46</v>
      </c>
      <c r="K8" s="3" t="s">
        <v>85</v>
      </c>
      <c r="L8" s="3" t="s">
        <v>42</v>
      </c>
      <c r="M8">
        <v>1</v>
      </c>
    </row>
    <row r="9" spans="1:13" x14ac:dyDescent="0.25">
      <c r="A9" s="2">
        <v>46177</v>
      </c>
      <c r="B9" s="1" t="str">
        <f ca="1">IF(Información1[[#This Row],[Fecha]]='Ajuste de fechas'!$A$2,"Día actual","Día anterior")</f>
        <v>Día anterior</v>
      </c>
      <c r="C9" s="3" t="s">
        <v>28</v>
      </c>
      <c r="D9" t="s">
        <v>84</v>
      </c>
      <c r="E9" s="3" t="s">
        <v>119</v>
      </c>
      <c r="F9" s="3" t="s">
        <v>59</v>
      </c>
      <c r="G9" s="3" t="s">
        <v>80</v>
      </c>
      <c r="H9" s="3" t="s">
        <v>11</v>
      </c>
      <c r="I9" s="3" t="s">
        <v>7</v>
      </c>
      <c r="J9" s="3" t="s">
        <v>24</v>
      </c>
      <c r="K9" s="3" t="s">
        <v>85</v>
      </c>
      <c r="L9" s="3" t="s">
        <v>42</v>
      </c>
      <c r="M9">
        <v>1</v>
      </c>
    </row>
    <row r="10" spans="1:13" x14ac:dyDescent="0.25">
      <c r="A10" s="2">
        <v>46177</v>
      </c>
      <c r="B10" s="1" t="str">
        <f ca="1">IF(Información1[[#This Row],[Fecha]]='Ajuste de fechas'!$A$2,"Día actual","Día anterior")</f>
        <v>Día anterior</v>
      </c>
      <c r="C10" s="3" t="s">
        <v>28</v>
      </c>
      <c r="D10" t="s">
        <v>30</v>
      </c>
      <c r="E10" s="3" t="s">
        <v>120</v>
      </c>
      <c r="F10" s="3" t="s">
        <v>19</v>
      </c>
      <c r="G10" s="3" t="s">
        <v>121</v>
      </c>
      <c r="H10" s="3" t="s">
        <v>11</v>
      </c>
      <c r="I10" s="3" t="s">
        <v>7</v>
      </c>
      <c r="J10" s="3" t="s">
        <v>45</v>
      </c>
      <c r="K10" s="3" t="s">
        <v>29</v>
      </c>
      <c r="L10" s="3" t="s">
        <v>42</v>
      </c>
      <c r="M10">
        <v>1</v>
      </c>
    </row>
    <row r="11" spans="1:13" x14ac:dyDescent="0.25">
      <c r="A11" s="2">
        <v>46177</v>
      </c>
      <c r="B11" s="1" t="str">
        <f ca="1">IF(Información1[[#This Row],[Fecha]]='Ajuste de fechas'!$A$2,"Día actual","Día anterior")</f>
        <v>Día anterior</v>
      </c>
      <c r="C11" s="3" t="s">
        <v>8</v>
      </c>
      <c r="D11" t="s">
        <v>10</v>
      </c>
      <c r="E11" s="3" t="s">
        <v>122</v>
      </c>
      <c r="F11" s="3" t="s">
        <v>19</v>
      </c>
      <c r="G11" s="3" t="s">
        <v>97</v>
      </c>
      <c r="H11" s="3" t="s">
        <v>11</v>
      </c>
      <c r="I11" s="3" t="s">
        <v>25</v>
      </c>
      <c r="J11" s="3" t="s">
        <v>45</v>
      </c>
      <c r="K11" s="3" t="s">
        <v>9</v>
      </c>
      <c r="L11" s="3" t="s">
        <v>43</v>
      </c>
      <c r="M11">
        <v>1</v>
      </c>
    </row>
    <row r="12" spans="1:13" x14ac:dyDescent="0.25">
      <c r="A12" s="2">
        <v>46177</v>
      </c>
      <c r="B12" s="1" t="str">
        <f ca="1">IF(Información1[[#This Row],[Fecha]]='Ajuste de fechas'!$A$2,"Día actual","Día anterior")</f>
        <v>Día anterior</v>
      </c>
      <c r="C12" s="3" t="s">
        <v>28</v>
      </c>
      <c r="D12" t="s">
        <v>30</v>
      </c>
      <c r="E12" s="3" t="s">
        <v>123</v>
      </c>
      <c r="F12" s="3" t="s">
        <v>21</v>
      </c>
      <c r="G12" s="3" t="s">
        <v>96</v>
      </c>
      <c r="H12" s="3" t="s">
        <v>11</v>
      </c>
      <c r="I12" s="3" t="s">
        <v>25</v>
      </c>
      <c r="J12" s="3" t="s">
        <v>41</v>
      </c>
      <c r="K12" s="3" t="s">
        <v>29</v>
      </c>
      <c r="L12" s="3" t="s">
        <v>42</v>
      </c>
      <c r="M12">
        <v>1</v>
      </c>
    </row>
    <row r="13" spans="1:13" x14ac:dyDescent="0.25">
      <c r="A13" s="2">
        <v>46177</v>
      </c>
      <c r="B13" s="1" t="str">
        <f ca="1">IF(Información1[[#This Row],[Fecha]]='Ajuste de fechas'!$A$2,"Día actual","Día anterior")</f>
        <v>Día anterior</v>
      </c>
      <c r="C13" s="3" t="s">
        <v>28</v>
      </c>
      <c r="D13" t="s">
        <v>84</v>
      </c>
      <c r="E13" s="3" t="s">
        <v>124</v>
      </c>
      <c r="F13" s="3" t="s">
        <v>67</v>
      </c>
      <c r="G13" s="3" t="s">
        <v>125</v>
      </c>
      <c r="H13" s="3" t="s">
        <v>11</v>
      </c>
      <c r="I13" s="3" t="s">
        <v>7</v>
      </c>
      <c r="J13" s="3" t="s">
        <v>41</v>
      </c>
      <c r="K13" s="3" t="s">
        <v>85</v>
      </c>
      <c r="L13" s="3" t="s">
        <v>42</v>
      </c>
      <c r="M13">
        <v>1</v>
      </c>
    </row>
    <row r="14" spans="1:13" x14ac:dyDescent="0.25">
      <c r="A14" s="2">
        <v>46177</v>
      </c>
      <c r="B14" s="1" t="str">
        <f ca="1">IF(Información1[[#This Row],[Fecha]]='Ajuste de fechas'!$A$2,"Día actual","Día anterior")</f>
        <v>Día anterior</v>
      </c>
      <c r="C14" s="3" t="s">
        <v>28</v>
      </c>
      <c r="D14" t="s">
        <v>84</v>
      </c>
      <c r="E14" s="3" t="s">
        <v>126</v>
      </c>
      <c r="F14" s="3" t="s">
        <v>67</v>
      </c>
      <c r="G14" s="3" t="s">
        <v>125</v>
      </c>
      <c r="H14" s="3" t="s">
        <v>11</v>
      </c>
      <c r="I14" s="3" t="s">
        <v>7</v>
      </c>
      <c r="J14" s="3" t="s">
        <v>41</v>
      </c>
      <c r="K14" s="3" t="s">
        <v>85</v>
      </c>
      <c r="L14" s="3" t="s">
        <v>44</v>
      </c>
      <c r="M14">
        <v>1</v>
      </c>
    </row>
    <row r="15" spans="1:13" x14ac:dyDescent="0.25">
      <c r="A15" s="2">
        <v>46177</v>
      </c>
      <c r="B15" s="1" t="str">
        <f ca="1">IF(Información1[[#This Row],[Fecha]]='Ajuste de fechas'!$A$2,"Día actual","Día anterior")</f>
        <v>Día anterior</v>
      </c>
      <c r="C15" s="3" t="s">
        <v>28</v>
      </c>
      <c r="D15" t="s">
        <v>84</v>
      </c>
      <c r="E15" s="3" t="s">
        <v>127</v>
      </c>
      <c r="F15" s="3" t="s">
        <v>19</v>
      </c>
      <c r="G15" s="3" t="s">
        <v>128</v>
      </c>
      <c r="H15" s="3" t="s">
        <v>11</v>
      </c>
      <c r="I15" s="3" t="s">
        <v>7</v>
      </c>
      <c r="J15" s="3" t="s">
        <v>45</v>
      </c>
      <c r="K15" s="3" t="s">
        <v>85</v>
      </c>
      <c r="L15" s="3" t="s">
        <v>42</v>
      </c>
      <c r="M15">
        <v>1</v>
      </c>
    </row>
    <row r="16" spans="1:13" x14ac:dyDescent="0.25">
      <c r="A16" s="2">
        <v>46177</v>
      </c>
      <c r="B16" s="1" t="str">
        <f ca="1">IF(Información1[[#This Row],[Fecha]]='Ajuste de fechas'!$A$2,"Día actual","Día anterior")</f>
        <v>Día anterior</v>
      </c>
      <c r="C16" s="3" t="s">
        <v>8</v>
      </c>
      <c r="D16" t="s">
        <v>10</v>
      </c>
      <c r="E16" s="3" t="s">
        <v>129</v>
      </c>
      <c r="F16" s="3" t="s">
        <v>6</v>
      </c>
      <c r="G16" s="3" t="s">
        <v>130</v>
      </c>
      <c r="H16" s="3" t="s">
        <v>11</v>
      </c>
      <c r="I16" s="3" t="s">
        <v>7</v>
      </c>
      <c r="J16" s="3" t="s">
        <v>41</v>
      </c>
      <c r="K16" s="3" t="s">
        <v>14</v>
      </c>
      <c r="L16" s="3" t="s">
        <v>44</v>
      </c>
      <c r="M16">
        <v>1</v>
      </c>
    </row>
    <row r="17" spans="1:13" x14ac:dyDescent="0.25">
      <c r="A17" s="2">
        <v>46177</v>
      </c>
      <c r="B17" s="1" t="str">
        <f ca="1">IF(Información1[[#This Row],[Fecha]]='Ajuste de fechas'!$A$2,"Día actual","Día anterior")</f>
        <v>Día anterior</v>
      </c>
      <c r="C17" s="3" t="s">
        <v>28</v>
      </c>
      <c r="D17" t="s">
        <v>30</v>
      </c>
      <c r="E17" s="3" t="s">
        <v>131</v>
      </c>
      <c r="F17" s="3" t="s">
        <v>33</v>
      </c>
      <c r="G17" s="3" t="s">
        <v>132</v>
      </c>
      <c r="H17" s="3" t="s">
        <v>11</v>
      </c>
      <c r="I17" s="3" t="s">
        <v>7</v>
      </c>
      <c r="J17" s="3" t="s">
        <v>41</v>
      </c>
      <c r="K17" s="3" t="s">
        <v>29</v>
      </c>
      <c r="L17" s="3" t="s">
        <v>42</v>
      </c>
      <c r="M17">
        <v>1</v>
      </c>
    </row>
    <row r="18" spans="1:13" x14ac:dyDescent="0.25">
      <c r="A18" s="2">
        <v>46177</v>
      </c>
      <c r="B18" s="1" t="str">
        <f ca="1">IF(Información1[[#This Row],[Fecha]]='Ajuste de fechas'!$A$2,"Día actual","Día anterior")</f>
        <v>Día anterior</v>
      </c>
      <c r="C18" s="3" t="s">
        <v>8</v>
      </c>
      <c r="D18" t="s">
        <v>10</v>
      </c>
      <c r="E18" s="3" t="s">
        <v>133</v>
      </c>
      <c r="F18" s="3" t="s">
        <v>19</v>
      </c>
      <c r="G18" s="3" t="s">
        <v>134</v>
      </c>
      <c r="H18" s="3" t="s">
        <v>11</v>
      </c>
      <c r="I18" s="3" t="s">
        <v>7</v>
      </c>
      <c r="J18" s="3" t="s">
        <v>45</v>
      </c>
      <c r="K18" s="3" t="s">
        <v>14</v>
      </c>
      <c r="L18" s="3" t="s">
        <v>42</v>
      </c>
      <c r="M18">
        <v>1</v>
      </c>
    </row>
    <row r="19" spans="1:13" x14ac:dyDescent="0.25">
      <c r="A19" s="2">
        <v>46177</v>
      </c>
      <c r="B19" s="1" t="str">
        <f ca="1">IF(Información1[[#This Row],[Fecha]]='Ajuste de fechas'!$A$2,"Día actual","Día anterior")</f>
        <v>Día anterior</v>
      </c>
      <c r="C19" s="3" t="s">
        <v>8</v>
      </c>
      <c r="D19" t="s">
        <v>10</v>
      </c>
      <c r="E19" s="3" t="s">
        <v>135</v>
      </c>
      <c r="F19" s="3" t="s">
        <v>17</v>
      </c>
      <c r="G19" s="3" t="s">
        <v>65</v>
      </c>
      <c r="H19" s="3" t="s">
        <v>11</v>
      </c>
      <c r="I19" s="3" t="s">
        <v>25</v>
      </c>
      <c r="J19" s="3" t="s">
        <v>41</v>
      </c>
      <c r="K19" s="3" t="s">
        <v>9</v>
      </c>
      <c r="L19" s="3" t="s">
        <v>43</v>
      </c>
      <c r="M19">
        <v>1</v>
      </c>
    </row>
    <row r="20" spans="1:13" x14ac:dyDescent="0.25">
      <c r="A20" s="2">
        <v>46177</v>
      </c>
      <c r="B20" s="1" t="str">
        <f ca="1">IF(Información1[[#This Row],[Fecha]]='Ajuste de fechas'!$A$2,"Día actual","Día anterior")</f>
        <v>Día anterior</v>
      </c>
      <c r="C20" s="3" t="s">
        <v>8</v>
      </c>
      <c r="D20" t="s">
        <v>10</v>
      </c>
      <c r="E20" s="3" t="s">
        <v>136</v>
      </c>
      <c r="F20" s="3" t="s">
        <v>59</v>
      </c>
      <c r="G20" s="3" t="s">
        <v>137</v>
      </c>
      <c r="H20" s="3" t="s">
        <v>11</v>
      </c>
      <c r="I20" s="3" t="s">
        <v>7</v>
      </c>
      <c r="J20" s="3" t="s">
        <v>24</v>
      </c>
      <c r="K20" s="3" t="s">
        <v>14</v>
      </c>
      <c r="L20" s="3" t="s">
        <v>42</v>
      </c>
      <c r="M20">
        <v>1</v>
      </c>
    </row>
    <row r="21" spans="1:13" x14ac:dyDescent="0.25">
      <c r="A21" s="2">
        <v>46177</v>
      </c>
      <c r="B21" s="1" t="str">
        <f ca="1">IF(Información1[[#This Row],[Fecha]]='Ajuste de fechas'!$A$2,"Día actual","Día anterior")</f>
        <v>Día anterior</v>
      </c>
      <c r="C21" s="3" t="s">
        <v>28</v>
      </c>
      <c r="D21" t="s">
        <v>30</v>
      </c>
      <c r="E21" s="3" t="s">
        <v>138</v>
      </c>
      <c r="F21" s="3" t="s">
        <v>24</v>
      </c>
      <c r="G21" s="3" t="s">
        <v>73</v>
      </c>
      <c r="H21" s="3" t="s">
        <v>11</v>
      </c>
      <c r="I21" s="3" t="s">
        <v>7</v>
      </c>
      <c r="J21" s="3" t="s">
        <v>24</v>
      </c>
      <c r="K21" s="3" t="s">
        <v>29</v>
      </c>
      <c r="L21" s="3" t="s">
        <v>42</v>
      </c>
      <c r="M21">
        <v>1</v>
      </c>
    </row>
    <row r="22" spans="1:13" x14ac:dyDescent="0.25">
      <c r="A22" s="2">
        <v>46177</v>
      </c>
      <c r="B22" s="1" t="str">
        <f ca="1">IF(Información1[[#This Row],[Fecha]]='Ajuste de fechas'!$A$2,"Día actual","Día anterior")</f>
        <v>Día anterior</v>
      </c>
      <c r="C22" s="3" t="s">
        <v>8</v>
      </c>
      <c r="D22" t="s">
        <v>10</v>
      </c>
      <c r="E22" s="3" t="s">
        <v>94</v>
      </c>
      <c r="F22" s="3" t="s">
        <v>6</v>
      </c>
      <c r="G22" s="3" t="s">
        <v>139</v>
      </c>
      <c r="H22" s="3" t="s">
        <v>11</v>
      </c>
      <c r="I22" s="3" t="s">
        <v>25</v>
      </c>
      <c r="J22" s="3" t="s">
        <v>41</v>
      </c>
      <c r="K22" s="3" t="s">
        <v>9</v>
      </c>
      <c r="L22" s="3" t="s">
        <v>43</v>
      </c>
      <c r="M22">
        <v>1</v>
      </c>
    </row>
    <row r="23" spans="1:13" x14ac:dyDescent="0.25">
      <c r="A23" s="2">
        <v>46177</v>
      </c>
      <c r="B23" s="1" t="str">
        <f ca="1">IF(Información1[[#This Row],[Fecha]]='Ajuste de fechas'!$A$2,"Día actual","Día anterior")</f>
        <v>Día anterior</v>
      </c>
      <c r="C23" s="3" t="s">
        <v>8</v>
      </c>
      <c r="D23" t="s">
        <v>10</v>
      </c>
      <c r="E23" s="3" t="s">
        <v>140</v>
      </c>
      <c r="F23" s="3" t="s">
        <v>6</v>
      </c>
      <c r="G23" s="3" t="s">
        <v>139</v>
      </c>
      <c r="H23" s="3" t="s">
        <v>11</v>
      </c>
      <c r="I23" s="3" t="s">
        <v>25</v>
      </c>
      <c r="J23" s="3" t="s">
        <v>41</v>
      </c>
      <c r="K23" s="3" t="s">
        <v>9</v>
      </c>
      <c r="L23" s="3" t="s">
        <v>43</v>
      </c>
      <c r="M23">
        <v>1</v>
      </c>
    </row>
    <row r="24" spans="1:13" x14ac:dyDescent="0.25">
      <c r="A24" s="2">
        <v>46177</v>
      </c>
      <c r="B24" s="1" t="str">
        <f ca="1">IF(Información1[[#This Row],[Fecha]]='Ajuste de fechas'!$A$2,"Día actual","Día anterior")</f>
        <v>Día anterior</v>
      </c>
      <c r="C24" s="3" t="s">
        <v>8</v>
      </c>
      <c r="D24" t="s">
        <v>10</v>
      </c>
      <c r="E24" s="3" t="s">
        <v>141</v>
      </c>
      <c r="F24" s="3" t="s">
        <v>6</v>
      </c>
      <c r="G24" s="3" t="s">
        <v>139</v>
      </c>
      <c r="H24" s="3" t="s">
        <v>11</v>
      </c>
      <c r="I24" s="3" t="s">
        <v>25</v>
      </c>
      <c r="J24" s="3" t="s">
        <v>41</v>
      </c>
      <c r="K24" s="3" t="s">
        <v>9</v>
      </c>
      <c r="L24" s="3" t="s">
        <v>43</v>
      </c>
      <c r="M24">
        <v>1</v>
      </c>
    </row>
    <row r="25" spans="1:13" x14ac:dyDescent="0.25">
      <c r="A25" s="2">
        <v>46177</v>
      </c>
      <c r="B25" s="1" t="str">
        <f ca="1">IF(Información1[[#This Row],[Fecha]]='Ajuste de fechas'!$A$2,"Día actual","Día anterior")</f>
        <v>Día anterior</v>
      </c>
      <c r="C25" s="3" t="s">
        <v>28</v>
      </c>
      <c r="D25" t="s">
        <v>84</v>
      </c>
      <c r="E25" s="3" t="s">
        <v>142</v>
      </c>
      <c r="F25" s="3" t="s">
        <v>19</v>
      </c>
      <c r="G25" s="3" t="s">
        <v>143</v>
      </c>
      <c r="H25" s="3" t="s">
        <v>11</v>
      </c>
      <c r="I25" s="3" t="s">
        <v>25</v>
      </c>
      <c r="J25" s="3" t="s">
        <v>45</v>
      </c>
      <c r="K25" s="3" t="s">
        <v>85</v>
      </c>
      <c r="L25" s="3" t="s">
        <v>42</v>
      </c>
      <c r="M25">
        <v>1</v>
      </c>
    </row>
    <row r="26" spans="1:13" x14ac:dyDescent="0.25">
      <c r="A26" s="2">
        <v>46177</v>
      </c>
      <c r="B26" s="1" t="str">
        <f ca="1">IF(Información1[[#This Row],[Fecha]]='Ajuste de fechas'!$A$2,"Día actual","Día anterior")</f>
        <v>Día anterior</v>
      </c>
      <c r="C26" s="3" t="s">
        <v>28</v>
      </c>
      <c r="D26" t="s">
        <v>30</v>
      </c>
      <c r="E26" s="3" t="s">
        <v>144</v>
      </c>
      <c r="F26" s="3" t="s">
        <v>51</v>
      </c>
      <c r="G26" s="3" t="s">
        <v>145</v>
      </c>
      <c r="H26" s="3" t="s">
        <v>11</v>
      </c>
      <c r="I26" s="3" t="s">
        <v>25</v>
      </c>
      <c r="J26" s="3" t="s">
        <v>41</v>
      </c>
      <c r="K26" s="3" t="s">
        <v>29</v>
      </c>
      <c r="L26" s="3" t="s">
        <v>42</v>
      </c>
      <c r="M26">
        <v>1</v>
      </c>
    </row>
    <row r="27" spans="1:13" x14ac:dyDescent="0.25">
      <c r="A27" s="2">
        <v>46177</v>
      </c>
      <c r="B27" s="1" t="str">
        <f ca="1">IF(Información1[[#This Row],[Fecha]]='Ajuste de fechas'!$A$2,"Día actual","Día anterior")</f>
        <v>Día anterior</v>
      </c>
      <c r="C27" s="3" t="s">
        <v>8</v>
      </c>
      <c r="D27" t="s">
        <v>10</v>
      </c>
      <c r="E27" s="3" t="s">
        <v>146</v>
      </c>
      <c r="F27" s="3" t="s">
        <v>59</v>
      </c>
      <c r="G27" s="3" t="s">
        <v>147</v>
      </c>
      <c r="H27" s="3" t="s">
        <v>11</v>
      </c>
      <c r="I27" s="3" t="s">
        <v>7</v>
      </c>
      <c r="J27" s="3" t="s">
        <v>24</v>
      </c>
      <c r="K27" s="3" t="s">
        <v>14</v>
      </c>
      <c r="L27" s="3" t="s">
        <v>42</v>
      </c>
      <c r="M27">
        <v>1</v>
      </c>
    </row>
    <row r="28" spans="1:13" x14ac:dyDescent="0.25">
      <c r="A28" s="2">
        <v>46177</v>
      </c>
      <c r="B28" s="1" t="str">
        <f ca="1">IF(Información1[[#This Row],[Fecha]]='Ajuste de fechas'!$A$2,"Día actual","Día anterior")</f>
        <v>Día anterior</v>
      </c>
      <c r="C28" s="3" t="s">
        <v>28</v>
      </c>
      <c r="D28" t="s">
        <v>84</v>
      </c>
      <c r="E28" s="3" t="s">
        <v>148</v>
      </c>
      <c r="F28" s="3" t="s">
        <v>19</v>
      </c>
      <c r="G28" s="3" t="s">
        <v>75</v>
      </c>
      <c r="H28" s="3" t="s">
        <v>11</v>
      </c>
      <c r="I28" s="3" t="s">
        <v>7</v>
      </c>
      <c r="J28" s="3" t="s">
        <v>45</v>
      </c>
      <c r="K28" s="3" t="s">
        <v>85</v>
      </c>
      <c r="L28" s="3" t="s">
        <v>42</v>
      </c>
      <c r="M28">
        <v>1</v>
      </c>
    </row>
    <row r="29" spans="1:13" x14ac:dyDescent="0.25">
      <c r="A29" s="2">
        <v>46177</v>
      </c>
      <c r="B29" s="1" t="str">
        <f ca="1">IF(Información1[[#This Row],[Fecha]]='Ajuste de fechas'!$A$2,"Día actual","Día anterior")</f>
        <v>Día anterior</v>
      </c>
      <c r="C29" s="3" t="s">
        <v>28</v>
      </c>
      <c r="D29" t="s">
        <v>84</v>
      </c>
      <c r="E29" s="3" t="s">
        <v>149</v>
      </c>
      <c r="F29" s="3" t="s">
        <v>24</v>
      </c>
      <c r="G29" s="3" t="s">
        <v>93</v>
      </c>
      <c r="H29" s="3" t="s">
        <v>11</v>
      </c>
      <c r="I29" s="3" t="s">
        <v>7</v>
      </c>
      <c r="J29" s="3" t="s">
        <v>24</v>
      </c>
      <c r="K29" s="3" t="s">
        <v>85</v>
      </c>
      <c r="L29" s="3" t="s">
        <v>42</v>
      </c>
      <c r="M29">
        <v>1</v>
      </c>
    </row>
    <row r="30" spans="1:13" x14ac:dyDescent="0.25">
      <c r="A30" s="2">
        <v>46177</v>
      </c>
      <c r="B30" s="1" t="str">
        <f ca="1">IF(Información1[[#This Row],[Fecha]]='Ajuste de fechas'!$A$2,"Día actual","Día anterior")</f>
        <v>Día anterior</v>
      </c>
      <c r="C30" s="3" t="s">
        <v>28</v>
      </c>
      <c r="D30" t="s">
        <v>30</v>
      </c>
      <c r="E30" s="3" t="s">
        <v>150</v>
      </c>
      <c r="F30" s="3" t="s">
        <v>24</v>
      </c>
      <c r="G30" s="3" t="s">
        <v>93</v>
      </c>
      <c r="H30" s="3" t="s">
        <v>11</v>
      </c>
      <c r="I30" s="3" t="s">
        <v>7</v>
      </c>
      <c r="J30" s="3" t="s">
        <v>24</v>
      </c>
      <c r="K30" s="3" t="s">
        <v>29</v>
      </c>
      <c r="L30" s="3" t="s">
        <v>42</v>
      </c>
      <c r="M30">
        <v>1</v>
      </c>
    </row>
    <row r="31" spans="1:13" x14ac:dyDescent="0.25">
      <c r="A31" s="2">
        <v>46177</v>
      </c>
      <c r="B31" s="1" t="str">
        <f ca="1">IF(Información1[[#This Row],[Fecha]]='Ajuste de fechas'!$A$2,"Día actual","Día anterior")</f>
        <v>Día anterior</v>
      </c>
      <c r="C31" s="3" t="s">
        <v>28</v>
      </c>
      <c r="D31" t="s">
        <v>30</v>
      </c>
      <c r="E31" s="3" t="s">
        <v>151</v>
      </c>
      <c r="F31" s="3" t="s">
        <v>24</v>
      </c>
      <c r="G31" s="3" t="s">
        <v>152</v>
      </c>
      <c r="H31" s="3" t="s">
        <v>11</v>
      </c>
      <c r="I31" s="3" t="s">
        <v>7</v>
      </c>
      <c r="J31" s="3" t="s">
        <v>24</v>
      </c>
      <c r="K31" s="3" t="s">
        <v>29</v>
      </c>
      <c r="L31" s="3" t="s">
        <v>43</v>
      </c>
      <c r="M31">
        <v>1</v>
      </c>
    </row>
    <row r="32" spans="1:13" x14ac:dyDescent="0.25">
      <c r="A32" s="2">
        <v>46177</v>
      </c>
      <c r="B32" s="1" t="str">
        <f ca="1">IF(Información1[[#This Row],[Fecha]]='Ajuste de fechas'!$A$2,"Día actual","Día anterior")</f>
        <v>Día anterior</v>
      </c>
      <c r="C32" s="3" t="s">
        <v>8</v>
      </c>
      <c r="D32" t="s">
        <v>10</v>
      </c>
      <c r="E32" s="3" t="s">
        <v>153</v>
      </c>
      <c r="F32" s="3" t="s">
        <v>23</v>
      </c>
      <c r="G32" s="3" t="s">
        <v>154</v>
      </c>
      <c r="H32" s="3" t="s">
        <v>11</v>
      </c>
      <c r="I32" s="3" t="s">
        <v>7</v>
      </c>
      <c r="J32" s="3" t="s">
        <v>41</v>
      </c>
      <c r="K32" s="3" t="s">
        <v>14</v>
      </c>
      <c r="L32" s="3" t="s">
        <v>44</v>
      </c>
      <c r="M32">
        <v>1</v>
      </c>
    </row>
    <row r="33" spans="1:13" x14ac:dyDescent="0.25">
      <c r="A33" s="2">
        <v>46177</v>
      </c>
      <c r="B33" s="1" t="str">
        <f ca="1">IF(Información1[[#This Row],[Fecha]]='Ajuste de fechas'!$A$2,"Día actual","Día anterior")</f>
        <v>Día anterior</v>
      </c>
      <c r="C33" s="3" t="s">
        <v>8</v>
      </c>
      <c r="D33" t="s">
        <v>10</v>
      </c>
      <c r="E33" s="3" t="s">
        <v>20</v>
      </c>
      <c r="F33" s="3" t="s">
        <v>19</v>
      </c>
      <c r="G33" s="3" t="s">
        <v>34</v>
      </c>
      <c r="H33" s="3" t="s">
        <v>11</v>
      </c>
      <c r="I33" s="3" t="s">
        <v>12</v>
      </c>
      <c r="J33" s="3" t="s">
        <v>45</v>
      </c>
      <c r="K33" s="3" t="s">
        <v>14</v>
      </c>
      <c r="L33" s="3" t="s">
        <v>43</v>
      </c>
      <c r="M33">
        <v>1</v>
      </c>
    </row>
    <row r="34" spans="1:13" x14ac:dyDescent="0.25">
      <c r="A34" s="2">
        <v>46177</v>
      </c>
      <c r="B34" s="1" t="str">
        <f ca="1">IF(Información1[[#This Row],[Fecha]]='Ajuste de fechas'!$A$2,"Día actual","Día anterior")</f>
        <v>Día anterior</v>
      </c>
      <c r="C34" s="3" t="s">
        <v>8</v>
      </c>
      <c r="D34" t="s">
        <v>10</v>
      </c>
      <c r="E34" s="3" t="s">
        <v>18</v>
      </c>
      <c r="F34" s="3" t="s">
        <v>19</v>
      </c>
      <c r="G34" s="3" t="s">
        <v>34</v>
      </c>
      <c r="H34" s="3" t="s">
        <v>11</v>
      </c>
      <c r="I34" s="3" t="s">
        <v>12</v>
      </c>
      <c r="J34" s="3" t="s">
        <v>45</v>
      </c>
      <c r="K34" s="3" t="s">
        <v>14</v>
      </c>
      <c r="L34" s="3" t="s">
        <v>43</v>
      </c>
      <c r="M34">
        <v>1</v>
      </c>
    </row>
    <row r="35" spans="1:13" x14ac:dyDescent="0.25">
      <c r="A35" s="2">
        <v>46177</v>
      </c>
      <c r="B35" s="1" t="str">
        <f ca="1">IF(Información1[[#This Row],[Fecha]]='Ajuste de fechas'!$A$2,"Día actual","Día anterior")</f>
        <v>Día anterior</v>
      </c>
      <c r="C35" s="3" t="s">
        <v>8</v>
      </c>
      <c r="D35" t="s">
        <v>10</v>
      </c>
      <c r="E35" s="3" t="s">
        <v>155</v>
      </c>
      <c r="F35" s="3" t="s">
        <v>59</v>
      </c>
      <c r="G35" s="3" t="s">
        <v>34</v>
      </c>
      <c r="H35" s="3" t="s">
        <v>11</v>
      </c>
      <c r="I35" s="3" t="s">
        <v>12</v>
      </c>
      <c r="J35" s="3" t="s">
        <v>24</v>
      </c>
      <c r="K35" s="3" t="s">
        <v>14</v>
      </c>
      <c r="L35" s="3" t="s">
        <v>43</v>
      </c>
      <c r="M35">
        <v>1</v>
      </c>
    </row>
    <row r="36" spans="1:13" x14ac:dyDescent="0.25">
      <c r="A36" s="2">
        <v>46177</v>
      </c>
      <c r="B36" s="1" t="str">
        <f ca="1">IF(Información1[[#This Row],[Fecha]]='Ajuste de fechas'!$A$2,"Día actual","Día anterior")</f>
        <v>Día anterior</v>
      </c>
      <c r="C36" s="3" t="s">
        <v>8</v>
      </c>
      <c r="D36" t="s">
        <v>10</v>
      </c>
      <c r="E36" s="3" t="s">
        <v>57</v>
      </c>
      <c r="F36" s="3" t="s">
        <v>21</v>
      </c>
      <c r="G36" s="3" t="s">
        <v>34</v>
      </c>
      <c r="H36" s="3" t="s">
        <v>11</v>
      </c>
      <c r="I36" s="3" t="s">
        <v>12</v>
      </c>
      <c r="J36" s="3" t="s">
        <v>41</v>
      </c>
      <c r="K36" s="3" t="s">
        <v>14</v>
      </c>
      <c r="L36" s="3" t="s">
        <v>43</v>
      </c>
      <c r="M36">
        <v>1</v>
      </c>
    </row>
    <row r="37" spans="1:13" x14ac:dyDescent="0.25">
      <c r="A37" s="2">
        <v>46177</v>
      </c>
      <c r="B37" s="1" t="str">
        <f ca="1">IF(Información1[[#This Row],[Fecha]]='Ajuste de fechas'!$A$2,"Día actual","Día anterior")</f>
        <v>Día anterior</v>
      </c>
      <c r="C37" s="3" t="s">
        <v>8</v>
      </c>
      <c r="D37" t="s">
        <v>10</v>
      </c>
      <c r="E37" s="3" t="s">
        <v>13</v>
      </c>
      <c r="F37" s="3" t="s">
        <v>15</v>
      </c>
      <c r="G37" s="3" t="s">
        <v>34</v>
      </c>
      <c r="H37" s="3" t="s">
        <v>11</v>
      </c>
      <c r="I37" s="3" t="s">
        <v>12</v>
      </c>
      <c r="J37" s="3" t="s">
        <v>41</v>
      </c>
      <c r="K37" s="3" t="s">
        <v>14</v>
      </c>
      <c r="L37" s="3" t="s">
        <v>43</v>
      </c>
      <c r="M37">
        <v>1</v>
      </c>
    </row>
    <row r="38" spans="1:13" x14ac:dyDescent="0.25">
      <c r="A38" s="2">
        <v>46177</v>
      </c>
      <c r="B38" s="1" t="str">
        <f ca="1">IF(Información1[[#This Row],[Fecha]]='Ajuste de fechas'!$A$2,"Día actual","Día anterior")</f>
        <v>Día anterior</v>
      </c>
      <c r="C38" s="3" t="s">
        <v>8</v>
      </c>
      <c r="D38" t="s">
        <v>10</v>
      </c>
      <c r="E38" s="3" t="s">
        <v>16</v>
      </c>
      <c r="F38" s="3" t="s">
        <v>17</v>
      </c>
      <c r="G38" s="3" t="s">
        <v>34</v>
      </c>
      <c r="H38" s="3" t="s">
        <v>11</v>
      </c>
      <c r="I38" s="3" t="s">
        <v>12</v>
      </c>
      <c r="J38" s="3" t="s">
        <v>41</v>
      </c>
      <c r="K38" s="3" t="s">
        <v>14</v>
      </c>
      <c r="L38" s="3" t="s">
        <v>43</v>
      </c>
      <c r="M38">
        <v>1</v>
      </c>
    </row>
    <row r="39" spans="1:13" x14ac:dyDescent="0.25">
      <c r="A39" s="2">
        <v>46177</v>
      </c>
      <c r="B39" s="1" t="str">
        <f ca="1">IF(Información1[[#This Row],[Fecha]]='Ajuste de fechas'!$A$2,"Día actual","Día anterior")</f>
        <v>Día anterior</v>
      </c>
      <c r="C39" s="3" t="s">
        <v>8</v>
      </c>
      <c r="D39" t="s">
        <v>10</v>
      </c>
      <c r="E39" s="3" t="s">
        <v>58</v>
      </c>
      <c r="F39" s="3" t="s">
        <v>6</v>
      </c>
      <c r="G39" s="3" t="s">
        <v>34</v>
      </c>
      <c r="H39" s="3" t="s">
        <v>11</v>
      </c>
      <c r="I39" s="3" t="s">
        <v>12</v>
      </c>
      <c r="J39" s="3" t="s">
        <v>41</v>
      </c>
      <c r="K39" s="3" t="s">
        <v>14</v>
      </c>
      <c r="L39" s="3" t="s">
        <v>43</v>
      </c>
      <c r="M39">
        <v>1</v>
      </c>
    </row>
    <row r="40" spans="1:13" x14ac:dyDescent="0.25">
      <c r="A40" s="2">
        <v>46177</v>
      </c>
      <c r="B40" s="1" t="str">
        <f ca="1">IF(Información1[[#This Row],[Fecha]]='Ajuste de fechas'!$A$2,"Día actual","Día anterior")</f>
        <v>Día anterior</v>
      </c>
      <c r="C40" s="3" t="s">
        <v>86</v>
      </c>
      <c r="D40" t="s">
        <v>87</v>
      </c>
      <c r="E40" s="3" t="s">
        <v>156</v>
      </c>
      <c r="F40" s="3" t="s">
        <v>157</v>
      </c>
      <c r="G40" s="3" t="s">
        <v>158</v>
      </c>
      <c r="H40" s="3" t="s">
        <v>11</v>
      </c>
      <c r="I40" s="3" t="s">
        <v>7</v>
      </c>
      <c r="J40" s="3" t="s">
        <v>41</v>
      </c>
      <c r="K40" s="3" t="s">
        <v>89</v>
      </c>
      <c r="L40" s="3" t="s">
        <v>44</v>
      </c>
      <c r="M40">
        <v>1</v>
      </c>
    </row>
    <row r="41" spans="1:13" x14ac:dyDescent="0.25">
      <c r="A41" s="2">
        <v>46177</v>
      </c>
      <c r="B41" s="1" t="str">
        <f ca="1">IF(Información1[[#This Row],[Fecha]]='Ajuste de fechas'!$A$2,"Día actual","Día anterior")</f>
        <v>Día anterior</v>
      </c>
      <c r="C41" s="3" t="s">
        <v>90</v>
      </c>
      <c r="D41" t="s">
        <v>91</v>
      </c>
      <c r="E41" s="3" t="s">
        <v>156</v>
      </c>
      <c r="F41" s="3" t="s">
        <v>157</v>
      </c>
      <c r="G41" s="3" t="s">
        <v>158</v>
      </c>
      <c r="H41" s="3" t="s">
        <v>11</v>
      </c>
      <c r="I41" s="3" t="s">
        <v>7</v>
      </c>
      <c r="J41" s="3" t="s">
        <v>41</v>
      </c>
      <c r="K41" s="3" t="s">
        <v>92</v>
      </c>
      <c r="L41" s="3" t="s">
        <v>44</v>
      </c>
      <c r="M41">
        <v>1</v>
      </c>
    </row>
    <row r="42" spans="1:13" x14ac:dyDescent="0.25">
      <c r="A42" s="2">
        <v>46177</v>
      </c>
      <c r="B42" s="1" t="str">
        <f ca="1">IF(Información1[[#This Row],[Fecha]]='Ajuste de fechas'!$A$2,"Día actual","Día anterior")</f>
        <v>Día anterior</v>
      </c>
      <c r="C42" s="3" t="s">
        <v>8</v>
      </c>
      <c r="D42" t="s">
        <v>10</v>
      </c>
      <c r="E42" s="3" t="s">
        <v>159</v>
      </c>
      <c r="F42" s="3" t="s">
        <v>17</v>
      </c>
      <c r="G42" s="3" t="s">
        <v>74</v>
      </c>
      <c r="H42" s="3" t="s">
        <v>11</v>
      </c>
      <c r="I42" s="3" t="s">
        <v>25</v>
      </c>
      <c r="J42" s="3" t="s">
        <v>41</v>
      </c>
      <c r="K42" s="3" t="s">
        <v>9</v>
      </c>
      <c r="L42" s="3" t="s">
        <v>43</v>
      </c>
      <c r="M42">
        <v>1</v>
      </c>
    </row>
    <row r="43" spans="1:13" x14ac:dyDescent="0.25">
      <c r="A43" s="2">
        <v>46177</v>
      </c>
      <c r="B43" s="1" t="str">
        <f ca="1">IF(Información1[[#This Row],[Fecha]]='Ajuste de fechas'!$A$2,"Día actual","Día anterior")</f>
        <v>Día anterior</v>
      </c>
      <c r="C43" s="3" t="s">
        <v>8</v>
      </c>
      <c r="D43" t="s">
        <v>10</v>
      </c>
      <c r="E43" s="3" t="s">
        <v>160</v>
      </c>
      <c r="F43" s="3" t="s">
        <v>17</v>
      </c>
      <c r="G43" s="3" t="s">
        <v>74</v>
      </c>
      <c r="H43" s="3" t="s">
        <v>11</v>
      </c>
      <c r="I43" s="3" t="s">
        <v>7</v>
      </c>
      <c r="J43" s="3" t="s">
        <v>41</v>
      </c>
      <c r="K43" s="3" t="s">
        <v>14</v>
      </c>
      <c r="L43" s="3" t="s">
        <v>42</v>
      </c>
      <c r="M43">
        <v>1</v>
      </c>
    </row>
    <row r="44" spans="1:13" x14ac:dyDescent="0.25">
      <c r="A44" s="2">
        <v>46177</v>
      </c>
      <c r="B44" s="1" t="str">
        <f ca="1">IF(Información1[[#This Row],[Fecha]]='Ajuste de fechas'!$A$2,"Día actual","Día anterior")</f>
        <v>Día anterior</v>
      </c>
      <c r="C44" s="3" t="s">
        <v>8</v>
      </c>
      <c r="D44" t="s">
        <v>10</v>
      </c>
      <c r="E44" s="3" t="s">
        <v>161</v>
      </c>
      <c r="F44" s="3" t="s">
        <v>17</v>
      </c>
      <c r="G44" s="3" t="s">
        <v>74</v>
      </c>
      <c r="H44" s="3" t="s">
        <v>11</v>
      </c>
      <c r="I44" s="3" t="s">
        <v>7</v>
      </c>
      <c r="J44" s="3" t="s">
        <v>41</v>
      </c>
      <c r="K44" s="3" t="s">
        <v>14</v>
      </c>
      <c r="L44" s="3" t="s">
        <v>44</v>
      </c>
      <c r="M44">
        <v>1</v>
      </c>
    </row>
    <row r="45" spans="1:13" x14ac:dyDescent="0.25">
      <c r="A45" s="2">
        <v>46177</v>
      </c>
      <c r="B45" s="1" t="str">
        <f ca="1">IF(Información1[[#This Row],[Fecha]]='Ajuste de fechas'!$A$2,"Día actual","Día anterior")</f>
        <v>Día anterior</v>
      </c>
      <c r="C45" s="3" t="s">
        <v>68</v>
      </c>
      <c r="D45" t="s">
        <v>69</v>
      </c>
      <c r="E45" s="3" t="s">
        <v>165</v>
      </c>
      <c r="F45" s="3" t="s">
        <v>21</v>
      </c>
      <c r="G45" s="3" t="s">
        <v>166</v>
      </c>
      <c r="H45" s="3" t="s">
        <v>11</v>
      </c>
      <c r="I45" s="3" t="s">
        <v>7</v>
      </c>
      <c r="J45" s="3" t="s">
        <v>41</v>
      </c>
      <c r="K45" s="3" t="s">
        <v>70</v>
      </c>
      <c r="L45" s="3" t="s">
        <v>44</v>
      </c>
      <c r="M45">
        <v>1</v>
      </c>
    </row>
    <row r="46" spans="1:13" x14ac:dyDescent="0.25">
      <c r="A46" s="2">
        <v>46177</v>
      </c>
      <c r="B46" s="1" t="str">
        <f ca="1">IF(Información1[[#This Row],[Fecha]]='Ajuste de fechas'!$A$2,"Día actual","Día anterior")</f>
        <v>Día anterior</v>
      </c>
      <c r="C46" s="3" t="s">
        <v>68</v>
      </c>
      <c r="D46" t="s">
        <v>69</v>
      </c>
      <c r="E46" s="3" t="s">
        <v>167</v>
      </c>
      <c r="F46" s="3" t="s">
        <v>19</v>
      </c>
      <c r="G46" s="3" t="s">
        <v>168</v>
      </c>
      <c r="H46" s="3" t="s">
        <v>11</v>
      </c>
      <c r="I46" s="3" t="s">
        <v>7</v>
      </c>
      <c r="J46" s="3" t="s">
        <v>45</v>
      </c>
      <c r="K46" s="3" t="s">
        <v>70</v>
      </c>
      <c r="L46" s="3" t="s">
        <v>42</v>
      </c>
      <c r="M46">
        <v>1</v>
      </c>
    </row>
    <row r="47" spans="1:13" x14ac:dyDescent="0.25">
      <c r="A47" s="2">
        <v>46177</v>
      </c>
      <c r="B47" s="1" t="str">
        <f ca="1">IF(Información1[[#This Row],[Fecha]]='Ajuste de fechas'!$A$2,"Día actual","Día anterior")</f>
        <v>Día anterior</v>
      </c>
      <c r="C47" s="3" t="s">
        <v>68</v>
      </c>
      <c r="D47" t="s">
        <v>69</v>
      </c>
      <c r="E47" s="3" t="s">
        <v>116</v>
      </c>
      <c r="F47" s="3" t="s">
        <v>114</v>
      </c>
      <c r="G47" s="3" t="s">
        <v>115</v>
      </c>
      <c r="H47" s="3" t="s">
        <v>11</v>
      </c>
      <c r="I47" s="3" t="s">
        <v>7</v>
      </c>
      <c r="J47" s="3" t="s">
        <v>41</v>
      </c>
      <c r="K47" s="3" t="s">
        <v>70</v>
      </c>
      <c r="L47" s="3" t="s">
        <v>44</v>
      </c>
      <c r="M47">
        <v>1</v>
      </c>
    </row>
    <row r="48" spans="1:13" x14ac:dyDescent="0.25">
      <c r="A48" s="2">
        <v>46177</v>
      </c>
      <c r="B48" s="1" t="str">
        <f ca="1">IF(Información1[[#This Row],[Fecha]]='Ajuste de fechas'!$A$2,"Día actual","Día anterior")</f>
        <v>Día anterior</v>
      </c>
      <c r="C48" s="3" t="s">
        <v>68</v>
      </c>
      <c r="D48" t="s">
        <v>69</v>
      </c>
      <c r="E48" s="3" t="s">
        <v>169</v>
      </c>
      <c r="F48" s="3" t="s">
        <v>19</v>
      </c>
      <c r="G48" s="3" t="s">
        <v>121</v>
      </c>
      <c r="H48" s="3" t="s">
        <v>11</v>
      </c>
      <c r="I48" s="3" t="s">
        <v>7</v>
      </c>
      <c r="J48" s="3" t="s">
        <v>45</v>
      </c>
      <c r="K48" s="3" t="s">
        <v>70</v>
      </c>
      <c r="L48" s="3" t="s">
        <v>42</v>
      </c>
      <c r="M48">
        <v>1</v>
      </c>
    </row>
    <row r="49" spans="1:13" x14ac:dyDescent="0.25">
      <c r="A49" s="2">
        <v>46177</v>
      </c>
      <c r="B49" s="1" t="str">
        <f ca="1">IF(Información1[[#This Row],[Fecha]]='Ajuste de fechas'!$A$2,"Día actual","Día anterior")</f>
        <v>Día anterior</v>
      </c>
      <c r="C49" s="3" t="s">
        <v>68</v>
      </c>
      <c r="D49" t="s">
        <v>69</v>
      </c>
      <c r="E49" s="3" t="s">
        <v>153</v>
      </c>
      <c r="F49" s="3" t="s">
        <v>23</v>
      </c>
      <c r="G49" s="3" t="s">
        <v>154</v>
      </c>
      <c r="H49" s="3" t="s">
        <v>11</v>
      </c>
      <c r="I49" s="3" t="s">
        <v>7</v>
      </c>
      <c r="J49" s="3" t="s">
        <v>41</v>
      </c>
      <c r="K49" s="3" t="s">
        <v>70</v>
      </c>
      <c r="L49" s="3" t="s">
        <v>44</v>
      </c>
      <c r="M49">
        <v>1</v>
      </c>
    </row>
    <row r="50" spans="1:13" x14ac:dyDescent="0.25">
      <c r="A50" s="2">
        <v>46177</v>
      </c>
      <c r="B50" s="1" t="str">
        <f ca="1">IF(Información1[[#This Row],[Fecha]]='Ajuste de fechas'!$A$2,"Día actual","Día anterior")</f>
        <v>Día anterior</v>
      </c>
      <c r="C50" s="3" t="s">
        <v>68</v>
      </c>
      <c r="D50" t="s">
        <v>69</v>
      </c>
      <c r="E50" s="3" t="s">
        <v>170</v>
      </c>
      <c r="F50" s="3" t="s">
        <v>23</v>
      </c>
      <c r="G50" s="3" t="s">
        <v>171</v>
      </c>
      <c r="H50" s="3" t="s">
        <v>11</v>
      </c>
      <c r="I50" s="3" t="s">
        <v>7</v>
      </c>
      <c r="J50" s="3" t="s">
        <v>41</v>
      </c>
      <c r="K50" s="3" t="s">
        <v>70</v>
      </c>
      <c r="L50" s="3" t="s">
        <v>42</v>
      </c>
      <c r="M50">
        <v>1</v>
      </c>
    </row>
    <row r="51" spans="1:13" x14ac:dyDescent="0.25">
      <c r="A51" s="2">
        <v>46177</v>
      </c>
      <c r="B51" s="1" t="str">
        <f ca="1">IF(Información1[[#This Row],[Fecha]]='Ajuste de fechas'!$A$2,"Día actual","Día anterior")</f>
        <v>Día anterior</v>
      </c>
      <c r="C51" s="3" t="s">
        <v>68</v>
      </c>
      <c r="D51" t="s">
        <v>69</v>
      </c>
      <c r="E51" s="3" t="s">
        <v>172</v>
      </c>
      <c r="F51" s="3" t="s">
        <v>19</v>
      </c>
      <c r="G51" s="3" t="s">
        <v>173</v>
      </c>
      <c r="H51" s="3" t="s">
        <v>11</v>
      </c>
      <c r="I51" s="3" t="s">
        <v>7</v>
      </c>
      <c r="J51" s="3" t="s">
        <v>45</v>
      </c>
      <c r="K51" s="3" t="s">
        <v>70</v>
      </c>
      <c r="L51" s="3" t="s">
        <v>42</v>
      </c>
      <c r="M51">
        <v>1</v>
      </c>
    </row>
    <row r="52" spans="1:13" x14ac:dyDescent="0.25">
      <c r="A52" s="2">
        <v>46177</v>
      </c>
      <c r="B52" s="1" t="str">
        <f ca="1">IF(Información1[[#This Row],[Fecha]]='Ajuste de fechas'!$A$2,"Día actual","Día anterior")</f>
        <v>Día anterior</v>
      </c>
      <c r="C52" s="3" t="s">
        <v>68</v>
      </c>
      <c r="D52" t="s">
        <v>69</v>
      </c>
      <c r="E52" s="3" t="s">
        <v>174</v>
      </c>
      <c r="F52" s="3" t="s">
        <v>19</v>
      </c>
      <c r="G52" s="3" t="s">
        <v>175</v>
      </c>
      <c r="H52" s="3" t="s">
        <v>11</v>
      </c>
      <c r="I52" s="3" t="s">
        <v>7</v>
      </c>
      <c r="J52" s="3" t="s">
        <v>45</v>
      </c>
      <c r="K52" s="3" t="s">
        <v>70</v>
      </c>
      <c r="L52" s="3" t="s">
        <v>42</v>
      </c>
      <c r="M52">
        <v>1</v>
      </c>
    </row>
    <row r="53" spans="1:13" x14ac:dyDescent="0.25">
      <c r="A53" s="2">
        <v>46177</v>
      </c>
      <c r="B53" s="1" t="str">
        <f ca="1">IF(Información1[[#This Row],[Fecha]]='Ajuste de fechas'!$A$2,"Día actual","Día anterior")</f>
        <v>Día anterior</v>
      </c>
      <c r="C53" s="3" t="s">
        <v>68</v>
      </c>
      <c r="D53" t="s">
        <v>69</v>
      </c>
      <c r="E53" s="3" t="s">
        <v>176</v>
      </c>
      <c r="F53" s="3" t="s">
        <v>19</v>
      </c>
      <c r="G53" s="3" t="s">
        <v>177</v>
      </c>
      <c r="H53" s="3" t="s">
        <v>11</v>
      </c>
      <c r="I53" s="3" t="s">
        <v>25</v>
      </c>
      <c r="J53" s="3" t="s">
        <v>45</v>
      </c>
      <c r="K53" s="3" t="s">
        <v>70</v>
      </c>
      <c r="L53" s="3" t="s">
        <v>42</v>
      </c>
      <c r="M53">
        <v>1</v>
      </c>
    </row>
    <row r="54" spans="1:13" x14ac:dyDescent="0.25">
      <c r="A54" s="2">
        <v>46177</v>
      </c>
      <c r="B54" s="1" t="str">
        <f ca="1">IF(Información1[[#This Row],[Fecha]]='Ajuste de fechas'!$A$2,"Día actual","Día anterior")</f>
        <v>Día anterior</v>
      </c>
      <c r="C54" s="3" t="s">
        <v>68</v>
      </c>
      <c r="D54" t="s">
        <v>69</v>
      </c>
      <c r="E54" s="3" t="s">
        <v>178</v>
      </c>
      <c r="F54" s="3" t="s">
        <v>19</v>
      </c>
      <c r="G54" s="3" t="s">
        <v>118</v>
      </c>
      <c r="H54" s="3" t="s">
        <v>11</v>
      </c>
      <c r="I54" s="3" t="s">
        <v>7</v>
      </c>
      <c r="J54" s="3" t="s">
        <v>45</v>
      </c>
      <c r="K54" s="3" t="s">
        <v>70</v>
      </c>
      <c r="L54" s="3" t="s">
        <v>42</v>
      </c>
      <c r="M54">
        <v>1</v>
      </c>
    </row>
    <row r="55" spans="1:13" x14ac:dyDescent="0.25">
      <c r="A55" s="2">
        <v>46177</v>
      </c>
      <c r="B55" s="1" t="str">
        <f ca="1">IF(Información1[[#This Row],[Fecha]]='Ajuste de fechas'!$A$2,"Día actual","Día anterior")</f>
        <v>Día anterior</v>
      </c>
      <c r="C55" s="3" t="s">
        <v>68</v>
      </c>
      <c r="D55" t="s">
        <v>69</v>
      </c>
      <c r="E55" s="3" t="s">
        <v>179</v>
      </c>
      <c r="F55" s="3" t="s">
        <v>19</v>
      </c>
      <c r="G55" s="3" t="s">
        <v>180</v>
      </c>
      <c r="H55" s="3" t="s">
        <v>11</v>
      </c>
      <c r="I55" s="3" t="s">
        <v>25</v>
      </c>
      <c r="J55" s="3" t="s">
        <v>45</v>
      </c>
      <c r="K55" s="3" t="s">
        <v>70</v>
      </c>
      <c r="L55" s="3" t="s">
        <v>42</v>
      </c>
      <c r="M55">
        <v>1</v>
      </c>
    </row>
    <row r="56" spans="1:13" x14ac:dyDescent="0.25">
      <c r="A56" s="2">
        <v>46177</v>
      </c>
      <c r="B56" s="1" t="str">
        <f ca="1">IF(Información1[[#This Row],[Fecha]]='Ajuste de fechas'!$A$2,"Día actual","Día anterior")</f>
        <v>Día anterior</v>
      </c>
      <c r="C56" s="3" t="s">
        <v>68</v>
      </c>
      <c r="D56" t="s">
        <v>69</v>
      </c>
      <c r="E56" s="3" t="s">
        <v>181</v>
      </c>
      <c r="F56" s="3" t="s">
        <v>60</v>
      </c>
      <c r="G56" s="3" t="s">
        <v>83</v>
      </c>
      <c r="H56" s="3" t="s">
        <v>11</v>
      </c>
      <c r="I56" s="3" t="s">
        <v>7</v>
      </c>
      <c r="J56" s="3" t="s">
        <v>41</v>
      </c>
      <c r="K56" s="3" t="s">
        <v>70</v>
      </c>
      <c r="L56" s="3" t="s">
        <v>44</v>
      </c>
      <c r="M56">
        <v>1</v>
      </c>
    </row>
    <row r="57" spans="1:13" x14ac:dyDescent="0.25">
      <c r="A57" s="2">
        <v>46177</v>
      </c>
      <c r="B57" s="1" t="str">
        <f ca="1">IF(Información1[[#This Row],[Fecha]]='Ajuste de fechas'!$A$2,"Día actual","Día anterior")</f>
        <v>Día anterior</v>
      </c>
      <c r="C57" s="3" t="s">
        <v>68</v>
      </c>
      <c r="D57" t="s">
        <v>69</v>
      </c>
      <c r="E57" s="3" t="s">
        <v>182</v>
      </c>
      <c r="F57" s="3" t="s">
        <v>22</v>
      </c>
      <c r="G57" s="3" t="s">
        <v>100</v>
      </c>
      <c r="H57" s="3" t="s">
        <v>11</v>
      </c>
      <c r="I57" s="3" t="s">
        <v>7</v>
      </c>
      <c r="J57" s="3" t="s">
        <v>46</v>
      </c>
      <c r="K57" s="3" t="s">
        <v>70</v>
      </c>
      <c r="L57" s="3" t="s">
        <v>42</v>
      </c>
      <c r="M57">
        <v>1</v>
      </c>
    </row>
    <row r="58" spans="1:13" x14ac:dyDescent="0.25">
      <c r="A58" s="2">
        <v>46177</v>
      </c>
      <c r="B58" s="1" t="str">
        <f ca="1">IF(Información1[[#This Row],[Fecha]]='Ajuste de fechas'!$A$2,"Día actual","Día anterior")</f>
        <v>Día anterior</v>
      </c>
      <c r="C58" s="3" t="s">
        <v>68</v>
      </c>
      <c r="D58" t="s">
        <v>69</v>
      </c>
      <c r="E58" s="3" t="s">
        <v>183</v>
      </c>
      <c r="F58" s="3" t="s">
        <v>22</v>
      </c>
      <c r="G58" s="3" t="s">
        <v>184</v>
      </c>
      <c r="H58" s="3" t="s">
        <v>11</v>
      </c>
      <c r="I58" s="3" t="s">
        <v>7</v>
      </c>
      <c r="J58" s="3" t="s">
        <v>46</v>
      </c>
      <c r="K58" s="3" t="s">
        <v>70</v>
      </c>
      <c r="L58" s="3" t="s">
        <v>42</v>
      </c>
      <c r="M58">
        <v>1</v>
      </c>
    </row>
    <row r="59" spans="1:13" x14ac:dyDescent="0.25">
      <c r="A59" s="2">
        <v>46177</v>
      </c>
      <c r="B59" s="1" t="str">
        <f ca="1">IF(Información1[[#This Row],[Fecha]]='Ajuste de fechas'!$A$2,"Día actual","Día anterior")</f>
        <v>Día anterior</v>
      </c>
      <c r="C59" s="3" t="s">
        <v>68</v>
      </c>
      <c r="D59" t="s">
        <v>69</v>
      </c>
      <c r="E59" s="3" t="s">
        <v>185</v>
      </c>
      <c r="F59" s="3" t="s">
        <v>15</v>
      </c>
      <c r="G59" s="3" t="s">
        <v>186</v>
      </c>
      <c r="H59" s="3" t="s">
        <v>11</v>
      </c>
      <c r="I59" s="3" t="s">
        <v>7</v>
      </c>
      <c r="J59" s="3" t="s">
        <v>41</v>
      </c>
      <c r="K59" s="3" t="s">
        <v>70</v>
      </c>
      <c r="L59" s="3" t="s">
        <v>42</v>
      </c>
      <c r="M59">
        <v>1</v>
      </c>
    </row>
    <row r="60" spans="1:13" x14ac:dyDescent="0.25">
      <c r="A60" s="2">
        <v>46177</v>
      </c>
      <c r="B60" s="1" t="str">
        <f ca="1">IF(Información1[[#This Row],[Fecha]]='Ajuste de fechas'!$A$2,"Día actual","Día anterior")</f>
        <v>Día anterior</v>
      </c>
      <c r="C60" s="3" t="s">
        <v>68</v>
      </c>
      <c r="D60" t="s">
        <v>69</v>
      </c>
      <c r="E60" s="3" t="s">
        <v>187</v>
      </c>
      <c r="F60" s="3" t="s">
        <v>19</v>
      </c>
      <c r="G60" s="3" t="s">
        <v>104</v>
      </c>
      <c r="H60" s="3" t="s">
        <v>11</v>
      </c>
      <c r="I60" s="3" t="s">
        <v>7</v>
      </c>
      <c r="J60" s="3" t="s">
        <v>45</v>
      </c>
      <c r="K60" s="3" t="s">
        <v>70</v>
      </c>
      <c r="L60" s="3" t="s">
        <v>42</v>
      </c>
      <c r="M60">
        <v>1</v>
      </c>
    </row>
    <row r="61" spans="1:13" x14ac:dyDescent="0.25">
      <c r="A61" s="2">
        <v>46177</v>
      </c>
      <c r="B61" s="1" t="str">
        <f ca="1">IF(Información1[[#This Row],[Fecha]]='Ajuste de fechas'!$A$2,"Día actual","Día anterior")</f>
        <v>Día anterior</v>
      </c>
      <c r="C61" s="3" t="s">
        <v>68</v>
      </c>
      <c r="D61" t="s">
        <v>69</v>
      </c>
      <c r="E61" s="3" t="s">
        <v>71</v>
      </c>
      <c r="F61" s="3" t="s">
        <v>19</v>
      </c>
      <c r="G61" s="3" t="s">
        <v>63</v>
      </c>
      <c r="H61" s="3" t="s">
        <v>11</v>
      </c>
      <c r="I61" s="3" t="s">
        <v>7</v>
      </c>
      <c r="J61" s="3" t="s">
        <v>45</v>
      </c>
      <c r="K61" s="3" t="s">
        <v>70</v>
      </c>
      <c r="L61" s="3" t="s">
        <v>42</v>
      </c>
      <c r="M61">
        <v>1</v>
      </c>
    </row>
    <row r="62" spans="1:13" x14ac:dyDescent="0.25">
      <c r="A62" s="2">
        <v>46177</v>
      </c>
      <c r="B62" s="1" t="str">
        <f ca="1">IF(Información1[[#This Row],[Fecha]]='Ajuste de fechas'!$A$2,"Día actual","Día anterior")</f>
        <v>Día anterior</v>
      </c>
      <c r="C62" s="3" t="s">
        <v>68</v>
      </c>
      <c r="D62" t="s">
        <v>69</v>
      </c>
      <c r="E62" s="3" t="s">
        <v>188</v>
      </c>
      <c r="F62" s="3" t="s">
        <v>59</v>
      </c>
      <c r="G62" s="3" t="s">
        <v>81</v>
      </c>
      <c r="H62" s="3" t="s">
        <v>11</v>
      </c>
      <c r="I62" s="3" t="s">
        <v>7</v>
      </c>
      <c r="J62" s="3" t="s">
        <v>24</v>
      </c>
      <c r="K62" s="3" t="s">
        <v>70</v>
      </c>
      <c r="L62" s="3" t="s">
        <v>42</v>
      </c>
      <c r="M62">
        <v>1</v>
      </c>
    </row>
    <row r="63" spans="1:13" x14ac:dyDescent="0.25">
      <c r="A63" s="2">
        <v>46177</v>
      </c>
      <c r="B63" s="1" t="str">
        <f ca="1">IF(Información1[[#This Row],[Fecha]]='Ajuste de fechas'!$A$2,"Día actual","Día anterior")</f>
        <v>Día anterior</v>
      </c>
      <c r="C63" s="3" t="s">
        <v>68</v>
      </c>
      <c r="D63" t="s">
        <v>69</v>
      </c>
      <c r="E63" s="3" t="s">
        <v>189</v>
      </c>
      <c r="F63" s="3" t="s">
        <v>17</v>
      </c>
      <c r="G63" s="3" t="s">
        <v>74</v>
      </c>
      <c r="H63" s="3" t="s">
        <v>11</v>
      </c>
      <c r="I63" s="3" t="s">
        <v>25</v>
      </c>
      <c r="J63" s="3" t="s">
        <v>41</v>
      </c>
      <c r="K63" s="3" t="s">
        <v>70</v>
      </c>
      <c r="L63" s="3" t="s">
        <v>43</v>
      </c>
      <c r="M63">
        <v>1</v>
      </c>
    </row>
    <row r="64" spans="1:13" x14ac:dyDescent="0.25">
      <c r="A64" s="2">
        <v>46177</v>
      </c>
      <c r="B64" s="1" t="str">
        <f ca="1">IF(Información1[[#This Row],[Fecha]]='Ajuste de fechas'!$A$2,"Día actual","Día anterior")</f>
        <v>Día anterior</v>
      </c>
      <c r="C64" s="3" t="s">
        <v>68</v>
      </c>
      <c r="D64" t="s">
        <v>69</v>
      </c>
      <c r="E64" s="3" t="s">
        <v>88</v>
      </c>
      <c r="F64" s="3" t="s">
        <v>17</v>
      </c>
      <c r="G64" s="3" t="s">
        <v>74</v>
      </c>
      <c r="H64" s="3" t="s">
        <v>11</v>
      </c>
      <c r="I64" s="3" t="s">
        <v>7</v>
      </c>
      <c r="J64" s="3" t="s">
        <v>41</v>
      </c>
      <c r="K64" s="3" t="s">
        <v>70</v>
      </c>
      <c r="L64" s="3" t="s">
        <v>44</v>
      </c>
      <c r="M64">
        <v>1</v>
      </c>
    </row>
    <row r="65" spans="1:13" x14ac:dyDescent="0.25">
      <c r="A65" s="2">
        <v>46177</v>
      </c>
      <c r="B65" s="1" t="str">
        <f ca="1">IF(Información1[[#This Row],[Fecha]]='Ajuste de fechas'!$A$2,"Día actual","Día anterior")</f>
        <v>Día anterior</v>
      </c>
      <c r="C65" s="3" t="s">
        <v>68</v>
      </c>
      <c r="D65" t="s">
        <v>69</v>
      </c>
      <c r="E65" s="3" t="s">
        <v>161</v>
      </c>
      <c r="F65" s="3" t="s">
        <v>17</v>
      </c>
      <c r="G65" s="3" t="s">
        <v>74</v>
      </c>
      <c r="H65" s="3" t="s">
        <v>11</v>
      </c>
      <c r="I65" s="3" t="s">
        <v>7</v>
      </c>
      <c r="J65" s="3" t="s">
        <v>41</v>
      </c>
      <c r="K65" s="3" t="s">
        <v>70</v>
      </c>
      <c r="L65" s="3" t="s">
        <v>44</v>
      </c>
      <c r="M65">
        <v>1</v>
      </c>
    </row>
    <row r="66" spans="1:13" x14ac:dyDescent="0.25">
      <c r="A66" s="2">
        <v>46177</v>
      </c>
      <c r="B66" s="1" t="str">
        <f ca="1">IF(Información1[[#This Row],[Fecha]]='Ajuste de fechas'!$A$2,"Día actual","Día anterior")</f>
        <v>Día anterior</v>
      </c>
      <c r="C66" s="3" t="s">
        <v>68</v>
      </c>
      <c r="D66" t="s">
        <v>69</v>
      </c>
      <c r="E66" s="3" t="s">
        <v>190</v>
      </c>
      <c r="F66" s="3" t="s">
        <v>17</v>
      </c>
      <c r="G66" s="3" t="s">
        <v>74</v>
      </c>
      <c r="H66" s="3" t="s">
        <v>11</v>
      </c>
      <c r="I66" s="3" t="s">
        <v>7</v>
      </c>
      <c r="J66" s="3" t="s">
        <v>41</v>
      </c>
      <c r="K66" s="3" t="s">
        <v>70</v>
      </c>
      <c r="L66" s="3" t="s">
        <v>44</v>
      </c>
      <c r="M66">
        <v>1</v>
      </c>
    </row>
    <row r="67" spans="1:13" x14ac:dyDescent="0.25">
      <c r="A67" s="2">
        <v>46177</v>
      </c>
      <c r="B67" s="1" t="str">
        <f ca="1">IF(Información1[[#This Row],[Fecha]]='Ajuste de fechas'!$A$2,"Día actual","Día anterior")</f>
        <v>Día anterior</v>
      </c>
      <c r="C67" s="3" t="s">
        <v>68</v>
      </c>
      <c r="D67" t="s">
        <v>69</v>
      </c>
      <c r="E67" s="3" t="s">
        <v>191</v>
      </c>
      <c r="F67" s="3" t="s">
        <v>59</v>
      </c>
      <c r="G67" s="3" t="s">
        <v>80</v>
      </c>
      <c r="H67" s="3" t="s">
        <v>11</v>
      </c>
      <c r="I67" s="3" t="s">
        <v>7</v>
      </c>
      <c r="J67" s="3" t="s">
        <v>24</v>
      </c>
      <c r="K67" s="3" t="s">
        <v>70</v>
      </c>
      <c r="L67" s="3" t="s">
        <v>42</v>
      </c>
      <c r="M67">
        <v>1</v>
      </c>
    </row>
    <row r="68" spans="1:13" x14ac:dyDescent="0.25">
      <c r="A68" s="2">
        <v>46177</v>
      </c>
      <c r="B68" s="1" t="str">
        <f ca="1">IF(Información1[[#This Row],[Fecha]]='Ajuste de fechas'!$A$2,"Día actual","Día anterior")</f>
        <v>Día anterior</v>
      </c>
      <c r="C68" s="3" t="s">
        <v>68</v>
      </c>
      <c r="D68" t="s">
        <v>69</v>
      </c>
      <c r="E68" s="3" t="s">
        <v>192</v>
      </c>
      <c r="F68" s="3" t="s">
        <v>24</v>
      </c>
      <c r="G68" s="3" t="s">
        <v>56</v>
      </c>
      <c r="H68" s="3" t="s">
        <v>11</v>
      </c>
      <c r="I68" s="3" t="s">
        <v>7</v>
      </c>
      <c r="J68" s="3" t="s">
        <v>24</v>
      </c>
      <c r="K68" s="3" t="s">
        <v>70</v>
      </c>
      <c r="L68" s="3" t="s">
        <v>42</v>
      </c>
      <c r="M68">
        <v>1</v>
      </c>
    </row>
    <row r="69" spans="1:13" x14ac:dyDescent="0.25">
      <c r="A69" s="2">
        <v>46177</v>
      </c>
      <c r="B69" s="1" t="str">
        <f ca="1">IF(Información1[[#This Row],[Fecha]]='Ajuste de fechas'!$A$2,"Día actual","Día anterior")</f>
        <v>Día anterior</v>
      </c>
      <c r="C69" s="3" t="s">
        <v>31</v>
      </c>
      <c r="D69" t="s">
        <v>32</v>
      </c>
      <c r="E69" s="3" t="s">
        <v>193</v>
      </c>
      <c r="F69" s="3" t="s">
        <v>26</v>
      </c>
      <c r="G69" s="3" t="s">
        <v>194</v>
      </c>
      <c r="H69" s="3" t="s">
        <v>64</v>
      </c>
      <c r="I69" s="3" t="s">
        <v>12</v>
      </c>
      <c r="J69" s="3" t="s">
        <v>41</v>
      </c>
      <c r="K69" s="3" t="s">
        <v>108</v>
      </c>
      <c r="L69" s="3" t="s">
        <v>43</v>
      </c>
      <c r="M69">
        <v>1</v>
      </c>
    </row>
    <row r="70" spans="1:13" x14ac:dyDescent="0.25">
      <c r="A70" s="2">
        <v>46177</v>
      </c>
      <c r="B70" s="1" t="str">
        <f ca="1">IF(Información1[[#This Row],[Fecha]]='Ajuste de fechas'!$A$2,"Día actual","Día anterior")</f>
        <v>Día anterior</v>
      </c>
      <c r="C70" s="3" t="s">
        <v>31</v>
      </c>
      <c r="D70" t="s">
        <v>32</v>
      </c>
      <c r="E70" s="3" t="s">
        <v>195</v>
      </c>
      <c r="F70" s="3" t="s">
        <v>15</v>
      </c>
      <c r="G70" s="3" t="s">
        <v>196</v>
      </c>
      <c r="H70" s="3" t="s">
        <v>64</v>
      </c>
      <c r="I70" s="3" t="s">
        <v>7</v>
      </c>
      <c r="J70" s="3" t="s">
        <v>41</v>
      </c>
      <c r="K70" s="3" t="s">
        <v>108</v>
      </c>
      <c r="L70" s="3" t="s">
        <v>42</v>
      </c>
      <c r="M70">
        <v>1</v>
      </c>
    </row>
    <row r="71" spans="1:13" x14ac:dyDescent="0.25">
      <c r="A71" s="2">
        <v>46177</v>
      </c>
      <c r="B71" s="1" t="str">
        <f ca="1">IF(Información1[[#This Row],[Fecha]]='Ajuste de fechas'!$A$2,"Día actual","Día anterior")</f>
        <v>Día anterior</v>
      </c>
      <c r="C71" s="3" t="s">
        <v>31</v>
      </c>
      <c r="D71" t="s">
        <v>32</v>
      </c>
      <c r="E71" s="3" t="s">
        <v>197</v>
      </c>
      <c r="F71" s="3" t="s">
        <v>15</v>
      </c>
      <c r="G71" s="3" t="s">
        <v>198</v>
      </c>
      <c r="H71" s="3" t="s">
        <v>64</v>
      </c>
      <c r="I71" s="3" t="s">
        <v>25</v>
      </c>
      <c r="J71" s="3" t="s">
        <v>41</v>
      </c>
      <c r="K71" s="3" t="s">
        <v>27</v>
      </c>
      <c r="L71" s="3" t="s">
        <v>43</v>
      </c>
      <c r="M71">
        <v>1</v>
      </c>
    </row>
    <row r="72" spans="1:13" x14ac:dyDescent="0.25">
      <c r="A72" s="2">
        <v>46177</v>
      </c>
      <c r="B72" s="1" t="str">
        <f ca="1">IF(Información1[[#This Row],[Fecha]]='Ajuste de fechas'!$A$2,"Día actual","Día anterior")</f>
        <v>Día anterior</v>
      </c>
      <c r="C72" s="3" t="s">
        <v>31</v>
      </c>
      <c r="D72" t="s">
        <v>32</v>
      </c>
      <c r="E72" s="3" t="s">
        <v>199</v>
      </c>
      <c r="F72" s="3" t="s">
        <v>15</v>
      </c>
      <c r="G72" s="3" t="s">
        <v>194</v>
      </c>
      <c r="H72" s="3" t="s">
        <v>64</v>
      </c>
      <c r="I72" s="3" t="s">
        <v>25</v>
      </c>
      <c r="J72" s="3" t="s">
        <v>41</v>
      </c>
      <c r="K72" s="3" t="s">
        <v>27</v>
      </c>
      <c r="L72" s="3" t="s">
        <v>42</v>
      </c>
      <c r="M72">
        <v>1</v>
      </c>
    </row>
    <row r="73" spans="1:13" x14ac:dyDescent="0.25">
      <c r="A73" s="2">
        <v>46177</v>
      </c>
      <c r="B73" s="1" t="str">
        <f ca="1">IF(Información1[[#This Row],[Fecha]]='Ajuste de fechas'!$A$2,"Día actual","Día anterior")</f>
        <v>Día anterior</v>
      </c>
      <c r="C73" s="3" t="s">
        <v>31</v>
      </c>
      <c r="D73" t="s">
        <v>32</v>
      </c>
      <c r="E73" s="3" t="s">
        <v>200</v>
      </c>
      <c r="F73" s="3" t="s">
        <v>59</v>
      </c>
      <c r="G73" s="3" t="s">
        <v>201</v>
      </c>
      <c r="H73" s="3" t="s">
        <v>64</v>
      </c>
      <c r="I73" s="3" t="s">
        <v>7</v>
      </c>
      <c r="J73" s="3" t="s">
        <v>24</v>
      </c>
      <c r="K73" s="3" t="s">
        <v>27</v>
      </c>
      <c r="L73" s="3" t="s">
        <v>42</v>
      </c>
      <c r="M73">
        <v>1</v>
      </c>
    </row>
    <row r="74" spans="1:13" x14ac:dyDescent="0.25">
      <c r="A74" s="2">
        <v>46177</v>
      </c>
      <c r="B74" s="1" t="str">
        <f ca="1">IF(Información1[[#This Row],[Fecha]]='Ajuste de fechas'!$A$2,"Día actual","Día anterior")</f>
        <v>Día anterior</v>
      </c>
      <c r="C74" s="3" t="s">
        <v>31</v>
      </c>
      <c r="D74" t="s">
        <v>32</v>
      </c>
      <c r="E74" s="3" t="s">
        <v>202</v>
      </c>
      <c r="F74" s="3" t="s">
        <v>59</v>
      </c>
      <c r="G74" s="3" t="s">
        <v>147</v>
      </c>
      <c r="H74" s="3" t="s">
        <v>64</v>
      </c>
      <c r="I74" s="3" t="s">
        <v>7</v>
      </c>
      <c r="J74" s="3" t="s">
        <v>24</v>
      </c>
      <c r="K74" s="3" t="s">
        <v>27</v>
      </c>
      <c r="L74" s="3" t="s">
        <v>42</v>
      </c>
      <c r="M74">
        <v>1</v>
      </c>
    </row>
    <row r="75" spans="1:13" x14ac:dyDescent="0.25">
      <c r="A75" s="2">
        <v>46177</v>
      </c>
      <c r="B75" s="1" t="str">
        <f ca="1">IF(Información1[[#This Row],[Fecha]]='Ajuste de fechas'!$A$2,"Día actual","Día anterior")</f>
        <v>Día anterior</v>
      </c>
      <c r="C75" s="3" t="s">
        <v>31</v>
      </c>
      <c r="D75" t="s">
        <v>32</v>
      </c>
      <c r="E75" s="3" t="s">
        <v>203</v>
      </c>
      <c r="F75" s="3" t="s">
        <v>17</v>
      </c>
      <c r="G75" s="3" t="s">
        <v>204</v>
      </c>
      <c r="H75" s="3" t="s">
        <v>64</v>
      </c>
      <c r="I75" s="3" t="s">
        <v>25</v>
      </c>
      <c r="J75" s="3" t="s">
        <v>41</v>
      </c>
      <c r="K75" s="3" t="s">
        <v>9</v>
      </c>
      <c r="L75" s="3" t="s">
        <v>43</v>
      </c>
      <c r="M75">
        <v>1</v>
      </c>
    </row>
    <row r="76" spans="1:13" x14ac:dyDescent="0.25">
      <c r="A76" s="2">
        <v>46177</v>
      </c>
      <c r="B76" s="1" t="str">
        <f ca="1">IF(Información1[[#This Row],[Fecha]]='Ajuste de fechas'!$A$2,"Día actual","Día anterior")</f>
        <v>Día anterior</v>
      </c>
      <c r="C76" s="3" t="s">
        <v>31</v>
      </c>
      <c r="D76" t="s">
        <v>32</v>
      </c>
      <c r="E76" s="3" t="s">
        <v>205</v>
      </c>
      <c r="F76" s="3" t="s">
        <v>17</v>
      </c>
      <c r="G76" s="3" t="s">
        <v>74</v>
      </c>
      <c r="H76" s="3" t="s">
        <v>64</v>
      </c>
      <c r="I76" s="3" t="s">
        <v>7</v>
      </c>
      <c r="J76" s="3" t="s">
        <v>41</v>
      </c>
      <c r="K76" s="3" t="s">
        <v>27</v>
      </c>
      <c r="L76" s="3" t="s">
        <v>42</v>
      </c>
      <c r="M76">
        <v>1</v>
      </c>
    </row>
    <row r="77" spans="1:13" x14ac:dyDescent="0.25">
      <c r="A77" s="2">
        <v>46177</v>
      </c>
      <c r="B77" s="1" t="str">
        <f ca="1">IF(Información1[[#This Row],[Fecha]]='Ajuste de fechas'!$A$2,"Día actual","Día anterior")</f>
        <v>Día anterior</v>
      </c>
      <c r="C77" s="3" t="s">
        <v>31</v>
      </c>
      <c r="D77" t="s">
        <v>32</v>
      </c>
      <c r="E77" s="3" t="s">
        <v>206</v>
      </c>
      <c r="F77" s="3" t="s">
        <v>15</v>
      </c>
      <c r="G77" s="3" t="s">
        <v>207</v>
      </c>
      <c r="H77" s="3" t="s">
        <v>64</v>
      </c>
      <c r="I77" s="3" t="s">
        <v>7</v>
      </c>
      <c r="J77" s="3" t="s">
        <v>41</v>
      </c>
      <c r="K77" s="3" t="s">
        <v>27</v>
      </c>
      <c r="L77" s="3" t="s">
        <v>44</v>
      </c>
      <c r="M77">
        <v>1</v>
      </c>
    </row>
    <row r="78" spans="1:13" x14ac:dyDescent="0.25">
      <c r="A78" s="2">
        <v>46177</v>
      </c>
      <c r="B78" s="1" t="str">
        <f ca="1">IF(Información1[[#This Row],[Fecha]]='Ajuste de fechas'!$A$2,"Día actual","Día anterior")</f>
        <v>Día anterior</v>
      </c>
      <c r="C78" s="3" t="s">
        <v>31</v>
      </c>
      <c r="D78" t="s">
        <v>32</v>
      </c>
      <c r="E78" s="3" t="s">
        <v>208</v>
      </c>
      <c r="F78" s="3" t="s">
        <v>15</v>
      </c>
      <c r="G78" s="3" t="s">
        <v>107</v>
      </c>
      <c r="H78" s="3" t="s">
        <v>64</v>
      </c>
      <c r="I78" s="3" t="s">
        <v>7</v>
      </c>
      <c r="J78" s="3" t="s">
        <v>41</v>
      </c>
      <c r="K78" s="3" t="s">
        <v>27</v>
      </c>
      <c r="L78" s="3" t="s">
        <v>42</v>
      </c>
      <c r="M78">
        <v>1</v>
      </c>
    </row>
    <row r="79" spans="1:13" x14ac:dyDescent="0.25">
      <c r="A79" s="2">
        <v>46177</v>
      </c>
      <c r="B79" s="1" t="str">
        <f ca="1">IF(Información1[[#This Row],[Fecha]]='Ajuste de fechas'!$A$2,"Día actual","Día anterior")</f>
        <v>Día anterior</v>
      </c>
      <c r="C79" s="3" t="s">
        <v>31</v>
      </c>
      <c r="D79" t="s">
        <v>32</v>
      </c>
      <c r="E79" s="3" t="s">
        <v>209</v>
      </c>
      <c r="F79" s="3" t="s">
        <v>26</v>
      </c>
      <c r="G79" s="3" t="s">
        <v>210</v>
      </c>
      <c r="H79" s="3" t="s">
        <v>64</v>
      </c>
      <c r="I79" s="3" t="s">
        <v>7</v>
      </c>
      <c r="J79" s="3" t="s">
        <v>41</v>
      </c>
      <c r="K79" s="3" t="s">
        <v>27</v>
      </c>
      <c r="L79" s="3" t="s">
        <v>42</v>
      </c>
      <c r="M79">
        <v>1</v>
      </c>
    </row>
    <row r="80" spans="1:13" x14ac:dyDescent="0.25">
      <c r="A80" s="2">
        <v>46177</v>
      </c>
      <c r="B80" s="1" t="str">
        <f ca="1">IF(Información1[[#This Row],[Fecha]]='Ajuste de fechas'!$A$2,"Día actual","Día anterior")</f>
        <v>Día anterior</v>
      </c>
      <c r="C80" s="3" t="s">
        <v>31</v>
      </c>
      <c r="D80" t="s">
        <v>32</v>
      </c>
      <c r="E80" s="3" t="s">
        <v>211</v>
      </c>
      <c r="F80" s="3" t="s">
        <v>33</v>
      </c>
      <c r="G80" s="3" t="s">
        <v>194</v>
      </c>
      <c r="H80" s="3" t="s">
        <v>64</v>
      </c>
      <c r="I80" s="3" t="s">
        <v>7</v>
      </c>
      <c r="J80" s="3" t="s">
        <v>41</v>
      </c>
      <c r="K80" s="3" t="s">
        <v>27</v>
      </c>
      <c r="L80" s="3" t="s">
        <v>42</v>
      </c>
      <c r="M80">
        <v>1</v>
      </c>
    </row>
    <row r="81" spans="1:13" x14ac:dyDescent="0.25">
      <c r="A81" s="2">
        <v>46177</v>
      </c>
      <c r="B81" s="1" t="str">
        <f ca="1">IF(Información1[[#This Row],[Fecha]]='Ajuste de fechas'!$A$2,"Día actual","Día anterior")</f>
        <v>Día anterior</v>
      </c>
      <c r="C81" s="3" t="s">
        <v>31</v>
      </c>
      <c r="D81" t="s">
        <v>32</v>
      </c>
      <c r="E81" s="3" t="s">
        <v>212</v>
      </c>
      <c r="F81" s="3" t="s">
        <v>6</v>
      </c>
      <c r="G81" s="3" t="s">
        <v>128</v>
      </c>
      <c r="H81" s="3" t="s">
        <v>64</v>
      </c>
      <c r="I81" s="3" t="s">
        <v>7</v>
      </c>
      <c r="J81" s="3" t="s">
        <v>41</v>
      </c>
      <c r="K81" s="3" t="s">
        <v>27</v>
      </c>
      <c r="L81" s="3" t="s">
        <v>42</v>
      </c>
      <c r="M81">
        <v>1</v>
      </c>
    </row>
    <row r="82" spans="1:13" x14ac:dyDescent="0.25">
      <c r="A82" s="2">
        <v>46177</v>
      </c>
      <c r="B82" s="1" t="str">
        <f ca="1">IF(Información1[[#This Row],[Fecha]]='Ajuste de fechas'!$A$2,"Día actual","Día anterior")</f>
        <v>Día anterior</v>
      </c>
      <c r="C82" s="3" t="s">
        <v>31</v>
      </c>
      <c r="D82" t="s">
        <v>32</v>
      </c>
      <c r="E82" s="3" t="s">
        <v>116</v>
      </c>
      <c r="F82" s="3" t="s">
        <v>114</v>
      </c>
      <c r="G82" s="3" t="s">
        <v>115</v>
      </c>
      <c r="H82" s="3" t="s">
        <v>64</v>
      </c>
      <c r="I82" s="3" t="s">
        <v>7</v>
      </c>
      <c r="J82" s="3" t="s">
        <v>41</v>
      </c>
      <c r="K82" s="3" t="s">
        <v>27</v>
      </c>
      <c r="L82" s="3" t="s">
        <v>44</v>
      </c>
      <c r="M82">
        <v>1</v>
      </c>
    </row>
    <row r="83" spans="1:13" x14ac:dyDescent="0.25">
      <c r="A83" s="2">
        <v>46177</v>
      </c>
      <c r="B83" s="1" t="str">
        <f ca="1">IF(Información1[[#This Row],[Fecha]]='Ajuste de fechas'!$A$2,"Día actual","Día anterior")</f>
        <v>Día anterior</v>
      </c>
      <c r="C83" s="3" t="s">
        <v>31</v>
      </c>
      <c r="D83" t="s">
        <v>32</v>
      </c>
      <c r="E83" s="3" t="s">
        <v>213</v>
      </c>
      <c r="F83" s="3" t="s">
        <v>19</v>
      </c>
      <c r="G83" s="3" t="s">
        <v>79</v>
      </c>
      <c r="H83" s="3" t="s">
        <v>64</v>
      </c>
      <c r="I83" s="3" t="s">
        <v>7</v>
      </c>
      <c r="J83" s="3" t="s">
        <v>45</v>
      </c>
      <c r="K83" s="3" t="s">
        <v>27</v>
      </c>
      <c r="L83" s="3" t="s">
        <v>43</v>
      </c>
      <c r="M83">
        <v>1</v>
      </c>
    </row>
    <row r="84" spans="1:13" x14ac:dyDescent="0.25">
      <c r="A84" s="2">
        <v>46177</v>
      </c>
      <c r="B84" s="1" t="str">
        <f ca="1">IF(Información1[[#This Row],[Fecha]]='Ajuste de fechas'!$A$2,"Día actual","Día anterior")</f>
        <v>Día anterior</v>
      </c>
      <c r="C84" s="3" t="s">
        <v>31</v>
      </c>
      <c r="D84" t="s">
        <v>32</v>
      </c>
      <c r="E84" s="3" t="s">
        <v>214</v>
      </c>
      <c r="F84" s="3" t="s">
        <v>19</v>
      </c>
      <c r="G84" s="3" t="s">
        <v>79</v>
      </c>
      <c r="H84" s="3" t="s">
        <v>64</v>
      </c>
      <c r="I84" s="3" t="s">
        <v>7</v>
      </c>
      <c r="J84" s="3" t="s">
        <v>45</v>
      </c>
      <c r="K84" s="3" t="s">
        <v>27</v>
      </c>
      <c r="L84" s="3" t="s">
        <v>42</v>
      </c>
      <c r="M84">
        <v>1</v>
      </c>
    </row>
    <row r="85" spans="1:13" x14ac:dyDescent="0.25">
      <c r="A85" s="2">
        <v>46177</v>
      </c>
      <c r="B85" s="1" t="str">
        <f ca="1">IF(Información1[[#This Row],[Fecha]]='Ajuste de fechas'!$A$2,"Día actual","Día anterior")</f>
        <v>Día anterior</v>
      </c>
      <c r="C85" s="3" t="s">
        <v>31</v>
      </c>
      <c r="D85" t="s">
        <v>32</v>
      </c>
      <c r="E85" s="3" t="s">
        <v>215</v>
      </c>
      <c r="F85" s="3" t="s">
        <v>98</v>
      </c>
      <c r="G85" s="3" t="s">
        <v>216</v>
      </c>
      <c r="H85" s="3" t="s">
        <v>64</v>
      </c>
      <c r="I85" s="3" t="s">
        <v>7</v>
      </c>
      <c r="J85" s="3" t="s">
        <v>41</v>
      </c>
      <c r="K85" s="3" t="s">
        <v>27</v>
      </c>
      <c r="L85" s="3" t="s">
        <v>42</v>
      </c>
      <c r="M85">
        <v>1</v>
      </c>
    </row>
    <row r="86" spans="1:13" x14ac:dyDescent="0.25">
      <c r="A86" s="2">
        <v>46177</v>
      </c>
      <c r="B86" s="1" t="str">
        <f ca="1">IF(Información1[[#This Row],[Fecha]]='Ajuste de fechas'!$A$2,"Día actual","Día anterior")</f>
        <v>Día anterior</v>
      </c>
      <c r="C86" s="3" t="s">
        <v>31</v>
      </c>
      <c r="D86" t="s">
        <v>32</v>
      </c>
      <c r="E86" s="3" t="s">
        <v>217</v>
      </c>
      <c r="F86" s="3" t="s">
        <v>17</v>
      </c>
      <c r="G86" s="3" t="s">
        <v>105</v>
      </c>
      <c r="H86" s="3" t="s">
        <v>64</v>
      </c>
      <c r="I86" s="3" t="s">
        <v>7</v>
      </c>
      <c r="J86" s="3" t="s">
        <v>41</v>
      </c>
      <c r="K86" s="3" t="s">
        <v>27</v>
      </c>
      <c r="L86" s="3" t="s">
        <v>42</v>
      </c>
      <c r="M86">
        <v>1</v>
      </c>
    </row>
    <row r="87" spans="1:13" x14ac:dyDescent="0.25">
      <c r="A87" s="2">
        <v>46177</v>
      </c>
      <c r="B87" s="1" t="str">
        <f ca="1">IF(Información1[[#This Row],[Fecha]]='Ajuste de fechas'!$A$2,"Día actual","Día anterior")</f>
        <v>Día anterior</v>
      </c>
      <c r="C87" s="3" t="s">
        <v>31</v>
      </c>
      <c r="D87" t="s">
        <v>32</v>
      </c>
      <c r="E87" s="3" t="s">
        <v>218</v>
      </c>
      <c r="F87" s="3" t="s">
        <v>15</v>
      </c>
      <c r="G87" s="3" t="s">
        <v>66</v>
      </c>
      <c r="H87" s="3" t="s">
        <v>64</v>
      </c>
      <c r="I87" s="3" t="s">
        <v>7</v>
      </c>
      <c r="J87" s="3" t="s">
        <v>41</v>
      </c>
      <c r="K87" s="3" t="s">
        <v>27</v>
      </c>
      <c r="L87" s="3" t="s">
        <v>43</v>
      </c>
      <c r="M87">
        <v>1</v>
      </c>
    </row>
    <row r="88" spans="1:13" x14ac:dyDescent="0.25">
      <c r="A88" s="2">
        <v>46177</v>
      </c>
      <c r="B88" s="1" t="str">
        <f ca="1">IF(Información1[[#This Row],[Fecha]]='Ajuste de fechas'!$A$2,"Día actual","Día anterior")</f>
        <v>Día anterior</v>
      </c>
      <c r="C88" s="3" t="s">
        <v>162</v>
      </c>
      <c r="D88" t="s">
        <v>163</v>
      </c>
      <c r="E88" s="3" t="s">
        <v>219</v>
      </c>
      <c r="F88" s="3" t="s">
        <v>26</v>
      </c>
      <c r="G88" s="3" t="s">
        <v>207</v>
      </c>
      <c r="H88" s="3" t="s">
        <v>64</v>
      </c>
      <c r="I88" s="3" t="s">
        <v>7</v>
      </c>
      <c r="J88" s="3" t="s">
        <v>41</v>
      </c>
      <c r="K88" s="3" t="s">
        <v>52</v>
      </c>
      <c r="L88" s="3" t="s">
        <v>42</v>
      </c>
      <c r="M88">
        <v>1</v>
      </c>
    </row>
    <row r="89" spans="1:13" x14ac:dyDescent="0.25">
      <c r="A89" s="2">
        <v>46177</v>
      </c>
      <c r="B89" s="1" t="str">
        <f ca="1">IF(Información1[[#This Row],[Fecha]]='Ajuste de fechas'!$A$2,"Día actual","Día anterior")</f>
        <v>Día anterior</v>
      </c>
      <c r="C89" s="3" t="s">
        <v>162</v>
      </c>
      <c r="D89" t="s">
        <v>163</v>
      </c>
      <c r="E89" s="3" t="s">
        <v>153</v>
      </c>
      <c r="F89" s="3" t="s">
        <v>23</v>
      </c>
      <c r="G89" s="3" t="s">
        <v>154</v>
      </c>
      <c r="H89" s="3" t="s">
        <v>64</v>
      </c>
      <c r="I89" s="3" t="s">
        <v>7</v>
      </c>
      <c r="J89" s="3" t="s">
        <v>41</v>
      </c>
      <c r="K89" s="3" t="s">
        <v>52</v>
      </c>
      <c r="L89" s="3" t="s">
        <v>44</v>
      </c>
      <c r="M89">
        <v>1</v>
      </c>
    </row>
    <row r="90" spans="1:13" x14ac:dyDescent="0.25">
      <c r="A90" s="2">
        <v>46177</v>
      </c>
      <c r="B90" s="1" t="str">
        <f ca="1">IF(Información1[[#This Row],[Fecha]]='Ajuste de fechas'!$A$2,"Día actual","Día anterior")</f>
        <v>Día anterior</v>
      </c>
      <c r="C90" s="3" t="s">
        <v>162</v>
      </c>
      <c r="D90" t="s">
        <v>163</v>
      </c>
      <c r="E90" s="3" t="s">
        <v>220</v>
      </c>
      <c r="F90" s="3" t="s">
        <v>21</v>
      </c>
      <c r="G90" s="3" t="s">
        <v>221</v>
      </c>
      <c r="H90" s="3" t="s">
        <v>64</v>
      </c>
      <c r="I90" s="3" t="s">
        <v>7</v>
      </c>
      <c r="J90" s="3" t="s">
        <v>41</v>
      </c>
      <c r="K90" s="3" t="s">
        <v>52</v>
      </c>
      <c r="L90" s="3" t="s">
        <v>44</v>
      </c>
      <c r="M90">
        <v>1</v>
      </c>
    </row>
    <row r="91" spans="1:13" x14ac:dyDescent="0.25">
      <c r="A91" s="2">
        <v>46177</v>
      </c>
      <c r="B91" s="1" t="str">
        <f ca="1">IF(Información1[[#This Row],[Fecha]]='Ajuste de fechas'!$A$2,"Día actual","Día anterior")</f>
        <v>Día anterior</v>
      </c>
      <c r="C91" s="3" t="s">
        <v>162</v>
      </c>
      <c r="D91" t="s">
        <v>163</v>
      </c>
      <c r="E91" s="3" t="s">
        <v>222</v>
      </c>
      <c r="F91" s="3" t="s">
        <v>164</v>
      </c>
      <c r="G91" s="3" t="s">
        <v>223</v>
      </c>
      <c r="H91" s="3" t="s">
        <v>64</v>
      </c>
      <c r="I91" s="3" t="s">
        <v>7</v>
      </c>
      <c r="J91" s="3" t="s">
        <v>41</v>
      </c>
      <c r="K91" s="3" t="s">
        <v>52</v>
      </c>
      <c r="L91" s="3" t="s">
        <v>44</v>
      </c>
      <c r="M91">
        <v>1</v>
      </c>
    </row>
    <row r="92" spans="1:13" x14ac:dyDescent="0.25">
      <c r="A92" s="2">
        <v>46177</v>
      </c>
      <c r="B92" s="1" t="str">
        <f ca="1">IF(Información1[[#This Row],[Fecha]]='Ajuste de fechas'!$A$2,"Día actual","Día anterior")</f>
        <v>Día anterior</v>
      </c>
      <c r="C92" s="3" t="s">
        <v>162</v>
      </c>
      <c r="D92" t="s">
        <v>163</v>
      </c>
      <c r="E92" s="3" t="s">
        <v>165</v>
      </c>
      <c r="F92" s="3" t="s">
        <v>21</v>
      </c>
      <c r="G92" s="3" t="s">
        <v>166</v>
      </c>
      <c r="H92" s="3" t="s">
        <v>64</v>
      </c>
      <c r="I92" s="3" t="s">
        <v>7</v>
      </c>
      <c r="J92" s="3" t="s">
        <v>41</v>
      </c>
      <c r="K92" s="3" t="s">
        <v>52</v>
      </c>
      <c r="L92" s="3" t="s">
        <v>44</v>
      </c>
      <c r="M92">
        <v>1</v>
      </c>
    </row>
    <row r="93" spans="1:13" x14ac:dyDescent="0.25">
      <c r="A93" s="2">
        <v>46177</v>
      </c>
      <c r="B93" s="1" t="str">
        <f ca="1">IF(Información1[[#This Row],[Fecha]]='Ajuste de fechas'!$A$2,"Día actual","Día anterior")</f>
        <v>Día anterior</v>
      </c>
      <c r="C93" s="3" t="s">
        <v>162</v>
      </c>
      <c r="D93" t="s">
        <v>163</v>
      </c>
      <c r="E93" s="3" t="s">
        <v>129</v>
      </c>
      <c r="F93" s="3" t="s">
        <v>6</v>
      </c>
      <c r="G93" s="3" t="s">
        <v>130</v>
      </c>
      <c r="H93" s="3" t="s">
        <v>64</v>
      </c>
      <c r="I93" s="3" t="s">
        <v>7</v>
      </c>
      <c r="J93" s="3" t="s">
        <v>41</v>
      </c>
      <c r="K93" s="3" t="s">
        <v>52</v>
      </c>
      <c r="L93" s="3" t="s">
        <v>44</v>
      </c>
      <c r="M93">
        <v>1</v>
      </c>
    </row>
    <row r="94" spans="1:13" x14ac:dyDescent="0.25">
      <c r="A94" s="2">
        <v>46177</v>
      </c>
      <c r="B94" s="1" t="str">
        <f ca="1">IF(Información1[[#This Row],[Fecha]]='Ajuste de fechas'!$A$2,"Día actual","Día anterior")</f>
        <v>Día anterior</v>
      </c>
      <c r="C94" s="3" t="s">
        <v>162</v>
      </c>
      <c r="D94" t="s">
        <v>163</v>
      </c>
      <c r="E94" s="3" t="s">
        <v>224</v>
      </c>
      <c r="F94" s="3" t="s">
        <v>17</v>
      </c>
      <c r="G94" s="3" t="s">
        <v>225</v>
      </c>
      <c r="H94" s="3" t="s">
        <v>64</v>
      </c>
      <c r="I94" s="3" t="s">
        <v>7</v>
      </c>
      <c r="J94" s="3" t="s">
        <v>41</v>
      </c>
      <c r="K94" s="3" t="s">
        <v>52</v>
      </c>
      <c r="L94" s="3" t="s">
        <v>44</v>
      </c>
      <c r="M94">
        <v>1</v>
      </c>
    </row>
    <row r="95" spans="1:13" x14ac:dyDescent="0.25">
      <c r="A95" s="2">
        <v>46177</v>
      </c>
      <c r="B95" s="1" t="str">
        <f ca="1">IF(Información1[[#This Row],[Fecha]]='Ajuste de fechas'!$A$2,"Día actual","Día anterior")</f>
        <v>Día anterior</v>
      </c>
      <c r="C95" s="3" t="s">
        <v>162</v>
      </c>
      <c r="D95" t="s">
        <v>163</v>
      </c>
      <c r="E95" s="3" t="s">
        <v>226</v>
      </c>
      <c r="F95" s="3" t="s">
        <v>98</v>
      </c>
      <c r="G95" s="3" t="s">
        <v>99</v>
      </c>
      <c r="H95" s="3" t="s">
        <v>64</v>
      </c>
      <c r="I95" s="3" t="s">
        <v>7</v>
      </c>
      <c r="J95" s="3" t="s">
        <v>41</v>
      </c>
      <c r="K95" s="3" t="s">
        <v>52</v>
      </c>
      <c r="L95" s="3" t="s">
        <v>44</v>
      </c>
      <c r="M95">
        <v>1</v>
      </c>
    </row>
    <row r="96" spans="1:13" x14ac:dyDescent="0.25">
      <c r="A96" s="2">
        <v>46177</v>
      </c>
      <c r="B96" s="1" t="str">
        <f ca="1">IF(Información1[[#This Row],[Fecha]]='Ajuste de fechas'!$A$2,"Día actual","Día anterior")</f>
        <v>Día anterior</v>
      </c>
      <c r="C96" s="3" t="s">
        <v>162</v>
      </c>
      <c r="D96" t="s">
        <v>163</v>
      </c>
      <c r="E96" s="3" t="s">
        <v>226</v>
      </c>
      <c r="F96" s="3" t="s">
        <v>33</v>
      </c>
      <c r="G96" s="3" t="s">
        <v>99</v>
      </c>
      <c r="H96" s="3" t="s">
        <v>64</v>
      </c>
      <c r="I96" s="3" t="s">
        <v>7</v>
      </c>
      <c r="J96" s="3" t="s">
        <v>41</v>
      </c>
      <c r="K96" s="3" t="s">
        <v>52</v>
      </c>
      <c r="L96" s="3" t="s">
        <v>44</v>
      </c>
      <c r="M96">
        <v>1</v>
      </c>
    </row>
    <row r="97" spans="1:13" x14ac:dyDescent="0.25">
      <c r="A97" s="2">
        <v>46177</v>
      </c>
      <c r="B97" s="1" t="str">
        <f ca="1">IF(Información1[[#This Row],[Fecha]]='Ajuste de fechas'!$A$2,"Día actual","Día anterior")</f>
        <v>Día anterior</v>
      </c>
      <c r="C97" s="3" t="s">
        <v>162</v>
      </c>
      <c r="D97" t="s">
        <v>163</v>
      </c>
      <c r="E97" s="3" t="s">
        <v>227</v>
      </c>
      <c r="F97" s="3" t="s">
        <v>19</v>
      </c>
      <c r="G97" s="3" t="s">
        <v>228</v>
      </c>
      <c r="H97" s="3" t="s">
        <v>64</v>
      </c>
      <c r="I97" s="3" t="s">
        <v>7</v>
      </c>
      <c r="J97" s="3" t="s">
        <v>45</v>
      </c>
      <c r="K97" s="3" t="s">
        <v>229</v>
      </c>
      <c r="L97" s="3" t="s">
        <v>42</v>
      </c>
      <c r="M97">
        <v>1</v>
      </c>
    </row>
    <row r="98" spans="1:13" x14ac:dyDescent="0.25">
      <c r="A98" s="2">
        <v>46177</v>
      </c>
      <c r="B98" s="1" t="str">
        <f ca="1">IF(Información1[[#This Row],[Fecha]]='Ajuste de fechas'!$A$2,"Día actual","Día anterior")</f>
        <v>Día anterior</v>
      </c>
      <c r="C98" s="3" t="s">
        <v>162</v>
      </c>
      <c r="D98" t="s">
        <v>163</v>
      </c>
      <c r="E98" s="3" t="s">
        <v>161</v>
      </c>
      <c r="F98" s="3" t="s">
        <v>17</v>
      </c>
      <c r="G98" s="3" t="s">
        <v>74</v>
      </c>
      <c r="H98" s="3" t="s">
        <v>64</v>
      </c>
      <c r="I98" s="3" t="s">
        <v>7</v>
      </c>
      <c r="J98" s="3" t="s">
        <v>41</v>
      </c>
      <c r="K98" s="3" t="s">
        <v>52</v>
      </c>
      <c r="L98" s="3" t="s">
        <v>44</v>
      </c>
      <c r="M98">
        <v>1</v>
      </c>
    </row>
    <row r="99" spans="1:13" x14ac:dyDescent="0.25">
      <c r="A99" s="2">
        <v>46177</v>
      </c>
      <c r="B99" s="1" t="str">
        <f ca="1">IF(Información1[[#This Row],[Fecha]]='Ajuste de fechas'!$A$2,"Día actual","Día anterior")</f>
        <v>Día anterior</v>
      </c>
      <c r="C99" s="3" t="s">
        <v>162</v>
      </c>
      <c r="D99" t="s">
        <v>163</v>
      </c>
      <c r="E99" s="3" t="s">
        <v>190</v>
      </c>
      <c r="F99" s="3" t="s">
        <v>17</v>
      </c>
      <c r="G99" s="3" t="s">
        <v>74</v>
      </c>
      <c r="H99" s="3" t="s">
        <v>64</v>
      </c>
      <c r="I99" s="3" t="s">
        <v>7</v>
      </c>
      <c r="J99" s="3" t="s">
        <v>41</v>
      </c>
      <c r="K99" s="3" t="s">
        <v>52</v>
      </c>
      <c r="L99" s="3" t="s">
        <v>44</v>
      </c>
      <c r="M99">
        <v>1</v>
      </c>
    </row>
    <row r="100" spans="1:13" x14ac:dyDescent="0.25">
      <c r="A100" s="2">
        <v>46177</v>
      </c>
      <c r="B100" s="1" t="str">
        <f ca="1">IF(Información1[[#This Row],[Fecha]]='Ajuste de fechas'!$A$2,"Día actual","Día anterior")</f>
        <v>Día anterior</v>
      </c>
      <c r="C100" s="3" t="s">
        <v>162</v>
      </c>
      <c r="D100" t="s">
        <v>163</v>
      </c>
      <c r="E100" s="3" t="s">
        <v>230</v>
      </c>
      <c r="F100" s="3" t="s">
        <v>157</v>
      </c>
      <c r="G100" s="3" t="s">
        <v>106</v>
      </c>
      <c r="H100" s="3" t="s">
        <v>64</v>
      </c>
      <c r="I100" s="3" t="s">
        <v>7</v>
      </c>
      <c r="J100" s="3" t="s">
        <v>41</v>
      </c>
      <c r="K100" s="3" t="s">
        <v>52</v>
      </c>
      <c r="L100" s="3" t="s">
        <v>44</v>
      </c>
      <c r="M100">
        <v>1</v>
      </c>
    </row>
    <row r="101" spans="1:13" x14ac:dyDescent="0.25">
      <c r="A101" s="2">
        <v>46177</v>
      </c>
      <c r="B101" s="1" t="str">
        <f ca="1">IF(Información1[[#This Row],[Fecha]]='Ajuste de fechas'!$A$2,"Día actual","Día anterior")</f>
        <v>Día anterior</v>
      </c>
      <c r="C101" s="3" t="s">
        <v>162</v>
      </c>
      <c r="D101" t="s">
        <v>163</v>
      </c>
      <c r="E101" s="3" t="s">
        <v>231</v>
      </c>
      <c r="F101" s="3" t="s">
        <v>62</v>
      </c>
      <c r="G101" s="3" t="s">
        <v>232</v>
      </c>
      <c r="H101" s="3" t="s">
        <v>64</v>
      </c>
      <c r="I101" s="3" t="s">
        <v>7</v>
      </c>
      <c r="J101" s="3" t="s">
        <v>41</v>
      </c>
      <c r="K101" s="3" t="s">
        <v>52</v>
      </c>
      <c r="L101" s="3" t="s">
        <v>44</v>
      </c>
      <c r="M101">
        <v>1</v>
      </c>
    </row>
    <row r="102" spans="1:13" x14ac:dyDescent="0.25">
      <c r="A102" s="2">
        <v>46177</v>
      </c>
      <c r="B102" s="1" t="str">
        <f ca="1">IF(Información1[[#This Row],[Fecha]]='Ajuste de fechas'!$A$2,"Día actual","Día anterior")</f>
        <v>Día anterior</v>
      </c>
      <c r="C102" s="3" t="s">
        <v>162</v>
      </c>
      <c r="D102" t="s">
        <v>163</v>
      </c>
      <c r="E102" s="3" t="s">
        <v>116</v>
      </c>
      <c r="F102" s="3" t="s">
        <v>114</v>
      </c>
      <c r="G102" s="3" t="s">
        <v>115</v>
      </c>
      <c r="H102" s="3" t="s">
        <v>64</v>
      </c>
      <c r="I102" s="3" t="s">
        <v>7</v>
      </c>
      <c r="J102" s="3" t="s">
        <v>41</v>
      </c>
      <c r="K102" s="3" t="s">
        <v>52</v>
      </c>
      <c r="L102" s="3" t="s">
        <v>44</v>
      </c>
      <c r="M102">
        <v>1</v>
      </c>
    </row>
    <row r="103" spans="1:13" x14ac:dyDescent="0.25">
      <c r="A103" s="2">
        <v>46177</v>
      </c>
      <c r="B103" s="1" t="str">
        <f ca="1">IF(Información1[[#This Row],[Fecha]]='Ajuste de fechas'!$A$2,"Día actual","Día anterior")</f>
        <v>Día anterior</v>
      </c>
      <c r="C103" s="3" t="s">
        <v>162</v>
      </c>
      <c r="D103" t="s">
        <v>163</v>
      </c>
      <c r="E103" s="3" t="s">
        <v>233</v>
      </c>
      <c r="F103" s="3" t="s">
        <v>33</v>
      </c>
      <c r="G103" s="3" t="s">
        <v>234</v>
      </c>
      <c r="H103" s="3" t="s">
        <v>64</v>
      </c>
      <c r="I103" s="3" t="s">
        <v>7</v>
      </c>
      <c r="J103" s="3" t="s">
        <v>41</v>
      </c>
      <c r="K103" s="3" t="s">
        <v>52</v>
      </c>
      <c r="L103" s="3" t="s">
        <v>44</v>
      </c>
      <c r="M103">
        <v>1</v>
      </c>
    </row>
    <row r="104" spans="1:13" x14ac:dyDescent="0.25">
      <c r="A104" s="2">
        <v>46177</v>
      </c>
      <c r="B104" s="1" t="str">
        <f ca="1">IF(Información1[[#This Row],[Fecha]]='Ajuste de fechas'!$A$2,"Día actual","Día anterior")</f>
        <v>Día anterior</v>
      </c>
      <c r="C104" s="3" t="s">
        <v>162</v>
      </c>
      <c r="D104" t="s">
        <v>163</v>
      </c>
      <c r="E104" s="3" t="s">
        <v>126</v>
      </c>
      <c r="F104" s="3" t="s">
        <v>67</v>
      </c>
      <c r="G104" s="3" t="s">
        <v>125</v>
      </c>
      <c r="H104" s="3" t="s">
        <v>64</v>
      </c>
      <c r="I104" s="3" t="s">
        <v>7</v>
      </c>
      <c r="J104" s="3" t="s">
        <v>41</v>
      </c>
      <c r="K104" s="3" t="s">
        <v>52</v>
      </c>
      <c r="L104" s="3" t="s">
        <v>44</v>
      </c>
      <c r="M104">
        <v>1</v>
      </c>
    </row>
    <row r="105" spans="1:13" x14ac:dyDescent="0.25">
      <c r="A105" s="2">
        <v>46178</v>
      </c>
      <c r="B105" s="1" t="str">
        <f ca="1">IF(Información1[[#This Row],[Fecha]]='Ajuste de fechas'!$A$2,"Día actual","Día anterior")</f>
        <v>Día actual</v>
      </c>
      <c r="C105" s="3" t="s">
        <v>68</v>
      </c>
      <c r="D105" t="s">
        <v>69</v>
      </c>
      <c r="E105" s="3" t="s">
        <v>235</v>
      </c>
      <c r="F105" s="3" t="s">
        <v>21</v>
      </c>
      <c r="G105" s="3" t="s">
        <v>56</v>
      </c>
      <c r="H105" s="3" t="s">
        <v>11</v>
      </c>
      <c r="I105" s="3" t="s">
        <v>7</v>
      </c>
      <c r="J105" s="3" t="s">
        <v>41</v>
      </c>
      <c r="K105" s="3" t="s">
        <v>70</v>
      </c>
      <c r="L105" s="3" t="s">
        <v>42</v>
      </c>
      <c r="M105">
        <v>1</v>
      </c>
    </row>
    <row r="106" spans="1:13" x14ac:dyDescent="0.25">
      <c r="A106" s="2">
        <v>46178</v>
      </c>
      <c r="B106" s="1" t="str">
        <f ca="1">IF(Información1[[#This Row],[Fecha]]='Ajuste de fechas'!$A$2,"Día actual","Día anterior")</f>
        <v>Día actual</v>
      </c>
      <c r="C106" s="3" t="s">
        <v>68</v>
      </c>
      <c r="D106" t="s">
        <v>69</v>
      </c>
      <c r="E106" s="3" t="s">
        <v>236</v>
      </c>
      <c r="F106" s="3" t="s">
        <v>21</v>
      </c>
      <c r="G106" s="3" t="s">
        <v>237</v>
      </c>
      <c r="H106" s="3" t="s">
        <v>11</v>
      </c>
      <c r="I106" s="3" t="s">
        <v>7</v>
      </c>
      <c r="J106" s="3" t="s">
        <v>41</v>
      </c>
      <c r="K106" s="3" t="s">
        <v>70</v>
      </c>
      <c r="L106" s="3" t="s">
        <v>44</v>
      </c>
      <c r="M106">
        <v>1</v>
      </c>
    </row>
    <row r="107" spans="1:13" x14ac:dyDescent="0.25">
      <c r="A107" s="2">
        <v>46178</v>
      </c>
      <c r="B107" s="1" t="str">
        <f ca="1">IF(Información1[[#This Row],[Fecha]]='Ajuste de fechas'!$A$2,"Día actual","Día anterior")</f>
        <v>Día actual</v>
      </c>
      <c r="C107" s="3" t="s">
        <v>68</v>
      </c>
      <c r="D107" t="s">
        <v>69</v>
      </c>
      <c r="E107" s="3" t="s">
        <v>238</v>
      </c>
      <c r="F107" s="3" t="s">
        <v>67</v>
      </c>
      <c r="G107" s="3" t="s">
        <v>239</v>
      </c>
      <c r="H107" s="3" t="s">
        <v>11</v>
      </c>
      <c r="I107" s="3" t="s">
        <v>12</v>
      </c>
      <c r="J107" s="3" t="s">
        <v>41</v>
      </c>
      <c r="K107" s="3" t="s">
        <v>70</v>
      </c>
      <c r="L107" s="3" t="s">
        <v>43</v>
      </c>
      <c r="M107">
        <v>1</v>
      </c>
    </row>
    <row r="108" spans="1:13" x14ac:dyDescent="0.25">
      <c r="A108" s="2">
        <v>46178</v>
      </c>
      <c r="B108" s="1" t="str">
        <f ca="1">IF(Información1[[#This Row],[Fecha]]='Ajuste de fechas'!$A$2,"Día actual","Día anterior")</f>
        <v>Día actual</v>
      </c>
      <c r="C108" s="3" t="s">
        <v>68</v>
      </c>
      <c r="D108" t="s">
        <v>69</v>
      </c>
      <c r="E108" s="3" t="s">
        <v>240</v>
      </c>
      <c r="F108" s="3" t="s">
        <v>67</v>
      </c>
      <c r="G108" s="3" t="s">
        <v>239</v>
      </c>
      <c r="H108" s="3" t="s">
        <v>11</v>
      </c>
      <c r="I108" s="3" t="s">
        <v>7</v>
      </c>
      <c r="J108" s="3" t="s">
        <v>41</v>
      </c>
      <c r="K108" s="3" t="s">
        <v>70</v>
      </c>
      <c r="L108" s="3" t="s">
        <v>44</v>
      </c>
      <c r="M108">
        <v>1</v>
      </c>
    </row>
    <row r="109" spans="1:13" x14ac:dyDescent="0.25">
      <c r="A109" s="2">
        <v>46178</v>
      </c>
      <c r="B109" s="1" t="str">
        <f ca="1">IF(Información1[[#This Row],[Fecha]]='Ajuste de fechas'!$A$2,"Día actual","Día anterior")</f>
        <v>Día actual</v>
      </c>
      <c r="C109" s="3" t="s">
        <v>68</v>
      </c>
      <c r="D109" t="s">
        <v>69</v>
      </c>
      <c r="E109" s="3" t="s">
        <v>241</v>
      </c>
      <c r="F109" s="3" t="s">
        <v>19</v>
      </c>
      <c r="G109" s="3" t="s">
        <v>56</v>
      </c>
      <c r="H109" s="3" t="s">
        <v>11</v>
      </c>
      <c r="I109" s="3" t="s">
        <v>7</v>
      </c>
      <c r="J109" s="3" t="s">
        <v>45</v>
      </c>
      <c r="K109" s="3" t="s">
        <v>70</v>
      </c>
      <c r="L109" s="3" t="s">
        <v>42</v>
      </c>
      <c r="M109">
        <v>1</v>
      </c>
    </row>
    <row r="110" spans="1:13" x14ac:dyDescent="0.25">
      <c r="A110" s="2">
        <v>46178</v>
      </c>
      <c r="B110" s="1" t="str">
        <f ca="1">IF(Información1[[#This Row],[Fecha]]='Ajuste de fechas'!$A$2,"Día actual","Día anterior")</f>
        <v>Día actual</v>
      </c>
      <c r="C110" s="3" t="s">
        <v>68</v>
      </c>
      <c r="D110" t="s">
        <v>69</v>
      </c>
      <c r="E110" s="3" t="s">
        <v>242</v>
      </c>
      <c r="F110" s="3" t="s">
        <v>51</v>
      </c>
      <c r="G110" s="3" t="s">
        <v>154</v>
      </c>
      <c r="H110" s="3" t="s">
        <v>11</v>
      </c>
      <c r="I110" s="3" t="s">
        <v>7</v>
      </c>
      <c r="J110" s="3" t="s">
        <v>41</v>
      </c>
      <c r="K110" s="3" t="s">
        <v>70</v>
      </c>
      <c r="L110" s="3" t="s">
        <v>44</v>
      </c>
      <c r="M110">
        <v>1</v>
      </c>
    </row>
    <row r="111" spans="1:13" x14ac:dyDescent="0.25">
      <c r="A111" s="2">
        <v>46178</v>
      </c>
      <c r="B111" s="1" t="str">
        <f ca="1">IF(Información1[[#This Row],[Fecha]]='Ajuste de fechas'!$A$2,"Día actual","Día anterior")</f>
        <v>Día actual</v>
      </c>
      <c r="C111" s="3" t="s">
        <v>68</v>
      </c>
      <c r="D111" t="s">
        <v>69</v>
      </c>
      <c r="E111" s="3" t="s">
        <v>243</v>
      </c>
      <c r="F111" s="3" t="s">
        <v>51</v>
      </c>
      <c r="G111" s="3" t="s">
        <v>173</v>
      </c>
      <c r="H111" s="3" t="s">
        <v>11</v>
      </c>
      <c r="I111" s="3" t="s">
        <v>7</v>
      </c>
      <c r="J111" s="3" t="s">
        <v>41</v>
      </c>
      <c r="K111" s="3" t="s">
        <v>70</v>
      </c>
      <c r="L111" s="3" t="s">
        <v>42</v>
      </c>
      <c r="M111">
        <v>1</v>
      </c>
    </row>
    <row r="112" spans="1:13" x14ac:dyDescent="0.25">
      <c r="A112" s="2">
        <v>46178</v>
      </c>
      <c r="B112" s="1" t="str">
        <f ca="1">IF(Información1[[#This Row],[Fecha]]='Ajuste de fechas'!$A$2,"Día actual","Día anterior")</f>
        <v>Día actual</v>
      </c>
      <c r="C112" s="3" t="s">
        <v>68</v>
      </c>
      <c r="D112" t="s">
        <v>69</v>
      </c>
      <c r="E112" s="3" t="s">
        <v>244</v>
      </c>
      <c r="F112" s="3" t="s">
        <v>23</v>
      </c>
      <c r="G112" s="3" t="s">
        <v>245</v>
      </c>
      <c r="H112" s="3" t="s">
        <v>11</v>
      </c>
      <c r="I112" s="3" t="s">
        <v>7</v>
      </c>
      <c r="J112" s="3" t="s">
        <v>41</v>
      </c>
      <c r="K112" s="3" t="s">
        <v>70</v>
      </c>
      <c r="L112" s="3" t="s">
        <v>44</v>
      </c>
      <c r="M112">
        <v>1</v>
      </c>
    </row>
    <row r="113" spans="1:13" x14ac:dyDescent="0.25">
      <c r="A113" s="2">
        <v>46178</v>
      </c>
      <c r="B113" s="1" t="str">
        <f ca="1">IF(Información1[[#This Row],[Fecha]]='Ajuste de fechas'!$A$2,"Día actual","Día anterior")</f>
        <v>Día actual</v>
      </c>
      <c r="C113" s="3" t="s">
        <v>68</v>
      </c>
      <c r="D113" t="s">
        <v>69</v>
      </c>
      <c r="E113" s="3" t="s">
        <v>246</v>
      </c>
      <c r="F113" s="3" t="s">
        <v>19</v>
      </c>
      <c r="G113" s="3" t="s">
        <v>247</v>
      </c>
      <c r="H113" s="3" t="s">
        <v>11</v>
      </c>
      <c r="I113" s="3" t="s">
        <v>7</v>
      </c>
      <c r="J113" s="3" t="s">
        <v>45</v>
      </c>
      <c r="K113" s="3" t="s">
        <v>70</v>
      </c>
      <c r="L113" s="3" t="s">
        <v>42</v>
      </c>
      <c r="M113">
        <v>1</v>
      </c>
    </row>
    <row r="114" spans="1:13" x14ac:dyDescent="0.25">
      <c r="A114" s="2">
        <v>46178</v>
      </c>
      <c r="B114" s="1" t="str">
        <f ca="1">IF(Información1[[#This Row],[Fecha]]='Ajuste de fechas'!$A$2,"Día actual","Día anterior")</f>
        <v>Día actual</v>
      </c>
      <c r="C114" s="3" t="s">
        <v>68</v>
      </c>
      <c r="D114" t="s">
        <v>69</v>
      </c>
      <c r="E114" s="3" t="s">
        <v>248</v>
      </c>
      <c r="F114" s="3" t="s">
        <v>23</v>
      </c>
      <c r="G114" s="3" t="s">
        <v>249</v>
      </c>
      <c r="H114" s="3" t="s">
        <v>11</v>
      </c>
      <c r="I114" s="3" t="s">
        <v>7</v>
      </c>
      <c r="J114" s="3" t="s">
        <v>41</v>
      </c>
      <c r="K114" s="3" t="s">
        <v>70</v>
      </c>
      <c r="L114" s="3" t="s">
        <v>42</v>
      </c>
      <c r="M114">
        <v>1</v>
      </c>
    </row>
    <row r="115" spans="1:13" x14ac:dyDescent="0.25">
      <c r="A115" s="2">
        <v>46178</v>
      </c>
      <c r="B115" s="1" t="str">
        <f ca="1">IF(Información1[[#This Row],[Fecha]]='Ajuste de fechas'!$A$2,"Día actual","Día anterior")</f>
        <v>Día actual</v>
      </c>
      <c r="C115" s="3" t="s">
        <v>68</v>
      </c>
      <c r="D115" t="s">
        <v>69</v>
      </c>
      <c r="E115" s="3" t="s">
        <v>250</v>
      </c>
      <c r="F115" s="3" t="s">
        <v>22</v>
      </c>
      <c r="G115" s="3" t="s">
        <v>251</v>
      </c>
      <c r="H115" s="3" t="s">
        <v>11</v>
      </c>
      <c r="I115" s="3" t="s">
        <v>25</v>
      </c>
      <c r="J115" s="3" t="s">
        <v>46</v>
      </c>
      <c r="K115" s="3" t="s">
        <v>70</v>
      </c>
      <c r="L115" s="3" t="s">
        <v>42</v>
      </c>
      <c r="M115">
        <v>1</v>
      </c>
    </row>
    <row r="116" spans="1:13" x14ac:dyDescent="0.25">
      <c r="A116" s="2">
        <v>46178</v>
      </c>
      <c r="B116" s="1" t="str">
        <f ca="1">IF(Información1[[#This Row],[Fecha]]='Ajuste de fechas'!$A$2,"Día actual","Día anterior")</f>
        <v>Día actual</v>
      </c>
      <c r="C116" s="3" t="s">
        <v>68</v>
      </c>
      <c r="D116" t="s">
        <v>69</v>
      </c>
      <c r="E116" s="3" t="s">
        <v>252</v>
      </c>
      <c r="F116" s="3" t="s">
        <v>22</v>
      </c>
      <c r="G116" s="3" t="s">
        <v>115</v>
      </c>
      <c r="H116" s="3" t="s">
        <v>11</v>
      </c>
      <c r="I116" s="3" t="s">
        <v>7</v>
      </c>
      <c r="J116" s="3" t="s">
        <v>46</v>
      </c>
      <c r="K116" s="3" t="s">
        <v>70</v>
      </c>
      <c r="L116" s="3" t="s">
        <v>42</v>
      </c>
      <c r="M116">
        <v>1</v>
      </c>
    </row>
    <row r="117" spans="1:13" x14ac:dyDescent="0.25">
      <c r="A117" s="2">
        <v>46178</v>
      </c>
      <c r="B117" s="1" t="str">
        <f ca="1">IF(Información1[[#This Row],[Fecha]]='Ajuste de fechas'!$A$2,"Día actual","Día anterior")</f>
        <v>Día actual</v>
      </c>
      <c r="C117" s="3" t="s">
        <v>68</v>
      </c>
      <c r="D117" t="s">
        <v>69</v>
      </c>
      <c r="E117" s="3" t="s">
        <v>253</v>
      </c>
      <c r="F117" s="3" t="s">
        <v>19</v>
      </c>
      <c r="G117" s="3" t="s">
        <v>254</v>
      </c>
      <c r="H117" s="3" t="s">
        <v>11</v>
      </c>
      <c r="I117" s="3" t="s">
        <v>7</v>
      </c>
      <c r="J117" s="3" t="s">
        <v>45</v>
      </c>
      <c r="K117" s="3" t="s">
        <v>70</v>
      </c>
      <c r="L117" s="3" t="s">
        <v>42</v>
      </c>
      <c r="M117">
        <v>1</v>
      </c>
    </row>
    <row r="118" spans="1:13" x14ac:dyDescent="0.25">
      <c r="A118" s="2">
        <v>46178</v>
      </c>
      <c r="B118" s="1" t="str">
        <f ca="1">IF(Información1[[#This Row],[Fecha]]='Ajuste de fechas'!$A$2,"Día actual","Día anterior")</f>
        <v>Día actual</v>
      </c>
      <c r="C118" s="3" t="s">
        <v>68</v>
      </c>
      <c r="D118" t="s">
        <v>69</v>
      </c>
      <c r="E118" s="3" t="s">
        <v>255</v>
      </c>
      <c r="F118" s="3" t="s">
        <v>22</v>
      </c>
      <c r="G118" s="3" t="s">
        <v>256</v>
      </c>
      <c r="H118" s="3" t="s">
        <v>11</v>
      </c>
      <c r="I118" s="3" t="s">
        <v>25</v>
      </c>
      <c r="J118" s="3" t="s">
        <v>46</v>
      </c>
      <c r="K118" s="3" t="s">
        <v>70</v>
      </c>
      <c r="L118" s="3" t="s">
        <v>42</v>
      </c>
      <c r="M118">
        <v>1</v>
      </c>
    </row>
    <row r="119" spans="1:13" x14ac:dyDescent="0.25">
      <c r="A119" s="2">
        <v>46178</v>
      </c>
      <c r="B119" s="1" t="str">
        <f ca="1">IF(Información1[[#This Row],[Fecha]]='Ajuste de fechas'!$A$2,"Día actual","Día anterior")</f>
        <v>Día actual</v>
      </c>
      <c r="C119" s="3" t="s">
        <v>68</v>
      </c>
      <c r="D119" t="s">
        <v>69</v>
      </c>
      <c r="E119" s="3" t="s">
        <v>257</v>
      </c>
      <c r="F119" s="3" t="s">
        <v>19</v>
      </c>
      <c r="G119" s="3" t="s">
        <v>258</v>
      </c>
      <c r="H119" s="3" t="s">
        <v>11</v>
      </c>
      <c r="I119" s="3" t="s">
        <v>7</v>
      </c>
      <c r="J119" s="3" t="s">
        <v>45</v>
      </c>
      <c r="K119" s="3" t="s">
        <v>70</v>
      </c>
      <c r="L119" s="3" t="s">
        <v>42</v>
      </c>
      <c r="M119">
        <v>1</v>
      </c>
    </row>
    <row r="120" spans="1:13" x14ac:dyDescent="0.25">
      <c r="A120" s="2">
        <v>46178</v>
      </c>
      <c r="B120" s="1" t="str">
        <f ca="1">IF(Información1[[#This Row],[Fecha]]='Ajuste de fechas'!$A$2,"Día actual","Día anterior")</f>
        <v>Día actual</v>
      </c>
      <c r="C120" s="3" t="s">
        <v>68</v>
      </c>
      <c r="D120" t="s">
        <v>69</v>
      </c>
      <c r="E120" s="3" t="s">
        <v>71</v>
      </c>
      <c r="F120" s="3" t="s">
        <v>19</v>
      </c>
      <c r="G120" s="3" t="s">
        <v>63</v>
      </c>
      <c r="H120" s="3" t="s">
        <v>11</v>
      </c>
      <c r="I120" s="3" t="s">
        <v>7</v>
      </c>
      <c r="J120" s="3" t="s">
        <v>45</v>
      </c>
      <c r="K120" s="3" t="s">
        <v>70</v>
      </c>
      <c r="L120" s="3" t="s">
        <v>42</v>
      </c>
      <c r="M120">
        <v>1</v>
      </c>
    </row>
    <row r="121" spans="1:13" x14ac:dyDescent="0.25">
      <c r="A121" s="2">
        <v>46178</v>
      </c>
      <c r="B121" s="1" t="str">
        <f ca="1">IF(Información1[[#This Row],[Fecha]]='Ajuste de fechas'!$A$2,"Día actual","Día anterior")</f>
        <v>Día actual</v>
      </c>
      <c r="C121" s="3" t="s">
        <v>68</v>
      </c>
      <c r="D121" t="s">
        <v>69</v>
      </c>
      <c r="E121" s="3" t="s">
        <v>259</v>
      </c>
      <c r="F121" s="3" t="s">
        <v>6</v>
      </c>
      <c r="G121" s="3" t="s">
        <v>260</v>
      </c>
      <c r="H121" s="3" t="s">
        <v>11</v>
      </c>
      <c r="I121" s="3" t="s">
        <v>7</v>
      </c>
      <c r="J121" s="3" t="s">
        <v>41</v>
      </c>
      <c r="K121" s="3" t="s">
        <v>70</v>
      </c>
      <c r="L121" s="3" t="s">
        <v>42</v>
      </c>
      <c r="M121">
        <v>1</v>
      </c>
    </row>
    <row r="122" spans="1:13" x14ac:dyDescent="0.25">
      <c r="A122" s="2">
        <v>46178</v>
      </c>
      <c r="B122" s="1" t="str">
        <f ca="1">IF(Información1[[#This Row],[Fecha]]='Ajuste de fechas'!$A$2,"Día actual","Día anterior")</f>
        <v>Día actual</v>
      </c>
      <c r="C122" s="3" t="s">
        <v>68</v>
      </c>
      <c r="D122" t="s">
        <v>69</v>
      </c>
      <c r="E122" s="3" t="s">
        <v>261</v>
      </c>
      <c r="F122" s="3" t="s">
        <v>19</v>
      </c>
      <c r="G122" s="3" t="s">
        <v>56</v>
      </c>
      <c r="H122" s="3" t="s">
        <v>11</v>
      </c>
      <c r="I122" s="3" t="s">
        <v>7</v>
      </c>
      <c r="J122" s="3" t="s">
        <v>45</v>
      </c>
      <c r="K122" s="3" t="s">
        <v>70</v>
      </c>
      <c r="L122" s="3" t="s">
        <v>42</v>
      </c>
      <c r="M122">
        <v>1</v>
      </c>
    </row>
    <row r="123" spans="1:13" x14ac:dyDescent="0.25">
      <c r="A123" s="2">
        <v>46178</v>
      </c>
      <c r="B123" s="1" t="str">
        <f ca="1">IF(Información1[[#This Row],[Fecha]]='Ajuste de fechas'!$A$2,"Día actual","Día anterior")</f>
        <v>Día actual</v>
      </c>
      <c r="C123" s="3" t="s">
        <v>68</v>
      </c>
      <c r="D123" t="s">
        <v>69</v>
      </c>
      <c r="E123" s="3" t="s">
        <v>262</v>
      </c>
      <c r="F123" s="3" t="s">
        <v>19</v>
      </c>
      <c r="G123" s="3" t="s">
        <v>263</v>
      </c>
      <c r="H123" s="3" t="s">
        <v>11</v>
      </c>
      <c r="I123" s="3" t="s">
        <v>7</v>
      </c>
      <c r="J123" s="3" t="s">
        <v>45</v>
      </c>
      <c r="K123" s="3" t="s">
        <v>70</v>
      </c>
      <c r="L123" s="3" t="s">
        <v>42</v>
      </c>
      <c r="M123">
        <v>1</v>
      </c>
    </row>
    <row r="124" spans="1:13" x14ac:dyDescent="0.25">
      <c r="A124" s="2">
        <v>46178</v>
      </c>
      <c r="B124" s="1" t="str">
        <f ca="1">IF(Información1[[#This Row],[Fecha]]='Ajuste de fechas'!$A$2,"Día actual","Día anterior")</f>
        <v>Día actual</v>
      </c>
      <c r="C124" s="3" t="s">
        <v>68</v>
      </c>
      <c r="D124" t="s">
        <v>69</v>
      </c>
      <c r="E124" s="3" t="s">
        <v>264</v>
      </c>
      <c r="F124" s="3" t="s">
        <v>26</v>
      </c>
      <c r="G124" s="3" t="s">
        <v>79</v>
      </c>
      <c r="H124" s="3" t="s">
        <v>11</v>
      </c>
      <c r="I124" s="3" t="s">
        <v>7</v>
      </c>
      <c r="J124" s="3" t="s">
        <v>41</v>
      </c>
      <c r="K124" s="3" t="s">
        <v>70</v>
      </c>
      <c r="L124" s="3" t="s">
        <v>42</v>
      </c>
      <c r="M124">
        <v>1</v>
      </c>
    </row>
    <row r="125" spans="1:13" x14ac:dyDescent="0.25">
      <c r="A125" s="2">
        <v>46178</v>
      </c>
      <c r="B125" s="1" t="str">
        <f ca="1">IF(Información1[[#This Row],[Fecha]]='Ajuste de fechas'!$A$2,"Día actual","Día anterior")</f>
        <v>Día actual</v>
      </c>
      <c r="C125" s="3" t="s">
        <v>31</v>
      </c>
      <c r="D125" t="s">
        <v>32</v>
      </c>
      <c r="E125" s="3" t="s">
        <v>265</v>
      </c>
      <c r="F125" s="3" t="s">
        <v>19</v>
      </c>
      <c r="G125" s="3" t="s">
        <v>266</v>
      </c>
      <c r="H125" s="3" t="s">
        <v>64</v>
      </c>
      <c r="I125" s="3" t="s">
        <v>7</v>
      </c>
      <c r="J125" s="3" t="s">
        <v>45</v>
      </c>
      <c r="K125" s="3" t="s">
        <v>27</v>
      </c>
      <c r="L125" s="3" t="s">
        <v>42</v>
      </c>
      <c r="M125">
        <v>1</v>
      </c>
    </row>
    <row r="126" spans="1:13" x14ac:dyDescent="0.25">
      <c r="A126" s="2">
        <v>46178</v>
      </c>
      <c r="B126" s="1" t="str">
        <f ca="1">IF(Información1[[#This Row],[Fecha]]='Ajuste de fechas'!$A$2,"Día actual","Día anterior")</f>
        <v>Día actual</v>
      </c>
      <c r="C126" s="3" t="s">
        <v>31</v>
      </c>
      <c r="D126" t="s">
        <v>32</v>
      </c>
      <c r="E126" s="3" t="s">
        <v>267</v>
      </c>
      <c r="F126" s="3" t="s">
        <v>51</v>
      </c>
      <c r="G126" s="3" t="s">
        <v>173</v>
      </c>
      <c r="H126" s="3" t="s">
        <v>64</v>
      </c>
      <c r="I126" s="3" t="s">
        <v>7</v>
      </c>
      <c r="J126" s="3" t="s">
        <v>41</v>
      </c>
      <c r="K126" s="3" t="s">
        <v>27</v>
      </c>
      <c r="L126" s="3" t="s">
        <v>42</v>
      </c>
      <c r="M126">
        <v>1</v>
      </c>
    </row>
    <row r="127" spans="1:13" x14ac:dyDescent="0.25">
      <c r="A127" s="2">
        <v>46178</v>
      </c>
      <c r="B127" s="1" t="str">
        <f ca="1">IF(Información1[[#This Row],[Fecha]]='Ajuste de fechas'!$A$2,"Día actual","Día anterior")</f>
        <v>Día actual</v>
      </c>
      <c r="C127" s="3" t="s">
        <v>31</v>
      </c>
      <c r="D127" t="s">
        <v>32</v>
      </c>
      <c r="E127" s="3" t="s">
        <v>268</v>
      </c>
      <c r="F127" s="3" t="s">
        <v>23</v>
      </c>
      <c r="G127" s="3" t="s">
        <v>245</v>
      </c>
      <c r="H127" s="3" t="s">
        <v>64</v>
      </c>
      <c r="I127" s="3" t="s">
        <v>7</v>
      </c>
      <c r="J127" s="3" t="s">
        <v>41</v>
      </c>
      <c r="K127" s="3" t="s">
        <v>27</v>
      </c>
      <c r="L127" s="3" t="s">
        <v>42</v>
      </c>
      <c r="M127">
        <v>1</v>
      </c>
    </row>
    <row r="128" spans="1:13" x14ac:dyDescent="0.25">
      <c r="A128" s="2">
        <v>46178</v>
      </c>
      <c r="B128" s="1" t="str">
        <f ca="1">IF(Información1[[#This Row],[Fecha]]='Ajuste de fechas'!$A$2,"Día actual","Día anterior")</f>
        <v>Día actual</v>
      </c>
      <c r="C128" s="3" t="s">
        <v>31</v>
      </c>
      <c r="D128" t="s">
        <v>32</v>
      </c>
      <c r="E128" s="3" t="s">
        <v>269</v>
      </c>
      <c r="F128" s="3" t="s">
        <v>15</v>
      </c>
      <c r="G128" s="3" t="s">
        <v>66</v>
      </c>
      <c r="H128" s="3" t="s">
        <v>64</v>
      </c>
      <c r="I128" s="3" t="s">
        <v>25</v>
      </c>
      <c r="J128" s="3" t="s">
        <v>41</v>
      </c>
      <c r="K128" s="3" t="s">
        <v>27</v>
      </c>
      <c r="L128" s="3" t="s">
        <v>43</v>
      </c>
      <c r="M128">
        <v>1</v>
      </c>
    </row>
    <row r="129" spans="1:13" x14ac:dyDescent="0.25">
      <c r="A129" s="2">
        <v>46178</v>
      </c>
      <c r="B129" s="1" t="str">
        <f ca="1">IF(Información1[[#This Row],[Fecha]]='Ajuste de fechas'!$A$2,"Día actual","Día anterior")</f>
        <v>Día actual</v>
      </c>
      <c r="C129" s="3" t="s">
        <v>31</v>
      </c>
      <c r="D129" t="s">
        <v>32</v>
      </c>
      <c r="E129" s="3" t="s">
        <v>240</v>
      </c>
      <c r="F129" s="3" t="s">
        <v>67</v>
      </c>
      <c r="G129" s="3" t="s">
        <v>239</v>
      </c>
      <c r="H129" s="3" t="s">
        <v>64</v>
      </c>
      <c r="I129" s="3" t="s">
        <v>7</v>
      </c>
      <c r="J129" s="3" t="s">
        <v>41</v>
      </c>
      <c r="K129" s="3" t="s">
        <v>27</v>
      </c>
      <c r="L129" s="3" t="s">
        <v>44</v>
      </c>
      <c r="M129">
        <v>1</v>
      </c>
    </row>
    <row r="130" spans="1:13" x14ac:dyDescent="0.25">
      <c r="A130" s="2">
        <v>46178</v>
      </c>
      <c r="B130" s="1" t="str">
        <f ca="1">IF(Información1[[#This Row],[Fecha]]='Ajuste de fechas'!$A$2,"Día actual","Día anterior")</f>
        <v>Día actual</v>
      </c>
      <c r="C130" s="3" t="s">
        <v>31</v>
      </c>
      <c r="D130" t="s">
        <v>32</v>
      </c>
      <c r="E130" s="3" t="s">
        <v>236</v>
      </c>
      <c r="F130" s="3" t="s">
        <v>21</v>
      </c>
      <c r="G130" s="3" t="s">
        <v>237</v>
      </c>
      <c r="H130" s="3" t="s">
        <v>64</v>
      </c>
      <c r="I130" s="3" t="s">
        <v>7</v>
      </c>
      <c r="J130" s="3" t="s">
        <v>41</v>
      </c>
      <c r="K130" s="3" t="s">
        <v>27</v>
      </c>
      <c r="L130" s="3" t="s">
        <v>44</v>
      </c>
      <c r="M130">
        <v>1</v>
      </c>
    </row>
    <row r="131" spans="1:13" x14ac:dyDescent="0.25">
      <c r="A131" s="2">
        <v>46178</v>
      </c>
      <c r="B131" s="1" t="str">
        <f ca="1">IF(Información1[[#This Row],[Fecha]]='Ajuste de fechas'!$A$2,"Día actual","Día anterior")</f>
        <v>Día actual</v>
      </c>
      <c r="C131" s="3" t="s">
        <v>31</v>
      </c>
      <c r="D131" t="s">
        <v>32</v>
      </c>
      <c r="E131" s="3" t="s">
        <v>270</v>
      </c>
      <c r="F131" s="3" t="s">
        <v>21</v>
      </c>
      <c r="G131" s="3" t="s">
        <v>271</v>
      </c>
      <c r="H131" s="3" t="s">
        <v>64</v>
      </c>
      <c r="I131" s="3" t="s">
        <v>7</v>
      </c>
      <c r="J131" s="3" t="s">
        <v>41</v>
      </c>
      <c r="K131" s="3" t="s">
        <v>27</v>
      </c>
      <c r="L131" s="3" t="s">
        <v>44</v>
      </c>
      <c r="M131">
        <v>1</v>
      </c>
    </row>
    <row r="132" spans="1:13" x14ac:dyDescent="0.25">
      <c r="A132" s="2">
        <v>46178</v>
      </c>
      <c r="B132" s="1" t="str">
        <f ca="1">IF(Información1[[#This Row],[Fecha]]='Ajuste de fechas'!$A$2,"Día actual","Día anterior")</f>
        <v>Día actual</v>
      </c>
      <c r="C132" s="3" t="s">
        <v>31</v>
      </c>
      <c r="D132" t="s">
        <v>32</v>
      </c>
      <c r="E132" s="3" t="s">
        <v>272</v>
      </c>
      <c r="F132" s="3" t="s">
        <v>33</v>
      </c>
      <c r="G132" s="3" t="s">
        <v>273</v>
      </c>
      <c r="H132" s="3" t="s">
        <v>64</v>
      </c>
      <c r="I132" s="3" t="s">
        <v>7</v>
      </c>
      <c r="J132" s="3" t="s">
        <v>41</v>
      </c>
      <c r="K132" s="3" t="s">
        <v>27</v>
      </c>
      <c r="L132" s="3" t="s">
        <v>44</v>
      </c>
      <c r="M132">
        <v>1</v>
      </c>
    </row>
    <row r="133" spans="1:13" x14ac:dyDescent="0.25">
      <c r="A133" s="2">
        <v>46178</v>
      </c>
      <c r="B133" s="1" t="str">
        <f ca="1">IF(Información1[[#This Row],[Fecha]]='Ajuste de fechas'!$A$2,"Día actual","Día anterior")</f>
        <v>Día actual</v>
      </c>
      <c r="C133" s="3" t="s">
        <v>31</v>
      </c>
      <c r="D133" t="s">
        <v>32</v>
      </c>
      <c r="E133" s="3" t="s">
        <v>274</v>
      </c>
      <c r="F133" s="3" t="s">
        <v>15</v>
      </c>
      <c r="G133" s="3" t="s">
        <v>66</v>
      </c>
      <c r="H133" s="3" t="s">
        <v>64</v>
      </c>
      <c r="I133" s="3" t="s">
        <v>25</v>
      </c>
      <c r="J133" s="3" t="s">
        <v>41</v>
      </c>
      <c r="K133" s="3" t="s">
        <v>27</v>
      </c>
      <c r="L133" s="3" t="s">
        <v>43</v>
      </c>
      <c r="M133">
        <v>1</v>
      </c>
    </row>
    <row r="134" spans="1:13" x14ac:dyDescent="0.25">
      <c r="A134" s="2">
        <v>46178</v>
      </c>
      <c r="B134" s="1" t="str">
        <f ca="1">IF(Información1[[#This Row],[Fecha]]='Ajuste de fechas'!$A$2,"Día actual","Día anterior")</f>
        <v>Día actual</v>
      </c>
      <c r="C134" s="3" t="s">
        <v>31</v>
      </c>
      <c r="D134" t="s">
        <v>32</v>
      </c>
      <c r="E134" s="3" t="s">
        <v>275</v>
      </c>
      <c r="F134" s="3" t="s">
        <v>17</v>
      </c>
      <c r="G134" s="3" t="s">
        <v>204</v>
      </c>
      <c r="H134" s="3" t="s">
        <v>64</v>
      </c>
      <c r="I134" s="3" t="s">
        <v>25</v>
      </c>
      <c r="J134" s="3" t="s">
        <v>41</v>
      </c>
      <c r="K134" s="3" t="s">
        <v>9</v>
      </c>
      <c r="L134" s="3" t="s">
        <v>43</v>
      </c>
      <c r="M134">
        <v>1</v>
      </c>
    </row>
    <row r="135" spans="1:13" x14ac:dyDescent="0.25">
      <c r="A135" s="2">
        <v>46178</v>
      </c>
      <c r="B135" s="1" t="str">
        <f ca="1">IF(Información1[[#This Row],[Fecha]]='Ajuste de fechas'!$A$2,"Día actual","Día anterior")</f>
        <v>Día actual</v>
      </c>
      <c r="C135" s="3" t="s">
        <v>31</v>
      </c>
      <c r="D135" t="s">
        <v>32</v>
      </c>
      <c r="E135" s="3" t="s">
        <v>276</v>
      </c>
      <c r="F135" s="3" t="s">
        <v>26</v>
      </c>
      <c r="G135" s="3" t="s">
        <v>260</v>
      </c>
      <c r="H135" s="3" t="s">
        <v>64</v>
      </c>
      <c r="I135" s="3" t="s">
        <v>7</v>
      </c>
      <c r="J135" s="3" t="s">
        <v>41</v>
      </c>
      <c r="K135" s="3" t="s">
        <v>27</v>
      </c>
      <c r="L135" s="3" t="s">
        <v>44</v>
      </c>
      <c r="M135">
        <v>1</v>
      </c>
    </row>
    <row r="136" spans="1:13" x14ac:dyDescent="0.25">
      <c r="A136" s="2">
        <v>46178</v>
      </c>
      <c r="B136" s="1" t="str">
        <f ca="1">IF(Información1[[#This Row],[Fecha]]='Ajuste de fechas'!$A$2,"Día actual","Día anterior")</f>
        <v>Día actual</v>
      </c>
      <c r="C136" s="3" t="s">
        <v>31</v>
      </c>
      <c r="D136" t="s">
        <v>32</v>
      </c>
      <c r="E136" s="3" t="s">
        <v>277</v>
      </c>
      <c r="F136" s="3" t="s">
        <v>26</v>
      </c>
      <c r="G136" s="3" t="s">
        <v>260</v>
      </c>
      <c r="H136" s="3" t="s">
        <v>64</v>
      </c>
      <c r="I136" s="3" t="s">
        <v>7</v>
      </c>
      <c r="J136" s="3" t="s">
        <v>41</v>
      </c>
      <c r="K136" s="3" t="s">
        <v>27</v>
      </c>
      <c r="L136" s="3" t="s">
        <v>44</v>
      </c>
      <c r="M136">
        <v>1</v>
      </c>
    </row>
    <row r="137" spans="1:13" x14ac:dyDescent="0.25">
      <c r="A137" s="2">
        <v>46178</v>
      </c>
      <c r="B137" s="1" t="str">
        <f ca="1">IF(Información1[[#This Row],[Fecha]]='Ajuste de fechas'!$A$2,"Día actual","Día anterior")</f>
        <v>Día actual</v>
      </c>
      <c r="C137" s="3" t="s">
        <v>31</v>
      </c>
      <c r="D137" t="s">
        <v>32</v>
      </c>
      <c r="E137" s="3" t="s">
        <v>278</v>
      </c>
      <c r="F137" s="3" t="s">
        <v>6</v>
      </c>
      <c r="G137" s="3" t="s">
        <v>279</v>
      </c>
      <c r="H137" s="3" t="s">
        <v>64</v>
      </c>
      <c r="I137" s="3" t="s">
        <v>7</v>
      </c>
      <c r="J137" s="3" t="s">
        <v>41</v>
      </c>
      <c r="K137" s="3" t="s">
        <v>27</v>
      </c>
      <c r="L137" s="3" t="s">
        <v>42</v>
      </c>
      <c r="M137">
        <v>1</v>
      </c>
    </row>
    <row r="138" spans="1:13" x14ac:dyDescent="0.25">
      <c r="A138" s="2">
        <v>46178</v>
      </c>
      <c r="B138" s="1" t="str">
        <f ca="1">IF(Información1[[#This Row],[Fecha]]='Ajuste de fechas'!$A$2,"Día actual","Día anterior")</f>
        <v>Día actual</v>
      </c>
      <c r="C138" s="3" t="s">
        <v>31</v>
      </c>
      <c r="D138" t="s">
        <v>32</v>
      </c>
      <c r="E138" s="3" t="s">
        <v>280</v>
      </c>
      <c r="F138" s="3" t="s">
        <v>19</v>
      </c>
      <c r="G138" s="3" t="s">
        <v>207</v>
      </c>
      <c r="H138" s="3" t="s">
        <v>64</v>
      </c>
      <c r="I138" s="3" t="s">
        <v>7</v>
      </c>
      <c r="J138" s="3" t="s">
        <v>45</v>
      </c>
      <c r="K138" s="3" t="s">
        <v>27</v>
      </c>
      <c r="L138" s="3" t="s">
        <v>42</v>
      </c>
      <c r="M138">
        <v>1</v>
      </c>
    </row>
    <row r="139" spans="1:13" x14ac:dyDescent="0.25">
      <c r="A139" s="2">
        <v>46178</v>
      </c>
      <c r="B139" s="1" t="str">
        <f ca="1">IF(Información1[[#This Row],[Fecha]]='Ajuste de fechas'!$A$2,"Día actual","Día anterior")</f>
        <v>Día actual</v>
      </c>
      <c r="C139" s="3" t="s">
        <v>31</v>
      </c>
      <c r="D139" t="s">
        <v>32</v>
      </c>
      <c r="E139" s="3" t="s">
        <v>281</v>
      </c>
      <c r="F139" s="3" t="s">
        <v>26</v>
      </c>
      <c r="G139" s="3" t="s">
        <v>207</v>
      </c>
      <c r="H139" s="3" t="s">
        <v>64</v>
      </c>
      <c r="I139" s="3" t="s">
        <v>7</v>
      </c>
      <c r="J139" s="3" t="s">
        <v>41</v>
      </c>
      <c r="K139" s="3" t="s">
        <v>27</v>
      </c>
      <c r="L139" s="3" t="s">
        <v>42</v>
      </c>
      <c r="M139">
        <v>1</v>
      </c>
    </row>
    <row r="140" spans="1:13" x14ac:dyDescent="0.25">
      <c r="A140" s="2">
        <v>46178</v>
      </c>
      <c r="B140" s="1" t="str">
        <f ca="1">IF(Información1[[#This Row],[Fecha]]='Ajuste de fechas'!$A$2,"Día actual","Día anterior")</f>
        <v>Día actual</v>
      </c>
      <c r="C140" s="3" t="s">
        <v>31</v>
      </c>
      <c r="D140" t="s">
        <v>32</v>
      </c>
      <c r="E140" s="3" t="s">
        <v>282</v>
      </c>
      <c r="F140" s="3" t="s">
        <v>15</v>
      </c>
      <c r="G140" s="3" t="s">
        <v>207</v>
      </c>
      <c r="H140" s="3" t="s">
        <v>64</v>
      </c>
      <c r="I140" s="3" t="s">
        <v>7</v>
      </c>
      <c r="J140" s="3" t="s">
        <v>41</v>
      </c>
      <c r="K140" s="3" t="s">
        <v>27</v>
      </c>
      <c r="L140" s="3" t="s">
        <v>42</v>
      </c>
      <c r="M140">
        <v>1</v>
      </c>
    </row>
    <row r="141" spans="1:13" x14ac:dyDescent="0.25">
      <c r="A141" s="2">
        <v>46178</v>
      </c>
      <c r="B141" s="1" t="str">
        <f ca="1">IF(Información1[[#This Row],[Fecha]]='Ajuste de fechas'!$A$2,"Día actual","Día anterior")</f>
        <v>Día actual</v>
      </c>
      <c r="C141" s="3" t="s">
        <v>53</v>
      </c>
      <c r="D141" t="s">
        <v>61</v>
      </c>
      <c r="E141" s="3" t="s">
        <v>283</v>
      </c>
      <c r="F141" s="3" t="s">
        <v>95</v>
      </c>
      <c r="G141" s="3" t="s">
        <v>175</v>
      </c>
      <c r="H141" s="3" t="s">
        <v>11</v>
      </c>
      <c r="I141" s="3" t="s">
        <v>7</v>
      </c>
      <c r="J141" s="3" t="s">
        <v>24</v>
      </c>
      <c r="K141" s="3" t="s">
        <v>54</v>
      </c>
      <c r="L141" s="3" t="s">
        <v>42</v>
      </c>
      <c r="M141">
        <v>1</v>
      </c>
    </row>
    <row r="142" spans="1:13" x14ac:dyDescent="0.25">
      <c r="A142" s="2">
        <v>46178</v>
      </c>
      <c r="B142" s="1" t="str">
        <f ca="1">IF(Información1[[#This Row],[Fecha]]='Ajuste de fechas'!$A$2,"Día actual","Día anterior")</f>
        <v>Día actual</v>
      </c>
      <c r="C142" s="3" t="s">
        <v>53</v>
      </c>
      <c r="D142" t="s">
        <v>61</v>
      </c>
      <c r="E142" s="3" t="s">
        <v>284</v>
      </c>
      <c r="F142" s="3" t="s">
        <v>26</v>
      </c>
      <c r="G142" s="3" t="s">
        <v>260</v>
      </c>
      <c r="H142" s="3" t="s">
        <v>11</v>
      </c>
      <c r="I142" s="3" t="s">
        <v>7</v>
      </c>
      <c r="J142" s="3" t="s">
        <v>41</v>
      </c>
      <c r="K142" s="3" t="s">
        <v>54</v>
      </c>
      <c r="L142" s="3" t="s">
        <v>43</v>
      </c>
      <c r="M142">
        <v>1</v>
      </c>
    </row>
    <row r="143" spans="1:13" x14ac:dyDescent="0.25">
      <c r="A143" s="2">
        <v>46178</v>
      </c>
      <c r="B143" s="1" t="str">
        <f ca="1">IF(Información1[[#This Row],[Fecha]]='Ajuste de fechas'!$A$2,"Día actual","Día anterior")</f>
        <v>Día actual</v>
      </c>
      <c r="C143" s="3" t="s">
        <v>53</v>
      </c>
      <c r="D143" t="s">
        <v>61</v>
      </c>
      <c r="E143" s="3" t="s">
        <v>285</v>
      </c>
      <c r="F143" s="3" t="s">
        <v>26</v>
      </c>
      <c r="G143" s="3" t="s">
        <v>260</v>
      </c>
      <c r="H143" s="3" t="s">
        <v>11</v>
      </c>
      <c r="I143" s="3" t="s">
        <v>7</v>
      </c>
      <c r="J143" s="3" t="s">
        <v>41</v>
      </c>
      <c r="K143" s="3" t="s">
        <v>9</v>
      </c>
      <c r="L143" s="3" t="s">
        <v>43</v>
      </c>
      <c r="M143">
        <v>1</v>
      </c>
    </row>
    <row r="144" spans="1:13" x14ac:dyDescent="0.25">
      <c r="A144" s="2">
        <v>46178</v>
      </c>
      <c r="B144" s="1" t="str">
        <f ca="1">IF(Información1[[#This Row],[Fecha]]='Ajuste de fechas'!$A$2,"Día actual","Día anterior")</f>
        <v>Día actual</v>
      </c>
      <c r="C144" s="3" t="s">
        <v>53</v>
      </c>
      <c r="D144" t="s">
        <v>61</v>
      </c>
      <c r="E144" s="3" t="s">
        <v>286</v>
      </c>
      <c r="F144" s="3" t="s">
        <v>23</v>
      </c>
      <c r="G144" s="3" t="s">
        <v>287</v>
      </c>
      <c r="H144" s="3" t="s">
        <v>11</v>
      </c>
      <c r="I144" s="3" t="s">
        <v>7</v>
      </c>
      <c r="J144" s="3" t="s">
        <v>41</v>
      </c>
      <c r="K144" s="3" t="s">
        <v>54</v>
      </c>
      <c r="L144" s="3" t="s">
        <v>42</v>
      </c>
      <c r="M144">
        <v>1</v>
      </c>
    </row>
    <row r="145" spans="1:13" x14ac:dyDescent="0.25">
      <c r="A145" s="2">
        <v>46178</v>
      </c>
      <c r="B145" s="1" t="str">
        <f ca="1">IF(Información1[[#This Row],[Fecha]]='Ajuste de fechas'!$A$2,"Día actual","Día anterior")</f>
        <v>Día actual</v>
      </c>
      <c r="C145" s="3" t="s">
        <v>53</v>
      </c>
      <c r="D145" t="s">
        <v>61</v>
      </c>
      <c r="E145" s="3" t="s">
        <v>288</v>
      </c>
      <c r="F145" s="3" t="s">
        <v>23</v>
      </c>
      <c r="G145" s="3" t="s">
        <v>175</v>
      </c>
      <c r="H145" s="3" t="s">
        <v>11</v>
      </c>
      <c r="I145" s="3" t="s">
        <v>7</v>
      </c>
      <c r="J145" s="3" t="s">
        <v>41</v>
      </c>
      <c r="K145" s="3" t="s">
        <v>54</v>
      </c>
      <c r="L145" s="3" t="s">
        <v>44</v>
      </c>
      <c r="M145">
        <v>1</v>
      </c>
    </row>
    <row r="146" spans="1:13" x14ac:dyDescent="0.25">
      <c r="A146" s="2">
        <v>46178</v>
      </c>
      <c r="B146" s="1" t="str">
        <f ca="1">IF(Información1[[#This Row],[Fecha]]='Ajuste de fechas'!$A$2,"Día actual","Día anterior")</f>
        <v>Día actual</v>
      </c>
      <c r="C146" s="3" t="s">
        <v>76</v>
      </c>
      <c r="D146" t="s">
        <v>77</v>
      </c>
      <c r="E146" s="3" t="s">
        <v>289</v>
      </c>
      <c r="F146" s="3" t="s">
        <v>19</v>
      </c>
      <c r="G146" s="3" t="s">
        <v>290</v>
      </c>
      <c r="H146" s="3" t="s">
        <v>11</v>
      </c>
      <c r="I146" s="3" t="s">
        <v>7</v>
      </c>
      <c r="J146" s="3" t="s">
        <v>45</v>
      </c>
      <c r="K146" s="3" t="s">
        <v>78</v>
      </c>
      <c r="L146" s="3" t="s">
        <v>42</v>
      </c>
      <c r="M146">
        <v>1</v>
      </c>
    </row>
    <row r="147" spans="1:13" x14ac:dyDescent="0.25">
      <c r="A147" s="2">
        <v>46178</v>
      </c>
      <c r="B147" s="1" t="str">
        <f ca="1">IF(Información1[[#This Row],[Fecha]]='Ajuste de fechas'!$A$2,"Día actual","Día anterior")</f>
        <v>Día actual</v>
      </c>
      <c r="C147" s="3" t="s">
        <v>76</v>
      </c>
      <c r="D147" t="s">
        <v>77</v>
      </c>
      <c r="E147" s="3" t="s">
        <v>291</v>
      </c>
      <c r="F147" s="3" t="s">
        <v>19</v>
      </c>
      <c r="G147" s="3" t="s">
        <v>75</v>
      </c>
      <c r="H147" s="3" t="s">
        <v>11</v>
      </c>
      <c r="I147" s="3" t="s">
        <v>7</v>
      </c>
      <c r="J147" s="3" t="s">
        <v>45</v>
      </c>
      <c r="K147" s="3" t="s">
        <v>78</v>
      </c>
      <c r="L147" s="3" t="s">
        <v>42</v>
      </c>
      <c r="M147">
        <v>1</v>
      </c>
    </row>
    <row r="148" spans="1:13" x14ac:dyDescent="0.25">
      <c r="A148" s="2">
        <v>46178</v>
      </c>
      <c r="B148" s="1" t="str">
        <f ca="1">IF(Información1[[#This Row],[Fecha]]='Ajuste de fechas'!$A$2,"Día actual","Día anterior")</f>
        <v>Día actual</v>
      </c>
      <c r="C148" s="3" t="s">
        <v>76</v>
      </c>
      <c r="D148" t="s">
        <v>77</v>
      </c>
      <c r="E148" s="3" t="s">
        <v>292</v>
      </c>
      <c r="F148" s="3" t="s">
        <v>59</v>
      </c>
      <c r="G148" s="3" t="s">
        <v>293</v>
      </c>
      <c r="H148" s="3" t="s">
        <v>11</v>
      </c>
      <c r="I148" s="3" t="s">
        <v>7</v>
      </c>
      <c r="J148" s="3" t="s">
        <v>24</v>
      </c>
      <c r="K148" s="3" t="s">
        <v>78</v>
      </c>
      <c r="L148" s="3" t="s">
        <v>42</v>
      </c>
      <c r="M148">
        <v>1</v>
      </c>
    </row>
    <row r="149" spans="1:13" x14ac:dyDescent="0.25">
      <c r="A149" s="2">
        <v>46178</v>
      </c>
      <c r="B149" s="1" t="str">
        <f ca="1">IF(Información1[[#This Row],[Fecha]]='Ajuste de fechas'!$A$2,"Día actual","Día anterior")</f>
        <v>Día actual</v>
      </c>
      <c r="C149" s="3" t="s">
        <v>76</v>
      </c>
      <c r="D149" t="s">
        <v>77</v>
      </c>
      <c r="E149" s="3" t="s">
        <v>294</v>
      </c>
      <c r="F149" s="3" t="s">
        <v>295</v>
      </c>
      <c r="G149" s="3" t="s">
        <v>296</v>
      </c>
      <c r="H149" s="3" t="s">
        <v>11</v>
      </c>
      <c r="I149" s="3" t="s">
        <v>7</v>
      </c>
      <c r="J149" s="3" t="s">
        <v>41</v>
      </c>
      <c r="K149" s="3" t="s">
        <v>78</v>
      </c>
      <c r="L149" s="3" t="s">
        <v>44</v>
      </c>
      <c r="M149">
        <v>1</v>
      </c>
    </row>
    <row r="150" spans="1:13" x14ac:dyDescent="0.25">
      <c r="A150" s="2">
        <v>46178</v>
      </c>
      <c r="B150" s="1" t="str">
        <f ca="1">IF(Información1[[#This Row],[Fecha]]='Ajuste de fechas'!$A$2,"Día actual","Día anterior")</f>
        <v>Día actual</v>
      </c>
      <c r="C150" s="3" t="s">
        <v>76</v>
      </c>
      <c r="D150" t="s">
        <v>77</v>
      </c>
      <c r="E150" s="3" t="s">
        <v>297</v>
      </c>
      <c r="F150" s="3" t="s">
        <v>17</v>
      </c>
      <c r="G150" s="3" t="s">
        <v>225</v>
      </c>
      <c r="H150" s="3" t="s">
        <v>11</v>
      </c>
      <c r="I150" s="3" t="s">
        <v>7</v>
      </c>
      <c r="J150" s="3" t="s">
        <v>41</v>
      </c>
      <c r="K150" s="3" t="s">
        <v>78</v>
      </c>
      <c r="L150" s="3" t="s">
        <v>44</v>
      </c>
      <c r="M150">
        <v>1</v>
      </c>
    </row>
    <row r="151" spans="1:13" x14ac:dyDescent="0.25">
      <c r="A151" s="2">
        <v>46178</v>
      </c>
      <c r="B151" s="1" t="str">
        <f ca="1">IF(Información1[[#This Row],[Fecha]]='Ajuste de fechas'!$A$2,"Día actual","Día anterior")</f>
        <v>Día actual</v>
      </c>
      <c r="C151" s="3" t="s">
        <v>76</v>
      </c>
      <c r="D151" t="s">
        <v>77</v>
      </c>
      <c r="E151" s="3" t="s">
        <v>298</v>
      </c>
      <c r="F151" s="3" t="s">
        <v>23</v>
      </c>
      <c r="G151" s="3" t="s">
        <v>245</v>
      </c>
      <c r="H151" s="3" t="s">
        <v>11</v>
      </c>
      <c r="I151" s="3" t="s">
        <v>7</v>
      </c>
      <c r="J151" s="3" t="s">
        <v>41</v>
      </c>
      <c r="K151" s="3" t="s">
        <v>78</v>
      </c>
      <c r="L151" s="3" t="s">
        <v>44</v>
      </c>
      <c r="M151">
        <v>1</v>
      </c>
    </row>
    <row r="152" spans="1:13" x14ac:dyDescent="0.25">
      <c r="A152" s="2">
        <v>46178</v>
      </c>
      <c r="B152" s="1" t="str">
        <f ca="1">IF(Información1[[#This Row],[Fecha]]='Ajuste de fechas'!$A$2,"Día actual","Día anterior")</f>
        <v>Día actual</v>
      </c>
      <c r="C152" s="3" t="s">
        <v>76</v>
      </c>
      <c r="D152" t="s">
        <v>77</v>
      </c>
      <c r="E152" s="3" t="s">
        <v>299</v>
      </c>
      <c r="F152" s="3" t="s">
        <v>51</v>
      </c>
      <c r="G152" s="3" t="s">
        <v>154</v>
      </c>
      <c r="H152" s="3" t="s">
        <v>11</v>
      </c>
      <c r="I152" s="3" t="s">
        <v>7</v>
      </c>
      <c r="J152" s="3" t="s">
        <v>41</v>
      </c>
      <c r="K152" s="3" t="s">
        <v>78</v>
      </c>
      <c r="L152" s="3" t="s">
        <v>44</v>
      </c>
      <c r="M152">
        <v>1</v>
      </c>
    </row>
    <row r="153" spans="1:13" x14ac:dyDescent="0.25">
      <c r="A153" s="2">
        <v>46178</v>
      </c>
      <c r="B153" s="1" t="str">
        <f ca="1">IF(Información1[[#This Row],[Fecha]]='Ajuste de fechas'!$A$2,"Día actual","Día anterior")</f>
        <v>Día actual</v>
      </c>
      <c r="C153" s="3" t="s">
        <v>76</v>
      </c>
      <c r="D153" t="s">
        <v>77</v>
      </c>
      <c r="E153" s="3" t="s">
        <v>126</v>
      </c>
      <c r="F153" s="3" t="s">
        <v>67</v>
      </c>
      <c r="G153" s="3" t="s">
        <v>125</v>
      </c>
      <c r="H153" s="3" t="s">
        <v>11</v>
      </c>
      <c r="I153" s="3" t="s">
        <v>7</v>
      </c>
      <c r="J153" s="3" t="s">
        <v>41</v>
      </c>
      <c r="K153" s="3" t="s">
        <v>78</v>
      </c>
      <c r="L153" s="3" t="s">
        <v>44</v>
      </c>
      <c r="M153">
        <v>1</v>
      </c>
    </row>
    <row r="154" spans="1:13" x14ac:dyDescent="0.25">
      <c r="A154" s="2">
        <v>46178</v>
      </c>
      <c r="B154" s="1" t="str">
        <f ca="1">IF(Información1[[#This Row],[Fecha]]='Ajuste de fechas'!$A$2,"Día actual","Día anterior")</f>
        <v>Día actual</v>
      </c>
      <c r="C154" s="3" t="s">
        <v>76</v>
      </c>
      <c r="D154" t="s">
        <v>77</v>
      </c>
      <c r="E154" s="3" t="s">
        <v>300</v>
      </c>
      <c r="F154" s="3" t="s">
        <v>98</v>
      </c>
      <c r="G154" s="3" t="s">
        <v>99</v>
      </c>
      <c r="H154" s="3" t="s">
        <v>11</v>
      </c>
      <c r="I154" s="3" t="s">
        <v>7</v>
      </c>
      <c r="J154" s="3" t="s">
        <v>41</v>
      </c>
      <c r="K154" s="3" t="s">
        <v>78</v>
      </c>
      <c r="L154" s="3" t="s">
        <v>44</v>
      </c>
      <c r="M154">
        <v>1</v>
      </c>
    </row>
    <row r="155" spans="1:13" x14ac:dyDescent="0.25">
      <c r="A155" s="2">
        <v>46178</v>
      </c>
      <c r="B155" s="1" t="str">
        <f ca="1">IF(Información1[[#This Row],[Fecha]]='Ajuste de fechas'!$A$2,"Día actual","Día anterior")</f>
        <v>Día actual</v>
      </c>
      <c r="C155" s="3" t="s">
        <v>76</v>
      </c>
      <c r="D155" t="s">
        <v>77</v>
      </c>
      <c r="E155" s="3" t="s">
        <v>301</v>
      </c>
      <c r="F155" s="3" t="s">
        <v>33</v>
      </c>
      <c r="G155" s="3" t="s">
        <v>99</v>
      </c>
      <c r="H155" s="3" t="s">
        <v>11</v>
      </c>
      <c r="I155" s="3" t="s">
        <v>7</v>
      </c>
      <c r="J155" s="3" t="s">
        <v>41</v>
      </c>
      <c r="K155" s="3" t="s">
        <v>78</v>
      </c>
      <c r="L155" s="3" t="s">
        <v>44</v>
      </c>
      <c r="M155">
        <v>1</v>
      </c>
    </row>
    <row r="156" spans="1:13" x14ac:dyDescent="0.25">
      <c r="A156" s="2">
        <v>46178</v>
      </c>
      <c r="B156" s="1" t="str">
        <f ca="1">IF(Información1[[#This Row],[Fecha]]='Ajuste de fechas'!$A$2,"Día actual","Día anterior")</f>
        <v>Día actual</v>
      </c>
      <c r="C156" s="3" t="s">
        <v>76</v>
      </c>
      <c r="D156" t="s">
        <v>77</v>
      </c>
      <c r="E156" s="3" t="s">
        <v>302</v>
      </c>
      <c r="F156" s="3" t="s">
        <v>21</v>
      </c>
      <c r="G156" s="3" t="s">
        <v>271</v>
      </c>
      <c r="H156" s="3" t="s">
        <v>11</v>
      </c>
      <c r="I156" s="3" t="s">
        <v>7</v>
      </c>
      <c r="J156" s="3" t="s">
        <v>41</v>
      </c>
      <c r="K156" s="3" t="s">
        <v>78</v>
      </c>
      <c r="L156" s="3" t="s">
        <v>44</v>
      </c>
      <c r="M156">
        <v>1</v>
      </c>
    </row>
    <row r="157" spans="1:13" x14ac:dyDescent="0.25">
      <c r="A157" s="2">
        <v>46178</v>
      </c>
      <c r="B157" s="1" t="str">
        <f ca="1">IF(Información1[[#This Row],[Fecha]]='Ajuste de fechas'!$A$2,"Día actual","Día anterior")</f>
        <v>Día actual</v>
      </c>
      <c r="C157" s="3" t="s">
        <v>76</v>
      </c>
      <c r="D157" t="s">
        <v>77</v>
      </c>
      <c r="E157" s="3" t="s">
        <v>236</v>
      </c>
      <c r="F157" s="3" t="s">
        <v>21</v>
      </c>
      <c r="G157" s="3" t="s">
        <v>237</v>
      </c>
      <c r="H157" s="3" t="s">
        <v>11</v>
      </c>
      <c r="I157" s="3" t="s">
        <v>7</v>
      </c>
      <c r="J157" s="3" t="s">
        <v>41</v>
      </c>
      <c r="K157" s="3" t="s">
        <v>78</v>
      </c>
      <c r="L157" s="3" t="s">
        <v>44</v>
      </c>
      <c r="M157">
        <v>1</v>
      </c>
    </row>
    <row r="158" spans="1:13" x14ac:dyDescent="0.25">
      <c r="A158" s="2">
        <v>46178</v>
      </c>
      <c r="B158" s="1" t="str">
        <f ca="1">IF(Información1[[#This Row],[Fecha]]='Ajuste de fechas'!$A$2,"Día actual","Día anterior")</f>
        <v>Día actual</v>
      </c>
      <c r="C158" s="3" t="s">
        <v>76</v>
      </c>
      <c r="D158" t="s">
        <v>77</v>
      </c>
      <c r="E158" s="3" t="s">
        <v>303</v>
      </c>
      <c r="F158" s="3" t="s">
        <v>114</v>
      </c>
      <c r="G158" s="3" t="s">
        <v>207</v>
      </c>
      <c r="H158" s="3" t="s">
        <v>11</v>
      </c>
      <c r="I158" s="3" t="s">
        <v>7</v>
      </c>
      <c r="J158" s="3" t="s">
        <v>41</v>
      </c>
      <c r="K158" s="3" t="s">
        <v>78</v>
      </c>
      <c r="L158" s="3" t="s">
        <v>44</v>
      </c>
      <c r="M158">
        <v>1</v>
      </c>
    </row>
    <row r="159" spans="1:13" x14ac:dyDescent="0.25">
      <c r="A159" s="2">
        <v>46178</v>
      </c>
      <c r="B159" s="1" t="str">
        <f ca="1">IF(Información1[[#This Row],[Fecha]]='Ajuste de fechas'!$A$2,"Día actual","Día anterior")</f>
        <v>Día actual</v>
      </c>
      <c r="C159" s="3" t="s">
        <v>76</v>
      </c>
      <c r="D159" t="s">
        <v>77</v>
      </c>
      <c r="E159" s="3" t="s">
        <v>304</v>
      </c>
      <c r="F159" s="3" t="s">
        <v>26</v>
      </c>
      <c r="G159" s="3" t="s">
        <v>260</v>
      </c>
      <c r="H159" s="3" t="s">
        <v>11</v>
      </c>
      <c r="I159" s="3" t="s">
        <v>7</v>
      </c>
      <c r="J159" s="3" t="s">
        <v>41</v>
      </c>
      <c r="K159" s="3" t="s">
        <v>78</v>
      </c>
      <c r="L159" s="3" t="s">
        <v>44</v>
      </c>
      <c r="M159">
        <v>1</v>
      </c>
    </row>
    <row r="160" spans="1:13" x14ac:dyDescent="0.25">
      <c r="A160" s="2">
        <v>46178</v>
      </c>
      <c r="B160" s="1" t="str">
        <f ca="1">IF(Información1[[#This Row],[Fecha]]='Ajuste de fechas'!$A$2,"Día actual","Día anterior")</f>
        <v>Día actual</v>
      </c>
      <c r="C160" s="3" t="s">
        <v>76</v>
      </c>
      <c r="D160" t="s">
        <v>77</v>
      </c>
      <c r="E160" s="3" t="s">
        <v>305</v>
      </c>
      <c r="F160" s="3" t="s">
        <v>26</v>
      </c>
      <c r="G160" s="3" t="s">
        <v>260</v>
      </c>
      <c r="H160" s="3" t="s">
        <v>11</v>
      </c>
      <c r="I160" s="3" t="s">
        <v>7</v>
      </c>
      <c r="J160" s="3" t="s">
        <v>41</v>
      </c>
      <c r="K160" s="3" t="s">
        <v>78</v>
      </c>
      <c r="L160" s="3" t="s">
        <v>44</v>
      </c>
      <c r="M160">
        <v>1</v>
      </c>
    </row>
    <row r="161" spans="1:13" x14ac:dyDescent="0.25">
      <c r="A161" s="2">
        <v>46178</v>
      </c>
      <c r="B161" s="1" t="str">
        <f ca="1">IF(Información1[[#This Row],[Fecha]]='Ajuste de fechas'!$A$2,"Día actual","Día anterior")</f>
        <v>Día actual</v>
      </c>
      <c r="C161" s="3" t="s">
        <v>53</v>
      </c>
      <c r="D161" t="s">
        <v>55</v>
      </c>
      <c r="E161" s="3" t="s">
        <v>306</v>
      </c>
      <c r="F161" s="3" t="s">
        <v>26</v>
      </c>
      <c r="G161" s="3" t="s">
        <v>260</v>
      </c>
      <c r="H161" s="3" t="s">
        <v>11</v>
      </c>
      <c r="I161" s="3" t="s">
        <v>7</v>
      </c>
      <c r="J161" s="3" t="s">
        <v>41</v>
      </c>
      <c r="K161" s="3" t="s">
        <v>54</v>
      </c>
      <c r="L161" s="3" t="s">
        <v>42</v>
      </c>
      <c r="M161">
        <v>1</v>
      </c>
    </row>
    <row r="162" spans="1:13" x14ac:dyDescent="0.25">
      <c r="A162" s="2">
        <v>46178</v>
      </c>
      <c r="B162" s="1" t="str">
        <f ca="1">IF(Información1[[#This Row],[Fecha]]='Ajuste de fechas'!$A$2,"Día actual","Día anterior")</f>
        <v>Día actual</v>
      </c>
      <c r="C162" s="3" t="s">
        <v>53</v>
      </c>
      <c r="D162" t="s">
        <v>55</v>
      </c>
      <c r="E162" s="3" t="s">
        <v>307</v>
      </c>
      <c r="F162" s="3" t="s">
        <v>98</v>
      </c>
      <c r="G162" s="3" t="s">
        <v>99</v>
      </c>
      <c r="H162" s="3" t="s">
        <v>11</v>
      </c>
      <c r="I162" s="3" t="s">
        <v>7</v>
      </c>
      <c r="J162" s="3" t="s">
        <v>41</v>
      </c>
      <c r="K162" s="3" t="s">
        <v>52</v>
      </c>
      <c r="L162" s="3" t="s">
        <v>42</v>
      </c>
      <c r="M162">
        <v>1</v>
      </c>
    </row>
    <row r="163" spans="1:13" x14ac:dyDescent="0.25">
      <c r="A163" s="2">
        <v>46178</v>
      </c>
      <c r="B163" s="1" t="str">
        <f ca="1">IF(Información1[[#This Row],[Fecha]]='Ajuste de fechas'!$A$2,"Día actual","Día anterior")</f>
        <v>Día actual</v>
      </c>
      <c r="C163" s="3" t="s">
        <v>53</v>
      </c>
      <c r="D163" t="s">
        <v>55</v>
      </c>
      <c r="E163" s="3" t="s">
        <v>308</v>
      </c>
      <c r="F163" s="3" t="s">
        <v>26</v>
      </c>
      <c r="G163" s="3" t="s">
        <v>79</v>
      </c>
      <c r="H163" s="3" t="s">
        <v>11</v>
      </c>
      <c r="I163" s="3" t="s">
        <v>7</v>
      </c>
      <c r="J163" s="3" t="s">
        <v>41</v>
      </c>
      <c r="K163" s="3" t="s">
        <v>54</v>
      </c>
      <c r="L163" s="3" t="s">
        <v>42</v>
      </c>
      <c r="M163">
        <v>1</v>
      </c>
    </row>
    <row r="164" spans="1:13" x14ac:dyDescent="0.25">
      <c r="A164" s="2">
        <v>46178</v>
      </c>
      <c r="B164" s="1" t="str">
        <f ca="1">IF(Información1[[#This Row],[Fecha]]='Ajuste de fechas'!$A$2,"Día actual","Día anterior")</f>
        <v>Día actual</v>
      </c>
      <c r="C164" s="3" t="s">
        <v>53</v>
      </c>
      <c r="D164" t="s">
        <v>55</v>
      </c>
      <c r="E164" s="3" t="s">
        <v>309</v>
      </c>
      <c r="F164" s="3" t="s">
        <v>26</v>
      </c>
      <c r="G164" s="3" t="s">
        <v>260</v>
      </c>
      <c r="H164" s="3" t="s">
        <v>11</v>
      </c>
      <c r="I164" s="3" t="s">
        <v>7</v>
      </c>
      <c r="J164" s="3" t="s">
        <v>41</v>
      </c>
      <c r="K164" s="3" t="s">
        <v>54</v>
      </c>
      <c r="L164" s="3" t="s">
        <v>42</v>
      </c>
      <c r="M164">
        <v>1</v>
      </c>
    </row>
    <row r="165" spans="1:13" x14ac:dyDescent="0.25">
      <c r="A165" s="2">
        <v>46178</v>
      </c>
      <c r="B165" s="1" t="str">
        <f ca="1">IF(Información1[[#This Row],[Fecha]]='Ajuste de fechas'!$A$2,"Día actual","Día anterior")</f>
        <v>Día actual</v>
      </c>
      <c r="C165" s="3" t="s">
        <v>53</v>
      </c>
      <c r="D165" t="s">
        <v>55</v>
      </c>
      <c r="E165" s="3" t="s">
        <v>310</v>
      </c>
      <c r="F165" s="3" t="s">
        <v>21</v>
      </c>
      <c r="G165" s="3" t="s">
        <v>311</v>
      </c>
      <c r="H165" s="3" t="s">
        <v>11</v>
      </c>
      <c r="I165" s="3" t="s">
        <v>12</v>
      </c>
      <c r="J165" s="3" t="s">
        <v>41</v>
      </c>
      <c r="K165" s="3" t="s">
        <v>52</v>
      </c>
      <c r="L165" s="3" t="s">
        <v>42</v>
      </c>
      <c r="M165">
        <v>1</v>
      </c>
    </row>
    <row r="166" spans="1:13" x14ac:dyDescent="0.25">
      <c r="A166" s="2">
        <v>46178</v>
      </c>
      <c r="B166" s="1" t="str">
        <f ca="1">IF(Información1[[#This Row],[Fecha]]='Ajuste de fechas'!$A$2,"Día actual","Día anterior")</f>
        <v>Día actual</v>
      </c>
      <c r="C166" s="3" t="s">
        <v>53</v>
      </c>
      <c r="D166" t="s">
        <v>55</v>
      </c>
      <c r="E166" s="3" t="s">
        <v>294</v>
      </c>
      <c r="F166" s="3" t="s">
        <v>295</v>
      </c>
      <c r="G166" s="3" t="s">
        <v>296</v>
      </c>
      <c r="H166" s="3" t="s">
        <v>11</v>
      </c>
      <c r="I166" s="3" t="s">
        <v>7</v>
      </c>
      <c r="J166" s="3" t="s">
        <v>41</v>
      </c>
      <c r="K166" s="3" t="s">
        <v>52</v>
      </c>
      <c r="L166" s="3" t="s">
        <v>44</v>
      </c>
      <c r="M166">
        <v>1</v>
      </c>
    </row>
    <row r="167" spans="1:13" x14ac:dyDescent="0.25">
      <c r="A167" s="2">
        <v>46178</v>
      </c>
      <c r="B167" s="1" t="str">
        <f ca="1">IF(Información1[[#This Row],[Fecha]]='Ajuste de fechas'!$A$2,"Día actual","Día anterior")</f>
        <v>Día actual</v>
      </c>
      <c r="C167" s="3" t="s">
        <v>53</v>
      </c>
      <c r="D167" t="s">
        <v>55</v>
      </c>
      <c r="E167" s="3" t="s">
        <v>312</v>
      </c>
      <c r="F167" s="3" t="s">
        <v>6</v>
      </c>
      <c r="G167" s="3" t="s">
        <v>130</v>
      </c>
      <c r="H167" s="3" t="s">
        <v>11</v>
      </c>
      <c r="I167" s="3" t="s">
        <v>7</v>
      </c>
      <c r="J167" s="3" t="s">
        <v>41</v>
      </c>
      <c r="K167" s="3" t="s">
        <v>52</v>
      </c>
      <c r="L167" s="3" t="s">
        <v>44</v>
      </c>
      <c r="M167">
        <v>1</v>
      </c>
    </row>
    <row r="168" spans="1:13" x14ac:dyDescent="0.25">
      <c r="A168" s="2">
        <v>46178</v>
      </c>
      <c r="B168" s="1" t="str">
        <f ca="1">IF(Información1[[#This Row],[Fecha]]='Ajuste de fechas'!$A$2,"Día actual","Día anterior")</f>
        <v>Día actual</v>
      </c>
      <c r="C168" s="3" t="s">
        <v>53</v>
      </c>
      <c r="D168" t="s">
        <v>55</v>
      </c>
      <c r="E168" s="3" t="s">
        <v>313</v>
      </c>
      <c r="F168" s="3" t="s">
        <v>15</v>
      </c>
      <c r="G168" s="3" t="s">
        <v>207</v>
      </c>
      <c r="H168" s="3" t="s">
        <v>11</v>
      </c>
      <c r="I168" s="3" t="s">
        <v>7</v>
      </c>
      <c r="J168" s="3" t="s">
        <v>41</v>
      </c>
      <c r="K168" s="3" t="s">
        <v>52</v>
      </c>
      <c r="L168" s="3" t="s">
        <v>44</v>
      </c>
      <c r="M168">
        <v>1</v>
      </c>
    </row>
    <row r="169" spans="1:13" x14ac:dyDescent="0.25">
      <c r="A169" s="2">
        <v>46178</v>
      </c>
      <c r="B169" s="1" t="str">
        <f ca="1">IF(Información1[[#This Row],[Fecha]]='Ajuste de fechas'!$A$2,"Día actual","Día anterior")</f>
        <v>Día actual</v>
      </c>
      <c r="C169" s="3" t="s">
        <v>28</v>
      </c>
      <c r="D169" t="s">
        <v>30</v>
      </c>
      <c r="E169" s="3" t="s">
        <v>314</v>
      </c>
      <c r="F169" s="3" t="s">
        <v>24</v>
      </c>
      <c r="G169" s="3"/>
      <c r="H169" s="3" t="s">
        <v>11</v>
      </c>
      <c r="I169" s="3" t="s">
        <v>7</v>
      </c>
      <c r="J169" s="3" t="s">
        <v>24</v>
      </c>
      <c r="K169" s="3" t="s">
        <v>29</v>
      </c>
      <c r="L169" s="3" t="s">
        <v>42</v>
      </c>
      <c r="M169">
        <v>1</v>
      </c>
    </row>
    <row r="170" spans="1:13" x14ac:dyDescent="0.25">
      <c r="A170" s="2">
        <v>46178</v>
      </c>
      <c r="B170" s="1" t="str">
        <f ca="1">IF(Información1[[#This Row],[Fecha]]='Ajuste de fechas'!$A$2,"Día actual","Día anterior")</f>
        <v>Día actual</v>
      </c>
      <c r="C170" s="3" t="s">
        <v>8</v>
      </c>
      <c r="D170" t="s">
        <v>10</v>
      </c>
      <c r="E170" s="3" t="s">
        <v>315</v>
      </c>
      <c r="F170" s="3" t="s">
        <v>6</v>
      </c>
      <c r="G170" s="3" t="s">
        <v>50</v>
      </c>
      <c r="H170" s="3" t="s">
        <v>11</v>
      </c>
      <c r="I170" s="3" t="s">
        <v>25</v>
      </c>
      <c r="J170" s="3" t="s">
        <v>41</v>
      </c>
      <c r="K170" s="3" t="s">
        <v>9</v>
      </c>
      <c r="L170" s="3" t="s">
        <v>43</v>
      </c>
      <c r="M170">
        <v>1</v>
      </c>
    </row>
    <row r="171" spans="1:13" x14ac:dyDescent="0.25">
      <c r="A171" s="2">
        <v>46178</v>
      </c>
      <c r="B171" s="1" t="str">
        <f ca="1">IF(Información1[[#This Row],[Fecha]]='Ajuste de fechas'!$A$2,"Día actual","Día anterior")</f>
        <v>Día actual</v>
      </c>
      <c r="C171" s="3" t="s">
        <v>8</v>
      </c>
      <c r="D171" t="s">
        <v>10</v>
      </c>
      <c r="E171" s="3" t="s">
        <v>316</v>
      </c>
      <c r="F171" s="3" t="s">
        <v>6</v>
      </c>
      <c r="G171" s="3" t="s">
        <v>317</v>
      </c>
      <c r="H171" s="3" t="s">
        <v>11</v>
      </c>
      <c r="I171" s="3" t="s">
        <v>25</v>
      </c>
      <c r="J171" s="3" t="s">
        <v>41</v>
      </c>
      <c r="K171" s="3" t="s">
        <v>9</v>
      </c>
      <c r="L171" s="3" t="s">
        <v>43</v>
      </c>
      <c r="M171">
        <v>2</v>
      </c>
    </row>
    <row r="172" spans="1:13" x14ac:dyDescent="0.25">
      <c r="A172" s="2">
        <v>46178</v>
      </c>
      <c r="B172" s="1" t="str">
        <f ca="1">IF(Información1[[#This Row],[Fecha]]='Ajuste de fechas'!$A$2,"Día actual","Día anterior")</f>
        <v>Día actual</v>
      </c>
      <c r="C172" s="3" t="s">
        <v>28</v>
      </c>
      <c r="D172" t="s">
        <v>84</v>
      </c>
      <c r="E172" s="3" t="s">
        <v>318</v>
      </c>
      <c r="F172" s="3" t="s">
        <v>22</v>
      </c>
      <c r="G172" s="3" t="s">
        <v>207</v>
      </c>
      <c r="H172" s="3" t="s">
        <v>11</v>
      </c>
      <c r="I172" s="3" t="s">
        <v>7</v>
      </c>
      <c r="J172" s="3" t="s">
        <v>46</v>
      </c>
      <c r="K172" s="3" t="s">
        <v>85</v>
      </c>
      <c r="L172" s="3" t="s">
        <v>42</v>
      </c>
      <c r="M172">
        <v>1</v>
      </c>
    </row>
    <row r="173" spans="1:13" x14ac:dyDescent="0.25">
      <c r="A173" s="2">
        <v>46178</v>
      </c>
      <c r="B173" s="1" t="str">
        <f ca="1">IF(Información1[[#This Row],[Fecha]]='Ajuste de fechas'!$A$2,"Día actual","Día anterior")</f>
        <v>Día actual</v>
      </c>
      <c r="C173" s="3" t="s">
        <v>28</v>
      </c>
      <c r="D173" t="s">
        <v>84</v>
      </c>
      <c r="E173" s="3" t="s">
        <v>319</v>
      </c>
      <c r="F173" s="3" t="s">
        <v>26</v>
      </c>
      <c r="G173" s="3" t="s">
        <v>207</v>
      </c>
      <c r="H173" s="3" t="s">
        <v>11</v>
      </c>
      <c r="I173" s="3" t="s">
        <v>7</v>
      </c>
      <c r="J173" s="3" t="s">
        <v>41</v>
      </c>
      <c r="K173" s="3" t="s">
        <v>85</v>
      </c>
      <c r="L173" s="3" t="s">
        <v>42</v>
      </c>
      <c r="M173">
        <v>1</v>
      </c>
    </row>
    <row r="174" spans="1:13" x14ac:dyDescent="0.25">
      <c r="A174" s="2">
        <v>46178</v>
      </c>
      <c r="B174" s="1" t="str">
        <f ca="1">IF(Información1[[#This Row],[Fecha]]='Ajuste de fechas'!$A$2,"Día actual","Día anterior")</f>
        <v>Día actual</v>
      </c>
      <c r="C174" s="3" t="s">
        <v>8</v>
      </c>
      <c r="D174" t="s">
        <v>10</v>
      </c>
      <c r="E174" s="3" t="s">
        <v>313</v>
      </c>
      <c r="F174" s="3" t="s">
        <v>15</v>
      </c>
      <c r="G174" s="3" t="s">
        <v>207</v>
      </c>
      <c r="H174" s="3" t="s">
        <v>11</v>
      </c>
      <c r="I174" s="3" t="s">
        <v>7</v>
      </c>
      <c r="J174" s="3" t="s">
        <v>41</v>
      </c>
      <c r="K174" s="3" t="s">
        <v>14</v>
      </c>
      <c r="L174" s="3" t="s">
        <v>44</v>
      </c>
      <c r="M174">
        <v>1</v>
      </c>
    </row>
    <row r="175" spans="1:13" x14ac:dyDescent="0.25">
      <c r="A175" s="2">
        <v>46178</v>
      </c>
      <c r="B175" s="1" t="str">
        <f ca="1">IF(Información1[[#This Row],[Fecha]]='Ajuste de fechas'!$A$2,"Día actual","Día anterior")</f>
        <v>Día actual</v>
      </c>
      <c r="C175" s="3" t="s">
        <v>28</v>
      </c>
      <c r="D175" t="s">
        <v>30</v>
      </c>
      <c r="E175" s="3" t="s">
        <v>320</v>
      </c>
      <c r="F175" s="3" t="s">
        <v>19</v>
      </c>
      <c r="G175" s="3" t="s">
        <v>258</v>
      </c>
      <c r="H175" s="3" t="s">
        <v>11</v>
      </c>
      <c r="I175" s="3" t="s">
        <v>7</v>
      </c>
      <c r="J175" s="3" t="s">
        <v>45</v>
      </c>
      <c r="K175" s="3" t="s">
        <v>29</v>
      </c>
      <c r="L175" s="3" t="s">
        <v>42</v>
      </c>
      <c r="M175">
        <v>1</v>
      </c>
    </row>
    <row r="176" spans="1:13" x14ac:dyDescent="0.25">
      <c r="A176" s="2">
        <v>46178</v>
      </c>
      <c r="B176" s="1" t="str">
        <f ca="1">IF(Información1[[#This Row],[Fecha]]='Ajuste de fechas'!$A$2,"Día actual","Día anterior")</f>
        <v>Día actual</v>
      </c>
      <c r="C176" s="3" t="s">
        <v>8</v>
      </c>
      <c r="D176" t="s">
        <v>10</v>
      </c>
      <c r="E176" s="3" t="s">
        <v>321</v>
      </c>
      <c r="F176" s="3" t="s">
        <v>19</v>
      </c>
      <c r="G176" s="3" t="s">
        <v>34</v>
      </c>
      <c r="H176" s="3" t="s">
        <v>11</v>
      </c>
      <c r="I176" s="3" t="s">
        <v>12</v>
      </c>
      <c r="J176" s="3" t="s">
        <v>45</v>
      </c>
      <c r="K176" s="3" t="s">
        <v>14</v>
      </c>
      <c r="L176" s="3" t="s">
        <v>43</v>
      </c>
      <c r="M176">
        <v>1</v>
      </c>
    </row>
    <row r="177" spans="1:13" x14ac:dyDescent="0.25">
      <c r="A177" s="2">
        <v>46178</v>
      </c>
      <c r="B177" s="1" t="str">
        <f ca="1">IF(Información1[[#This Row],[Fecha]]='Ajuste de fechas'!$A$2,"Día actual","Día anterior")</f>
        <v>Día actual</v>
      </c>
      <c r="C177" s="3" t="s">
        <v>8</v>
      </c>
      <c r="D177" t="s">
        <v>10</v>
      </c>
      <c r="E177" s="3" t="s">
        <v>18</v>
      </c>
      <c r="F177" s="3" t="s">
        <v>19</v>
      </c>
      <c r="G177" s="3" t="s">
        <v>34</v>
      </c>
      <c r="H177" s="3" t="s">
        <v>11</v>
      </c>
      <c r="I177" s="3" t="s">
        <v>12</v>
      </c>
      <c r="J177" s="3" t="s">
        <v>45</v>
      </c>
      <c r="K177" s="3" t="s">
        <v>14</v>
      </c>
      <c r="L177" s="3" t="s">
        <v>43</v>
      </c>
      <c r="M177">
        <v>1</v>
      </c>
    </row>
    <row r="178" spans="1:13" x14ac:dyDescent="0.25">
      <c r="A178" s="2">
        <v>46178</v>
      </c>
      <c r="B178" s="1" t="str">
        <f ca="1">IF(Información1[[#This Row],[Fecha]]='Ajuste de fechas'!$A$2,"Día actual","Día anterior")</f>
        <v>Día actual</v>
      </c>
      <c r="C178" s="3" t="s">
        <v>8</v>
      </c>
      <c r="D178" t="s">
        <v>10</v>
      </c>
      <c r="E178" s="3" t="s">
        <v>13</v>
      </c>
      <c r="F178" s="3" t="s">
        <v>15</v>
      </c>
      <c r="G178" s="3" t="s">
        <v>34</v>
      </c>
      <c r="H178" s="3" t="s">
        <v>11</v>
      </c>
      <c r="I178" s="3" t="s">
        <v>12</v>
      </c>
      <c r="J178" s="3" t="s">
        <v>41</v>
      </c>
      <c r="K178" s="3" t="s">
        <v>14</v>
      </c>
      <c r="L178" s="3" t="s">
        <v>43</v>
      </c>
      <c r="M178">
        <v>1</v>
      </c>
    </row>
    <row r="179" spans="1:13" x14ac:dyDescent="0.25">
      <c r="A179" s="2">
        <v>46178</v>
      </c>
      <c r="B179" s="1" t="str">
        <f ca="1">IF(Información1[[#This Row],[Fecha]]='Ajuste de fechas'!$A$2,"Día actual","Día anterior")</f>
        <v>Día actual</v>
      </c>
      <c r="C179" s="3" t="s">
        <v>8</v>
      </c>
      <c r="D179" t="s">
        <v>10</v>
      </c>
      <c r="E179" s="3" t="s">
        <v>16</v>
      </c>
      <c r="F179" s="3" t="s">
        <v>17</v>
      </c>
      <c r="G179" s="3" t="s">
        <v>34</v>
      </c>
      <c r="H179" s="3" t="s">
        <v>11</v>
      </c>
      <c r="I179" s="3" t="s">
        <v>12</v>
      </c>
      <c r="J179" s="3" t="s">
        <v>41</v>
      </c>
      <c r="K179" s="3" t="s">
        <v>14</v>
      </c>
      <c r="L179" s="3" t="s">
        <v>43</v>
      </c>
      <c r="M179">
        <v>1</v>
      </c>
    </row>
    <row r="180" spans="1:13" x14ac:dyDescent="0.25">
      <c r="A180" s="2">
        <v>46178</v>
      </c>
      <c r="B180" s="1" t="str">
        <f ca="1">IF(Información1[[#This Row],[Fecha]]='Ajuste de fechas'!$A$2,"Día actual","Día anterior")</f>
        <v>Día actual</v>
      </c>
      <c r="C180" s="3" t="s">
        <v>8</v>
      </c>
      <c r="D180" t="s">
        <v>10</v>
      </c>
      <c r="E180" s="3" t="s">
        <v>58</v>
      </c>
      <c r="F180" s="3" t="s">
        <v>6</v>
      </c>
      <c r="G180" s="3" t="s">
        <v>34</v>
      </c>
      <c r="H180" s="3" t="s">
        <v>11</v>
      </c>
      <c r="I180" s="3" t="s">
        <v>12</v>
      </c>
      <c r="J180" s="3" t="s">
        <v>41</v>
      </c>
      <c r="K180" s="3" t="s">
        <v>14</v>
      </c>
      <c r="L180" s="3" t="s">
        <v>43</v>
      </c>
      <c r="M180">
        <v>1</v>
      </c>
    </row>
    <row r="181" spans="1:13" x14ac:dyDescent="0.25">
      <c r="A181" s="2">
        <v>46178</v>
      </c>
      <c r="B181" s="1" t="str">
        <f ca="1">IF(Información1[[#This Row],[Fecha]]='Ajuste de fechas'!$A$2,"Día actual","Día anterior")</f>
        <v>Día actual</v>
      </c>
      <c r="C181" s="3" t="s">
        <v>8</v>
      </c>
      <c r="D181" t="s">
        <v>10</v>
      </c>
      <c r="E181" s="3" t="s">
        <v>322</v>
      </c>
      <c r="F181" s="3" t="s">
        <v>19</v>
      </c>
      <c r="G181" s="3" t="s">
        <v>266</v>
      </c>
      <c r="H181" s="3" t="s">
        <v>11</v>
      </c>
      <c r="I181" s="3" t="s">
        <v>7</v>
      </c>
      <c r="J181" s="3" t="s">
        <v>45</v>
      </c>
      <c r="K181" s="3" t="s">
        <v>14</v>
      </c>
      <c r="L181" s="3" t="s">
        <v>42</v>
      </c>
      <c r="M181">
        <v>1</v>
      </c>
    </row>
    <row r="182" spans="1:13" x14ac:dyDescent="0.25">
      <c r="A182" s="2">
        <v>46178</v>
      </c>
      <c r="B182" s="1" t="str">
        <f ca="1">IF(Información1[[#This Row],[Fecha]]='Ajuste de fechas'!$A$2,"Día actual","Día anterior")</f>
        <v>Día actual</v>
      </c>
      <c r="C182" s="3" t="s">
        <v>28</v>
      </c>
      <c r="D182" t="s">
        <v>30</v>
      </c>
      <c r="E182" s="3" t="s">
        <v>323</v>
      </c>
      <c r="F182" s="3" t="s">
        <v>23</v>
      </c>
      <c r="G182" s="3" t="s">
        <v>245</v>
      </c>
      <c r="H182" s="3" t="s">
        <v>11</v>
      </c>
      <c r="I182" s="3" t="s">
        <v>7</v>
      </c>
      <c r="J182" s="3" t="s">
        <v>41</v>
      </c>
      <c r="K182" s="3" t="s">
        <v>29</v>
      </c>
      <c r="L182" s="3" t="s">
        <v>42</v>
      </c>
      <c r="M182">
        <v>1</v>
      </c>
    </row>
    <row r="183" spans="1:13" x14ac:dyDescent="0.25">
      <c r="A183" s="2">
        <v>46178</v>
      </c>
      <c r="B183" s="1" t="str">
        <f ca="1">IF(Información1[[#This Row],[Fecha]]='Ajuste de fechas'!$A$2,"Día actual","Día anterior")</f>
        <v>Día actual</v>
      </c>
      <c r="C183" s="3" t="s">
        <v>8</v>
      </c>
      <c r="D183" t="s">
        <v>10</v>
      </c>
      <c r="E183" s="3" t="s">
        <v>244</v>
      </c>
      <c r="F183" s="3" t="s">
        <v>23</v>
      </c>
      <c r="G183" s="3" t="s">
        <v>245</v>
      </c>
      <c r="H183" s="3" t="s">
        <v>11</v>
      </c>
      <c r="I183" s="3" t="s">
        <v>7</v>
      </c>
      <c r="J183" s="3" t="s">
        <v>41</v>
      </c>
      <c r="K183" s="3" t="s">
        <v>14</v>
      </c>
      <c r="L183" s="3" t="s">
        <v>44</v>
      </c>
      <c r="M183">
        <v>1</v>
      </c>
    </row>
    <row r="184" spans="1:13" x14ac:dyDescent="0.25">
      <c r="A184" s="2">
        <v>46178</v>
      </c>
      <c r="B184" s="1" t="str">
        <f ca="1">IF(Información1[[#This Row],[Fecha]]='Ajuste de fechas'!$A$2,"Día actual","Día anterior")</f>
        <v>Día actual</v>
      </c>
      <c r="C184" s="3" t="s">
        <v>28</v>
      </c>
      <c r="D184" t="s">
        <v>30</v>
      </c>
      <c r="E184" s="3" t="s">
        <v>324</v>
      </c>
      <c r="F184" s="3" t="s">
        <v>51</v>
      </c>
      <c r="G184" s="3" t="s">
        <v>154</v>
      </c>
      <c r="H184" s="3" t="s">
        <v>11</v>
      </c>
      <c r="I184" s="3" t="s">
        <v>7</v>
      </c>
      <c r="J184" s="3" t="s">
        <v>41</v>
      </c>
      <c r="K184" s="3" t="s">
        <v>29</v>
      </c>
      <c r="L184" s="3" t="s">
        <v>42</v>
      </c>
      <c r="M184">
        <v>1</v>
      </c>
    </row>
    <row r="185" spans="1:13" x14ac:dyDescent="0.25">
      <c r="A185" s="2">
        <v>46178</v>
      </c>
      <c r="B185" s="1" t="str">
        <f ca="1">IF(Información1[[#This Row],[Fecha]]='Ajuste de fechas'!$A$2,"Día actual","Día anterior")</f>
        <v>Día actual</v>
      </c>
      <c r="C185" s="3" t="s">
        <v>8</v>
      </c>
      <c r="D185" t="s">
        <v>10</v>
      </c>
      <c r="E185" s="3" t="s">
        <v>325</v>
      </c>
      <c r="F185" s="3" t="s">
        <v>51</v>
      </c>
      <c r="G185" s="3" t="s">
        <v>154</v>
      </c>
      <c r="H185" s="3" t="s">
        <v>11</v>
      </c>
      <c r="I185" s="3" t="s">
        <v>7</v>
      </c>
      <c r="J185" s="3" t="s">
        <v>41</v>
      </c>
      <c r="K185" s="3" t="s">
        <v>14</v>
      </c>
      <c r="L185" s="3" t="s">
        <v>42</v>
      </c>
      <c r="M185">
        <v>1</v>
      </c>
    </row>
    <row r="186" spans="1:13" x14ac:dyDescent="0.25">
      <c r="A186" s="2">
        <v>46178</v>
      </c>
      <c r="B186" s="1" t="str">
        <f ca="1">IF(Información1[[#This Row],[Fecha]]='Ajuste de fechas'!$A$2,"Día actual","Día anterior")</f>
        <v>Día actual</v>
      </c>
      <c r="C186" s="3" t="s">
        <v>86</v>
      </c>
      <c r="D186" t="s">
        <v>87</v>
      </c>
      <c r="E186" s="3" t="s">
        <v>326</v>
      </c>
      <c r="F186" s="3" t="s">
        <v>23</v>
      </c>
      <c r="G186" s="3" t="s">
        <v>175</v>
      </c>
      <c r="H186" s="3" t="s">
        <v>11</v>
      </c>
      <c r="I186" s="3" t="s">
        <v>7</v>
      </c>
      <c r="J186" s="3" t="s">
        <v>41</v>
      </c>
      <c r="K186" s="3" t="s">
        <v>89</v>
      </c>
      <c r="L186" s="3" t="s">
        <v>44</v>
      </c>
      <c r="M186">
        <v>1</v>
      </c>
    </row>
    <row r="187" spans="1:13" x14ac:dyDescent="0.25">
      <c r="A187" s="2">
        <v>46178</v>
      </c>
      <c r="B187" s="1" t="str">
        <f ca="1">IF(Información1[[#This Row],[Fecha]]='Ajuste de fechas'!$A$2,"Día actual","Día anterior")</f>
        <v>Día actual</v>
      </c>
      <c r="C187" s="3" t="s">
        <v>86</v>
      </c>
      <c r="D187" t="s">
        <v>87</v>
      </c>
      <c r="E187" s="3" t="s">
        <v>327</v>
      </c>
      <c r="F187" s="3" t="s">
        <v>23</v>
      </c>
      <c r="G187" s="3" t="s">
        <v>175</v>
      </c>
      <c r="H187" s="3" t="s">
        <v>11</v>
      </c>
      <c r="I187" s="3" t="s">
        <v>7</v>
      </c>
      <c r="J187" s="3" t="s">
        <v>41</v>
      </c>
      <c r="K187" s="3" t="s">
        <v>89</v>
      </c>
      <c r="L187" s="3" t="s">
        <v>42</v>
      </c>
      <c r="M187">
        <v>1</v>
      </c>
    </row>
    <row r="188" spans="1:13" x14ac:dyDescent="0.25">
      <c r="A188" s="2">
        <v>46178</v>
      </c>
      <c r="B188" s="1" t="str">
        <f ca="1">IF(Información1[[#This Row],[Fecha]]='Ajuste de fechas'!$A$2,"Día actual","Día anterior")</f>
        <v>Día actual</v>
      </c>
      <c r="C188" s="3" t="s">
        <v>8</v>
      </c>
      <c r="D188" t="s">
        <v>10</v>
      </c>
      <c r="E188" s="3" t="s">
        <v>328</v>
      </c>
      <c r="F188" s="3" t="s">
        <v>23</v>
      </c>
      <c r="G188" s="3" t="s">
        <v>175</v>
      </c>
      <c r="H188" s="3" t="s">
        <v>11</v>
      </c>
      <c r="I188" s="3" t="s">
        <v>7</v>
      </c>
      <c r="J188" s="3" t="s">
        <v>41</v>
      </c>
      <c r="K188" s="3" t="s">
        <v>14</v>
      </c>
      <c r="L188" s="3" t="s">
        <v>42</v>
      </c>
      <c r="M188">
        <v>1</v>
      </c>
    </row>
    <row r="189" spans="1:13" x14ac:dyDescent="0.25">
      <c r="A189" s="2">
        <v>46178</v>
      </c>
      <c r="B189" s="1" t="str">
        <f ca="1">IF(Información1[[#This Row],[Fecha]]='Ajuste de fechas'!$A$2,"Día actual","Día anterior")</f>
        <v>Día actual</v>
      </c>
      <c r="C189" s="3" t="s">
        <v>28</v>
      </c>
      <c r="D189" t="s">
        <v>30</v>
      </c>
      <c r="E189" s="3" t="s">
        <v>329</v>
      </c>
      <c r="F189" s="3" t="s">
        <v>19</v>
      </c>
      <c r="G189" s="3" t="s">
        <v>330</v>
      </c>
      <c r="H189" s="3" t="s">
        <v>11</v>
      </c>
      <c r="I189" s="3" t="s">
        <v>25</v>
      </c>
      <c r="J189" s="3" t="s">
        <v>45</v>
      </c>
      <c r="K189" s="3" t="s">
        <v>29</v>
      </c>
      <c r="L189" s="3" t="s">
        <v>42</v>
      </c>
      <c r="M189">
        <v>1</v>
      </c>
    </row>
    <row r="190" spans="1:13" x14ac:dyDescent="0.25">
      <c r="A190" s="2">
        <v>46178</v>
      </c>
      <c r="B190" s="1" t="str">
        <f ca="1">IF(Información1[[#This Row],[Fecha]]='Ajuste de fechas'!$A$2,"Día actual","Día anterior")</f>
        <v>Día actual</v>
      </c>
      <c r="C190" s="3" t="s">
        <v>28</v>
      </c>
      <c r="D190" t="s">
        <v>84</v>
      </c>
      <c r="E190" s="3" t="s">
        <v>331</v>
      </c>
      <c r="F190" s="3" t="s">
        <v>332</v>
      </c>
      <c r="G190" s="3" t="s">
        <v>75</v>
      </c>
      <c r="H190" s="3" t="s">
        <v>11</v>
      </c>
      <c r="I190" s="3" t="s">
        <v>7</v>
      </c>
      <c r="J190" s="3" t="s">
        <v>101</v>
      </c>
      <c r="K190" s="3" t="s">
        <v>85</v>
      </c>
      <c r="L190" s="3" t="s">
        <v>42</v>
      </c>
      <c r="M190">
        <v>1</v>
      </c>
    </row>
    <row r="191" spans="1:13" x14ac:dyDescent="0.25">
      <c r="A191" s="2">
        <v>46178</v>
      </c>
      <c r="B191" s="1" t="str">
        <f ca="1">IF(Información1[[#This Row],[Fecha]]='Ajuste de fechas'!$A$2,"Día actual","Día anterior")</f>
        <v>Día actual</v>
      </c>
      <c r="C191" s="3" t="s">
        <v>8</v>
      </c>
      <c r="D191" t="s">
        <v>10</v>
      </c>
      <c r="E191" s="3" t="s">
        <v>333</v>
      </c>
      <c r="F191" s="3" t="s">
        <v>22</v>
      </c>
      <c r="G191" s="3" t="s">
        <v>251</v>
      </c>
      <c r="H191" s="3" t="s">
        <v>11</v>
      </c>
      <c r="I191" s="3" t="s">
        <v>25</v>
      </c>
      <c r="J191" s="3" t="s">
        <v>46</v>
      </c>
      <c r="K191" s="3" t="s">
        <v>9</v>
      </c>
      <c r="L191" s="3" t="s">
        <v>43</v>
      </c>
      <c r="M191">
        <v>1</v>
      </c>
    </row>
    <row r="192" spans="1:13" x14ac:dyDescent="0.25">
      <c r="A192" s="2">
        <v>46178</v>
      </c>
      <c r="B192" s="1" t="str">
        <f ca="1">IF(Información1[[#This Row],[Fecha]]='Ajuste de fechas'!$A$2,"Día actual","Día anterior")</f>
        <v>Día actual</v>
      </c>
      <c r="C192" s="3" t="s">
        <v>8</v>
      </c>
      <c r="D192" t="s">
        <v>10</v>
      </c>
      <c r="E192" s="3" t="s">
        <v>334</v>
      </c>
      <c r="F192" s="3" t="s">
        <v>6</v>
      </c>
      <c r="G192" s="3" t="s">
        <v>139</v>
      </c>
      <c r="H192" s="3" t="s">
        <v>11</v>
      </c>
      <c r="I192" s="3" t="s">
        <v>25</v>
      </c>
      <c r="J192" s="3" t="s">
        <v>41</v>
      </c>
      <c r="K192" s="3" t="s">
        <v>9</v>
      </c>
      <c r="L192" s="3" t="s">
        <v>43</v>
      </c>
      <c r="M192">
        <v>1</v>
      </c>
    </row>
    <row r="193" spans="1:13" x14ac:dyDescent="0.25">
      <c r="A193" s="2">
        <v>46178</v>
      </c>
      <c r="B193" s="1" t="str">
        <f ca="1">IF(Información1[[#This Row],[Fecha]]='Ajuste de fechas'!$A$2,"Día actual","Día anterior")</f>
        <v>Día actual</v>
      </c>
      <c r="C193" s="3" t="s">
        <v>8</v>
      </c>
      <c r="D193" t="s">
        <v>10</v>
      </c>
      <c r="E193" s="3" t="s">
        <v>335</v>
      </c>
      <c r="F193" s="3" t="s">
        <v>24</v>
      </c>
      <c r="G193" s="3" t="s">
        <v>73</v>
      </c>
      <c r="H193" s="3" t="s">
        <v>11</v>
      </c>
      <c r="I193" s="3" t="s">
        <v>7</v>
      </c>
      <c r="J193" s="3" t="s">
        <v>24</v>
      </c>
      <c r="K193" s="3" t="s">
        <v>14</v>
      </c>
      <c r="L193" s="3" t="s">
        <v>42</v>
      </c>
      <c r="M193">
        <v>1</v>
      </c>
    </row>
    <row r="194" spans="1:13" x14ac:dyDescent="0.25">
      <c r="A194" s="2">
        <v>46178</v>
      </c>
      <c r="B194" s="1" t="str">
        <f ca="1">IF(Información1[[#This Row],[Fecha]]='Ajuste de fechas'!$A$2,"Día actual","Día anterior")</f>
        <v>Día actual</v>
      </c>
      <c r="C194" s="3" t="s">
        <v>8</v>
      </c>
      <c r="D194" t="s">
        <v>10</v>
      </c>
      <c r="E194" s="3" t="s">
        <v>336</v>
      </c>
      <c r="F194" s="3" t="s">
        <v>24</v>
      </c>
      <c r="G194" s="3" t="s">
        <v>73</v>
      </c>
      <c r="H194" s="3" t="s">
        <v>11</v>
      </c>
      <c r="I194" s="3" t="s">
        <v>7</v>
      </c>
      <c r="J194" s="3" t="s">
        <v>24</v>
      </c>
      <c r="K194" s="3" t="s">
        <v>9</v>
      </c>
      <c r="L194" s="3" t="s">
        <v>42</v>
      </c>
      <c r="M194">
        <v>1</v>
      </c>
    </row>
    <row r="195" spans="1:13" x14ac:dyDescent="0.25">
      <c r="A195" s="2">
        <v>46178</v>
      </c>
      <c r="B195" s="1" t="str">
        <f ca="1">IF(Información1[[#This Row],[Fecha]]='Ajuste de fechas'!$A$2,"Día actual","Día anterior")</f>
        <v>Día actual</v>
      </c>
      <c r="C195" s="3" t="s">
        <v>28</v>
      </c>
      <c r="D195" t="s">
        <v>30</v>
      </c>
      <c r="E195" s="3" t="s">
        <v>337</v>
      </c>
      <c r="F195" s="3" t="s">
        <v>19</v>
      </c>
      <c r="G195" s="3" t="s">
        <v>173</v>
      </c>
      <c r="H195" s="3" t="s">
        <v>11</v>
      </c>
      <c r="I195" s="3" t="s">
        <v>7</v>
      </c>
      <c r="J195" s="3" t="s">
        <v>45</v>
      </c>
      <c r="K195" s="3" t="s">
        <v>29</v>
      </c>
      <c r="L195" s="3" t="s">
        <v>42</v>
      </c>
      <c r="M195">
        <v>1</v>
      </c>
    </row>
    <row r="196" spans="1:13" x14ac:dyDescent="0.25">
      <c r="A196" s="2">
        <v>46178</v>
      </c>
      <c r="B196" s="1" t="str">
        <f ca="1">IF(Información1[[#This Row],[Fecha]]='Ajuste de fechas'!$A$2,"Día actual","Día anterior")</f>
        <v>Día actual</v>
      </c>
      <c r="C196" s="3" t="s">
        <v>28</v>
      </c>
      <c r="D196" t="s">
        <v>30</v>
      </c>
      <c r="E196" s="3" t="s">
        <v>338</v>
      </c>
      <c r="F196" s="3" t="s">
        <v>23</v>
      </c>
      <c r="G196" s="3" t="s">
        <v>247</v>
      </c>
      <c r="H196" s="3" t="s">
        <v>11</v>
      </c>
      <c r="I196" s="3" t="s">
        <v>7</v>
      </c>
      <c r="J196" s="3" t="s">
        <v>41</v>
      </c>
      <c r="K196" s="3" t="s">
        <v>29</v>
      </c>
      <c r="L196" s="3" t="s">
        <v>42</v>
      </c>
      <c r="M196">
        <v>1</v>
      </c>
    </row>
    <row r="197" spans="1:13" x14ac:dyDescent="0.25">
      <c r="A197" s="2">
        <v>46178</v>
      </c>
      <c r="B197" s="1" t="str">
        <f ca="1">IF(Información1[[#This Row],[Fecha]]='Ajuste de fechas'!$A$2,"Día actual","Día anterior")</f>
        <v>Día actual</v>
      </c>
      <c r="C197" s="3" t="s">
        <v>8</v>
      </c>
      <c r="D197" t="s">
        <v>10</v>
      </c>
      <c r="E197" s="3" t="s">
        <v>339</v>
      </c>
      <c r="F197" s="3" t="s">
        <v>17</v>
      </c>
      <c r="G197" s="3" t="s">
        <v>65</v>
      </c>
      <c r="H197" s="3" t="s">
        <v>11</v>
      </c>
      <c r="I197" s="3" t="s">
        <v>7</v>
      </c>
      <c r="J197" s="3" t="s">
        <v>41</v>
      </c>
      <c r="K197" s="3" t="s">
        <v>9</v>
      </c>
      <c r="L197" s="3" t="s">
        <v>43</v>
      </c>
      <c r="M197">
        <v>1</v>
      </c>
    </row>
    <row r="198" spans="1:13" x14ac:dyDescent="0.25">
      <c r="A198" s="2">
        <v>46178</v>
      </c>
      <c r="B198" s="1" t="str">
        <f ca="1">IF(Información1[[#This Row],[Fecha]]='Ajuste de fechas'!$A$2,"Día actual","Día anterior")</f>
        <v>Día actual</v>
      </c>
      <c r="C198" s="3" t="s">
        <v>28</v>
      </c>
      <c r="D198" t="s">
        <v>84</v>
      </c>
      <c r="E198" s="3" t="s">
        <v>340</v>
      </c>
      <c r="F198" s="3" t="s">
        <v>21</v>
      </c>
      <c r="G198" s="3" t="s">
        <v>56</v>
      </c>
      <c r="H198" s="3" t="s">
        <v>11</v>
      </c>
      <c r="I198" s="3" t="s">
        <v>7</v>
      </c>
      <c r="J198" s="3" t="s">
        <v>41</v>
      </c>
      <c r="K198" s="3" t="s">
        <v>85</v>
      </c>
      <c r="L198" s="3" t="s">
        <v>42</v>
      </c>
      <c r="M198">
        <v>1</v>
      </c>
    </row>
    <row r="199" spans="1:13" x14ac:dyDescent="0.25">
      <c r="A199" s="2">
        <v>46178</v>
      </c>
      <c r="B199" s="1" t="str">
        <f ca="1">IF(Información1[[#This Row],[Fecha]]='Ajuste de fechas'!$A$2,"Día actual","Día anterior")</f>
        <v>Día actual</v>
      </c>
      <c r="C199" s="3" t="s">
        <v>28</v>
      </c>
      <c r="D199" t="s">
        <v>84</v>
      </c>
      <c r="E199" s="3" t="s">
        <v>341</v>
      </c>
      <c r="F199" s="3" t="s">
        <v>15</v>
      </c>
      <c r="G199" s="3" t="s">
        <v>56</v>
      </c>
      <c r="H199" s="3" t="s">
        <v>11</v>
      </c>
      <c r="I199" s="3" t="s">
        <v>7</v>
      </c>
      <c r="J199" s="3" t="s">
        <v>41</v>
      </c>
      <c r="K199" s="3" t="s">
        <v>85</v>
      </c>
      <c r="L199" s="3" t="s">
        <v>44</v>
      </c>
      <c r="M199">
        <v>1</v>
      </c>
    </row>
    <row r="200" spans="1:13" x14ac:dyDescent="0.25">
      <c r="A200" s="2">
        <v>46178</v>
      </c>
      <c r="B200" s="1" t="str">
        <f ca="1">IF(Información1[[#This Row],[Fecha]]='Ajuste de fechas'!$A$2,"Día actual","Día anterior")</f>
        <v>Día actual</v>
      </c>
      <c r="C200" s="3" t="s">
        <v>28</v>
      </c>
      <c r="D200" t="s">
        <v>30</v>
      </c>
      <c r="E200" s="3" t="s">
        <v>342</v>
      </c>
      <c r="F200" s="3" t="s">
        <v>26</v>
      </c>
      <c r="G200" s="3" t="s">
        <v>343</v>
      </c>
      <c r="H200" s="3" t="s">
        <v>11</v>
      </c>
      <c r="I200" s="3" t="s">
        <v>7</v>
      </c>
      <c r="J200" s="3" t="s">
        <v>41</v>
      </c>
      <c r="K200" s="3" t="s">
        <v>29</v>
      </c>
      <c r="L200" s="3" t="s">
        <v>42</v>
      </c>
      <c r="M200">
        <v>1</v>
      </c>
    </row>
    <row r="201" spans="1:13" x14ac:dyDescent="0.25">
      <c r="A201" s="2">
        <v>46178</v>
      </c>
      <c r="B201" s="1" t="str">
        <f ca="1">IF(Información1[[#This Row],[Fecha]]='Ajuste de fechas'!$A$2,"Día actual","Día anterior")</f>
        <v>Día actual</v>
      </c>
      <c r="C201" s="3" t="s">
        <v>28</v>
      </c>
      <c r="D201" t="s">
        <v>30</v>
      </c>
      <c r="E201" s="3" t="s">
        <v>344</v>
      </c>
      <c r="F201" s="3" t="s">
        <v>19</v>
      </c>
      <c r="G201" s="3" t="s">
        <v>125</v>
      </c>
      <c r="H201" s="3" t="s">
        <v>11</v>
      </c>
      <c r="I201" s="3" t="s">
        <v>7</v>
      </c>
      <c r="J201" s="3" t="s">
        <v>45</v>
      </c>
      <c r="K201" s="3" t="s">
        <v>29</v>
      </c>
      <c r="L201" s="3" t="s">
        <v>42</v>
      </c>
      <c r="M201">
        <v>1</v>
      </c>
    </row>
    <row r="202" spans="1:13" x14ac:dyDescent="0.25">
      <c r="A202" s="2">
        <v>46178</v>
      </c>
      <c r="B202" s="1" t="str">
        <f ca="1">IF(Información1[[#This Row],[Fecha]]='Ajuste de fechas'!$A$2,"Día actual","Día anterior")</f>
        <v>Día actual</v>
      </c>
      <c r="C202" s="3" t="s">
        <v>8</v>
      </c>
      <c r="D202" t="s">
        <v>10</v>
      </c>
      <c r="E202" s="3" t="s">
        <v>226</v>
      </c>
      <c r="F202" s="3" t="s">
        <v>98</v>
      </c>
      <c r="G202" s="3" t="s">
        <v>99</v>
      </c>
      <c r="H202" s="3" t="s">
        <v>11</v>
      </c>
      <c r="I202" s="3" t="s">
        <v>7</v>
      </c>
      <c r="J202" s="3" t="s">
        <v>41</v>
      </c>
      <c r="K202" s="3" t="s">
        <v>14</v>
      </c>
      <c r="L202" s="3" t="s">
        <v>44</v>
      </c>
      <c r="M202">
        <v>1</v>
      </c>
    </row>
    <row r="203" spans="1:13" x14ac:dyDescent="0.25">
      <c r="A203" s="2">
        <v>46178</v>
      </c>
      <c r="B203" s="1" t="str">
        <f ca="1">IF(Información1[[#This Row],[Fecha]]='Ajuste de fechas'!$A$2,"Día actual","Día anterior")</f>
        <v>Día actual</v>
      </c>
      <c r="C203" s="3" t="s">
        <v>8</v>
      </c>
      <c r="D203" t="s">
        <v>10</v>
      </c>
      <c r="E203" s="3" t="s">
        <v>226</v>
      </c>
      <c r="F203" s="3" t="s">
        <v>33</v>
      </c>
      <c r="G203" s="3" t="s">
        <v>99</v>
      </c>
      <c r="H203" s="3" t="s">
        <v>11</v>
      </c>
      <c r="I203" s="3" t="s">
        <v>7</v>
      </c>
      <c r="J203" s="3" t="s">
        <v>41</v>
      </c>
      <c r="K203" s="3" t="s">
        <v>14</v>
      </c>
      <c r="L203" s="3" t="s">
        <v>44</v>
      </c>
      <c r="M203">
        <v>1</v>
      </c>
    </row>
    <row r="204" spans="1:13" x14ac:dyDescent="0.25">
      <c r="A204" s="2">
        <v>46178</v>
      </c>
      <c r="B204" s="1" t="str">
        <f ca="1">IF(Información1[[#This Row],[Fecha]]='Ajuste de fechas'!$A$2,"Día actual","Día anterior")</f>
        <v>Día actual</v>
      </c>
      <c r="C204" s="3" t="s">
        <v>28</v>
      </c>
      <c r="D204" t="s">
        <v>84</v>
      </c>
      <c r="E204" s="3" t="s">
        <v>345</v>
      </c>
      <c r="F204" s="3" t="s">
        <v>26</v>
      </c>
      <c r="G204" s="3" t="s">
        <v>79</v>
      </c>
      <c r="H204" s="3" t="s">
        <v>11</v>
      </c>
      <c r="I204" s="3" t="s">
        <v>7</v>
      </c>
      <c r="J204" s="3" t="s">
        <v>41</v>
      </c>
      <c r="K204" s="3" t="s">
        <v>85</v>
      </c>
      <c r="L204" s="3" t="s">
        <v>42</v>
      </c>
      <c r="M204">
        <v>1</v>
      </c>
    </row>
    <row r="205" spans="1:13" x14ac:dyDescent="0.25">
      <c r="A205" s="2">
        <v>46178</v>
      </c>
      <c r="B205" s="1" t="str">
        <f ca="1">IF(Información1[[#This Row],[Fecha]]='Ajuste de fechas'!$A$2,"Día actual","Día anterior")</f>
        <v>Día actual</v>
      </c>
      <c r="C205" s="3" t="s">
        <v>28</v>
      </c>
      <c r="D205" t="s">
        <v>84</v>
      </c>
      <c r="E205" s="3" t="s">
        <v>346</v>
      </c>
      <c r="F205" s="3" t="s">
        <v>26</v>
      </c>
      <c r="G205" s="3" t="s">
        <v>260</v>
      </c>
      <c r="H205" s="3" t="s">
        <v>11</v>
      </c>
      <c r="I205" s="3" t="s">
        <v>7</v>
      </c>
      <c r="J205" s="3" t="s">
        <v>41</v>
      </c>
      <c r="K205" s="3" t="s">
        <v>85</v>
      </c>
      <c r="L205" s="3" t="s">
        <v>44</v>
      </c>
      <c r="M205">
        <v>1</v>
      </c>
    </row>
    <row r="206" spans="1:13" x14ac:dyDescent="0.25">
      <c r="A206" s="2">
        <v>46178</v>
      </c>
      <c r="B206" s="1" t="str">
        <f ca="1">IF(Información1[[#This Row],[Fecha]]='Ajuste de fechas'!$A$2,"Día actual","Día anterior")</f>
        <v>Día actual</v>
      </c>
      <c r="C206" s="3" t="s">
        <v>28</v>
      </c>
      <c r="D206" t="s">
        <v>84</v>
      </c>
      <c r="E206" s="3" t="s">
        <v>347</v>
      </c>
      <c r="F206" s="3" t="s">
        <v>26</v>
      </c>
      <c r="G206" s="3" t="s">
        <v>260</v>
      </c>
      <c r="H206" s="3" t="s">
        <v>11</v>
      </c>
      <c r="I206" s="3" t="s">
        <v>7</v>
      </c>
      <c r="J206" s="3" t="s">
        <v>41</v>
      </c>
      <c r="K206" s="3" t="s">
        <v>85</v>
      </c>
      <c r="L206" s="3" t="s">
        <v>44</v>
      </c>
      <c r="M206">
        <v>1</v>
      </c>
    </row>
    <row r="207" spans="1:13" x14ac:dyDescent="0.25">
      <c r="A207" s="2">
        <v>46178</v>
      </c>
      <c r="B207" s="1" t="str">
        <f ca="1">IF(Información1[[#This Row],[Fecha]]='Ajuste de fechas'!$A$2,"Día actual","Día anterior")</f>
        <v>Día actual</v>
      </c>
      <c r="C207" s="3" t="s">
        <v>28</v>
      </c>
      <c r="D207" t="s">
        <v>30</v>
      </c>
      <c r="E207" s="3" t="s">
        <v>348</v>
      </c>
      <c r="F207" s="3" t="s">
        <v>26</v>
      </c>
      <c r="G207" s="3" t="s">
        <v>260</v>
      </c>
      <c r="H207" s="3" t="s">
        <v>11</v>
      </c>
      <c r="I207" s="3" t="s">
        <v>7</v>
      </c>
      <c r="J207" s="3" t="s">
        <v>41</v>
      </c>
      <c r="K207" s="3" t="s">
        <v>29</v>
      </c>
      <c r="L207" s="3" t="s">
        <v>42</v>
      </c>
      <c r="M207">
        <v>1</v>
      </c>
    </row>
    <row r="208" spans="1:13" x14ac:dyDescent="0.25">
      <c r="A208" s="2">
        <v>46178</v>
      </c>
      <c r="B208" s="1" t="str">
        <f ca="1">IF(Información1[[#This Row],[Fecha]]='Ajuste de fechas'!$A$2,"Día actual","Día anterior")</f>
        <v>Día actual</v>
      </c>
      <c r="C208" s="3" t="s">
        <v>28</v>
      </c>
      <c r="D208" t="s">
        <v>30</v>
      </c>
      <c r="E208" s="3" t="s">
        <v>349</v>
      </c>
      <c r="F208" s="3" t="s">
        <v>26</v>
      </c>
      <c r="G208" s="3" t="s">
        <v>260</v>
      </c>
      <c r="H208" s="3" t="s">
        <v>11</v>
      </c>
      <c r="I208" s="3" t="s">
        <v>7</v>
      </c>
      <c r="J208" s="3" t="s">
        <v>41</v>
      </c>
      <c r="K208" s="3" t="s">
        <v>29</v>
      </c>
      <c r="L208" s="3" t="s">
        <v>42</v>
      </c>
      <c r="M208">
        <v>1</v>
      </c>
    </row>
    <row r="209" spans="1:13" x14ac:dyDescent="0.25">
      <c r="A209" s="2">
        <v>46178</v>
      </c>
      <c r="B209" s="1" t="str">
        <f ca="1">IF(Información1[[#This Row],[Fecha]]='Ajuste de fechas'!$A$2,"Día actual","Día anterior")</f>
        <v>Día actual</v>
      </c>
      <c r="C209" s="3" t="s">
        <v>8</v>
      </c>
      <c r="D209" t="s">
        <v>10</v>
      </c>
      <c r="E209" s="3" t="s">
        <v>350</v>
      </c>
      <c r="F209" s="3" t="s">
        <v>19</v>
      </c>
      <c r="G209" s="3" t="s">
        <v>72</v>
      </c>
      <c r="H209" s="3" t="s">
        <v>11</v>
      </c>
      <c r="I209" s="3" t="s">
        <v>25</v>
      </c>
      <c r="J209" s="3" t="s">
        <v>45</v>
      </c>
      <c r="K209" s="3" t="s">
        <v>9</v>
      </c>
      <c r="L209" s="3" t="s">
        <v>43</v>
      </c>
      <c r="M209">
        <v>1</v>
      </c>
    </row>
    <row r="210" spans="1:13" x14ac:dyDescent="0.25">
      <c r="A210" s="2">
        <v>46178</v>
      </c>
      <c r="B210" s="1" t="str">
        <f ca="1">IF(Información1[[#This Row],[Fecha]]='Ajuste de fechas'!$A$2,"Día actual","Día anterior")</f>
        <v>Día actual</v>
      </c>
      <c r="C210" s="3" t="s">
        <v>28</v>
      </c>
      <c r="D210" t="s">
        <v>30</v>
      </c>
      <c r="E210" s="3" t="s">
        <v>351</v>
      </c>
      <c r="F210" s="3" t="s">
        <v>51</v>
      </c>
      <c r="G210" s="3" t="s">
        <v>352</v>
      </c>
      <c r="H210" s="3" t="s">
        <v>11</v>
      </c>
      <c r="I210" s="3" t="s">
        <v>7</v>
      </c>
      <c r="J210" s="3" t="s">
        <v>41</v>
      </c>
      <c r="K210" s="3" t="s">
        <v>29</v>
      </c>
      <c r="L210" s="3" t="s">
        <v>42</v>
      </c>
      <c r="M2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48</v>
      </c>
      <c r="B1" t="s">
        <v>49</v>
      </c>
    </row>
    <row r="2" spans="1:2" x14ac:dyDescent="0.25">
      <c r="A2" s="2">
        <f ca="1">TODAY()</f>
        <v>46178</v>
      </c>
      <c r="B2" s="2">
        <f ca="1">A2-1</f>
        <v>46177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2026-06-06T00:17:34Z</dcterms:modified>
</cp:coreProperties>
</file>