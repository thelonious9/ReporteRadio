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0BD74EEE-C9C3-4053-936B-81799FDFA3F9}"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65" i="2"/>
  <c r="B100" i="2"/>
  <c r="B104" i="2"/>
  <c r="B106" i="2"/>
  <c r="B109" i="2"/>
  <c r="B112" i="2"/>
  <c r="B115" i="2"/>
  <c r="B118" i="2"/>
  <c r="B121" i="2"/>
  <c r="B124" i="2"/>
  <c r="B127"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98" i="2"/>
  <c r="B101" i="2"/>
  <c r="B103" i="2"/>
  <c r="B107" i="2"/>
  <c r="B111" i="2"/>
  <c r="B114" i="2"/>
  <c r="B117" i="2"/>
  <c r="B120" i="2"/>
  <c r="B123" i="2"/>
  <c r="B12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9" i="2"/>
  <c r="B102" i="2"/>
  <c r="B105" i="2"/>
  <c r="B108" i="2"/>
  <c r="B110" i="2"/>
  <c r="B113" i="2"/>
  <c r="B116" i="2"/>
  <c r="B119" i="2"/>
  <c r="B122" i="2"/>
  <c r="B126" i="2"/>
  <c r="B128"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<sst xmlns="http://schemas.openxmlformats.org/spreadsheetml/2006/main" count="1285" uniqueCount="261">
  <si>
    <t>Fecha</t>
  </si>
  <si>
    <t>Titular</t>
  </si>
  <si>
    <t>Dependencia</t>
  </si>
  <si>
    <t>Canal</t>
  </si>
  <si>
    <t>Tema</t>
  </si>
  <si>
    <t>Estatus</t>
  </si>
  <si>
    <t>Sipdus</t>
  </si>
  <si>
    <t>Informativa</t>
  </si>
  <si>
    <t>Positiva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</si>
  <si>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</si>
  <si>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</si>
  <si>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</si>
  <si>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</si>
  <si>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</si>
  <si>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</si>
  <si>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</si>
  <si>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</si>
  <si>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</si>
  <si>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</si>
  <si>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</si>
  <si>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</si>
  <si>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</si>
  <si>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</si>
  <si>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</si>
  <si>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</si>
  <si>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</si>
  <si>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</si>
  <si>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</si>
  <si>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</si>
  <si>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</si>
  <si>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</si>
  <si>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</si>
  <si>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</si>
  <si>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</si>
  <si>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</si>
  <si>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</si>
  <si>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</si>
  <si>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</si>
  <si>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</si>
  <si>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Canal del Pueblo</t>
  </si>
  <si>
    <t>Vocales Radio</t>
  </si>
  <si>
    <t>TV LOCAL</t>
  </si>
  <si>
    <t>Aldo Falcón</t>
  </si>
  <si>
    <t>Andrés Torres</t>
  </si>
  <si>
    <t>Ultra 102.9 FM</t>
  </si>
  <si>
    <t>Ultra Noticias1</t>
  </si>
  <si>
    <t>Daniel Martínez</t>
  </si>
  <si>
    <t>Localización de cuerpo</t>
  </si>
  <si>
    <t>SSPH</t>
  </si>
  <si>
    <t>Radiodifusoras</t>
  </si>
  <si>
    <t>Comparecencias</t>
  </si>
  <si>
    <t>Contraloría</t>
  </si>
  <si>
    <t>Saderh</t>
  </si>
  <si>
    <t>Planeación</t>
  </si>
  <si>
    <t>Vacunación</t>
  </si>
  <si>
    <t>Izza Hernández</t>
  </si>
  <si>
    <t>Fuga De Agua</t>
  </si>
  <si>
    <t>Jessenia Romero</t>
  </si>
  <si>
    <t>Muy negativo</t>
  </si>
  <si>
    <t>Ayuntamiento</t>
  </si>
  <si>
    <t>Alcaldías</t>
  </si>
  <si>
    <t>Otros</t>
  </si>
  <si>
    <t>Congreso</t>
  </si>
  <si>
    <t>Delegación</t>
  </si>
  <si>
    <t>Vía telefónica el reporte de Bombero y Protección Civil con Abner Yáñez informa de las diversas emergencias reportadas por la ciudadanía y que fueron atendidas.</t>
  </si>
  <si>
    <t>Auxilio a la ciudadanía</t>
  </si>
  <si>
    <t>Abner Yáñez</t>
  </si>
  <si>
    <t>Participación</t>
  </si>
  <si>
    <t>Presidencia</t>
  </si>
  <si>
    <t>Deficiencias hospitalarias</t>
  </si>
  <si>
    <t>Presidencia de la República</t>
  </si>
  <si>
    <t>Morena</t>
  </si>
  <si>
    <t>Partidos</t>
  </si>
  <si>
    <t>DIFH</t>
  </si>
  <si>
    <t>Informe DIFH</t>
  </si>
  <si>
    <t>Gobernador</t>
  </si>
  <si>
    <t>Protesta sindical</t>
  </si>
  <si>
    <t>Irving Sánchez</t>
  </si>
  <si>
    <t>Alerta Meteorológica</t>
  </si>
  <si>
    <t>OCSAD</t>
  </si>
  <si>
    <t>Entrevista pautada</t>
  </si>
  <si>
    <t>Combate a la delincuencia</t>
  </si>
  <si>
    <t>Abasto De Medicamentos</t>
  </si>
  <si>
    <t>Programas Del Bienestar</t>
  </si>
  <si>
    <t>Reforma a contrataciones municipales</t>
  </si>
  <si>
    <t>Abandono de obra</t>
  </si>
  <si>
    <t>Oficialía Mayor</t>
  </si>
  <si>
    <t>STPSH</t>
  </si>
  <si>
    <t>Mal Desempeño</t>
  </si>
  <si>
    <t>Feria Pachuca</t>
  </si>
  <si>
    <t>El Gobierno Municipal de Tulancingo, por medio de la Jefatura de Museos y la Secretaría de Cultura, Educación, Deporte y Juventud, llevó a cabo una revisión conjunta con la delegación en Hidalgo del Instituto Nacional de Antropología e Historia (INAH) para actualizar el inventario del patrimonio arqueológico resguardado en el Museo de Datos Históricos Gabriel Mancera. La última revisión de este tipo databa del año 2021. Durante el proceso se examinaron más de un centenar de piezas catalogadas —destacando estilos como guajomulco y huapalcalco, además de comodatos del INAH y donaciones particulares— y se acordó avanzar en el registro oficial de otras 50 piezas pendientes, cuya conclusión se proyecta para finales de 2027 o principios de 2028. Asimismo, se informó que el museo, inaugurado en el año 2000, alberga indumentaria tradicional de Santa Ana Hueytlalpan y una línea del tiempo histórica, y fungirá como sede de la próxima edición de la Noche de Museos enfocada en los usos y costumbres de la población indígena.</t>
  </si>
  <si>
    <t>Conservación del patrimonio</t>
  </si>
  <si>
    <t>Con la participación de alrededor de mil supervisores, docentes y padres de familia, el secretario de Educación Pública de Hidalgo, Natividad Castrejón Valdez, impartió la conferencia magistral "El papel de las madres, padres y personas tutoras en la formación de los hijos". Durante el evento, enmarcado en las acciones de la administración del gobernador Julio Menchaca Salazar, se destacó la creación de la Dirección General de Acompañamiento Socioemocional y Educativo para brindar herramientas a las familias. Asimismo, se enfatizó la importancia del afecto, la escucha activa y la colaboración entre el hogar y las escuelas para garantizar el desarrollo integral de la niñez hidalguense.</t>
  </si>
  <si>
    <t>Conferencia magistral</t>
  </si>
  <si>
    <t>Tras el trágico suceso ocurrido la mañana del lunes en el exterior de las oficinas de Servicios Regionales de la SEP en Tulancingo, donde un trabajador perdió la vida a causa de disparos de arma de fuego, la Secretaría de Educación Pública de Hidalgo emitió un comunicado oficial. En el documento, la dependencia expresó sus condolencias a los familiares y compañeros de la víctima, y reiteró su disposición para colaborar plenamente con las autoridades ministeriales encargadas de las investigaciones correspondientes.</t>
  </si>
  <si>
    <t>Homicidios</t>
  </si>
  <si>
    <t>Realiza SEPH Jornada Pedagógica Estatal de Educación Física</t>
  </si>
  <si>
    <t>Formación continua</t>
  </si>
  <si>
    <t>Guitarras distorsionadas, baterías potentes y la pasión del talento local tomarán las calles del municipio. Del 23 al 25 de octubre, Tulancingo vivirá la segunda edición del Todo Rock Festival, una plataforma que evoluciona en grande para ofrecer tres días continuos de música en vivo, abarcando géneros desde el rock and roll tradicional, punk y metal, hasta el rock pesado. Tras el rotundo éxito de su primera edición en 2023 —que duró solo un día—, el festival triplica su oferta gracias al respaldo de la administración municipal que encabeza la alcaldesa Lorena García Cázares, a través de la Secretaría de Cultura, Educación, Deporte y Juventud y la Dirección de Cultura.</t>
  </si>
  <si>
    <t>Concierto</t>
  </si>
  <si>
    <t>Durante la sesión en el Congreso del Estado de Hidalgo, el diputado Avelino Tovar Iglesias (Partido Verde Ecologista de México) presentó una iniciativa orientada a dignificar los centros de rehabilitación de adicciones, estableciendo protocolos de atención a crisis, rutas médicas claras y la regulación de espacios para menores de edad. Ante esto, la secretaria de Salud, Vanessa Escalante Arroyo, respondió de manera positiva a la propuesta de colaboración interinstitucional, reconociendo la atención en municipios como San Agustín Tlaxiaca y destacando la importancia del trabajo coordinado con los ayuntamientos y diversas secretarías para salvaguardar el bienestar y los derechos humanos de la juventud hidalguense.</t>
  </si>
  <si>
    <t>Iniciativa</t>
  </si>
  <si>
    <t>Durante su comparecencia ante el Congreso del Estado de Hidalgo en el marco de la glosa del cuarto informe de gobierno, la secretaria de Salud, Vanessa Escalante Arroyo, destacó los avances en materia de infraestructura médica y prevención. Entre los proyectos principales, resaltó la construcción y equipamiento del nuevo Hospital General de Actopan —con una inversión superior a los 861 millones de pesos—, obra destinada a saldar una deuda histórica y beneficiar a 132,000 habitantes del Valle del Mezquital ampliando su capacidad a 60 camas y cuatro quirófanos. Asimismo, informó sobre inversiones en centros especializados como el CAPASITS y el centro contra adicciones en Tulancingo, bajo los principios de universalidad, transparencia y combate a la corrupción.</t>
  </si>
  <si>
    <t>COMP</t>
  </si>
  <si>
    <t>Durante la continuación de las comparecencias de la tarde, el locutor introdujo la intervención del titular de la Secretaría del Trabajo, destacando la importancia de la rendición de cuentas como un diálogo fundamental que enriquece la vida democrática y fortalece al Estado de Hidalgo.</t>
  </si>
  <si>
    <t>Durante una sesión ordinaria del Congreso del Estado Libre y Soberano de Hidalgo, el diputado Andrés Velázquez Vázquez, en su carácter de presidente de la Junta de Gobierno, dio la bienvenida al secretario del Trabajo y Previsión Social, Óscar Javier González Hernández. Durante su intervención institucional en el marco de la glosa del cuarto informe del gobernador Julio Menchaca Salazar, el legislador destacó la importancia del trabajo digno para el sustento de los hogares hidalguenses.</t>
  </si>
  <si>
    <t>Se dio a conocer el inicio de la segunda semana de comparecencias de las y los secretarios del gabinete del gobierno del estado de Hidalgo, correspondientes a las actividades de glosa en el marco del cuarto informe de gobierno presentado por el mandatario estatal Julio Menchaca Salazar.</t>
  </si>
  <si>
    <t>Gobierno</t>
  </si>
  <si>
    <t>Mediante enlace desde el notimóvil desde la colonia Media Sierra, frente a las oficinas de los Servicios Regionales de la SEP, René Aguilar informó sobre una agresión armada perpetrada en el exterior del inmueble. Los primeros reportes preliminares indicaban la presencia de una persona sin vida en el lugar. Debido a los protocolos de seguridad, la zona fue cercada por elementos policiales y autoridades estatales a la espera de la policía ministerial para realizar las diligencias e investigaciones correspondientes.</t>
  </si>
  <si>
    <t>Durante la transmisión en directo desde la Sala del Pueblo del Ejecutivo estatal, el titular de comunicación, Edmundo Pineda, destacó la conmemoración del Día Mundial Contra el Cáncer de Mama este 19 de octubre. Asimismo, presentó materiales en video sobre las condiciones climáticas provocadas por las lluvias en la entidad, sirviendo de enlace entre las intervenciones del director del Sistema DIF Hidalgo, Ricardo Alvizo, y el subsecretario de Protección Civil y Gestión de Riesgos, Román Bernal Díaz.</t>
  </si>
  <si>
    <t>Atención Afectaciones Por Lluvias</t>
  </si>
  <si>
    <t>Mañanera de Hidalgo</t>
  </si>
  <si>
    <t>El ingeniero Saúl Flores Urrutia, representante del Instituto Nacional Electoral (INE) en el Distrito 4 de Tulancingo, informó sobre las rutas y los módulos móviles de atención ciudadana programados para la semana del 19 al 23 de octubre de 2026. Los módulos brindarán servicios de inscripción, actualización de datos, reposición y renovación de credenciales en municipios como Santiago Tulantepec, Acaxochitlán, Tenango de Doria, Metepec y Agua Blanca de Iturbide, en un horario de 9:00 a.m. a 4:00 p.m. Asimismo, recordó a los jóvenes que cumplirán 18 años antes del 6 de junio de 2027 que pueden realizar su inscripción anticipada hasta el 25 de enero de 2027. Finalmente, recordó que continúan abiertas las convocatorias para observadores electorales y consejerías distritales.</t>
  </si>
  <si>
    <t>Credencialización</t>
  </si>
  <si>
    <t>Durante su participación en la conferencia matutina del gobierno estatal, Ricardo Alvizo Contreras, director del sistema DIF Hidalgo, detalló los avances informados previamente por la presidenta del patronato, Edda Vite Ramos. Alvizo Contreras destacó alianzas estratégicas como la realizada con la fundación Michou y Mau para el traslado gratuito de niños con quemaduras graves a Galveston, Texas, así como la atención a pacientes oncológicos mediante más de 68,000 quimioterapias y 46,000 atenciones de urgencia. Asimismo, resaltó que en los centros de rehabilitación integral se han brindado más de un millón de atenciones a personas con discapacidad, invirtiendo más de 60 millones de pesos en su remodelación y adquiriendo equipo tecnológico especializado como el robot LOCOMAT. En el eje alimentario, indicó que se han entregado más de 91 millones de desayunos a 150,000 niños diarios en los 84 municipios, con el objetivo de combatir la desnutrición, el sobrepeso y la obesidad mediante un presupuesto 100% estatal.</t>
  </si>
  <si>
    <t>Durante su intervención en la conferencia matutina del Gobierno del Estado de Hidalgo, el doctor Carlos Francisco Ávila Zúñiga informó que en el estado de Hidalgo existen 35 personas a la espera de un trasplante de órgano, mientras que más de 300 hidalguenses se encuentran en la lista de espera a nivel nacional, la cual supera las 18,000 personas en todo el país. Ante esta situación, destacó el compromiso de las autoridades de salud estatales por fortalecer la cultura de donación, reconocer a las familias de los donadores y garantizar que los procesos médicos para los trasplantes se realicen de manera segura para salvaguardar la vida de los pacientes.</t>
  </si>
  <si>
    <t>Trasplante de órganos</t>
  </si>
  <si>
    <t>Jesús Riveros da salida a comentario de radioescucha realizado por el señor Roberto Ortiz respecto a las deplorables condiciones de la clínica número dos del IMSS en Tulancingo. El Radioescucha reportó la falta de higiene, medicamentos y la presencia de hongos en las instalaciones, señalando además que al exponer su queja ante la dirección y la delegación, las autoridades se negaron a dar sus nombres y le sugirieron cambiar a su paciente de clínica. Ante esta situación, se cuestionó la falta de atención institucional y se recordó que la revisión de los nosocomios es una tarea prioritaria a nivel federal.</t>
  </si>
  <si>
    <t>El Instituto Estatal Electoral de Hidalgo (IEEH) aprobó el acuerdo IEE/CG/038/2026, mediante el cual se eliminó la reserva exclusiva de municipios para candidaturas femeninas de cara al proceso electoral 2026-2027. A diferencia de 2024 —año en el que se reservaron 27 municipios para mujeres—, las nuevas reglas obligan a los partidos a encabezar al menos el 50% de sus planillas con mujeres distribuidas en tres bloques de competitividad (alta, media y baja). Pese a que legisladores locales buscaron elevar a rango legal la reserva de 42 municipios, la reforma aprobada por el Congreso del Estado (Decreto 723/LXVI) no incluyó dicha propuesta. La consejera Ariadna González Morales emitió un voto concurrente tras cuestionar si los bloques de competitividad serán suficientes para mantener la representación femenina alcanzada en los comicios anteriores.</t>
  </si>
  <si>
    <t>IEEH</t>
  </si>
  <si>
    <t>Acción afirmativa</t>
  </si>
  <si>
    <t>Durante la conferencia matutina semanal del gobierno del estado, encabezada en la introducción por el titular de comunicación Edmundo Pineda López, se presentaron los avances en materia de salud, protección civil y del sistema DIF Hidalgo. Entre los anuncios principales, se destacó la remodelación del Aeropuerto Nacional Juan Guillermo Villasana en Pachuca, obra que no había recibido mantenimiento en más de 30 años y que ahora fortalecerá la capacidad de respuesta ante emergencias mediante traslados aéreos y de órganos. Asimismo, el doctor Carlos Francisco Ávila Zúñiga intervino para resaltar los logros del estado en materia de donación y trasplante de órganos, posicionando a Hidalgo por encima de la media nacional gracias al altruismo de los donantes y al respaldo de las autoridades de salud.</t>
  </si>
  <si>
    <t>Durante su colaboración semanal, el maestro José Luis Lima Morales reflexionó acerca de las discusiones recientes en la Cámara de Diputados y los ayuntamientos sobre las reformas constitucionales y la propuesta de otorgar facultades a los presidentes municipales para celebrar contratos sin la intervención de la asamblea municipal. El ponente señaló que, si bien la agilización administrativa puede ser legítima, es fundamental equilibrarla con la transparencia, la rendición de cuentas y la división de poderes. Asimismo, reconoció la postura respetuosa del gobernador estatal hacia el Poder Legislativo e hizo un llamado a las y los regidores municipales para fundamentar con rigor jurídico sus intervenciones y votaciones, priorizando siempre el interés público y el fortalecimiento institucional.</t>
  </si>
  <si>
    <t>José Luis Lima</t>
  </si>
  <si>
    <t>Durante la emisión de *Las Vocales Radio* como todos los lunes, Andrés Torres y Alberto Gonzpalez abordaron el tema de la reforma impulsada por el diputado local Miguel Moreno al artículo 141, fracción XV, de la Constitución del Estado, la cual busca modificar la relación y el nivel de compromiso de los regidores dentro de los cabildos. El propósito principal de la normativa no es quitarles facultades a los regidores, sino obligarlos a involucrarse activamente en temas presupuestales, de planeación y en la aprobación de obras y proyectos dentro de los municipios. Con esta modificación se pretende evitar que los alcaldes tengan un "cheque en blanco" en la asignación de obras o solicitud de créditos, manteniendo candados estrictos donde se requiere la aprobación de las dos terceras partes del cabildo.</t>
  </si>
  <si>
    <t>Andrés Torres Y Alberto Gonzálezz</t>
  </si>
  <si>
    <t>Durante la emisión de *Las Vocales Radio* como todos los lunes, Andrés Torres y Alberto Gonzpalez analizaron el formato actual de las comparecencias de los secretarios del gabinete estatal ante el Congreso del Estado, señalando que este se encuentra superado y ya no cumple con el propósito de profundizar en los asuntos de interés público. Se discutió el caso específico de la Secretaría de Movilidad y Transporte, cuyo funcionamiento fue duramente cuestionado, comparando su gestión con deficiencias en la rendición de cuentas a los usuarios. Se planteó la necesidad de buscar un esquema mucho más ágil y riguroso para las comparecencias que permita abordar tanto los temas torales del estado como las responsabilidades de los funcionarios en temas lo que hizo Eduardo Iturbe en un inicio de esta administración en Comunicación Social, los múltiples cambios que ha habido, así como las quejas que hay, por ejemplo, con el subejercicio de cinco años seguidos en Radio y Televisión de Hidalgo, Donde este año han estado presupuestadas 14 millones de pesos para dos estaciones, una en AM en Pachuca y otra en FM en Tenango de Doria, Dinero que nadie sabe dónde está y que debe responder a esto Carlos Barra. En este sentido, también señaló que la estación "La Voz de la Sierra Gorda" en Jacala lleva un mes fuera del aire debido a la negligencia de las autoridades de Radio y Televisión de Hidalgo, las cuales supuestamente priorizan la autopromoción sobre la solución técnica y operativa de los medios públicos. Finalmente destaca que en estas comparecencias ahora se esté incluyendo al Oficial Mayor. También se abordó la reforma impulsada por el diputado local Miguel Moreno al artículo 141, fracción XV, de la Constitución del Estado, la cual busca modificar la relación y el nivel de compromiso de los regidores dentro de los cabildos. El propósito principal de la normativa no es quitarles facultades a los regidores, sino obligarlos a involucrarse activamente en temas presupuestales, de planeación y en la aprobación de obras y proyectos dentro de los municipios. Con esta modificación se pretende evitar que los alcaldes tengan un "cheque en blanco" en la asignación de obras o solicitud de créditos, manteniendo candados estrictos donde se requiere la aprobación de las dos terceras partes del cabildo.</t>
  </si>
  <si>
    <t>Hoy continúan las comparecencias en el Congreso del Estado en la 66 legislatura. Hoy tenemos la comparecencia del Secretario de Infraestructura y posteriormente la de Medio Ambiente.</t>
  </si>
  <si>
    <t>Semarnath</t>
  </si>
  <si>
    <t>Andés Torres comenta: lamento muchísimo darles esta noticia, pero ya tenemos un mes fuera del aire allá en 91.1 de frecuencia modulada, "La Voz de la Sierra Gorda" allá en Jacala. Pues este, nosotros ya hicimos las solicitudes correspondientes, ya sabe, ¿no?, la negligencia, el nepotismo, esta eh pues necedad y desconocimiento, ¿no?, de nuestras autoridades de Radio y Televisión de Hidalgo, que pues están más preocupadas en promoverse a sí mismo, en salvar su pellejo, en agarrar el siguiente hueso, que en ponerse a trabajar, en conocer algo, hacer algo, ¿no?, por Radio y Televisión de Hidalgo, pues dicen que no, que no es importante arreglar la estación y que ahí se puede quedar sin señal. Bueno, pues ese es este cada quien su responsabilidad. Hablé con Alejandro Velázquez hace un par de días y hablábamos precisamente de esta situación anómala, de esta eh pues situación que es, pues evidentemente una situación de corrupción, ¿no?, de desconocimiento y, por supuesto, pues es una infamia que alguien esté utilizando recursos públicos para autopromoverse en lugar de trabajar y cumplir con su responsabilidad. Pero bueno, pues ya cada quien, ¿no?</t>
  </si>
  <si>
    <t>Un túnel presuntamente usado para realizar robo de hidrocarburo fue localizado a partir de, que trabajadores de Petróleos Mexicanos notaron tierra removida en un predio. Agentes adscritos a al área de inteligencia operativa y seguridad física de Pemex se encontraban realizando recorridos de vigilancia a lo largo del poliducto Tula-Azcapotzalco A la altura del kilómetro 4+000 en la localidad Zacamulpa, donde detectaron una situación que les llamó la atención. Al verificar con mayor detalle, los agentes descubrieron el túnel; al ingresar, descubrieron que estaba equipado con manguera de alta presión de dos pulgadas de diámetro y que al final estaba conectada al ducto referido. Se confirmó que el túnel tenía una extensión de aproximadamente 90 metros, partiendo desde el interior de un predio particular ubicado en la localidad Zacamulpa; además de que tenía unos 50 centímetros de alto por otros 50 en su ancho. La construcción conducía hasta el interior de un predio particular, sitio hasta donde presuntamente llegaba hidrocarburo que era extraído de manera ilegal desde los ductos, para luego vaciarlo en contenedores y finalmente distribuirlo en Atotonilco de Tula y otros municipios cercanos y partes del estado de Hidalgo. El túnel fue cancelado; la Fiscalía General de la República inició la investigación para establecer las responsabilidades legales a quien corresponda.</t>
  </si>
  <si>
    <t>Huachitúnel</t>
  </si>
  <si>
    <t>Daniel Martínez en respuesta a un radioescucha que pregunta que qué pasó por servicios regionales. Ah, le comento, este, desafortunadamente, bueno, el primer reporte que tenemos es de que habían atacado este, a balazos a una persona y ya lo que nos comenta bomberos y Protección Civil que acudieron a ofrecer el servicio, es de que es una persona que, desafortunadamente, falleció precisamente por este ataque con arma de fuego. No se conocen mayores datos eh la identidad de la persona. De los atacantes, entiendo que hay un operativo en este momento para poder ubicarlos y, obviamente, eventualmente detenerlos.</t>
  </si>
  <si>
    <t>Radioescucha se queja de que en el Hospital General de Tulancingo no hay tomografías.</t>
  </si>
  <si>
    <t>Radioescucha: en la clínica 34 del IMSS no hay medicamento. Me traen vuelta y vuelta y nada de que llega.</t>
  </si>
  <si>
    <t>Radioescucha: El ISSSTE de Tulancingo, ¿cómo es posible que no tengan ni una sola cama de hospitalización y tampoco un quirófano, con una población de 250,000 habitantes y que muchos eh maestros también eh vienen de otros municipios y también solo tres consultorios y ninguna especialidad? Es responsabilidad d el gobernador en turno de solicitar el mejoramiento del ISSSTE Tula, Ixmiquilpan tienen todo lo antes mencionado, ¿cómo es posible?</t>
  </si>
  <si>
    <t>En el marco de la Feria Gastronómica Internacional Tulancingo Entre Sabores 2026, el gobierno municipal firmó convenio de colaboración con la Asociación Gremial de Chefs Autónomos de Chile. El objetivo del convenio es impulsar el intercambio de conocimientos para el desarrollo del sector gastronómico. Al respecto, la alcaldesa Lorena García Cázares señaló que las actividades gastronómicas impulsan otras actividades, como el turismo, lo que significa derrama económica para la población de Tulancingo. Destacó que el evento se pudo realizar a partir de la colaboración entre el Gobierno Municipal de Tulancingo con diversos sectores de la iniciativa privada. La Feria Gastronómica Internacional en Tulancingo, se llevó a cabo el sábado 17 y domingo 18 de octubre, en el Corredor Cultural del Ferrocarril, así como en varios restaurantes participantes. Estos últimos albergaron a chefs, quienes ofrecieron sus creaciones a los comensales que acudieron a dichas sedes durante las fechas de celebración del evento gastronómico. En el evento se ofrecieron productos y alimentos artesanales, tanto de la región, como de otros puntos del Estado de Hidalgo, para ser adquiridos por los visitantes, así como por especialistas en gastronomía. Además, se ofrecieron degustaciones de los alimentos preparados por los chefs, así como cocineras y cocineros tradicionales. Chefs, así como cocineras y cocineros tradicionales de naciones como Chile, Cuba, Guatemala, Ecuador, Argentina, Bolivia, Perú, Honduras y Estados Unidos, participan en el evento, ofreciendo clases magistrales, cursos, talleres y prácticas diversas. En entrevista, la titular de la Secretaría de Turismo en Hidalgo, Elizabeth Gómez Quintanar, dijo que se trata del evento en su tipo más importante realizado en fechas recientes dentro de la entidad. Celebró el esquema de colaboración establecido para llevar a cabo las actividades, señalando que con ello existen resultados adecuados, tanto para el desarrollo del evento, como para sus resultados. La funcionaria estatal consideró importante darle continuidad a este evento, tanto por las muestras y actividades que se desarrollan, como por la derrama económica que representan en este caso, para Tulancingo. Podría interesa</t>
  </si>
  <si>
    <t>Firma De Convenio</t>
  </si>
  <si>
    <t>Daniel Martínez: están reportando que hace unos momentos ocurrió un ataque armado al interior de las oficinas de Servicios Regionales de Educación en la zona de Media Sierras. De hecho, en este momento me están actualizando información de que hay movimiento policíaco, hay atención médica, aparentemente habrían baleado, habrían atacado con arma de fuego a una persona al interior de las oficinas de servicios regionales de educación y por eso la movilización que se está observando en este momento. Conforme vaya evolucionando la información, en conforme se vaya dando más información al respecto, este pues por acá le irán platicando qué es lo que está ocurriendo, ¿sale? ...pues vamos a ver si hay personas detenidas y sobre todo qué pasó, qué pasó, por qué del ataque.</t>
  </si>
  <si>
    <t>En los cuatro años que lleva la actual administración del Gobierno del Estado de Hidalgo, Junta Local de Conciliación y Arbitraje ha resuelto 2 mil 590 expedientes, que representan el 50 por ciento de avance. Consultar atlas. Lo anterior fue informado por el titular de la Secretaría del Trabajo y Previsión Social del Estado de Hidalgo, Óscar Javier González Hernández, durante su comparecencia ante el Congreso del Estado de Hidalgo, este viernes 16 de octubre. Señaló que en el año más reciente, se resolvieron 466 expedientes en beneficio de 138 trabajadores que esperaban la conclusión de sus demandas laborales. Mientras que el Tribunal de Conciliación y Arbitraje ha celebrado, en cuatro años, 6 mil 886 convenios en beneficio de 6 mil 889 trabajadores del sector público, lo que representa un monto total de 191 millones 58 mil 875 pesos mediante el diálogo. El funcionario destacó que en dicho tribunal se concluyeron mil expedientes laborales en beneficio de 934 trabajadores, los cuales se encontraban pendientes de resolver. Puntualizó que en cuatro años, se han dictado 705 laudos en beneficio de 992 personas que han concluido sus asuntos laborales. Destacó que, en el último año, se dictaron 327 laudos a favor de 501 trabajadores. Además, en cuatro años se han solicitado 23 mil 180 audiencias de conciliación, de las cuales 16 mil 535 controversias se resolvieron de forma satisfactoria y se emitieron 6 mil 645 constancias de no conciliación. Con ello, y gracias al trabajo del personal de la dependencia, Hidalgo se coloca en primer lugar nacional en tiempo de conciliación de los procesos conciliatorios, con un promedio de 21 días, de los 45 que se establecen en la ley. Desde el inicio de la administración, se han realizado cerca de 11 mil asesorías y en el último año, se han brindado 3 mil 121 asesorías a trabajadores y sindicatos ante posibles conflictos entre trabajadores y empleadores. Ello ha significado la celebración de mil 608 convenios por un monto de 49.5 millones de pesos; además, en cuatro años, se ingresaron 2 mil 371 demandas y, en el último año, van 732. Mientras que, en materia de juicios políticos, se han resuelto 2 mil 478 juicios, de los cuales mil 547 resultaron a favor de las y los trabajadores, con un monto equivalente a 59 millones 510 mil 952 pesos.</t>
  </si>
  <si>
    <t>El Hospital General de Actopan quedará concluido en diciembre de este mismo año, previendo que el de Tlaxcoapan entre en operación antes de finalizar el 2026, declaró la secretaria de Salud de Hidalgo (SSH), Vanessa Escalante Arroyo. Durante su comparecencia ante el Congreso del Estado de Hidalgo, realizada este viernes 16 de octubre, recordó que el primer nosocomio citado será administrado por el sistema IMSS Bienestar, y en el segundo caso, por el IMSS ordinario. En la construcción del Hospital General de Actopan se invierten 503 millones 24 mil 612 pesos, sumado a 355 millones de pesos para su equipamiento. El objetivo es brindar atención médica especializada a 132 mil habitantes de siete municipios del Valle del Mezquital, incrementando la capacidad hospitalaria de 30 a 60 camas, además de contar con cuatro quirófanos. Escalante Arroyo señaló que la plantilla laboral y los recursos necesarios, como medicamentos e insumos para su operación están contemplados por el Gobierno federal, a través del IMSS-Bienestar. En cuanto a los hospitales generales de Pachuca y Tula de Allende, informó que se invirtieron 7.9 millones de pesos en adecuaciones para poner en funcionamiento sus tomógrafos, luego de que ambos nosocomios permanecieran nueve meses y dos años, respectivamente, sin estos equipos. “Esto permitirá agilizar los diagnósticos, reducir la espera y evitar que las y los pacientes paguen estos estudios fuera del hospital”, expresó. Escalante Arroyo informó a su vez que en reunión reciente con la presidenta de México, Claudia Sheinbaum Pardo, con directoras y directores de hospitales transferidos al IMSS-Bienestar, se planteó revisar y resolver el tema de los precarios salarios que recibe el personal médico adscrito al sector oficial. A su vez, se propuso la contratación de más profesionales de la salud, entre ellos especialistas, enfermeras, enfermeros y médicos generales. También se expuso la falta de ambulancias en Hidalgo, las necesidades de insumos de consumo y medicamentos en las unidades médicas; de acuerdo a Escalante Arroyo, la Federación se comprometió a dar seguimiento a estos planteamientos.</t>
  </si>
  <si>
    <t>Daniel Martínez: ...Y me queda claro que es un escenario, no sé si con cucarachas o sin cucarachas, pero un escenario muy semejante el que deben de estarse encontrando en las 270 y pico de clínicas y hospitales que están en revisión en el IMSS. Pues ¿no que no pasaba nada? Ya ni hagan mediciones con Dinamarca, con Colombia, con la Conchinchina, con quien sea. Hay que resolver lo que está urgente en este momento y Tepeji, Tepeji es un botón de muestra al respecto.</t>
  </si>
  <si>
    <t>Denuncia médico plaga de cucarachas en hospital del IMSS Con una larga lista de carencias, propuestas y peticiones, un médico internista en el Hospital General de Zona en Tepeji del Río, Hidalgo, terminó su intervención con la súplica de que se combata el nido de cucarachas donde se colocan los expedientes de los pacientes. Esperó al final de su intervención para hacer la última petición en una lista de dos páginas que preparó para el encuentro con los directivos del hospital, dentro de la estrategia Piso por Piso, que ordenó la Presidenta Claudia Sheinbaum para conocer de primera mano las necesidades del IMSS. “Ahí sí lo dejo hasta el final, porque es muy personal y me agobia bastante. Tenemos un mueble de madera en la oficina de medicina interna, no sé desde qué año, porque, yo no he estado aquí tanto, pero contemplo que debe llevar al menos más de 10 años, y el único día que viene a cubrir en la noche, ahí es una fiesta de cucarachas. “Es un mueble para los expedientes y, pues, no lo sé, no considero que eso sea pertinente en un hospital”, alertó el médico residente que se atrevió a denunciar todo lo que falta en sus turnos de trabajo. El médico hizo todo un diagnóstico de lo que le falta al “paciente IMSS” para combatir su enfermedad y regresarle la salud a la institución, si es que se quiere remediar la falta de insumos, medicamentos y de personal. De nombre Miguel Acuña, el médico internista en el Hospital General de Zona y Clínica Familiar número 6 resaltó que tienen gran demanda de los municipios cercanos, con pacientes renales, cardiópatas, neumófatas y en estado crítico, y aunque no tienen terapia intensiva, a éstos últimos se les recibe todos los días. Sobre los pacientes respiratorios, expuso, llevan meses pidiendo que les doten de puntas nasales, con las que se suministra oxígeno directo en las fosas nasales, porque no hay regularmente. Tampoco hay personal de inhaloterapia, alguien que pueda estar checando y vigilando directamente el ventilador, sobre todo cuando hay pacientes con infecciones respiratorias. Indicó que no hay trampas de aspiración bronquial ni aparatos para nebulizar un paciente intubado ni equipo para la adaptación de los ventiladores, que son antiguos. En cuanto a los pacientes cardiópatas, no hay monitores para esta condición y los cinco monitores que hay en existencia, no sirven para esos enfermos, por lo que los tienen conectados a un desfibrilador. Reportó que no hay parches para marcapasos temporales ni hay vasopresores, solamente tienen, a veces, norepinefrina y nunca hay vasopresina. En relación a los pacientes geriátricos, cuando caen en paro respiratorio es imposible tener una atención con un “barrote”, la cabecera, que no se puede quitar, dijo. El médico residente resaltó que también hay escasez de bombas de infusión, por ejemplo, hay cinco en un piso donde tienen hasta tres pacientes críticos. “Es un absurdo. Las bombas de infusión también van destinadas a analgésicos”, comentó sobre la necesidad de este material. En cuanto a medicamentos resaltó que suelen faltar los que tratan el dolor, como buprenorfina y tramadol, que suele no haber, como tampoco el paracetamol intravenoso. Los antimicrobianos con frecuencia les dicen que no hay en existencia. Para los pacientes renales, el médico del IMSS dijo que no hay bolsas de Baxter manuales, que se usan para las diálisis. [19/10/2026 12:34 p. m.] Emmanuel: En la descripción precisa de lo que falta, refirió que no hay material en bacteriología, para hacer análisis de secreciones ni hemocultivos, aunque hay pacientes en hemodiálisis, ni para líquido peritoneal. “Estamos gastando recursos con ceftazidima y vancomicina, (antibióticos), es como disparar al aire. Para peritonitis, que ni siquiera sabemos para qué dio positivo”, refirió sobre la falta de material para hacer estudios de laboratorio. Reportó que los laringoscopios están viejitos, porque si bien hay en existencia, dijo, hay varios equipos ya cumplieron su vida útil. “Un médico internista que no puede pedir unos anticuerpos antinucleares de mínimo, es como querer entrar con una velita a una bodega”, sostuvo. Planteó fortalecer el área de laboratorio, porque no se le puede pedir a los pacientes que vayan a Pachuca a hacerse estudios o a donar sangre, porque son dos o tres horas de camino. Otro trabajador se quejó de que el IMSS ya no dota de uniformes al personal y aún así los presionan para que acudan al trabajo con una vestimenta. “Nos quieren dar buenas condiciones de trabajo, aquí en Tepeji, no existe, la verdad, con todo respeto”, reclamó.</t>
  </si>
  <si>
    <t>Por medio de un comunicado oficial, se dio a conocer que el titular de la Secretaría de la Contraloría en el Estado de Hidalgo, Álvaro Bardales Ramírez, respaldó la eliminación de autorizaciones duplicadas para las contrataciones municipales. Lo anterior, luego de que un grupo de asambleístas de varios municipios de la entidad se han manifestado públicamente respecto a la de reforma al artículo 141 de la Constitución Política del Estado de Hidalgo. La reforma establece la autorización para que establezcan acuerdos y contratos sin la obligación de ser autorizados por los integrantes de la Asamblea Municipal respectiva. Los asambleístas que se oponen a la reforma, señalan que con esta se les resta facultades a los integrantes de los cuerpos edilicios. Al respecto, Bardales Ramírez señaló que los recursos públicos no pueden quedar sujetos a disputas políticas, intereses personales o incapacidad para construir acuerdos. Señaló que, cuando el presupuesto ya fue aprobado y se cumplen los requisitos legales para contratar, exigir nuevamente el aval del Cabildo puede detener las mismas obras y acciones que el ayuntamiento autorizó. El funcionario estatal señala que revisar el gasto constituye una obligación, pero utilizar una autorización pendiente para obtener plazas, contratos o beneficios personales representa una conducta que debe investigarse cuando existan elementos. La Contraloría recibe constantemente quejas de presidentes municipales, contralores internos y tesoreros porque las autorizaciones se detienen y el presupuesto no se ejecuta. Se señala que las consecuencias recaen en las comunidades: obras que no comienzan, servicios que se retrasan y necesidades que siguen sin respuesta. Frente al argumento de que la reforma debilita la vigilancia, Bardales sostuvo que la contratación pública tiene obligaciones que deben cumplirse: procedimientos de obra y adquisiciones, suficiencia presupuestaria, integración de expedientes, comprobación de pagos y fiscalización. También intervienen los órganos internos de control y la ciudadanía organizada en comités de Contraloría Social. “La preocupación por preservar los contrapesos es legítima; también lo es exigir que esos controles funcionen y permitan atender a la población. Ninguna facultad pública debe convertirse en un coto de poder ni en una oportunidad para negociar beneficios particulares”, señala el comunicado. “El señalamiento alcanza también a las presidencias municipales: agilizar los procedimientos no justifica contrataciones arbitrarias, proveedores favorecidos ni obras deficientes. Quien ejerce el presupuesto debe acreditar cada decisión y responder por cualquier irregularidad”. A ello se agrega que “existen recursos federales sujetos a plazos cuyo incumplimiento puede generar la obligación de devolverlos. Una confrontación política puede terminar costándole a una comunidad el agua, el drenaje o la calle que esperaba.</t>
  </si>
  <si>
    <t>En el presente periodo de gobierno municipal en Tulancingo, se instaló y está en funcionamiento un circuito cerrado para vigilancia del panteón central “San Miguel”, ubicado en la colonia Zapotlán de Allende. Juan Alberto Santuario Elías, titular de la Secretaría de Servicios Públicos Municipales, señaló que con dicho sistema y otras medidas de seguridad preventiva, se ha abatido el saqueo de tumbas e infraestructura entre 50 a 60 por ciento. Señaló que al inicio del actual periodo de gobierno municipal, registraron varios reportes de robo y saqueo dentro de dichas instalaciones. Candelabros, cancelería, parte de monumentos mortuorios, fue parte de la infraestructura robada, saqueada o vandalizada; fue por ello que se determinó la instalación del sistema de circuito cerrado. Además, se ha reforzado la infraestructura, como la rehabilitación de una de las bardas perimetrales para evitar el ingreso al camposanto. Junto con ello los rondines por parte de cuerpos de seguridad pública se han intensificado en la zona para evitar el ingreso de ladrones, vándalos, o cualquier persona que pretenda ingresar de forma ilegal o por lo menos inadecuada al panteón. Respecto al estado físico en general de las instalaciones en este momento, Santuario Elías señaló que se establecieron convenios de trabajo con dependencias como Parques y Jardines, y Limpias, para mantener el panteón en buenas condiciones. Trabajadores de la primera dependencia municipal citada, realizan constante mantenimiento al arbolado al interior, así como el retiro de ramas y maleza. n tanto, el personal de Limpias realiza el retiro cotidiano de la basura y residuos sólidos, para evitar que la acumulación pueda generar problemas de contaminación, fauna nociva y mal aspecto físico. El funcionario municipal agregó que con el apoyo de la dirección municipal de Mercados y Centros de Abasto, se ha trabajado en la regulación del comercio que opera en los alrededores del panteón. Aseguró que las labores y vigilancia se realizan de forma cotidiana, tanto para facilitar la visita al camposanto, como para dignificar este espacio.</t>
  </si>
  <si>
    <t>Panteón Municipal</t>
  </si>
  <si>
    <t>Gobierno de Hidalgo amplía oportunidades de venta para emprendedores con discapacidad</t>
  </si>
  <si>
    <t>Una patrulla adscrita a la dirección municipal de Tránsito y Movilidad de Tulancingo, chocó por la parte trasera de una camioneta, en el cruce de avenida 21 de marzo y la calle Nicolás Bravo, en el centro de la ciudad. El incidente se registró durante la madrugada del domingo 18 de octubre; en un video que circula en redes sociales, se observa que el conductor de la camioneta maniobra en la esquina señalada, intentando incorporarse, al parecer, a avenida 21 de marzo. En ese momento, la patrulla se impacta en la parte trasera de la camioneta, chocando este último vehículo mencionado contra unos tubos de protección que fueron derribados, y de inmediato, el conductor se va del lugar a gran velocidad. Los oficiales policiacos que estaban a bordo de la patrulla accidentada, se reportan sin lesiones de consideración. Se desconoce el estado físico y de salud de los ocupantes de la camioneta, pues ya no pudo ser localizada. Presuntamente, el accidente se derivó de una persecución que realizaban los elementos de Tránsito y Movilidad hacia los ocupantes de la camioneta; en este momento se desarrolla una investigación interna para establecer los detalles alrededor del incidente.</t>
  </si>
  <si>
    <t>Accidente de patrulla</t>
  </si>
  <si>
    <t>El sábado un joven de 22 años de edad muere en las inmediaciones del jardín La Foresta. al lugar acudieron los cuerpos de auxilio, que ya nada pudieron hacer. Se dice que fue a causa de una enfermedad crónica.</t>
  </si>
  <si>
    <t>Las lluvias registradas este fin de semana en el Estado de Hidalgo, han generado afectaciones, incluso cierre a la circulación en diversas vialidades. En Tenango de Doria, en la región Otomí-Tepehua, fue cerrada la vialidad a la altura de la localidad de Cerro Chiquito, en dirección a San José del Valle. Ello debido al incremento en los niveles de aguas en el río ubicado en la zona, además que se reportaron derrumbes que bloquearon carreteras. Debido a estas condiciones, no hay paso por esta vía, por lo que poblados ubicados en esta parte del municipio permanecen momentáneamente incomunicados. Además, se reportaron derrumbes que bloquearon carreteras. La posibilidad de habilitar el paso de manera restringida permanece en evaluación, en espera de que descienda el nivel del río y las condiciones permitan transitar de forma segura. Una de las afectaciones más importantes se reportó en la carretera San Mateo–San Bartolo Tutotepec, que permanece completamente cerrada debido a un derrumbe que cubrió la vía. La ruta alterna tampoco puede utilizarse, ya que está obstruida por material de construcción. Además, que un árbol cayó sobre la vía Metepec–Tenango de Doria. Protección Civil pidió no intentar cruzar por estos puntos, ante la posibilidad de nuevos deslaves y desprendimientos ocasionados por la humedad del terreno. En la carretera Pachuca–Tampico, personal y maquinaria de la Secretaría de Infraestructura Comunicaciones y Transportes (SICT) Hidalgo realizaron labores para retirar rocas y durante los trabajos, la circulación permaneció habilitada por solo un carril. En Xochiatipan el aumento del nivel del río Garcés obligó a interrumpir el tránsito vehicular hacia el municipio de Xochiatipan, luego de que el agua rebasara el vado provisional. Mientras que en el tramo carretero Nicolás Flores–Cardonal se reporta la caída de piedras, lo que se ha limitado la circulación en dicha vialidad, para evitar el registro de alguna emergencia. La Subsecretaría de Protección Civil y Gestión de Riesgos del Gobierno de Hidalgo exhortó a la población a mantener y reforzar las medidas preventivas, señalando que está activo el semáforo amarillo, que establece medidas de vigilancia y prevención. Se advirtió que la disminución o suspensión temporal de las lluvias no significa que el peligro haya desaparecido, ya que la saturación del terreno puede ocasionar movimientos de tierra incluso cuando no se registran precipitaciones. Como parte de las medidas preventivas, la dependencia exhortó a la población a evitar cruzar ríos, arroyos, vados y caminos inundados, tanto a pie como en vehículo, así como mantenerse alejada de cauces, barrancas y laderas inestables. También pidió extremar precauciones al transitar por carreteras y caminos rurales, respetar los cierres y señalamientos viales.</t>
  </si>
  <si>
    <t>La Secretaría de Salud del Estado de Hidalgo informó que, en el marco del Día Mundial de la Lucha contra el Cáncer de Mama, en Hidalgo se detectaron 186 casos en lo que va de 2026, al corte del 3 de octubre, con una tasa de 13.5 por cada 100 mil mujeres del mismo grupo de edad. La dependencia detalló que se realizaron 8 mil 718 exploraciones clínicas de mama y 5 mil 30 mastografías de tamizaje mediante una unidad móvil. Mientras que, en 2025, se registraron 355 casos de cáncer de mama en Hidalgo, con una tasa de 33.7 por cada 100 mil mujeres de 25 años y más. Eduardo Padilla González, encargado de la Subdirección de Atención en las Etapas de la Vida, de la Subsecretaría de Salud Pública, asumió que identificar la enfermedad en etapas tempranas es fundamental para mejorar el pronóstico y las posibilidades de tratamiento. De acuerdo con el funcionario, la estrategia incluyó la detección, valoración y confirmación diagnóstica. No obstante, se instó a las mujeres a conocer el aspecto y la consistencia habituales de sus mamas para reconocer posibles alteraciones, como bolitas, cambios en la piel, modificaciones en el pezón o secreciones inusuales. La SSH recomendó solicitar orientación del personal sanitario sobre los estudios de detección adecuados, de acuerdo con la edad y los antecedentes personales, así como consultar los resultados y realizar las pruebas complementarias cuando estén indicadas.</t>
  </si>
  <si>
    <t>Cáncer De Mama</t>
  </si>
  <si>
    <t>Daniel Martínez: ...justamente en ese mismo mes de junio, cuando estuvo de visita de trabajo en la región Tulancingo, Napoleón González Pérez, a pregunta expresa de compañeras, compañeros de medios de comunicación de la región, le preguntaron que qué iban a hacer, ¿no?, con estas denuncias a lo que dijo: "Voy a pedir de inmediato, voy a pedir de inmediato una revisión. Apenas eh la semana pasada, a mediados de la semana pasada, González Pérez dijo que apenas iba a pedir la revisión y Vanessa Escalante en el en el TCC de Rauche le dice: 'Pues en otro ya empezamos a revisar, nada más que les vamos a dar a conocer los resultados en cuanto terminemos la revisión de las muestras que hemos tomado, ¿eh? Izza Hernández: Sí, incluso mencionan, no necesitan pedirnos, ya nosotros estamos tomando cartas en el asunto, estamos pues revisando el tema.</t>
  </si>
  <si>
    <t>Huachileche</t>
  </si>
  <si>
    <t>La Secretaría de Salud en Hidalgo (SSH) ya realiza desde hace meses revisión de muestreos de la leche que se ofrece en Tulancingo a cuatro pesos por litro. Lo anterior fue informado por la titular de la dependencia estatal, Vanessa Escalante Arroyo, durante su comparecencia realizada este viernes 16 de octubre ante integrantes del Congreso del Estado de Hidalgo. Previamente, el titular de la Secretaría de Agricultura y Desarrollo Rural de Hidalgo (Saderh), Napoleón González Pérez, durante su respectiva comparecencia, anunció ante los legisladores locales que solicitaría ante la SSH que se realizaran inspecciones a la leche que se ofrece en el Valle de Tulancingo. En junio de este mismo año, en visita de trabajo al Valle de Tulancingo, había asegurado que tuvo conversación con la SSH para que por medio de la Comisión estatal para la Prevención de Riegos Sanitarios (Copriseh) se revisara la calidad y sanidad de la leche que llega sobre todo del Bajío mexicano. “No es necesario que nuestro compañero secretario nos lo solicite; nosotros ya iniciamos desde hace tiempo”, declaró Escalante Arroyo durante la comparecencia a su cargo. Justamente durante el mes de junio de este año, productores lecheros del Valle de Tulancingo denunciaron que a la región estaban ingresando unidades con lácteo supuestamente proveniente de la región Bajío, ofreciendo el litro a cuatro pesos. Además de representar competencia desleal, los productores locales señalaron que dicho precio causa sospecha respecto a la calidad, y por tanto, si es adecuado para consumo humano. La titular de la SSH señaló que a través de la Copriseh, ya se tienen programados nuevos muestreos para los próximos meses. “Esto no deberíamos decirlo porque ponemos en alerta a la comunidad, pero vamos a estar nosotros supervisando este tipo de circunstancias, porque entendemos también la competencia desleal que se está dando a los productores en el estado de Hidalgo”, enfatizó ante los legisladores del Congreso del Estado de Hidalgo.</t>
  </si>
  <si>
    <t>En unos instantes agenda igual en unos minutos más el gobernador Julio Menchaca Salazar encabezará la inauguración de las áreas administrativas de Innovación Gubernamental, Centro de datos e inteligencia artificial del Estado de Hidalgo, se realizará a las 11:00 en el estacionamiento del aeropuerto Juan Guillermo Villasana.</t>
  </si>
  <si>
    <t>Con el objetivo firme de garantizar la salud pública y asegurar el cuidado integral de los animales de compañía en la capital hidalguense, el presidente municipal Jorge Reyes impulsa la Campaña de Vacunación Antirrábica Gratuita para Perros y Gatos, la cual desplegará módulos de atención directa en distintos sectores de la ciudad del lunes 19 al viernes 23 de octubre. Esta estrategia, coordinada por la Secretaría de Medio Ambiente y Desarrollo Sustentable en conjunto con la Secretaría de Salud y el Centro de Atención Integral Veterinario Municipal, busca acercar servicios preventivos de calidad a las familias pachuqueñas. Jorge Reyes destacó que estas acciones forman parte de un compromiso permanente para promover la tenencia responsable y construir una comunidad más segura y limpia para todas y todos. Las brigadas itinerantes brindarán atención sin costo en un horario de diez de la mañana a dos de la tarde. El recorrido comenzará el lunes 19 de octubre en la cancha de la colonia Plutarco Elías Calles, continuará el martes 20 en la zona de juegos del fraccionamiento Renacimiento y se traslada el miércoles 21 a la cancha del fraccionamiento Haciendas de Hidalgo. Posteriormente, el jueves 22 el módulo se ubicará en el parque de Geovillas, concluyendo las actividades de la semana el viernes 23 en el parque de la colonia Morelos. Las autoridades informaron que esta dosis se puede aplicar a felinos y caninos a partir del primer mes de nacidos. Asimismo, recomendaron a la ciudadanía acudir con sus mascotas debidamente aseguradas, usando correa en el caso de los perros y transportadora o bolsa de resguardo adecuada para los gatos, a fin de garantizar una jornada ordenada y ágil en beneficio de la comunidad.</t>
  </si>
  <si>
    <t>Vacunación Antirrábica</t>
  </si>
  <si>
    <t>Samperio Ortiz, muy buenos días, Andrés y Aldo, después de un tiempo de no estar en contacto con ustedes, hoy los saludo. Hay una fuga de agua aquí en San Antonio el Desmonte, en la calle de Capricornio, ya tienen mucho tiempo y las autoridades no hacen caso.</t>
  </si>
  <si>
    <t>Ayer se cerraron los registros para aquellos que desean ser coordinadores municipales electorales de Morena en Hidalgo, es decir, quienes aspiran a ser candidatos a la Presidencia Municipal. El proceso de registro tuvo requisitos claros, entre ellos, que las personas con cargos públicos debían renunciar o pedir licencia. Aunque se sabe poco sobre quiénes se inscribieron, se confirmaron múltiples registros, ya que muchos compartieron su inscripción en redes sociales como Facebook. El Comité Nacional de Elecciones será el encargado de determinar cuántas personas se registraron y quiénes cumplen con los requisitos para participar en la selección. El cierre del registro es parte de un proceso más amplio. Hace dos semanas, también se cerró el registro para aspirantes a coordinadores distritales que desean postularse como diputados federales. Se espera que en unos días, posiblemente este fin de semana o a más tardar entre semana, se abra la convocatoria para el registro de coordinadores distritales locales, que incluye candidatos a diputados federales y locales por Morena. Este proceso se resolverá rápidamente, según las declaraciones de Citlalli Hernández, presidenta nacional del partido Morena.</t>
  </si>
  <si>
    <t>Candidaturas</t>
  </si>
  <si>
    <t>Hidalgo fortalece la participación ciudadana en la Consulta Pública del POZMVM</t>
  </si>
  <si>
    <t>ZMVM</t>
  </si>
  <si>
    <t>Hidalgo mantiene política de cero tolerancia a la corrupción y garantiza el respeto a los derechos humanos</t>
  </si>
  <si>
    <t>Persecución política</t>
  </si>
  <si>
    <t>En Ciudad Sahagún una mujer resultó lesionada durante un evento de unos arrancones, la mujer se ve que en estos videos que circulan a través de redes sociales cómo es impactada por el vehículo el cual está participando en este evento. Hasta el momento por parte de las autoridades del Ayuntamiento no ha emitido un comunicado oficial, pero sí se dio a conocer este video donde la mujer resulta lesionada en este evento de arrancones.</t>
  </si>
  <si>
    <t>Arrancones</t>
  </si>
  <si>
    <t>Ayer se llevó a cabo el clásico poli-universidad, el clásico del fútbol americano nacional. La Universidad venció al Politécnico, pero en este evento se hizo un homenaje al hidalguense, al hidalguense, al jugador y entrenador Manuel Nery, originario de Acaxochitlán. Sus deudos, su familia, estuvieron presente ayer en el Estadio Olímpico Universitario, pues este sus cenizas de Don Manuel Nery fueron, dieron la vuelta olímpica allá en el tartán de la Ciudad Universitaria del Olímpico Universitario, previo al juego al clásico poli-universidad. La exdiputada local, Dora Luz Castelan, fue la que eh hizo la dio las palabras de agradecimiento y, bueno, se hizo este homenaje al hidalguense, el gran deportista que en sus tiempos fuera jugador y después entrenador Manuel Nery.</t>
  </si>
  <si>
    <t>Homenaje póstumo</t>
  </si>
  <si>
    <t>La Subsecretaría de Protección Civil y Gestión de Riesgos del Gobierno del Estado de Hidalgo emitió una alerta con días de anticipación y envió personal a monitorear el clima en diferentes zonas afectadas. En Xochiatipan, un vado se derrumbó, dejando incomunicadas 35 comunidades sin electricidad y telefonía. En Tenango de Doria, el río creció y se tomó la precaución de resguardar el área para evitar el paso peatonal. Desde el viernes, se reportaron intensas lluvias en San Bartolo Tutotepec y Tenango de Doria, ocasionando la caída de árboles y materiales en la carretera. A pesar de que hubo cierre de la vía, las brigadas locales lograron retirar los obstáculos, y ahora la carretera está transitable. Sin embargo, las lluvias pueden seguir causando problemas, y se advierte sobre el riesgo del crecimiento del vado mencionado. Se compartieron videos en redes sociales de inundaciones en Soteapan, donde se reportó que una persona pudo ser arrastrada por la corriente y se encuentra desaparecida. También hubo fuertes lluvias en Huejutla, causando inundaciones en varias colonias, pero hasta ahora no se han reportado incidentes graves en las carreteras, aunque sí la caída de algunos árboles. La alerta se mantiene activa y la Subsecretaría de Protección Civil y la Secretaría de Gobierno continúan supervisando las áreas afectadas. Se recomienda que la población esté atenta a la señal de Radio y Televisión de Hidalgo para recibir actualizaciones sobre el clima y acciones a seguir en caso de una contingencia.</t>
  </si>
  <si>
    <t>Un hombre fue localizado sin vida en la comunidad de El Chamizal, perteneciente al municipio de Tezontepec de Aldama, Hidalgo, presentando múltiples heridas por impactos de arma de fuego tras el reporte de detonaciones el martes 20 de octubre. Elementos policíacos y cuerpos de emergencia acudieron al lugar, confirmando el fallecimiento de la víctima y procediendo al acordonamiento de la zona. Posteriormente, se solicitó la intervención de la Procuraduría General de Justicia del Estado de Hidalgo para realizar las diligencias ministeriales e iniciar con la investigación, encontrándose el cuerpo en calidad de desconocido hasta el momento.</t>
  </si>
  <si>
    <t>Padres de familia de la Escuela Primaria Benito Juárez bloquearon vialidades principales en la zona centro de Huejutla para exigir el cierre del turno vespertino (correspondiente a la primaria Ildefonso Velázquez Ibarra), el cual comparte las mismas instalaciones. La movilización se originó por desacuerdos en el pago de cuotas escolares y la supuesta falta de aportaciones equitativas por parte del turno vespertino, postura que fue rechazada por los tutores de dicho turno, quienes afirman haber cumplido con los pagos establecidos. Los manifestantes exigen a las autoridades educativas la reubicación de la primaria Ildefonso Velázquez Ibarra para resolver estas diferencias.</t>
  </si>
  <si>
    <t>Queja padres de familia</t>
  </si>
  <si>
    <t>Locutor Irving Sánchez da lectura a comentario de radioescucha que , reporta irregularidades en el servicio de transporte público (colectivas de la ruta Rojo Gómez), específicamente por no respetar los semáforos y provocar situaciones de riesgo. Ante esto, Locutor Jesús Riveros recordó a la ciudadanía la importancia de formalizar sus quejas ante la Secretaría de Movilidad y Transporte del Estado de Hidalgo mediante el número telefónico 800 503 2002 o 771 526 1284, el correo electrónico quejatransporte@hidalgo.gob.mx, o directamente en las oficinas correspondientes conforme al artículo 286 de la Ley de Movilidad y Transporte, destacando que es indispensable contar con el número de la unidad para dar un seguimiento oficial.</t>
  </si>
  <si>
    <t>Queja transporte público</t>
  </si>
  <si>
    <t>Canal 12 Huejutla</t>
  </si>
  <si>
    <t>Contacto Informativo M</t>
  </si>
  <si>
    <t>En entrevista para el espacio de contacto informativo, la coordinadora estatal del INEGI en Hidalgo, Laura Silvia González Quintos, presentó los resultados de la Encuesta Intercensal 2025, destacando que el estado cuenta actualmente con 3,245,595 habitantes, lo que refleja un crecimiento continuo pero a un ritmo menor (tasa promedio anual de 0.9%) en comparación con el censo de 2020, posicionando a la entidad en el lugar 16 a nivel nacional. Asimismo, la funcionaria detalló una disminución en la tasa global de fecundidad (pasando de 1.8 a 1.1 hijos por mujer), cambios en la estructura poblacional con mayor presencia de adultos mayores, y modificaciones en el acceso a tecnologías e internet, el cual subió del 39.3% al 70.5% en cinco años. Finalmente, en cuanto a población hablante de lengua indígena se registraron 352,062 personas (11.2%), y se informó sobre la reorganización en las categorías de afiliación a los servicios de salud y el parque habitacional, que aumentó a más de un millón de viviendas.</t>
  </si>
  <si>
    <t>Censo Inegi</t>
  </si>
  <si>
    <t>Taide Salazar</t>
  </si>
  <si>
    <t>Radio Lobo 96.7 FM</t>
  </si>
  <si>
    <t>Enlace Noticias</t>
  </si>
  <si>
    <t>Día Mundial contra el Cáncer de Mama: la detección oportuna puede salvar vidas</t>
  </si>
  <si>
    <t>Gina Lorenzo</t>
  </si>
  <si>
    <t>Entrega Saderh apoyos productivos a 476 agro productores</t>
  </si>
  <si>
    <t>Apoyo Al Agro</t>
  </si>
  <si>
    <t>Julio Menchaca recorre subestación Hidalgo de CFE</t>
  </si>
  <si>
    <t>Recorrido por instalaciones</t>
  </si>
  <si>
    <t>Menchaca Salazar entrega nuevo Centro de Datos y remodelación del aeropuerto de Pachuca.</t>
  </si>
  <si>
    <t>Centro de datos</t>
  </si>
  <si>
    <t>La modernización de la carretera federal Tamazunchale-Huejutla presenta un avance promedio del 81.5% durante 2026, según informó la Secretaría de Infraestructura, Comunicaciones y Transportes. Los trabajos de este año abarcan 37 kilómetros entre los estados de Hidalgo y San Luis Potosí a través de 16 frentes de obra, contemplando la ampliación de la vía a 12 metros de ancho con dos carriles y acotamientos. En su totalidad, el proyecto comprende 158 kilómetros, una inversión de 7,886 millones de pesos y la estimación de reducir hasta en 65 minutos los tiempos de traslado hacia Tamaulipas y el Golfo de México, con conclusión prevista para diciembre de 2029.</t>
  </si>
  <si>
    <t>Carretera Huejutla</t>
  </si>
  <si>
    <t>SSH hace un llamado a reforzar medidas de prevención ante el incremento de enfermedades respiratorias.</t>
  </si>
  <si>
    <t>Prevención de enfermedades</t>
  </si>
  <si>
    <t>Semarnath Hidalgo fortalece la restauración forestal y la protección ambiental con inversión, ciencia y trabajo en territorio</t>
  </si>
  <si>
    <t>Julio Menchaca invierte más de 25 mil mdp en infraestructura pública: Alejandro Sánchez</t>
  </si>
  <si>
    <t>Los habitantes de la colonia El Paraíso, en Tulancingo, ya cuentan con una cancha deportiva rehabilitada, donde a partir del próximo 3 de noviembre se pondrá en marcha un torneo de basquetbol dirigido a promover la participación de niñas, niños y jóvenes. El espacio fue acondicionado con nuevos tableros, luminarias, pintura y delimitación de las líneas deportivas, además de la instalación de malla perimetral para evitar que los balones lleguen a las viviendas cercanas. De acuerdo con el gobierno municipal, encabezado por la alcaldesa Lorena García Cázares, los trabajos estuvieron a cargo de la Dirección de Mantenimiento Urbano e incluyeron la colocación de 100 metros de malla, obras de mampostería para sostenerla y una segunda protección en la parte superior de la cancha. Durante la entrega de las instalaciones se anunció que el torneo de basquetbol será organizado por la Dirección de Cultura Física, en coordinación con la Liga Municipal de Basquetbol Escolar y de Clubes (LIMBECT). La intervención en El Paraíso forma parte de los trabajos de mantenimiento realizados en espacios deportivos de Guadalupe Cañada, Glorias, Napateco, Ruiz Cortines, San Luis, Ahuehuetitla, Glorias 3, Jardines del Sur, Nuevo Tulancingo y Huapalcalco. El Ayuntamiento también tiene prevista otra rehabilitación en Rincones de la Hacienda antes de que termine el año. Según el censo municipal, Tulancingo dispone de 122 canchas y espacios destinados al deporte y la convivencia, por lo que su conservación representa una necesidad para las colonias que utilizan estas instalaciones como puntos de encuentro y recreación.</t>
  </si>
  <si>
    <t>Rehabilitación de espacios públicos</t>
  </si>
  <si>
    <t>SEPH realiza el concurso de oratoria “Mi palabra es hoy mi voz y mi fortaleza 2026”</t>
  </si>
  <si>
    <t>Concurso de oratoria</t>
  </si>
  <si>
    <t>Se dio a conocer que el secretario de Educación Pública, Natividad Castrejón Valdez, tiene programada su comparecencia ante el Congreso del Estado para el día de hoy.</t>
  </si>
  <si>
    <t>El delegado de Programas para el Desarrollo en el Estado de Hidalgo (Bienestar), Abraham Mendoza Zenteno, informó sobre el inicio del registro nacional para la Pensión para Adultos Mayores y la pensión Mujeres Bienestar (dirigida a mujeres de 60 a 64 años), el cual se lleva a cabo del 19 al 25 de octubre. Los módulos operan de lunes a domingo en un horario de 9:00 a.m. a 4:00 p.m., organizando la atención según la inicial del primer apellido de los solicitantes. Los apoyos económicos establecidos son de 6,400 pesos bimestrales para adultos mayores de 65 años y de 3,100 pesos bimestrales para las beneficiarias del programa de mujeres</t>
  </si>
  <si>
    <t>Menchaca Salazar entrega nuevo Centro de Datos y remodelación del aeropuerto de Pachuca</t>
  </si>
  <si>
    <t>Sobre la llegada y operación de plataformas de transporte como Uber, el gobernador del estado señaló que el servicio no está prohibido en esencia, pero debe operar bajo los cauces legales y contar con la concesión formal de transporte individual. El mandatario indicó que ofrecer el servicio al margen de la ley implica asumir responsabilidades legales ante el Ministerio Público, y puntualizó que, aunque es necesario buscar opciones y alternativas para los usuarios, los operadores y concesionarios tradicionales también deben cumplir con su compromiso de atención al público de manera responsable.</t>
  </si>
  <si>
    <t>Apps de transporte</t>
  </si>
  <si>
    <t>La Secretaría de Movilidad y Transporte (SEMOT) de Hidalgo advirtió que aplicará procedimientos administrativos y sanciones a quienes presten el servicio de transporte a través de la aplicación Uber en Pachuca. Aunque la plataforma comenzó a operar recientemente permitiendo solicitar viajes, la dependencia señaló que este esquema no está contemplado en la Ley de Movilidad y Transporte del estado, por lo que resulta ilegal al no contar con una concesión formal. Asimismo, la SEMOT indicó que se procederá con denuncias penales y multas a los operadores detectados, mientras que el gobernador señaló que cualquier cambio en la materia debe realizarse primero por la vía legislativa, con información de LSRH.</t>
  </si>
  <si>
    <t>Entrevista en cabina a las doctoras Miriam Olvera Cuéllar y Alma Delia Vite Rojo, profesoras investigadoras de la Universidad Politécnica de Tulancingo, quienes presentaron los resultados de una investigación publicada recientemente en un capítulo de libro enfocado en la inteligencia artificial. El estudio, realizado en febrero y marzo de 2026 junto con la Red de Estudios Latinoamericanos de Internet mediante 548 encuestas válidas, analizó la percepción de distintos grupos etarios. Los hallazgos revelaron que los jóvenes de 18 a 26 años son quienes muestran mayor preocupación —especialmente en torno al reemplazo laboral y el uso cotidiano de la tecnología—, mientras que los adultos mayores presentan menor inquietud, pero requieren mayor capacitación digital. Asimismo, las investigadoras destacaron el respaldo institucional de la universidad y adelantaron que ya trabajan en nuevas líneas sobre el uso de la inteligencia artificial en la educación preescolar y media superior.</t>
  </si>
  <si>
    <t>Investigación académica</t>
  </si>
  <si>
    <t>Durante su colaboración matutina, David Cárdenas informó sobre la comparecencia de Mónica Mixtega respecto a los trabajos de limpieza y trituración de lirio acuático para prevenir su proliferación, un tema prioritario para el estado de Hidalgo. Se destacó que, mediante el plan maestro de la Conagua implementado por el gobierno de la presidenta Claudia Sheinbaum, la superficie afectada por el lirio disminuyó de 900 a 443 hectáreas, respaldado por una inversión superior a los 33 millones de pesos para la adquisición de cuatro nuevas trituradoras. Asimismo, se mencionó la combinación de estrategias de control biológico y químico, cuidando el impacto en el agua para riego, y el fortalecimiento del equipo operativo en beneficio de la ciudadanía.</t>
  </si>
  <si>
    <t>Se estableció comunicación con Abner Yáñez, elemento de Bomberos y Protección Civil, quien informó sobre los servicios atendidos en el Valle de Tulancingo durante las últimas 24 horas. Entre los incidentes destacó una agresión armada registrada en la calle Privada Adolfo Ruiz Cortines de la colonia Plan de Ayala, donde los cuerpos de emergencia acudieron tras el reporte de una persona lesionada. En el sitio se localizó a un hombre de entre 55 y 57 años de edad que presentaba impactos de bala y ya no contaba con signos vitales. Posteriormente, se confirmó que la víctima mortal fue un trabajador del sector educativo identificado con las iniciales GHE, de 61 años, quien se desempeñaba como profesor en servicios regionales. De acuerdo con los datos recabados, el presunto responsable huyó del lugar a bordo de una bicicleta y hasta el momento prófugo de la justicia, mientras que las autoridades ministeriales continúan con las investigaciones pertinentes, apoyándose en material audiovisual para dar con su paradero.</t>
  </si>
  <si>
    <t>Ayer ocurrió un trágico accidente en la mina de San Juan Pachuca, donde murieron dos trabajadores por la caída de material. Según la Secretaría de Seguridad Pública, se recibió una llamada de emergencia informando que dos personas estaban atrapadas en la mina. Al llegar los equipos de rescate, encontraron los cuerpos de ambos trabajadores, uno de 25 años y el otro de 45 años. Ante esta situación, la Procuraduría General de Justicia ha comenzado una investigación del evento. Este accidente resalta la peligrosidad de trabajar en minas, como la histórica mina de San Juan Pachuca.</t>
  </si>
  <si>
    <t>Accidente en mina</t>
  </si>
  <si>
    <t>En la Feria San Francisco Pachuca 2026, dos funcionarios de la Secretaría de Educación Pública se pelearon al cierre del evento. La riña ocurrió el domingo por la noche en un bar, donde al parecer habían estado consumiendo alcohol. Aunque se desconoce quién inició la pelea, ambos decidieron resolver sus diferencias a golpes. Los videos del incidente y la prominencia de estos funcionarios, uno de los cuales es hermano del Subsecretario de Educación, han generado un gran revuelo en las redes sociales y los medios de comunicación. Sin embargo, hasta ahora no se ha informado si fueron detenidos o si enfrentarán alguna acción administrativa por su</t>
  </si>
  <si>
    <t>Funcionario ebrio</t>
  </si>
  <si>
    <t>Policía Estatal recupera tractocamión robado y detiene a un asaltante tras persecución en Emiliano Zapata</t>
  </si>
  <si>
    <t>Dos trabajadores de la mina de Loreto fallecieron luego de que una estructura y material cayeran sobre ellos y los aplastara, confirmaron autoridades del municipio de Pachuca. Autoridades confirmaron que en el accidente ocurrido durante la tarde del lunes 19 de octubre, los trabajadores quedaron atrapados bajo los escombros. Al sitio acudió personal de atención a emergencias para iniciar las labores de rescate de las personas; tras recuperar los cuerpos se realizó valoración de su estado físico, confirmando que ya no contaban con signos vitales. La Procuraduría General de Justicia del Estado de Hidalgo inició las investigaciones respectivas al caso, para conocer las circunstancias en las que se registró el accidente, así como las causas. Con ello se deslindarán las responsabilidades legales respectivas al caso. A su vez, la Secretaría del Trabajo y Previsión Social de Hidalgo dio a conocer que puso a su disposición, de manera gratuita, los servicios de asesoría y orientación de la Procuraduría Estatal de la Defensa del Trabajo, en caso de que requieran acompañamiento en materia laboral. La dependencia señala a través de un comunicado oficial que estableció comunicación con la representación en la entidad de la Secretaría del Trabajo y Previsión Social del Gobierno de México para atender el caso. La dependencia estatal señaló que, debido a las características del centro laboral y a las circunstancias del accidente, la atención del caso corresponde a las autoridades federales, conforme a las normativas legales vigentes. Se precisó que este apoyo busca brindar orientación a los familiares sobre los asuntos laborales que pudieran derivarse del accidente. Al tiempo, la dependencia estatal expresó su solidaridad con las familias de los trabajadores fallecidos ante el caso ocurrido en el inicio de esta semana.</t>
  </si>
  <si>
    <t>El cuerpo de una persona fue localizado la tarde del domingo 18 de octubre en las inmediaciones de las minas del Cerro del Judío, en los límites de Pachuca y San Agustín Tlaxiaca. Vecinos de la zona reportaron a instituciones de seguridad pública respecto al hallazgo del cuerpo de una persona flotando en una zona con agua acumulada por las recientes lluvias, en las faldas del cerro. Al sitio acudieron elementos de Protección Civil de ambos municipios, Policía Estatal, Bomberos de Hidalgo y personal de la Comisión de Búsqueda de Personas del Estado de Hidalgo, realizando labores para el rescate del cuerpo. De manera preliminar, se señaló que el cuerpo podría corresponder a J.C.G.C., un joven de 27 años con domicilio en Santiago Tlapacoya y quien contaba con una ficha de búsqueda. Sin embargo, hasta el momento, las autoridades no han confirmado oficialmente su identidad, así como la causa del fallecimiento. Autoridades ministeriales han iniciado investigación respecto al caso, para establecer lo ocurrido, así como las responsabilidades legales respectivas.</t>
  </si>
  <si>
    <t>Con un alto sentido de identidad y orgullo mexicano, la presidenta municipal, Lorena García Cázares, encabezó la ceremonia de izamiento de la bandera monumental en el parque recreativo Nicolás Bravo, en el marco de las Jornadas de Paz, un espacio que busca fortalecer la convivencia armónica, el respeto a los derechos y la participación social. La mañana tuvo un marcado carácter cívico. Mientras la bandera de ascendía para recuperar su lugar en lo más alto de Tulancingo, alumnas y alumnos de la Telesecundaria 390 participaron en los honores correspondientes. En su mensaje, la presidenta municipal, Lorena García Cázares, destacó que se trató de un lunes de sensibilidad y orgullo mexicano, y llamó a la ciudadanía a cuidar el espacio rehabilitado y hacerlo suyo. “La bandera es lo primero que se ve desde que se llega a Tulancingo; vamos tomando pertenencia e identidad”, expresó. La alcaldesa resaltó también que la unidad de la sociedad es fundamental para construir paz y convivencia, y afirmó que la bandera monumental estará bajo el resguardo de todas y todos. El momento central de la ceremonia fue acompañado por la entonación del Himno Nacional Mexicano, mientras que el alumno Camilo Pérez Gómez realizó el Juramento a la Bandera. Posteriormente, el Ensamble Veranda interpretó el Himno al Estado de Hidalgo, cuya letra fue escrita por el tulancinguense Roberto Oropeza Licona. La jornada continuó con diversas expresiones culturales, entre ellas, una danza representativa de Veracruz. El programa, coordinado por la Secretaría de Cultura, Educación, Deporte y Juventud, contó con la presencia del secretario general municipal, Edmundo Aguilar Aranda; el capitán Eduardo López León; Edgar Ulises García Herrera, de la Secretaría de Gobernación Federal; integrantes del Ayuntamiento; la presidenta del DIF Tulancingo, Jessica Garrido Cázares; autoridades educativas, docentes, estudiantes y padres de familia. En el marco de las Jornadas de Paz impulsadas por la SEDENA, también se instalaron módulos para socializar la labor que realiza esta institución y acercar información a la población. Durante el acto, se reconoció el acompañamiento de los enlaces vecinales de la zona rehabilitada y la presidenta municipal entregó un reconocimiento al profesor Víctor Malerva Cruz.</t>
  </si>
  <si>
    <t>Jornada por la paz</t>
  </si>
  <si>
    <t>Trabajadoras y trabajadores, así como las colaboradoras y colaboradores del gobierno municipal, quienes señalan que están teniendo pues problemas para que se les pueda atender en cuanto a sus demandas laborales, entre ellas prima la entrega de prima vacacional, horas extras, la entrega de uniformes, la homologación salarial y la destitución del director de Servicios Públicos, además de mejores condiciones, le comentaba hace un momento para trabajo y trato digno. Los empleados de distintas áreas municipales colocaron mantas y cartulinas en sus centros de trabajo para hacer públicas sus inconformidades y presionar a las autoridades municipales para que atiendan sus peticiones. Los primeros en sumarse a la protesta, como le comentaba hace un momento, fueron trabajadores de servicios públicos, lo que provocó la suspensión de las actividades de recolección de basura, luego de que los camiones recolectores permanecieran resguardados y sin salir a las calles. Debido a ello, diversas vialidades de Tepeji del Río comenzaron a presentar acumulación de residuos, basura pues, mientras continuaba la suspensión de actividades por el personal sindicalizado. Representantes sindicales iniciaron un diálogo con el secretario municipal, Félix Ángel García Clemente, con la intención de alcanzar acuerdos que permitieran resolver el conflicto.</t>
  </si>
  <si>
    <t>El retiro de cableado y luminarias en la zona del Estribo, sobre la carretera estatal Tenango-Metepec, fue reportado por el gobierno municipal de Tenango de Doria, que advirtió sobre las afectaciones que estos hechos generan en la infraestructura pública. De acuerdo con el Ayuntamiento, la sustracción de estos materiales no sólo representan un daño al patrimonio del municipio, sino que también pueden generar condiciones de riesgo para las personas que utilizan esta vía de comunicación al dejar sin funcionamiento parte del equipamiento que está destinado a la iluminación del tramo. Ante esta situación, las autoridades municipales pidieron a la población mantenerse atentas, reportar cualquier información relacionada con los hechos ante las instancias correspondientes con el objetivo de contribuir al esclarecimiento de los presuntos robos. El gobierno local señaló que las personas que se han identificadas como responsables podrían enfrentar consecuencias legales debido a que la sustracción de infraestructura pública puede constituir un delito y, dependiendo de las circunstancias, corresponder a instancias del ámbito federal. Finalmente, el Ayuntamiento llamó a la ciudadanía a participar en el cuidado de la infraestructura y espacios públicos al considerar que su conservación permite mantener servicios y condiciones de seguridad para las comunidades.</t>
  </si>
  <si>
    <t>Robo de infraestructura</t>
  </si>
  <si>
    <t>La plataforma Uber todavía no cuenta con autorización para prestar servicios de transporte en Pachuca, afirmó el gobernador de Hidalgo, Julio Menchaca Salazar. Advirtió que, si comienza a operar sin los permisos correspondientes, podría haber sanciones para quienes participen en la prestación de los viajes. En entrevista, el titular del Poder Ejecutivo del Estado de Hidalgo sostuvo que la legislación vigente aún no permite la operación de esta modalidad de transporte y señaló que, hasta el momento, la empresa no se ha acercado al gobierno estatal para dialogar sobre su posible incorporación. Menchaca Salazar indicó que las personas que decidan ofrecer viajes mediante la aplicación podrían enfrentar sanciones conforme a la ley. También mencionó posibles consecuencias legales por fraude, aunque precisó que corresponderá al Ministerio Público determinar si existe alguna conducta que deba investigarse. El gobernador reconoció que no descarta la posibilidad de ampliar las alternativas de movilidad para la población; sin embargo, reiteró que cualquier servicio deberá ajustarse a las disposiciones legales vigentes. Asimismo, hizo un llamado a quienes buscan obtener ingresos como conductores de la plataforma para que consideren las implicaciones de trabajar sin autorización. Añadió que el Gabinete de Seguridad definirá las acciones de supervisión para detectar la posible prestación de servicios mediante aplicaciones que no cuenten con los permisos correspondientes. Finalmente, Menchaca Salazar pidió evitar generalizaciones contra quienes trabajan en el transporte público y reconoció que existen operadores que cumplen con sus responsabilidades.</t>
  </si>
  <si>
    <t>Entre 10 a 12 meses deberán invertirse para la reconstrucción de algunos puentes cuya infraestructura resultó dañada, tanto por las lluvias registradas en octubre del año pasado, como por las que recientemente se han registrado. Pablo Octavio Olvera Sánchez, delegado en el Estado de Hidalgo de la Secretaría de Infraestructura, Comunicaciones y Transportes (SICT), informó lo anterior, señalando que las principales afectaciones se registran en las regiones Otomí-Tepehua, Sierra y Huasteca de Hidalgo. El funcionario federal explicó que, mientras avanzan los proyectos para la rehabilitación, reconstrucción o sustitución de los puentes dañados, se mantienen los trabajos para habilitar pasos provisionales que permitan conservar la comunicación entre las comunidades afectadas. En algunos casos, se trata de pasos de hasta metro y medio de diámetro, sobre los cuales se acondicionó una superficie para permitir el paso vehicular. Estas obras permitieron recuperar temporalmente la conectividad mientras se desarrollaban los estudios y proyectos técnicos necesarios para definir las intervenciones definitivas en cada estructura. Pero las recientes avenidas de agua han ocasionado daños en algunos de estos cruces, lo que obliga a ejecutar nuevas labores de reparación. Aclaró que como en el caso de otras dependencias involucradas en la atención de la contingencia, los trabajos están sujetos a las condiciones climatológicas y a los niveles de los afluentes. El titular de la SICT subrayó que la prioridad es mantener comunicadas a las localidades afectadas hasta que concluyan las obras permanentes. Los plazos de ejecución dependerán de las características técnicas de cada proyecto, así como de la evolución de las condiciones meteorológicas. Como referencia, mencionó el puente de Xicatlán, cuya construcción requiere un periodo estimado de entre 10 y 12 meses. El cumplimiento de ese plazo estará condicionado al comportamiento del clima y a la posibilidad de desarrollar los trabajos conforme al proyecto ejecutivo y las condiciones particulares del sitio. Olvera Sánchez señaló que los nuevos diseños de las estructuras incorporan modificaciones orientadas a reducir el riesgo de daños ante fenómenos hidrometeorológicos de magnitud similar a los registrados el año pasado. Como ejemplo, citó el proyecto del puente de Xochiatipan, que contempla una ampliación de 75 metros hacia uno de sus lados y de 25 metros hacia el otro, con el objetivo de mejorar la capacidad de la estructura y evitar afectaciones como las que sufrió el puente anterior.</t>
  </si>
  <si>
    <t>Huracán Priscilla</t>
  </si>
  <si>
    <t>Hasta el momento, se ha finalizado 45 de las 213 obras de reconstrucción de infraestructura dañada por la vaguada monzónica registrada en octubre del año pasado en varios municipios del Estado de Hidalgo. El dato fue ofrecido por Alejandro Sánchez García, titular de la Secretaría de Infraestructura Pública y Desarrollo Urbano Sostenible en el Estado de Hidalgo (Sipdus), en el marco de su comparecencia ante legisladores del Congreso estatal, realizada este lunes 19 de octubre. La cifra de obras concretadas representa el 21 por ciento del total de las establecidas; el funcionario señaló que el avance total de dichas obras para resarcir los daños, alcanza el 58 por ciento. Las 45 obras concluidas contaron con una inversión global por 491 millones de pesos, mientras que otras 82 se encuentran en ejecución, con un monto asignado por 868 millones. Además, otras 55 obras están en proceso de contratación, por 454 millones; y 31 en validación, con inversión por 348 millones. En total, se contempla una inversión de 2 mil 164 millones de pesos para 213 obras a desarrollarse en los municipios con mayores afectaciones, producto de las torrenciales lluvias registradas en el mes de octubre del año pasado. En el caso del Estado de Hidalgo, la vaguada monzónica provocó 675 derrumbes y 158 deslaves en 28 de los 84 municipios de Hidalgo. Además, dejó incomunicadas 236 comunidades, dañó 50 puentes, inutilizó 190 sistemas de agua y drenaje y ocasionó el bloqueo de 359 caminos. Veracruz, San Luis Potosí y Querétaro, son otras entidades del país afectadas por las torrenciales lluvias registradas en octubre del año pasado. Cabe señalar que previamente la titular de la Secretaría de Hacienda en Hidalgo, Esther Ramírez Vargas, informó en su respectiva comparecencia que se tienen considerados dos mil 400 millones de pesos para atender la rehabilitación de infraestructura dañada por la vaguada del 2025.Consultar atlas Sobre la diferencia de 236 millones de pesos, el titular de la Sipdus, señaló que corresponde a obras a cargo del Instituto de Infraestructura Física Educativa y a infraestructura de agua potable reportada por los municipios. Por otra parte, el funcionario calificó como histórica la inversión de 25 mil millones de pesos destinada a infraestructura pública durante la administración. Entre los resultados, destacó el mejoramiento de 847 kilómetros de caminos rurales en 33 municipios y 118 localidades. Asimismo, indicó que, con una inversión superior a los 3 mil 46 millones de pesos, se atendieron vialidades urbanas en 71 municipios, con la construcción, ampliación y mejoramiento de más de 269 kilómetros de calles, avenidas, bulevares, guarniciones y banquetas. En materia de agua potable, informó una inversión de más de 5 mil 239 millones de pesos para construir y mejorar pozos, líneas de conducción y redes de distribución en 68 municipios, además, destacó 6 mil 616 millones de pesos para rescatar y modernizar 329 espacios públicos. Respecto al saneamiento, el secretario reportó la construcción de 37 plantas de tratamiento de aguas residuales en 20 municipios, lo que permitió alcanzar una cobertura estatal del 32 por ciento.</t>
  </si>
  <si>
    <t>Abrimos con dos temas de seguridad pública esta mañana: eh el asunto ocurrido el día de ayer en Media Sierras y la cuestión la advertencia que hace la diputada Yarabi González en el caso de la Sierra Otomí-Tepehua y concretamente de Acaxochitlán. Y me parece muy pertinente compartir esta reflexión completísima, muy concreta respecto a los temas de seguridad. Señalan que en materia de seguridad la preocupación que hoy compartimos no es exclusiva de nuestro municipio, es una realidad que se vive a nivel estatal y nacional. Cuando la mayoría de los ciudadanos coincidimos en que la estrategia de seguridad no está funcionando, difícilmente podemos estar equivocados. Hace algunos meses el señor gobernador afirmó que Hidalgo era tan seguro que hasta los delincuentes venían a vivir aquí. -Que hacían operaciones, ¿eh? Recuerdo más o menos las declaraciones del gobernador que se parecían delicadas-. Con todo respeto, la realidad que vivimos día a día demuestra lo contrario. Lo que hemos visto en el crecimiento y el arraigo de la delincuencia en nuestro estado. Un problema que no solo obedece a una estrategia de seguridad insuficiente, sino también a la falta de empleo, de oportunidades y de un diagnóstico honesto de la realidad. Ante esto, es momento que como ciudadanos asumamos una postura activa, reflexiva y responsable. Hablamos de niños desaparecidos, de jóvenes y de trabajadores que no regresan a casa, de personas que pierden la vida en su propio centro de trabajo. Es evidente que la situación ha rebasado a las autoridades. Por ello es indispensable que actuemos como sociedad con unidad y exigencia, pero también con propuesta. Gracias, me parece importante y pertinente ante la realidad que estamos viviendo.</t>
  </si>
  <si>
    <t>Estrategia de seguridad</t>
  </si>
  <si>
    <t>Vía telefónica Luz Ortiz, vecina de Acatlán señala que luego de 12 años están arreglando la entrada al lugar, pero el camino alterno de Acatlán hacia Totopan frente a la secundaria tiene cráteres, por lo que pide a la presidencia municipal habilite un camino transitable, porque este está horrible. Asimismo, pide seguridad en este tramo porque, por la noche está muy propenso a asaltos.</t>
  </si>
  <si>
    <t>Vialidad En Mal Estado</t>
  </si>
  <si>
    <t>Con la asistencia de aproximadamente mil supervisores, docentes, madres, padres de familia y personas tutoras de escuelas de educación básica de las 12 regiones de la entidad, el secretario de Educación Pública de Hidalgo, Natividad Castrejón Valdez, impartió la conferencia magistral "El papel de las madres, padres, personas y tutoras también con formación de las infancias". Durante este mensaje, el titular de la SEP Hidalgo destacó que desde el inicio de la administración del gobernador Julio Menchaca Salazar, la atención integral a la comunidad escolar ha sido una prioridad, esto como parte de estos esfuerzos y de hecho sí señaló también la creación de la Dirección General de Acompañamiento Socioemocional y Educativo, instancia pues concebida para brindar herramientas y estrategia también pues a las familias y también a las instituciones educativas que contribuyan al desarrollo integral de las y los estudiantes. Y pues en la conferencia en Actividad Castrejón abordó la importancia pues de atender las necesidades fundamentales de las niñas y los niños, entre ellas pues el afecto, el tiempo también de calidad, el acceso a información adecuada y también las condiciones materiales indispensables para el crecimiento digno. De hecho y así mismo hizo un llamado también a madres y a padres de familia para poder mantener una escuela activa con sus hijas, con sus hijos, acompañar, acompañarlos de manera cercana a las distintas etapas de su vida y permanecer también atentos pues a sus emociones y cambios de conducta. De hecho, subrayó que el entorno familiar constituye también la primera red de apoyo y aprendizaje para las niñas. Y pues en el encuentro estuvieron presentes el titular de la oficina de enlace educativo del Gobierno de México en Hidalgo, José Nereo Olguín Moreno, el subsecretario de educación media superior y superior Daniel Fragoso Torres, entre otros funcionarios también. Pero bien, de esa manera es como Natividad Castrejón destaca el papel de las familias en la formación de niñas y niños.</t>
  </si>
  <si>
    <t>Daniel Martínez: Bueno, pues yo creo que tiene que ser una revisada de las estrategias en materia de prevención, sobre todo de prevención del delito y cuando sea necesario de atención. ¿Botón de muestra? ¿Qué tanto han funcionado los patrullajes, no? Con ese incremento de más del doble del registro de robo de vehículos automotores en Acaxochitlán, 130.3% de aumento entre el 2025 al comparativo de lo que va del presente 2026, 130%. Y la ubicación que señala con preocupación la diputada Yarabi González, la ubicación geográfica de Acaxochitlán que permite el paso de personas que están dedicadas a hechos delictivos, sobre todo provenientes de Cuautepec o hacia Cuautepec y provenientes del estado de Puebla o hacia el estado de Puebla. Bueno, estamos haciendo patrullajes. Bueno, creo que hay que revisar la estrategia de vigilancia y prevención del delito.</t>
  </si>
  <si>
    <t>Debido a su colindancia con el municipio de Cuautepec, así como con municipios del Estado de Puebla, Acaxochitlán enfrenta inseguridad, debido a que su ubicación geográfica es estratégica para grupos delincuenciales. Lo anterior fue planteado por Yarabi González Martínez, diputada por el distrito IX local, con cabecera en Metepec, durante la comparecencia, la semana pasada, de Salvador Cruz Neri, titular de la Secretaría de Seguridad Pública de Hidalgo (SSH). Señaló que de acuerdo con el Secretariado Ejecutivo del Sistema Nacional de Seguridad Pública (SESNSP), este año Acaxochitlán registró 76 carpetas de investigación por robo de vehículo. La cantidad significa un aumento del 130.3 por ciento en este tipo de delito, en el comparativo con el año anterior. A ello se agregan 76 76 denuncias ante el Ministerio Público por violencia familiar y nueve más por narcomenudeo. Uno de los asuntos más graves que se registraron en la demarcación, ocurrió el pasado 20 de febrero de este año, cuando fueron localizados dos cuerpos sin vida en un camino que comunica con el Estado de Puebla. De acuerdo a reportes de la misma SSPH, las víctimas habrían fallecido fuera de Hidalgo y sus cadáveres fueron abandonados en ese sitio, recordó González Martínez. “También se detectaron 439 tomas de hidrocarburo en el municipio Cuautepec de Hinojosa y ha habido algunos enfrentamientos en comunidades de Acaxochitlán, como Santiago Tepepa”, refirió la legisladora del Congreso del Estado de Hidalgo. Dijo entender las dificultades que enfrentan las autoridades de los tres niveles de gobierno por ser una zona que registra marcada incidencia de delitos de alto impacto. Por lo que durante la comparecencia de Cruz Neri, le solicitó que citara las acciones específicas están implementado para reforzar su vigilancia, así como un análisis de las zonas dentro de Acaxochitlán con mayor incidencia delictiva. Al respecto, el mando policiaco estatal dijo que existe patrullaje constante dentro del municipio por parte de elementos de la SSPH, lo que se refleja en el aseguramiento de vehículos automotores, así como de madera sustraída por tala clandestina. “Los patrullajes que tenemos en los límites con esta entidad (Puebla) han funcionado, pero estamos pendientes para atender cualquier situación”, enfatizó Cruz Neri.</t>
  </si>
  <si>
    <t>Daniel Martínez: comentan que qué onda este con gobierno del estado de Hidalgo, ¿qué es lo que está haciendo falta para que se permita la entrada de servicio de plataformas de transporte de pasajeros, sobre todo lo que se refiere a la modalidad taxis? Cito textual, "El lema del gobierno del estado es primero el pueblo, pero no permite que dicho pueblo elija en qué transportarse. Deben hacer una consulta para que los pobladores de Pachuca decidan si quieren o no los servicios de taxis de aplicación".</t>
  </si>
  <si>
    <t>La Secretaría de Educación Pública de Hidalgo (SEPH) expresó sus condolencias por el homicidio de un trabajador adscrito a la Subsecretaría de Servicios Regionales de Educación en Tulancingo, quien perdió la vida tras un ataque con arma de fuego registrado la mañana de este lunes, en el exterior de las oficinas de la dependencia. A través de un comunicado, la SEPH informó que brinda acompañamiento institucional a los familiares, amistades y compañeros de trabajo de la víctima, además de señalar que colabora con las autoridades competentes en las investigaciones correspondientes. De acuerdo con los reportes preliminares, el trabajador fue agredido a balazos en las inmediaciones del inmueble, ubicado en la colonia La Herradura. Tras el reporte de la agresión, elementos de seguridad y cuerpos de emergencia acudieron al lugar; sin embargo, la persona ya no contaba con signos vitales. Las autoridades ministeriales realizan las diligencias correspondientes para esclarecer los hechos e identificar a los responsables. Hasta el momento, no se han dado a conocer mayores detalles sobre el móvil del ataque.</t>
  </si>
  <si>
    <t>Condolencias</t>
  </si>
  <si>
    <t>Hombre muere tras ataque armado frente a Servicios Regionales en Tulancingo. Un hombre de 61 años perdió la vida la mañana de este lunes 19 de octubre, luego de ser atacado con arma de fuego en las inmediaciones de las oficinas de Servicios Regionales de Educación, ubicadas en la colonia Plan de Ayala, en Tulancingo. La víctima, identificada preliminarmente con las iniciales G. H., se encontraba en una de las oficinas cuando fue agredida. Al lugar acudieron elementos de Bomberos y Protección Civil, quienes confirmaron que ya no contaba con signos vitales. De acuerdo con los primeros reportes, el hombre presentaba al menos dos heridas por proyectil de arma de fuego, una en el hombro derecho y otra en el cuello. Testigos señalaron que el presunto responsable habría llegado en bicicleta y escapado tras la agresión con dirección a la carretera hacia Medias Tierras. Ante estos hechos, corporaciones de seguridad de Tulancingo y Santiago Tulantepec desplegaron un operativo para tratar de localizarlo. La zona fue acordonada por elementos de la Policía Municipal, en espera del personal ministerial que realizaría las diligencias correspondientes para esclarecer lo ocurrido.</t>
  </si>
  <si>
    <t>Tulancingo forma parte de los municipios de Hidalgo que aparecen en el registro nacional de emergencias ambientales relacionadas con sustancias peligrosas, con dos incidentes documentados en los últimos años, uno ocurrido en 2024 y otro en 2025. De acuerdo con el Programa Nacional de Remediación de Sitios Contaminados 2026-2030, elaborado por la Secretaría de Medio Ambiente y Recursos Naturales (Semarnat), ambos casos estuvieron relacionados con el transporte de hidrocarburos. El primero fue atribuido a Especialíquidos, S.A. de C.V., mientras que el segundo corresponde a Transportes Arlequín, S.A. de C.V. Los registros de Tulancingo forman parte de un total de 19 emergencias ambientales identificadas en Hidalgo. De ellas, 18 corresponden a derrames de hidrocarburos y una a sustancias ácidas. El inventario contempla incidentes ocurridos en nueve municipios de la entidad y también incluye accidentes relacionados con Petróleos Mexicanos. Entre los casos atribuidos a Pemex se encuentran los registrados en Huichapan en 2012; Chapantongo en 2014; Tepeji del Río y Tula de Allende en 2010; Tetepango en 2013; Epazoyucan en 2011; Ajacuba en 2008 y 2015; Cuautepec de Hinojosa en 2012, y San Agustín Tlaxiaca, con tres incidentes ocurridos en 2008, 2012 y 2013. Además, el registro contempla un derrame ocurrido en Villa de Tezontepec en 2014, atribuido a Especialíquidos, S.A. de C.V.; otro en Tepeapulco durante 2017, relacionado con Alstom Ferroviaria México, S.A. de C.V., y uno más en Tizayuca en 2024, atribuido a Javier Cantú Barragán. El único incidente identificado en Hidalgo por derrame de ácidos ocurrió en 2011 y fue atribuido a Transportes Corcuera, S.A. de C.V. El documento establece que estos antecedentes forman parte de un problema ambiental que alcanza a todo el país. Hasta diciembre de 2025 se contabilizaban mil 114 sitios contaminados en México, de los cuales 953 se encontraban en áreas rurales y 161 en zonas urbanas. Los hidrocarburos representan el principal contaminante identificado, al estar relacionados con mil 15 de esos sitios. También se registraron afectaciones por metales y metaloides, mezclas de contaminantes, ácidos y bases, solventes orgánicos, plaguicidas, bifenilos policlorados y otras sustancias. En cuanto a los trabajos de saneamiento, el programa reporta mil 249 sitios remediados a nivel nacional hasta diciembre de 2025. En Hidalgo se contabilizan 32 sitios que ya fueron sometidos a procesos de remediación, principalmente por derrames. Sin embargo, el documento no especifica si los 19 sitios de emergencia ambiental registrados en Hidalgo ya fueron saneados en su totalidad o cuántos de ellos permanecen pendientes de atención. A nivel nacional, las cuencas de los ríos Atoyac, Santiago-Lerma y Tula son señaladas entre las zonas con mayor concentración de sitios contaminados, con al menos 90 puntos registrados en conjunto.</t>
  </si>
  <si>
    <t>Contaminación ambiental</t>
  </si>
  <si>
    <t>El gobernador tiene un evento en Pachuca a la 1 de la tarde junto con Pemex hará entrega de equipamiento para fortalecer la infraestructura pública, esto se realizará en las instalaciones de la Comisión de Agua, Alcantarillado y Sistemas Intermunicipales (Caasim).</t>
  </si>
  <si>
    <t>Infraestructura Hidráulica</t>
  </si>
  <si>
    <t>En unos momentos más se llevarán a cabo las diferentes comparecencias por parte del secretario de Educación Pública, Natividad Castrejón. Esto será a las 10 de la mañana y horas más tarde el maestro Onésimo Serrano Rivera de la Secretaría de Planeación a las 4 de la tarde.</t>
  </si>
  <si>
    <t>Concluye sin incidentes Feria de San Francisco Pachuca 2026</t>
  </si>
  <si>
    <t>Reunión Gabinete De Seguridad</t>
  </si>
  <si>
    <t>Radioescucha: "Aquí en Huejutla circulan varias unidades de taxis piratas autorizadas por el mismo coordinador del transporte, Omar. Se observan que usan las mismas placas en diferentes carros, lo que hacen poner es solamente una placa en cada carro". Andrés Torres comenta que lamentablemente es muy común que haya transporte público "pirata".</t>
  </si>
  <si>
    <t>Transporte pirata</t>
  </si>
  <si>
    <t>Andrés Torres en respuesta al radioescucha Lorenzo Cruz, quien señala que Uber ha llegado a Pachuca, pero sostiene que esto no es legal en el estado de Hidalgo y que como concesionarios de taxi ellos pagan impuestos. Andrés Torres responde que tiene razón, señalando que Uber no ha entrado a Pachuca, sino que han identificado algunos vehículos de Uber que estaban circulando. El gobernador Julio Menchaca declaró que no hay permisos o concesiones para Uber en el estado, y que los vehículos de esta plataforma serán sancionados. Según el gobernador y la Secretaría del Transporte, cualquier vehículo que preste servicio de Uber en Hidalgo será detenido y multado. Aunque algunos vehículos están circulando sin permiso, al ser ubicados, pueden enfrentar el decomiso del auto y multas. La declaración del gobernador es clara: Uber no está autorizado para operar en territorio hidalguense. Esto ha sido motivado por la aparición de vehículos de Uber en la zona, lo que llevó a la necesidad de una respuesta contundente del gobierno estatal. En resumen, Uber no tiene autorización para funcionar en Hidalgo y cualquier infracción será sancionada.</t>
  </si>
  <si>
    <t>En respuesta al radioescucha Roberto Pérez quien dice que en Tezontepec de Aldama hay funcionarios que están inscritos como coordinadores de Morena, pero que aún no han renunciado a sus puestos, lo cual es obligatorio según la convocatoria. Andrés Torres menciona que es difícil obtener los nombres de esas personas. Ayer, intentó hacer un listado con Los Hijos del Pueblo, pero no fue posible debido a que en cada lugar hay alguien inscrito en las convocatorias de Morena, ya sea para las coordinaciones distritales federales o municipales. Resalta que solo la Comisión Nacional de Elecciones tiene la lista de inscriptos, y ni siquiera en la oficina estatal de Morena en Hidalgo tienen acceso a esta información. Esto plantea un problema para supervisar y confirmar si los registrados han renunciado a sus cargos públicos o han solicitado licencia si son de elección popular. Andrés Torres pide que si alguien tiene información sobre estos funcionarios, como Roberto Pérez, que lo dé a conocer. No es una denuncia, sino un anuncio. Menciona a algunas personas como Hilda Miranda, Daniela Andrade y Ricardo Crespo, quienes han hecho público su registro y están esperando el plazo para solicitar licencia a sus cargos. También invita a que se mencione a otros posibles inscriptos.</t>
  </si>
  <si>
    <t>En respuesta al radioescucha Pedro Estrada que menciona que los regidores en el estado temen que su figura desaparezca, lo que ha llevado a no aprobar la reforma al artículo 141. Andrés Torres aclara que la reforma no busca eliminar a los regidores, sino más bien hacer que trabajen más y estén más supervisados. Reconoce que hay una molestia legítima entre ellos, pero destaca que la iniciativa busca que se involucren en su labor. Torres señala que existe un estigma sobre los regidores, ya que muchos parecen solo cobrar sin realizar un verdadero trabajo. Comenta que si los regidores no se organizan y no responden a la reforma, esta no avanzará. Les insta a informarse, organizarse y participar para asegurar que la reforma no se implemente. Además, menciona que algunos regidores han presentado informes de actividades que son solo listas de asistencia, sin propuestas o acciones concretas para mejorar sus municipios. Enfatiza que hay posturas diferentes sobre el asunto, pero resalta que si los regidores realmente se comprometen y trabajan, la reforma no será necesaria. Si la reforma se aprueba, los regidores no podrán culpar al Congreso, pues será el resultado de su falta de compromiso y participación. También hace hincapié en que el Congreso ha solicitado informes de actividad, y la respuesta de algunos regidores ha sido muy escasa, enfocándose únicamente en su asistencia a las sesiones del cabildo, sin incluir otras acciones significativas. Se espera que los regidores dejen de lado el estigma y tomen en serio su responsabilidad, para así demostrar su valor y contrarrestar la reforma.</t>
  </si>
  <si>
    <t>Fuera del aire de la Emisión de Vocales Radio, Andrés Torres emitió el siguiente comentario: El otro día vino aquí, dice que a grabar y no tiene ni idea ni dónde se prenden las cosas. Había que grabar un texto. No lo leo, yo lo leo. Somos locutores, no lectores. ¿No? Este, piensa que cualquiera puede pasar, ¿no? Este, no sabe impostar la voz, ¿no? No sabe hacer pausas, ¿no? ¿Aquí cuántas veces yo hago pausa y Aldo me se adelanta? Yo así estamos haciendo la pausa. No, pues no. No, no tiene ni idea, no, no tiene ni idea. No, no, ahorita yo Ese día mejor lo despaché, "Ay, mira, vete a chayotear para allá con la secretaria", "Mire, déjeme trabajar", ¿no? Pues es lo que hace, ¿no? Chayotear a todos los secretarios, despide a todos. E inmediatamente Napoleón me dijo, "Ya está" ¿No? Todos, a todos despide. ¿No? Se estaban quejando también los de Coespo, ¿no? Que no les este que no les quisieran hacer su programa de televisión, ¿no? ¿Qué les pidieron? Sí, imagínate. Es un tema bien interesante, chayotear dentro del gobierno, o sea, ¿eres parte del gobierno y chayotear dentro del gobierno? Así le hacía también Alan, Alan también les pedía. Una vez Natividad Castrejón nos dijo que le pidió 2,000 pesos, ¿ah? Aquí en entrevista, aquí en entrevista nos dijo, "Alan me pidió 2,000 pesos." Está grabado, güey, viendo el programa. Este señor le pidió que dos plazas, ¿no? A dos plazas a la Secretaría de Turismo, ¿no? Barrera le pidió dos plazas para sus hijos de para los hijos de sus directores. Napo también En la junta con el gobernador, lo único que pidió fue que su carro tuviera llanta de refacción porque su carro no tenía llanta de refacción. ¿Qué necesitas? Y ahí sí, no se fue, no se fue de gobierno ese día hasta que le dieron un vehículo. No fuera para trabajar, porque entonces ni se presenta, ¿no? No me voy hasta que me den mi vehículo con mi llanta de refacción. Qué lado, ¿no? Pero bueno, es lo que de verdad es lo que también uno dice, "Ahí está." Cuando dicen, "No puedes exigir." Pues, ¿qué puedes esperar? ¿Qué puedes esperar de alguien que siempre se ha dedicado a engañar? ¿No? El tipo no sabe nada de medios de comunicación, es evidente, ¿no? Como ya no puede ir al área académica, porque está vetado en todas las escuelas por acosador sexual. Fue expulsado de las áreas por acosador sexual, todos los maestros te lo dicen. En la universidad también salió por acoso sexual. En todas las escuelas ha tenido problemas, en todas las escuelas donde va a pedir pidió trabajo en el Tec de Monterrey también ya me lo confirmaron. Ni siquiera lo recibieron. ¿No? Entonces, al verse vetado de la del mundo académico, pues se tuvo que meter a hacer TikToks, ¿no? Y luego ya se dijo periodista.</t>
  </si>
  <si>
    <t>La Voz de la Sierra Gorda en Jacala de Ledezma sigue fuera del aire en la frecuencia 91.1, y no hay soluciones a la vista. La administración enfrenta problemas financieros, no pueden manejar 10 millones de pesos y les han devuelto documentación para justificar gastos. No les cuadran las cuentas a pesar de que falsifican facturas, documentos y firmas. De hecho, se perdieron más de 14 millones de pesos, que fueron autorizados por el Congreso en 2026 para instalar dos nuevas estaciones de radio, una en Pachuca y otra en Tenango de Doria. Este dinero está en el aire y se desconoce su paradero. Aunque estaba presupuestado y aprobado, nadie sabe si se devolvió o se ejerció. Esto impide la apertura de las estaciones programadas para 2026. Andrés Torres asevera que tendrían que comparecer los responsables de estos temas, por ejemplo, porque también en los temas de comunicación se gasta muchísimo, muchísimo dinero y nadie da razón de ello. "En lugar de pedir vales de gasolina, lugares de estacionamiento, hagan fiestas para festejarse entre ellos y festinarse sus burradas, mejor se pongan a trabajar, ¿no? Mejor aprendan cuáles son los lineamientos eh oficiales del gobierno del estado de los diferentes programas que maneja la Secretaría de Hacienda, la Unidad de Planeación y Prospectiva, la propia Secretaría de Gobierno, ni qué decir de por ejemplo otras áreas como la Oficialía Mayor porque todas en todas están reprobados. Y bueno pues mejor en lugar de estarle haciendo al canelas, ¿no?, en lugar de torcer la boca y estar enojados y levantar actas de abandono de empleo y abrir y levantar este todos los días falsos en contra de los trabajadores, ¿no? Porque ya no pueden de demandas, eso sí, ¿eh? Ya tienen muchas demandas ante la Procuraduría General de Justicia del Estado de Hidalgo, ¿no? Ya no es ya no es nada más demandas laborales, ya son demandas que van a otro tipo de nivel. Pero ellos siguen diciendo que los de radio somos los malos."</t>
  </si>
  <si>
    <t>Subejercicio</t>
  </si>
  <si>
    <t>Nos preguntaron sobre la estación de radio en Tula. En noviembre de 2022, cerraron 11 estaciones del Sistema Estatal de Radio, incluida la de Tula. No hay planes ni intención de recuperar las transmisiones o contratar una licencia para esa región. Es una pena, pero este problema es resultado de las decisiones de administraciones pasadas que ignoraron las necesidades de las estaciones de radio, lo que llevó a perder las concesiones.</t>
  </si>
  <si>
    <t>Todo indica que se solucionará finalmente las protestas del personal del Instituto Mexicano del Seguro Social (IMSS) en el país. La presidenta Claudia Sheinbaum, en su discurso reciente desde el sureste mexicano, reconoció que existen demandas legítimas relacionadas con el IMSS-Bienestar, a diferencia de lo que había afirmado anteriormente sobre la salud en México. Sheinbaum mencionó que habló con Zoé Robledo, el encargado del IMSS Bienestar, y le ordenó solucionar estos problemas. También admitió que hay médicos contratados durante la pandemia que aún enfrentan dificultades y que es necesario abordar esto. Además, la presidenta identificó un problema interno en el IMSS respecto a la distribución de medicamentos y otros insumos médicos y solicitó a Robledo que resuelva esta situación con urgencia, debido a las quejas de la población sobre la falta de medicamentos. A pesar de que le costó admitir estas cuestiones, este reconocimiento es considerado un gran avance y demuestra la voluntad de resolver los asuntos. Se espera que, pronto, las inquietudes y protestas sean atendidas y superadas.</t>
  </si>
  <si>
    <t>SEMOTH procederá conforme a derecho ante la operación de transporte sin autorización en Hidalgo</t>
  </si>
  <si>
    <t>El gobernador fue cuestionado por la prensa sobre los autos de alquiler, conocidos como Uber. Mencionó que hay una invasión de vehículos de esta plataforma en el estado. El gobernador afirmó que estos vehículos no cuentan con permisos y están operando fuera de la ley. También indicó que, por esta razón, podrían ser sancionados. La Secretaría de Transporte emitió un boletín sobre este tema.</t>
  </si>
  <si>
    <t>Algunos diputados han enviado su informe de labores, pero hay preocupaciones sobre la transparencia de estos informes, que a menudo son solo libros con fotos y actividades superficiales. Aldo Falcón sugiere que los diputados deben hacer públicos sus informes y no limitarse a una simple presentación de actividades. Hablan sobre la polémica relacionada con una reforma que afecta al alcalde, diciendo que según el artículo 141 de la Constitución del Estado, el alcalde no puede actuar sin la aprobación del Cabildo. Aclaran que requiere dos terceras partes de la aprobación del Cabildo para decisiones importantes como el endeudamiento y proyectos de obras, que también deben ser validados por el Congreso y la Secretaría de Infraestructura. Andrés Torres menciona la necesidad de un ejercicio parlamentario abierto donde se consulte a colegios y regidores para evitar controversias y versiones contrapuestas. Hay un grupo de regidores de distintos partidos que están generando más ruido que la Asociación de Alcaldes de Hidalgo, que ya tiene dos años. Señalan que la iniciativa podría haber sido analizada mejor, ya que en Pachuca fue aprobada pero en San Salvador fue rechazada. Esto muestra la falta de trabajo colaborativo necesario para evitar conflictos. Opinan sobre la importancia de la rendición de cuentas y la transparencia tanto en el poder legislativo como en el ejecutivo, señalando que ambos deben cumplir con su deber de informar al público. Se menciona un comentario que hizo una diputada local a Clara Brugada sobre que no se trata de aplaudir, sino de un ejercicio colectivo donde ambos poderes deben ser responsables ante la ciudadanía. Resaltan que el trabajo en las comparecencias y la comunicación efectiva entre los dos poderes es esencial para lograr mayor claridad y entendimiento en la gestión pública.</t>
  </si>
  <si>
    <t>Ayer, temprano en la mañana, un funcionario de la Secretaría de Educación Pública en Tulancingo fue asesinado a tiros por una persona que se acercó mientras viajaba en bicicleta. El incidente ocurrió en las instalaciones de la SEPH, donde el agresor disparó al menos dos veces, causando la muerte del funcionario. La Secretaría emitió un comunicado confirmando lo sucedido y aclarando que las autoridades de la Procuraduría General de Justicia y de Seguridad Pública son responsables de investigar el caso. El funcionario tenía 67 años. Después del ataque, el presunto homicida huyó en bicicleta, lo que llevó a las autoridades a implementar un operativo de búsqueda, pero hasta el momento no han logrado localizarlo. Se informó que el agresor se dirigió hacia una comunidad cercana, Medias Tierras, en Cuautepec. Pese a los esfuerzos de los efectivos de seguridad, no se ha encontrado al sospechoso. Este trágico hecho fue notificado poco después de que terminara el programa Las Vocales Radio. La comunidad se encuentra conmocionada por el asesinato del funcionario en un espacio tan público y se espera que las investigaciones avancen para dar con el responsable.</t>
  </si>
  <si>
    <t>Hay una campaña de vacunación invernal que comenzó el pasado lunes, patrocinada por la Secretaría de Salud del estado. Se dispone de más de 1,500,000 dosis gratuitas. Los grupos prioritarios son niños menores de 5 años, adultos mayores y personas con enfermedades crónico-degenerativas. Sin embargo, se recomienda que todas las personas se vacunen, ya sea contra el COVID o contra la influenza estacional.</t>
  </si>
  <si>
    <t>La Subsecretaría de Protección Civil del Gobierno del Estado de Hidalgo ha confirmado que las lluvias continuarán en el este del estado, especialmente en la región Otomí-Tepehua y en la Sierra, incluyendo San Bartolo Tutotepec y Tenango de Doria. También se espera un descenso importante de temperaturas en la mayoría del estado, con registros de hasta 4 grados en algunas áreas, y entre 6 y 8 grados en Pachuca esta mañana. Se recomienda a la población abrigarse bien y prepararse, ya que este descenso de temperaturas continuara hasta febrero. Actualmente, se están sintiendo los efectos del segundo frente frío que afecta al país, lo que ha llevado a una marcada disminución de la temperatura. La Subsecretaría de Protección Civil, informa sobre el pronóstico para el 20 de octubre de 2026. Se esperan chubascos de 5 a 25 mm, sobre todo en el este de Hidalgo, con temperaturas entre 0 y 5 grados. También se pronostican vientos de 10 a 20 km por hora, con rachas de 30 a 50 km por 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</si>
</sst>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28" tableType="queryTable" totalsRowShown="0">
  <autoFilter ref="A1:M128"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28"/>
  <sheetViews>
    <sheetView tabSelected="1" workbookViewId="0">
      <selection activeCell="A2" sqref="A2"/>
    </sheetView>
  </sheetViews>
  <sheetFormatPr baseColWidth="10" defaultRowHeight="15" x14ac:dyDescent="0.25"/>
  <cols>
    <col min="1" max="1" width="8.5703125" bestFit="1" customWidth="1"/>
    <col min="2" max="2" width="11.42578125" bestFit="1" customWidth="1"/>
    <col min="3" max="3" width="18" bestFit="1" customWidth="1"/>
    <col min="4" max="4" width="21.7109375" bestFit="1" customWidth="1"/>
    <col min="5" max="5" width="81.140625" bestFit="1" customWidth="1"/>
    <col min="6" max="6" width="15.28515625" bestFit="1" customWidth="1"/>
    <col min="7" max="7" width="35.7109375" bestFit="1" customWidth="1"/>
    <col min="8" max="9" width="12.42578125" bestFit="1" customWidth="1"/>
    <col min="10" max="10" width="25.7109375" bestFit="1" customWidth="1"/>
    <col min="11" max="11" width="31"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12</v>
      </c>
      <c r="C1" t="s">
        <v>13</v>
      </c>
      <c r="D1" t="s">
        <v>14</v>
      </c>
      <c r="E1" t="s">
        <v>1</v>
      </c>
      <c r="F1" t="s">
        <v>2</v>
      </c>
      <c r="G1" t="s">
        <v>4</v>
      </c>
      <c r="H1" t="s">
        <v>3</v>
      </c>
      <c r="I1" t="s">
        <v>5</v>
      </c>
      <c r="J1" t="s">
        <v>15</v>
      </c>
      <c r="K1" t="s">
        <v>16</v>
      </c>
      <c r="L1" t="s">
        <v>17</v>
      </c>
      <c r="M1" t="s">
        <v>22</v>
      </c>
    </row>
    <row r="2" spans="1:13" x14ac:dyDescent="0.25">
      <c r="A2" s="2">
        <v>46314</v>
      </c>
      <c r="B2" s="1" t="str">
        <f ca="1">IF(Información1[[#This Row],[Fecha]]='Ajuste de fechas'!$A$2,"Día actual","Día anterior")</f>
        <v>Día anterior</v>
      </c>
      <c r="C2" t="s">
        <v>29</v>
      </c>
      <c r="D2" t="s">
        <v>34</v>
      </c>
      <c r="E2" t="s">
        <v>90</v>
      </c>
      <c r="F2" t="s">
        <v>59</v>
      </c>
      <c r="G2" t="s">
        <v>91</v>
      </c>
      <c r="H2" t="s">
        <v>28</v>
      </c>
      <c r="I2" t="s">
        <v>7</v>
      </c>
      <c r="J2" t="s">
        <v>60</v>
      </c>
      <c r="K2" t="s">
        <v>31</v>
      </c>
      <c r="L2" t="s">
        <v>19</v>
      </c>
      <c r="M2">
        <v>1</v>
      </c>
    </row>
    <row r="3" spans="1:13" x14ac:dyDescent="0.25">
      <c r="A3" s="2">
        <v>46314</v>
      </c>
      <c r="B3" s="1" t="str">
        <f ca="1">IF(Información1[[#This Row],[Fecha]]='Ajuste de fechas'!$A$2,"Día actual","Día anterior")</f>
        <v>Día anterior</v>
      </c>
      <c r="C3" t="s">
        <v>29</v>
      </c>
      <c r="D3" t="s">
        <v>34</v>
      </c>
      <c r="E3" t="s">
        <v>92</v>
      </c>
      <c r="F3" t="s">
        <v>10</v>
      </c>
      <c r="G3" t="s">
        <v>93</v>
      </c>
      <c r="H3" t="s">
        <v>28</v>
      </c>
      <c r="I3" t="s">
        <v>7</v>
      </c>
      <c r="J3" t="s">
        <v>18</v>
      </c>
      <c r="K3" t="s">
        <v>31</v>
      </c>
      <c r="L3" t="s">
        <v>19</v>
      </c>
      <c r="M3">
        <v>1</v>
      </c>
    </row>
    <row r="4" spans="1:13" x14ac:dyDescent="0.25">
      <c r="A4" s="2">
        <v>46314</v>
      </c>
      <c r="B4" s="1" t="str">
        <f ca="1">IF(Información1[[#This Row],[Fecha]]='Ajuste de fechas'!$A$2,"Día actual","Día anterior")</f>
        <v>Día anterior</v>
      </c>
      <c r="C4" t="s">
        <v>29</v>
      </c>
      <c r="D4" t="s">
        <v>34</v>
      </c>
      <c r="E4" t="s">
        <v>94</v>
      </c>
      <c r="F4" t="s">
        <v>10</v>
      </c>
      <c r="G4" t="s">
        <v>95</v>
      </c>
      <c r="H4" t="s">
        <v>28</v>
      </c>
      <c r="I4" t="s">
        <v>7</v>
      </c>
      <c r="J4" t="s">
        <v>18</v>
      </c>
      <c r="K4" t="s">
        <v>31</v>
      </c>
      <c r="L4" t="s">
        <v>19</v>
      </c>
      <c r="M4">
        <v>1</v>
      </c>
    </row>
    <row r="5" spans="1:13" x14ac:dyDescent="0.25">
      <c r="A5" s="2">
        <v>46314</v>
      </c>
      <c r="B5" s="1" t="str">
        <f ca="1">IF(Información1[[#This Row],[Fecha]]='Ajuste de fechas'!$A$2,"Día actual","Día anterior")</f>
        <v>Día anterior</v>
      </c>
      <c r="C5" t="s">
        <v>29</v>
      </c>
      <c r="D5" t="s">
        <v>34</v>
      </c>
      <c r="E5" t="s">
        <v>96</v>
      </c>
      <c r="F5" t="s">
        <v>10</v>
      </c>
      <c r="G5" t="s">
        <v>97</v>
      </c>
      <c r="H5" t="s">
        <v>28</v>
      </c>
      <c r="I5" t="s">
        <v>7</v>
      </c>
      <c r="J5" t="s">
        <v>18</v>
      </c>
      <c r="K5" t="s">
        <v>77</v>
      </c>
      <c r="L5" t="s">
        <v>21</v>
      </c>
      <c r="M5">
        <v>1</v>
      </c>
    </row>
    <row r="6" spans="1:13" x14ac:dyDescent="0.25">
      <c r="A6" s="2">
        <v>46314</v>
      </c>
      <c r="B6" s="1" t="str">
        <f ca="1">IF(Información1[[#This Row],[Fecha]]='Ajuste de fechas'!$A$2,"Día actual","Día anterior")</f>
        <v>Día anterior</v>
      </c>
      <c r="C6" t="s">
        <v>29</v>
      </c>
      <c r="D6" t="s">
        <v>34</v>
      </c>
      <c r="E6" t="s">
        <v>98</v>
      </c>
      <c r="F6" t="s">
        <v>59</v>
      </c>
      <c r="G6" t="s">
        <v>99</v>
      </c>
      <c r="H6" t="s">
        <v>28</v>
      </c>
      <c r="I6" t="s">
        <v>7</v>
      </c>
      <c r="J6" t="s">
        <v>60</v>
      </c>
      <c r="K6" t="s">
        <v>31</v>
      </c>
      <c r="L6" t="s">
        <v>19</v>
      </c>
      <c r="M6">
        <v>1</v>
      </c>
    </row>
    <row r="7" spans="1:13" x14ac:dyDescent="0.25">
      <c r="A7" s="2">
        <v>46314</v>
      </c>
      <c r="B7" s="1" t="str">
        <f ca="1">IF(Información1[[#This Row],[Fecha]]='Ajuste de fechas'!$A$2,"Día actual","Día anterior")</f>
        <v>Día anterior</v>
      </c>
      <c r="C7" t="s">
        <v>36</v>
      </c>
      <c r="D7" t="s">
        <v>37</v>
      </c>
      <c r="E7" t="s">
        <v>100</v>
      </c>
      <c r="F7" t="s">
        <v>62</v>
      </c>
      <c r="G7" t="s">
        <v>101</v>
      </c>
      <c r="H7" t="s">
        <v>28</v>
      </c>
      <c r="I7" t="s">
        <v>7</v>
      </c>
      <c r="J7" t="s">
        <v>61</v>
      </c>
      <c r="K7" t="s">
        <v>38</v>
      </c>
      <c r="L7" t="s">
        <v>19</v>
      </c>
      <c r="M7">
        <v>1</v>
      </c>
    </row>
    <row r="8" spans="1:13" x14ac:dyDescent="0.25">
      <c r="A8" s="2">
        <v>46314</v>
      </c>
      <c r="B8" s="1" t="str">
        <f ca="1">IF(Información1[[#This Row],[Fecha]]='Ajuste de fechas'!$A$2,"Día actual","Día anterior")</f>
        <v>Día anterior</v>
      </c>
      <c r="C8" t="s">
        <v>36</v>
      </c>
      <c r="D8" t="s">
        <v>37</v>
      </c>
      <c r="E8" t="s">
        <v>100</v>
      </c>
      <c r="F8" t="s">
        <v>27</v>
      </c>
      <c r="G8" t="s">
        <v>50</v>
      </c>
      <c r="H8" t="s">
        <v>28</v>
      </c>
      <c r="I8" t="s">
        <v>7</v>
      </c>
      <c r="J8" t="s">
        <v>18</v>
      </c>
      <c r="K8" t="s">
        <v>38</v>
      </c>
      <c r="L8" t="s">
        <v>19</v>
      </c>
      <c r="M8">
        <v>1</v>
      </c>
    </row>
    <row r="9" spans="1:13" x14ac:dyDescent="0.25">
      <c r="A9" s="2">
        <v>46314</v>
      </c>
      <c r="B9" s="1" t="str">
        <f ca="1">IF(Información1[[#This Row],[Fecha]]='Ajuste de fechas'!$A$2,"Día actual","Día anterior")</f>
        <v>Día anterior</v>
      </c>
      <c r="C9" t="s">
        <v>36</v>
      </c>
      <c r="D9" t="s">
        <v>37</v>
      </c>
      <c r="E9" t="s">
        <v>102</v>
      </c>
      <c r="F9" t="s">
        <v>27</v>
      </c>
      <c r="G9" t="s">
        <v>103</v>
      </c>
      <c r="H9" t="s">
        <v>28</v>
      </c>
      <c r="I9" t="s">
        <v>7</v>
      </c>
      <c r="J9" t="s">
        <v>18</v>
      </c>
      <c r="K9" t="s">
        <v>38</v>
      </c>
      <c r="L9" t="s">
        <v>19</v>
      </c>
      <c r="M9">
        <v>1</v>
      </c>
    </row>
    <row r="10" spans="1:13" x14ac:dyDescent="0.25">
      <c r="A10" s="2">
        <v>46314</v>
      </c>
      <c r="B10" s="1" t="str">
        <f ca="1">IF(Información1[[#This Row],[Fecha]]='Ajuste de fechas'!$A$2,"Día actual","Día anterior")</f>
        <v>Día anterior</v>
      </c>
      <c r="C10" t="s">
        <v>36</v>
      </c>
      <c r="D10" t="s">
        <v>37</v>
      </c>
      <c r="E10" t="s">
        <v>104</v>
      </c>
      <c r="F10" t="s">
        <v>87</v>
      </c>
      <c r="G10" t="s">
        <v>50</v>
      </c>
      <c r="H10" t="s">
        <v>28</v>
      </c>
      <c r="I10" t="s">
        <v>7</v>
      </c>
      <c r="J10" t="s">
        <v>18</v>
      </c>
      <c r="K10" t="s">
        <v>38</v>
      </c>
      <c r="L10" t="s">
        <v>19</v>
      </c>
      <c r="M10">
        <v>1</v>
      </c>
    </row>
    <row r="11" spans="1:13" x14ac:dyDescent="0.25">
      <c r="A11" s="2">
        <v>46314</v>
      </c>
      <c r="B11" s="1" t="str">
        <f ca="1">IF(Información1[[#This Row],[Fecha]]='Ajuste de fechas'!$A$2,"Día actual","Día anterior")</f>
        <v>Día anterior</v>
      </c>
      <c r="C11" t="s">
        <v>36</v>
      </c>
      <c r="D11" t="s">
        <v>37</v>
      </c>
      <c r="E11" t="s">
        <v>105</v>
      </c>
      <c r="F11" t="s">
        <v>62</v>
      </c>
      <c r="G11" t="s">
        <v>50</v>
      </c>
      <c r="H11" t="s">
        <v>28</v>
      </c>
      <c r="I11" t="s">
        <v>7</v>
      </c>
      <c r="J11" t="s">
        <v>61</v>
      </c>
      <c r="K11" t="s">
        <v>38</v>
      </c>
      <c r="L11" t="s">
        <v>19</v>
      </c>
      <c r="M11">
        <v>1</v>
      </c>
    </row>
    <row r="12" spans="1:13" x14ac:dyDescent="0.25">
      <c r="A12" s="2">
        <v>46314</v>
      </c>
      <c r="B12" s="1" t="str">
        <f ca="1">IF(Información1[[#This Row],[Fecha]]='Ajuste de fechas'!$A$2,"Día actual","Día anterior")</f>
        <v>Día anterior</v>
      </c>
      <c r="C12" t="s">
        <v>36</v>
      </c>
      <c r="D12" t="s">
        <v>37</v>
      </c>
      <c r="E12" t="s">
        <v>106</v>
      </c>
      <c r="F12" t="s">
        <v>107</v>
      </c>
      <c r="G12" t="s">
        <v>50</v>
      </c>
      <c r="H12" t="s">
        <v>28</v>
      </c>
      <c r="I12" t="s">
        <v>7</v>
      </c>
      <c r="J12" t="s">
        <v>18</v>
      </c>
      <c r="K12" t="s">
        <v>38</v>
      </c>
      <c r="L12" t="s">
        <v>19</v>
      </c>
      <c r="M12">
        <v>1</v>
      </c>
    </row>
    <row r="13" spans="1:13" x14ac:dyDescent="0.25">
      <c r="A13" s="2">
        <v>46314</v>
      </c>
      <c r="B13" s="1" t="str">
        <f ca="1">IF(Información1[[#This Row],[Fecha]]='Ajuste de fechas'!$A$2,"Día actual","Día anterior")</f>
        <v>Día anterior</v>
      </c>
      <c r="C13" t="s">
        <v>29</v>
      </c>
      <c r="D13" t="s">
        <v>30</v>
      </c>
      <c r="E13" t="s">
        <v>108</v>
      </c>
      <c r="F13" t="s">
        <v>33</v>
      </c>
      <c r="G13" t="s">
        <v>95</v>
      </c>
      <c r="H13" t="s">
        <v>28</v>
      </c>
      <c r="I13" t="s">
        <v>7</v>
      </c>
      <c r="J13" t="s">
        <v>18</v>
      </c>
      <c r="K13" t="s">
        <v>31</v>
      </c>
      <c r="L13" t="s">
        <v>19</v>
      </c>
      <c r="M13">
        <v>1</v>
      </c>
    </row>
    <row r="14" spans="1:13" x14ac:dyDescent="0.25">
      <c r="A14" s="2">
        <v>46314</v>
      </c>
      <c r="B14" s="1" t="str">
        <f ca="1">IF(Información1[[#This Row],[Fecha]]='Ajuste de fechas'!$A$2,"Día actual","Día anterior")</f>
        <v>Día anterior</v>
      </c>
      <c r="C14" t="s">
        <v>29</v>
      </c>
      <c r="D14" t="s">
        <v>30</v>
      </c>
      <c r="E14" t="s">
        <v>109</v>
      </c>
      <c r="F14" t="s">
        <v>26</v>
      </c>
      <c r="G14" t="s">
        <v>110</v>
      </c>
      <c r="H14" t="s">
        <v>28</v>
      </c>
      <c r="I14" t="s">
        <v>7</v>
      </c>
      <c r="J14" t="s">
        <v>18</v>
      </c>
      <c r="K14" t="s">
        <v>32</v>
      </c>
      <c r="L14" t="s">
        <v>19</v>
      </c>
      <c r="M14">
        <v>1</v>
      </c>
    </row>
    <row r="15" spans="1:13" x14ac:dyDescent="0.25">
      <c r="A15" s="2">
        <v>46314</v>
      </c>
      <c r="B15" s="1" t="str">
        <f ca="1">IF(Información1[[#This Row],[Fecha]]='Ajuste de fechas'!$A$2,"Día actual","Día anterior")</f>
        <v>Día anterior</v>
      </c>
      <c r="C15" t="s">
        <v>29</v>
      </c>
      <c r="D15" t="s">
        <v>30</v>
      </c>
      <c r="E15" t="s">
        <v>109</v>
      </c>
      <c r="F15" t="s">
        <v>79</v>
      </c>
      <c r="G15" t="s">
        <v>111</v>
      </c>
      <c r="H15" t="s">
        <v>28</v>
      </c>
      <c r="I15" t="s">
        <v>7</v>
      </c>
      <c r="J15" t="s">
        <v>18</v>
      </c>
      <c r="K15" t="s">
        <v>32</v>
      </c>
      <c r="L15" t="s">
        <v>19</v>
      </c>
      <c r="M15">
        <v>1</v>
      </c>
    </row>
    <row r="16" spans="1:13" x14ac:dyDescent="0.25">
      <c r="A16" s="2">
        <v>46314</v>
      </c>
      <c r="B16" s="1" t="str">
        <f ca="1">IF(Información1[[#This Row],[Fecha]]='Ajuste de fechas'!$A$2,"Día actual","Día anterior")</f>
        <v>Día anterior</v>
      </c>
      <c r="C16" t="s">
        <v>29</v>
      </c>
      <c r="D16" t="s">
        <v>30</v>
      </c>
      <c r="E16" t="s">
        <v>112</v>
      </c>
      <c r="F16" t="s">
        <v>61</v>
      </c>
      <c r="G16" t="s">
        <v>113</v>
      </c>
      <c r="H16" t="s">
        <v>28</v>
      </c>
      <c r="I16" t="s">
        <v>7</v>
      </c>
      <c r="J16" t="s">
        <v>61</v>
      </c>
      <c r="K16" t="s">
        <v>31</v>
      </c>
      <c r="L16" t="s">
        <v>25</v>
      </c>
      <c r="M16">
        <v>1</v>
      </c>
    </row>
    <row r="17" spans="1:13" x14ac:dyDescent="0.25">
      <c r="A17" s="2">
        <v>46314</v>
      </c>
      <c r="B17" s="1" t="str">
        <f ca="1">IF(Información1[[#This Row],[Fecha]]='Ajuste de fechas'!$A$2,"Día actual","Día anterior")</f>
        <v>Día anterior</v>
      </c>
      <c r="C17" t="s">
        <v>29</v>
      </c>
      <c r="D17" t="s">
        <v>30</v>
      </c>
      <c r="E17" t="s">
        <v>114</v>
      </c>
      <c r="F17" t="s">
        <v>73</v>
      </c>
      <c r="G17" t="s">
        <v>74</v>
      </c>
      <c r="H17" t="s">
        <v>28</v>
      </c>
      <c r="I17" t="s">
        <v>7</v>
      </c>
      <c r="J17" t="s">
        <v>18</v>
      </c>
      <c r="K17" t="s">
        <v>32</v>
      </c>
      <c r="L17" t="s">
        <v>19</v>
      </c>
      <c r="M17">
        <v>1</v>
      </c>
    </row>
    <row r="18" spans="1:13" x14ac:dyDescent="0.25">
      <c r="A18" s="2">
        <v>46314</v>
      </c>
      <c r="B18" s="1" t="str">
        <f ca="1">IF(Información1[[#This Row],[Fecha]]='Ajuste de fechas'!$A$2,"Día actual","Día anterior")</f>
        <v>Día anterior</v>
      </c>
      <c r="C18" t="s">
        <v>29</v>
      </c>
      <c r="D18" t="s">
        <v>30</v>
      </c>
      <c r="E18" t="s">
        <v>115</v>
      </c>
      <c r="F18" t="s">
        <v>27</v>
      </c>
      <c r="G18" t="s">
        <v>116</v>
      </c>
      <c r="H18" t="s">
        <v>28</v>
      </c>
      <c r="I18" t="s">
        <v>7</v>
      </c>
      <c r="J18" t="s">
        <v>18</v>
      </c>
      <c r="K18" t="s">
        <v>32</v>
      </c>
      <c r="L18" t="s">
        <v>19</v>
      </c>
      <c r="M18">
        <v>1</v>
      </c>
    </row>
    <row r="19" spans="1:13" x14ac:dyDescent="0.25">
      <c r="A19" s="2">
        <v>46314</v>
      </c>
      <c r="B19" s="1" t="str">
        <f ca="1">IF(Información1[[#This Row],[Fecha]]='Ajuste de fechas'!$A$2,"Día actual","Día anterior")</f>
        <v>Día anterior</v>
      </c>
      <c r="C19" t="s">
        <v>29</v>
      </c>
      <c r="D19" t="s">
        <v>30</v>
      </c>
      <c r="E19" t="s">
        <v>117</v>
      </c>
      <c r="F19" t="s">
        <v>68</v>
      </c>
      <c r="G19" t="s">
        <v>69</v>
      </c>
      <c r="H19" t="s">
        <v>28</v>
      </c>
      <c r="I19" t="s">
        <v>58</v>
      </c>
      <c r="J19" t="s">
        <v>70</v>
      </c>
      <c r="K19" t="s">
        <v>35</v>
      </c>
      <c r="L19" t="s">
        <v>20</v>
      </c>
      <c r="M19">
        <v>1</v>
      </c>
    </row>
    <row r="20" spans="1:13" x14ac:dyDescent="0.25">
      <c r="A20" s="2">
        <v>46314</v>
      </c>
      <c r="B20" s="1" t="str">
        <f ca="1">IF(Información1[[#This Row],[Fecha]]='Ajuste de fechas'!$A$2,"Día actual","Día anterior")</f>
        <v>Día anterior</v>
      </c>
      <c r="C20" t="s">
        <v>29</v>
      </c>
      <c r="D20" t="s">
        <v>30</v>
      </c>
      <c r="E20" t="s">
        <v>118</v>
      </c>
      <c r="F20" t="s">
        <v>119</v>
      </c>
      <c r="G20" t="s">
        <v>120</v>
      </c>
      <c r="H20" t="s">
        <v>28</v>
      </c>
      <c r="I20" t="s">
        <v>7</v>
      </c>
      <c r="J20" t="s">
        <v>61</v>
      </c>
      <c r="K20" t="s">
        <v>31</v>
      </c>
      <c r="L20" t="s">
        <v>19</v>
      </c>
      <c r="M20">
        <v>1</v>
      </c>
    </row>
    <row r="21" spans="1:13" x14ac:dyDescent="0.25">
      <c r="A21" s="2">
        <v>46314</v>
      </c>
      <c r="B21" s="1" t="str">
        <f ca="1">IF(Información1[[#This Row],[Fecha]]='Ajuste de fechas'!$A$2,"Día actual","Día anterior")</f>
        <v>Día anterior</v>
      </c>
      <c r="C21" t="s">
        <v>29</v>
      </c>
      <c r="D21" t="s">
        <v>30</v>
      </c>
      <c r="E21" t="s">
        <v>121</v>
      </c>
      <c r="F21" t="s">
        <v>79</v>
      </c>
      <c r="G21" t="s">
        <v>111</v>
      </c>
      <c r="H21" t="s">
        <v>28</v>
      </c>
      <c r="I21" t="s">
        <v>7</v>
      </c>
      <c r="J21" t="s">
        <v>18</v>
      </c>
      <c r="K21" t="s">
        <v>32</v>
      </c>
      <c r="L21" t="s">
        <v>19</v>
      </c>
      <c r="M21">
        <v>1</v>
      </c>
    </row>
    <row r="22" spans="1:13" x14ac:dyDescent="0.25">
      <c r="A22" s="2">
        <v>46314</v>
      </c>
      <c r="B22" s="1" t="str">
        <f ca="1">IF(Información1[[#This Row],[Fecha]]='Ajuste de fechas'!$A$2,"Día actual","Día anterior")</f>
        <v>Día anterior</v>
      </c>
      <c r="C22" t="s">
        <v>29</v>
      </c>
      <c r="D22" t="s">
        <v>30</v>
      </c>
      <c r="E22" t="s">
        <v>122</v>
      </c>
      <c r="F22" t="s">
        <v>62</v>
      </c>
      <c r="G22" t="s">
        <v>84</v>
      </c>
      <c r="H22" t="s">
        <v>28</v>
      </c>
      <c r="I22" t="s">
        <v>7</v>
      </c>
      <c r="J22" t="s">
        <v>61</v>
      </c>
      <c r="K22" t="s">
        <v>123</v>
      </c>
      <c r="L22" t="s">
        <v>20</v>
      </c>
      <c r="M22">
        <v>1</v>
      </c>
    </row>
    <row r="23" spans="1:13" x14ac:dyDescent="0.25">
      <c r="A23" s="2">
        <v>46314</v>
      </c>
      <c r="B23" s="1" t="str">
        <f ca="1">IF(Información1[[#This Row],[Fecha]]='Ajuste de fechas'!$A$2,"Día actual","Día anterior")</f>
        <v>Día anterior</v>
      </c>
      <c r="C23" t="s">
        <v>29</v>
      </c>
      <c r="D23" t="s">
        <v>30</v>
      </c>
      <c r="E23" t="s">
        <v>122</v>
      </c>
      <c r="F23" t="s">
        <v>75</v>
      </c>
      <c r="G23" t="s">
        <v>84</v>
      </c>
      <c r="H23" t="s">
        <v>28</v>
      </c>
      <c r="I23" t="s">
        <v>7</v>
      </c>
      <c r="J23" t="s">
        <v>18</v>
      </c>
      <c r="K23" t="s">
        <v>123</v>
      </c>
      <c r="L23" t="s">
        <v>20</v>
      </c>
      <c r="M23">
        <v>1</v>
      </c>
    </row>
    <row r="24" spans="1:13" x14ac:dyDescent="0.25">
      <c r="A24" s="2">
        <v>46314</v>
      </c>
      <c r="B24" s="1" t="str">
        <f ca="1">IF(Información1[[#This Row],[Fecha]]='Ajuste de fechas'!$A$2,"Día actual","Día anterior")</f>
        <v>Día anterior</v>
      </c>
      <c r="C24" t="s">
        <v>39</v>
      </c>
      <c r="D24" t="s">
        <v>40</v>
      </c>
      <c r="E24" t="s">
        <v>124</v>
      </c>
      <c r="F24" t="s">
        <v>62</v>
      </c>
      <c r="G24" t="s">
        <v>84</v>
      </c>
      <c r="H24" t="s">
        <v>41</v>
      </c>
      <c r="I24" t="s">
        <v>7</v>
      </c>
      <c r="J24" t="s">
        <v>61</v>
      </c>
      <c r="K24" t="s">
        <v>125</v>
      </c>
      <c r="L24" t="s">
        <v>20</v>
      </c>
      <c r="M24">
        <v>1</v>
      </c>
    </row>
    <row r="25" spans="1:13" x14ac:dyDescent="0.25">
      <c r="A25" s="2">
        <v>46314</v>
      </c>
      <c r="B25" s="1" t="str">
        <f ca="1">IF(Información1[[#This Row],[Fecha]]='Ajuste de fechas'!$A$2,"Día actual","Día anterior")</f>
        <v>Día anterior</v>
      </c>
      <c r="C25" t="s">
        <v>39</v>
      </c>
      <c r="D25" t="s">
        <v>40</v>
      </c>
      <c r="E25" t="s">
        <v>126</v>
      </c>
      <c r="F25" t="s">
        <v>26</v>
      </c>
      <c r="G25" t="s">
        <v>50</v>
      </c>
      <c r="H25" t="s">
        <v>41</v>
      </c>
      <c r="I25" t="s">
        <v>11</v>
      </c>
      <c r="J25" t="s">
        <v>18</v>
      </c>
      <c r="K25" t="s">
        <v>125</v>
      </c>
      <c r="L25" t="s">
        <v>20</v>
      </c>
      <c r="M25">
        <v>1</v>
      </c>
    </row>
    <row r="26" spans="1:13" x14ac:dyDescent="0.25">
      <c r="A26" s="2">
        <v>46314</v>
      </c>
      <c r="B26" s="1" t="str">
        <f ca="1">IF(Información1[[#This Row],[Fecha]]='Ajuste de fechas'!$A$2,"Día actual","Día anterior")</f>
        <v>Día anterior</v>
      </c>
      <c r="C26" t="s">
        <v>39</v>
      </c>
      <c r="D26" t="s">
        <v>40</v>
      </c>
      <c r="E26" t="s">
        <v>126</v>
      </c>
      <c r="F26" t="s">
        <v>86</v>
      </c>
      <c r="G26" t="s">
        <v>50</v>
      </c>
      <c r="H26" t="s">
        <v>41</v>
      </c>
      <c r="I26" t="s">
        <v>8</v>
      </c>
      <c r="J26" t="s">
        <v>18</v>
      </c>
      <c r="K26" t="s">
        <v>125</v>
      </c>
      <c r="L26" t="s">
        <v>20</v>
      </c>
      <c r="M26">
        <v>1</v>
      </c>
    </row>
    <row r="27" spans="1:13" x14ac:dyDescent="0.25">
      <c r="A27" s="2">
        <v>46314</v>
      </c>
      <c r="B27" s="1" t="str">
        <f ca="1">IF(Información1[[#This Row],[Fecha]]='Ajuste de fechas'!$A$2,"Día actual","Día anterior")</f>
        <v>Día anterior</v>
      </c>
      <c r="C27" t="s">
        <v>39</v>
      </c>
      <c r="D27" t="s">
        <v>40</v>
      </c>
      <c r="E27" t="s">
        <v>126</v>
      </c>
      <c r="F27" t="s">
        <v>9</v>
      </c>
      <c r="G27" t="s">
        <v>50</v>
      </c>
      <c r="H27" t="s">
        <v>41</v>
      </c>
      <c r="I27" t="s">
        <v>11</v>
      </c>
      <c r="J27" t="s">
        <v>18</v>
      </c>
      <c r="K27" t="s">
        <v>125</v>
      </c>
      <c r="L27" t="s">
        <v>20</v>
      </c>
      <c r="M27">
        <v>1</v>
      </c>
    </row>
    <row r="28" spans="1:13" x14ac:dyDescent="0.25">
      <c r="A28" s="2">
        <v>46314</v>
      </c>
      <c r="B28" s="1" t="str">
        <f ca="1">IF(Información1[[#This Row],[Fecha]]='Ajuste de fechas'!$A$2,"Día actual","Día anterior")</f>
        <v>Día anterior</v>
      </c>
      <c r="C28" t="s">
        <v>39</v>
      </c>
      <c r="D28" t="s">
        <v>40</v>
      </c>
      <c r="E28" t="s">
        <v>127</v>
      </c>
      <c r="F28" t="s">
        <v>128</v>
      </c>
      <c r="G28" t="s">
        <v>50</v>
      </c>
      <c r="H28" t="s">
        <v>41</v>
      </c>
      <c r="I28" t="s">
        <v>7</v>
      </c>
      <c r="J28" t="s">
        <v>18</v>
      </c>
      <c r="K28" t="s">
        <v>43</v>
      </c>
      <c r="L28" t="s">
        <v>19</v>
      </c>
      <c r="M28">
        <v>1</v>
      </c>
    </row>
    <row r="29" spans="1:13" x14ac:dyDescent="0.25">
      <c r="A29" s="2">
        <v>46314</v>
      </c>
      <c r="B29" s="1" t="str">
        <f ca="1">IF(Información1[[#This Row],[Fecha]]='Ajuste de fechas'!$A$2,"Día actual","Día anterior")</f>
        <v>Día anterior</v>
      </c>
      <c r="C29" t="s">
        <v>39</v>
      </c>
      <c r="D29" t="s">
        <v>40</v>
      </c>
      <c r="E29" t="s">
        <v>129</v>
      </c>
      <c r="F29" t="s">
        <v>26</v>
      </c>
      <c r="G29" t="s">
        <v>88</v>
      </c>
      <c r="H29" t="s">
        <v>41</v>
      </c>
      <c r="I29" t="s">
        <v>58</v>
      </c>
      <c r="J29" t="s">
        <v>18</v>
      </c>
      <c r="K29" t="s">
        <v>43</v>
      </c>
      <c r="L29" t="s">
        <v>20</v>
      </c>
      <c r="M29">
        <v>1</v>
      </c>
    </row>
    <row r="30" spans="1:13" x14ac:dyDescent="0.25">
      <c r="A30" s="2">
        <v>46314</v>
      </c>
      <c r="B30" s="1" t="str">
        <f ca="1">IF(Información1[[#This Row],[Fecha]]='Ajuste de fechas'!$A$2,"Día actual","Día anterior")</f>
        <v>Día anterior</v>
      </c>
      <c r="C30" t="s">
        <v>44</v>
      </c>
      <c r="D30" t="s">
        <v>45</v>
      </c>
      <c r="E30" t="s">
        <v>130</v>
      </c>
      <c r="F30" t="s">
        <v>68</v>
      </c>
      <c r="G30" t="s">
        <v>131</v>
      </c>
      <c r="H30" t="s">
        <v>28</v>
      </c>
      <c r="I30" t="s">
        <v>7</v>
      </c>
      <c r="J30" t="s">
        <v>70</v>
      </c>
      <c r="K30" t="s">
        <v>46</v>
      </c>
      <c r="L30" t="s">
        <v>19</v>
      </c>
      <c r="M30">
        <v>1</v>
      </c>
    </row>
    <row r="31" spans="1:13" x14ac:dyDescent="0.25">
      <c r="A31" s="2">
        <v>46314</v>
      </c>
      <c r="B31" s="1" t="str">
        <f ca="1">IF(Información1[[#This Row],[Fecha]]='Ajuste de fechas'!$A$2,"Día actual","Día anterior")</f>
        <v>Día anterior</v>
      </c>
      <c r="C31" t="s">
        <v>44</v>
      </c>
      <c r="D31" t="s">
        <v>45</v>
      </c>
      <c r="E31" t="s">
        <v>132</v>
      </c>
      <c r="F31" t="s">
        <v>59</v>
      </c>
      <c r="G31" t="s">
        <v>95</v>
      </c>
      <c r="H31" t="s">
        <v>28</v>
      </c>
      <c r="I31" t="s">
        <v>7</v>
      </c>
      <c r="J31" t="s">
        <v>60</v>
      </c>
      <c r="K31" t="s">
        <v>46</v>
      </c>
      <c r="L31" t="s">
        <v>19</v>
      </c>
      <c r="M31">
        <v>1</v>
      </c>
    </row>
    <row r="32" spans="1:13" x14ac:dyDescent="0.25">
      <c r="A32" s="2">
        <v>46314</v>
      </c>
      <c r="B32" s="1" t="str">
        <f ca="1">IF(Información1[[#This Row],[Fecha]]='Ajuste de fechas'!$A$2,"Día actual","Día anterior")</f>
        <v>Día anterior</v>
      </c>
      <c r="C32" t="s">
        <v>44</v>
      </c>
      <c r="D32" t="s">
        <v>45</v>
      </c>
      <c r="E32" t="s">
        <v>133</v>
      </c>
      <c r="F32" t="s">
        <v>68</v>
      </c>
      <c r="G32" t="s">
        <v>69</v>
      </c>
      <c r="H32" t="s">
        <v>28</v>
      </c>
      <c r="I32" t="s">
        <v>11</v>
      </c>
      <c r="J32" t="s">
        <v>70</v>
      </c>
      <c r="K32" t="s">
        <v>35</v>
      </c>
      <c r="L32" t="s">
        <v>20</v>
      </c>
      <c r="M32">
        <v>1</v>
      </c>
    </row>
    <row r="33" spans="1:13" x14ac:dyDescent="0.25">
      <c r="A33" s="2">
        <v>46314</v>
      </c>
      <c r="B33" s="1" t="str">
        <f ca="1">IF(Información1[[#This Row],[Fecha]]='Ajuste de fechas'!$A$2,"Día actual","Día anterior")</f>
        <v>Día anterior</v>
      </c>
      <c r="C33" t="s">
        <v>44</v>
      </c>
      <c r="D33" t="s">
        <v>45</v>
      </c>
      <c r="E33" t="s">
        <v>134</v>
      </c>
      <c r="F33" t="s">
        <v>68</v>
      </c>
      <c r="G33" t="s">
        <v>82</v>
      </c>
      <c r="H33" t="s">
        <v>28</v>
      </c>
      <c r="I33" t="s">
        <v>11</v>
      </c>
      <c r="J33" t="s">
        <v>70</v>
      </c>
      <c r="K33" t="s">
        <v>35</v>
      </c>
      <c r="L33" t="s">
        <v>20</v>
      </c>
      <c r="M33">
        <v>1</v>
      </c>
    </row>
    <row r="34" spans="1:13" x14ac:dyDescent="0.25">
      <c r="A34" s="2">
        <v>46314</v>
      </c>
      <c r="B34" s="1" t="str">
        <f ca="1">IF(Información1[[#This Row],[Fecha]]='Ajuste de fechas'!$A$2,"Día actual","Día anterior")</f>
        <v>Día anterior</v>
      </c>
      <c r="C34" t="s">
        <v>44</v>
      </c>
      <c r="D34" t="s">
        <v>45</v>
      </c>
      <c r="E34" t="s">
        <v>135</v>
      </c>
      <c r="F34" t="s">
        <v>75</v>
      </c>
      <c r="G34" t="s">
        <v>69</v>
      </c>
      <c r="H34" t="s">
        <v>28</v>
      </c>
      <c r="I34" t="s">
        <v>11</v>
      </c>
      <c r="J34" t="s">
        <v>18</v>
      </c>
      <c r="K34" t="s">
        <v>35</v>
      </c>
      <c r="L34" t="s">
        <v>20</v>
      </c>
      <c r="M34">
        <v>1</v>
      </c>
    </row>
    <row r="35" spans="1:13" x14ac:dyDescent="0.25">
      <c r="A35" s="2">
        <v>46314</v>
      </c>
      <c r="B35" s="1" t="str">
        <f ca="1">IF(Información1[[#This Row],[Fecha]]='Ajuste de fechas'!$A$2,"Día actual","Día anterior")</f>
        <v>Día anterior</v>
      </c>
      <c r="C35" t="s">
        <v>44</v>
      </c>
      <c r="D35" t="s">
        <v>45</v>
      </c>
      <c r="E35" t="s">
        <v>136</v>
      </c>
      <c r="F35" t="s">
        <v>59</v>
      </c>
      <c r="G35" t="s">
        <v>137</v>
      </c>
      <c r="H35" t="s">
        <v>28</v>
      </c>
      <c r="I35" t="s">
        <v>7</v>
      </c>
      <c r="J35" t="s">
        <v>60</v>
      </c>
      <c r="K35" t="s">
        <v>46</v>
      </c>
      <c r="L35" t="s">
        <v>19</v>
      </c>
      <c r="M35">
        <v>1</v>
      </c>
    </row>
    <row r="36" spans="1:13" x14ac:dyDescent="0.25">
      <c r="A36" s="2">
        <v>46314</v>
      </c>
      <c r="B36" s="1" t="str">
        <f ca="1">IF(Información1[[#This Row],[Fecha]]='Ajuste de fechas'!$A$2,"Día actual","Día anterior")</f>
        <v>Día anterior</v>
      </c>
      <c r="C36" t="s">
        <v>44</v>
      </c>
      <c r="D36" t="s">
        <v>45</v>
      </c>
      <c r="E36" t="s">
        <v>138</v>
      </c>
      <c r="F36" t="s">
        <v>10</v>
      </c>
      <c r="G36" t="s">
        <v>95</v>
      </c>
      <c r="H36" t="s">
        <v>28</v>
      </c>
      <c r="I36" t="s">
        <v>11</v>
      </c>
      <c r="J36" t="s">
        <v>18</v>
      </c>
      <c r="K36" t="s">
        <v>46</v>
      </c>
      <c r="L36" t="s">
        <v>19</v>
      </c>
      <c r="M36">
        <v>1</v>
      </c>
    </row>
    <row r="37" spans="1:13" x14ac:dyDescent="0.25">
      <c r="A37" s="2">
        <v>46314</v>
      </c>
      <c r="B37" s="1" t="str">
        <f ca="1">IF(Información1[[#This Row],[Fecha]]='Ajuste de fechas'!$A$2,"Día actual","Día anterior")</f>
        <v>Día anterior</v>
      </c>
      <c r="C37" t="s">
        <v>44</v>
      </c>
      <c r="D37" t="s">
        <v>45</v>
      </c>
      <c r="E37" t="s">
        <v>139</v>
      </c>
      <c r="F37" t="s">
        <v>87</v>
      </c>
      <c r="G37" t="s">
        <v>50</v>
      </c>
      <c r="H37" t="s">
        <v>28</v>
      </c>
      <c r="I37" t="s">
        <v>7</v>
      </c>
      <c r="J37" t="s">
        <v>18</v>
      </c>
      <c r="K37" t="s">
        <v>55</v>
      </c>
      <c r="L37" t="s">
        <v>19</v>
      </c>
      <c r="M37">
        <v>1</v>
      </c>
    </row>
    <row r="38" spans="1:13" x14ac:dyDescent="0.25">
      <c r="A38" s="2">
        <v>46314</v>
      </c>
      <c r="B38" s="1" t="str">
        <f ca="1">IF(Información1[[#This Row],[Fecha]]='Ajuste de fechas'!$A$2,"Día actual","Día anterior")</f>
        <v>Día anterior</v>
      </c>
      <c r="C38" t="s">
        <v>44</v>
      </c>
      <c r="D38" t="s">
        <v>45</v>
      </c>
      <c r="E38" t="s">
        <v>140</v>
      </c>
      <c r="F38" t="s">
        <v>27</v>
      </c>
      <c r="G38" t="s">
        <v>50</v>
      </c>
      <c r="H38" t="s">
        <v>28</v>
      </c>
      <c r="I38" t="s">
        <v>7</v>
      </c>
      <c r="J38" t="s">
        <v>18</v>
      </c>
      <c r="K38" t="s">
        <v>57</v>
      </c>
      <c r="L38" t="s">
        <v>19</v>
      </c>
      <c r="M38">
        <v>1</v>
      </c>
    </row>
    <row r="39" spans="1:13" x14ac:dyDescent="0.25">
      <c r="A39" s="2">
        <v>46314</v>
      </c>
      <c r="B39" s="1" t="str">
        <f ca="1">IF(Información1[[#This Row],[Fecha]]='Ajuste de fechas'!$A$2,"Día actual","Día anterior")</f>
        <v>Día anterior</v>
      </c>
      <c r="C39" t="s">
        <v>44</v>
      </c>
      <c r="D39" t="s">
        <v>45</v>
      </c>
      <c r="E39" t="s">
        <v>141</v>
      </c>
      <c r="F39" t="s">
        <v>68</v>
      </c>
      <c r="G39" t="s">
        <v>69</v>
      </c>
      <c r="H39" t="s">
        <v>28</v>
      </c>
      <c r="I39" t="s">
        <v>11</v>
      </c>
      <c r="J39" t="s">
        <v>70</v>
      </c>
      <c r="K39" t="s">
        <v>46</v>
      </c>
      <c r="L39" t="s">
        <v>19</v>
      </c>
      <c r="M39">
        <v>1</v>
      </c>
    </row>
    <row r="40" spans="1:13" x14ac:dyDescent="0.25">
      <c r="A40" s="2">
        <v>46314</v>
      </c>
      <c r="B40" s="1" t="str">
        <f ca="1">IF(Información1[[#This Row],[Fecha]]='Ajuste de fechas'!$A$2,"Día actual","Día anterior")</f>
        <v>Día anterior</v>
      </c>
      <c r="C40" t="s">
        <v>44</v>
      </c>
      <c r="D40" t="s">
        <v>45</v>
      </c>
      <c r="E40" t="s">
        <v>142</v>
      </c>
      <c r="F40" t="s">
        <v>68</v>
      </c>
      <c r="G40" t="s">
        <v>69</v>
      </c>
      <c r="H40" t="s">
        <v>28</v>
      </c>
      <c r="I40" t="s">
        <v>58</v>
      </c>
      <c r="J40" t="s">
        <v>70</v>
      </c>
      <c r="K40" t="s">
        <v>46</v>
      </c>
      <c r="L40" t="s">
        <v>19</v>
      </c>
      <c r="M40">
        <v>1</v>
      </c>
    </row>
    <row r="41" spans="1:13" x14ac:dyDescent="0.25">
      <c r="A41" s="2">
        <v>46314</v>
      </c>
      <c r="B41" s="1" t="str">
        <f ca="1">IF(Información1[[#This Row],[Fecha]]='Ajuste de fechas'!$A$2,"Día actual","Día anterior")</f>
        <v>Día anterior</v>
      </c>
      <c r="C41" t="s">
        <v>44</v>
      </c>
      <c r="D41" t="s">
        <v>45</v>
      </c>
      <c r="E41" t="s">
        <v>143</v>
      </c>
      <c r="F41" t="s">
        <v>51</v>
      </c>
      <c r="G41" t="s">
        <v>84</v>
      </c>
      <c r="H41" t="s">
        <v>28</v>
      </c>
      <c r="I41" t="s">
        <v>7</v>
      </c>
      <c r="J41" t="s">
        <v>18</v>
      </c>
      <c r="K41" t="s">
        <v>46</v>
      </c>
      <c r="L41" t="s">
        <v>19</v>
      </c>
      <c r="M41">
        <v>1</v>
      </c>
    </row>
    <row r="42" spans="1:13" x14ac:dyDescent="0.25">
      <c r="A42" s="2">
        <v>46314</v>
      </c>
      <c r="B42" s="1" t="str">
        <f ca="1">IF(Información1[[#This Row],[Fecha]]='Ajuste de fechas'!$A$2,"Día actual","Día anterior")</f>
        <v>Día anterior</v>
      </c>
      <c r="C42" t="s">
        <v>44</v>
      </c>
      <c r="D42" t="s">
        <v>45</v>
      </c>
      <c r="E42" t="s">
        <v>144</v>
      </c>
      <c r="F42" t="s">
        <v>59</v>
      </c>
      <c r="G42" t="s">
        <v>145</v>
      </c>
      <c r="H42" t="s">
        <v>28</v>
      </c>
      <c r="I42" t="s">
        <v>7</v>
      </c>
      <c r="J42" t="s">
        <v>60</v>
      </c>
      <c r="K42" t="s">
        <v>55</v>
      </c>
      <c r="L42" t="s">
        <v>19</v>
      </c>
      <c r="M42">
        <v>1</v>
      </c>
    </row>
    <row r="43" spans="1:13" x14ac:dyDescent="0.25">
      <c r="A43" s="2">
        <v>46314</v>
      </c>
      <c r="B43" s="1" t="str">
        <f ca="1">IF(Información1[[#This Row],[Fecha]]='Ajuste de fechas'!$A$2,"Día actual","Día anterior")</f>
        <v>Día anterior</v>
      </c>
      <c r="C43" t="s">
        <v>44</v>
      </c>
      <c r="D43" t="s">
        <v>45</v>
      </c>
      <c r="E43" t="s">
        <v>146</v>
      </c>
      <c r="F43" t="s">
        <v>79</v>
      </c>
      <c r="G43" t="s">
        <v>89</v>
      </c>
      <c r="H43" t="s">
        <v>28</v>
      </c>
      <c r="I43" t="s">
        <v>7</v>
      </c>
      <c r="J43" t="s">
        <v>18</v>
      </c>
      <c r="K43" t="s">
        <v>55</v>
      </c>
      <c r="L43" t="s">
        <v>21</v>
      </c>
      <c r="M43">
        <v>1</v>
      </c>
    </row>
    <row r="44" spans="1:13" x14ac:dyDescent="0.25">
      <c r="A44" s="2">
        <v>46314</v>
      </c>
      <c r="B44" s="1" t="str">
        <f ca="1">IF(Información1[[#This Row],[Fecha]]='Ajuste de fechas'!$A$2,"Día actual","Día anterior")</f>
        <v>Día anterior</v>
      </c>
      <c r="C44" t="s">
        <v>44</v>
      </c>
      <c r="D44" t="s">
        <v>45</v>
      </c>
      <c r="E44" t="s">
        <v>64</v>
      </c>
      <c r="F44" t="s">
        <v>59</v>
      </c>
      <c r="G44" t="s">
        <v>65</v>
      </c>
      <c r="H44" t="s">
        <v>28</v>
      </c>
      <c r="I44" t="s">
        <v>7</v>
      </c>
      <c r="J44" t="s">
        <v>60</v>
      </c>
      <c r="K44" t="s">
        <v>66</v>
      </c>
      <c r="L44" t="s">
        <v>67</v>
      </c>
      <c r="M44">
        <v>1</v>
      </c>
    </row>
    <row r="45" spans="1:13" x14ac:dyDescent="0.25">
      <c r="A45" s="2">
        <v>46314</v>
      </c>
      <c r="B45" s="1" t="str">
        <f ca="1">IF(Información1[[#This Row],[Fecha]]='Ajuste de fechas'!$A$2,"Día actual","Día anterior")</f>
        <v>Día anterior</v>
      </c>
      <c r="C45" t="s">
        <v>44</v>
      </c>
      <c r="D45" t="s">
        <v>45</v>
      </c>
      <c r="E45" t="s">
        <v>147</v>
      </c>
      <c r="F45" t="s">
        <v>59</v>
      </c>
      <c r="G45" t="s">
        <v>148</v>
      </c>
      <c r="H45" t="s">
        <v>28</v>
      </c>
      <c r="I45" t="s">
        <v>7</v>
      </c>
      <c r="J45" t="s">
        <v>60</v>
      </c>
      <c r="K45" t="s">
        <v>46</v>
      </c>
      <c r="L45" t="s">
        <v>19</v>
      </c>
      <c r="M45">
        <v>1</v>
      </c>
    </row>
    <row r="46" spans="1:13" x14ac:dyDescent="0.25">
      <c r="A46" s="2">
        <v>46314</v>
      </c>
      <c r="B46" s="1" t="str">
        <f ca="1">IF(Información1[[#This Row],[Fecha]]='Ajuste de fechas'!$A$2,"Día actual","Día anterior")</f>
        <v>Día anterior</v>
      </c>
      <c r="C46" t="s">
        <v>44</v>
      </c>
      <c r="D46" t="s">
        <v>45</v>
      </c>
      <c r="E46" t="s">
        <v>149</v>
      </c>
      <c r="F46" t="s">
        <v>59</v>
      </c>
      <c r="G46" t="s">
        <v>65</v>
      </c>
      <c r="H46" t="s">
        <v>28</v>
      </c>
      <c r="I46" t="s">
        <v>7</v>
      </c>
      <c r="J46" t="s">
        <v>60</v>
      </c>
      <c r="K46" t="s">
        <v>46</v>
      </c>
      <c r="L46" t="s">
        <v>19</v>
      </c>
      <c r="M46">
        <v>1</v>
      </c>
    </row>
    <row r="47" spans="1:13" x14ac:dyDescent="0.25">
      <c r="A47" s="2">
        <v>46314</v>
      </c>
      <c r="B47" s="1" t="str">
        <f ca="1">IF(Información1[[#This Row],[Fecha]]='Ajuste de fechas'!$A$2,"Día actual","Día anterior")</f>
        <v>Día anterior</v>
      </c>
      <c r="C47" t="s">
        <v>44</v>
      </c>
      <c r="D47" t="s">
        <v>45</v>
      </c>
      <c r="E47" t="s">
        <v>150</v>
      </c>
      <c r="F47" t="s">
        <v>26</v>
      </c>
      <c r="G47" t="s">
        <v>78</v>
      </c>
      <c r="H47" t="s">
        <v>28</v>
      </c>
      <c r="I47" t="s">
        <v>7</v>
      </c>
      <c r="J47" t="s">
        <v>18</v>
      </c>
      <c r="K47" t="s">
        <v>46</v>
      </c>
      <c r="L47" t="s">
        <v>19</v>
      </c>
      <c r="M47">
        <v>1</v>
      </c>
    </row>
    <row r="48" spans="1:13" x14ac:dyDescent="0.25">
      <c r="A48" s="2">
        <v>46314</v>
      </c>
      <c r="B48" s="1" t="str">
        <f ca="1">IF(Información1[[#This Row],[Fecha]]='Ajuste de fechas'!$A$2,"Día actual","Día anterior")</f>
        <v>Día anterior</v>
      </c>
      <c r="C48" t="s">
        <v>44</v>
      </c>
      <c r="D48" t="s">
        <v>45</v>
      </c>
      <c r="E48" t="s">
        <v>150</v>
      </c>
      <c r="F48" t="s">
        <v>6</v>
      </c>
      <c r="G48" t="s">
        <v>110</v>
      </c>
      <c r="H48" t="s">
        <v>28</v>
      </c>
      <c r="I48" t="s">
        <v>7</v>
      </c>
      <c r="J48" t="s">
        <v>18</v>
      </c>
      <c r="K48" t="s">
        <v>46</v>
      </c>
      <c r="L48" t="s">
        <v>19</v>
      </c>
      <c r="M48">
        <v>1</v>
      </c>
    </row>
    <row r="49" spans="1:13" x14ac:dyDescent="0.25">
      <c r="A49" s="2">
        <v>46314</v>
      </c>
      <c r="B49" s="1" t="str">
        <f ca="1">IF(Información1[[#This Row],[Fecha]]='Ajuste de fechas'!$A$2,"Día actual","Día anterior")</f>
        <v>Día anterior</v>
      </c>
      <c r="C49" t="s">
        <v>44</v>
      </c>
      <c r="D49" t="s">
        <v>45</v>
      </c>
      <c r="E49" t="s">
        <v>151</v>
      </c>
      <c r="F49" t="s">
        <v>27</v>
      </c>
      <c r="G49" t="s">
        <v>152</v>
      </c>
      <c r="H49" t="s">
        <v>28</v>
      </c>
      <c r="I49" t="s">
        <v>7</v>
      </c>
      <c r="J49" t="s">
        <v>18</v>
      </c>
      <c r="K49" t="s">
        <v>55</v>
      </c>
      <c r="L49" t="s">
        <v>19</v>
      </c>
      <c r="M49">
        <v>1</v>
      </c>
    </row>
    <row r="50" spans="1:13" x14ac:dyDescent="0.25">
      <c r="A50" s="2">
        <v>46314</v>
      </c>
      <c r="B50" s="1" t="str">
        <f ca="1">IF(Información1[[#This Row],[Fecha]]='Ajuste de fechas'!$A$2,"Día actual","Día anterior")</f>
        <v>Día anterior</v>
      </c>
      <c r="C50" t="s">
        <v>44</v>
      </c>
      <c r="D50" t="s">
        <v>45</v>
      </c>
      <c r="E50" t="s">
        <v>153</v>
      </c>
      <c r="F50" t="s">
        <v>52</v>
      </c>
      <c r="G50" t="s">
        <v>154</v>
      </c>
      <c r="H50" t="s">
        <v>28</v>
      </c>
      <c r="I50" t="s">
        <v>7</v>
      </c>
      <c r="J50" t="s">
        <v>18</v>
      </c>
      <c r="K50" t="s">
        <v>46</v>
      </c>
      <c r="L50" t="s">
        <v>20</v>
      </c>
      <c r="M50">
        <v>1</v>
      </c>
    </row>
    <row r="51" spans="1:13" x14ac:dyDescent="0.25">
      <c r="A51" s="2">
        <v>46314</v>
      </c>
      <c r="B51" s="1" t="str">
        <f ca="1">IF(Información1[[#This Row],[Fecha]]='Ajuste de fechas'!$A$2,"Día actual","Día anterior")</f>
        <v>Día anterior</v>
      </c>
      <c r="C51" t="s">
        <v>44</v>
      </c>
      <c r="D51" t="s">
        <v>45</v>
      </c>
      <c r="E51" t="s">
        <v>155</v>
      </c>
      <c r="F51" t="s">
        <v>27</v>
      </c>
      <c r="G51" t="s">
        <v>154</v>
      </c>
      <c r="H51" t="s">
        <v>28</v>
      </c>
      <c r="I51" t="s">
        <v>7</v>
      </c>
      <c r="J51" t="s">
        <v>18</v>
      </c>
      <c r="K51" t="s">
        <v>57</v>
      </c>
      <c r="L51" t="s">
        <v>19</v>
      </c>
      <c r="M51">
        <v>1</v>
      </c>
    </row>
    <row r="52" spans="1:13" x14ac:dyDescent="0.25">
      <c r="A52" s="2">
        <v>46314</v>
      </c>
      <c r="B52" s="1" t="str">
        <f ca="1">IF(Información1[[#This Row],[Fecha]]='Ajuste de fechas'!$A$2,"Día actual","Día anterior")</f>
        <v>Día anterior</v>
      </c>
      <c r="C52" t="s">
        <v>39</v>
      </c>
      <c r="D52" t="s">
        <v>40</v>
      </c>
      <c r="E52" t="s">
        <v>156</v>
      </c>
      <c r="F52" t="s">
        <v>75</v>
      </c>
      <c r="G52" t="s">
        <v>85</v>
      </c>
      <c r="H52" t="s">
        <v>41</v>
      </c>
      <c r="I52" t="s">
        <v>7</v>
      </c>
      <c r="J52" t="s">
        <v>18</v>
      </c>
      <c r="K52" t="s">
        <v>43</v>
      </c>
      <c r="L52" t="s">
        <v>19</v>
      </c>
      <c r="M52">
        <v>1</v>
      </c>
    </row>
    <row r="53" spans="1:13" x14ac:dyDescent="0.25">
      <c r="A53" s="2">
        <v>46314</v>
      </c>
      <c r="B53" s="1" t="str">
        <f ca="1">IF(Información1[[#This Row],[Fecha]]='Ajuste de fechas'!$A$2,"Día actual","Día anterior")</f>
        <v>Día anterior</v>
      </c>
      <c r="C53" t="s">
        <v>39</v>
      </c>
      <c r="D53" t="s">
        <v>40</v>
      </c>
      <c r="E53" t="s">
        <v>157</v>
      </c>
      <c r="F53" t="s">
        <v>59</v>
      </c>
      <c r="G53" t="s">
        <v>158</v>
      </c>
      <c r="H53" t="s">
        <v>41</v>
      </c>
      <c r="I53" t="s">
        <v>7</v>
      </c>
      <c r="J53" t="s">
        <v>60</v>
      </c>
      <c r="K53" t="s">
        <v>43</v>
      </c>
      <c r="L53" t="s">
        <v>19</v>
      </c>
      <c r="M53">
        <v>1</v>
      </c>
    </row>
    <row r="54" spans="1:13" x14ac:dyDescent="0.25">
      <c r="A54" s="2">
        <v>46314</v>
      </c>
      <c r="B54" s="1" t="str">
        <f ca="1">IF(Información1[[#This Row],[Fecha]]='Ajuste de fechas'!$A$2,"Día actual","Día anterior")</f>
        <v>Día anterior</v>
      </c>
      <c r="C54" t="s">
        <v>39</v>
      </c>
      <c r="D54" t="s">
        <v>40</v>
      </c>
      <c r="E54" t="s">
        <v>159</v>
      </c>
      <c r="F54" t="s">
        <v>6</v>
      </c>
      <c r="G54" t="s">
        <v>56</v>
      </c>
      <c r="H54" t="s">
        <v>41</v>
      </c>
      <c r="I54" t="s">
        <v>11</v>
      </c>
      <c r="J54" t="s">
        <v>18</v>
      </c>
      <c r="K54" t="s">
        <v>35</v>
      </c>
      <c r="L54" t="s">
        <v>20</v>
      </c>
      <c r="M54">
        <v>1</v>
      </c>
    </row>
    <row r="55" spans="1:13" x14ac:dyDescent="0.25">
      <c r="A55" s="2">
        <v>46314</v>
      </c>
      <c r="B55" s="1" t="str">
        <f ca="1">IF(Información1[[#This Row],[Fecha]]='Ajuste de fechas'!$A$2,"Día actual","Día anterior")</f>
        <v>Día anterior</v>
      </c>
      <c r="C55" t="s">
        <v>39</v>
      </c>
      <c r="D55" t="s">
        <v>40</v>
      </c>
      <c r="E55" t="s">
        <v>160</v>
      </c>
      <c r="F55" t="s">
        <v>71</v>
      </c>
      <c r="G55" t="s">
        <v>161</v>
      </c>
      <c r="H55" t="s">
        <v>41</v>
      </c>
      <c r="I55" t="s">
        <v>7</v>
      </c>
      <c r="J55" t="s">
        <v>72</v>
      </c>
      <c r="K55" t="s">
        <v>43</v>
      </c>
      <c r="L55" t="s">
        <v>19</v>
      </c>
      <c r="M55">
        <v>1</v>
      </c>
    </row>
    <row r="56" spans="1:13" x14ac:dyDescent="0.25">
      <c r="A56" s="2">
        <v>46314</v>
      </c>
      <c r="B56" s="1" t="str">
        <f ca="1">IF(Información1[[#This Row],[Fecha]]='Ajuste de fechas'!$A$2,"Día actual","Día anterior")</f>
        <v>Día anterior</v>
      </c>
      <c r="C56" t="s">
        <v>39</v>
      </c>
      <c r="D56" t="s">
        <v>40</v>
      </c>
      <c r="E56" t="s">
        <v>127</v>
      </c>
      <c r="F56" t="s">
        <v>6</v>
      </c>
      <c r="G56" t="s">
        <v>50</v>
      </c>
      <c r="H56" t="s">
        <v>41</v>
      </c>
      <c r="I56" t="s">
        <v>7</v>
      </c>
      <c r="J56" t="s">
        <v>18</v>
      </c>
      <c r="K56" t="s">
        <v>43</v>
      </c>
      <c r="L56" t="s">
        <v>19</v>
      </c>
      <c r="M56">
        <v>1</v>
      </c>
    </row>
    <row r="57" spans="1:13" x14ac:dyDescent="0.25">
      <c r="A57" s="2">
        <v>46314</v>
      </c>
      <c r="B57" s="1" t="str">
        <f ca="1">IF(Información1[[#This Row],[Fecha]]='Ajuste de fechas'!$A$2,"Día actual","Día anterior")</f>
        <v>Día anterior</v>
      </c>
      <c r="C57" t="s">
        <v>39</v>
      </c>
      <c r="D57" t="s">
        <v>40</v>
      </c>
      <c r="E57" t="s">
        <v>162</v>
      </c>
      <c r="F57" t="s">
        <v>53</v>
      </c>
      <c r="G57" t="s">
        <v>163</v>
      </c>
      <c r="H57" t="s">
        <v>41</v>
      </c>
      <c r="I57" t="s">
        <v>7</v>
      </c>
      <c r="J57" t="s">
        <v>18</v>
      </c>
      <c r="K57" t="s">
        <v>43</v>
      </c>
      <c r="L57" t="s">
        <v>21</v>
      </c>
      <c r="M57">
        <v>1</v>
      </c>
    </row>
    <row r="58" spans="1:13" x14ac:dyDescent="0.25">
      <c r="A58" s="2">
        <v>46314</v>
      </c>
      <c r="B58" s="1" t="str">
        <f ca="1">IF(Información1[[#This Row],[Fecha]]='Ajuste de fechas'!$A$2,"Día actual","Día anterior")</f>
        <v>Día anterior</v>
      </c>
      <c r="C58" t="s">
        <v>39</v>
      </c>
      <c r="D58" t="s">
        <v>40</v>
      </c>
      <c r="E58" t="s">
        <v>164</v>
      </c>
      <c r="F58" t="s">
        <v>26</v>
      </c>
      <c r="G58" t="s">
        <v>165</v>
      </c>
      <c r="H58" t="s">
        <v>41</v>
      </c>
      <c r="I58" t="s">
        <v>7</v>
      </c>
      <c r="J58" t="s">
        <v>18</v>
      </c>
      <c r="K58" t="s">
        <v>43</v>
      </c>
      <c r="L58" t="s">
        <v>21</v>
      </c>
      <c r="M58">
        <v>1</v>
      </c>
    </row>
    <row r="59" spans="1:13" x14ac:dyDescent="0.25">
      <c r="A59" s="2">
        <v>46314</v>
      </c>
      <c r="B59" s="1" t="str">
        <f ca="1">IF(Información1[[#This Row],[Fecha]]='Ajuste de fechas'!$A$2,"Día actual","Día anterior")</f>
        <v>Día anterior</v>
      </c>
      <c r="C59" t="s">
        <v>39</v>
      </c>
      <c r="D59" t="s">
        <v>40</v>
      </c>
      <c r="E59" t="s">
        <v>166</v>
      </c>
      <c r="F59" t="s">
        <v>59</v>
      </c>
      <c r="G59" t="s">
        <v>167</v>
      </c>
      <c r="H59" t="s">
        <v>41</v>
      </c>
      <c r="I59" t="s">
        <v>11</v>
      </c>
      <c r="J59" t="s">
        <v>60</v>
      </c>
      <c r="K59" t="s">
        <v>42</v>
      </c>
      <c r="L59" t="s">
        <v>19</v>
      </c>
      <c r="M59">
        <v>1</v>
      </c>
    </row>
    <row r="60" spans="1:13" x14ac:dyDescent="0.25">
      <c r="A60" s="2">
        <v>46314</v>
      </c>
      <c r="B60" s="1" t="str">
        <f ca="1">IF(Información1[[#This Row],[Fecha]]='Ajuste de fechas'!$A$2,"Día actual","Día anterior")</f>
        <v>Día anterior</v>
      </c>
      <c r="C60" t="s">
        <v>39</v>
      </c>
      <c r="D60" t="s">
        <v>40</v>
      </c>
      <c r="E60" t="s">
        <v>168</v>
      </c>
      <c r="F60" t="s">
        <v>62</v>
      </c>
      <c r="G60" t="s">
        <v>169</v>
      </c>
      <c r="H60" t="s">
        <v>41</v>
      </c>
      <c r="I60" t="s">
        <v>7</v>
      </c>
      <c r="J60" t="s">
        <v>61</v>
      </c>
      <c r="K60" t="s">
        <v>43</v>
      </c>
      <c r="L60" t="s">
        <v>19</v>
      </c>
      <c r="M60">
        <v>1</v>
      </c>
    </row>
    <row r="61" spans="1:13" x14ac:dyDescent="0.25">
      <c r="A61" s="2">
        <v>46314</v>
      </c>
      <c r="B61" s="1" t="str">
        <f ca="1">IF(Información1[[#This Row],[Fecha]]='Ajuste de fechas'!$A$2,"Día actual","Día anterior")</f>
        <v>Día anterior</v>
      </c>
      <c r="C61" t="s">
        <v>39</v>
      </c>
      <c r="D61" t="s">
        <v>40</v>
      </c>
      <c r="E61" t="s">
        <v>170</v>
      </c>
      <c r="F61" t="s">
        <v>26</v>
      </c>
      <c r="G61" t="s">
        <v>110</v>
      </c>
      <c r="H61" t="s">
        <v>41</v>
      </c>
      <c r="I61" t="s">
        <v>7</v>
      </c>
      <c r="J61" t="s">
        <v>18</v>
      </c>
      <c r="K61" t="s">
        <v>43</v>
      </c>
      <c r="L61" t="s">
        <v>19</v>
      </c>
      <c r="M61">
        <v>1</v>
      </c>
    </row>
    <row r="62" spans="1:13" x14ac:dyDescent="0.25">
      <c r="A62" s="2">
        <v>46315</v>
      </c>
      <c r="B62" s="1" t="str">
        <f ca="1">IF(Información1[[#This Row],[Fecha]]='Ajuste de fechas'!$A$2,"Día actual","Día anterior")</f>
        <v>Día actual</v>
      </c>
      <c r="C62" t="s">
        <v>29</v>
      </c>
      <c r="D62" t="s">
        <v>34</v>
      </c>
      <c r="E62" t="s">
        <v>171</v>
      </c>
      <c r="F62" t="s">
        <v>33</v>
      </c>
      <c r="G62" t="s">
        <v>47</v>
      </c>
      <c r="H62" t="s">
        <v>28</v>
      </c>
      <c r="I62" t="s">
        <v>7</v>
      </c>
      <c r="J62" t="s">
        <v>18</v>
      </c>
      <c r="K62" t="s">
        <v>31</v>
      </c>
      <c r="L62" t="s">
        <v>19</v>
      </c>
      <c r="M62">
        <v>1</v>
      </c>
    </row>
    <row r="63" spans="1:13" x14ac:dyDescent="0.25">
      <c r="A63" s="2">
        <v>46315</v>
      </c>
      <c r="B63" s="1" t="str">
        <f ca="1">IF(Información1[[#This Row],[Fecha]]='Ajuste de fechas'!$A$2,"Día actual","Día anterior")</f>
        <v>Día actual</v>
      </c>
      <c r="C63" t="s">
        <v>29</v>
      </c>
      <c r="D63" t="s">
        <v>34</v>
      </c>
      <c r="E63" t="s">
        <v>172</v>
      </c>
      <c r="F63" t="s">
        <v>10</v>
      </c>
      <c r="G63" t="s">
        <v>173</v>
      </c>
      <c r="H63" t="s">
        <v>28</v>
      </c>
      <c r="I63" t="s">
        <v>11</v>
      </c>
      <c r="J63" t="s">
        <v>18</v>
      </c>
      <c r="K63" t="s">
        <v>31</v>
      </c>
      <c r="L63" t="s">
        <v>19</v>
      </c>
      <c r="M63">
        <v>1</v>
      </c>
    </row>
    <row r="64" spans="1:13" x14ac:dyDescent="0.25">
      <c r="A64" s="2">
        <v>46315</v>
      </c>
      <c r="B64" s="1" t="str">
        <f ca="1">IF(Información1[[#This Row],[Fecha]]='Ajuste de fechas'!$A$2,"Día actual","Día anterior")</f>
        <v>Día actual</v>
      </c>
      <c r="C64" t="s">
        <v>29</v>
      </c>
      <c r="D64" t="s">
        <v>34</v>
      </c>
      <c r="E64" t="s">
        <v>174</v>
      </c>
      <c r="F64" t="s">
        <v>9</v>
      </c>
      <c r="G64" t="s">
        <v>175</v>
      </c>
      <c r="H64" t="s">
        <v>28</v>
      </c>
      <c r="I64" t="s">
        <v>11</v>
      </c>
      <c r="J64" t="s">
        <v>18</v>
      </c>
      <c r="K64" t="s">
        <v>35</v>
      </c>
      <c r="L64" t="s">
        <v>20</v>
      </c>
      <c r="M64">
        <v>1</v>
      </c>
    </row>
    <row r="65" spans="1:13" x14ac:dyDescent="0.25">
      <c r="A65" s="2">
        <v>46315</v>
      </c>
      <c r="B65" s="1" t="str">
        <f ca="1">IF(Información1[[#This Row],[Fecha]]='Ajuste de fechas'!$A$2,"Día actual","Día anterior")</f>
        <v>Día actual</v>
      </c>
      <c r="C65" t="s">
        <v>176</v>
      </c>
      <c r="D65" t="s">
        <v>177</v>
      </c>
      <c r="E65" t="s">
        <v>178</v>
      </c>
      <c r="F65" t="s">
        <v>79</v>
      </c>
      <c r="G65" t="s">
        <v>179</v>
      </c>
      <c r="H65" t="s">
        <v>28</v>
      </c>
      <c r="I65" t="s">
        <v>8</v>
      </c>
      <c r="J65" t="s">
        <v>18</v>
      </c>
      <c r="K65" t="s">
        <v>180</v>
      </c>
      <c r="L65" t="s">
        <v>80</v>
      </c>
      <c r="M65">
        <v>1</v>
      </c>
    </row>
    <row r="66" spans="1:13" x14ac:dyDescent="0.25">
      <c r="A66" s="2">
        <v>46315</v>
      </c>
      <c r="B66" s="1" t="str">
        <f ca="1">IF(Información1[[#This Row],[Fecha]]='Ajuste de fechas'!$A$2,"Día actual","Día anterior")</f>
        <v>Día actual</v>
      </c>
      <c r="C66" t="s">
        <v>181</v>
      </c>
      <c r="D66" t="s">
        <v>182</v>
      </c>
      <c r="E66" t="s">
        <v>183</v>
      </c>
      <c r="F66" t="s">
        <v>26</v>
      </c>
      <c r="G66" t="s">
        <v>152</v>
      </c>
      <c r="H66" t="s">
        <v>28</v>
      </c>
      <c r="I66" t="s">
        <v>7</v>
      </c>
      <c r="J66" t="s">
        <v>18</v>
      </c>
      <c r="K66" t="s">
        <v>184</v>
      </c>
      <c r="L66" t="s">
        <v>21</v>
      </c>
      <c r="M66">
        <v>1</v>
      </c>
    </row>
    <row r="67" spans="1:13" x14ac:dyDescent="0.25">
      <c r="A67" s="2">
        <v>46315</v>
      </c>
      <c r="B67" s="1" t="str">
        <f ca="1">IF(Información1[[#This Row],[Fecha]]='Ajuste de fechas'!$A$2,"Día actual","Día anterior")</f>
        <v>Día actual</v>
      </c>
      <c r="C67" t="s">
        <v>36</v>
      </c>
      <c r="D67" t="s">
        <v>37</v>
      </c>
      <c r="E67" t="s">
        <v>185</v>
      </c>
      <c r="F67" t="s">
        <v>52</v>
      </c>
      <c r="G67" t="s">
        <v>186</v>
      </c>
      <c r="H67" t="s">
        <v>28</v>
      </c>
      <c r="I67" t="s">
        <v>7</v>
      </c>
      <c r="J67" t="s">
        <v>18</v>
      </c>
      <c r="K67" t="s">
        <v>38</v>
      </c>
      <c r="L67" t="s">
        <v>21</v>
      </c>
      <c r="M67">
        <v>1</v>
      </c>
    </row>
    <row r="68" spans="1:13" x14ac:dyDescent="0.25">
      <c r="A68" s="2">
        <v>46315</v>
      </c>
      <c r="B68" s="1" t="str">
        <f ca="1">IF(Información1[[#This Row],[Fecha]]='Ajuste de fechas'!$A$2,"Día actual","Día anterior")</f>
        <v>Día actual</v>
      </c>
      <c r="C68" t="s">
        <v>36</v>
      </c>
      <c r="D68" t="s">
        <v>37</v>
      </c>
      <c r="E68" t="s">
        <v>187</v>
      </c>
      <c r="F68" t="s">
        <v>75</v>
      </c>
      <c r="G68" t="s">
        <v>188</v>
      </c>
      <c r="H68" t="s">
        <v>28</v>
      </c>
      <c r="I68" t="s">
        <v>7</v>
      </c>
      <c r="J68" t="s">
        <v>18</v>
      </c>
      <c r="K68" t="s">
        <v>38</v>
      </c>
      <c r="L68" t="s">
        <v>21</v>
      </c>
      <c r="M68">
        <v>1</v>
      </c>
    </row>
    <row r="69" spans="1:13" x14ac:dyDescent="0.25">
      <c r="A69" s="2">
        <v>46315</v>
      </c>
      <c r="B69" s="1" t="str">
        <f ca="1">IF(Información1[[#This Row],[Fecha]]='Ajuste de fechas'!$A$2,"Día actual","Día anterior")</f>
        <v>Día actual</v>
      </c>
      <c r="C69" t="s">
        <v>36</v>
      </c>
      <c r="D69" t="s">
        <v>37</v>
      </c>
      <c r="E69" t="s">
        <v>189</v>
      </c>
      <c r="F69" t="s">
        <v>75</v>
      </c>
      <c r="G69" t="s">
        <v>190</v>
      </c>
      <c r="H69" t="s">
        <v>28</v>
      </c>
      <c r="I69" t="s">
        <v>7</v>
      </c>
      <c r="J69" t="s">
        <v>18</v>
      </c>
      <c r="K69" t="s">
        <v>38</v>
      </c>
      <c r="L69" t="s">
        <v>21</v>
      </c>
      <c r="M69">
        <v>1</v>
      </c>
    </row>
    <row r="70" spans="1:13" x14ac:dyDescent="0.25">
      <c r="A70" s="2">
        <v>46315</v>
      </c>
      <c r="B70" s="1" t="str">
        <f ca="1">IF(Información1[[#This Row],[Fecha]]='Ajuste de fechas'!$A$2,"Día actual","Día anterior")</f>
        <v>Día actual</v>
      </c>
      <c r="C70" t="s">
        <v>36</v>
      </c>
      <c r="D70" t="s">
        <v>37</v>
      </c>
      <c r="E70" t="s">
        <v>191</v>
      </c>
      <c r="F70" t="s">
        <v>68</v>
      </c>
      <c r="G70" t="s">
        <v>192</v>
      </c>
      <c r="H70" t="s">
        <v>28</v>
      </c>
      <c r="I70" t="s">
        <v>7</v>
      </c>
      <c r="J70" t="s">
        <v>70</v>
      </c>
      <c r="K70" t="s">
        <v>38</v>
      </c>
      <c r="L70" t="s">
        <v>19</v>
      </c>
      <c r="M70">
        <v>1</v>
      </c>
    </row>
    <row r="71" spans="1:13" x14ac:dyDescent="0.25">
      <c r="A71" s="2">
        <v>46315</v>
      </c>
      <c r="B71" s="1" t="str">
        <f ca="1">IF(Información1[[#This Row],[Fecha]]='Ajuste de fechas'!$A$2,"Día actual","Día anterior")</f>
        <v>Día actual</v>
      </c>
      <c r="C71" t="s">
        <v>36</v>
      </c>
      <c r="D71" t="s">
        <v>37</v>
      </c>
      <c r="E71" t="s">
        <v>193</v>
      </c>
      <c r="F71" t="s">
        <v>27</v>
      </c>
      <c r="G71" t="s">
        <v>194</v>
      </c>
      <c r="H71" t="s">
        <v>28</v>
      </c>
      <c r="I71" t="s">
        <v>7</v>
      </c>
      <c r="J71" t="s">
        <v>18</v>
      </c>
      <c r="K71" t="s">
        <v>38</v>
      </c>
      <c r="L71" t="s">
        <v>21</v>
      </c>
      <c r="M71">
        <v>1</v>
      </c>
    </row>
    <row r="72" spans="1:13" x14ac:dyDescent="0.25">
      <c r="A72" s="2">
        <v>46315</v>
      </c>
      <c r="B72" s="1" t="str">
        <f ca="1">IF(Información1[[#This Row],[Fecha]]='Ajuste de fechas'!$A$2,"Día actual","Día anterior")</f>
        <v>Día actual</v>
      </c>
      <c r="C72" t="s">
        <v>29</v>
      </c>
      <c r="D72" t="s">
        <v>30</v>
      </c>
      <c r="E72" t="s">
        <v>195</v>
      </c>
      <c r="F72" t="s">
        <v>128</v>
      </c>
      <c r="G72" t="s">
        <v>50</v>
      </c>
      <c r="H72" t="s">
        <v>28</v>
      </c>
      <c r="I72" t="s">
        <v>7</v>
      </c>
      <c r="J72" t="s">
        <v>18</v>
      </c>
      <c r="K72" t="s">
        <v>32</v>
      </c>
      <c r="L72" t="s">
        <v>21</v>
      </c>
      <c r="M72">
        <v>1</v>
      </c>
    </row>
    <row r="73" spans="1:13" x14ac:dyDescent="0.25">
      <c r="A73" s="2">
        <v>46315</v>
      </c>
      <c r="B73" s="1" t="str">
        <f ca="1">IF(Información1[[#This Row],[Fecha]]='Ajuste de fechas'!$A$2,"Día actual","Día anterior")</f>
        <v>Día actual</v>
      </c>
      <c r="C73" t="s">
        <v>29</v>
      </c>
      <c r="D73" t="s">
        <v>30</v>
      </c>
      <c r="E73" t="s">
        <v>196</v>
      </c>
      <c r="F73" t="s">
        <v>6</v>
      </c>
      <c r="G73" t="s">
        <v>50</v>
      </c>
      <c r="H73" t="s">
        <v>28</v>
      </c>
      <c r="I73" t="s">
        <v>7</v>
      </c>
      <c r="J73" t="s">
        <v>18</v>
      </c>
      <c r="K73" t="s">
        <v>32</v>
      </c>
      <c r="L73" t="s">
        <v>21</v>
      </c>
      <c r="M73">
        <v>1</v>
      </c>
    </row>
    <row r="74" spans="1:13" x14ac:dyDescent="0.25">
      <c r="A74" s="2">
        <v>46315</v>
      </c>
      <c r="B74" s="1" t="str">
        <f ca="1">IF(Información1[[#This Row],[Fecha]]='Ajuste de fechas'!$A$2,"Día actual","Día anterior")</f>
        <v>Día actual</v>
      </c>
      <c r="C74" t="s">
        <v>29</v>
      </c>
      <c r="D74" t="s">
        <v>30</v>
      </c>
      <c r="E74" t="s">
        <v>197</v>
      </c>
      <c r="F74" t="s">
        <v>59</v>
      </c>
      <c r="G74" t="s">
        <v>198</v>
      </c>
      <c r="H74" t="s">
        <v>28</v>
      </c>
      <c r="I74" t="s">
        <v>7</v>
      </c>
      <c r="J74" t="s">
        <v>60</v>
      </c>
      <c r="K74" t="s">
        <v>31</v>
      </c>
      <c r="L74" t="s">
        <v>19</v>
      </c>
      <c r="M74">
        <v>1</v>
      </c>
    </row>
    <row r="75" spans="1:13" x14ac:dyDescent="0.25">
      <c r="A75" s="2">
        <v>46315</v>
      </c>
      <c r="B75" s="1" t="str">
        <f ca="1">IF(Información1[[#This Row],[Fecha]]='Ajuste de fechas'!$A$2,"Día actual","Día anterior")</f>
        <v>Día actual</v>
      </c>
      <c r="C75" t="s">
        <v>29</v>
      </c>
      <c r="D75" t="s">
        <v>30</v>
      </c>
      <c r="E75" t="s">
        <v>199</v>
      </c>
      <c r="F75" t="s">
        <v>10</v>
      </c>
      <c r="G75" t="s">
        <v>200</v>
      </c>
      <c r="H75" t="s">
        <v>28</v>
      </c>
      <c r="I75" t="s">
        <v>7</v>
      </c>
      <c r="J75" t="s">
        <v>18</v>
      </c>
      <c r="K75" t="s">
        <v>31</v>
      </c>
      <c r="L75" t="s">
        <v>21</v>
      </c>
      <c r="M75">
        <v>1</v>
      </c>
    </row>
    <row r="76" spans="1:13" x14ac:dyDescent="0.25">
      <c r="A76" s="2">
        <v>46315</v>
      </c>
      <c r="B76" s="1" t="str">
        <f ca="1">IF(Información1[[#This Row],[Fecha]]='Ajuste de fechas'!$A$2,"Día actual","Día anterior")</f>
        <v>Día actual</v>
      </c>
      <c r="C76" t="s">
        <v>29</v>
      </c>
      <c r="D76" t="s">
        <v>30</v>
      </c>
      <c r="E76" t="s">
        <v>201</v>
      </c>
      <c r="F76" t="s">
        <v>10</v>
      </c>
      <c r="G76" t="s">
        <v>50</v>
      </c>
      <c r="H76" t="s">
        <v>28</v>
      </c>
      <c r="I76" t="s">
        <v>7</v>
      </c>
      <c r="J76" t="s">
        <v>18</v>
      </c>
      <c r="K76" t="s">
        <v>31</v>
      </c>
      <c r="L76" t="s">
        <v>19</v>
      </c>
      <c r="M76">
        <v>1</v>
      </c>
    </row>
    <row r="77" spans="1:13" x14ac:dyDescent="0.25">
      <c r="A77" s="2">
        <v>46315</v>
      </c>
      <c r="B77" s="1" t="str">
        <f ca="1">IF(Información1[[#This Row],[Fecha]]='Ajuste de fechas'!$A$2,"Día actual","Día anterior")</f>
        <v>Día actual</v>
      </c>
      <c r="C77" t="s">
        <v>29</v>
      </c>
      <c r="D77" t="s">
        <v>30</v>
      </c>
      <c r="E77" t="s">
        <v>202</v>
      </c>
      <c r="F77" t="s">
        <v>63</v>
      </c>
      <c r="G77" t="s">
        <v>83</v>
      </c>
      <c r="H77" t="s">
        <v>28</v>
      </c>
      <c r="I77" t="s">
        <v>7</v>
      </c>
      <c r="J77" t="s">
        <v>61</v>
      </c>
      <c r="K77" t="s">
        <v>31</v>
      </c>
      <c r="L77" t="s">
        <v>19</v>
      </c>
      <c r="M77">
        <v>1</v>
      </c>
    </row>
    <row r="78" spans="1:13" x14ac:dyDescent="0.25">
      <c r="A78" s="2">
        <v>46315</v>
      </c>
      <c r="B78" s="1" t="str">
        <f ca="1">IF(Información1[[#This Row],[Fecha]]='Ajuste de fechas'!$A$2,"Día actual","Día anterior")</f>
        <v>Día actual</v>
      </c>
      <c r="C78" t="s">
        <v>29</v>
      </c>
      <c r="D78" t="s">
        <v>30</v>
      </c>
      <c r="E78" t="s">
        <v>187</v>
      </c>
      <c r="F78" t="s">
        <v>75</v>
      </c>
      <c r="G78" t="s">
        <v>188</v>
      </c>
      <c r="H78" t="s">
        <v>28</v>
      </c>
      <c r="I78" t="s">
        <v>7</v>
      </c>
      <c r="J78" t="s">
        <v>18</v>
      </c>
      <c r="K78" t="s">
        <v>32</v>
      </c>
      <c r="L78" t="s">
        <v>21</v>
      </c>
      <c r="M78">
        <v>1</v>
      </c>
    </row>
    <row r="79" spans="1:13" x14ac:dyDescent="0.25">
      <c r="A79" s="2">
        <v>46315</v>
      </c>
      <c r="B79" s="1" t="str">
        <f ca="1">IF(Información1[[#This Row],[Fecha]]='Ajuste de fechas'!$A$2,"Día actual","Día anterior")</f>
        <v>Día actual</v>
      </c>
      <c r="C79" t="s">
        <v>29</v>
      </c>
      <c r="D79" t="s">
        <v>30</v>
      </c>
      <c r="E79" t="s">
        <v>203</v>
      </c>
      <c r="F79" t="s">
        <v>75</v>
      </c>
      <c r="G79" t="s">
        <v>190</v>
      </c>
      <c r="H79" t="s">
        <v>28</v>
      </c>
      <c r="I79" t="s">
        <v>8</v>
      </c>
      <c r="J79" t="s">
        <v>18</v>
      </c>
      <c r="K79" t="s">
        <v>32</v>
      </c>
      <c r="L79" t="s">
        <v>21</v>
      </c>
      <c r="M79">
        <v>1</v>
      </c>
    </row>
    <row r="80" spans="1:13" x14ac:dyDescent="0.25">
      <c r="A80" s="2">
        <v>46315</v>
      </c>
      <c r="B80" s="1" t="str">
        <f ca="1">IF(Información1[[#This Row],[Fecha]]='Ajuste de fechas'!$A$2,"Día actual","Día anterior")</f>
        <v>Día actual</v>
      </c>
      <c r="C80" t="s">
        <v>29</v>
      </c>
      <c r="D80" t="s">
        <v>30</v>
      </c>
      <c r="E80" t="s">
        <v>204</v>
      </c>
      <c r="F80" t="s">
        <v>75</v>
      </c>
      <c r="G80" t="s">
        <v>205</v>
      </c>
      <c r="H80" t="s">
        <v>28</v>
      </c>
      <c r="I80" t="s">
        <v>7</v>
      </c>
      <c r="J80" t="s">
        <v>18</v>
      </c>
      <c r="K80" t="s">
        <v>31</v>
      </c>
      <c r="L80" t="s">
        <v>19</v>
      </c>
      <c r="M80">
        <v>1</v>
      </c>
    </row>
    <row r="81" spans="1:13" x14ac:dyDescent="0.25">
      <c r="A81" s="2">
        <v>46315</v>
      </c>
      <c r="B81" s="1" t="str">
        <f ca="1">IF(Información1[[#This Row],[Fecha]]='Ajuste de fechas'!$A$2,"Día actual","Día anterior")</f>
        <v>Día actual</v>
      </c>
      <c r="C81" t="s">
        <v>29</v>
      </c>
      <c r="D81" t="s">
        <v>30</v>
      </c>
      <c r="E81" t="s">
        <v>206</v>
      </c>
      <c r="F81" t="s">
        <v>9</v>
      </c>
      <c r="G81" t="s">
        <v>205</v>
      </c>
      <c r="H81" t="s">
        <v>28</v>
      </c>
      <c r="I81" t="s">
        <v>7</v>
      </c>
      <c r="J81" t="s">
        <v>18</v>
      </c>
      <c r="K81" t="s">
        <v>31</v>
      </c>
      <c r="L81" t="s">
        <v>19</v>
      </c>
      <c r="M81">
        <v>1</v>
      </c>
    </row>
    <row r="82" spans="1:13" x14ac:dyDescent="0.25">
      <c r="A82" s="2">
        <v>46315</v>
      </c>
      <c r="B82" s="1" t="str">
        <f ca="1">IF(Información1[[#This Row],[Fecha]]='Ajuste de fechas'!$A$2,"Día actual","Día anterior")</f>
        <v>Día actual</v>
      </c>
      <c r="C82" t="s">
        <v>29</v>
      </c>
      <c r="D82" t="s">
        <v>30</v>
      </c>
      <c r="E82" t="s">
        <v>207</v>
      </c>
      <c r="F82" t="s">
        <v>10</v>
      </c>
      <c r="G82" t="s">
        <v>208</v>
      </c>
      <c r="H82" t="s">
        <v>28</v>
      </c>
      <c r="I82" t="s">
        <v>8</v>
      </c>
      <c r="J82" t="s">
        <v>18</v>
      </c>
      <c r="K82" t="s">
        <v>32</v>
      </c>
      <c r="L82" t="s">
        <v>25</v>
      </c>
      <c r="M82">
        <v>1</v>
      </c>
    </row>
    <row r="83" spans="1:13" x14ac:dyDescent="0.25">
      <c r="A83" s="2">
        <v>46315</v>
      </c>
      <c r="B83" s="1" t="str">
        <f ca="1">IF(Información1[[#This Row],[Fecha]]='Ajuste de fechas'!$A$2,"Día actual","Día anterior")</f>
        <v>Día actual</v>
      </c>
      <c r="C83" t="s">
        <v>29</v>
      </c>
      <c r="D83" t="s">
        <v>30</v>
      </c>
      <c r="E83" t="s">
        <v>209</v>
      </c>
      <c r="F83" t="s">
        <v>128</v>
      </c>
      <c r="G83" t="s">
        <v>50</v>
      </c>
      <c r="H83" t="s">
        <v>28</v>
      </c>
      <c r="I83" t="s">
        <v>7</v>
      </c>
      <c r="J83" t="s">
        <v>18</v>
      </c>
      <c r="K83" t="s">
        <v>31</v>
      </c>
      <c r="L83" t="s">
        <v>19</v>
      </c>
      <c r="M83">
        <v>1</v>
      </c>
    </row>
    <row r="84" spans="1:13" x14ac:dyDescent="0.25">
      <c r="A84" s="2">
        <v>46315</v>
      </c>
      <c r="B84" s="1" t="str">
        <f ca="1">IF(Información1[[#This Row],[Fecha]]='Ajuste de fechas'!$A$2,"Día actual","Día anterior")</f>
        <v>Día actual</v>
      </c>
      <c r="C84" t="s">
        <v>29</v>
      </c>
      <c r="D84" t="s">
        <v>30</v>
      </c>
      <c r="E84" t="s">
        <v>210</v>
      </c>
      <c r="F84" t="s">
        <v>59</v>
      </c>
      <c r="G84" t="s">
        <v>95</v>
      </c>
      <c r="H84" t="s">
        <v>28</v>
      </c>
      <c r="I84" t="s">
        <v>7</v>
      </c>
      <c r="J84" t="s">
        <v>60</v>
      </c>
      <c r="K84" t="s">
        <v>31</v>
      </c>
      <c r="L84" t="s">
        <v>19</v>
      </c>
      <c r="M84">
        <v>1</v>
      </c>
    </row>
    <row r="85" spans="1:13" x14ac:dyDescent="0.25">
      <c r="A85" s="2">
        <v>46315</v>
      </c>
      <c r="B85" s="1" t="str">
        <f ca="1">IF(Información1[[#This Row],[Fecha]]='Ajuste de fechas'!$A$2,"Día actual","Día anterior")</f>
        <v>Día actual</v>
      </c>
      <c r="C85" t="s">
        <v>39</v>
      </c>
      <c r="D85" t="s">
        <v>40</v>
      </c>
      <c r="E85" t="s">
        <v>211</v>
      </c>
      <c r="F85" t="s">
        <v>33</v>
      </c>
      <c r="G85" t="s">
        <v>212</v>
      </c>
      <c r="H85" t="s">
        <v>41</v>
      </c>
      <c r="I85" t="s">
        <v>7</v>
      </c>
      <c r="J85" t="s">
        <v>18</v>
      </c>
      <c r="K85" t="s">
        <v>43</v>
      </c>
      <c r="L85" t="s">
        <v>19</v>
      </c>
      <c r="M85">
        <v>1</v>
      </c>
    </row>
    <row r="86" spans="1:13" x14ac:dyDescent="0.25">
      <c r="A86" s="2">
        <v>46315</v>
      </c>
      <c r="B86" s="1" t="str">
        <f ca="1">IF(Información1[[#This Row],[Fecha]]='Ajuste de fechas'!$A$2,"Día actual","Día anterior")</f>
        <v>Día actual</v>
      </c>
      <c r="C86" t="s">
        <v>39</v>
      </c>
      <c r="D86" t="s">
        <v>40</v>
      </c>
      <c r="E86" t="s">
        <v>213</v>
      </c>
      <c r="F86" t="s">
        <v>10</v>
      </c>
      <c r="G86" t="s">
        <v>214</v>
      </c>
      <c r="H86" t="s">
        <v>41</v>
      </c>
      <c r="I86" t="s">
        <v>11</v>
      </c>
      <c r="J86" t="s">
        <v>18</v>
      </c>
      <c r="K86" t="s">
        <v>43</v>
      </c>
      <c r="L86" t="s">
        <v>19</v>
      </c>
      <c r="M86">
        <v>1</v>
      </c>
    </row>
    <row r="87" spans="1:13" x14ac:dyDescent="0.25">
      <c r="A87" s="2">
        <v>46315</v>
      </c>
      <c r="B87" s="1" t="str">
        <f ca="1">IF(Información1[[#This Row],[Fecha]]='Ajuste de fechas'!$A$2,"Día actual","Día anterior")</f>
        <v>Día actual</v>
      </c>
      <c r="C87" t="s">
        <v>44</v>
      </c>
      <c r="D87" t="s">
        <v>45</v>
      </c>
      <c r="E87" t="s">
        <v>203</v>
      </c>
      <c r="F87" t="s">
        <v>75</v>
      </c>
      <c r="G87" t="s">
        <v>190</v>
      </c>
      <c r="H87" t="s">
        <v>28</v>
      </c>
      <c r="I87" t="s">
        <v>7</v>
      </c>
      <c r="J87" t="s">
        <v>18</v>
      </c>
      <c r="K87" t="s">
        <v>46</v>
      </c>
      <c r="L87" t="s">
        <v>21</v>
      </c>
      <c r="M87">
        <v>1</v>
      </c>
    </row>
    <row r="88" spans="1:13" x14ac:dyDescent="0.25">
      <c r="A88" s="2">
        <v>46315</v>
      </c>
      <c r="B88" s="1" t="str">
        <f ca="1">IF(Información1[[#This Row],[Fecha]]='Ajuste de fechas'!$A$2,"Día actual","Día anterior")</f>
        <v>Día actual</v>
      </c>
      <c r="C88" t="s">
        <v>44</v>
      </c>
      <c r="D88" t="s">
        <v>45</v>
      </c>
      <c r="E88" t="s">
        <v>215</v>
      </c>
      <c r="F88" t="s">
        <v>48</v>
      </c>
      <c r="G88" t="s">
        <v>81</v>
      </c>
      <c r="H88" t="s">
        <v>28</v>
      </c>
      <c r="I88" t="s">
        <v>7</v>
      </c>
      <c r="J88" t="s">
        <v>18</v>
      </c>
      <c r="K88" t="s">
        <v>46</v>
      </c>
      <c r="L88" t="s">
        <v>21</v>
      </c>
      <c r="M88">
        <v>1</v>
      </c>
    </row>
    <row r="89" spans="1:13" x14ac:dyDescent="0.25">
      <c r="A89" s="2">
        <v>46315</v>
      </c>
      <c r="B89" s="1" t="str">
        <f ca="1">IF(Información1[[#This Row],[Fecha]]='Ajuste de fechas'!$A$2,"Día actual","Día anterior")</f>
        <v>Día actual</v>
      </c>
      <c r="C89" t="s">
        <v>44</v>
      </c>
      <c r="D89" t="s">
        <v>45</v>
      </c>
      <c r="E89" t="s">
        <v>216</v>
      </c>
      <c r="F89" t="s">
        <v>33</v>
      </c>
      <c r="G89" t="s">
        <v>212</v>
      </c>
      <c r="H89" t="s">
        <v>28</v>
      </c>
      <c r="I89" t="s">
        <v>7</v>
      </c>
      <c r="J89" t="s">
        <v>18</v>
      </c>
      <c r="K89" t="s">
        <v>55</v>
      </c>
      <c r="L89" t="s">
        <v>19</v>
      </c>
      <c r="M89">
        <v>1</v>
      </c>
    </row>
    <row r="90" spans="1:13" x14ac:dyDescent="0.25">
      <c r="A90" s="2">
        <v>46315</v>
      </c>
      <c r="B90" s="1" t="str">
        <f ca="1">IF(Información1[[#This Row],[Fecha]]='Ajuste de fechas'!$A$2,"Día actual","Día anterior")</f>
        <v>Día actual</v>
      </c>
      <c r="C90" t="s">
        <v>44</v>
      </c>
      <c r="D90" t="s">
        <v>45</v>
      </c>
      <c r="E90" t="s">
        <v>216</v>
      </c>
      <c r="F90" t="s">
        <v>87</v>
      </c>
      <c r="G90" t="s">
        <v>212</v>
      </c>
      <c r="H90" t="s">
        <v>28</v>
      </c>
      <c r="I90" t="s">
        <v>7</v>
      </c>
      <c r="J90" t="s">
        <v>18</v>
      </c>
      <c r="K90" t="s">
        <v>55</v>
      </c>
      <c r="L90" t="s">
        <v>19</v>
      </c>
      <c r="M90">
        <v>1</v>
      </c>
    </row>
    <row r="91" spans="1:13" x14ac:dyDescent="0.25">
      <c r="A91" s="2">
        <v>46315</v>
      </c>
      <c r="B91" s="1" t="str">
        <f ca="1">IF(Información1[[#This Row],[Fecha]]='Ajuste de fechas'!$A$2,"Día actual","Día anterior")</f>
        <v>Día actual</v>
      </c>
      <c r="C91" t="s">
        <v>44</v>
      </c>
      <c r="D91" t="s">
        <v>45</v>
      </c>
      <c r="E91" t="s">
        <v>217</v>
      </c>
      <c r="F91" t="s">
        <v>26</v>
      </c>
      <c r="G91" t="s">
        <v>47</v>
      </c>
      <c r="H91" t="s">
        <v>28</v>
      </c>
      <c r="I91" t="s">
        <v>7</v>
      </c>
      <c r="J91" t="s">
        <v>18</v>
      </c>
      <c r="K91" t="s">
        <v>46</v>
      </c>
      <c r="L91" t="s">
        <v>19</v>
      </c>
      <c r="M91">
        <v>1</v>
      </c>
    </row>
    <row r="92" spans="1:13" x14ac:dyDescent="0.25">
      <c r="A92" s="2">
        <v>46315</v>
      </c>
      <c r="B92" s="1" t="str">
        <f ca="1">IF(Información1[[#This Row],[Fecha]]='Ajuste de fechas'!$A$2,"Día actual","Día anterior")</f>
        <v>Día actual</v>
      </c>
      <c r="C92" t="s">
        <v>44</v>
      </c>
      <c r="D92" t="s">
        <v>45</v>
      </c>
      <c r="E92" t="s">
        <v>218</v>
      </c>
      <c r="F92" t="s">
        <v>59</v>
      </c>
      <c r="G92" t="s">
        <v>219</v>
      </c>
      <c r="H92" t="s">
        <v>28</v>
      </c>
      <c r="I92" t="s">
        <v>7</v>
      </c>
      <c r="J92" t="s">
        <v>60</v>
      </c>
      <c r="K92" t="s">
        <v>55</v>
      </c>
      <c r="L92" t="s">
        <v>19</v>
      </c>
      <c r="M92">
        <v>1</v>
      </c>
    </row>
    <row r="93" spans="1:13" x14ac:dyDescent="0.25">
      <c r="A93" s="2">
        <v>46315</v>
      </c>
      <c r="B93" s="1" t="str">
        <f ca="1">IF(Información1[[#This Row],[Fecha]]='Ajuste de fechas'!$A$2,"Día actual","Día anterior")</f>
        <v>Día actual</v>
      </c>
      <c r="C93" t="s">
        <v>44</v>
      </c>
      <c r="D93" t="s">
        <v>45</v>
      </c>
      <c r="E93" t="s">
        <v>220</v>
      </c>
      <c r="F93" t="s">
        <v>59</v>
      </c>
      <c r="G93" t="s">
        <v>76</v>
      </c>
      <c r="H93" t="s">
        <v>28</v>
      </c>
      <c r="I93" t="s">
        <v>11</v>
      </c>
      <c r="J93" t="s">
        <v>60</v>
      </c>
      <c r="K93" t="s">
        <v>57</v>
      </c>
      <c r="L93" t="s">
        <v>19</v>
      </c>
      <c r="M93">
        <v>1</v>
      </c>
    </row>
    <row r="94" spans="1:13" x14ac:dyDescent="0.25">
      <c r="A94" s="2">
        <v>46315</v>
      </c>
      <c r="B94" s="1" t="str">
        <f ca="1">IF(Información1[[#This Row],[Fecha]]='Ajuste de fechas'!$A$2,"Día actual","Día anterior")</f>
        <v>Día actual</v>
      </c>
      <c r="C94" t="s">
        <v>44</v>
      </c>
      <c r="D94" t="s">
        <v>45</v>
      </c>
      <c r="E94" t="s">
        <v>221</v>
      </c>
      <c r="F94" t="s">
        <v>59</v>
      </c>
      <c r="G94" t="s">
        <v>222</v>
      </c>
      <c r="H94" t="s">
        <v>28</v>
      </c>
      <c r="I94" t="s">
        <v>7</v>
      </c>
      <c r="J94" t="s">
        <v>60</v>
      </c>
      <c r="K94" t="s">
        <v>57</v>
      </c>
      <c r="L94" t="s">
        <v>19</v>
      </c>
      <c r="M94">
        <v>1</v>
      </c>
    </row>
    <row r="95" spans="1:13" x14ac:dyDescent="0.25">
      <c r="A95" s="2">
        <v>46315</v>
      </c>
      <c r="B95" s="1" t="str">
        <f ca="1">IF(Información1[[#This Row],[Fecha]]='Ajuste de fechas'!$A$2,"Día actual","Día anterior")</f>
        <v>Día actual</v>
      </c>
      <c r="C95" t="s">
        <v>44</v>
      </c>
      <c r="D95" t="s">
        <v>45</v>
      </c>
      <c r="E95" t="s">
        <v>223</v>
      </c>
      <c r="F95" t="s">
        <v>75</v>
      </c>
      <c r="G95" t="s">
        <v>205</v>
      </c>
      <c r="H95" t="s">
        <v>28</v>
      </c>
      <c r="I95" t="s">
        <v>7</v>
      </c>
      <c r="J95" t="s">
        <v>18</v>
      </c>
      <c r="K95" t="s">
        <v>55</v>
      </c>
      <c r="L95" t="s">
        <v>19</v>
      </c>
      <c r="M95">
        <v>1</v>
      </c>
    </row>
    <row r="96" spans="1:13" x14ac:dyDescent="0.25">
      <c r="A96" s="2">
        <v>46315</v>
      </c>
      <c r="B96" s="1" t="str">
        <f ca="1">IF(Información1[[#This Row],[Fecha]]='Ajuste de fechas'!$A$2,"Día actual","Día anterior")</f>
        <v>Día actual</v>
      </c>
      <c r="C96" t="s">
        <v>44</v>
      </c>
      <c r="D96" t="s">
        <v>45</v>
      </c>
      <c r="E96" t="s">
        <v>224</v>
      </c>
      <c r="F96" t="s">
        <v>68</v>
      </c>
      <c r="G96" t="s">
        <v>225</v>
      </c>
      <c r="H96" t="s">
        <v>28</v>
      </c>
      <c r="I96" t="s">
        <v>7</v>
      </c>
      <c r="J96" t="s">
        <v>70</v>
      </c>
      <c r="K96" t="s">
        <v>55</v>
      </c>
      <c r="L96" t="s">
        <v>19</v>
      </c>
      <c r="M96">
        <v>1</v>
      </c>
    </row>
    <row r="97" spans="1:13" x14ac:dyDescent="0.25">
      <c r="A97" s="2">
        <v>46315</v>
      </c>
      <c r="B97" s="1" t="str">
        <f ca="1">IF(Información1[[#This Row],[Fecha]]='Ajuste de fechas'!$A$2,"Día actual","Día anterior")</f>
        <v>Día actual</v>
      </c>
      <c r="C97" t="s">
        <v>44</v>
      </c>
      <c r="D97" t="s">
        <v>45</v>
      </c>
      <c r="E97" t="s">
        <v>226</v>
      </c>
      <c r="F97" t="s">
        <v>6</v>
      </c>
      <c r="G97" t="s">
        <v>50</v>
      </c>
      <c r="H97" t="s">
        <v>28</v>
      </c>
      <c r="I97" t="s">
        <v>7</v>
      </c>
      <c r="J97" t="s">
        <v>18</v>
      </c>
      <c r="K97" t="s">
        <v>55</v>
      </c>
      <c r="L97" t="s">
        <v>19</v>
      </c>
      <c r="M97">
        <v>1</v>
      </c>
    </row>
    <row r="98" spans="1:13" x14ac:dyDescent="0.25">
      <c r="A98" s="2">
        <v>46315</v>
      </c>
      <c r="B98" s="1" t="str">
        <f ca="1">IF(Información1[[#This Row],[Fecha]]='Ajuste de fechas'!$A$2,"Día actual","Día anterior")</f>
        <v>Día actual</v>
      </c>
      <c r="C98" t="s">
        <v>44</v>
      </c>
      <c r="D98" t="s">
        <v>45</v>
      </c>
      <c r="E98" t="s">
        <v>227</v>
      </c>
      <c r="F98" t="s">
        <v>75</v>
      </c>
      <c r="G98" t="s">
        <v>228</v>
      </c>
      <c r="H98" t="s">
        <v>28</v>
      </c>
      <c r="I98" t="s">
        <v>11</v>
      </c>
      <c r="J98" t="s">
        <v>18</v>
      </c>
      <c r="K98" t="s">
        <v>46</v>
      </c>
      <c r="L98" t="s">
        <v>19</v>
      </c>
      <c r="M98">
        <v>1</v>
      </c>
    </row>
    <row r="99" spans="1:13" x14ac:dyDescent="0.25">
      <c r="A99" s="2">
        <v>46315</v>
      </c>
      <c r="B99" s="1" t="str">
        <f ca="1">IF(Información1[[#This Row],[Fecha]]='Ajuste de fechas'!$A$2,"Día actual","Día anterior")</f>
        <v>Día actual</v>
      </c>
      <c r="C99" t="s">
        <v>44</v>
      </c>
      <c r="D99" t="s">
        <v>45</v>
      </c>
      <c r="E99" t="s">
        <v>229</v>
      </c>
      <c r="F99" t="s">
        <v>59</v>
      </c>
      <c r="G99" t="s">
        <v>230</v>
      </c>
      <c r="H99" t="s">
        <v>28</v>
      </c>
      <c r="I99" t="s">
        <v>11</v>
      </c>
      <c r="J99" t="s">
        <v>60</v>
      </c>
      <c r="K99" t="s">
        <v>35</v>
      </c>
      <c r="L99" t="s">
        <v>20</v>
      </c>
      <c r="M99">
        <v>1</v>
      </c>
    </row>
    <row r="100" spans="1:13" x14ac:dyDescent="0.25">
      <c r="A100" s="2">
        <v>46315</v>
      </c>
      <c r="B100" s="1" t="str">
        <f ca="1">IF(Información1[[#This Row],[Fecha]]='Ajuste de fechas'!$A$2,"Día actual","Día anterior")</f>
        <v>Día actual</v>
      </c>
      <c r="C100" t="s">
        <v>44</v>
      </c>
      <c r="D100" t="s">
        <v>45</v>
      </c>
      <c r="E100" t="s">
        <v>231</v>
      </c>
      <c r="F100" t="s">
        <v>10</v>
      </c>
      <c r="G100" t="s">
        <v>93</v>
      </c>
      <c r="H100" t="s">
        <v>28</v>
      </c>
      <c r="I100" t="s">
        <v>8</v>
      </c>
      <c r="J100" t="s">
        <v>18</v>
      </c>
      <c r="K100" t="s">
        <v>55</v>
      </c>
      <c r="L100" t="s">
        <v>19</v>
      </c>
      <c r="M100">
        <v>1</v>
      </c>
    </row>
    <row r="101" spans="1:13" x14ac:dyDescent="0.25">
      <c r="A101" s="2">
        <v>46315</v>
      </c>
      <c r="B101" s="1" t="str">
        <f ca="1">IF(Información1[[#This Row],[Fecha]]='Ajuste de fechas'!$A$2,"Día actual","Día anterior")</f>
        <v>Día actual</v>
      </c>
      <c r="C101" t="s">
        <v>44</v>
      </c>
      <c r="D101" t="s">
        <v>45</v>
      </c>
      <c r="E101" t="s">
        <v>64</v>
      </c>
      <c r="F101" t="s">
        <v>59</v>
      </c>
      <c r="G101" t="s">
        <v>65</v>
      </c>
      <c r="H101" t="s">
        <v>28</v>
      </c>
      <c r="I101" t="s">
        <v>7</v>
      </c>
      <c r="J101" t="s">
        <v>60</v>
      </c>
      <c r="K101" t="s">
        <v>66</v>
      </c>
      <c r="L101" t="s">
        <v>67</v>
      </c>
      <c r="M101">
        <v>1</v>
      </c>
    </row>
    <row r="102" spans="1:13" x14ac:dyDescent="0.25">
      <c r="A102" s="2">
        <v>46315</v>
      </c>
      <c r="B102" s="1" t="str">
        <f ca="1">IF(Información1[[#This Row],[Fecha]]='Ajuste de fechas'!$A$2,"Día actual","Día anterior")</f>
        <v>Día actual</v>
      </c>
      <c r="C102" t="s">
        <v>44</v>
      </c>
      <c r="D102" t="s">
        <v>45</v>
      </c>
      <c r="E102" t="s">
        <v>232</v>
      </c>
      <c r="F102" t="s">
        <v>48</v>
      </c>
      <c r="G102" t="s">
        <v>228</v>
      </c>
      <c r="H102" t="s">
        <v>28</v>
      </c>
      <c r="I102" t="s">
        <v>11</v>
      </c>
      <c r="J102" t="s">
        <v>18</v>
      </c>
      <c r="K102" t="s">
        <v>46</v>
      </c>
      <c r="L102" t="s">
        <v>20</v>
      </c>
      <c r="M102">
        <v>1</v>
      </c>
    </row>
    <row r="103" spans="1:13" x14ac:dyDescent="0.25">
      <c r="A103" s="2">
        <v>46315</v>
      </c>
      <c r="B103" s="1" t="str">
        <f ca="1">IF(Información1[[#This Row],[Fecha]]='Ajuste de fechas'!$A$2,"Día actual","Día anterior")</f>
        <v>Día actual</v>
      </c>
      <c r="C103" t="s">
        <v>44</v>
      </c>
      <c r="D103" t="s">
        <v>45</v>
      </c>
      <c r="E103" t="s">
        <v>233</v>
      </c>
      <c r="F103" t="s">
        <v>48</v>
      </c>
      <c r="G103" t="s">
        <v>50</v>
      </c>
      <c r="H103" t="s">
        <v>28</v>
      </c>
      <c r="I103" t="s">
        <v>11</v>
      </c>
      <c r="J103" t="s">
        <v>18</v>
      </c>
      <c r="K103" t="s">
        <v>46</v>
      </c>
      <c r="L103" t="s">
        <v>19</v>
      </c>
      <c r="M103">
        <v>1</v>
      </c>
    </row>
    <row r="104" spans="1:13" x14ac:dyDescent="0.25">
      <c r="A104" s="2">
        <v>46315</v>
      </c>
      <c r="B104" s="1" t="str">
        <f ca="1">IF(Información1[[#This Row],[Fecha]]='Ajuste de fechas'!$A$2,"Día actual","Día anterior")</f>
        <v>Día actual</v>
      </c>
      <c r="C104" t="s">
        <v>44</v>
      </c>
      <c r="D104" t="s">
        <v>45</v>
      </c>
      <c r="E104" t="s">
        <v>234</v>
      </c>
      <c r="F104" t="s">
        <v>9</v>
      </c>
      <c r="G104" t="s">
        <v>205</v>
      </c>
      <c r="H104" t="s">
        <v>28</v>
      </c>
      <c r="I104" t="s">
        <v>11</v>
      </c>
      <c r="J104" t="s">
        <v>18</v>
      </c>
      <c r="K104" t="s">
        <v>35</v>
      </c>
      <c r="L104" t="s">
        <v>20</v>
      </c>
      <c r="M104">
        <v>1</v>
      </c>
    </row>
    <row r="105" spans="1:13" x14ac:dyDescent="0.25">
      <c r="A105" s="2">
        <v>46315</v>
      </c>
      <c r="B105" s="1" t="str">
        <f ca="1">IF(Información1[[#This Row],[Fecha]]='Ajuste de fechas'!$A$2,"Día actual","Día anterior")</f>
        <v>Día actual</v>
      </c>
      <c r="C105" t="s">
        <v>44</v>
      </c>
      <c r="D105" t="s">
        <v>45</v>
      </c>
      <c r="E105" t="s">
        <v>235</v>
      </c>
      <c r="F105" t="s">
        <v>10</v>
      </c>
      <c r="G105" t="s">
        <v>236</v>
      </c>
      <c r="H105" t="s">
        <v>28</v>
      </c>
      <c r="I105" t="s">
        <v>7</v>
      </c>
      <c r="J105" t="s">
        <v>18</v>
      </c>
      <c r="K105" t="s">
        <v>46</v>
      </c>
      <c r="L105" t="s">
        <v>19</v>
      </c>
      <c r="M105">
        <v>1</v>
      </c>
    </row>
    <row r="106" spans="1:13" x14ac:dyDescent="0.25">
      <c r="A106" s="2">
        <v>46315</v>
      </c>
      <c r="B106" s="1" t="str">
        <f ca="1">IF(Información1[[#This Row],[Fecha]]='Ajuste de fechas'!$A$2,"Día actual","Día anterior")</f>
        <v>Día actual</v>
      </c>
      <c r="C106" t="s">
        <v>44</v>
      </c>
      <c r="D106" t="s">
        <v>45</v>
      </c>
      <c r="E106" t="s">
        <v>237</v>
      </c>
      <c r="F106" t="s">
        <v>59</v>
      </c>
      <c r="G106" t="s">
        <v>95</v>
      </c>
      <c r="H106" t="s">
        <v>28</v>
      </c>
      <c r="I106" t="s">
        <v>7</v>
      </c>
      <c r="J106" t="s">
        <v>60</v>
      </c>
      <c r="K106" t="s">
        <v>57</v>
      </c>
      <c r="L106" t="s">
        <v>19</v>
      </c>
      <c r="M106">
        <v>1</v>
      </c>
    </row>
    <row r="107" spans="1:13" x14ac:dyDescent="0.25">
      <c r="A107" s="2">
        <v>46315</v>
      </c>
      <c r="B107" s="1" t="str">
        <f ca="1">IF(Información1[[#This Row],[Fecha]]='Ajuste de fechas'!$A$2,"Día actual","Día anterior")</f>
        <v>Día actual</v>
      </c>
      <c r="C107" t="s">
        <v>44</v>
      </c>
      <c r="D107" t="s">
        <v>45</v>
      </c>
      <c r="E107" t="s">
        <v>238</v>
      </c>
      <c r="F107" t="s">
        <v>68</v>
      </c>
      <c r="G107" t="s">
        <v>239</v>
      </c>
      <c r="H107" t="s">
        <v>28</v>
      </c>
      <c r="I107" t="s">
        <v>7</v>
      </c>
      <c r="J107" t="s">
        <v>70</v>
      </c>
      <c r="K107" t="s">
        <v>55</v>
      </c>
      <c r="L107" t="s">
        <v>19</v>
      </c>
      <c r="M107">
        <v>1</v>
      </c>
    </row>
    <row r="108" spans="1:13" x14ac:dyDescent="0.25">
      <c r="A108" s="2">
        <v>46315</v>
      </c>
      <c r="B108" s="1" t="str">
        <f ca="1">IF(Información1[[#This Row],[Fecha]]='Ajuste de fechas'!$A$2,"Día actual","Día anterior")</f>
        <v>Día actual</v>
      </c>
      <c r="C108" t="s">
        <v>39</v>
      </c>
      <c r="D108" t="s">
        <v>40</v>
      </c>
      <c r="E108" t="s">
        <v>240</v>
      </c>
      <c r="F108" t="s">
        <v>75</v>
      </c>
      <c r="G108" t="s">
        <v>241</v>
      </c>
      <c r="H108" t="s">
        <v>41</v>
      </c>
      <c r="I108" t="s">
        <v>7</v>
      </c>
      <c r="J108" t="s">
        <v>18</v>
      </c>
      <c r="K108" t="s">
        <v>42</v>
      </c>
      <c r="L108" t="s">
        <v>19</v>
      </c>
      <c r="M108">
        <v>1</v>
      </c>
    </row>
    <row r="109" spans="1:13" x14ac:dyDescent="0.25">
      <c r="A109" s="2">
        <v>46315</v>
      </c>
      <c r="B109" s="1" t="str">
        <f ca="1">IF(Información1[[#This Row],[Fecha]]='Ajuste de fechas'!$A$2,"Día actual","Día anterior")</f>
        <v>Día actual</v>
      </c>
      <c r="C109" t="s">
        <v>39</v>
      </c>
      <c r="D109" t="s">
        <v>40</v>
      </c>
      <c r="E109" t="s">
        <v>242</v>
      </c>
      <c r="F109" t="s">
        <v>53</v>
      </c>
      <c r="G109" t="s">
        <v>50</v>
      </c>
      <c r="H109" t="s">
        <v>41</v>
      </c>
      <c r="I109" t="s">
        <v>7</v>
      </c>
      <c r="J109" t="s">
        <v>18</v>
      </c>
      <c r="K109" t="s">
        <v>42</v>
      </c>
      <c r="L109" t="s">
        <v>19</v>
      </c>
      <c r="M109">
        <v>1</v>
      </c>
    </row>
    <row r="110" spans="1:13" x14ac:dyDescent="0.25">
      <c r="A110" s="2">
        <v>46315</v>
      </c>
      <c r="B110" s="1" t="str">
        <f ca="1">IF(Información1[[#This Row],[Fecha]]='Ajuste de fechas'!$A$2,"Día actual","Día anterior")</f>
        <v>Día actual</v>
      </c>
      <c r="C110" t="s">
        <v>39</v>
      </c>
      <c r="D110" t="s">
        <v>40</v>
      </c>
      <c r="E110" t="s">
        <v>242</v>
      </c>
      <c r="F110" t="s">
        <v>10</v>
      </c>
      <c r="G110" t="s">
        <v>50</v>
      </c>
      <c r="H110" t="s">
        <v>41</v>
      </c>
      <c r="I110" t="s">
        <v>7</v>
      </c>
      <c r="J110" t="s">
        <v>18</v>
      </c>
      <c r="K110" t="s">
        <v>42</v>
      </c>
      <c r="L110" t="s">
        <v>19</v>
      </c>
      <c r="M110">
        <v>1</v>
      </c>
    </row>
    <row r="111" spans="1:13" x14ac:dyDescent="0.25">
      <c r="A111" s="2">
        <v>46315</v>
      </c>
      <c r="B111" s="1" t="str">
        <f ca="1">IF(Información1[[#This Row],[Fecha]]='Ajuste de fechas'!$A$2,"Día actual","Día anterior")</f>
        <v>Día actual</v>
      </c>
      <c r="C111" t="s">
        <v>39</v>
      </c>
      <c r="D111" t="s">
        <v>40</v>
      </c>
      <c r="E111" t="s">
        <v>243</v>
      </c>
      <c r="F111" t="s">
        <v>75</v>
      </c>
      <c r="G111" t="s">
        <v>244</v>
      </c>
      <c r="H111" t="s">
        <v>41</v>
      </c>
      <c r="I111" t="s">
        <v>7</v>
      </c>
      <c r="J111" t="s">
        <v>18</v>
      </c>
      <c r="K111" t="s">
        <v>43</v>
      </c>
      <c r="L111" t="s">
        <v>19</v>
      </c>
      <c r="M111">
        <v>1</v>
      </c>
    </row>
    <row r="112" spans="1:13" x14ac:dyDescent="0.25">
      <c r="A112" s="2">
        <v>46315</v>
      </c>
      <c r="B112" s="1" t="str">
        <f ca="1">IF(Información1[[#This Row],[Fecha]]='Ajuste de fechas'!$A$2,"Día actual","Día anterior")</f>
        <v>Día actual</v>
      </c>
      <c r="C112" t="s">
        <v>39</v>
      </c>
      <c r="D112" t="s">
        <v>40</v>
      </c>
      <c r="E112" t="s">
        <v>245</v>
      </c>
      <c r="F112" t="s">
        <v>9</v>
      </c>
      <c r="G112" t="s">
        <v>246</v>
      </c>
      <c r="H112" t="s">
        <v>41</v>
      </c>
      <c r="I112" t="s">
        <v>11</v>
      </c>
      <c r="J112" t="s">
        <v>18</v>
      </c>
      <c r="K112" t="s">
        <v>35</v>
      </c>
      <c r="L112" t="s">
        <v>20</v>
      </c>
      <c r="M112">
        <v>1</v>
      </c>
    </row>
    <row r="113" spans="1:13" x14ac:dyDescent="0.25">
      <c r="A113" s="2">
        <v>46315</v>
      </c>
      <c r="B113" s="1" t="str">
        <f ca="1">IF(Información1[[#This Row],[Fecha]]='Ajuste de fechas'!$A$2,"Día actual","Día anterior")</f>
        <v>Día actual</v>
      </c>
      <c r="C113" t="s">
        <v>39</v>
      </c>
      <c r="D113" t="s">
        <v>40</v>
      </c>
      <c r="E113" t="s">
        <v>247</v>
      </c>
      <c r="F113" t="s">
        <v>75</v>
      </c>
      <c r="G113" t="s">
        <v>205</v>
      </c>
      <c r="H113" t="s">
        <v>41</v>
      </c>
      <c r="I113" t="s">
        <v>7</v>
      </c>
      <c r="J113" t="s">
        <v>18</v>
      </c>
      <c r="K113" t="s">
        <v>43</v>
      </c>
      <c r="L113" t="s">
        <v>19</v>
      </c>
      <c r="M113">
        <v>1</v>
      </c>
    </row>
    <row r="114" spans="1:13" x14ac:dyDescent="0.25">
      <c r="A114" s="2">
        <v>46315</v>
      </c>
      <c r="B114" s="1" t="str">
        <f ca="1">IF(Información1[[#This Row],[Fecha]]='Ajuste de fechas'!$A$2,"Día actual","Día anterior")</f>
        <v>Día actual</v>
      </c>
      <c r="C114" t="s">
        <v>39</v>
      </c>
      <c r="D114" t="s">
        <v>40</v>
      </c>
      <c r="E114" t="s">
        <v>247</v>
      </c>
      <c r="F114" t="s">
        <v>9</v>
      </c>
      <c r="G114" t="s">
        <v>205</v>
      </c>
      <c r="H114" t="s">
        <v>41</v>
      </c>
      <c r="I114" t="s">
        <v>7</v>
      </c>
      <c r="J114" t="s">
        <v>18</v>
      </c>
      <c r="K114" t="s">
        <v>43</v>
      </c>
      <c r="L114" t="s">
        <v>19</v>
      </c>
      <c r="M114">
        <v>1</v>
      </c>
    </row>
    <row r="115" spans="1:13" x14ac:dyDescent="0.25">
      <c r="A115" s="2">
        <v>46315</v>
      </c>
      <c r="B115" s="1" t="str">
        <f ca="1">IF(Información1[[#This Row],[Fecha]]='Ajuste de fechas'!$A$2,"Día actual","Día anterior")</f>
        <v>Día actual</v>
      </c>
      <c r="C115" t="s">
        <v>39</v>
      </c>
      <c r="D115" t="s">
        <v>40</v>
      </c>
      <c r="E115" t="s">
        <v>248</v>
      </c>
      <c r="F115" t="s">
        <v>71</v>
      </c>
      <c r="G115" t="s">
        <v>161</v>
      </c>
      <c r="H115" t="s">
        <v>41</v>
      </c>
      <c r="I115" t="s">
        <v>7</v>
      </c>
      <c r="J115" t="s">
        <v>72</v>
      </c>
      <c r="K115" t="s">
        <v>43</v>
      </c>
      <c r="L115" t="s">
        <v>20</v>
      </c>
      <c r="M115">
        <v>1</v>
      </c>
    </row>
    <row r="116" spans="1:13" x14ac:dyDescent="0.25">
      <c r="A116" s="2">
        <v>46315</v>
      </c>
      <c r="B116" s="1" t="str">
        <f ca="1">IF(Información1[[#This Row],[Fecha]]='Ajuste de fechas'!$A$2,"Día actual","Día anterior")</f>
        <v>Día actual</v>
      </c>
      <c r="C116" t="s">
        <v>39</v>
      </c>
      <c r="D116" t="s">
        <v>40</v>
      </c>
      <c r="E116" t="s">
        <v>249</v>
      </c>
      <c r="F116" t="s">
        <v>62</v>
      </c>
      <c r="G116" t="s">
        <v>84</v>
      </c>
      <c r="H116" t="s">
        <v>41</v>
      </c>
      <c r="I116" t="s">
        <v>7</v>
      </c>
      <c r="J116" t="s">
        <v>61</v>
      </c>
      <c r="K116" t="s">
        <v>43</v>
      </c>
      <c r="L116" t="s">
        <v>20</v>
      </c>
      <c r="M116">
        <v>1</v>
      </c>
    </row>
    <row r="117" spans="1:13" x14ac:dyDescent="0.25">
      <c r="A117" s="2">
        <v>46315</v>
      </c>
      <c r="B117" s="1" t="str">
        <f ca="1">IF(Información1[[#This Row],[Fecha]]='Ajuste de fechas'!$A$2,"Día actual","Día anterior")</f>
        <v>Día actual</v>
      </c>
      <c r="C117" t="s">
        <v>39</v>
      </c>
      <c r="D117" t="s">
        <v>40</v>
      </c>
      <c r="E117" t="s">
        <v>250</v>
      </c>
      <c r="F117" t="s">
        <v>26</v>
      </c>
      <c r="G117" t="s">
        <v>88</v>
      </c>
      <c r="H117" t="s">
        <v>41</v>
      </c>
      <c r="I117" t="s">
        <v>58</v>
      </c>
      <c r="J117" t="s">
        <v>18</v>
      </c>
      <c r="K117" t="s">
        <v>43</v>
      </c>
      <c r="L117" t="s">
        <v>20</v>
      </c>
      <c r="M117">
        <v>1</v>
      </c>
    </row>
    <row r="118" spans="1:13" x14ac:dyDescent="0.25">
      <c r="A118" s="2">
        <v>46315</v>
      </c>
      <c r="B118" s="1" t="str">
        <f ca="1">IF(Información1[[#This Row],[Fecha]]='Ajuste de fechas'!$A$2,"Día actual","Día anterior")</f>
        <v>Día actual</v>
      </c>
      <c r="C118" t="s">
        <v>39</v>
      </c>
      <c r="D118" t="s">
        <v>40</v>
      </c>
      <c r="E118" t="s">
        <v>251</v>
      </c>
      <c r="F118" t="s">
        <v>26</v>
      </c>
      <c r="G118" t="s">
        <v>252</v>
      </c>
      <c r="H118" t="s">
        <v>41</v>
      </c>
      <c r="I118" t="s">
        <v>58</v>
      </c>
      <c r="J118" t="s">
        <v>18</v>
      </c>
      <c r="K118" t="s">
        <v>43</v>
      </c>
      <c r="L118" t="s">
        <v>20</v>
      </c>
      <c r="M118">
        <v>1</v>
      </c>
    </row>
    <row r="119" spans="1:13" x14ac:dyDescent="0.25">
      <c r="A119" s="2">
        <v>46315</v>
      </c>
      <c r="B119" s="1" t="str">
        <f ca="1">IF(Información1[[#This Row],[Fecha]]='Ajuste de fechas'!$A$2,"Día actual","Día anterior")</f>
        <v>Día actual</v>
      </c>
      <c r="C119" t="s">
        <v>39</v>
      </c>
      <c r="D119" t="s">
        <v>40</v>
      </c>
      <c r="E119" t="s">
        <v>253</v>
      </c>
      <c r="F119" t="s">
        <v>26</v>
      </c>
      <c r="G119" t="s">
        <v>49</v>
      </c>
      <c r="H119" t="s">
        <v>41</v>
      </c>
      <c r="I119" t="s">
        <v>7</v>
      </c>
      <c r="J119" t="s">
        <v>18</v>
      </c>
      <c r="K119" t="s">
        <v>43</v>
      </c>
      <c r="L119" t="s">
        <v>19</v>
      </c>
      <c r="M119">
        <v>1</v>
      </c>
    </row>
    <row r="120" spans="1:13" x14ac:dyDescent="0.25">
      <c r="A120" s="2">
        <v>46315</v>
      </c>
      <c r="B120" s="1" t="str">
        <f ca="1">IF(Información1[[#This Row],[Fecha]]='Ajuste de fechas'!$A$2,"Día actual","Día anterior")</f>
        <v>Día actual</v>
      </c>
      <c r="C120" t="s">
        <v>39</v>
      </c>
      <c r="D120" t="s">
        <v>40</v>
      </c>
      <c r="E120" t="s">
        <v>254</v>
      </c>
      <c r="F120" t="s">
        <v>68</v>
      </c>
      <c r="G120" t="s">
        <v>76</v>
      </c>
      <c r="H120" t="s">
        <v>41</v>
      </c>
      <c r="I120" t="s">
        <v>7</v>
      </c>
      <c r="J120" t="s">
        <v>70</v>
      </c>
      <c r="K120" t="s">
        <v>43</v>
      </c>
      <c r="L120" t="s">
        <v>19</v>
      </c>
      <c r="M120">
        <v>1</v>
      </c>
    </row>
    <row r="121" spans="1:13" x14ac:dyDescent="0.25">
      <c r="A121" s="2">
        <v>46315</v>
      </c>
      <c r="B121" s="1" t="str">
        <f ca="1">IF(Información1[[#This Row],[Fecha]]='Ajuste de fechas'!$A$2,"Día actual","Día anterior")</f>
        <v>Día actual</v>
      </c>
      <c r="C121" t="s">
        <v>39</v>
      </c>
      <c r="D121" t="s">
        <v>40</v>
      </c>
      <c r="E121" t="s">
        <v>255</v>
      </c>
      <c r="F121" t="s">
        <v>9</v>
      </c>
      <c r="G121" t="s">
        <v>205</v>
      </c>
      <c r="H121" t="s">
        <v>41</v>
      </c>
      <c r="I121" t="s">
        <v>7</v>
      </c>
      <c r="J121" t="s">
        <v>18</v>
      </c>
      <c r="K121" t="s">
        <v>43</v>
      </c>
      <c r="L121" t="s">
        <v>21</v>
      </c>
      <c r="M121">
        <v>1</v>
      </c>
    </row>
    <row r="122" spans="1:13" x14ac:dyDescent="0.25">
      <c r="A122" s="2">
        <v>46315</v>
      </c>
      <c r="B122" s="1" t="str">
        <f ca="1">IF(Información1[[#This Row],[Fecha]]='Ajuste de fechas'!$A$2,"Día actual","Día anterior")</f>
        <v>Día actual</v>
      </c>
      <c r="C122" t="s">
        <v>39</v>
      </c>
      <c r="D122" t="s">
        <v>40</v>
      </c>
      <c r="E122" t="s">
        <v>256</v>
      </c>
      <c r="F122" t="s">
        <v>75</v>
      </c>
      <c r="G122" t="s">
        <v>205</v>
      </c>
      <c r="H122" t="s">
        <v>41</v>
      </c>
      <c r="I122" t="s">
        <v>7</v>
      </c>
      <c r="J122" t="s">
        <v>18</v>
      </c>
      <c r="K122" t="s">
        <v>43</v>
      </c>
      <c r="L122" t="s">
        <v>19</v>
      </c>
      <c r="M122">
        <v>1</v>
      </c>
    </row>
    <row r="123" spans="1:13" x14ac:dyDescent="0.25">
      <c r="A123" s="2">
        <v>46315</v>
      </c>
      <c r="B123" s="1" t="str">
        <f ca="1">IF(Información1[[#This Row],[Fecha]]='Ajuste de fechas'!$A$2,"Día actual","Día anterior")</f>
        <v>Día actual</v>
      </c>
      <c r="C123" t="s">
        <v>39</v>
      </c>
      <c r="D123" t="s">
        <v>40</v>
      </c>
      <c r="E123" t="s">
        <v>203</v>
      </c>
      <c r="F123" t="s">
        <v>75</v>
      </c>
      <c r="G123" t="s">
        <v>190</v>
      </c>
      <c r="H123" t="s">
        <v>41</v>
      </c>
      <c r="I123" t="s">
        <v>7</v>
      </c>
      <c r="J123" t="s">
        <v>18</v>
      </c>
      <c r="K123" t="s">
        <v>43</v>
      </c>
      <c r="L123" t="s">
        <v>21</v>
      </c>
      <c r="M123">
        <v>1</v>
      </c>
    </row>
    <row r="124" spans="1:13" x14ac:dyDescent="0.25">
      <c r="A124" s="2">
        <v>46315</v>
      </c>
      <c r="B124" s="1" t="str">
        <f ca="1">IF(Información1[[#This Row],[Fecha]]='Ajuste de fechas'!$A$2,"Día actual","Día anterior")</f>
        <v>Día actual</v>
      </c>
      <c r="C124" t="s">
        <v>39</v>
      </c>
      <c r="D124" t="s">
        <v>40</v>
      </c>
      <c r="E124" t="s">
        <v>257</v>
      </c>
      <c r="F124" t="s">
        <v>62</v>
      </c>
      <c r="G124" t="s">
        <v>84</v>
      </c>
      <c r="H124" t="s">
        <v>41</v>
      </c>
      <c r="I124" t="s">
        <v>7</v>
      </c>
      <c r="J124" t="s">
        <v>61</v>
      </c>
      <c r="K124" t="s">
        <v>43</v>
      </c>
      <c r="L124" t="s">
        <v>20</v>
      </c>
      <c r="M124">
        <v>1</v>
      </c>
    </row>
    <row r="125" spans="1:13" x14ac:dyDescent="0.25">
      <c r="A125" s="2">
        <v>46315</v>
      </c>
      <c r="B125" s="1" t="str">
        <f ca="1">IF(Información1[[#This Row],[Fecha]]='Ajuste de fechas'!$A$2,"Día actual","Día anterior")</f>
        <v>Día actual</v>
      </c>
      <c r="C125" t="s">
        <v>39</v>
      </c>
      <c r="D125" t="s">
        <v>40</v>
      </c>
      <c r="E125" t="s">
        <v>258</v>
      </c>
      <c r="F125" t="s">
        <v>10</v>
      </c>
      <c r="G125" t="s">
        <v>95</v>
      </c>
      <c r="H125" t="s">
        <v>41</v>
      </c>
      <c r="I125" t="s">
        <v>7</v>
      </c>
      <c r="J125" t="s">
        <v>18</v>
      </c>
      <c r="K125" t="s">
        <v>43</v>
      </c>
      <c r="L125" t="s">
        <v>19</v>
      </c>
      <c r="M125">
        <v>1</v>
      </c>
    </row>
    <row r="126" spans="1:13" x14ac:dyDescent="0.25">
      <c r="A126" s="2">
        <v>46315</v>
      </c>
      <c r="B126" s="1" t="str">
        <f ca="1">IF(Información1[[#This Row],[Fecha]]='Ajuste de fechas'!$A$2,"Día actual","Día anterior")</f>
        <v>Día actual</v>
      </c>
      <c r="C126" t="s">
        <v>39</v>
      </c>
      <c r="D126" t="s">
        <v>40</v>
      </c>
      <c r="E126" t="s">
        <v>259</v>
      </c>
      <c r="F126" t="s">
        <v>27</v>
      </c>
      <c r="G126" t="s">
        <v>54</v>
      </c>
      <c r="H126" t="s">
        <v>41</v>
      </c>
      <c r="I126" t="s">
        <v>7</v>
      </c>
      <c r="J126" t="s">
        <v>18</v>
      </c>
      <c r="K126" t="s">
        <v>43</v>
      </c>
      <c r="L126" t="s">
        <v>19</v>
      </c>
      <c r="M126">
        <v>1</v>
      </c>
    </row>
    <row r="127" spans="1:13" x14ac:dyDescent="0.25">
      <c r="A127" s="2">
        <v>46315</v>
      </c>
      <c r="B127" s="1" t="str">
        <f ca="1">IF(Información1[[#This Row],[Fecha]]='Ajuste de fechas'!$A$2,"Día actual","Día anterior")</f>
        <v>Día actual</v>
      </c>
      <c r="C127" t="s">
        <v>39</v>
      </c>
      <c r="D127" t="s">
        <v>40</v>
      </c>
      <c r="E127" t="s">
        <v>211</v>
      </c>
      <c r="F127" t="s">
        <v>48</v>
      </c>
      <c r="G127" t="s">
        <v>212</v>
      </c>
      <c r="H127" t="s">
        <v>41</v>
      </c>
      <c r="I127" t="s">
        <v>7</v>
      </c>
      <c r="J127" t="s">
        <v>18</v>
      </c>
      <c r="K127" t="s">
        <v>43</v>
      </c>
      <c r="L127" t="s">
        <v>19</v>
      </c>
      <c r="M127">
        <v>1</v>
      </c>
    </row>
    <row r="128" spans="1:13" x14ac:dyDescent="0.25">
      <c r="A128" s="2">
        <v>46315</v>
      </c>
      <c r="B128" s="1" t="str">
        <f ca="1">IF(Información1[[#This Row],[Fecha]]='Ajuste de fechas'!$A$2,"Día actual","Día anterior")</f>
        <v>Día actual</v>
      </c>
      <c r="C128" t="s">
        <v>39</v>
      </c>
      <c r="D128" t="s">
        <v>40</v>
      </c>
      <c r="E128" t="s">
        <v>260</v>
      </c>
      <c r="F128" t="s">
        <v>26</v>
      </c>
      <c r="G128" t="s">
        <v>78</v>
      </c>
      <c r="H128" t="s">
        <v>41</v>
      </c>
      <c r="I128" t="s">
        <v>7</v>
      </c>
      <c r="J128" t="s">
        <v>18</v>
      </c>
      <c r="K128" t="s">
        <v>42</v>
      </c>
      <c r="L128" t="s">
        <v>19</v>
      </c>
      <c r="M128">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23</v>
      </c>
      <c r="B1" t="s">
        <v>24</v>
      </c>
    </row>
    <row r="2" spans="1:2" x14ac:dyDescent="0.25">
      <c r="A2" s="2">
        <f ca="1">TODAY()</f>
        <v>46315</v>
      </c>
      <c r="B2" s="2">
        <f ca="1">A2-1</f>
        <v>46314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2026-10-20T22:42:59Z</dcterms:modified>
</cp:coreProperties>
</file>