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4A5A74B-74C8-4D9A-8B41-A9E2BE18330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8" i="2"/>
  <c r="B29" i="2"/>
  <c r="B30" i="2"/>
  <c r="B31" i="2"/>
  <c r="B32" i="2"/>
  <c r="B33" i="2"/>
  <c r="B34" i="2"/>
  <c r="B35" i="2"/>
  <c r="B36" i="2"/>
  <c r="B37" i="2"/>
  <c r="B38" i="2"/>
  <c r="B39" i="2"/>
  <c r="B40" i="2"/>
  <c r="B41" i="2"/>
  <c r="B42" i="2"/>
  <c r="B43" i="2"/>
  <c r="B44" i="2"/>
  <c r="B45" i="2"/>
  <c r="B46" i="2"/>
  <c r="B47" i="2"/>
  <c r="B48" i="2"/>
  <c r="B49" i="2"/>
  <c r="B50" i="2"/>
  <c r="B51" i="2"/>
  <c r="B52" i="2"/>
  <c r="B27"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<sst xmlns="http://schemas.openxmlformats.org/spreadsheetml/2006/main" count="1035" uniqueCount="213">
  <si>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</si>
  <si>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</si>
  <si>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</si>
  <si>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</si>
  <si>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</si>
  <si>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</si>
  <si>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</si>
  <si>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</si>
  <si>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</si>
  <si>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</si>
  <si>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</si>
  <si>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</si>
  <si>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</si>
  <si>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</si>
  <si>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</si>
  <si>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</si>
  <si>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</si>
  <si>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</si>
  <si>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</si>
  <si>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</si>
  <si>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</si>
  <si>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</si>
  <si>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</si>
  <si>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</si>
  <si>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</si>
  <si>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</si>
  <si>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</si>
  <si>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</si>
  <si>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</si>
  <si>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</si>
  <si>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</si>
  <si>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</si>
  <si>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</si>
  <si>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</si>
  <si>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</si>
  <si>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</si>
  <si>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</si>
  <si>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</si>
  <si>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</si>
  <si>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</si>
  <si>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</si>
  <si>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</si>
  <si>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</si>
  <si>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</si>
  <si>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</si>
  <si>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</si>
  <si>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</si>
  <si>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</si>
  <si>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</si>
  <si>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</si>
  <si>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</si>
  <si>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</si>
  <si>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</si>
  <si>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</si>
  <si>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</si>
  <si>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Radio Lobo 96.7 FM</t>
  </si>
  <si>
    <t>Gina Lorenzo</t>
  </si>
  <si>
    <t>Juan Carlos Santamaria</t>
  </si>
  <si>
    <t>Contraloría</t>
  </si>
  <si>
    <t>SSH</t>
  </si>
  <si>
    <t>NQ 90.1 FM</t>
  </si>
  <si>
    <t>Enlace Hidalgo2</t>
  </si>
  <si>
    <t>Jesús Riveros</t>
  </si>
  <si>
    <t>Ke Buena 106.7 FM</t>
  </si>
  <si>
    <t>Noticias 106.7</t>
  </si>
  <si>
    <t>David Cárdenas</t>
  </si>
  <si>
    <t>Enlace Hidalgo1</t>
  </si>
  <si>
    <t>Combate Al Narcomenudeo</t>
  </si>
  <si>
    <t>Vialidad En Mal Estado</t>
  </si>
  <si>
    <t>Atención Afectaciones Por Lluvias</t>
  </si>
  <si>
    <t>OCSAD</t>
  </si>
  <si>
    <t>Feria Patronal</t>
  </si>
  <si>
    <t>Accidente transporte público</t>
  </si>
  <si>
    <t>Fuga de hidrocarburo</t>
  </si>
  <si>
    <t>Alerta Meteorológica</t>
  </si>
  <si>
    <t>Combate a la delincuencia</t>
  </si>
  <si>
    <t>Atención médica</t>
  </si>
  <si>
    <t>Cultura</t>
  </si>
  <si>
    <t>Turismo</t>
  </si>
  <si>
    <t>Desarticula SSPH dos puntos de venta de narcóticos en Tepeapulco</t>
  </si>
  <si>
    <t>Detención multihomicida</t>
  </si>
  <si>
    <t>Violencia Escolar</t>
  </si>
  <si>
    <t>Recuperación Del Patrimonio</t>
  </si>
  <si>
    <t>Enfoque Regional Meridiano</t>
  </si>
  <si>
    <t>Jesús González</t>
  </si>
  <si>
    <t>La Poderosa Tuxpan 93.1 FM</t>
  </si>
  <si>
    <t>NN Nuestras Noticias Zona Norte</t>
  </si>
  <si>
    <t>Liz Argüelles</t>
  </si>
  <si>
    <t>Prevención del delito</t>
  </si>
  <si>
    <t>Curso de verano</t>
  </si>
  <si>
    <t>Cobro de estacionamiento</t>
  </si>
  <si>
    <t>Accidente Carretero</t>
  </si>
  <si>
    <t>Vacunación</t>
  </si>
  <si>
    <t>Supera Hidalgo metas de vacunación y fortalece la prevención de enfermedades</t>
  </si>
  <si>
    <t>Promoción turística</t>
  </si>
  <si>
    <t>Plan 2040</t>
  </si>
  <si>
    <t>Consejo Estatal de Seguridad</t>
  </si>
  <si>
    <t>Talleres para buscadores de empleo, herramientas para lograr colocación</t>
  </si>
  <si>
    <t>STPSH</t>
  </si>
  <si>
    <t>Empleabilidad</t>
  </si>
  <si>
    <t>Julio Menchaca pide a municipios colaboración permanente para fortalecer acciones en materia de seguridad</t>
  </si>
  <si>
    <t>Radioescucha reporta falta de agua en Fraccionamiento Huixmi - Pitayas; ya varias semanas sin agua,solo mandan una vez al mes una pipa que no da abasto a todas las casas. Si no hacen caso, comentan que realizarán cierre de carreteras hasta que firmen que el agua les llegara minimo 3 veces a la semana. YA CASSIM TIENE ESTA INFO</t>
  </si>
  <si>
    <t>Radioescucha agradece que el dia de ayer se comunicaron de la Caasim, para saber de nuestro problema y gracias ya tenemos agua.</t>
  </si>
  <si>
    <t>Comentó el conductor Eulalio Larrieta que a partir de ayer la CAASIM informó que habrá afectaciones en el suministro de agua potable en los sectores Oriente, Sur Oriente y Centro de la Zona Metropolitana de Pachuca, debido a los trabajos de construcción del tren AIFA-Pachuca, tendrán una duración estimada de hasta 40 horas.</t>
  </si>
  <si>
    <t>Elementos de Protección Civil y Bomberos de Atitalaquia atendieron a un motociclista lesionado tras un accidente con un vehículo particular sobre la carretera Jorobas Tula, a la altura de Aguas Negras. El conductor recibió atención prehospitalaria y fue trasladado al hospital de Pemex Tula para su valoración médica.</t>
  </si>
  <si>
    <t>Reportan un accidente de transporte publico en el Blvr. Pachuca – Pachuquilla a la altura del crucero de la 11 de Julio</t>
  </si>
  <si>
    <t>Campesinos de Valle del Mezquital se manifestaron en las instalaciones de las oficinas de la Conagua en Mixquiahuala a manifestar su inconformidad por no cumplirse los acuerdos en la distribución del agua en sus parcelas. AUDIO AFECTADOS</t>
  </si>
  <si>
    <t>Aguas de riego</t>
  </si>
  <si>
    <t>Radioescucha Pedro Nieto agradece a personal de Caasim, por venir ayer al Barrio San Clemente y arreglar su reporte</t>
  </si>
  <si>
    <t>Una intervención médica oportuna permitió salvar el brazo derecho de una mujer de 52 años que sufrió la mordedura de una araña violinista en Hidalgo, informó el IMSS Bienestar. La paciente llegó al Hospital General de Apan con un cuadro clínico de alta gravedad que ponía en riesgo la viabilidad de la extremidad.De acuerdo con el reporte médico, la mujer presentaba una inflamación severa provocada por la picadura, además de síndrome compartimental, una condición que incrementa la presión dentro de los tejidos y puede bloquear el flujo sanguíneo, lo que eleva el riesgo de daño irreversible e incluso de amputación si no se atiende de inmediato.</t>
  </si>
  <si>
    <t>Entrevista grabada Lizbeth Robles Gutiérrez, titular de la SEMOT, sobre tarifas del transporte público . Tras cumplirse casi un mes desde que se dio el incremento del 20% a la tarifa del transporte público en su modalidad colectivo (autorizado en el acuerdo publicado el 5 de mayo de este año en el Periódico Oficial del Estado de Hidalgo), la titular de la dependencia reportó que se ha tenido una muy buena respuesta del sector transporte. Destacó que las personas concesionarias y las personas conductoras han respondido positivamente y están conscientes de que deben mejorar las condiciones y la calidad en la prestación del servicio.La postura y exigencia de las personas usuarias: La secretaria señaló que la ciudadanía exige una mejora justa y proporcional en la calidad del servicio; el público usuario plantea que, si ya se incrementó el pasaje, las personas concesionarias también deben mejorar la prestación del servicio e incluir la mejora en las unidades correspondientes. Robles Gutiérrez aclaró que tiene muy poco tiempo como para que de inmediato se vea reflejado en la flotilla vehicular, pero las personas concesionarias ya atienden el tema y necesitan estabilizar sus gastos para programar las mejoras y verificar las vigencias de las unidades que están por vencer.Anuncio de revisión extraordinaria de seguros: Aunque los transportistas deben cumplir con la calidad y los estándares que la misma ley de movilidad y transporte y su reglamento les exigen de forma inmediata y sin plazos de gracia, se adelantó que la secretaría generará una revisión extraordinaria. Este operativo se enfocará solamente en verificar que todas las unidades de transporte público cuenten con su seguro vigente, sin importar si han pasado o no la revista vehicular de este año.</t>
  </si>
  <si>
    <t>Aumento Tarifa De Transporte</t>
  </si>
  <si>
    <t>Radioescucha Señor Sánchez, ¿qué pasó con regular el cobro de estacionamientos en Pachuca?</t>
  </si>
  <si>
    <t>El gobernador Julio Menchaca habló sobre el tema del presunto responsable del homicidio del Saucillo, AUDIO APOYO</t>
  </si>
  <si>
    <t>Una nota que llamo mucho la atención es que hoy dan a conocer que el presunto responsable del homicidio del Saucillo no es menor de edad, tiene 18 años la persona que asesinó al conductor, a la persona que iba a vender una camioneta. Las investigaciones de la PGJEH determinan la verdadera identidad del detenido, quien es originario de Ecatepec, en el Estado de México, aunque actualmente tiene su domicilio en el municipio de Coacalco. Debido a que ya es un adulto, no enfrentará su procedimiento ante el sistema de justicia penal para adolescentes, que prevé penas máximas de cinco años de prisión.Por el contrario, está vigente el plazo de 48 horas para ser puesto a disposición de un juez de control, aunque todavía no se dan a conocer los delitos que el Ministerio Público le va a imputar, las conductas que hizo corresponden a homicidio doloso, calificado y robo de vehículo.</t>
  </si>
  <si>
    <t>El gobernador de Hidalgo, Julio Menchaca Salazar, llamó a fortalecer la coordinación entre los tres órdenes de gobierno para reforzar la seguridad y garantizar la tranquilidad de la población durante la primera sesión ordinaria del Consejo Estatal de Seguridad Pública. En este encuentro se informó que del año dos mil veintidós a la fecha, las autoridades han detenido a más de veinticinco mil personas, asegurando más de un millón trescientas mil dosis de droga, mil doscientas armas de fuego y recuperado casi cinco mil novecientos vehículos con reporte de robo. Además, en esta misma reunión, en este mismo encuentro, la Procuraduría destacó que de enero a mayo de este año, la extorsión disminuyó sesenta y siete punto veintisiete por ciento y el homicidio doloso veintiuno punto tres por ciento, en comparación con el mismo periodo de dos mil veinticinco. También se anunció una inversión superior a los trescientos veintinueve millones de pesos para fortalecer las instituciones de seguridad en la entidad. AUDIO DE APOYO</t>
  </si>
  <si>
    <t>EL Secretario de Seguridad Pública de Hidalgo, Salvador Cruz Nerí, informó que lo ideal será que el penal regional se construya en Ixmiquilpan, por lo que dijo que se analizan 2 predios con un presupuesto estimado de 70 millones de pesos.</t>
  </si>
  <si>
    <t>Construcción de Cereso</t>
  </si>
  <si>
    <t>El gobernador Julio Menchaca aseguró que no se ha definido el municipio en el que se va a construir el nuevo penal regional, debido a que se encuentran análisis previos en los que sean accesibles los servicios básicos como agua potable, por lo que se proyecta que sí se concreta este año, reiteró que se encuentra en análisis dicho proyecto que originalmente iba a construir en Tasquillo, pero la presión social lo canceló, por lo que se evalúan otras opciones, AUDIO APOYO</t>
  </si>
  <si>
    <t>Conagua reporta resultados favorables en la primera fase del Plan Maestro de Recuperación de la Presa Endhó. A dos meses del inicio de la campaña de fumigación, las evaluaciones técnicas muestran una disminución en la presencia del Mosco culex, tanto en la presa como en las comunidades ribereñas. Hay que recordar que son cuatro etapas, ya se está presentando el informe de esta primera fase. Los monitoreos indican que la densidad de larvas bajó de 180 a 95 por metro cuadrado, mientras que la población de moscos adultos pasó de un promedio de 143 a 76 ejemplares por trampa. Además, 23 de las 27 comunidades prioritarias ya recibieron siete ciclos de fumigación y las cuatro restantes avanzan en la sexta aplicación. La estrategia ha beneficiado a más de 27 mil habitantes e incluye fumigación terrestre, aplicaciones aéreas con drones sobre zonas con lirio acuático y monitoreo científico permanente. Conagua informó que esta campaña forma parte de la primera de cuatro etapas del Plan Maestro para la Recuperación Ambiental de la Presa Endhó. AUDIO DE APOYO</t>
  </si>
  <si>
    <t>Control lirio acuático</t>
  </si>
  <si>
    <t>Una presunta banda dedicada al fraude mediante la venta de vehículos por autofinanciamiento fue detenida la tarde del martes 7 de julio en Huejutla, donde, de acuerdo con las primeras investigaciones, habría defraudado al menos a 20 personas, aunque el número de víctimas podría aumentar en los próximos días.La empresa involucrada operaba bajo el esquema de autofinanciamiento y tenía su sucursal en la calle Generales Azuara, en la zona centro del municipio.</t>
  </si>
  <si>
    <t>Detención</t>
  </si>
  <si>
    <t>El titular de la Auditoría Superior del Estado de Hidalgo (ASEH), Jorge Valverde Islas, anunció que entre octubre y noviembre se dará a conocer la resolución sobre la investigación a la exsecretaria de Finanzas, Jessica Blancas. En diciembre del año pasado, la exfuncionaria y el exgobernador Omar Fayad entregaron cinco a seis cajas con documentos para intentar solventar la observación de $59,208,069.10 pesos.</t>
  </si>
  <si>
    <t>Estafa Siniestra</t>
  </si>
  <si>
    <t>Comentan que ayer se pasó el reporte de la Sra. Alva García y nos comentan que de Caasim se comunicaron con ella para resolver su problema, pero ella no quiso, ya que se puede dañar su pared que es de azulejo.</t>
  </si>
  <si>
    <t>Fuga De Agua</t>
  </si>
  <si>
    <t>Radioescucha reporta que sigue el olor a combustible desde el día domingo, en el lado de Real de Pachuca, Forjadores, C. Doria, en el ISSSTE; ya van varios días con ese fuerte olor.</t>
  </si>
  <si>
    <t>A un año del ataque que conmocionó a Pachuca, el caso de estos dos agentes de investigación asesinados en la colonia La Loma, en Pachuca, pues está por entrar la etapa de la sentencia para los implicados. No sé si usted recuerda este caso. Aquí se lo presentamos. Fue el caso de Los Angelitos Negros. Aquí en Hidalgo se refiere pues a este trágico asesinato de dos agentes de investigación, Paulino Castañeda y Vicente Monroy, que ocurrió el 5 de julio de 2025. Fueron lamentablemente secuestrados, torturados durante 15 horas por presuntos miembros de un culto conocido como Ángel Negro 666, ubicado en Pachuca. Aquí nos lo presenta Joselyn Sánchez. Francisco Fernández Hasbun, encargado del despacho de la Procuraduría General de Justicia del Estado de Hidalgo, señaló que considera como justa la pena de 286 años de prisión para cada uno de los cuatro acusados por el secuestro agravado y homicidio de los agentes de investigación Paulino Castañeda Aguilar y Vicente Monroy Ballesteros. El funcionario explicó que la petición realizada por el Ministerio Público contempla la pena máxima establecida para el delito de secuestro grabado, además de una sanción adicional por delitos contra la salud. Fernández Hasbun señaló que la Procuraduría busca que las víctimas obtengan sentencias acordes con la gravedad de los hechos y que las personas responsables reciban una sanción conforme a derecho. El proceso penal se encuentra en etapa intermedia y está próximo a llegar a juicio oral, donde se definirán las pruebas que serán presentadas ante el Tribunal de Enjuiciamiento. Estamos en etapa intermedia, recordemos que esta es una etapa que es la que ya estamos por terminar y entremos a juicio. Enfoque Regional, informó Jocelyn Sánchez. AUDIOS DE APOYO</t>
  </si>
  <si>
    <t>Homicidio de Policía</t>
  </si>
  <si>
    <t>Hoy en Mixquiahuala se cansaron de esperar a las autoridades y decidieron hacer justicia por propia mano. Habitantes de la comunidad de Motobatha retuvieron a dos presuntos asaltantes luego de que presuntamente robaran una tienda de la localidad. Ante la demora de la llegada de la policía municipal, pues vecinos iniciaron una persecución y lograron interceptar el vehículo en el que intentaban escapar los presuntos delincuentes, un Nissan March Blanco con placas del Estado de México. Los sospechosos fueron entregados a las autoridades y puestos a disposición del Ministerio Público. Habitantes solicitaron reforzar la vigilancia en las carreteras de Mixquiahuala, Tlahuelilpan y exigieron que el proceso se lleve con total transparencia para evitar que los detenidos queden en libertad.</t>
  </si>
  <si>
    <t>Justicia Por Propia Mano</t>
  </si>
  <si>
    <t>Contraloría de Hidalgo lleva el padrón de proveedores y contratistas al mundo digital</t>
  </si>
  <si>
    <t>Padrón de proveedores</t>
  </si>
  <si>
    <t>Huasteca hidalguense, región clave del Plan Prospectivo Hidalgo 2040, AUDIO APOYO</t>
  </si>
  <si>
    <t>La presidenta Claudia Sheinbaum informó este jueves 9 de julio que el Gobierno de México mantiene las acciones preventivas en Tula, Hidalgo, con el objetivo de disminuir el riesgo de inundaciones durante la actual temporada de lluvias y huracanes.Durante su conferencia matutina, la mandataria explicó que estas labores forman parte de una estrategia nacional de prevención que también se desarrolla en Guerrero, Oaxaca, Tabasco y la región de la Huasteca, donde las precipitaciones suelen incrementar el peligro de desbordamientos y afectaciones a la población</t>
  </si>
  <si>
    <t>Prevención de inundaciones</t>
  </si>
  <si>
    <t>Menchaca Salazar entrega nuevo Centro Administrativo del Bienestar y Desarrollo Rural, AUDIO APOYO</t>
  </si>
  <si>
    <t>Menchaca Salazar entrega nuevo Centro Administrativo del Bienestar y Desarrollo Rural</t>
  </si>
  <si>
    <t>El gobernador Julio Menchaca entregó el nuevo Centro Administrativo del Bienestar y Desarrollo Rural, construido en el predio que anteriormente ocupaba la residencia oficial del mandatario y que ahora será destinado a la atención de la ciudadanía. El complejo albergará a las Secretarías de Bienestar e Inclusión Social y de Agricultura y Desarrollo Rural, lo que permitirá un ahorro anual de diecisiete millones de pesos en rentas. Además, el gobierno estatal reiteró que busca concluir la Administración sin oficinas arrendadas en la zona metropolitana de Pachuca. El inmueble cuenta con más de seis mil novecientos metros cuadrados de construcción, noventa y seis oficinas, diez salas de juntas y más de setecientos espacios operativos, resultado de una inversión superior a los trescientos setenta y siete millones de pesos. Autoridades estatales señalaron que estas nuevas instalaciones fortalecerán la atención a la población y la operación de los programas sociales y del sector agropecuario. Vamos a terminar la administración sin tener rentas en la zona metropolitana de Pachuca. El compromiso que asumimos es que esos cuatrocientos cuarenta y cinco millones que se gastó la administración anterior en rentas se utilicen en programas sociales, en apoyos a las personas. AUDIO DE APOYO</t>
  </si>
  <si>
    <t>Radioescucha reporta vialidad en mal estado, tiene muchos baches; esto en calle Tomás de Verux, colonia Santa Julia</t>
  </si>
  <si>
    <t>Radioescucha reporta un gran bache en Andador manzana I en la Plutarco Elías Calles.</t>
  </si>
  <si>
    <t>Madres y padres de familia del área de preescolar de un colegio, en el municipio de Tizayuca, realizaron una manifestación a las afueras del plantel para denunciar presuntos actos de violencia física y psicológica contra varios menores, presuntamente cometidos por una docente suplente, AUIDO APOYO</t>
  </si>
  <si>
    <t>2DA parte de entrevista grabada Lizbeth Robles Gutiérrez, titular de la SEMOT, , se abordaron las denuncias ciudadanas sobre presuntos cobros excesivos tras el reciente incremento de tarifas, detallando los mecanismos institucionales para reportar estas anomalías y la postura del estado frente al transporte por aplicaciones y traslados particulares irregulares. Ante los reportes de que en municipios como Actopan se han registrado cobros de hasta el 30 por ciento (superando el 20 por ciento autorizado) mediante hojas informativas sin sellos oficiales, la funcionaria explicó que la dependencia a su cargo, a través del Sistema de Transporte Convencional de Hidalgo (STCH), realiza un monitoreo en medios y redes sociales para investigar los casos. Sin embargo, aclaró que no siempre es posible atender todas las incidencias debido al volumen de páginas y a que en redes se suele reciclar información antigua, fotos erróneas o denuncias falsas. Precisó además que el equipo de supervisión solo puede sancionar cuando existe flagrancia; es decir, si se reporta que una unidad se pasó un alto o cometió una falta del pasado, la autoridad no puede infraccionar a destiempo si no le consta el hecho al momento de la revisión, aunque sí se inspecciona físicamente el vehículo para detectar cualquier otra irregularidad vigente.Por ello, la secretaria enfatizó que las redes sociales son herramientas de inconformidad pero no constituyen una queja formal. Para proceder legalmente con una sanción, las personas usuarias deben presentar una queja formal ante la Unidad de Atención Ciudadana del STCH. Los canales oficiales disponibles son los números telefónicos 800-503-2002 y 771-526-1284, el correo electrónico quejatransporte.hidalgo.gov.mx, o de manera presencial en Avenida Los Prismas número 205, Colonia La Colonia, en Pachuca, en un horario de lunes a viernes de 9:00 a 17:00 horas.</t>
  </si>
  <si>
    <t>Comenta conductor Eulalio Larrieta agradece a su hermana, por pasarle una liga donde están todos los lugares que no tendrán agua por unos días, pero no es la oficial, ya que Caasim no sacó un listado oficial de las colonias, ni nos dieron información.</t>
  </si>
  <si>
    <t>Radioescucha reporta falta de agua en Bosques del Peñar</t>
  </si>
  <si>
    <t>Radioescucha reporta falta de agua en la 11 de Julio</t>
  </si>
  <si>
    <t>Reportan que una camioneta del transporte público de la ruta Pachuquilla–Universidad–Piracantos volcó en el crucero del bulevar Luis Donaldo Colosio y la carretera Pachuca-Tulancingo, a la altura de la colonia 11 de Julio</t>
  </si>
  <si>
    <t>El presidente municipal de Mineral de la Reforma, Eduardo Medécigo Rubio, y la presidenta honorífica del Patronato del Sistema Municipal DIF, Samantha Esparza Hernández, encabezaron la reinauguración del Club del Adulto Mayor Chacón, espacio destinado a promover la convivencia, el bienestar y la integración social de las personas adultas mayores.Durante el acto, el alcalde destacó que este tipo de centros representan un pilar para mejorar la calidad de vida de este sector de la población, al ofrecer espacios dignos donde puedan desarrollarse, convivir y participar en diversas actividades.</t>
  </si>
  <si>
    <t>Apoyo a adultos mayores</t>
  </si>
  <si>
    <t>Avanzan acciones para mejorar operación de la autopista Arco Norte, AUDIO APOYO SALVADOR CRUZ NERI Y GUILLERMO OLIVARES</t>
  </si>
  <si>
    <t>Coordinación interestatal</t>
  </si>
  <si>
    <t>Con el propósito de ofrecer espacios de aprendizaje, recreación y sana convivencia durante el periodo vacacional, el Sistema DIF Pachuca llevará a cabo el curso “Verano ReCreativo”, dirigido a niñas, niños y adolescentes de 6 a 16 años.El curso se realizará del 20 de julio al 6 de agosto, de lunes a viernes, en un horario de 9:00 a 12:00 horas, y contará con actividades deportivas, lúdicas y artísticas que contribuirán al desarrollo de habilidades, el trabajo en equipo y la creatividad de las y los participantes.Las actividades se desarrollarán en tres sedes: Pilares Parque de Poblamiento, Pilares Periodistas y CDC El Lobo.Las inscripciones estarán abiertas hasta el 17 de julio, de 9:00 a 15:00 horas, directamente en cada una de las sedes. El curso es gratuito, aunque no incluye materiales, y contará con cupo limitado</t>
  </si>
  <si>
    <t>Policías de seguridad pública municipal de Atotonilco de Tula detuvieron a dos delincuentes que estarán sujetos a una investigación por el delito de robo de un vehículo sin violencia, ambos quedaron a disposición del agente del ministerio público</t>
  </si>
  <si>
    <t>El presunto responsable del homicidio ocurrido en el Saucillo el pasado 7 de julio utilizó un anuncio publicado en redes sociales para contactar al propietario de una camioneta. Lo citó en un centro comercial, revisó la documentación del vehículo en la casa de la víctima y posteriormente le pidió probarla en un camino de terracería donde lo despojó de la unidad y le disparó en el rostro. Así lo informó el secretario de Seguridad Pública de Hidalgo, Salvador Cruzneri, quien explicó que de acuerdo con las investigaciones el agresor accionó el arma de fuego antes de huir con la camioneta, AUDIO APOYO</t>
  </si>
  <si>
    <t>Comenta conductor Jesus Gonzalez que la nota que la nota de esta semana que ha llamado mucho la atención por la gravedad de lo que ocurrió fue el asesinato de una persona allá en el Saucillo. Esta persona quería vender su camioneta y se encontró con unos ampones, unas lacras que le quitaron su unidad y lo mataron.</t>
  </si>
  <si>
    <t>Radioescucha comenta: Ya vimos que ya publicaron los costos del palenque de Pachuca, pero están muy caros; ojalá el señor gobernador cheque esto. También el consumo de bebidas; es muy triste que jóvenes terminen muy borrachos.</t>
  </si>
  <si>
    <t>Feria Pachuca</t>
  </si>
  <si>
    <t>El Congreso del Estado Libre y Soberano de Hidalgo y la Auditoría Superior del Estado de Hidalgo (ASEH), con la participación del Archivo General del Estado de Hidalgo, firmaron un Acuerdo de Coordinación Interinstitucional en Materia Archivística, el cual representa un compromiso conjunto para fortalecer la gestión documental, promover la conservación del patrimonio documental de las instituciones y consolidar una cultura archivística basada en la transparencia, legalidad y rendición de cuentas.El diputado Andrés Velázquez Vázquez, presidente de la Junta de Gobierno, señaló que este instrumento, impulsado tras años de trabajo conjunto y voluntad institucional, permitirá regularizar la organización, conservación y resguardo de los archivos públicos, garantizando su autenticidad, integridad y valor histórico conforme a la legislación vigente.También enfatizó que los archivos son un elemento fundamental para la construcción de instituciones más honestas y ordenadas, al tiempo que reconoció el respaldo del Gobierno del Estado y el esfuerzo de las áreas técnicas que hicieron posible este acuerdo, el cual contribuirá a preservar el patrimonio documental y fortalecer la confianza de la ciudadanía en las instituciones públicas.</t>
  </si>
  <si>
    <t>Firma De Convenio</t>
  </si>
  <si>
    <t>Radioescuchas vecinos del sur oriente reportan fuerte olor a diésel y gasolina en sus coladeras.</t>
  </si>
  <si>
    <t>Radioescucha reporta que sigue el olor muy fuerte a diésel y gasolina en algunos fraccionamientos como Tuzos, Saucillo, C. Doria; debido a la localización de una toma clandestina, piden a las autoridades ayudar, para saber qué está pasando.</t>
  </si>
  <si>
    <t>Radioescucha Sra. Gama reporta que van 2 días que sigue el olor muy fuerte a diésel por la carretera Sahagún a la altura del rastro municipal.</t>
  </si>
  <si>
    <t>Cuautepec de Hinojosa, Santiago Tulantepec, Tepeapulco, Nopala y Singuilucan están entre los 20 municipios del país con mayor número de tomas clandestinas de hidrocarburo durante el primer trimestre de 2026.Las cifras posicionaron a Hidalgo como la entidad con mayor incidencia nacional, al concentrar 21 de los 100 municipios del país con más perforaciones a ductos de hidrocarburo.Cuautepec no solo encabezó el listado estatal, sino también el nacional, con 202 tomas clandestinas. En esa demarcación, autoridades estatales localizaron cuatro túneles utilizados para el robo de combustible, algunos de ellos cercanos a zonas habitacionales, según informó la Subsecretaría de Protección Civil y Gestión de Riesgos de Hidalgo.Dentro del listado de los cinco municipios hidalguenses figuró Santiago Tulantepec, con 52 perforaciones ilegales, seguido de Tepeapulco, con 51, municipio donde también fueron detectados dos túneles huachicoleros.</t>
  </si>
  <si>
    <t>Huachitúnel</t>
  </si>
  <si>
    <t>Radioescucha reporta muy mala atención en la clínica del IMSS del lado de la farmacia.</t>
  </si>
  <si>
    <t>Inatención</t>
  </si>
  <si>
    <t>El gobernador de Hidalgo, Julio Menchaca Salazar, anunció que será el próximo 5 de septiembre cuando presente su informe de gobierno en el que dará cuenta de los avances, acciones y resultados alcanzados por su administración durante el último año. AUDIO DE APOYO.</t>
  </si>
  <si>
    <t>Informe De Gobierno</t>
  </si>
  <si>
    <t>Salvador Cruz Neri titular de la Secretaría de Seguridad Pública de Hidalgo el informó que ya se prepara el operativo especial por el periodo vacacional de verano, en el que participarán alrededor de 5.000 elementos policíacos, tanto municipales como estatalesLos operativos también serán preventivos para evitar fraudes en las ofertas de paquetes vacacionales y se reforzará la vigilancia en colonias para evitar el robo de casa habitación. También se distribuirán cámaras de seguridad en los 84 municipios de la entidad, AUDIO APOYO</t>
  </si>
  <si>
    <t>Operativo de Seguridad</t>
  </si>
  <si>
    <t>El secretario de gobierno de Hidalgo Guillermo Olivares Reyna junto al subdirector de Infraestructura Hidroagrícola y al director local de la CONAGUA, así como con comisariados ejidales, campesinas, campesinos y liderazgos de la región de Tlahuelilpan, se dieron a conocer los avances del Plan Hídrico, una estrategia que impulsa la tecnificación del campo, optimiza el uso del agua y mejora la infraestructura agrícola para generar mayores oportunidades de desarrollo para las y los productores de Hidalgo, AUDIO APOYO</t>
  </si>
  <si>
    <t>Plan Hídrico</t>
  </si>
  <si>
    <t>Gobierno estatal fortalece la prevención ante el incremento de lluvias por el fenómeno de El Niño (AUDIO ROMAN BERNAL).</t>
  </si>
  <si>
    <t>Prevención De Riesgos</t>
  </si>
  <si>
    <t>Con el objetivo de salvaguardar a las familias en las distintas regiones de la entidad, el Gobierno del Estado de Hidalgo, bajo la dirección de Julio Menchaca Salazar, mantiene activa una estrategia permanente de coordinación, capacitación y prevención institucional frente a las estimaciones de una temporada de lluvias más prolongada y con mayor actividad ciclónica derivada del fenómeno de El Niño.Sobre este plan integral, el subsecretario de Protección Civil y Gestión de Riesgos, Román Bernal Díaz, puntualizó que el eje central de la administración estatal es consolidar y robustecer la cultura de la prevención. Con ello, se busca dotar a las y los hidalguenses de las herramientas necesarias para reaccionar con oportunidad ante cualquier fenómeno hidrometeorológico que ponga en riesgo su integridad o su patrimonio. AUDIO DE APOYO</t>
  </si>
  <si>
    <t>Conductor comentó: le va un tip rapidísimo si es que usted está intentando hacer una compra venta de vehículo: dentro de la negociación, mencionar que si la otra persona se siente cómoda con que usted vaya acompañado por autoridades municipales o estatales por seguridad de ambos. Y ahí es un filtro donde usted va a poder verificar que si está siendo víctima de algún fraude o no. Si la persona accede, seguramente podrá tener un final bueno en esta compra venta y si no, usted se evitará de algún problema mayor.</t>
  </si>
  <si>
    <t>El gobernador de Hidalgo, Julio Menchaca Salazar, llamó a la ciudadanía a tomar precauciones al momento de comprar un vehículo y realizar este tipo de operaciones de manera segura para evitar ser víctima de fraudes o delitos. El mandatario recomendó verificar la documentación de la unidad, confirmar su situación legal y de ser posible concretar la compra-venta en espacios seguros o con acompañamiento de autoridades. AUDIO DE APOYO</t>
  </si>
  <si>
    <t>Hidalgo fortalece la promoción turística regional en el Festival Internacional de las Luciérnagas 2026. En el municipio de Amecameca y con la anfitrionía de la secretaria de Cultura y Turismo del Estado de México, Nelly Carrasco Godínez, Elizabeth Quintanar Gómez, titular de Turismo de Hidalgo reafirmó el compromiso del gobierno de Julio Menchaca para continuar con trabajo coordinado entre ambas entidades, a fin de impulsar la promoción turística y el impacto positivo de las comunidades.Durante la conferencia de prensa donde se presentaron los detalles del Festival Internacional de las Luciérnagas 2026, se anunció también que Hidalgo participará en las sedes que el evento tendrá en Amecameca, Tlalmanalco y Ecatzingo con una muestra de artesanías, con la presencia de los Pueblos con Sabor y con la participación de la compañía de danza Espectacular de Pachuca, todo ello en la ceremonia inaugural</t>
  </si>
  <si>
    <t>Radioescucha reporta que pide chequen las máquinas que están en el Tuzobús, ya que mi hijo la checó sin problema; al llegar la alimentadora, decía que no era válida.</t>
  </si>
  <si>
    <t>Quejas Tuzobús</t>
  </si>
  <si>
    <t>Tras el exhorto del Congreso de Hidalgo, la Secretaria del Medio Ambiente y Recursos Naturales del Estado Mónica Mixtega Trejo informó que la dependencia que dirige va a entregar en estos días el expediente técnico sobre el relleno sanitario de Tula, AUDIO APOYO</t>
  </si>
  <si>
    <t>Relleno Sanitario</t>
  </si>
  <si>
    <t>Marco Antonio M. G., expolicía municipal de Mineral de la Reforma, Hidalgo, fue sentenciado a 172 años de prisión por el feminicidio de Rosaura Ocampo Hinojosa, cometido el 5 de febrero de 2025. Se trata de un caso en el que la joven de 25 años había denunciado por violencia familiar y secuestro a su agresor. Aunque fue detenido y estuvo un mes en prisión, Marco Antonio fue liberado por orden de una jueza; después de violar reiteradamente la orden de restricción y seguir amenazando a su expareja, terminó por matar a Rosaura y a dos miembros de su familia en un ataque múltiple con arma punzocortante. Militar de formación y luego incorporado como agente de la Secretaría de Seguridad Pública y Tránsito Municipal de Mineral de la Reforma, Marco Antonio fue puesto a disposición del ministerio público por violencia familiar y privación ilegal de la libertad en contra de Rosaura el 13 de octubre de 2024. En ese momento era oficial en activo.</t>
  </si>
  <si>
    <t>Sentencia multihomicida</t>
  </si>
  <si>
    <t>Consigue PGJEH 172 años de prisión para responsable de feminicidio, homicidio doloso y homicidio doloso en grado de tentativa</t>
  </si>
  <si>
    <t>Derivado de una solicitud de cinco regidores para la intervención de la Secretaría de la Contraloría del Estado de Hidalgo, Se llevó a cabo una inspección en la obra que se realiza en la calle Héroes de la comunidad de Santa María Quelites en Tepeji del Río. AUDIO APOYO</t>
  </si>
  <si>
    <t>Supervisión de obra</t>
  </si>
  <si>
    <t>El panorama climático en México se prepara para una transición significativa mientras algunas lluvias se presentan en el país. De acuerdo con el monitoreo del Servicio Meteorológico Nacional (SMN) el sistema global conocido como "El Niño" u Oscilación del Sur (ENOS) presenta cambios importantes que impactarán las condiciones meteorológicas en los próximos meses. Recientemente, se compartió que La Niña" seguía presente a inicio del 2026, pero con pronóstico de debilitamiento para los siguientes meses con posibilidad de desarrollo de "El Niño". Según el SMN de la Comisión Nacional del Agua (Conagua), el ENOS es una fluctuación interanual del sistema Océano-Atmósfera en el océano Pacífico Ecuatorial. Este fenómeno se caracteriza por cambios significativos en la temperatura de la superficie del mar y en la circulación atmosférica a gran escala. Tras un periodo donde han predominado las anomalías negativas de temperatura (reflejo de La Niña), especialmente intensas entre agosto de 2025 y febrero de 2026, los datos más recientes de la CONAGUA indican un cambio. A partir de marzo de 2026, se ha observado un incremento en las temperaturas de la región tropical ecuatorial del Pacífico. Por ello, las autoridades han emitido un estatus de Advertencia de La Niña y vigilancia de El Niño. "Se espera una transición de La Niña a ENSO-neutral en el próximo mes, manteniéndose dicha condición hasta el trimestre mayo-junio-julio de 2026, con una probabilidad del 55 %", indica Conagua. Aunque el fenómeno se origina en el Pacífico Ecuatorial, por lo que no afecta directamente a México, sus efectos alteran los patrones de viento y lluvia en todo el país.</t>
  </si>
  <si>
    <t>Se realizó la presentación de la Feria de Los Angelitos en el municipio de Tulancingo 2026, la cuál de realizará del 26 de julio al 17 de agosto. Los comerciantes comenzarán a colocarse desde la noche del sábado 25 de julio, activando los cierres viales en el centro.</t>
  </si>
  <si>
    <t>El gobernador Julio Menchaca Salazar llevó a cabo la entrega de la Presea al Mérito Jurídico 2026 “Alfonso Cravioto Mejorada” en el marco del Día de la abogada y el abogado. (AUDIO JMS).</t>
  </si>
  <si>
    <t>Medalla Alfonso Cravioto</t>
  </si>
  <si>
    <t>SIPDUS entrega tubería de compuertas para optimizar el riego en Ixmiquilpan</t>
  </si>
  <si>
    <t>Tecnificación De Riego</t>
  </si>
  <si>
    <t>El Congreso de Hidalgo, la Auditoría Superior del Estado (ASEH) y el Archivo General del Estado firmaron un acuerdo de coordinación para mejorar la organización, conservación y resguardo de los archivos públicos, con el objetivo de fortalecer la transparencia, la rendición de cuentas y el acceso a la información. Durante la firma del convenio, el presidente de la Junta de Gobierno del Congreso, Andrés Velázquez Vázquez, señaló que este acuerdo permitirá poner en orden los archivos institucionales y garantizar que los documentos públicos se conserven de manera adecuada, con apego a la legislación vigente. El legislador destacó que los archivos son fundamentales para preservar la memoria de las instituciones y fortalecer la confianza de la ciudadanía, además de reconocer el trabajo conjunto que hizo posible concretar este instrumento. Por su parte, el auditor superior del estado, Jorge Valverde Islas, calificó la firma del convenio como un hecho relevante para dar mayor certeza jurídica al manejo de los documentos públicos. Explicó que el acuerdo establece las responsabilidades de cada institución y define los mecanismos para identificar, clasificar y resguardar los archivos, incluyendo los generados entre 2008 y 2018, así como los creados a partir de 2019. La titular del Archivo General del Estado, Arlene Guadalupe Morón Montiel, indicó que este mecanismo permitirá fortalecer la organización e inventario de los expedientes, facilitar el acceso a la información pública, proteger los datos personales y contribuir al combate a la corrupción.</t>
  </si>
  <si>
    <t>Zapotlán de Juárez se perfila como referente nacional en la industria farmacéutica</t>
  </si>
  <si>
    <t>Polos del Bienestar</t>
  </si>
  <si>
    <t>Capturando Hidalgo 2026 abre convocatoria para reconocer el talento fotográfico de la entidad</t>
  </si>
  <si>
    <t>Concurso de fotografía</t>
  </si>
  <si>
    <t>Comisión Nacional del Agua (CONAGUA) y autoridades municipales mantienen vigilancia y despliegan operativos de apoyo en Tizayuca tras las recientes lluvias torrenciales, las cuales dejaron daños en decenas de viviendas y elevaron el nivel de la presa El Manantial al 100% de su capacidad.</t>
  </si>
  <si>
    <t>El SITMAH informa que este día un motociclista realizó un corte de circulación al paso de la unidad con económico 28 de la ruta troncal del Transporte Metropolitano. El hecho ocurrió cuando la unidad circulaba sobre avenida Juárez, a la altura de la calle 16 de Enero, donde se registró un roce entre ambos vehículos.</t>
  </si>
  <si>
    <t>Accidente Tuzobús</t>
  </si>
  <si>
    <t>Durante el periodo vacacional de verano, la Secretaría de Seguridad Pública de Hidalgo (SSPH) desplegará un operativo especial en el que participarán alrededor de cinco mil elementos estatales y municipales para reforzar la vigilancia en todo el estado, informó el titular Salvador Cruz Neri. El funcionario explicó que, como ocurre cada año, ya tienen listo el plan operativo y este jueves sostendrán reuniones con los mandos coordinados para definir las acciones que se implementarán durante la temporada. Recomendó a la población que refuerce la seguridad de las viviendas para prevenir robos a casa habitación, además de mantenerse alerta ante posibles fraudes relacionados con la venta de paquetes vacacionales.</t>
  </si>
  <si>
    <t>Consigue PGJEH 172 años de prisión para responsable de feminicidio, homicidio doloso y homicidio doloso en grado de tentativa.</t>
  </si>
  <si>
    <t>Donar sangre salva vidas; Unidad Móvil recorrerá hospitales de Hidalgo</t>
  </si>
  <si>
    <t>Donación de sangre</t>
  </si>
  <si>
    <t>Avanzan acciones para mejorar operación de la autopista Arco Norte</t>
  </si>
  <si>
    <t>Cuatro hombres fueron detenidos por su presunta responsabilidad en delitos contra la salud, durante operativos de prevención y vigilancia realizados en Cuautepec de Hinojosa. Las acciones se llevaron a cabo en La Trinidad, Loma Bonita, Texcaltepec y Puerta del Yolo, donde autoridades aseguraron presuntos narcóticos, hierba con apariencia de marihuana, básculas grameras, pipas de cristal y material para su posible distribución. También fue localizada un arma de fuego calibre 9 milímetros con cartuchos útiles. Los detenidos fueron puestos a disposición del Centro de Operación Estratégica (COE), en Pachuca, para determinar su situación jurídica.</t>
  </si>
  <si>
    <t>La boxeadora tulancinguense Karla Macías, informó emocionada, a través de sus redes sociales, que ha sido convocada por la selección mexicana para ser una de las atletas que represente a nuestro país en un torneo internacional que tendrá como sede Alicante, España. “Con mucha emoción quiero compartirles que logré conseguir mi pase para ser seleccionada nacional, lo que me da la oportunidad de representar con orgullo a Hidalgo, mi municipio y a México en el Torneo Internacional Boxam, que se llevará a cabo en Alicante, España”, señaló. Agregó que este torneo representa una gran oportunidad para seguir creciendo como deportista y representar dignamente al país en una competencia internacional. No obstante, refirió que, para poder asistir, “es necesario cubrir los gastos de viáticos, hospedaje y transporte, los cuales corren por mi cuenta”. «En las imágenes anexas encontrarán el desglose de los gastos correspondientes al Torneo Boxam, incluyendo viáticos y hospedaje». “Por ello, hoy recurro a ustedes con mucha humildad para pedir su apoyo. Cualquier aportación, sin importar la cantidad, me acerca un paso más a cumplir este sueño”. “Además, estaré realizando diferentes actividades para recaudar fondos, por lo que les agradecería mucho su apoyo y que compartieran esta publicación para que llegue a más personas, de igual manera buscamos a patrocinadores y llevar su marca al mundial de España”. De acuerdo con la Federación Mexicana de Boxeo, son aproximadamente 50 mil pesos los necesarios para que cada boxeador pueda costear su participación y estancia. Los pugilistas convocados tienen hasta el 15 de julio de este 2026 para poder confirmar su participación en esta justa internacional, la cual se celebrará del 31 de agosto al 6 de septiembre de este mismo año, en el país ibérico.</t>
  </si>
  <si>
    <t>Apoyo a deportistas</t>
  </si>
  <si>
    <t>Hidalgo fortalece su política climática con convenio de colaboración entre Semarnath e INECC</t>
  </si>
  <si>
    <t>Gobierno estatal fortalece la prevención ante el incremento de lluvias por el fenómeno de El Niño (AUDIO ROMAN BERNAL)</t>
  </si>
  <si>
    <t>Se llevó a cabo esta mesa de trabajo interestatal con la concesionaria Arco Norte encargada de administrar esta vialidad que conecta a varios Estados de la República y de acuerdo con información que publica hoy, El Universal Hidalgo: De enero a mayo ocurrieron 40 asaltos a transportistas y vehículos particulares que circularon por el Arco Norte y en lo que va de este mes, existe el registro de cuatro hurtos más; sin embargo, aún no se determina si una banda o más están involucradas en los robos. La incidencia se relaciona con el hallazgo de accesos irregulares sobre la autopista, los cuales permiten el ingreso y salida de los asaltantes. Hasta el momento, la concesionaria del Arco Norte y la Guardia Nacional (GN) cerraron 44 de estos espacios. Así se divulgó durante la novena mesa de trabajo interestatal entre la empresa Ideal, autoridades locales y federales, reuniones que se realizan desde noviembre de 2024 con el objetivo de disminuir los índices delictivos en la vialidad. De acuerdo con estadísticas de la concesionaria, el 8 de julio cerraron tres accesos irregulares a la altura del municipio de Villa de Tezontepec. Mientras que ya se identificaron otros en la zona de Apaxco y Santa María Ajoloapan, Estado de México, que posteriormente clausurarán. La concesionaria Ideal explicó que cierra aquellos accesos indebidos que no son graves, pero en aquellos considerados como de alto riesgo interviene la GN. El mecanismo consiste en hacer una zanja y colocar alambre de púas. Después hacen patrullajes para verificar que no los reabran. A partir de junio se implementó un plan operativo en el tramo de Hidalgo que contempla siete puntos cíclicos donde la Guardia Nacional patrulla, mientras que las unidades de la Secretaría de Seguridad Pública de Hidalgo (SSPH) vigilan los puntos de entrada y salida del Arco Norte. En el último mes realizaron 97 operativos que implicó la revisión de 2 mil 604 vehículos y a 3 mil 133 personas. Tras las revisiones, se recuperaron seis vehículos con reporte de robo.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</si>
</sst>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3" tableType="queryTable" totalsRowShown="0">
  <autoFilter ref="A1:M103"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3"/>
  <sheetViews>
    <sheetView tabSelected="1" workbookViewId="0">
      <selection activeCell="C1" sqref="C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46212</v>
      </c>
      <c r="B2" s="1" t="str">
        <f ca="1">IF(Información1[[#This Row],[Fecha]]='Ajuste de fechas'!$A$2,"Día actual","Día anterior")</f>
        <v>Día anterior</v>
      </c>
      <c r="C2" t="s">
        <v>41</v>
      </c>
      <c r="D2" t="s">
        <v>42</v>
      </c>
      <c r="E2" t="s">
        <v>101</v>
      </c>
      <c r="F2" t="s">
        <v>6</v>
      </c>
      <c r="G2" t="s">
        <v>52</v>
      </c>
      <c r="H2" t="s">
        <v>8</v>
      </c>
      <c r="I2" t="s">
        <v>14</v>
      </c>
      <c r="J2" t="s">
        <v>31</v>
      </c>
      <c r="K2" t="s">
        <v>37</v>
      </c>
      <c r="L2" t="s">
        <v>25</v>
      </c>
      <c r="M2">
        <v>1</v>
      </c>
    </row>
    <row r="3" spans="1:13" x14ac:dyDescent="0.25">
      <c r="A3" s="2">
        <v>46212</v>
      </c>
      <c r="B3" s="1" t="str">
        <f ca="1">IF(Información1[[#This Row],[Fecha]]='Ajuste de fechas'!$A$2,"Día actual","Día anterior")</f>
        <v>Día anterior</v>
      </c>
      <c r="C3" t="s">
        <v>41</v>
      </c>
      <c r="D3" t="s">
        <v>42</v>
      </c>
      <c r="E3" t="s">
        <v>102</v>
      </c>
      <c r="F3" t="s">
        <v>6</v>
      </c>
      <c r="G3" t="s">
        <v>52</v>
      </c>
      <c r="H3" t="s">
        <v>8</v>
      </c>
      <c r="I3" t="s">
        <v>40</v>
      </c>
      <c r="J3" t="s">
        <v>31</v>
      </c>
      <c r="K3" t="s">
        <v>37</v>
      </c>
      <c r="L3" t="s">
        <v>25</v>
      </c>
      <c r="M3">
        <v>1</v>
      </c>
    </row>
    <row r="4" spans="1:13" x14ac:dyDescent="0.25">
      <c r="A4" s="2">
        <v>46212</v>
      </c>
      <c r="B4" s="1" t="str">
        <f ca="1">IF(Información1[[#This Row],[Fecha]]='Ajuste de fechas'!$A$2,"Día actual","Día anterior")</f>
        <v>Día anterior</v>
      </c>
      <c r="C4" t="s">
        <v>41</v>
      </c>
      <c r="D4" t="s">
        <v>42</v>
      </c>
      <c r="E4" t="s">
        <v>103</v>
      </c>
      <c r="F4" t="s">
        <v>6</v>
      </c>
      <c r="G4" t="s">
        <v>52</v>
      </c>
      <c r="H4" t="s">
        <v>8</v>
      </c>
      <c r="I4" t="s">
        <v>7</v>
      </c>
      <c r="J4" t="s">
        <v>31</v>
      </c>
      <c r="K4" t="s">
        <v>43</v>
      </c>
      <c r="L4" t="s">
        <v>24</v>
      </c>
      <c r="M4">
        <v>1</v>
      </c>
    </row>
    <row r="5" spans="1:13" x14ac:dyDescent="0.25">
      <c r="A5" s="2">
        <v>46212</v>
      </c>
      <c r="B5" s="1" t="str">
        <f ca="1">IF(Información1[[#This Row],[Fecha]]='Ajuste de fechas'!$A$2,"Día actual","Día anterior")</f>
        <v>Día anterior</v>
      </c>
      <c r="C5" t="s">
        <v>16</v>
      </c>
      <c r="D5" t="s">
        <v>53</v>
      </c>
      <c r="E5" t="s">
        <v>104</v>
      </c>
      <c r="F5" t="s">
        <v>10</v>
      </c>
      <c r="G5" t="s">
        <v>91</v>
      </c>
      <c r="H5" t="s">
        <v>8</v>
      </c>
      <c r="I5" t="s">
        <v>7</v>
      </c>
      <c r="J5" t="s">
        <v>33</v>
      </c>
      <c r="K5" t="s">
        <v>54</v>
      </c>
      <c r="L5" t="s">
        <v>24</v>
      </c>
      <c r="M5">
        <v>1</v>
      </c>
    </row>
    <row r="6" spans="1:13" x14ac:dyDescent="0.25">
      <c r="A6" s="2">
        <v>46212</v>
      </c>
      <c r="B6" s="1" t="str">
        <f ca="1">IF(Información1[[#This Row],[Fecha]]='Ajuste de fechas'!$A$2,"Día actual","Día anterior")</f>
        <v>Día anterior</v>
      </c>
      <c r="C6" t="s">
        <v>41</v>
      </c>
      <c r="D6" t="s">
        <v>42</v>
      </c>
      <c r="E6" t="s">
        <v>105</v>
      </c>
      <c r="F6" t="s">
        <v>38</v>
      </c>
      <c r="G6" t="s">
        <v>72</v>
      </c>
      <c r="H6" t="s">
        <v>8</v>
      </c>
      <c r="I6" t="s">
        <v>7</v>
      </c>
      <c r="J6" t="s">
        <v>31</v>
      </c>
      <c r="K6" t="s">
        <v>43</v>
      </c>
      <c r="L6" t="s">
        <v>24</v>
      </c>
      <c r="M6">
        <v>1</v>
      </c>
    </row>
    <row r="7" spans="1:13" x14ac:dyDescent="0.25">
      <c r="A7" s="2">
        <v>46212</v>
      </c>
      <c r="B7" s="1" t="str">
        <f ca="1">IF(Información1[[#This Row],[Fecha]]='Ajuste de fechas'!$A$2,"Día actual","Día anterior")</f>
        <v>Día anterior</v>
      </c>
      <c r="C7" t="s">
        <v>16</v>
      </c>
      <c r="D7" t="s">
        <v>83</v>
      </c>
      <c r="E7" t="s">
        <v>106</v>
      </c>
      <c r="F7" t="s">
        <v>11</v>
      </c>
      <c r="G7" t="s">
        <v>107</v>
      </c>
      <c r="H7" t="s">
        <v>8</v>
      </c>
      <c r="I7" t="s">
        <v>14</v>
      </c>
      <c r="J7" t="s">
        <v>32</v>
      </c>
      <c r="K7" t="s">
        <v>84</v>
      </c>
      <c r="L7" t="s">
        <v>24</v>
      </c>
      <c r="M7">
        <v>1</v>
      </c>
    </row>
    <row r="8" spans="1:13" x14ac:dyDescent="0.25">
      <c r="A8" s="2">
        <v>46212</v>
      </c>
      <c r="B8" s="1" t="str">
        <f ca="1">IF(Información1[[#This Row],[Fecha]]='Ajuste de fechas'!$A$2,"Día actual","Día anterior")</f>
        <v>Día anterior</v>
      </c>
      <c r="C8" t="s">
        <v>41</v>
      </c>
      <c r="D8" t="s">
        <v>42</v>
      </c>
      <c r="E8" t="s">
        <v>108</v>
      </c>
      <c r="F8" t="s">
        <v>6</v>
      </c>
      <c r="G8" t="s">
        <v>45</v>
      </c>
      <c r="H8" t="s">
        <v>8</v>
      </c>
      <c r="I8" t="s">
        <v>40</v>
      </c>
      <c r="J8" t="s">
        <v>31</v>
      </c>
      <c r="K8" t="s">
        <v>37</v>
      </c>
      <c r="L8" t="s">
        <v>25</v>
      </c>
      <c r="M8">
        <v>1</v>
      </c>
    </row>
    <row r="9" spans="1:13" x14ac:dyDescent="0.25">
      <c r="A9" s="2">
        <v>46212</v>
      </c>
      <c r="B9" s="1" t="str">
        <f ca="1">IF(Información1[[#This Row],[Fecha]]='Ajuste de fechas'!$A$2,"Día actual","Día anterior")</f>
        <v>Día anterior</v>
      </c>
      <c r="C9" t="s">
        <v>41</v>
      </c>
      <c r="D9" t="s">
        <v>42</v>
      </c>
      <c r="E9" t="s">
        <v>44</v>
      </c>
      <c r="F9" t="s">
        <v>10</v>
      </c>
      <c r="G9" t="s">
        <v>45</v>
      </c>
      <c r="H9" t="s">
        <v>8</v>
      </c>
      <c r="I9" t="s">
        <v>7</v>
      </c>
      <c r="J9" t="s">
        <v>33</v>
      </c>
      <c r="K9" t="s">
        <v>43</v>
      </c>
      <c r="L9" t="s">
        <v>25</v>
      </c>
      <c r="M9">
        <v>1</v>
      </c>
    </row>
    <row r="10" spans="1:13" x14ac:dyDescent="0.25">
      <c r="A10" s="2">
        <v>46212</v>
      </c>
      <c r="B10" s="1" t="str">
        <f ca="1">IF(Información1[[#This Row],[Fecha]]='Ajuste de fechas'!$A$2,"Día actual","Día anterior")</f>
        <v>Día anterior</v>
      </c>
      <c r="C10" t="s">
        <v>41</v>
      </c>
      <c r="D10" t="s">
        <v>42</v>
      </c>
      <c r="E10" t="s">
        <v>46</v>
      </c>
      <c r="F10" t="s">
        <v>10</v>
      </c>
      <c r="G10" t="s">
        <v>45</v>
      </c>
      <c r="H10" t="s">
        <v>8</v>
      </c>
      <c r="I10" t="s">
        <v>7</v>
      </c>
      <c r="J10" t="s">
        <v>33</v>
      </c>
      <c r="K10" t="s">
        <v>43</v>
      </c>
      <c r="L10" t="s">
        <v>25</v>
      </c>
      <c r="M10">
        <v>1</v>
      </c>
    </row>
    <row r="11" spans="1:13" x14ac:dyDescent="0.25">
      <c r="A11" s="2">
        <v>46212</v>
      </c>
      <c r="B11" s="1" t="str">
        <f ca="1">IF(Información1[[#This Row],[Fecha]]='Ajuste de fechas'!$A$2,"Día actual","Día anterior")</f>
        <v>Día anterior</v>
      </c>
      <c r="C11" t="s">
        <v>41</v>
      </c>
      <c r="D11" t="s">
        <v>42</v>
      </c>
      <c r="E11" t="s">
        <v>47</v>
      </c>
      <c r="F11" t="s">
        <v>34</v>
      </c>
      <c r="G11" t="s">
        <v>45</v>
      </c>
      <c r="H11" t="s">
        <v>8</v>
      </c>
      <c r="I11" t="s">
        <v>7</v>
      </c>
      <c r="J11" t="s">
        <v>31</v>
      </c>
      <c r="K11" t="s">
        <v>43</v>
      </c>
      <c r="L11" t="s">
        <v>25</v>
      </c>
      <c r="M11">
        <v>1</v>
      </c>
    </row>
    <row r="12" spans="1:13" x14ac:dyDescent="0.25">
      <c r="A12" s="2">
        <v>46212</v>
      </c>
      <c r="B12" s="1" t="str">
        <f ca="1">IF(Información1[[#This Row],[Fecha]]='Ajuste de fechas'!$A$2,"Día actual","Día anterior")</f>
        <v>Día anterior</v>
      </c>
      <c r="C12" t="s">
        <v>41</v>
      </c>
      <c r="D12" t="s">
        <v>42</v>
      </c>
      <c r="E12" t="s">
        <v>51</v>
      </c>
      <c r="F12" t="s">
        <v>30</v>
      </c>
      <c r="G12" t="s">
        <v>45</v>
      </c>
      <c r="H12" t="s">
        <v>8</v>
      </c>
      <c r="I12" t="s">
        <v>7</v>
      </c>
      <c r="J12" t="s">
        <v>13</v>
      </c>
      <c r="K12" t="s">
        <v>43</v>
      </c>
      <c r="L12" t="s">
        <v>25</v>
      </c>
      <c r="M12">
        <v>1</v>
      </c>
    </row>
    <row r="13" spans="1:13" x14ac:dyDescent="0.25">
      <c r="A13" s="2">
        <v>46212</v>
      </c>
      <c r="B13" s="1" t="str">
        <f ca="1">IF(Información1[[#This Row],[Fecha]]='Ajuste de fechas'!$A$2,"Día actual","Día anterior")</f>
        <v>Día anterior</v>
      </c>
      <c r="C13" t="s">
        <v>41</v>
      </c>
      <c r="D13" t="s">
        <v>42</v>
      </c>
      <c r="E13" t="s">
        <v>48</v>
      </c>
      <c r="F13" t="s">
        <v>9</v>
      </c>
      <c r="G13" t="s">
        <v>45</v>
      </c>
      <c r="H13" t="s">
        <v>8</v>
      </c>
      <c r="I13" t="s">
        <v>7</v>
      </c>
      <c r="J13" t="s">
        <v>31</v>
      </c>
      <c r="K13" t="s">
        <v>43</v>
      </c>
      <c r="L13" t="s">
        <v>25</v>
      </c>
      <c r="M13">
        <v>1</v>
      </c>
    </row>
    <row r="14" spans="1:13" x14ac:dyDescent="0.25">
      <c r="A14" s="2">
        <v>46212</v>
      </c>
      <c r="B14" s="1" t="str">
        <f ca="1">IF(Información1[[#This Row],[Fecha]]='Ajuste de fechas'!$A$2,"Día actual","Día anterior")</f>
        <v>Día anterior</v>
      </c>
      <c r="C14" t="s">
        <v>41</v>
      </c>
      <c r="D14" t="s">
        <v>42</v>
      </c>
      <c r="E14" t="s">
        <v>49</v>
      </c>
      <c r="F14" t="s">
        <v>38</v>
      </c>
      <c r="G14" t="s">
        <v>45</v>
      </c>
      <c r="H14" t="s">
        <v>8</v>
      </c>
      <c r="I14" t="s">
        <v>7</v>
      </c>
      <c r="J14" t="s">
        <v>31</v>
      </c>
      <c r="K14" t="s">
        <v>43</v>
      </c>
      <c r="L14" t="s">
        <v>25</v>
      </c>
      <c r="M14">
        <v>1</v>
      </c>
    </row>
    <row r="15" spans="1:13" x14ac:dyDescent="0.25">
      <c r="A15" s="2">
        <v>46212</v>
      </c>
      <c r="B15" s="1" t="str">
        <f ca="1">IF(Información1[[#This Row],[Fecha]]='Ajuste de fechas'!$A$2,"Día actual","Día anterior")</f>
        <v>Día anterior</v>
      </c>
      <c r="C15" t="s">
        <v>41</v>
      </c>
      <c r="D15" t="s">
        <v>42</v>
      </c>
      <c r="E15" t="s">
        <v>50</v>
      </c>
      <c r="F15" t="s">
        <v>6</v>
      </c>
      <c r="G15" t="s">
        <v>45</v>
      </c>
      <c r="H15" t="s">
        <v>8</v>
      </c>
      <c r="I15" t="s">
        <v>7</v>
      </c>
      <c r="J15" t="s">
        <v>31</v>
      </c>
      <c r="K15" t="s">
        <v>43</v>
      </c>
      <c r="L15" t="s">
        <v>25</v>
      </c>
      <c r="M15">
        <v>1</v>
      </c>
    </row>
    <row r="16" spans="1:13" x14ac:dyDescent="0.25">
      <c r="A16" s="2">
        <v>46212</v>
      </c>
      <c r="B16" s="1" t="str">
        <f ca="1">IF(Información1[[#This Row],[Fecha]]='Ajuste de fechas'!$A$2,"Día actual","Día anterior")</f>
        <v>Día anterior</v>
      </c>
      <c r="C16" t="s">
        <v>41</v>
      </c>
      <c r="D16" t="s">
        <v>42</v>
      </c>
      <c r="E16" t="s">
        <v>109</v>
      </c>
      <c r="F16" t="s">
        <v>11</v>
      </c>
      <c r="G16" t="s">
        <v>76</v>
      </c>
      <c r="H16" t="s">
        <v>8</v>
      </c>
      <c r="I16" t="s">
        <v>7</v>
      </c>
      <c r="J16" t="s">
        <v>32</v>
      </c>
      <c r="K16" t="s">
        <v>43</v>
      </c>
      <c r="L16" t="s">
        <v>24</v>
      </c>
      <c r="M16">
        <v>1</v>
      </c>
    </row>
    <row r="17" spans="1:13" x14ac:dyDescent="0.25">
      <c r="A17" s="2">
        <v>46212</v>
      </c>
      <c r="B17" s="1" t="str">
        <f ca="1">IF(Información1[[#This Row],[Fecha]]='Ajuste de fechas'!$A$2,"Día actual","Día anterior")</f>
        <v>Día anterior</v>
      </c>
      <c r="C17" t="s">
        <v>16</v>
      </c>
      <c r="D17" t="s">
        <v>53</v>
      </c>
      <c r="E17" t="s">
        <v>110</v>
      </c>
      <c r="F17" t="s">
        <v>38</v>
      </c>
      <c r="G17" t="s">
        <v>111</v>
      </c>
      <c r="H17" t="s">
        <v>8</v>
      </c>
      <c r="I17" t="s">
        <v>7</v>
      </c>
      <c r="J17" t="s">
        <v>31</v>
      </c>
      <c r="K17" t="s">
        <v>54</v>
      </c>
      <c r="L17" t="s">
        <v>36</v>
      </c>
      <c r="M17">
        <v>1</v>
      </c>
    </row>
    <row r="18" spans="1:13" x14ac:dyDescent="0.25">
      <c r="A18" s="2">
        <v>46212</v>
      </c>
      <c r="B18" s="1" t="str">
        <f ca="1">IF(Información1[[#This Row],[Fecha]]='Ajuste de fechas'!$A$2,"Día actual","Día anterior")</f>
        <v>Día anterior</v>
      </c>
      <c r="C18" t="s">
        <v>41</v>
      </c>
      <c r="D18" t="s">
        <v>42</v>
      </c>
      <c r="E18" t="s">
        <v>112</v>
      </c>
      <c r="F18" t="s">
        <v>10</v>
      </c>
      <c r="G18" t="s">
        <v>90</v>
      </c>
      <c r="H18" t="s">
        <v>8</v>
      </c>
      <c r="I18" t="s">
        <v>7</v>
      </c>
      <c r="J18" t="s">
        <v>33</v>
      </c>
      <c r="K18" t="s">
        <v>37</v>
      </c>
      <c r="L18" t="s">
        <v>25</v>
      </c>
      <c r="M18">
        <v>1</v>
      </c>
    </row>
    <row r="19" spans="1:13" x14ac:dyDescent="0.25">
      <c r="A19" s="2">
        <v>46212</v>
      </c>
      <c r="B19" s="1" t="str">
        <f ca="1">IF(Información1[[#This Row],[Fecha]]='Ajuste de fechas'!$A$2,"Día actual","Día anterior")</f>
        <v>Día anterior</v>
      </c>
      <c r="C19" t="s">
        <v>16</v>
      </c>
      <c r="D19" t="s">
        <v>83</v>
      </c>
      <c r="E19" t="s">
        <v>113</v>
      </c>
      <c r="F19" t="s">
        <v>15</v>
      </c>
      <c r="G19" t="s">
        <v>75</v>
      </c>
      <c r="H19" t="s">
        <v>8</v>
      </c>
      <c r="I19" t="s">
        <v>7</v>
      </c>
      <c r="J19" t="s">
        <v>31</v>
      </c>
      <c r="K19" t="s">
        <v>84</v>
      </c>
      <c r="L19" t="s">
        <v>24</v>
      </c>
      <c r="M19">
        <v>1</v>
      </c>
    </row>
    <row r="20" spans="1:13" x14ac:dyDescent="0.25">
      <c r="A20" s="2">
        <v>46212</v>
      </c>
      <c r="B20" s="1" t="str">
        <f ca="1">IF(Información1[[#This Row],[Fecha]]='Ajuste de fechas'!$A$2,"Día actual","Día anterior")</f>
        <v>Día anterior</v>
      </c>
      <c r="C20" t="s">
        <v>16</v>
      </c>
      <c r="D20" t="s">
        <v>83</v>
      </c>
      <c r="E20" t="s">
        <v>114</v>
      </c>
      <c r="F20" t="s">
        <v>35</v>
      </c>
      <c r="G20" t="s">
        <v>75</v>
      </c>
      <c r="H20" t="s">
        <v>8</v>
      </c>
      <c r="I20" t="s">
        <v>7</v>
      </c>
      <c r="J20" t="s">
        <v>31</v>
      </c>
      <c r="K20" t="s">
        <v>84</v>
      </c>
      <c r="L20" t="s">
        <v>24</v>
      </c>
      <c r="M20">
        <v>1</v>
      </c>
    </row>
    <row r="21" spans="1:13" x14ac:dyDescent="0.25">
      <c r="A21" s="2">
        <v>46212</v>
      </c>
      <c r="B21" s="1" t="str">
        <f ca="1">IF(Información1[[#This Row],[Fecha]]='Ajuste de fechas'!$A$2,"Día actual","Día anterior")</f>
        <v>Día anterior</v>
      </c>
      <c r="C21" t="s">
        <v>41</v>
      </c>
      <c r="D21" t="s">
        <v>42</v>
      </c>
      <c r="E21" t="s">
        <v>79</v>
      </c>
      <c r="F21" t="s">
        <v>12</v>
      </c>
      <c r="G21" t="s">
        <v>67</v>
      </c>
      <c r="H21" t="s">
        <v>8</v>
      </c>
      <c r="I21" t="s">
        <v>7</v>
      </c>
      <c r="J21" t="s">
        <v>31</v>
      </c>
      <c r="K21" t="s">
        <v>43</v>
      </c>
      <c r="L21" t="s">
        <v>26</v>
      </c>
      <c r="M21">
        <v>1</v>
      </c>
    </row>
    <row r="22" spans="1:13" x14ac:dyDescent="0.25">
      <c r="A22" s="2">
        <v>46212</v>
      </c>
      <c r="B22" s="1" t="str">
        <f ca="1">IF(Información1[[#This Row],[Fecha]]='Ajuste de fechas'!$A$2,"Día actual","Día anterior")</f>
        <v>Día anterior</v>
      </c>
      <c r="C22" t="s">
        <v>16</v>
      </c>
      <c r="D22" t="s">
        <v>83</v>
      </c>
      <c r="E22" t="s">
        <v>100</v>
      </c>
      <c r="F22" t="s">
        <v>15</v>
      </c>
      <c r="G22" t="s">
        <v>96</v>
      </c>
      <c r="H22" t="s">
        <v>8</v>
      </c>
      <c r="I22" t="s">
        <v>7</v>
      </c>
      <c r="J22" t="s">
        <v>31</v>
      </c>
      <c r="K22" t="s">
        <v>84</v>
      </c>
      <c r="L22" t="s">
        <v>26</v>
      </c>
      <c r="M22">
        <v>1</v>
      </c>
    </row>
    <row r="23" spans="1:13" x14ac:dyDescent="0.25">
      <c r="A23" s="2">
        <v>46212</v>
      </c>
      <c r="B23" s="1" t="str">
        <f ca="1">IF(Información1[[#This Row],[Fecha]]='Ajuste de fechas'!$A$2,"Día actual","Día anterior")</f>
        <v>Día anterior</v>
      </c>
      <c r="C23" t="s">
        <v>85</v>
      </c>
      <c r="D23" t="s">
        <v>86</v>
      </c>
      <c r="E23" t="s">
        <v>100</v>
      </c>
      <c r="F23" t="s">
        <v>15</v>
      </c>
      <c r="G23" t="s">
        <v>96</v>
      </c>
      <c r="H23" t="s">
        <v>8</v>
      </c>
      <c r="I23" t="s">
        <v>7</v>
      </c>
      <c r="J23" t="s">
        <v>31</v>
      </c>
      <c r="K23" t="s">
        <v>87</v>
      </c>
      <c r="L23" t="s">
        <v>26</v>
      </c>
      <c r="M23">
        <v>1</v>
      </c>
    </row>
    <row r="24" spans="1:13" x14ac:dyDescent="0.25">
      <c r="A24" s="2">
        <v>46212</v>
      </c>
      <c r="B24" s="1" t="str">
        <f ca="1">IF(Información1[[#This Row],[Fecha]]='Ajuste de fechas'!$A$2,"Día actual","Día anterior")</f>
        <v>Día anterior</v>
      </c>
      <c r="C24" t="s">
        <v>16</v>
      </c>
      <c r="D24" t="s">
        <v>53</v>
      </c>
      <c r="E24" t="s">
        <v>115</v>
      </c>
      <c r="F24" t="s">
        <v>15</v>
      </c>
      <c r="G24" t="s">
        <v>96</v>
      </c>
      <c r="H24" t="s">
        <v>8</v>
      </c>
      <c r="I24" t="s">
        <v>7</v>
      </c>
      <c r="J24" t="s">
        <v>31</v>
      </c>
      <c r="K24" t="s">
        <v>54</v>
      </c>
      <c r="L24" t="s">
        <v>24</v>
      </c>
      <c r="M24">
        <v>1</v>
      </c>
    </row>
    <row r="25" spans="1:13" x14ac:dyDescent="0.25">
      <c r="A25" s="2">
        <v>46212</v>
      </c>
      <c r="B25" s="1" t="str">
        <f ca="1">IF(Información1[[#This Row],[Fecha]]='Ajuste de fechas'!$A$2,"Día actual","Día anterior")</f>
        <v>Día anterior</v>
      </c>
      <c r="C25" t="s">
        <v>16</v>
      </c>
      <c r="D25" t="s">
        <v>83</v>
      </c>
      <c r="E25" t="s">
        <v>116</v>
      </c>
      <c r="F25" t="s">
        <v>12</v>
      </c>
      <c r="G25" t="s">
        <v>117</v>
      </c>
      <c r="H25" t="s">
        <v>8</v>
      </c>
      <c r="I25" t="s">
        <v>7</v>
      </c>
      <c r="J25" t="s">
        <v>31</v>
      </c>
      <c r="K25" t="s">
        <v>84</v>
      </c>
      <c r="L25" t="s">
        <v>24</v>
      </c>
      <c r="M25">
        <v>1</v>
      </c>
    </row>
    <row r="26" spans="1:13" x14ac:dyDescent="0.25">
      <c r="A26" s="2">
        <v>46212</v>
      </c>
      <c r="B26" s="1" t="str">
        <f ca="1">IF(Información1[[#This Row],[Fecha]]='Ajuste de fechas'!$A$2,"Día actual","Día anterior")</f>
        <v>Día anterior</v>
      </c>
      <c r="C26" t="s">
        <v>16</v>
      </c>
      <c r="D26" t="s">
        <v>83</v>
      </c>
      <c r="E26" t="s">
        <v>118</v>
      </c>
      <c r="F26" t="s">
        <v>15</v>
      </c>
      <c r="G26" t="s">
        <v>117</v>
      </c>
      <c r="H26" t="s">
        <v>8</v>
      </c>
      <c r="I26" t="s">
        <v>7</v>
      </c>
      <c r="J26" t="s">
        <v>31</v>
      </c>
      <c r="K26" t="s">
        <v>84</v>
      </c>
      <c r="L26" t="s">
        <v>24</v>
      </c>
      <c r="M26">
        <v>1</v>
      </c>
    </row>
    <row r="27" spans="1:13" x14ac:dyDescent="0.25">
      <c r="A27" s="2">
        <v>46212</v>
      </c>
      <c r="B27" s="1" t="str">
        <f ca="1">IF(Información1[[#This Row],[Fecha]]='Ajuste de fechas'!$A$2,"Día actual","Día anterior")</f>
        <v>Día anterior</v>
      </c>
      <c r="C27" t="s">
        <v>16</v>
      </c>
      <c r="D27" t="s">
        <v>53</v>
      </c>
      <c r="E27" t="s">
        <v>119</v>
      </c>
      <c r="F27" t="s">
        <v>11</v>
      </c>
      <c r="G27" t="s">
        <v>120</v>
      </c>
      <c r="H27" t="s">
        <v>8</v>
      </c>
      <c r="I27" t="s">
        <v>7</v>
      </c>
      <c r="J27" t="s">
        <v>32</v>
      </c>
      <c r="K27" t="s">
        <v>54</v>
      </c>
      <c r="L27" t="s">
        <v>24</v>
      </c>
      <c r="M27">
        <v>1</v>
      </c>
    </row>
    <row r="28" spans="1:13" x14ac:dyDescent="0.25">
      <c r="A28" s="2">
        <v>46212</v>
      </c>
      <c r="B28" s="1" t="str">
        <f ca="1">IF(Información1[[#This Row],[Fecha]]='Ajuste de fechas'!$A$2,"Día actual","Día anterior")</f>
        <v>Día anterior</v>
      </c>
      <c r="C28" t="s">
        <v>16</v>
      </c>
      <c r="D28" t="s">
        <v>83</v>
      </c>
      <c r="E28" t="s">
        <v>121</v>
      </c>
      <c r="F28" t="s">
        <v>10</v>
      </c>
      <c r="G28" t="s">
        <v>122</v>
      </c>
      <c r="H28" t="s">
        <v>8</v>
      </c>
      <c r="I28" t="s">
        <v>7</v>
      </c>
      <c r="J28" t="s">
        <v>33</v>
      </c>
      <c r="K28" t="s">
        <v>84</v>
      </c>
      <c r="L28" t="s">
        <v>24</v>
      </c>
      <c r="M28">
        <v>1</v>
      </c>
    </row>
    <row r="29" spans="1:13" x14ac:dyDescent="0.25">
      <c r="A29" s="2">
        <v>46212</v>
      </c>
      <c r="B29" s="1" t="str">
        <f ca="1">IF(Información1[[#This Row],[Fecha]]='Ajuste de fechas'!$A$2,"Día actual","Día anterior")</f>
        <v>Día anterior</v>
      </c>
      <c r="C29" t="s">
        <v>41</v>
      </c>
      <c r="D29" t="s">
        <v>42</v>
      </c>
      <c r="E29" t="s">
        <v>97</v>
      </c>
      <c r="F29" t="s">
        <v>98</v>
      </c>
      <c r="G29" t="s">
        <v>99</v>
      </c>
      <c r="H29" t="s">
        <v>8</v>
      </c>
      <c r="I29" t="s">
        <v>7</v>
      </c>
      <c r="J29" t="s">
        <v>31</v>
      </c>
      <c r="K29" t="s">
        <v>43</v>
      </c>
      <c r="L29" t="s">
        <v>26</v>
      </c>
      <c r="M29">
        <v>1</v>
      </c>
    </row>
    <row r="30" spans="1:13" x14ac:dyDescent="0.25">
      <c r="A30" s="2">
        <v>46212</v>
      </c>
      <c r="B30" s="1" t="str">
        <f ca="1">IF(Información1[[#This Row],[Fecha]]='Ajuste de fechas'!$A$2,"Día actual","Día anterior")</f>
        <v>Día anterior</v>
      </c>
      <c r="C30" t="s">
        <v>16</v>
      </c>
      <c r="D30" t="s">
        <v>83</v>
      </c>
      <c r="E30" t="s">
        <v>123</v>
      </c>
      <c r="F30" t="s">
        <v>30</v>
      </c>
      <c r="G30" t="s">
        <v>124</v>
      </c>
      <c r="H30" t="s">
        <v>8</v>
      </c>
      <c r="I30" t="s">
        <v>7</v>
      </c>
      <c r="J30" t="s">
        <v>13</v>
      </c>
      <c r="K30" t="s">
        <v>84</v>
      </c>
      <c r="L30" t="s">
        <v>24</v>
      </c>
      <c r="M30">
        <v>1</v>
      </c>
    </row>
    <row r="31" spans="1:13" x14ac:dyDescent="0.25">
      <c r="A31" s="2">
        <v>46212</v>
      </c>
      <c r="B31" s="1" t="str">
        <f ca="1">IF(Información1[[#This Row],[Fecha]]='Ajuste de fechas'!$A$2,"Día actual","Día anterior")</f>
        <v>Día anterior</v>
      </c>
      <c r="C31" t="s">
        <v>41</v>
      </c>
      <c r="D31" t="s">
        <v>42</v>
      </c>
      <c r="E31" t="s">
        <v>125</v>
      </c>
      <c r="F31" t="s">
        <v>6</v>
      </c>
      <c r="G31" t="s">
        <v>126</v>
      </c>
      <c r="H31" t="s">
        <v>8</v>
      </c>
      <c r="I31" t="s">
        <v>7</v>
      </c>
      <c r="J31" t="s">
        <v>31</v>
      </c>
      <c r="K31" t="s">
        <v>37</v>
      </c>
      <c r="L31" t="s">
        <v>25</v>
      </c>
      <c r="M31">
        <v>1</v>
      </c>
    </row>
    <row r="32" spans="1:13" x14ac:dyDescent="0.25">
      <c r="A32" s="2">
        <v>46212</v>
      </c>
      <c r="B32" s="1" t="str">
        <f ca="1">IF(Información1[[#This Row],[Fecha]]='Ajuste de fechas'!$A$2,"Día actual","Día anterior")</f>
        <v>Día anterior</v>
      </c>
      <c r="C32" t="s">
        <v>41</v>
      </c>
      <c r="D32" t="s">
        <v>42</v>
      </c>
      <c r="E32" t="s">
        <v>127</v>
      </c>
      <c r="F32" t="s">
        <v>10</v>
      </c>
      <c r="G32" t="s">
        <v>73</v>
      </c>
      <c r="H32" t="s">
        <v>8</v>
      </c>
      <c r="I32" t="s">
        <v>7</v>
      </c>
      <c r="J32" t="s">
        <v>33</v>
      </c>
      <c r="K32" t="s">
        <v>37</v>
      </c>
      <c r="L32" t="s">
        <v>25</v>
      </c>
      <c r="M32">
        <v>1</v>
      </c>
    </row>
    <row r="33" spans="1:13" x14ac:dyDescent="0.25">
      <c r="A33" s="2">
        <v>46212</v>
      </c>
      <c r="B33" s="1" t="str">
        <f ca="1">IF(Información1[[#This Row],[Fecha]]='Ajuste de fechas'!$A$2,"Día actual","Día anterior")</f>
        <v>Día anterior</v>
      </c>
      <c r="C33" t="s">
        <v>16</v>
      </c>
      <c r="D33" t="s">
        <v>53</v>
      </c>
      <c r="E33" t="s">
        <v>128</v>
      </c>
      <c r="F33" t="s">
        <v>35</v>
      </c>
      <c r="G33" t="s">
        <v>129</v>
      </c>
      <c r="H33" t="s">
        <v>8</v>
      </c>
      <c r="I33" t="s">
        <v>7</v>
      </c>
      <c r="J33" t="s">
        <v>31</v>
      </c>
      <c r="K33" t="s">
        <v>54</v>
      </c>
      <c r="L33" t="s">
        <v>24</v>
      </c>
      <c r="M33">
        <v>1</v>
      </c>
    </row>
    <row r="34" spans="1:13" x14ac:dyDescent="0.25">
      <c r="A34" s="2">
        <v>46212</v>
      </c>
      <c r="B34" s="1" t="str">
        <f ca="1">IF(Información1[[#This Row],[Fecha]]='Ajuste de fechas'!$A$2,"Día actual","Día anterior")</f>
        <v>Día anterior</v>
      </c>
      <c r="C34" t="s">
        <v>16</v>
      </c>
      <c r="D34" t="s">
        <v>53</v>
      </c>
      <c r="E34" t="s">
        <v>130</v>
      </c>
      <c r="F34" t="s">
        <v>10</v>
      </c>
      <c r="G34" t="s">
        <v>131</v>
      </c>
      <c r="H34" t="s">
        <v>8</v>
      </c>
      <c r="I34" t="s">
        <v>14</v>
      </c>
      <c r="J34" t="s">
        <v>33</v>
      </c>
      <c r="K34" t="s">
        <v>54</v>
      </c>
      <c r="L34" t="s">
        <v>24</v>
      </c>
      <c r="M34">
        <v>1</v>
      </c>
    </row>
    <row r="35" spans="1:13" x14ac:dyDescent="0.25">
      <c r="A35" s="2">
        <v>46212</v>
      </c>
      <c r="B35" s="1" t="str">
        <f ca="1">IF(Información1[[#This Row],[Fecha]]='Ajuste de fechas'!$A$2,"Día actual","Día anterior")</f>
        <v>Día anterior</v>
      </c>
      <c r="C35" t="s">
        <v>41</v>
      </c>
      <c r="D35" t="s">
        <v>42</v>
      </c>
      <c r="E35" t="s">
        <v>132</v>
      </c>
      <c r="F35" t="s">
        <v>58</v>
      </c>
      <c r="G35" t="s">
        <v>133</v>
      </c>
      <c r="H35" t="s">
        <v>8</v>
      </c>
      <c r="I35" t="s">
        <v>7</v>
      </c>
      <c r="J35" t="s">
        <v>31</v>
      </c>
      <c r="K35" t="s">
        <v>43</v>
      </c>
      <c r="L35" t="s">
        <v>26</v>
      </c>
      <c r="M35">
        <v>1</v>
      </c>
    </row>
    <row r="36" spans="1:13" x14ac:dyDescent="0.25">
      <c r="A36" s="2">
        <v>46212</v>
      </c>
      <c r="B36" s="1" t="str">
        <f ca="1">IF(Información1[[#This Row],[Fecha]]='Ajuste de fechas'!$A$2,"Día actual","Día anterior")</f>
        <v>Día anterior</v>
      </c>
      <c r="C36" t="s">
        <v>85</v>
      </c>
      <c r="D36" t="s">
        <v>86</v>
      </c>
      <c r="E36" t="s">
        <v>134</v>
      </c>
      <c r="F36" t="s">
        <v>17</v>
      </c>
      <c r="G36" t="s">
        <v>95</v>
      </c>
      <c r="H36" t="s">
        <v>8</v>
      </c>
      <c r="I36" t="s">
        <v>7</v>
      </c>
      <c r="J36" t="s">
        <v>31</v>
      </c>
      <c r="K36" t="s">
        <v>87</v>
      </c>
      <c r="L36" t="s">
        <v>26</v>
      </c>
      <c r="M36">
        <v>1</v>
      </c>
    </row>
    <row r="37" spans="1:13" x14ac:dyDescent="0.25">
      <c r="A37" s="2">
        <v>46212</v>
      </c>
      <c r="B37" s="1" t="str">
        <f ca="1">IF(Información1[[#This Row],[Fecha]]='Ajuste de fechas'!$A$2,"Día actual","Día anterior")</f>
        <v>Día anterior</v>
      </c>
      <c r="C37" t="s">
        <v>16</v>
      </c>
      <c r="D37" t="s">
        <v>83</v>
      </c>
      <c r="E37" t="s">
        <v>135</v>
      </c>
      <c r="F37" t="s">
        <v>11</v>
      </c>
      <c r="G37" t="s">
        <v>136</v>
      </c>
      <c r="H37" t="s">
        <v>8</v>
      </c>
      <c r="I37" t="s">
        <v>7</v>
      </c>
      <c r="J37" t="s">
        <v>32</v>
      </c>
      <c r="K37" t="s">
        <v>84</v>
      </c>
      <c r="L37" t="s">
        <v>24</v>
      </c>
      <c r="M37">
        <v>1</v>
      </c>
    </row>
    <row r="38" spans="1:13" x14ac:dyDescent="0.25">
      <c r="A38" s="2">
        <v>46212</v>
      </c>
      <c r="B38" s="1" t="str">
        <f ca="1">IF(Información1[[#This Row],[Fecha]]='Ajuste de fechas'!$A$2,"Día actual","Día anterior")</f>
        <v>Día anterior</v>
      </c>
      <c r="C38" t="s">
        <v>16</v>
      </c>
      <c r="D38" t="s">
        <v>83</v>
      </c>
      <c r="E38" t="s">
        <v>137</v>
      </c>
      <c r="F38" t="s">
        <v>15</v>
      </c>
      <c r="G38" t="s">
        <v>82</v>
      </c>
      <c r="H38" t="s">
        <v>8</v>
      </c>
      <c r="I38" t="s">
        <v>7</v>
      </c>
      <c r="J38" t="s">
        <v>31</v>
      </c>
      <c r="K38" t="s">
        <v>84</v>
      </c>
      <c r="L38" t="s">
        <v>26</v>
      </c>
      <c r="M38">
        <v>1</v>
      </c>
    </row>
    <row r="39" spans="1:13" x14ac:dyDescent="0.25">
      <c r="A39" s="2">
        <v>46212</v>
      </c>
      <c r="B39" s="1" t="str">
        <f ca="1">IF(Información1[[#This Row],[Fecha]]='Ajuste de fechas'!$A$2,"Día actual","Día anterior")</f>
        <v>Día anterior</v>
      </c>
      <c r="C39" t="s">
        <v>85</v>
      </c>
      <c r="D39" t="s">
        <v>86</v>
      </c>
      <c r="E39" t="s">
        <v>137</v>
      </c>
      <c r="F39" t="s">
        <v>15</v>
      </c>
      <c r="G39" t="s">
        <v>82</v>
      </c>
      <c r="H39" t="s">
        <v>8</v>
      </c>
      <c r="I39" t="s">
        <v>7</v>
      </c>
      <c r="J39" t="s">
        <v>31</v>
      </c>
      <c r="K39" t="s">
        <v>87</v>
      </c>
      <c r="L39" t="s">
        <v>26</v>
      </c>
      <c r="M39">
        <v>1</v>
      </c>
    </row>
    <row r="40" spans="1:13" x14ac:dyDescent="0.25">
      <c r="A40" s="2">
        <v>46212</v>
      </c>
      <c r="B40" s="1" t="str">
        <f ca="1">IF(Información1[[#This Row],[Fecha]]='Ajuste de fechas'!$A$2,"Día actual","Día anterior")</f>
        <v>Día anterior</v>
      </c>
      <c r="C40" t="s">
        <v>16</v>
      </c>
      <c r="D40" t="s">
        <v>53</v>
      </c>
      <c r="E40" t="s">
        <v>139</v>
      </c>
      <c r="F40" t="s">
        <v>15</v>
      </c>
      <c r="G40" t="s">
        <v>82</v>
      </c>
      <c r="H40" t="s">
        <v>8</v>
      </c>
      <c r="I40" t="s">
        <v>7</v>
      </c>
      <c r="J40" t="s">
        <v>31</v>
      </c>
      <c r="K40" t="s">
        <v>54</v>
      </c>
      <c r="L40" t="s">
        <v>24</v>
      </c>
      <c r="M40">
        <v>1</v>
      </c>
    </row>
    <row r="41" spans="1:13" x14ac:dyDescent="0.25">
      <c r="A41" s="2">
        <v>46212</v>
      </c>
      <c r="B41" s="1" t="str">
        <f ca="1">IF(Información1[[#This Row],[Fecha]]='Ajuste de fechas'!$A$2,"Día actual","Día anterior")</f>
        <v>Día anterior</v>
      </c>
      <c r="C41" t="s">
        <v>41</v>
      </c>
      <c r="D41" t="s">
        <v>42</v>
      </c>
      <c r="E41" t="s">
        <v>138</v>
      </c>
      <c r="F41" t="s">
        <v>15</v>
      </c>
      <c r="G41" t="s">
        <v>82</v>
      </c>
      <c r="H41" t="s">
        <v>8</v>
      </c>
      <c r="I41" t="s">
        <v>7</v>
      </c>
      <c r="J41" t="s">
        <v>31</v>
      </c>
      <c r="K41" t="s">
        <v>43</v>
      </c>
      <c r="L41" t="s">
        <v>26</v>
      </c>
      <c r="M41">
        <v>1</v>
      </c>
    </row>
    <row r="42" spans="1:13" x14ac:dyDescent="0.25">
      <c r="A42" s="2">
        <v>46212</v>
      </c>
      <c r="B42" s="1" t="str">
        <f ca="1">IF(Información1[[#This Row],[Fecha]]='Ajuste de fechas'!$A$2,"Día actual","Día anterior")</f>
        <v>Día anterior</v>
      </c>
      <c r="C42" t="s">
        <v>41</v>
      </c>
      <c r="D42" t="s">
        <v>42</v>
      </c>
      <c r="E42" t="s">
        <v>93</v>
      </c>
      <c r="F42" t="s">
        <v>59</v>
      </c>
      <c r="G42" t="s">
        <v>92</v>
      </c>
      <c r="H42" t="s">
        <v>8</v>
      </c>
      <c r="I42" t="s">
        <v>7</v>
      </c>
      <c r="J42" t="s">
        <v>31</v>
      </c>
      <c r="K42" t="s">
        <v>43</v>
      </c>
      <c r="L42" t="s">
        <v>26</v>
      </c>
      <c r="M42">
        <v>1</v>
      </c>
    </row>
    <row r="43" spans="1:13" x14ac:dyDescent="0.25">
      <c r="A43" s="2">
        <v>46212</v>
      </c>
      <c r="B43" s="1" t="str">
        <f ca="1">IF(Información1[[#This Row],[Fecha]]='Ajuste de fechas'!$A$2,"Día actual","Día anterior")</f>
        <v>Día anterior</v>
      </c>
      <c r="C43" t="s">
        <v>41</v>
      </c>
      <c r="D43" t="s">
        <v>42</v>
      </c>
      <c r="E43" t="s">
        <v>140</v>
      </c>
      <c r="F43" t="s">
        <v>10</v>
      </c>
      <c r="G43" t="s">
        <v>68</v>
      </c>
      <c r="H43" t="s">
        <v>8</v>
      </c>
      <c r="I43" t="s">
        <v>14</v>
      </c>
      <c r="J43" t="s">
        <v>33</v>
      </c>
      <c r="K43" t="s">
        <v>37</v>
      </c>
      <c r="L43" t="s">
        <v>25</v>
      </c>
      <c r="M43">
        <v>1</v>
      </c>
    </row>
    <row r="44" spans="1:13" x14ac:dyDescent="0.25">
      <c r="A44" s="2">
        <v>46212</v>
      </c>
      <c r="B44" s="1" t="str">
        <f ca="1">IF(Información1[[#This Row],[Fecha]]='Ajuste de fechas'!$A$2,"Día actual","Día anterior")</f>
        <v>Día anterior</v>
      </c>
      <c r="C44" t="s">
        <v>41</v>
      </c>
      <c r="D44" t="s">
        <v>42</v>
      </c>
      <c r="E44" t="s">
        <v>141</v>
      </c>
      <c r="F44" t="s">
        <v>10</v>
      </c>
      <c r="G44" t="s">
        <v>68</v>
      </c>
      <c r="H44" t="s">
        <v>8</v>
      </c>
      <c r="I44" t="s">
        <v>14</v>
      </c>
      <c r="J44" t="s">
        <v>33</v>
      </c>
      <c r="K44" t="s">
        <v>37</v>
      </c>
      <c r="L44" t="s">
        <v>25</v>
      </c>
      <c r="M44">
        <v>1</v>
      </c>
    </row>
    <row r="45" spans="1:13" x14ac:dyDescent="0.25">
      <c r="A45" s="2">
        <v>46212</v>
      </c>
      <c r="B45" s="1" t="str">
        <f ca="1">IF(Información1[[#This Row],[Fecha]]='Ajuste de fechas'!$A$2,"Día actual","Día anterior")</f>
        <v>Día anterior</v>
      </c>
      <c r="C45" t="s">
        <v>16</v>
      </c>
      <c r="D45" t="s">
        <v>83</v>
      </c>
      <c r="E45" t="s">
        <v>142</v>
      </c>
      <c r="F45" t="s">
        <v>34</v>
      </c>
      <c r="G45" t="s">
        <v>81</v>
      </c>
      <c r="H45" t="s">
        <v>8</v>
      </c>
      <c r="I45" t="s">
        <v>14</v>
      </c>
      <c r="J45" t="s">
        <v>31</v>
      </c>
      <c r="K45" t="s">
        <v>84</v>
      </c>
      <c r="L45" t="s">
        <v>24</v>
      </c>
      <c r="M45">
        <v>1</v>
      </c>
    </row>
    <row r="46" spans="1:13" x14ac:dyDescent="0.25">
      <c r="A46" s="2">
        <v>46213</v>
      </c>
      <c r="B46" s="1" t="str">
        <f ca="1">IF(Información1[[#This Row],[Fecha]]='Ajuste de fechas'!$A$2,"Día actual","Día anterior")</f>
        <v>Día actual</v>
      </c>
      <c r="C46" t="s">
        <v>16</v>
      </c>
      <c r="D46" t="s">
        <v>53</v>
      </c>
      <c r="E46" t="s">
        <v>143</v>
      </c>
      <c r="F46" t="s">
        <v>38</v>
      </c>
      <c r="G46" t="s">
        <v>111</v>
      </c>
      <c r="H46" t="s">
        <v>8</v>
      </c>
      <c r="I46" t="s">
        <v>7</v>
      </c>
      <c r="J46" t="s">
        <v>31</v>
      </c>
      <c r="K46" t="s">
        <v>54</v>
      </c>
      <c r="L46" t="s">
        <v>36</v>
      </c>
      <c r="M46">
        <v>1</v>
      </c>
    </row>
    <row r="47" spans="1:13" x14ac:dyDescent="0.25">
      <c r="A47" s="2">
        <v>46213</v>
      </c>
      <c r="B47" s="1" t="str">
        <f ca="1">IF(Información1[[#This Row],[Fecha]]='Ajuste de fechas'!$A$2,"Día actual","Día anterior")</f>
        <v>Día actual</v>
      </c>
      <c r="C47" t="s">
        <v>41</v>
      </c>
      <c r="D47" t="s">
        <v>42</v>
      </c>
      <c r="E47" t="s">
        <v>144</v>
      </c>
      <c r="F47" t="s">
        <v>6</v>
      </c>
      <c r="G47" t="s">
        <v>52</v>
      </c>
      <c r="H47" t="s">
        <v>8</v>
      </c>
      <c r="I47" t="s">
        <v>14</v>
      </c>
      <c r="J47" t="s">
        <v>31</v>
      </c>
      <c r="K47" t="s">
        <v>43</v>
      </c>
      <c r="L47" t="s">
        <v>25</v>
      </c>
      <c r="M47">
        <v>1</v>
      </c>
    </row>
    <row r="48" spans="1:13" x14ac:dyDescent="0.25">
      <c r="A48" s="2">
        <v>46213</v>
      </c>
      <c r="B48" s="1" t="str">
        <f ca="1">IF(Información1[[#This Row],[Fecha]]='Ajuste de fechas'!$A$2,"Día actual","Día anterior")</f>
        <v>Día actual</v>
      </c>
      <c r="C48" t="s">
        <v>41</v>
      </c>
      <c r="D48" t="s">
        <v>42</v>
      </c>
      <c r="E48" t="s">
        <v>145</v>
      </c>
      <c r="F48" t="s">
        <v>6</v>
      </c>
      <c r="G48" t="s">
        <v>52</v>
      </c>
      <c r="H48" t="s">
        <v>8</v>
      </c>
      <c r="I48" t="s">
        <v>14</v>
      </c>
      <c r="J48" t="s">
        <v>31</v>
      </c>
      <c r="K48" t="s">
        <v>37</v>
      </c>
      <c r="L48" t="s">
        <v>25</v>
      </c>
      <c r="M48">
        <v>1</v>
      </c>
    </row>
    <row r="49" spans="1:13" x14ac:dyDescent="0.25">
      <c r="A49" s="2">
        <v>46213</v>
      </c>
      <c r="B49" s="1" t="str">
        <f ca="1">IF(Información1[[#This Row],[Fecha]]='Ajuste de fechas'!$A$2,"Día actual","Día anterior")</f>
        <v>Día actual</v>
      </c>
      <c r="C49" t="s">
        <v>41</v>
      </c>
      <c r="D49" t="s">
        <v>42</v>
      </c>
      <c r="E49" t="s">
        <v>146</v>
      </c>
      <c r="F49" t="s">
        <v>6</v>
      </c>
      <c r="G49" t="s">
        <v>52</v>
      </c>
      <c r="H49" t="s">
        <v>8</v>
      </c>
      <c r="I49" t="s">
        <v>14</v>
      </c>
      <c r="J49" t="s">
        <v>31</v>
      </c>
      <c r="K49" t="s">
        <v>37</v>
      </c>
      <c r="L49" t="s">
        <v>25</v>
      </c>
      <c r="M49">
        <v>1</v>
      </c>
    </row>
    <row r="50" spans="1:13" x14ac:dyDescent="0.25">
      <c r="A50" s="2">
        <v>46213</v>
      </c>
      <c r="B50" s="1" t="str">
        <f ca="1">IF(Información1[[#This Row],[Fecha]]='Ajuste de fechas'!$A$2,"Día actual","Día anterior")</f>
        <v>Día actual</v>
      </c>
      <c r="C50" t="s">
        <v>41</v>
      </c>
      <c r="D50" t="s">
        <v>42</v>
      </c>
      <c r="E50" t="s">
        <v>147</v>
      </c>
      <c r="F50" t="s">
        <v>38</v>
      </c>
      <c r="G50" t="s">
        <v>72</v>
      </c>
      <c r="H50" t="s">
        <v>8</v>
      </c>
      <c r="I50" t="s">
        <v>14</v>
      </c>
      <c r="J50" t="s">
        <v>31</v>
      </c>
      <c r="K50" t="s">
        <v>37</v>
      </c>
      <c r="L50" t="s">
        <v>25</v>
      </c>
      <c r="M50">
        <v>1</v>
      </c>
    </row>
    <row r="51" spans="1:13" x14ac:dyDescent="0.25">
      <c r="A51" s="2">
        <v>46213</v>
      </c>
      <c r="B51" s="1" t="str">
        <f ca="1">IF(Información1[[#This Row],[Fecha]]='Ajuste de fechas'!$A$2,"Día actual","Día anterior")</f>
        <v>Día actual</v>
      </c>
      <c r="C51" t="s">
        <v>41</v>
      </c>
      <c r="D51" t="s">
        <v>42</v>
      </c>
      <c r="E51" t="s">
        <v>148</v>
      </c>
      <c r="F51" t="s">
        <v>10</v>
      </c>
      <c r="G51" t="s">
        <v>149</v>
      </c>
      <c r="H51" t="s">
        <v>8</v>
      </c>
      <c r="I51" t="s">
        <v>7</v>
      </c>
      <c r="J51" t="s">
        <v>33</v>
      </c>
      <c r="K51" t="s">
        <v>43</v>
      </c>
      <c r="L51" t="s">
        <v>24</v>
      </c>
      <c r="M51">
        <v>1</v>
      </c>
    </row>
    <row r="52" spans="1:13" x14ac:dyDescent="0.25">
      <c r="A52" s="2">
        <v>46213</v>
      </c>
      <c r="B52" s="1" t="str">
        <f ca="1">IF(Información1[[#This Row],[Fecha]]='Ajuste de fechas'!$A$2,"Día actual","Día anterior")</f>
        <v>Día actual</v>
      </c>
      <c r="C52" t="s">
        <v>41</v>
      </c>
      <c r="D52" t="s">
        <v>42</v>
      </c>
      <c r="E52" t="s">
        <v>44</v>
      </c>
      <c r="F52" t="s">
        <v>10</v>
      </c>
      <c r="G52" t="s">
        <v>45</v>
      </c>
      <c r="H52" t="s">
        <v>8</v>
      </c>
      <c r="I52" t="s">
        <v>40</v>
      </c>
      <c r="J52" t="s">
        <v>33</v>
      </c>
      <c r="K52" t="s">
        <v>43</v>
      </c>
      <c r="L52" t="s">
        <v>25</v>
      </c>
      <c r="M52">
        <v>1</v>
      </c>
    </row>
    <row r="53" spans="1:13" x14ac:dyDescent="0.25">
      <c r="A53" s="2">
        <v>46213</v>
      </c>
      <c r="B53" s="1" t="str">
        <f ca="1">IF(Información1[[#This Row],[Fecha]]='Ajuste de fechas'!$A$2,"Día actual","Día anterior")</f>
        <v>Día actual</v>
      </c>
      <c r="C53" t="s">
        <v>41</v>
      </c>
      <c r="D53" t="s">
        <v>42</v>
      </c>
      <c r="E53" t="s">
        <v>46</v>
      </c>
      <c r="F53" t="s">
        <v>10</v>
      </c>
      <c r="G53" t="s">
        <v>45</v>
      </c>
      <c r="H53" t="s">
        <v>8</v>
      </c>
      <c r="I53" t="s">
        <v>40</v>
      </c>
      <c r="J53" t="s">
        <v>33</v>
      </c>
      <c r="K53" t="s">
        <v>43</v>
      </c>
      <c r="L53" t="s">
        <v>25</v>
      </c>
      <c r="M53">
        <v>1</v>
      </c>
    </row>
    <row r="54" spans="1:13" x14ac:dyDescent="0.25">
      <c r="A54" s="2">
        <v>46213</v>
      </c>
      <c r="B54" s="1" t="str">
        <f ca="1">IF(Información1[[#This Row],[Fecha]]='Ajuste de fechas'!$A$2,"Día actual","Día anterior")</f>
        <v>Día actual</v>
      </c>
      <c r="C54" t="s">
        <v>41</v>
      </c>
      <c r="D54" t="s">
        <v>42</v>
      </c>
      <c r="E54" t="s">
        <v>47</v>
      </c>
      <c r="F54" t="s">
        <v>34</v>
      </c>
      <c r="G54" t="s">
        <v>45</v>
      </c>
      <c r="H54" t="s">
        <v>8</v>
      </c>
      <c r="I54" t="s">
        <v>40</v>
      </c>
      <c r="J54" t="s">
        <v>31</v>
      </c>
      <c r="K54" t="s">
        <v>43</v>
      </c>
      <c r="L54" t="s">
        <v>25</v>
      </c>
      <c r="M54">
        <v>1</v>
      </c>
    </row>
    <row r="55" spans="1:13" x14ac:dyDescent="0.25">
      <c r="A55" s="2">
        <v>46213</v>
      </c>
      <c r="B55" s="1" t="str">
        <f ca="1">IF(Información1[[#This Row],[Fecha]]='Ajuste de fechas'!$A$2,"Día actual","Día anterior")</f>
        <v>Día actual</v>
      </c>
      <c r="C55" t="s">
        <v>41</v>
      </c>
      <c r="D55" t="s">
        <v>42</v>
      </c>
      <c r="E55" t="s">
        <v>51</v>
      </c>
      <c r="F55" t="s">
        <v>30</v>
      </c>
      <c r="G55" t="s">
        <v>45</v>
      </c>
      <c r="H55" t="s">
        <v>8</v>
      </c>
      <c r="I55" t="s">
        <v>40</v>
      </c>
      <c r="J55" t="s">
        <v>13</v>
      </c>
      <c r="K55" t="s">
        <v>43</v>
      </c>
      <c r="L55" t="s">
        <v>25</v>
      </c>
      <c r="M55">
        <v>1</v>
      </c>
    </row>
    <row r="56" spans="1:13" x14ac:dyDescent="0.25">
      <c r="A56" s="2">
        <v>46213</v>
      </c>
      <c r="B56" s="1" t="str">
        <f ca="1">IF(Información1[[#This Row],[Fecha]]='Ajuste de fechas'!$A$2,"Día actual","Día anterior")</f>
        <v>Día actual</v>
      </c>
      <c r="C56" t="s">
        <v>41</v>
      </c>
      <c r="D56" t="s">
        <v>42</v>
      </c>
      <c r="E56" t="s">
        <v>48</v>
      </c>
      <c r="F56" t="s">
        <v>9</v>
      </c>
      <c r="G56" t="s">
        <v>45</v>
      </c>
      <c r="H56" t="s">
        <v>8</v>
      </c>
      <c r="I56" t="s">
        <v>40</v>
      </c>
      <c r="J56" t="s">
        <v>31</v>
      </c>
      <c r="K56" t="s">
        <v>43</v>
      </c>
      <c r="L56" t="s">
        <v>25</v>
      </c>
      <c r="M56">
        <v>1</v>
      </c>
    </row>
    <row r="57" spans="1:13" x14ac:dyDescent="0.25">
      <c r="A57" s="2">
        <v>46213</v>
      </c>
      <c r="B57" s="1" t="str">
        <f ca="1">IF(Información1[[#This Row],[Fecha]]='Ajuste de fechas'!$A$2,"Día actual","Día anterior")</f>
        <v>Día actual</v>
      </c>
      <c r="C57" t="s">
        <v>41</v>
      </c>
      <c r="D57" t="s">
        <v>42</v>
      </c>
      <c r="E57" t="s">
        <v>49</v>
      </c>
      <c r="F57" t="s">
        <v>38</v>
      </c>
      <c r="G57" t="s">
        <v>45</v>
      </c>
      <c r="H57" t="s">
        <v>8</v>
      </c>
      <c r="I57" t="s">
        <v>40</v>
      </c>
      <c r="J57" t="s">
        <v>31</v>
      </c>
      <c r="K57" t="s">
        <v>43</v>
      </c>
      <c r="L57" t="s">
        <v>25</v>
      </c>
      <c r="M57">
        <v>1</v>
      </c>
    </row>
    <row r="58" spans="1:13" x14ac:dyDescent="0.25">
      <c r="A58" s="2">
        <v>46213</v>
      </c>
      <c r="B58" s="1" t="str">
        <f ca="1">IF(Información1[[#This Row],[Fecha]]='Ajuste de fechas'!$A$2,"Día actual","Día anterior")</f>
        <v>Día actual</v>
      </c>
      <c r="C58" t="s">
        <v>41</v>
      </c>
      <c r="D58" t="s">
        <v>42</v>
      </c>
      <c r="E58" t="s">
        <v>50</v>
      </c>
      <c r="F58" t="s">
        <v>6</v>
      </c>
      <c r="G58" t="s">
        <v>45</v>
      </c>
      <c r="H58" t="s">
        <v>8</v>
      </c>
      <c r="I58" t="s">
        <v>40</v>
      </c>
      <c r="J58" t="s">
        <v>31</v>
      </c>
      <c r="K58" t="s">
        <v>43</v>
      </c>
      <c r="L58" t="s">
        <v>25</v>
      </c>
      <c r="M58">
        <v>1</v>
      </c>
    </row>
    <row r="59" spans="1:13" x14ac:dyDescent="0.25">
      <c r="A59" s="2">
        <v>46213</v>
      </c>
      <c r="B59" s="1" t="str">
        <f ca="1">IF(Información1[[#This Row],[Fecha]]='Ajuste de fechas'!$A$2,"Día actual","Día anterior")</f>
        <v>Día actual</v>
      </c>
      <c r="C59" t="s">
        <v>16</v>
      </c>
      <c r="D59" t="s">
        <v>83</v>
      </c>
      <c r="E59" t="s">
        <v>150</v>
      </c>
      <c r="F59" t="s">
        <v>9</v>
      </c>
      <c r="G59" t="s">
        <v>151</v>
      </c>
      <c r="H59" t="s">
        <v>8</v>
      </c>
      <c r="I59" t="s">
        <v>7</v>
      </c>
      <c r="J59" t="s">
        <v>31</v>
      </c>
      <c r="K59" t="s">
        <v>84</v>
      </c>
      <c r="L59" t="s">
        <v>26</v>
      </c>
      <c r="M59">
        <v>1</v>
      </c>
    </row>
    <row r="60" spans="1:13" x14ac:dyDescent="0.25">
      <c r="A60" s="2">
        <v>46213</v>
      </c>
      <c r="B60" s="1" t="str">
        <f ca="1">IF(Información1[[#This Row],[Fecha]]='Ajuste de fechas'!$A$2,"Día actual","Día anterior")</f>
        <v>Día actual</v>
      </c>
      <c r="C60" t="s">
        <v>41</v>
      </c>
      <c r="D60" t="s">
        <v>42</v>
      </c>
      <c r="E60" t="s">
        <v>152</v>
      </c>
      <c r="F60" t="s">
        <v>10</v>
      </c>
      <c r="G60" t="s">
        <v>89</v>
      </c>
      <c r="H60" t="s">
        <v>8</v>
      </c>
      <c r="I60" t="s">
        <v>7</v>
      </c>
      <c r="J60" t="s">
        <v>33</v>
      </c>
      <c r="K60" t="s">
        <v>43</v>
      </c>
      <c r="L60" t="s">
        <v>24</v>
      </c>
      <c r="M60">
        <v>1</v>
      </c>
    </row>
    <row r="61" spans="1:13" x14ac:dyDescent="0.25">
      <c r="A61" s="2">
        <v>46213</v>
      </c>
      <c r="B61" s="1" t="str">
        <f ca="1">IF(Información1[[#This Row],[Fecha]]='Ajuste de fechas'!$A$2,"Día actual","Día anterior")</f>
        <v>Día actual</v>
      </c>
      <c r="C61" t="s">
        <v>16</v>
      </c>
      <c r="D61" t="s">
        <v>83</v>
      </c>
      <c r="E61" t="s">
        <v>153</v>
      </c>
      <c r="F61" t="s">
        <v>10</v>
      </c>
      <c r="G61" t="s">
        <v>122</v>
      </c>
      <c r="H61" t="s">
        <v>8</v>
      </c>
      <c r="I61" t="s">
        <v>7</v>
      </c>
      <c r="J61" t="s">
        <v>33</v>
      </c>
      <c r="K61" t="s">
        <v>84</v>
      </c>
      <c r="L61" t="s">
        <v>24</v>
      </c>
      <c r="M61">
        <v>1</v>
      </c>
    </row>
    <row r="62" spans="1:13" x14ac:dyDescent="0.25">
      <c r="A62" s="2">
        <v>46213</v>
      </c>
      <c r="B62" s="1" t="str">
        <f ca="1">IF(Información1[[#This Row],[Fecha]]='Ajuste de fechas'!$A$2,"Día actual","Día anterior")</f>
        <v>Día actual</v>
      </c>
      <c r="C62" t="s">
        <v>16</v>
      </c>
      <c r="D62" t="s">
        <v>83</v>
      </c>
      <c r="E62" t="s">
        <v>154</v>
      </c>
      <c r="F62" t="s">
        <v>12</v>
      </c>
      <c r="G62" t="s">
        <v>80</v>
      </c>
      <c r="H62" t="s">
        <v>8</v>
      </c>
      <c r="I62" t="s">
        <v>7</v>
      </c>
      <c r="J62" t="s">
        <v>31</v>
      </c>
      <c r="K62" t="s">
        <v>84</v>
      </c>
      <c r="L62" t="s">
        <v>24</v>
      </c>
      <c r="M62">
        <v>1</v>
      </c>
    </row>
    <row r="63" spans="1:13" x14ac:dyDescent="0.25">
      <c r="A63" s="2">
        <v>46213</v>
      </c>
      <c r="B63" s="1" t="str">
        <f ca="1">IF(Información1[[#This Row],[Fecha]]='Ajuste de fechas'!$A$2,"Día actual","Día anterior")</f>
        <v>Día actual</v>
      </c>
      <c r="C63" t="s">
        <v>16</v>
      </c>
      <c r="D63" t="s">
        <v>83</v>
      </c>
      <c r="E63" t="s">
        <v>155</v>
      </c>
      <c r="F63" t="s">
        <v>12</v>
      </c>
      <c r="G63" t="s">
        <v>80</v>
      </c>
      <c r="H63" t="s">
        <v>8</v>
      </c>
      <c r="I63" t="s">
        <v>7</v>
      </c>
      <c r="J63" t="s">
        <v>31</v>
      </c>
      <c r="K63" t="s">
        <v>84</v>
      </c>
      <c r="L63" t="s">
        <v>24</v>
      </c>
      <c r="M63">
        <v>1</v>
      </c>
    </row>
    <row r="64" spans="1:13" x14ac:dyDescent="0.25">
      <c r="A64" s="2">
        <v>46213</v>
      </c>
      <c r="B64" s="1" t="str">
        <f ca="1">IF(Información1[[#This Row],[Fecha]]='Ajuste de fechas'!$A$2,"Día actual","Día anterior")</f>
        <v>Día actual</v>
      </c>
      <c r="C64" t="s">
        <v>41</v>
      </c>
      <c r="D64" t="s">
        <v>42</v>
      </c>
      <c r="E64" t="s">
        <v>156</v>
      </c>
      <c r="F64" t="s">
        <v>78</v>
      </c>
      <c r="G64" t="s">
        <v>157</v>
      </c>
      <c r="H64" t="s">
        <v>8</v>
      </c>
      <c r="I64" t="s">
        <v>14</v>
      </c>
      <c r="J64" t="s">
        <v>31</v>
      </c>
      <c r="K64" t="s">
        <v>37</v>
      </c>
      <c r="L64" t="s">
        <v>25</v>
      </c>
      <c r="M64">
        <v>1</v>
      </c>
    </row>
    <row r="65" spans="1:13" x14ac:dyDescent="0.25">
      <c r="A65" s="2">
        <v>46213</v>
      </c>
      <c r="B65" s="1" t="str">
        <f ca="1">IF(Información1[[#This Row],[Fecha]]='Ajuste de fechas'!$A$2,"Día actual","Día anterior")</f>
        <v>Día actual</v>
      </c>
      <c r="C65" t="s">
        <v>41</v>
      </c>
      <c r="D65" t="s">
        <v>42</v>
      </c>
      <c r="E65" t="s">
        <v>158</v>
      </c>
      <c r="F65" t="s">
        <v>30</v>
      </c>
      <c r="G65" t="s">
        <v>159</v>
      </c>
      <c r="H65" t="s">
        <v>8</v>
      </c>
      <c r="I65" t="s">
        <v>7</v>
      </c>
      <c r="J65" t="s">
        <v>13</v>
      </c>
      <c r="K65" t="s">
        <v>43</v>
      </c>
      <c r="L65" t="s">
        <v>24</v>
      </c>
      <c r="M65">
        <v>1</v>
      </c>
    </row>
    <row r="66" spans="1:13" x14ac:dyDescent="0.25">
      <c r="A66" s="2">
        <v>46213</v>
      </c>
      <c r="B66" s="1" t="str">
        <f ca="1">IF(Información1[[#This Row],[Fecha]]='Ajuste de fechas'!$A$2,"Día actual","Día anterior")</f>
        <v>Día actual</v>
      </c>
      <c r="C66" t="s">
        <v>41</v>
      </c>
      <c r="D66" t="s">
        <v>42</v>
      </c>
      <c r="E66" t="s">
        <v>160</v>
      </c>
      <c r="F66" t="s">
        <v>9</v>
      </c>
      <c r="G66" t="s">
        <v>73</v>
      </c>
      <c r="H66" t="s">
        <v>8</v>
      </c>
      <c r="I66" t="s">
        <v>7</v>
      </c>
      <c r="J66" t="s">
        <v>31</v>
      </c>
      <c r="K66" t="s">
        <v>37</v>
      </c>
      <c r="L66" t="s">
        <v>25</v>
      </c>
      <c r="M66">
        <v>1</v>
      </c>
    </row>
    <row r="67" spans="1:13" x14ac:dyDescent="0.25">
      <c r="A67" s="2">
        <v>46213</v>
      </c>
      <c r="B67" s="1" t="str">
        <f ca="1">IF(Información1[[#This Row],[Fecha]]='Ajuste de fechas'!$A$2,"Día actual","Día anterior")</f>
        <v>Día actual</v>
      </c>
      <c r="C67" t="s">
        <v>41</v>
      </c>
      <c r="D67" t="s">
        <v>42</v>
      </c>
      <c r="E67" t="s">
        <v>161</v>
      </c>
      <c r="F67" t="s">
        <v>9</v>
      </c>
      <c r="G67" t="s">
        <v>73</v>
      </c>
      <c r="H67" t="s">
        <v>8</v>
      </c>
      <c r="I67" t="s">
        <v>7</v>
      </c>
      <c r="J67" t="s">
        <v>31</v>
      </c>
      <c r="K67" t="s">
        <v>37</v>
      </c>
      <c r="L67" t="s">
        <v>25</v>
      </c>
      <c r="M67">
        <v>1</v>
      </c>
    </row>
    <row r="68" spans="1:13" x14ac:dyDescent="0.25">
      <c r="A68" s="2">
        <v>46213</v>
      </c>
      <c r="B68" s="1" t="str">
        <f ca="1">IF(Información1[[#This Row],[Fecha]]='Ajuste de fechas'!$A$2,"Día actual","Día anterior")</f>
        <v>Día actual</v>
      </c>
      <c r="C68" t="s">
        <v>41</v>
      </c>
      <c r="D68" t="s">
        <v>42</v>
      </c>
      <c r="E68" t="s">
        <v>162</v>
      </c>
      <c r="F68" t="s">
        <v>9</v>
      </c>
      <c r="G68" t="s">
        <v>73</v>
      </c>
      <c r="H68" t="s">
        <v>8</v>
      </c>
      <c r="I68" t="s">
        <v>7</v>
      </c>
      <c r="J68" t="s">
        <v>31</v>
      </c>
      <c r="K68" t="s">
        <v>37</v>
      </c>
      <c r="L68" t="s">
        <v>25</v>
      </c>
      <c r="M68">
        <v>1</v>
      </c>
    </row>
    <row r="69" spans="1:13" x14ac:dyDescent="0.25">
      <c r="A69" s="2">
        <v>46213</v>
      </c>
      <c r="B69" s="1" t="str">
        <f ca="1">IF(Información1[[#This Row],[Fecha]]='Ajuste de fechas'!$A$2,"Día actual","Día anterior")</f>
        <v>Día actual</v>
      </c>
      <c r="C69" t="s">
        <v>16</v>
      </c>
      <c r="D69" t="s">
        <v>83</v>
      </c>
      <c r="E69" t="s">
        <v>163</v>
      </c>
      <c r="F69" t="s">
        <v>9</v>
      </c>
      <c r="G69" t="s">
        <v>164</v>
      </c>
      <c r="H69" t="s">
        <v>8</v>
      </c>
      <c r="I69" t="s">
        <v>14</v>
      </c>
      <c r="J69" t="s">
        <v>31</v>
      </c>
      <c r="K69" t="s">
        <v>84</v>
      </c>
      <c r="L69" t="s">
        <v>24</v>
      </c>
      <c r="M69">
        <v>1</v>
      </c>
    </row>
    <row r="70" spans="1:13" x14ac:dyDescent="0.25">
      <c r="A70" s="2">
        <v>46213</v>
      </c>
      <c r="B70" s="1" t="str">
        <f ca="1">IF(Información1[[#This Row],[Fecha]]='Ajuste de fechas'!$A$2,"Día actual","Día anterior")</f>
        <v>Día actual</v>
      </c>
      <c r="C70" t="s">
        <v>41</v>
      </c>
      <c r="D70" t="s">
        <v>42</v>
      </c>
      <c r="E70" t="s">
        <v>165</v>
      </c>
      <c r="F70" t="s">
        <v>11</v>
      </c>
      <c r="G70" t="s">
        <v>166</v>
      </c>
      <c r="H70" t="s">
        <v>8</v>
      </c>
      <c r="I70" t="s">
        <v>14</v>
      </c>
      <c r="J70" t="s">
        <v>32</v>
      </c>
      <c r="K70" t="s">
        <v>37</v>
      </c>
      <c r="L70" t="s">
        <v>25</v>
      </c>
      <c r="M70">
        <v>1</v>
      </c>
    </row>
    <row r="71" spans="1:13" x14ac:dyDescent="0.25">
      <c r="A71" s="2">
        <v>46213</v>
      </c>
      <c r="B71" s="1" t="str">
        <f ca="1">IF(Información1[[#This Row],[Fecha]]='Ajuste de fechas'!$A$2,"Día actual","Día anterior")</f>
        <v>Día actual</v>
      </c>
      <c r="C71" t="s">
        <v>16</v>
      </c>
      <c r="D71" t="s">
        <v>53</v>
      </c>
      <c r="E71" t="s">
        <v>167</v>
      </c>
      <c r="F71" t="s">
        <v>15</v>
      </c>
      <c r="G71" t="s">
        <v>168</v>
      </c>
      <c r="H71" t="s">
        <v>8</v>
      </c>
      <c r="I71" t="s">
        <v>7</v>
      </c>
      <c r="J71" t="s">
        <v>31</v>
      </c>
      <c r="K71" t="s">
        <v>54</v>
      </c>
      <c r="L71" t="s">
        <v>24</v>
      </c>
      <c r="M71">
        <v>1</v>
      </c>
    </row>
    <row r="72" spans="1:13" x14ac:dyDescent="0.25">
      <c r="A72" s="2">
        <v>46213</v>
      </c>
      <c r="B72" s="1" t="str">
        <f ca="1">IF(Información1[[#This Row],[Fecha]]='Ajuste de fechas'!$A$2,"Día actual","Día anterior")</f>
        <v>Día actual</v>
      </c>
      <c r="C72" t="s">
        <v>41</v>
      </c>
      <c r="D72" t="s">
        <v>42</v>
      </c>
      <c r="E72" t="s">
        <v>169</v>
      </c>
      <c r="F72" t="s">
        <v>12</v>
      </c>
      <c r="G72" t="s">
        <v>170</v>
      </c>
      <c r="H72" t="s">
        <v>8</v>
      </c>
      <c r="I72" t="s">
        <v>7</v>
      </c>
      <c r="J72" t="s">
        <v>31</v>
      </c>
      <c r="K72" t="s">
        <v>43</v>
      </c>
      <c r="L72" t="s">
        <v>24</v>
      </c>
      <c r="M72">
        <v>1</v>
      </c>
    </row>
    <row r="73" spans="1:13" x14ac:dyDescent="0.25">
      <c r="A73" s="2">
        <v>46213</v>
      </c>
      <c r="B73" s="1" t="str">
        <f ca="1">IF(Información1[[#This Row],[Fecha]]='Ajuste de fechas'!$A$2,"Día actual","Día anterior")</f>
        <v>Día actual</v>
      </c>
      <c r="C73" t="s">
        <v>16</v>
      </c>
      <c r="D73" t="s">
        <v>83</v>
      </c>
      <c r="E73" t="s">
        <v>171</v>
      </c>
      <c r="F73" t="s">
        <v>9</v>
      </c>
      <c r="G73" t="s">
        <v>172</v>
      </c>
      <c r="H73" t="s">
        <v>8</v>
      </c>
      <c r="I73" t="s">
        <v>7</v>
      </c>
      <c r="J73" t="s">
        <v>31</v>
      </c>
      <c r="K73" t="s">
        <v>84</v>
      </c>
      <c r="L73" t="s">
        <v>24</v>
      </c>
      <c r="M73">
        <v>1</v>
      </c>
    </row>
    <row r="74" spans="1:13" x14ac:dyDescent="0.25">
      <c r="A74" s="2">
        <v>46213</v>
      </c>
      <c r="B74" s="1" t="str">
        <f ca="1">IF(Información1[[#This Row],[Fecha]]='Ajuste de fechas'!$A$2,"Día actual","Día anterior")</f>
        <v>Día actual</v>
      </c>
      <c r="C74" t="s">
        <v>16</v>
      </c>
      <c r="D74" t="s">
        <v>83</v>
      </c>
      <c r="E74" t="s">
        <v>173</v>
      </c>
      <c r="F74" t="s">
        <v>70</v>
      </c>
      <c r="G74" t="s">
        <v>174</v>
      </c>
      <c r="H74" t="s">
        <v>8</v>
      </c>
      <c r="I74" t="s">
        <v>7</v>
      </c>
      <c r="J74" t="s">
        <v>31</v>
      </c>
      <c r="K74" t="s">
        <v>84</v>
      </c>
      <c r="L74" t="s">
        <v>26</v>
      </c>
      <c r="M74">
        <v>1</v>
      </c>
    </row>
    <row r="75" spans="1:13" x14ac:dyDescent="0.25">
      <c r="A75" s="2">
        <v>46213</v>
      </c>
      <c r="B75" s="1" t="str">
        <f ca="1">IF(Información1[[#This Row],[Fecha]]='Ajuste de fechas'!$A$2,"Día actual","Día anterior")</f>
        <v>Día actual</v>
      </c>
      <c r="C75" t="s">
        <v>16</v>
      </c>
      <c r="D75" t="s">
        <v>53</v>
      </c>
      <c r="E75" t="s">
        <v>175</v>
      </c>
      <c r="F75" t="s">
        <v>15</v>
      </c>
      <c r="G75" t="s">
        <v>174</v>
      </c>
      <c r="H75" t="s">
        <v>8</v>
      </c>
      <c r="I75" t="s">
        <v>7</v>
      </c>
      <c r="J75" t="s">
        <v>31</v>
      </c>
      <c r="K75" t="s">
        <v>54</v>
      </c>
      <c r="L75" t="s">
        <v>24</v>
      </c>
      <c r="M75">
        <v>1</v>
      </c>
    </row>
    <row r="76" spans="1:13" x14ac:dyDescent="0.25">
      <c r="A76" s="2">
        <v>46213</v>
      </c>
      <c r="B76" s="1" t="str">
        <f ca="1">IF(Información1[[#This Row],[Fecha]]='Ajuste de fechas'!$A$2,"Día actual","Día anterior")</f>
        <v>Día actual</v>
      </c>
      <c r="C76" t="s">
        <v>16</v>
      </c>
      <c r="D76" t="s">
        <v>53</v>
      </c>
      <c r="E76" t="s">
        <v>176</v>
      </c>
      <c r="F76" t="s">
        <v>15</v>
      </c>
      <c r="G76" t="s">
        <v>88</v>
      </c>
      <c r="H76" t="s">
        <v>8</v>
      </c>
      <c r="I76" t="s">
        <v>7</v>
      </c>
      <c r="J76" t="s">
        <v>31</v>
      </c>
      <c r="K76" t="s">
        <v>54</v>
      </c>
      <c r="L76" t="s">
        <v>25</v>
      </c>
      <c r="M76">
        <v>1</v>
      </c>
    </row>
    <row r="77" spans="1:13" x14ac:dyDescent="0.25">
      <c r="A77" s="2">
        <v>46213</v>
      </c>
      <c r="B77" s="1" t="str">
        <f ca="1">IF(Información1[[#This Row],[Fecha]]='Ajuste de fechas'!$A$2,"Día actual","Día anterior")</f>
        <v>Día actual</v>
      </c>
      <c r="C77" t="s">
        <v>16</v>
      </c>
      <c r="D77" t="s">
        <v>53</v>
      </c>
      <c r="E77" t="s">
        <v>177</v>
      </c>
      <c r="F77" t="s">
        <v>15</v>
      </c>
      <c r="G77" t="s">
        <v>88</v>
      </c>
      <c r="H77" t="s">
        <v>8</v>
      </c>
      <c r="I77" t="s">
        <v>7</v>
      </c>
      <c r="J77" t="s">
        <v>31</v>
      </c>
      <c r="K77" t="s">
        <v>54</v>
      </c>
      <c r="L77" t="s">
        <v>24</v>
      </c>
      <c r="M77">
        <v>1</v>
      </c>
    </row>
    <row r="78" spans="1:13" x14ac:dyDescent="0.25">
      <c r="A78" s="2">
        <v>46213</v>
      </c>
      <c r="B78" s="1" t="str">
        <f ca="1">IF(Información1[[#This Row],[Fecha]]='Ajuste de fechas'!$A$2,"Día actual","Día anterior")</f>
        <v>Día actual</v>
      </c>
      <c r="C78" t="s">
        <v>55</v>
      </c>
      <c r="D78" t="s">
        <v>86</v>
      </c>
      <c r="E78" t="s">
        <v>178</v>
      </c>
      <c r="F78" t="s">
        <v>78</v>
      </c>
      <c r="G78" t="s">
        <v>94</v>
      </c>
      <c r="H78" t="s">
        <v>8</v>
      </c>
      <c r="I78" t="s">
        <v>7</v>
      </c>
      <c r="J78" t="s">
        <v>31</v>
      </c>
      <c r="K78" t="s">
        <v>56</v>
      </c>
      <c r="L78" t="s">
        <v>26</v>
      </c>
      <c r="M78">
        <v>1</v>
      </c>
    </row>
    <row r="79" spans="1:13" x14ac:dyDescent="0.25">
      <c r="A79" s="2">
        <v>46213</v>
      </c>
      <c r="B79" s="1" t="str">
        <f ca="1">IF(Información1[[#This Row],[Fecha]]='Ajuste de fechas'!$A$2,"Día actual","Día anterior")</f>
        <v>Día actual</v>
      </c>
      <c r="C79" t="s">
        <v>41</v>
      </c>
      <c r="D79" t="s">
        <v>42</v>
      </c>
      <c r="E79" t="s">
        <v>179</v>
      </c>
      <c r="F79" t="s">
        <v>38</v>
      </c>
      <c r="G79" t="s">
        <v>180</v>
      </c>
      <c r="H79" t="s">
        <v>8</v>
      </c>
      <c r="I79" t="s">
        <v>14</v>
      </c>
      <c r="J79" t="s">
        <v>31</v>
      </c>
      <c r="K79" t="s">
        <v>37</v>
      </c>
      <c r="L79" t="s">
        <v>25</v>
      </c>
      <c r="M79">
        <v>1</v>
      </c>
    </row>
    <row r="80" spans="1:13" x14ac:dyDescent="0.25">
      <c r="A80" s="2">
        <v>46213</v>
      </c>
      <c r="B80" s="1" t="str">
        <f ca="1">IF(Información1[[#This Row],[Fecha]]='Ajuste de fechas'!$A$2,"Día actual","Día anterior")</f>
        <v>Día actual</v>
      </c>
      <c r="C80" t="s">
        <v>16</v>
      </c>
      <c r="D80" t="s">
        <v>83</v>
      </c>
      <c r="E80" t="s">
        <v>181</v>
      </c>
      <c r="F80" t="s">
        <v>39</v>
      </c>
      <c r="G80" t="s">
        <v>182</v>
      </c>
      <c r="H80" t="s">
        <v>8</v>
      </c>
      <c r="I80" t="s">
        <v>7</v>
      </c>
      <c r="J80" t="s">
        <v>31</v>
      </c>
      <c r="K80" t="s">
        <v>84</v>
      </c>
      <c r="L80" t="s">
        <v>24</v>
      </c>
      <c r="M80">
        <v>1</v>
      </c>
    </row>
    <row r="81" spans="1:13" x14ac:dyDescent="0.25">
      <c r="A81" s="2">
        <v>46213</v>
      </c>
      <c r="B81" s="1" t="str">
        <f ca="1">IF(Información1[[#This Row],[Fecha]]='Ajuste de fechas'!$A$2,"Día actual","Día anterior")</f>
        <v>Día actual</v>
      </c>
      <c r="C81" t="s">
        <v>16</v>
      </c>
      <c r="D81" t="s">
        <v>53</v>
      </c>
      <c r="E81" t="s">
        <v>183</v>
      </c>
      <c r="F81" t="s">
        <v>35</v>
      </c>
      <c r="G81" t="s">
        <v>184</v>
      </c>
      <c r="H81" t="s">
        <v>8</v>
      </c>
      <c r="I81" t="s">
        <v>7</v>
      </c>
      <c r="J81" t="s">
        <v>31</v>
      </c>
      <c r="K81" t="s">
        <v>54</v>
      </c>
      <c r="L81" t="s">
        <v>24</v>
      </c>
      <c r="M81">
        <v>1</v>
      </c>
    </row>
    <row r="82" spans="1:13" x14ac:dyDescent="0.25">
      <c r="A82" s="2">
        <v>46213</v>
      </c>
      <c r="B82" s="1" t="str">
        <f ca="1">IF(Información1[[#This Row],[Fecha]]='Ajuste de fechas'!$A$2,"Día actual","Día anterior")</f>
        <v>Día actual</v>
      </c>
      <c r="C82" t="s">
        <v>41</v>
      </c>
      <c r="D82" t="s">
        <v>42</v>
      </c>
      <c r="E82" t="s">
        <v>185</v>
      </c>
      <c r="F82" t="s">
        <v>35</v>
      </c>
      <c r="G82" t="s">
        <v>184</v>
      </c>
      <c r="H82" t="s">
        <v>8</v>
      </c>
      <c r="I82" t="s">
        <v>7</v>
      </c>
      <c r="J82" t="s">
        <v>31</v>
      </c>
      <c r="K82" t="s">
        <v>43</v>
      </c>
      <c r="L82" t="s">
        <v>26</v>
      </c>
      <c r="M82">
        <v>1</v>
      </c>
    </row>
    <row r="83" spans="1:13" x14ac:dyDescent="0.25">
      <c r="A83" s="2">
        <v>46213</v>
      </c>
      <c r="B83" s="1" t="str">
        <f ca="1">IF(Información1[[#This Row],[Fecha]]='Ajuste de fechas'!$A$2,"Día actual","Día anterior")</f>
        <v>Día actual</v>
      </c>
      <c r="C83" t="s">
        <v>16</v>
      </c>
      <c r="D83" t="s">
        <v>83</v>
      </c>
      <c r="E83" t="s">
        <v>186</v>
      </c>
      <c r="F83" t="s">
        <v>10</v>
      </c>
      <c r="G83" t="s">
        <v>187</v>
      </c>
      <c r="H83" t="s">
        <v>8</v>
      </c>
      <c r="I83" t="s">
        <v>7</v>
      </c>
      <c r="J83" t="s">
        <v>33</v>
      </c>
      <c r="K83" t="s">
        <v>84</v>
      </c>
      <c r="L83" t="s">
        <v>24</v>
      </c>
      <c r="M83">
        <v>1</v>
      </c>
    </row>
    <row r="84" spans="1:13" x14ac:dyDescent="0.25">
      <c r="A84" s="2">
        <v>46213</v>
      </c>
      <c r="B84" s="1" t="str">
        <f ca="1">IF(Información1[[#This Row],[Fecha]]='Ajuste de fechas'!$A$2,"Día actual","Día anterior")</f>
        <v>Día actual</v>
      </c>
      <c r="C84" t="s">
        <v>60</v>
      </c>
      <c r="D84" t="s">
        <v>61</v>
      </c>
      <c r="E84" t="s">
        <v>188</v>
      </c>
      <c r="F84" t="s">
        <v>11</v>
      </c>
      <c r="G84" t="s">
        <v>74</v>
      </c>
      <c r="H84" t="s">
        <v>8</v>
      </c>
      <c r="I84" t="s">
        <v>7</v>
      </c>
      <c r="J84" t="s">
        <v>32</v>
      </c>
      <c r="K84" t="s">
        <v>62</v>
      </c>
      <c r="L84" t="s">
        <v>24</v>
      </c>
      <c r="M84">
        <v>1</v>
      </c>
    </row>
    <row r="85" spans="1:13" x14ac:dyDescent="0.25">
      <c r="A85" s="2">
        <v>46213</v>
      </c>
      <c r="B85" s="1" t="str">
        <f ca="1">IF(Información1[[#This Row],[Fecha]]='Ajuste de fechas'!$A$2,"Día actual","Día anterior")</f>
        <v>Día actual</v>
      </c>
      <c r="C85" t="s">
        <v>60</v>
      </c>
      <c r="D85" t="s">
        <v>61</v>
      </c>
      <c r="E85" t="s">
        <v>189</v>
      </c>
      <c r="F85" t="s">
        <v>10</v>
      </c>
      <c r="G85" t="s">
        <v>71</v>
      </c>
      <c r="H85" t="s">
        <v>8</v>
      </c>
      <c r="I85" t="s">
        <v>7</v>
      </c>
      <c r="J85" t="s">
        <v>33</v>
      </c>
      <c r="K85" t="s">
        <v>62</v>
      </c>
      <c r="L85" t="s">
        <v>24</v>
      </c>
      <c r="M85">
        <v>1</v>
      </c>
    </row>
    <row r="86" spans="1:13" x14ac:dyDescent="0.25">
      <c r="A86" s="2">
        <v>46213</v>
      </c>
      <c r="B86" s="1" t="str">
        <f ca="1">IF(Información1[[#This Row],[Fecha]]='Ajuste de fechas'!$A$2,"Día actual","Día anterior")</f>
        <v>Día actual</v>
      </c>
      <c r="C86" t="s">
        <v>63</v>
      </c>
      <c r="D86" t="s">
        <v>64</v>
      </c>
      <c r="E86" t="s">
        <v>190</v>
      </c>
      <c r="F86" t="s">
        <v>15</v>
      </c>
      <c r="G86" t="s">
        <v>191</v>
      </c>
      <c r="H86" t="s">
        <v>8</v>
      </c>
      <c r="I86" t="s">
        <v>7</v>
      </c>
      <c r="J86" t="s">
        <v>31</v>
      </c>
      <c r="K86" t="s">
        <v>65</v>
      </c>
      <c r="L86" t="s">
        <v>24</v>
      </c>
      <c r="M86">
        <v>1</v>
      </c>
    </row>
    <row r="87" spans="1:13" x14ac:dyDescent="0.25">
      <c r="A87" s="2">
        <v>46213</v>
      </c>
      <c r="B87" s="1" t="str">
        <f ca="1">IF(Información1[[#This Row],[Fecha]]='Ajuste de fechas'!$A$2,"Día actual","Día anterior")</f>
        <v>Día actual</v>
      </c>
      <c r="C87" t="s">
        <v>63</v>
      </c>
      <c r="D87" t="s">
        <v>64</v>
      </c>
      <c r="E87" t="s">
        <v>192</v>
      </c>
      <c r="F87" t="s">
        <v>6</v>
      </c>
      <c r="G87" t="s">
        <v>193</v>
      </c>
      <c r="H87" t="s">
        <v>8</v>
      </c>
      <c r="I87" t="s">
        <v>7</v>
      </c>
      <c r="J87" t="s">
        <v>31</v>
      </c>
      <c r="K87" t="s">
        <v>65</v>
      </c>
      <c r="L87" t="s">
        <v>26</v>
      </c>
      <c r="M87">
        <v>1</v>
      </c>
    </row>
    <row r="88" spans="1:13" x14ac:dyDescent="0.25">
      <c r="A88" s="2">
        <v>46213</v>
      </c>
      <c r="B88" s="1" t="str">
        <f ca="1">IF(Información1[[#This Row],[Fecha]]='Ajuste de fechas'!$A$2,"Día actual","Día anterior")</f>
        <v>Día actual</v>
      </c>
      <c r="C88" t="s">
        <v>63</v>
      </c>
      <c r="D88" t="s">
        <v>64</v>
      </c>
      <c r="E88" t="s">
        <v>194</v>
      </c>
      <c r="F88" t="s">
        <v>30</v>
      </c>
      <c r="G88" t="s">
        <v>159</v>
      </c>
      <c r="H88" t="s">
        <v>8</v>
      </c>
      <c r="I88" t="s">
        <v>7</v>
      </c>
      <c r="J88" t="s">
        <v>13</v>
      </c>
      <c r="K88" t="s">
        <v>65</v>
      </c>
      <c r="L88" t="s">
        <v>24</v>
      </c>
      <c r="M88">
        <v>1</v>
      </c>
    </row>
    <row r="89" spans="1:13" x14ac:dyDescent="0.25">
      <c r="A89" s="2">
        <v>46213</v>
      </c>
      <c r="B89" s="1" t="str">
        <f ca="1">IF(Información1[[#This Row],[Fecha]]='Ajuste de fechas'!$A$2,"Día actual","Día anterior")</f>
        <v>Día actual</v>
      </c>
      <c r="C89" t="s">
        <v>63</v>
      </c>
      <c r="D89" t="s">
        <v>64</v>
      </c>
      <c r="E89" t="s">
        <v>195</v>
      </c>
      <c r="F89" t="s">
        <v>17</v>
      </c>
      <c r="G89" t="s">
        <v>196</v>
      </c>
      <c r="H89" t="s">
        <v>8</v>
      </c>
      <c r="I89" t="s">
        <v>7</v>
      </c>
      <c r="J89" t="s">
        <v>31</v>
      </c>
      <c r="K89" t="s">
        <v>65</v>
      </c>
      <c r="L89" t="s">
        <v>26</v>
      </c>
      <c r="M89">
        <v>1</v>
      </c>
    </row>
    <row r="90" spans="1:13" x14ac:dyDescent="0.25">
      <c r="A90" s="2">
        <v>46213</v>
      </c>
      <c r="B90" s="1" t="str">
        <f ca="1">IF(Información1[[#This Row],[Fecha]]='Ajuste de fechas'!$A$2,"Día actual","Día anterior")</f>
        <v>Día actual</v>
      </c>
      <c r="C90" t="s">
        <v>63</v>
      </c>
      <c r="D90" t="s">
        <v>64</v>
      </c>
      <c r="E90" t="s">
        <v>197</v>
      </c>
      <c r="F90" t="s">
        <v>77</v>
      </c>
      <c r="G90" t="s">
        <v>198</v>
      </c>
      <c r="H90" t="s">
        <v>8</v>
      </c>
      <c r="I90" t="s">
        <v>7</v>
      </c>
      <c r="J90" t="s">
        <v>31</v>
      </c>
      <c r="K90" t="s">
        <v>65</v>
      </c>
      <c r="L90" t="s">
        <v>26</v>
      </c>
      <c r="M90">
        <v>1</v>
      </c>
    </row>
    <row r="91" spans="1:13" x14ac:dyDescent="0.25">
      <c r="A91" s="2">
        <v>46213</v>
      </c>
      <c r="B91" s="1" t="str">
        <f ca="1">IF(Información1[[#This Row],[Fecha]]='Ajuste de fechas'!$A$2,"Día actual","Día anterior")</f>
        <v>Día actual</v>
      </c>
      <c r="C91" t="s">
        <v>63</v>
      </c>
      <c r="D91" t="s">
        <v>64</v>
      </c>
      <c r="E91" t="s">
        <v>199</v>
      </c>
      <c r="F91" t="s">
        <v>11</v>
      </c>
      <c r="G91" t="s">
        <v>69</v>
      </c>
      <c r="H91" t="s">
        <v>8</v>
      </c>
      <c r="I91" t="s">
        <v>7</v>
      </c>
      <c r="J91" t="s">
        <v>32</v>
      </c>
      <c r="K91" t="s">
        <v>65</v>
      </c>
      <c r="L91" t="s">
        <v>24</v>
      </c>
      <c r="M91">
        <v>1</v>
      </c>
    </row>
    <row r="92" spans="1:13" x14ac:dyDescent="0.25">
      <c r="A92" s="2">
        <v>46213</v>
      </c>
      <c r="B92" s="1" t="str">
        <f ca="1">IF(Información1[[#This Row],[Fecha]]='Ajuste de fechas'!$A$2,"Día actual","Día anterior")</f>
        <v>Día actual</v>
      </c>
      <c r="C92" t="s">
        <v>63</v>
      </c>
      <c r="D92" t="s">
        <v>64</v>
      </c>
      <c r="E92" t="s">
        <v>200</v>
      </c>
      <c r="F92" t="s">
        <v>38</v>
      </c>
      <c r="G92" t="s">
        <v>201</v>
      </c>
      <c r="H92" t="s">
        <v>8</v>
      </c>
      <c r="I92" t="s">
        <v>7</v>
      </c>
      <c r="J92" t="s">
        <v>31</v>
      </c>
      <c r="K92" t="s">
        <v>65</v>
      </c>
      <c r="L92" t="s">
        <v>26</v>
      </c>
      <c r="M92">
        <v>1</v>
      </c>
    </row>
    <row r="93" spans="1:13" x14ac:dyDescent="0.25">
      <c r="A93" s="2">
        <v>46213</v>
      </c>
      <c r="B93" s="1" t="str">
        <f ca="1">IF(Información1[[#This Row],[Fecha]]='Ajuste de fechas'!$A$2,"Día actual","Día anterior")</f>
        <v>Día actual</v>
      </c>
      <c r="C93" t="s">
        <v>63</v>
      </c>
      <c r="D93" t="s">
        <v>64</v>
      </c>
      <c r="E93" t="s">
        <v>202</v>
      </c>
      <c r="F93" t="s">
        <v>12</v>
      </c>
      <c r="G93" t="s">
        <v>170</v>
      </c>
      <c r="H93" t="s">
        <v>8</v>
      </c>
      <c r="I93" t="s">
        <v>7</v>
      </c>
      <c r="J93" t="s">
        <v>31</v>
      </c>
      <c r="K93" t="s">
        <v>65</v>
      </c>
      <c r="L93" t="s">
        <v>24</v>
      </c>
      <c r="M93">
        <v>1</v>
      </c>
    </row>
    <row r="94" spans="1:13" x14ac:dyDescent="0.25">
      <c r="A94" s="2">
        <v>46213</v>
      </c>
      <c r="B94" s="1" t="str">
        <f ca="1">IF(Información1[[#This Row],[Fecha]]='Ajuste de fechas'!$A$2,"Día actual","Día anterior")</f>
        <v>Día actual</v>
      </c>
      <c r="C94" t="s">
        <v>63</v>
      </c>
      <c r="D94" t="s">
        <v>64</v>
      </c>
      <c r="E94" t="s">
        <v>203</v>
      </c>
      <c r="F94" t="s">
        <v>35</v>
      </c>
      <c r="G94" t="s">
        <v>184</v>
      </c>
      <c r="H94" t="s">
        <v>8</v>
      </c>
      <c r="I94" t="s">
        <v>7</v>
      </c>
      <c r="J94" t="s">
        <v>31</v>
      </c>
      <c r="K94" t="s">
        <v>65</v>
      </c>
      <c r="L94" t="s">
        <v>26</v>
      </c>
      <c r="M94">
        <v>1</v>
      </c>
    </row>
    <row r="95" spans="1:13" x14ac:dyDescent="0.25">
      <c r="A95" s="2">
        <v>46213</v>
      </c>
      <c r="B95" s="1" t="str">
        <f ca="1">IF(Información1[[#This Row],[Fecha]]='Ajuste de fechas'!$A$2,"Día actual","Día anterior")</f>
        <v>Día actual</v>
      </c>
      <c r="C95" t="s">
        <v>63</v>
      </c>
      <c r="D95" t="s">
        <v>64</v>
      </c>
      <c r="E95" t="s">
        <v>204</v>
      </c>
      <c r="F95" t="s">
        <v>59</v>
      </c>
      <c r="G95" t="s">
        <v>205</v>
      </c>
      <c r="H95" t="s">
        <v>8</v>
      </c>
      <c r="I95" t="s">
        <v>7</v>
      </c>
      <c r="J95" t="s">
        <v>31</v>
      </c>
      <c r="K95" t="s">
        <v>65</v>
      </c>
      <c r="L95" t="s">
        <v>26</v>
      </c>
      <c r="M95">
        <v>1</v>
      </c>
    </row>
    <row r="96" spans="1:13" x14ac:dyDescent="0.25">
      <c r="A96" s="2">
        <v>46213</v>
      </c>
      <c r="B96" s="1" t="str">
        <f ca="1">IF(Información1[[#This Row],[Fecha]]='Ajuste de fechas'!$A$2,"Día actual","Día anterior")</f>
        <v>Día actual</v>
      </c>
      <c r="C96" t="s">
        <v>63</v>
      </c>
      <c r="D96" t="s">
        <v>64</v>
      </c>
      <c r="E96" t="s">
        <v>206</v>
      </c>
      <c r="F96" t="s">
        <v>9</v>
      </c>
      <c r="G96" t="s">
        <v>151</v>
      </c>
      <c r="H96" t="s">
        <v>8</v>
      </c>
      <c r="I96" t="s">
        <v>7</v>
      </c>
      <c r="J96" t="s">
        <v>31</v>
      </c>
      <c r="K96" t="s">
        <v>65</v>
      </c>
      <c r="L96" t="s">
        <v>26</v>
      </c>
      <c r="M96">
        <v>1</v>
      </c>
    </row>
    <row r="97" spans="1:13" x14ac:dyDescent="0.25">
      <c r="A97" s="2">
        <v>46213</v>
      </c>
      <c r="B97" s="1" t="str">
        <f ca="1">IF(Información1[[#This Row],[Fecha]]='Ajuste de fechas'!$A$2,"Día actual","Día anterior")</f>
        <v>Día actual</v>
      </c>
      <c r="C97" t="s">
        <v>60</v>
      </c>
      <c r="D97" t="s">
        <v>66</v>
      </c>
      <c r="E97" t="s">
        <v>207</v>
      </c>
      <c r="F97" t="s">
        <v>10</v>
      </c>
      <c r="G97" t="s">
        <v>67</v>
      </c>
      <c r="H97" t="s">
        <v>8</v>
      </c>
      <c r="I97" t="s">
        <v>7</v>
      </c>
      <c r="J97" t="s">
        <v>33</v>
      </c>
      <c r="K97" t="s">
        <v>62</v>
      </c>
      <c r="L97" t="s">
        <v>24</v>
      </c>
      <c r="M97">
        <v>1</v>
      </c>
    </row>
    <row r="98" spans="1:13" x14ac:dyDescent="0.25">
      <c r="A98" s="2">
        <v>46213</v>
      </c>
      <c r="B98" s="1" t="str">
        <f ca="1">IF(Información1[[#This Row],[Fecha]]='Ajuste de fechas'!$A$2,"Día actual","Día anterior")</f>
        <v>Día actual</v>
      </c>
      <c r="C98" t="s">
        <v>60</v>
      </c>
      <c r="D98" t="s">
        <v>66</v>
      </c>
      <c r="E98" t="s">
        <v>208</v>
      </c>
      <c r="F98" t="s">
        <v>13</v>
      </c>
      <c r="G98" t="s">
        <v>209</v>
      </c>
      <c r="H98" t="s">
        <v>8</v>
      </c>
      <c r="I98" t="s">
        <v>7</v>
      </c>
      <c r="J98" t="s">
        <v>13</v>
      </c>
      <c r="K98" t="s">
        <v>62</v>
      </c>
      <c r="L98" t="s">
        <v>24</v>
      </c>
      <c r="M98">
        <v>1</v>
      </c>
    </row>
    <row r="99" spans="1:13" x14ac:dyDescent="0.25">
      <c r="A99" s="2">
        <v>46213</v>
      </c>
      <c r="B99" s="1" t="str">
        <f ca="1">IF(Información1[[#This Row],[Fecha]]='Ajuste de fechas'!$A$2,"Día actual","Día anterior")</f>
        <v>Día actual</v>
      </c>
      <c r="C99" t="s">
        <v>60</v>
      </c>
      <c r="D99" t="s">
        <v>66</v>
      </c>
      <c r="E99" t="s">
        <v>197</v>
      </c>
      <c r="F99" t="s">
        <v>77</v>
      </c>
      <c r="G99" t="s">
        <v>198</v>
      </c>
      <c r="H99" t="s">
        <v>8</v>
      </c>
      <c r="I99" t="s">
        <v>7</v>
      </c>
      <c r="J99" t="s">
        <v>31</v>
      </c>
      <c r="K99" t="s">
        <v>57</v>
      </c>
      <c r="L99" t="s">
        <v>26</v>
      </c>
      <c r="M99">
        <v>1</v>
      </c>
    </row>
    <row r="100" spans="1:13" x14ac:dyDescent="0.25">
      <c r="A100" s="2">
        <v>46213</v>
      </c>
      <c r="B100" s="1" t="str">
        <f ca="1">IF(Información1[[#This Row],[Fecha]]='Ajuste de fechas'!$A$2,"Día actual","Día anterior")</f>
        <v>Día actual</v>
      </c>
      <c r="C100" t="s">
        <v>60</v>
      </c>
      <c r="D100" t="s">
        <v>66</v>
      </c>
      <c r="E100" t="s">
        <v>210</v>
      </c>
      <c r="F100" t="s">
        <v>39</v>
      </c>
      <c r="G100" t="s">
        <v>159</v>
      </c>
      <c r="H100" t="s">
        <v>8</v>
      </c>
      <c r="I100" t="s">
        <v>7</v>
      </c>
      <c r="J100" t="s">
        <v>31</v>
      </c>
      <c r="K100" t="s">
        <v>57</v>
      </c>
      <c r="L100" t="s">
        <v>26</v>
      </c>
      <c r="M100">
        <v>1</v>
      </c>
    </row>
    <row r="101" spans="1:13" x14ac:dyDescent="0.25">
      <c r="A101" s="2">
        <v>46213</v>
      </c>
      <c r="B101" s="1" t="str">
        <f ca="1">IF(Información1[[#This Row],[Fecha]]='Ajuste de fechas'!$A$2,"Día actual","Día anterior")</f>
        <v>Día actual</v>
      </c>
      <c r="C101" t="s">
        <v>60</v>
      </c>
      <c r="D101" t="s">
        <v>66</v>
      </c>
      <c r="E101" t="s">
        <v>211</v>
      </c>
      <c r="F101" t="s">
        <v>70</v>
      </c>
      <c r="G101" t="s">
        <v>174</v>
      </c>
      <c r="H101" t="s">
        <v>8</v>
      </c>
      <c r="I101" t="s">
        <v>7</v>
      </c>
      <c r="J101" t="s">
        <v>31</v>
      </c>
      <c r="K101" t="s">
        <v>57</v>
      </c>
      <c r="L101" t="s">
        <v>26</v>
      </c>
      <c r="M101">
        <v>1</v>
      </c>
    </row>
    <row r="102" spans="1:13" x14ac:dyDescent="0.25">
      <c r="A102" s="2">
        <v>46213</v>
      </c>
      <c r="B102" s="1" t="str">
        <f ca="1">IF(Información1[[#This Row],[Fecha]]='Ajuste de fechas'!$A$2,"Día actual","Día anterior")</f>
        <v>Día actual</v>
      </c>
      <c r="C102" t="s">
        <v>60</v>
      </c>
      <c r="D102" t="s">
        <v>66</v>
      </c>
      <c r="E102" t="s">
        <v>212</v>
      </c>
      <c r="F102" t="s">
        <v>9</v>
      </c>
      <c r="G102" t="s">
        <v>151</v>
      </c>
      <c r="H102" t="s">
        <v>8</v>
      </c>
      <c r="I102" t="s">
        <v>7</v>
      </c>
      <c r="J102" t="s">
        <v>31</v>
      </c>
      <c r="K102" t="s">
        <v>62</v>
      </c>
      <c r="L102" t="s">
        <v>26</v>
      </c>
      <c r="M102">
        <v>1</v>
      </c>
    </row>
    <row r="103" spans="1:13" x14ac:dyDescent="0.25">
      <c r="A103" s="2">
        <v>46213</v>
      </c>
      <c r="B103" s="1" t="str">
        <f ca="1">IF(Información1[[#This Row],[Fecha]]='Ajuste de fechas'!$A$2,"Día actual","Día anterior")</f>
        <v>Día actual</v>
      </c>
      <c r="C103" t="s">
        <v>60</v>
      </c>
      <c r="D103" t="s">
        <v>66</v>
      </c>
      <c r="E103" t="s">
        <v>203</v>
      </c>
      <c r="F103" t="s">
        <v>35</v>
      </c>
      <c r="G103" t="s">
        <v>184</v>
      </c>
      <c r="H103" t="s">
        <v>8</v>
      </c>
      <c r="I103" t="s">
        <v>7</v>
      </c>
      <c r="J103" t="s">
        <v>31</v>
      </c>
      <c r="K103" t="s">
        <v>57</v>
      </c>
      <c r="L103" t="s">
        <v>26</v>
      </c>
      <c r="M10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46213</v>
      </c>
      <c r="B2" s="2">
        <f ca="1">A2-1</f>
        <v>46212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2026-07-11T00:06:34Z</dcterms:modified>
</cp:coreProperties>
</file>