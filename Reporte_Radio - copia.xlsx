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89D0EEAD-AB77-4F60-ABED-9E58E451FB8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120" i="2"/>
  <c r="B123" i="2"/>
  <c r="B126" i="2"/>
  <c r="B130" i="2"/>
  <c r="B133" i="2"/>
  <c r="B136" i="2"/>
  <c r="B138" i="2"/>
  <c r="B140" i="2"/>
  <c r="B144"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109" i="2"/>
  <c r="B111" i="2"/>
  <c r="B113" i="2"/>
  <c r="B116" i="2"/>
  <c r="B119" i="2"/>
  <c r="B122" i="2"/>
  <c r="B125" i="2"/>
  <c r="B128" i="2"/>
  <c r="B131" i="2"/>
  <c r="B134" i="2"/>
  <c r="B137" i="2"/>
  <c r="B142"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10" i="2"/>
  <c r="B112" i="2"/>
  <c r="B114" i="2"/>
  <c r="B115" i="2"/>
  <c r="B117" i="2"/>
  <c r="B118" i="2"/>
  <c r="B121" i="2"/>
  <c r="B124" i="2"/>
  <c r="B127" i="2"/>
  <c r="B129" i="2"/>
  <c r="B132" i="2"/>
  <c r="B135" i="2"/>
  <c r="B139" i="2"/>
  <c r="B141" i="2"/>
  <c r="B143" i="2"/>
  <c r="B145"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<sst xmlns="http://schemas.openxmlformats.org/spreadsheetml/2006/main" count="1455" uniqueCount="300">
  <si>
    <t>Fecha</t>
  </si>
  <si>
    <t>Titular</t>
  </si>
  <si>
    <t>Dependencia</t>
  </si>
  <si>
    <t>Canal</t>
  </si>
  <si>
    <t>Tema</t>
  </si>
  <si>
    <t>Estatus</t>
  </si>
  <si>
    <t>Sipdus</t>
  </si>
  <si>
    <t>Informativa</t>
  </si>
  <si>
    <t>Acir 92.5 FM</t>
  </si>
  <si>
    <t>Radioescucha</t>
  </si>
  <si>
    <t>Panorama Informativo Pachuca</t>
  </si>
  <si>
    <t>Radio local</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</si>
  <si>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</si>
  <si>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</si>
  <si>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</si>
  <si>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</si>
  <si>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</si>
  <si>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</si>
  <si>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</si>
  <si>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</si>
  <si>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</si>
  <si>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</si>
  <si>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</si>
  <si>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</si>
  <si>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</si>
  <si>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</si>
  <si>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</si>
  <si>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</si>
  <si>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</si>
  <si>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</si>
  <si>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</si>
  <si>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</si>
  <si>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</si>
  <si>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</si>
  <si>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</si>
  <si>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</si>
  <si>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</si>
  <si>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</si>
  <si>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</si>
  <si>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</si>
  <si>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</si>
  <si>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</si>
  <si>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</si>
  <si>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</si>
  <si>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</si>
  <si>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</si>
  <si>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</si>
  <si>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</si>
  <si>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</si>
  <si>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</si>
  <si>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</si>
  <si>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</si>
  <si>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</si>
  <si>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TV local</t>
  </si>
  <si>
    <t>La Poderosa Tuxpan 93.1 FM</t>
  </si>
  <si>
    <t>NN Nuestras Noticias Zona Norte</t>
  </si>
  <si>
    <t>Entrevista</t>
  </si>
  <si>
    <t>Enfoque Regional Matutino</t>
  </si>
  <si>
    <t>Rodolfo López</t>
  </si>
  <si>
    <t>Radio Lobo 96.7 FM</t>
  </si>
  <si>
    <t>Turismo</t>
  </si>
  <si>
    <t>Enlace Noticias</t>
  </si>
  <si>
    <t>Eulalio Larrieta agradece a Carlos Gamiño por estar al pendiente de temas.</t>
  </si>
  <si>
    <t>Bienestar</t>
  </si>
  <si>
    <t>DIFH</t>
  </si>
  <si>
    <t>PGJEH</t>
  </si>
  <si>
    <t>SSH</t>
  </si>
  <si>
    <t>Aldo Falcón</t>
  </si>
  <si>
    <t>Gina Lorenzo</t>
  </si>
  <si>
    <t>Alcantarillado</t>
  </si>
  <si>
    <t>Ultra 102.9 FM</t>
  </si>
  <si>
    <t>Ultra Noticias1</t>
  </si>
  <si>
    <t>Combate a la delincuencia</t>
  </si>
  <si>
    <t>Izza Hernández</t>
  </si>
  <si>
    <t>Jessenia Romero</t>
  </si>
  <si>
    <t>Abner Yáñez</t>
  </si>
  <si>
    <t>Vía telefónica el reporte de Bombero y Protección Civil con Abner Yáñez informa de las diversas emergencias reportadas por la ciudadanía y que fueron atendidas.</t>
  </si>
  <si>
    <t>Auxilio a la ciudadanía</t>
  </si>
  <si>
    <t>Participación</t>
  </si>
  <si>
    <t>Estafa Siniestra</t>
  </si>
  <si>
    <t>Capacitación</t>
  </si>
  <si>
    <t>Localización de persona</t>
  </si>
  <si>
    <t>Anuncio de inversiones</t>
  </si>
  <si>
    <t>Combate Al Narcomenudeo</t>
  </si>
  <si>
    <t>Combate Al Huachicol</t>
  </si>
  <si>
    <t>Vialidad En Mal Estado</t>
  </si>
  <si>
    <t>Remesas</t>
  </si>
  <si>
    <t>Carril confinado</t>
  </si>
  <si>
    <t>Sedeco</t>
  </si>
  <si>
    <t>Consejo Técnico</t>
  </si>
  <si>
    <t>SSPH desarticula dos presuntos puntos de venta de droga en Mineral del Monte</t>
  </si>
  <si>
    <t>Rutas de la Reconstrucción</t>
  </si>
  <si>
    <t>Locutor Jesús Riveros da lectura a comentario de radioescucha que dice: Buenas tardes, dice por acá el señor Juan. "Felicito al gobierno federal y a este gobierno estatal porque ya hay muchas detenciones y están dando golpes al narcotráfico. Nunca en ningún otro gobierno se había visto que trabajaran de manera conjunta. Todos los gobiernos pasados se hacían de la vista gorda porque pues también estaban de alguna forma", dice, "relacionados con el narcotráfico".</t>
  </si>
  <si>
    <t>Gobierno</t>
  </si>
  <si>
    <t>Labor destacada</t>
  </si>
  <si>
    <t>Elementos de la Policía Federal Ministerial incautaron aproximadamente 173,800 litros de sustancia líquida con características de petróleo en un inmueble localizado en la colonia Exhaciendas Rancho Cadena, como resultado de una orden de cateo vinculada a investigaciones por probable robo de combustible. La diligencia fue encabezada por la Fiscalía General de la República (FGR) en Hidalgo, a través de la Fiscalía Especializada de Control Regional (FECOR), derivada de una denuncia formal presentada por la apoderada legal de Petróleos Mexicanos (PEMEX). Tras integrar la carpeta de investigación, el Ministerio Público de la Federación obtuvo la orden judicial emitida por un juez de control del Centro de Justicia Penal Federal en la entidad. Durante el operativo, peritos de la Agencia de Investigación Criminal (AIC) y efectivos federales localizaron el combustible, dos mangueras y, a unos seis metros del predio, seis tomas clandestinas conectadas a un ducto de PEMEX, de las cuales tres mantenían conexión directa hacia el inmueble intervenido. Para garantizar la seguridad en la zona y prevenir riesgos, en el despliegue participaron elementos de la Secretaría de la Defensa Nacional (SEDENA), Guardia Nacional, Policía Estatal, Policía Municipal, Protección Civil y personal especializado de PEMEX. Los indicios asegurados quedaron a disposición de la FGR para continuar con los peritajes y deslindar responsabilidades.</t>
  </si>
  <si>
    <t>En un operativo conjunto coordinado entre fuerzas federales y estatales, autoridades lograron la detención de José Luis N (identificado también como Jorge Luis N), alias "El Coqui", señalado como presunto líder del grupo delictivo Pueblos Unidos y considerado un objetivo prioritario para el Gobierno de México y las autoridades del estado de Tabasco. Durante la intervención policial efectuada en territorio hidalguense, fueron capturados también otros dos presuntos operadores pertenecientes a la misma organización criminal, lo que representa un importante golpe a la delincuencia organizada. La información fue confirmada la tarde de este miércoles 26 de agosto por el Secretario de Seguridad y Protección Ciudadana del Gobierno de México, Omar García Harfuch, quien destacó la eficacia de la coordinación interinstitucional para concretar la aprehensión del generador de violencia. Los tres detenidos y los elementos asegurados quedaron a disposición de las autoridades correspondientes para el deslinde de responsabilidades jurídicas.</t>
  </si>
  <si>
    <t>Detención</t>
  </si>
  <si>
    <t>Seis hombres fueron detenidos durante un operativo de seguridad en Tecozautla, donde también se aseguraron nueve armas de fuego, 446 cartuchos útiles, dos vehículos con reporte de robo y 120 artefactos metálicos conocidos como "ponchallantas". La intervención estuvo a cargo de una base de operaciones interinstitucional integrada por elementos de la Secretaría de Seguridad Pública de Hidalgo, el Ejército Mexicano y la Guardia Nacional, así como la policía municipal adscrita al mando coordinado. De acuerdo con el informe de la Secretaría de Seguridad Pública, las corporaciones realizaban recorridos para detectar posibles delitos cuando localizaron dos camionetas ocupadas por seis personas: una de las unidades era tipo pickup y la otra tipo SUV. Al revisar los datos de ambos vehículos, los agentes establecieron que contaban con reporte de robo vigente, y a partir de este hallazgo se realizó la inspección que permitió localizar las armas, cartuchos, equipo de protección y otros objetos. La autoridad estatal identificó a los seis detenidos como un presunto grupo generador de violencia; sin embargo, corresponderá al Ministerio Público investigar su parte en estos hechos delictivos y con ello definir los cargos que podrían formularse en su contra. Además, entre los indicios asegurados se encontraban seis armas largas, tres armas cortas —todas abastecidas al momento de la intervención—; los agentes también localizaron 22 cargadores y un total de 446 cartuchos útiles. Así el tema, esto allá en Tecozautla.</t>
  </si>
  <si>
    <t>Y de lo internacional nos regresamos a lo local. Aquí en Epazoyucan, esto con información de La Silla Rota, cerca de 15 personas fueron evacuadas durante la madrugada de este miércoles 26 de agosto después de una fuga de hidrocarburo que alcanzó una zona habitada de Xolostitla, en el municipio de Epazoyucan. La emergencia fue reportada alrededor de la 1:30 de la madrugada sobre la calle Morelos; cuando las unidades llegaron, detectaron que el producto se había extendido aproximadamente 150 metros, por lo que se tomó la decisión de desalojar preventivamente seis viviendas. Las familias fueron retiradas mientras los equipos de emergencia delimitaban el área y evaluaban el riesgo que representaba la presencia del combustible. La evacuación buscó mantener a los habitantes alejados de posibles vapores, acumulaciones y puntos donde pudiera generarse un incendio. El operativo reunió a elementos de la Guardia Nacional, al Ejército Mexicano, la Policía Estatal y la Policía Municipal; también participaron Protección Civil, bomberos y personal de Seguridad Física. Posterior a la intervención, la zona quedó acordonada para impedir el ingreso de las personas y los vehículos durante las maniobras. Los trabajos se concentraron en reducir el riesgo y contener el derrame, y revisar también el área recorrida por el hidrocarburo. Hasta hace unos momentos no se reportaban personas lesionadas; tampoco fue necesario informar sobre atención hospitalaria para alguno de los aproximadamente 15 habitantes evacuados.</t>
  </si>
  <si>
    <t>Fuga de hidrocarburo</t>
  </si>
  <si>
    <t>SEPH/Bol.1848/2026: Encabeza Natividad Castrejón el arranque de la Campaña Boteo Teletón 2026 en la SEPH</t>
  </si>
  <si>
    <t>Teletón</t>
  </si>
  <si>
    <t>El presidente municipal Jorge Hernández Araus encabezó la entrega de una obra integral en la calle 16 de Septiembre, en Santa Elena Paliseca, con una inversión de 2 millones 269 mil 904 pesos. Los trabajos incluyeron infraestructura de agua potable y drenaje, además de la construcción de 1,104.96 metros cuadrados de pavimento de concreto hidráulico, guarniciones y banquetas. La obra beneficia de manera indirecta a más de 2 mil 500 habitantes, al mejorar tanto los servicios básicos como las condiciones de movilidad peatonal y vehicular. Durante la entrega, Hernández Araus destacó que este tipo de proyectos permiten atender distintas necesidades de las comunidades mediante intervenciones integrales que fortalecen la infraestructura y mejoran la calidad de vida de las familias cuautepequenses. Más obra y mejores servicios para las comunidades de Cuautepec.</t>
  </si>
  <si>
    <t>Obras De Infraestructura</t>
  </si>
  <si>
    <t>Entrevista en cabina Juan Carlos Valdés Marín, director de la Fototeca Nacional del INAH - Dio a conocer las actividades conmemorativas con motivo del 50 aniversario de la institución, la cual celebrará medio siglo de existencia el próximo 20 de noviembre. El recinto, ubicado en el Exconvento de San Francisco en la ciudad de Pachuca, alberga un acervo superior a 1.22 millones de imágenes distribuidas en 50 colecciones históricas que abarcan desde 1847 hasta la época contemporánea, incluyendo el icónico Archivo Casasola.</t>
  </si>
  <si>
    <t>Conmemoración aniversario</t>
  </si>
  <si>
    <t>Con transparencia y buen uso del gasto público, rinde el presupuesto para atender necesidades: Julio Menchaca</t>
  </si>
  <si>
    <t>Julio Menchaca respalda transformación de Lolotla con más de 105 millones de pesos</t>
  </si>
  <si>
    <t>Durante el noveno anuncio de inversiones, Carlos Henkel Escorza, secretario de Desarrollo Económico de Hidalgo, dio a conocer el proyecto de instalación de una tienda Home Depot en el municipio de Tulancingo. La llegada de la cadena especializada en productos para el hogar contempla una inversión de 397 millones de pesos y proyecta la generación de aproximadamente 500 empleos locales. Al respecto, la presidenta municipal Lorena García Cázares afirmó que la llegada de la empresa privada confirma el potencial de Tulancingo como destino de inversiones debido a factores clave como su ubicación estratégica, actividad comercial y conectividad carretera. Asimismo, destacó que este desarrollo forma parte de una etapa de crecimiento integral que debe acompañarse de una planeación ordenada y de largo plazo, en congruencia con el Plan Municipal de Desarrollo. Como parte del contexto de infraestructura y desarrollo que atraviesa el municipio, García Cázares resaltó proyectos paralelos como la construcción de cerca de 5,000 Viviendas del Bienestar y la ampliación a cuatro carriles del tramo carretero Pitula-Tulancingo, obra federal ya aprobada por la presidenta de México, Claudia Sheinbaum. Asimismo, la alcaldesa subrayó que la estrategia económica local incluye programas de capacitación, acompañamiento y formalización dirigidos a las micro, pequeñas y medianas empresas (MiPyMEs) para fortalecer la capacidad competitiva del comercio local.</t>
  </si>
  <si>
    <t>Entrevista Cristián Ahued en cabina, titular del Centro de Integración Juvenil (CIJ) Pachuca, advirtió sobre el panorama actual de las adicciones en la capital hidalguense. Señaló que la metanfetamina, conocida comúnmente como "cristal", se ha convertido en la sustancia de mayor consumo en la región, estando presente en 7 de cada 10 pacientes que acuden en busca de atención a esta institución. Ahued explicó que, además de las sustancias químicas, se ha registrado un crecimiento alarmante en las adicciones de comportamiento, impulsadas por el uso compulsivo de tecnologías de la información y la ludopatía digital a través de aplicaciones de apuestas deportivas. Destacó que el cerebro de los adolescentes es sumamente vulnerable a estas conductas debido a que la corteza prefrontal —área encargada de la toma de decisiones y el control de impulsos— concluye su maduración hasta los 25 años, lo que facilita que la liberación masiva de dopamina generada por el consumo o el juego derive en una dependencia crónica. Asimismo, el funcionario expresó su preocupación por la disminución en la edad de inicio en el consumo de alcohol y tabaco, la cual se sitúa actualmente entre los 11 y 12 años de edad. Ante esta problemática de salud pública, enfatizó que la adicción es una enfermedad prevenible y tratable, por lo que instó a las familias, docentes y sectores de la sociedad a no caer en la negación y buscar apoyo especializado de manera oportuna. Para brindar atención, rehabilitación y orientación en salud mental, el CIJ Pachuca puso a disposición de la ciudadanía el teléfono 771 713 1607, su página de Facebook CIJ Pachuca y sus instalaciones ubicadas en la calle San Martín de Porres número 100, en la colonia Canutillo.</t>
  </si>
  <si>
    <t>Prevención De Adicciones</t>
  </si>
  <si>
    <t>Entrega Cultura más de 4 mdp en apoyos de cuatro programas</t>
  </si>
  <si>
    <t>Cultura</t>
  </si>
  <si>
    <t>Apoyo a artistas</t>
  </si>
  <si>
    <t>En la Feria Nacional de Empleo para las Juventudes 2026, habrá registro para postularse a vacante en Alemania.</t>
  </si>
  <si>
    <t>STPSH</t>
  </si>
  <si>
    <t>Feria De Empleo</t>
  </si>
  <si>
    <t>Entrevista vía telefónica Jorge Hernández Arauz, presidente municipal de Cuautepec - Informó sobre el avance de la obra de rehabilitación del acceso a Tepatitlán —que contempla una inversión cercana a los 3.8 millones de pesos en concreto hidráulico— y confirmó que se modificó el proyecto técnico para conservar un árbol de encino ubicado en la zona. El edil explicó que, tras dialogar con los vecinos y coordinarse con las autoridades educativas estatales, se logró gestionar un tramo de terreno de la escuela primaria local y la donación de predios particulares. Esta medida permitirá ampliar la carretera para garantizar el tránsito fluido de dos vehículos en ambos sentidos, evitando el cuello de botella tradicional sin necesidad de retirar el encino. Asimismo, Hernández Araus abordó las inquietudes sobre el retiro de vegetación en otras zonas, aclarando que únicamente se han retirado ejemplares cuando afectaban la infraestructura existente —como las raíces que dañaban el pavimento de la cancha en El Pedregal— o cuando se encontraban dentro de predios particulares acordados para la obra. Destacó además que el municipio ha sido beneficiado con más de 260 mil plantas para campañas de reforestación masiva y jardines polinizadores. Finalmente, el alcalde hizo un llamado a la ciudadanía a mantener una comunicación directa con el gobierno municipal para resolver dudas sobre los proyectos en curso, asegurando que las obras públicas se ejecutan con responsabilidad y buscando el mayor beneficio para la comunidad.</t>
  </si>
  <si>
    <t>Infraestructura verde</t>
  </si>
  <si>
    <t>Inhjuve inicia inscripción presencial de Transformando Emprendedores y Embajadores Juventud 2026</t>
  </si>
  <si>
    <t>Apoyo A Jóvenes</t>
  </si>
  <si>
    <t>Con relación al siniestro de tránsito ocurrido la mañana de hoy aproximadamente a las 9:50 horas, sobre la carretera México – Pachuca, frente a la comunidad de Acayuca del municipio de Zapotlán, la Semot, a través su organismo sectorizado, STCH, informa lo siguiente.</t>
  </si>
  <si>
    <t>Accidente transporte público</t>
  </si>
  <si>
    <t>Radioescucha Sr. Fidel dice: Licenciado, ¿Tenemos que sacar cita para que vengan a arreglar lo que les faltó a CAASIM? No es justo, licenciado, que vengan y hagan lo que quieran, puras cochinadas», dice. «Esto es en la calle del Canal esquina con Pirul, y también que se lleven su escombro»</t>
  </si>
  <si>
    <t>Zanjas Caasim</t>
  </si>
  <si>
    <t>Radioescucha comenta: “ En relación a la foto que te envío, me gustaría comentar que el mes pasado, después de que quedamos un mes sin agua en la colonia Felipe Ángeles, detectaron una fuga interna que estaba en una de las calles. Y agradecemos que hayan venido a arreglar, sobre todo la fuga. Pero dejaron así la banqueta, quedaron todas rotas, levantadas</t>
  </si>
  <si>
    <t>Radioescucha Sr. Juan, dicen que arreglen las fisuras del paso hacia el Barrio La Españita</t>
  </si>
  <si>
    <t>Informan que por la se presentó una fuga de combustible en Epazoyucan, en una toma clandestina en un ducto de Pemex. Se han evacuado a 15 personas y todo esta bajo control.</t>
  </si>
  <si>
    <t>Tomas clandestinas</t>
  </si>
  <si>
    <t>En otros temas, durante septiembre y octubre la población podrá realizar su testamento a precios especiales como parte de la campaña destinada a fomentar la cultura de la prevención y brindar certeza jurídica a las familias.</t>
  </si>
  <si>
    <t>Testamento</t>
  </si>
  <si>
    <t>La Secretaría de Educación Pública de Hidalgo puso en marcha la campaña Boteo Teletón 2026</t>
  </si>
  <si>
    <t>Como parte de las Rutas de la Transformación para la Reconstrucción, el gobernador Julio Menchaca Salazar visitó el municipio de Lolotla para entregar apoyos productivos dirigidos a mujeres rurales y pequeños productores, además de dar seguimiento a las acciones de infraestructura que se han realizado en esa zona.</t>
  </si>
  <si>
    <t>Liz Argüelles</t>
  </si>
  <si>
    <t>En otra información, el gobernador Julio Menchaca visitó Lolotla</t>
  </si>
  <si>
    <t>Siguiendo con este tema de la reconstrucción, en Molango también avanzan con obras destinadas a recuperar caminos, puentes y sistemas de agua potable afectados por la vaguada monzónica, así lo informó el gobernador Julio Menchaca .</t>
  </si>
  <si>
    <t>Un taller de hojalatería ubicado en la comunidad de Panoaya, en Tezontepec de Aldama, fue escenario de un asalto cometido</t>
  </si>
  <si>
    <t>Robo a comercio</t>
  </si>
  <si>
    <t>Ixmiquilpan, Tulancingo y Pachuca son los municipios que más reciben remesas de los Estados Unidos, así lo informó Ricardo Gómez Moreno, titular de la Secretaría de Bienestar e Inclusión Social de Hidalgo</t>
  </si>
  <si>
    <t>La Comisión Nacional del Agua (Conagua), a través de su Dirección Local Hidalgo, entregó Planes de E mergencia de Inundación, Planes Operativos Contra Inundación de las Ciudades y Planes de Estiaje, con el objetivo de fortalecer la prevención y respuesta ante fenómenos hidrometeorológicos.</t>
  </si>
  <si>
    <t>Prevención de inundaciones</t>
  </si>
  <si>
    <t>Ya se vienen las lluvias, usted lo ha visto, estos últimos días se han presentado chubascos muy ligeros, pero se viene la temporada importante de lluvias; septiembre y octubre son meses críticos y también los municipios se preparan para esta temporada. Protección Civil y todos los equipos de emergencia monitorean sobre todo municipios donde pasan distintos ríos o arroyos importantes, como es esta zona donde pasa el río Tula y que ya sabemos lo complejo que es una situación como una inundación, con lluvias constantes aquí en la región de Tula. ¿Por qué se lo menciono? Porque el municipio de Tepeji del Río, que corresponde a esta región de Tula, es el que registra el mayor número de puntos críticos de inundación en Hidalgo.</t>
  </si>
  <si>
    <t>Radioescucha comenta tiene meses que por accidente... por accidentes se destruyeron las paradas de transporte público en el bulevar Minero y es hora que no las reparan</t>
  </si>
  <si>
    <t>Parada de transporte</t>
  </si>
  <si>
    <t>Para los jóvenes que quieren seguir estudiando, la Universidad Digital del Estado de Hidalgo mantiene abierta su convocatoria 2026</t>
  </si>
  <si>
    <t>Oferta educativa</t>
  </si>
  <si>
    <t>El Ayuntamiento de Mineral de la Reforma, encabezado por el alcalde Eduardo Medécigo Rubio, obtuvo una calificación del 100 por ciento en el Índice Municipal de Rendición de Cuentas, correspondiente al segundo trimestre del ejercicio fiscal 2026.La evaluación fue realizada por la Auditoría Superior del Estado de Hidalgo (ASEH), a través de la Dirección General de Fiscalización Superior Municipal.De acuerdo con el órgano fiscalizador, el porcentaje refleja el grado de cumplimiento y apego en la entrega de la documentación e información requerida en la Guía para la Integración y Rendición de los Informes de Avance de Gestión Financiera y Cuenta Pública del Ejercicio Fiscal 2026 de los municipios de Hidalgo y sus organismos descentralizados.</t>
  </si>
  <si>
    <t>Índice de desempeño municipal</t>
  </si>
  <si>
    <t>El Gobierno Federal anunció la apertura de Farmacias del Bienestar en 24 estados del país. duardo Clark García, subsecretario de Integración Sectorial y Desarrollo de la Secretaría de Salud, dijo que actualmente operan esas farmacias en el Estado de México surtiendo 24 medicamentos básicos. Aseguró que también este año operarán 1000 máquinas en zonas de difícil acceso donde la gente podrá obtener su medicamento sin tener que ir a un centro de salud, escaneando un código que otorgarán las autoridades</t>
  </si>
  <si>
    <t>IMSS Bienestar</t>
  </si>
  <si>
    <t>En la conferencia de la presidenta Claudia Sheinbaum, se informó que el Gobierno de México pondrá en marcha las Farmacias del Bienestar dentro del programa «Salud casa por casa».</t>
  </si>
  <si>
    <t>Van a ser veinticuatro estados los que se suman a esta estrategia de farmacias para el bienestar.</t>
  </si>
  <si>
    <t>La Secretaría de Salud de Hidalgo confirmó un acumulado de 20 casos de miasis por gusano barrenador en humanos</t>
  </si>
  <si>
    <t>Gusano barrenador</t>
  </si>
  <si>
    <t>Conagua inició una jornada de fumigación en más de 40 planteles educativos del municipio de Tepetitlán, esto previo al regreso a clases. Las labores se realizarán del 25 al 28 de agosto en escuelas de nivel preescolar hasta superior con la aplicación de insecticida en espacios interiores y exteriores. El objetivo de esta fumigación por parte de Conagua es reducir la presencia del mosco Culex y proteger a estudiantes, docentes y personal educativo; estas acciones forman parte del Plan Maestro de Recuperación de la Presa Endhó y se desarrollan en coordinación con el gobierno municipal.Hablando del mosco Culex y del aumento en la presa Endhó, en las comunidades más alejadas del embalse de aguas residuales las familias se han visto obligadas a permanecer literalmente secuestradas en sus hogares para no ser atacadas por el mosco. Antes, hablaban las familias ribereñas de la presa Endhó que después de las 4 o 5 de la tarde era imposible estar en sus patios o hacer sus actividades; ahora muchos señalan que es a lo largo de todo el día que no pueden estar afuera y que están literalmente encerrados en casa para no sufrir los estragos de la presencia del mosco Culex. Los pobladores señalan que las fumigaciones también les están afectando, por lo que ya piden las máquinas trituradoras de lirio en el embalse. Pero nunca me había dado eso, que no me dolía nada, nada más estaba haciendo pura agua. Pasaron esa fumigación, hubo otra fumigación, y pasé e igual me puse mi cubrebocas; entonces lo que pasó, me empezó a doler. Es que las fumigaciones dijeron que nos iban a mandar un programa para que nos avisaran, al menos nos daban en nuestra casa, que estamos encerrados, pues fuera una protección, ¿no?, por lo de los animales, pero no hay ningún programa. Yo no sé quién dice que ha bajado el lirio, no, pues si se pusieron unas maquiladoras para que acaben con el lirio, ¿para qué?, para que no aniden la larva</t>
  </si>
  <si>
    <t>Fumigación mosco Culex</t>
  </si>
  <si>
    <t>Radioescucha reporta Nuevamente la gran fuga aquí en el Deportivo 11 de Julio.</t>
  </si>
  <si>
    <t>Fuga De Agua</t>
  </si>
  <si>
    <t>Radioescucha reporta que en la carretera que viene a Pachuca, exactamente en puente La Noria, hay una fuga de agua desde hace una semana. Se hizo un bache y, bueno, pues ayer taparon el bache, pero la fuga sigue.</t>
  </si>
  <si>
    <t>En la Feria Nacional de Empleo para Juventudes 2026, habrá registrp para posturarse a vacante en Alemania</t>
  </si>
  <si>
    <t>En otra información, más de 20 empresas participarán en la Feria Nacional del Empleo para las Juventudes 2026, que se realizará este jueves 27 de agosto en Mineral de la Reforma.</t>
  </si>
  <si>
    <t>Radioescucha pide arreglar los cajeros de Santa Julia de la CFE</t>
  </si>
  <si>
    <t>Fallas CFE</t>
  </si>
  <si>
    <t>Radioescucha pide rondines de vigilancia en la calle Arrayán, colonia Piracantos; se están robando autopartes de los vehículos de los vecinos.</t>
  </si>
  <si>
    <t>Exigen seguridad</t>
  </si>
  <si>
    <t>CEDSPI entrega Manual de Organización y Operación del Corredor Artesanal en Tasquillo</t>
  </si>
  <si>
    <t>Corredor artesanal</t>
  </si>
  <si>
    <t>Hablando de este sustento que realizan migrantes, son también la base para que muchos niños, niñas y adolescentes puedan seguir estudiando, y es que ya el próximo 31 de agosto inicia el ciclo escolar 2026-2027.Esta semana se tuvo el consejo técnico por parte de profesores y administrativos y se espera que el próximo lunes entre 630 mil y 650 mil estudiantes de nivel inicial, preescolar, primaria y secundaria de Hidalgo vuelvan a las aulas.</t>
  </si>
  <si>
    <t>Consejo técnico</t>
  </si>
  <si>
    <t>José José Sinfónico llegará al Gota de Plata con la Orquesta Sinfónica del Estado de Hidalgo</t>
  </si>
  <si>
    <t>Concierto Sinfónico</t>
  </si>
  <si>
    <t>Radioescucha pregunta ¿ Que dia es el evento de José José Sinfónico?</t>
  </si>
  <si>
    <t>Como resultado de la visión del gobernador Julio Menchaca Salazar para consolidar un turismo competitivo que genere bienestar en las regiones, se está llevando a cabo el programa de profesionalización y certificación turística 2026</t>
  </si>
  <si>
    <t>Certificación turística</t>
  </si>
  <si>
    <t>Radioescucha comenta : El lunes como a las 6:30 de la tarde dos patrullas de la de las moradas invadieron la ruta del Tuzobús en bulevar Felipe Ángeles, desde la Normal Superior hasta Plaza 2000.</t>
  </si>
  <si>
    <t>Eulalio Larrieta agradece a Edith Balderas de la Secretaria de Educación Pública.</t>
  </si>
  <si>
    <t>Radioescucha agradece a Caasim por dar respuesta a quejas y ya se tiene agua en Lomas Residencial El Atorón,</t>
  </si>
  <si>
    <t>Julio Menchaca Salazar de mantener un gobierno cercano a la gente y priorizar el bienestar de las familias del campo,</t>
  </si>
  <si>
    <t>Saderh</t>
  </si>
  <si>
    <t>Apoyo Al Agro</t>
  </si>
  <si>
    <t>La Secretaría de Agricultura y Desarrollo Rural de Hidalgo entregó apoyos productivos por más de 6.9 millones de pesos en beneficio de 640 personas trabajadoras del campo.</t>
  </si>
  <si>
    <t>El Instituto Hidalguense de la Juventud recibirá expedientes para los programas Transformando Emprendedores y Embajadores Juventud 2026.</t>
  </si>
  <si>
    <t>Radioescucha ayer al salir del Hospital Español observé que esta coladera está hundida, le colocaron un objeto para que sea visible, pero está muy peligroso. Esperamos que nos puedan apoyar.</t>
  </si>
  <si>
    <t>Una patrulla de la Policía Industrial Bancaria terminó volcada sobre el bulevar Felipe Ángeles</t>
  </si>
  <si>
    <t>Accidente de patrulla</t>
  </si>
  <si>
    <t>Izza Hernández: Nos acaban de hacer una llamada telefónica, nos están reportando pues nuevamente el tema del Hospital General de Tulancingo, Jess, eh falta de insumos, eh también nos estaban comentando que mandaron a un paciente a hacerse estudios fuera del mismo hospital, pero que no cuentan con ambulancia para el traslado. Entonces nos comenta: "Llevo cuatro días precisamente con pues con esta situación y no pueden hacer eh movimientos de absolutamente nada" y sí está bastante complicado lo que nos está platicando, bueno, lo que nos platicó vía telefónica una persona de este lado.</t>
  </si>
  <si>
    <t>Mala atención médica</t>
  </si>
  <si>
    <t>Encabeza Natividad Castrejón el arranque de la Campaña Boteo Teletón 2026 en la SEPH</t>
  </si>
  <si>
    <t>Hidalgo estará ampliando su capacidad de atención médica con la incorporación de 641 consultorios de primer nivel, esto como parte de la estrategia federal Salud Casa por Casa, que también contempla la creación de las Farmacias del Bienestar. El proyecto fue presentado durante la conferencia de la presidenta de México Claudia Sheinbaum, en la que también participó mediante un enlace el gobernador de Hidalgo Julio Menchaca y se prevé que las nuevas acciones comiencen a funcionar de manera gradual entre septiembre y noviembre de este año. En todo el país se instalarán 6,567 Farmacias del Bienestar en las 24 entidades donde opera IMSS-Bienestar. Estos establecimientos tendrán como finalidad facilitar el acceso gratuito a medicamentos, principalmente para personas que necesitan atención y seguimiento constante por enfermedades crónicas. Mmm la estrategia también contempla que el personal de enfermería tenga facultades para elaborar recetas de 22 medicamentos dirigidos a padecimientos crónicos y enfermedades agudas leves, además de ampliar la infraestruc- infraestructura médica. Y es que Salud Casa por Casa busca acercar los servicios a las comunidades, reducir las dificultades que enfrentan algunas personas para acceder a consultas y tratamientos. Como parte de la implementación, el Gobierno Federal anunció que el 14 de septiembre comenzará la conformación de comités comunitarios en cada uno de los consultorios. Estos grupos estarían encargados de acompañar el desarrollo del programa y promover también la participación de los habitantes.</t>
  </si>
  <si>
    <t>Radioescucha: llamé a Tránsito para el retiro de un vehículo en el que venden tco y no han atendido el reporte</t>
  </si>
  <si>
    <t>Inatención</t>
  </si>
  <si>
    <t>Un operativo conjunto en la localidad de La Palma, en Mineral del Monte, permitió ubicar y asegurar dos inmuebles que presuntamente eran utilizados para la venta y distribución de drogas. Durante estas acciones, dos hombres fueron detenidos. Los cateos se llevaron a cabo con la participación de elementos de la Secretaría de Seguridad Pública de Hidalgo, la Procuraduría General de Justicia estatal, la Secretaría de la Defensa Nacional y también la Guardia Nacional. Las autoridades señalaron que a partir de trabajos de investigación e inteligencia se detectaron dos domicilios que estarían relacionados con actividades de narcomenudeo, por lo que obtuvieron las órdenes judiciales para poder intervenirlos. En ambos puntos fueron localizadas 83 dosis de la sustancia con características similares al cristal y otras 46 dosis de hierba seca con apariencia de marihuana, sumando 129 envoltorios de presuntas sustancias ilícitas. También le platicamos que se encontraron con una báscula de precisión, material también para el empaquetado y dosificación.</t>
  </si>
  <si>
    <t>Izza Hernández respecto a las declaraciones del Secretario de Seguridad Publica, Salvador Curz Neri sobre que no cuenta con información detallada sobre las personas detenidas y los inmuebles intervenidos durante el reciente operativo federal contra el Cártel Jalisco Nueva Generación destaca la falta de información de la Secretaría de Seguridad Pública de Hidalgo sobre detenciones y operativos en el estado. Menciona que, aunque algunas investigaciones deben ser reservadas, los ciudadanos tienen derecho a conocer lo que ocurre en su territorio, especialmente en temas de seguridad. Se han reportado 20 detenidos y 36 inmuebles intervenidos en tres estados, lo cual indica la magnitud del operativo. Por su parte, Jessenia Romero añade que han sido notificados sobre el tema, pero no han recibido más detalles sobre los resultados, lo que también genera preocupación por la transparencia en la seguridad pública.</t>
  </si>
  <si>
    <t>Coordinación Interinstitucional</t>
  </si>
  <si>
    <t>El día de ayer la Secretaría de Seguridad Pública del estado pues dio a conocer que no cuenta con información detallada sobre las personas detenidas y los inmuebles intervenidos durante el reciente operativo federal contra el Cártel Jalisco Nueva Generación, según informó el titular de la dependencia estatal Salvador Cruz Neri. De hecho, el funcionario explicó que en este tipo de acciones la corporación estatal únicamente recibe los avisos sobre el despliegue de los operativos sin que se le proporcionen datos específicos sobre cuáles son los objetivos de las investigaciones o incluso cuáles son los resultados que se obtuvieron. La declaración se dio después de que el secretario de Seguridad y Protección Ciudadana, Omar García Harfuch, informara sobre la detención de 20 personas presuntamente relacionadas con el Cártel Jalisco Nueva Generación como resultado de cateos realizados de manera simultánea en 36 inmuebles de Hidalgo, Jalisco y Michoacán. Cruz Neri destacó la importancia de que las instituciones federales mantengan presencia y desarrollen este tipo de acciones en territorio hidalguense al considerar que contribuyen al combate contra organizaciones criminales. El secretario también señaló que los operativos federales forman parte de acciones permanentes que se realizan en distintas entidades del país y manifestó su respaldo a la intervención del Gabinete de Seguridad Nacional en el estado de Hidalgo. Y estas declaraciones fueron realizadas en Tulancingo al término del informe del diputado local Arturo Gómez Canales. Y pues bueno, pues básicamente menciona Cruz Salvador Cruz Neri que no tiene detalles, que los desconocen, que simplemente pues en este operativo fueron sí notificados que se iba a realizar, pero finalmente no se dan más datos, no se proporciona tampoco información sobre los objetivos ni los resultados obtenidos durante estos cateos, así que no hay más datos.</t>
  </si>
  <si>
    <t>Crimen Organizado</t>
  </si>
  <si>
    <t>Hidalgo se ubicó entre las entidades con mayor incidencia de varios delitos relacionados con la violencia contra las mujeres durante los primeros siete meses de 2026, de acuerdo con cifras del Secretariado Ejecutivo del Sistema Nacional de Seguridad Pública. La entidad ocupó el sexto lugar nacional en denuncias por violación, con 533 carpetas de investigación, así como en lesiones culposas, con 672 víctimas. Además, se colocó en la quinta posición por lesiones dolosas, al registrar mil 939 víctimas. La violencia familiar también aumentó en el estado, con 4 mil 847 carpetas de investigación de enero a julio, un incremento de 12.1 por ciento respecto al mismo periodo del año pasado. En Tulancingo, los delitos sexuales también han mostrado una incidencia importante. Durante los primeros cinco meses del año, el municipio concentró 17 de las 29 denuncias por violación simple registradas en la región, además de 29 casos de abuso sexual. Tulancingo también concentró 13 de las 15 carpetas por violación equiparada registradas en los municipios de la región durante ese mismo periodo. Las cifras reflejan la necesidad de fortalecer las acciones de prevención, atención a víctimas y seguimiento a las denuncias, ante la incidencia de delitos que continúan afectando la seguridad y los derechos de las mujeres en Hidalgo y la región de Tulancingo.</t>
  </si>
  <si>
    <t>Delitos de género</t>
  </si>
  <si>
    <t>Iza Hernández</t>
  </si>
  <si>
    <t>La iniciativa para tipificar como delito el abandono de adultos mayores en el Código Penal con penas de 3 meses a 4 años de prisión sigue pendiente, pese a que en julio pasado el Congreso de Hidalgo aprobó una reforma a la ley para reconocer el abandono familiar, institucional y social como formas de vulneración de los derechos de las personas adultas mayores. En el marco del Día del Adulto Mayor el próximo 28 de agosto, la diputada local María Guadalupe Cruz Montaño indicó que la propuesta no ha sido dictaminada, la cual es importante para evitar el abandono a ese sector poblacional y que dejen a las personas “a su suerte”. La también presidenta de la Comisión de Adultos Mayores del Poder Legislativo, comentó que integrantes de la 66 Legislatura han presentado varias iniciativas enfocadas en ese sector poblacional, que en varios casos les han vulnerado sus derechos. Recordó que una de las iniciativas pendientes, es la que presentaron en junio de este año para tipificar el abandono de adultos mayores, ya que son más frecuentes casos donde los dejan en hospitales, vía pública, en sus domicilios o en instituciones encargadas de brindarle cuidados y atención. La propuesta pretende reformar el artículo 160 del Código Penal de Hidalgo para reservar el agravante sólo de las personas menores de edad y crear un nuevo artículo 160 Bis, que tipifica el delito de abandono de personas adultas mayores. Dicha iniciativa plantea de 3 meses a 4 años de prisión el abandono, pero si el abandono provoca la muerte de la persona adulta mayor se aplicarán las penas del Código Penal que se contemplan para el homicidio por omisión, y en caso de que sea culposo es de 5 meses a 6 años de prisión. La legisladora comentó que también sigue pendiente la aprobación de una iniciativa contra la violencia patrimonial, que busca proteger a adultos mayores de fraudes y despojo de casas o pensiones. Esta se presentó en mayo de este año, con una reforma a la Ley de los Derechos de las Personas Adultas Mayores del estado. Mientras que en julio pasado el Congreso estatal aprobó la reforma a la Ley de los Derechos de las Personas Adultas Mayores de Hidalgo, para reconocer el abandono familiar, institucional y social como formas de vulneración de sus derechos, lo que les garantiza un envejecimiento digno, seguro, justo y libre de violencia.</t>
  </si>
  <si>
    <t>Iniciativa</t>
  </si>
  <si>
    <t>C.R.M.V., quien se desempeñó como contralor durante la administración de Omar Fayad y es señalado por su presunta participación en el esquema denominado Estafa Siniestra, inició un nuevo juicio de amparo relacionado con la Causa Penal 1841/2023. El recurso fue promovido contra una jueza de Control del Distrito Judicial de Pachuca, a quien la defensa acusa de no haber dado respuesta a una solicitud relacionada con el derecho de defensa del exfuncionario. De acuerdo con el expediente 1703/2026, radicado ante el Juzgado Tercero de Distrito en Hidalgo, los abogados solicitaron que se designara una persona defensora y que se requiriera al Ministerio Público la entrega de copias de la carpeta de investigación. La demanda fue presentada el 6 de agosto y registrada cinco días después. El 12 de agosto, el órgano jurisdiccional determinó admitir el recurso y concedió una suspensión provisional para que la jueza señalada emitiera una respuesta respecto de la petición pendiente. La defensa consideró insuficiente el alcance de la medida y el 14 de agosto interpuso un recurso de queja ante el Tribunal Colegiado del Vigésimo Noveno Circuito, con la intención de ampliar la protección otorgada. Sin embargo, el 19 de agosto los magistrados determinaron que la queja era infundada, por lo que permaneció vigente la suspensión inicial, limitada a ordenar que la autoridad judicial se pronunciara sobre la solicitud planteada. Posteriormente, el 21 de agosto se incorporó al expediente el informe previo presentado por la jueza de Control, además de la constancia de notificación relacionada con la resolución del recurso de queja. El caso tendrá un nuevo capítulo el 28 de septiembre de 2026, cuando se lleve a cabo la audiencia constitucional en la que se analizará el fondo del juicio de amparo. La Estafa Siniestra corresponde a una investigación por un presunto esquema de desvío de recursos públicos extraordinarios durante la pasada administración estatal, en el que han sido vinculados diversos funcionarios y autoridades municipales.</t>
  </si>
  <si>
    <t>TSJEH</t>
  </si>
  <si>
    <t>Se está llevando a cabo la Jornada de Mastografía en el Instituto Mexicano del Seguro Social en las instalaciones de la Unidad de Medicina Familiar número 34. Se llevará a cabo los días 4, 5 y 7 de septiembre de 8:00 de la mañana a 6:00 de la tarde. ¿Cuáles son los requisitos? Que sea derechohabiente al IMSS, que esté adscrita a la Unidad Médico Familiar número 34; va dirigido para mujeres de 40 años a 69 años que no se hayan realizado la mastografía en dos años anteriores. Dan requisitos.</t>
  </si>
  <si>
    <t>Prevención cáncer de mama</t>
  </si>
  <si>
    <t>Un total de 640 trabajadoras y trabajadores del campo de seis municipios de Hidalgo recibieron apoyos productivos con una inversión cercana a los 7 millones de pesos. La entrega se realizó en Atotonilco el Grande y también benefició a productores de San Agustín Metzquititlán, Mineral del Chico, Mineral del Monte, Omitlán de Juárez y Huasca de Ocampo. De acuerdo con la Secretaría de Agricultura y Desarrollo Rural de Hidalgo, el monto destinado fue de 6 millones 911 mil 592 pesos, mediante programas enfocados en fortalecer las actividades del sector rural. Entre los apoyos entregados se encuentran animales para producción, hijuelos de maguey, semillas, equipo acuícola y avícola, además de molinos, desbrozadoras y herramientas para impulsar las labores agrícolas y pecuarias. Las autoridades señalaron que estos programas buscan mejorar la productividad del campo, fortalecer la tecnificación y apoyar la autosuficiencia alimentaria de las familias que dependen de las actividades rurales. Izza Henández comenta la final que: sí hay tema positivo aquí. Los apoyos pues son diversos, como lo comentaste: desde animales, semillas, y pues a todos nos beneficia, digo, el campo sabemos que enfrenta muchos retos importantes actualmente, como la falta de agua, o sea, los, los altos costos de producción, las condiciones climáticas, lo comentábamos hace un momento también, ¿no?, hablábamos del, de las situaciones climáticas, la, pues el medio ambiente, ¿no?, por eso los apoyos públicos pues deben llegar de manera estratégica.</t>
  </si>
  <si>
    <t>El Ayuntamiento de Mineral de la Reforma, encabezado por el alcalde Eduardo Medécigo Rubio, obtuvo una calificación del 100 por ciento en el Índice Municipal de Rendición de Cuentas, correspondiente al segundo trimestre del ejercicio fiscal 2026.La evaluación fue realizada por la Auditoría Superior del Estado de Hidalgo (ASEH), a través de la Dirección General de Fiscalización Superior Municipal. De acuerdo con el órgano fiscalizador, el porcentaje refleja el grado de cumplimiento y apego en la entrega de la documentación e información requerida en la Guía para la Integración y Rendición de los Informes de Avance de Gestión Financiera y Cuenta Pública del Ejercicio Fiscal 2026 de los municipios de Hidalgo y sus organismos descentralizados.</t>
  </si>
  <si>
    <t>Con la plantación de 2 mil pinos de la especie Pinus montezumae, el Gobierno Municipal de Tulancingo, en coordinación con la Comisión Nacional Forestal (CONAFOR), SEMARNATH y ejidatarios de La Lagunilla, inició una nueva jornada de recuperación forestal en el parque El Camaleón, ubicado en el ejido La Lagunilla. Durante el arranque, realizado este 25 de agosto, fueron plantados simbólicamente los primeros 500 ejemplares, mientras que los ejidatarios continuarán con los trabajos hasta completar la meta establecida. La jornada forma parte de las acciones de saneamiento y recuperación de las zonas forestales que se desarrollan desde mayo, particularmente para atender afectaciones ocasionadas por el gusano descortezador, plaga que debilita los árboles y puede provocar su pérdida. Los ejemplares fueron donados por la CONAFOR y seleccionados por personal técnico especializado, considerando las condiciones ambientales de la zona para favorecer su adaptación y supervivencia. El saneamiento forestal permite retirar árboles afectados y proteger los ejemplares sanos, mientras que la reforestación contribuye a recuperar la cobertura vegetal y fortalecer los servicios ambientales del bosque, como la captación de agua, conservación del suelo y regulación del clima. El arranque estuvo encabezado por el secretario del Campo, Hugo Flores Jiménez; el representante de CONAFOR, Luis Alberto Moreno López; personal de SEMARNATH y ejidatarios de La Lagunilla. La Secretaría del Campo dará seguimiento a los ejemplares plantados para favorecer su supervivencia y contribuir a la recuperación de la masa forestal de esta zona, considerada de importancia ambiental y turística para Tulancingo.</t>
  </si>
  <si>
    <t>Reforestación</t>
  </si>
  <si>
    <t>La Comisión Nacional del Agua entregó a autoridades de Hidalgo diversos planes de prevención y atención de emergencias ante posibles inundaciones y periodos de estiaje. Los documentos contemplan estrategias para actuar ante riesgos en los ríos Avenidas y Tula, además de planes específicos para Pachuca, Mineral de la Reforma, Tepeji del Río, Tula de Allende y Tlahuelilpan. En el caso del Valle del Mezquital, también fueron establecidos planes para enfrentar el estiaje en los distritos de riego de Tula, Alfajayucan y Ajacuba. Antes de integrar estos documentos, personal de Conagua y autoridades municipales de Protección Civil realizaron recorridos en las zonas consideradas vulnerables para detectar puntos de riesgo y definir acciones de respuesta. Con estas medidas se busca mejorar la coordinación entre los distintos niveles de gobierno y reducir posibles afectaciones a la población ante fenómenos hidrometeorológicos y periodos de escasez de agua.</t>
  </si>
  <si>
    <t>Prevención De Riesgos</t>
  </si>
  <si>
    <t>El uso inadecuado de agroquímicos puede representar riesgos tanto para la salud como para el medio ambiente, por lo que autoridades de Tulancingo reforzaron la capacitación dirigida a comerciantes y productores agrícolas para prevenir afectaciones. La Secretaría del Campo municipal, en coordinación con el Servicio Nacional de Sanidad, Inocuidad y Calidad Agroalimentaria (SENASICA), realizó un taller enfocado en el manejo responsable de estos productos y en las medidas que deben seguirse después de su utilización. Durante la capacitación participaron representantes de 30 establecimientos dedicados a la venta de agroquímicos en Tulancingo, quienes recibieron información sobre la identificación de productos considerados de mayor riesgo, principalmente mediante la correcta interpretación de sus etiquetas. También se abordó la importancia de realizar una aplicación adecuada de los productos y evitar que los envases vacíos sean abandonados o desechados en lugares no autorizados, debido a que pueden convertirse en una fuente de contaminación. Las autoridades señalaron que un manejo incorrecto de estos insumos puede afectar el suelo y los mantos acuíferos, además de generar riesgos para las personas que los almacenan, comercializan o utilizan. El gobierno municipal indicó que mantendrá el trabajo conjunto con SENASICA para continuar con acciones de orientación y asistencia técnica dirigidas al sector agrícola, con el propósito de fomentar prácticas más seguras y reducir posibles impactos en los recursos naturales de Tulancingo.</t>
  </si>
  <si>
    <t>Ocho municipios de Hidalgo fueron incluidos formalmente en la actualización de la Zona Metropolitana del Valle de México, luego de que la Federación y los gobiernos involucrados publicaran la nueva delimitación territorial en el Diario Oficial de la Federación. La medida contempla una región integrada por 84 demarcaciones de Hidalgo, Ciudad de México, Estado de México y Morelos, con el propósito de establecer mecanismos de trabajo conjunto frente a los retos derivados del crecimiento de la zona metropolitana. Por parte de Hidalgo fueron considerados Atitalaquia, Atotonilco de Tula, Tepeji del Río de Ocampo, Tizayuca, Tlaxcoapan, Tolcayuca, Tula de Allende y Villa de Tezontepec. La actualización reconoce la relación que existe entre estos territorios y la capital del país en aspectos como movilidad, actividad económica, expansión urbana y medio ambiente. El documento señala que la población de la zona metropolitana creció en 2.6 millones de habitantes durante la última década, alcanzando una participación equivalente al 17.38 por ciento de la población nacional. A partir de la nueva delimitación, las autoridades podrán coordinar acciones para ordenar el desarrollo urbano, planificar infraestructura y establecer proyectos de alcance regional, además de facilitar la participación de recursos de los distintos órdenes de gobierno. También se establecieron modificaciones al Consejo de Desarrollo Metropolitano del Valle de México, que será el espacio encargado de coordinar las prioridades y proyectos que involucren a las entidades que forman parte de esta región. La declaratoria entrará en vigor al día siguiente de su publicación y marca una nueva etapa de coordinación para los municipios hidalguenses incorporados.</t>
  </si>
  <si>
    <t>ZMVM</t>
  </si>
  <si>
    <t>Andrés Torres: Y bueno, pues yo le cuento aprovechando el dato. Este, autoridades de nuestro estado... recuerden ustedes que primero es Planeación, después este se certifica si es una obra, por ejemplo una obra física, la certifica la Secretaría de Infraestructura, por supuesto Hacienda por el tema del presupuesto; si es cuestiones de salud, bueno pues lo ve la Secretaría de Salud; si es cuestiones de educación lo ve la Secretaría de Educación, pero todo pasa por la Secretaría de Planeación. Bueno, pues ya están ya le echaron el ojo a un nuevo terreno, pues las negociaciones van muy avanzadas para allá en el Valle del Mezquital ya tener dónde ubicar este nuevo centro penitenciario y todas las instalaciones de un nuevo centro de justicia que, bueno, pues andan buscando desde hace varios meses dónde dónde construirlo. Parece ser que sí va a quedar por ahí por la zona de Ixmiquilpan.</t>
  </si>
  <si>
    <t>Construcción de Cereso</t>
  </si>
  <si>
    <t>Un accidente vial se registró sobre la autopista México-Pachuca, a la altura del retorno de la comunidad de Acayuca, en Zapotlán de Juárez, donde un autobús de transporte público impactó a una motocicleta. Al sitio arribó personal de paramédicos para brindarle los primeros auxilios.</t>
  </si>
  <si>
    <t>En temas de agenda, en unos minutos más, a las 10:45, el gobernador Julio Menchaca Salazar encabezará la inauguración del nuevo cuartel de la Policía Estatal, esto en Cubitos, aquí en Pachuca, y la toma de protesta de los policías egresados de la academia.</t>
  </si>
  <si>
    <t>Agenda gobernador</t>
  </si>
  <si>
    <t>Vía telefónica Milton Cortés informa que se acercan los informes de los presidentes municipales en los 84 ayuntamientos del Estado de Hidalgo, lo que también traerá mensajes políticos antes del próximo proceso electoral. El presidente municipal de Pachuca, Jorge Reyes, tiene programado su segundo informe de labores para el 10 de septiembre. Este evento se llevará a cabo a las 7 de la tarde en la explanada de la Diosa de los Vientos y se espera que asistan entre mil y mil quinientas personas, incluyendo representantes de diferentes sectores sociales. Se realizará de manera austera, y el presidente municipal entregará el informe a la Asamblea Municipal, donde se dará a conocer la postura sobre su gestión. Andrés Torres reflexiona sobre la naturaleza política de estos informes, sugiriendo que se están convirtiendo en plataformas de campaña. Menciona una reciente encuesta que muestra que Jorge Reyes encabeza las preferencias para reelección en Pachuca, y destaca que es uno de los alcaldes más activos. Junto a Milton, comentan que Jorge Reyes tiene buena aceptación por sus frecuentes actividades y comunicación constante con la población. También discuten la importancia del segundo informe de labores que tendrá lugar el 10 de septiembre, como un contexto para observar quiénes podrían competir por la presidencia municipal de Pachuca. Milton añade que la medida sirve para entender mejor la situación y los logros de Jorge Reyes en su segundo año de gestión, que ha sido polémico. Se espera que el informe revele tanto los logros como los desafíos enfrentados por el Ayuntamiento en este período y el contexto electoral actual. Andrés señala que muchas miradas se centran en los aspirantes a la candidatura de Morena para la presidencia municipal, incluyendo figuras como Ricardo Crespo, Andrés Velázquez, y Nabor Rojas, aunque menciona que no se ha visto mucho movimiento en torno a las aspiraciones de mujeres en la candidatura de Morena. Por su parte, Milton comenta que la expectativa es alta, especialmente entre los seguidores de Morena, y que será interesante ver quiénes finalmente se mostrarán como aspirantes a la presidencia municipal. Ambos conversan sobre cómo ciertas figuras que parecían fuertes en un principio han perdido impulso y están a la espera de nuevos anuncios o declaraciones en las semanas siguientes para conocer a quienes competirán por la alcaldía de Pachuca.</t>
  </si>
  <si>
    <t>Informe Alcalde</t>
  </si>
  <si>
    <t>Milton Cortés</t>
  </si>
  <si>
    <t>En respuesta al radioescucha Miguel Santos que comenta que Deberían de empezar a surtir medicamentos en las clínicas del ISSSTE e IMSS, todo por una propaganda electoral... todo sea por una propaganda electoral"; Andrés Torres señala que estamos cerca de elecciones para renovar 17 gubernaturas y otros cargos en todo el país. Este impulso a la dotación de medicamentos responde a que ha sido una queja constante de la población, como se evidenció cuando la presidenta Claudia Sheinbaum visitó una región y la gente expresó que no tenían medicamentos. Ayer se anunció no solo la dotación de medicamentos a clínicas del Bienestar, sino también un nuevo modelo de salud llamado Consultorios del Bienestar, donde solo se requerirá la presencia de enfermeros para atender a la gente, en lugar de médicos.</t>
  </si>
  <si>
    <t>Abasto De Medicamentos</t>
  </si>
  <si>
    <t>En respuesta Jahaira Aceves quien menciona: "¿Informe al pueblo o promoción política? Los espectaculares, escenarios, sonidos, movilización, propaganda vistos alrededor de los informes dejan una pregunta obligada: ¿cuánto se gastó y quién pagó? Mientras Hidalgo enfrenta inseguridad, falta de empleo, gasolina cara y familias que apenas pueden cubrir la canasta básica, resulta indignante ver tanta promoción personal. Un informe debe presentar resultados, cuentas claras y beneficios para la gente, no convertirse en un escaparate político. Hidalgo merece menos propaganda y más resultados. El pueblo tiene derecho a saber en qué se gasta cada peso"; Andrés Torres dice que está de acuerdo con Aceves y recuerda que en la política de Hidalgo y México estos eventos son una forma de mostrar el trabajo y ganar apoyo para futuras elecciones. Comenta que el segundo informe de los legisladores de la LXVI Legislatura es importante, ya que se enfrentan a próximos comicios y no se sabe si habrá un tercer informe. También menciona que ha recibido varias invitaciones a informes de diputados locales. Expresa su interés en el avance de la ley electoral, cuestionando la situación actual del tema y sugiriendo que hay comentarios negativos sobre la iniciativa. Pregunta a los diputados sobre el progreso de la ley, cuándo se discutirá, si regresará a comisiones y qué sucede con los desacuerdos entre partidos. Señala que el tiempo se acaba el 15 de septiembre y que los diputados están obligados a presentar informes, pero también expresa su deseo de conocer más sobre temas actuales. Reconoce que los informes se están utilizando como plataformas para las elecciones futuras.</t>
  </si>
  <si>
    <t>Informe Legislativo</t>
  </si>
  <si>
    <t>Pobladores de las comunidades de Tuzanapa y El Enzuelado, en San Agustín Metzquititlán, Hidalgo, retuvieron y golpearon a Habitantes interceptaron un vehículo rojo tras considerarlo sospechoso y señalar a sus ocupantes por probables robos en la zona. Los pobladores incendiaron la unidad en la vía pública, además de hicieron caminar y golpearon a los tripulantes. Elementos de seguridad pública desplegaron un operativo de diálogo y rescate para evitar que el conato de linchamiento pasara a mayores. Las personas implicadas fueron aseguradas y trasladadas ante el Ministerio Público para definir su situación jurídica.</t>
  </si>
  <si>
    <t>Justicia Por Propia Mano</t>
  </si>
  <si>
    <t>El Señor Hernández, alcalde de La Misión, fue cuestionado sobre sus altos gastos en viáticos, que superan los 80,000 pesos. Él defendió estos gastos, afirmando que está en su derecho de utilizarlos. Esto generó críticas en redes sociales de sus vecinos. Se plantea la pregunta sobre cuánto gasta el alcalde en gasolina al mes, ya que los combustibles los cubre el Ayuntamiento. Se calcula que el viaje entre La Misión y Pachuca toma cuatro horas de ida y cuatro de regreso, lo que podría significar un alto costo de operación para el alcalde. También se menciona la inflación en La Misión como un factor a considerar.</t>
  </si>
  <si>
    <t>Viáticos</t>
  </si>
  <si>
    <t>Desde la madrugada del día de hoy se presenta una fuga de hidrocarburo esto en Epazoyucan, lo que generó que al menos 15 personas fueron evacuadas. De acuerdo con personal de Protección Civil del municipio, dicho derrame se presenta en la calle de Morelos. Debido al hecho y para evitar cualquier incidente mayor, 15 personas de 6 viviendas aledañas fueron evacuadas. En estos momentos continúan las labores correspondientes por parte de personal de Petróleos Mexicanos, así como Bomberos del estado.</t>
  </si>
  <si>
    <t>En los llamados silos, que se encuentran en la carretera México-Pachuca, en la entrada de Zapotlán, mañana a mañana a las 12 horas se va a inaugurar una cancha de fútbol rápido y fútbol 7, donde estará presente Ramón Ramírez, el famoso jugador de fútbol. Es conocido por jugar con las Chivas y luego por su polémico cambio a las Águilas.</t>
  </si>
  <si>
    <t>Entrega de instalaciones</t>
  </si>
  <si>
    <t>Hidalgo se suma a las Farmacias y nuevos consultorios del Bienestar</t>
  </si>
  <si>
    <t>Más de 105 mdp transforman Lolotla con respaldo de Julio Menchaca</t>
  </si>
  <si>
    <t>Enfoque Regional Meridiano</t>
  </si>
  <si>
    <t>El gobernador Julio Menchaca Salazar se pronunció sobre la estrategia de seguridad que su gobierno mantiene en coordinación con las autoridades federales para el combate al robo de hidrocarburo en la entidad</t>
  </si>
  <si>
    <t>HUACHICOL</t>
  </si>
  <si>
    <t>Jesús González</t>
  </si>
  <si>
    <t>escuche esta información, pese a la captura de 20 personas presuntamente vinculadas al cártel Jalisco Nueva Generación en operativos realizados en Hidalgo, Jalisco y Michoacán, el secretario de Seguridad Pública del Estado, Salvador Cruzneri, evitó confirmar que ese grupo delictivo mantenga presencia establecida en la entidad.</t>
  </si>
  <si>
    <t>Muerte en Cereso</t>
  </si>
  <si>
    <t>La comunidad de Tlamaco, ayer de verdad que vivió una situación muy compleja, de verdad que estábamos checando todo lo que estaba sucediendo, porque ahí en Tlamaco, en el municipio de Atitalaquia, se registró la noche de ayer un nuevo ataque con arma de fuego contra una vivienda</t>
  </si>
  <si>
    <t>Ataque Armado</t>
  </si>
  <si>
    <t>Vamos a la información porque un operativo de vigilancia realizado el 25 de agosto en el municipio de Huichapan, derivó en la detención de seis personas y el aseguramiento de ocho armas de fuego, seis largas y dos cortas, además de dos vehículos, cargadores, cartuchos de diversos calibres y equipo táctico, la acción fue realizada por elementos de la Guardia Nacional y el Ejército Mexicano en coordinación con la Armada, la Secretaría de Seguridad y Protección Ciudadana, la Secretaría de Seguridad Pública de Hidalgo y la Fiscalía General de la República durante patrullajes de vigilancia y reconocimiento terrestre, los detenidos y lo asegurado fueron puestos a disposición de la Fiscalía General de la República en Pachuca, instancia que continuará con las diligencias correspondientes.</t>
  </si>
  <si>
    <t>También señaló que el 94% de los policías de Hidalgo están certificados. En otros cuestionamientos con este encuentro con medios de comunicación, Cruz Neri habló sobre las condiciones de las personas privadas de su libertad en los penales de Hidalgo, al ser cuestionado de las seis muertes dentro de los Cerezos durante la administración estatal.Finalmente e habló sobre los operativos y estrategias para desmantelar narcotienditas.</t>
  </si>
  <si>
    <t>Muerte interno</t>
  </si>
  <si>
    <t>Concluye con éxito el Curso Hidalgo de Envejecimiento Saludable en Tlaxcoapan</t>
  </si>
  <si>
    <t>Envejecimiento saludable</t>
  </si>
  <si>
    <t>Julio Menchaca inaugura Cuartel de la Policía Estatal Cubitos</t>
  </si>
  <si>
    <t>UNFPA-IHM coordinan “Diálogo Intersectorial” para atención de las violencias, en la región de Molango</t>
  </si>
  <si>
    <t>Segobh</t>
  </si>
  <si>
    <t>Cooperación UNFPA</t>
  </si>
  <si>
    <t>Vámonos a las regiones y comenzamos en la región Tezontepec y es que ayer personas armadas dispararon contra una vivienda durante la noche del miércoles en la comunidad de Tlamaca, municipio de Atitalaquia. Tras la agresión, una menor de edad presentó una crisis nerviosa. No se reportaron personas lesionadas por los disparos. Hasta el momento no hay detenidos por estos hechos. Las autoridades realizan las investigaciones para esclarecer el ataque y localizar a los responsables.</t>
  </si>
  <si>
    <t>En otros temas, el sistema DIFH entregó 32 proyectos productivos a personas con discapacidad, con una inversión cercana a los 2 millones de pesos para impulsar su inclusión laboral y generar ingresos para sus familias.</t>
  </si>
  <si>
    <t>Emprendimiento inclusivo</t>
  </si>
  <si>
    <t>En las últimas semanas ya se empieza a mover ahí la tómbola y es que muchos actores y actrices políticas, políticos, ya están levantando la mano. Se hablan de reelecciones, están en ayuntamientos, se habla de quién podía ir a la federal, quién podía ir a la diputación estatal, quién va a reelegirse en los ayuntamientos, pero ¿qué cree? Hasta el momento no hay nada claro. Ya el próximo mes inicia el proceso electoral de manera formal para renovar ayuntamientos, diputaciones estatales, federales y ya algunos están, que se le queman las manos, pero hasta el momento todavía no hay nada claro, no hay nada escrito. La reforma electoral de Hidalgo continúa en análisis y hasta el momento no presenta cambios respecto a lo propuesto originalmente, así lo informó la diputada Lisbeth Ordaz Islas. El proyecto mantiene la asignación de ayuntamientos por orden alfabético de la A a la M para candidatura de mujer y de la N a la Z de género indistinto. La legisladora aseguró que el Congreso se encuentra dentro del plazo legal, ya que la reforma deberá ser aprobada y publicada antes del 15 de septiembre para aplicarse en el próximo proceso electoral.En ese sentido, pues la iniciativa siempre va a estar en pro del apoyo de la paridad de género, es lo que se ha estado trabajando, no es un tema menor, ya es un derecho constitucional, la igualdad sustantiva, entonces pues bueno, se llegó a la determinación que se pudiera hacer efectivamente en estos dos bloques para darle claridad, para darle certeza, como lo habían estado solicitando los partidos políticos, entonces en ese sentido efectivamente están los dos bloques de la A a la M, son los primeros 42 que va para mujeres exclusivamente y los siguientes 42 son de, el nombre que pusimos fue de asignación libre, va a depender de cada uno de los partidos, de los partidos políticos.Así que tranquilos, aguanten las ganas, espérense tantito, respeten los tiempos electorales y nos vamos calmados hacia el proceso electoral 2027.</t>
  </si>
  <si>
    <t>Reforma Electoral</t>
  </si>
  <si>
    <t>El director del Centro de Integración Juvenil Pachuca, Cristian Ahued Hernández, informó que en los últimos cinco años se ha incrementado el uso de metanfetamina y cristal en los jóvenes.El problema de las adicciones está generando preocupación en todos los niveles, por supuesto a nivel mundial, a nivel nacional y a nivel local. Te puedo decir que en los últimos cinco años aquí en Pachuca estamos nosotros observando que la droga metanfetamina cristal es la que ha aumentado más. Prácticamente siete de cada diez pacientes que llegan a CIJ Pachuca llegan por el tema de cristal. Entonces ha tenido un gran aumento.Hable con sus hijos, mantenga comunicación constante con ellos, pregúntele qué es lo que sucede en sus escuelas, en los entornos donde ellos se desarrollan, tenga la confianza de hablar sobre drogas, sobre esta situación de adicciones, de abusos y también acérquese con especialistas. Si no tiene claro cómo abordar el tema con sus hijos, pues puede acercarse a estos centros de atención de adicciones con jóvenes, puede conocer historias de jóvenes que han sufrido pues esta situación y que puedan compartirle algo a sus hijos para que no caigan en las manos, en las garras de las adicciones.</t>
  </si>
  <si>
    <t>Consumo De Drogas</t>
  </si>
  <si>
    <t>En otros temas, la Secretaría de Educación Pública de Hidalgo reforzó la planeación académica para el ciclo escolar 2026-2027 durante la fase intensiva del Consejo Técnico Escolar.</t>
  </si>
  <si>
    <t>El secretario de Seguridad Pública habló desconoce detalles de los detenidos en un operativo contra el cártel Jalisco en Hidalgo, que informó en su momento García Harfuch. Salvador Cruz Neri señaló que las autoridades federales mantienen bajo reserva la información sobre los cateos y las 20 personas aprendidas.</t>
  </si>
  <si>
    <t>Tras ser reportado como desaparecido desde abril de 2025 en el estado de Hidalgo, un menor de 17 años de edad fue localizado anoche en el área del Mesón Estrella en Monterrey. Los hechos se registraron alrededor de las 22.10 horas en el cruce de las calles Colegio Civil y Aranberry, en la zona centro. En ese punto, oficiales de la Policía Municipal realizaban un patrullaje de rutina cuando observaron a un joven caminando solo por la vía pública, por lo que decidieron acercarse para verificar su situación. Al entrevistarlo, el menor se identificó como Ángel, de 17 años, y señaló ser originario de Tulancingo en el estado de Hidalgo. El adolescente relató que salió de su domicilio el 5 de abril de 2025 después de informar a su madre que acudiría a trabajar y regresaría más tarde. Sin embargo, ya no volvió a su hogar y comenzó a desplazarse por diversos estados del país junto a los propietarios de una feria itinerante. Según su testimonio, el joven permaneció viajando con dicho grupo durante varios meses hasta llegar al estado de Coahuila. Posteriormente, se separó de ellos en Saltillo y decidió trasladarse a Monterrey, donde permaneció aproximadamente un mes realizando trabajos ocasionales. Después de obtener sus datos, los oficiales solicitaron apoyo al personal de la central de radio del C4, quienes confirmaron que el menor contaba con un reporte de búsqueda activo emitido en Hidalgo desde el 7 de abril de 2025. Luego de practicarle una valoración médica para verificar su estado de salud, las autoridades dieron aviso y continuaron con los protocolos correspondientes y así coordinar su posible reencuentro con sus familiares en Hidalgo.</t>
  </si>
  <si>
    <t>Hidalgo no implementará durante este ciclo escolar el nuevo esquema denominado Mi Escuela, Mi Lugar</t>
  </si>
  <si>
    <t>Mi Escuela Mi Lugar</t>
  </si>
  <si>
    <t>En otra información, al menos 15 personas fueron desalojadas durante la madrugada de ayer miércoles en Xoloxtitla, Epazoyucan, luego de detectarse una fuga de hidrocarburo en la calle Morelos</t>
  </si>
  <si>
    <t>Un operativo interinstitucional dejó seis hombres detenidos en el municipio de Tecozautla además del aseguramiento de nueve armas de fuego y dos vehículos con reporte de robo.</t>
  </si>
  <si>
    <t>Cinco hombres fueron detenidos durante dos cateos realizados en igual número de inmuebles presuntamente utilizados como punto de venta de droga en la localidad Primera Ampliación General Felipe Ángeles, municipio de Tolcayuca.</t>
  </si>
  <si>
    <t>Y se acuerda de que el presidente municipal de San Salvador fue retenido por pobladores que estaban molestos por la supuesta falta de obra pública en su comunidad, pues ya sigue este tema y es que ya las siete personas que fueron detenidas ahora ya están vinculadas a proceso por los hechos ocurridos los días 18 y 19 de agosto en la comunidad de La Flor, allá en el municipio de San Salvador, de acuerdo con la Procuraduría de Hidalgo, son investigadas por privación ilegal de la libertad, lesiones, robo y daño en la propiedad.</t>
  </si>
  <si>
    <t>Retención alcalde</t>
  </si>
  <si>
    <t>En Ixmiquilpan, en el valle del Mezquital, un hombre de 38 años fue retenido y golpeado por pobladores de la colonia Media Luna, luego de ser señalado por presuntamente sustraer herramienta de un domicilio.Los hechos ocurrieron la noche del 26 de agosto en la calle Francisco Zarco. De acuerdo con el reporte policial, elementos municipales intentaron resguardar al señalado en una patrulla. Sin embargo, un grupo de personas, harto de las ratas, lo bajó de la unidad y continuó agrediéndolo. Posteriormente, los habitantes lo llevaron caminando hacia el centro de Ixmiquilpan con la intención de exhibirlo públicamente y se negaron a entregarlo a las autoridades. La delegada de la colonia Media Luna se designó de las acciones realizadas por los involucrados. Hasta el momento se desconoce el estado de salud del hombre y sí fue puesto a disposición de las autoridades correspondientes.</t>
  </si>
  <si>
    <t>En otra información el gobernador Julio Menchaca inauguró el cuartel de la policía estatal Cubitos y encabezó la toma de protesta de 116 nuevos elementos quienes recibieron más de mil horas de capacitación.</t>
  </si>
  <si>
    <t>En otro tema después de estar con medios de comunicación el gobernador destacó que ocho municipios de Hidalgo se incorporaron a la zona metropolitana ¿qué beneficios traerá? Por ejemplo Morelos tiene un municipio como tenía Hidalgo y nosotros solamente está Tizayuca.Nuestra propuesta yo creo que va a avanzar porque ya se ha trabajado en este tema en donde todo el impacto del desarrollo del Valle de México está incorporado eso implica desde luego presupuestos federales eso implica un ordenamiento de crecimiento urbano industrial y de servicios y también de transporte</t>
  </si>
  <si>
    <t>El gobernador habló de otro tema habló del relleno sanitario siete mezquites.</t>
  </si>
  <si>
    <t>Relleno Sanitario</t>
  </si>
  <si>
    <t>Vamos de lleno con lo que dijo el gobernador Julio Menchaca Salazar quien reconoció que el robo de hidrocarburo se mantiene en el estado de Hidalgo y es un problema que dijo se va arrastrando desde tiempo atrás</t>
  </si>
  <si>
    <t>Huachicol</t>
  </si>
  <si>
    <t>Radioescucha reporta lamparas fundidas en la Plutarco en avenida 8</t>
  </si>
  <si>
    <t>Luminarias</t>
  </si>
  <si>
    <t>Radioescucha reporta que en la colonia Miguel Hidalgo calle 12 Flores Magón, ya se reportaron varias ocaciones las lamparas y no las vienen arreglar</t>
  </si>
  <si>
    <t>Radioescucha reporta reporta reporta que las unidades del Tuzobús van súper llenas</t>
  </si>
  <si>
    <t>Quejas Tuzobús</t>
  </si>
  <si>
    <t>Radioescucha Dice aquí 7593 Mi reporte es que siempre engañan Caasim y sus pretextos nunca bombean el agua en Valle del Palmar , el recibo nunca falta, siempre llega y el agua nada más, nada y aquí sigue la fuga ,</t>
  </si>
  <si>
    <t>Mala atención</t>
  </si>
  <si>
    <t>Radioescucha reporta que en la carretera que viene a Pachuca, exactamente en puente La Noria, hay una fuga de agua desde hace una semana, ya se arreglo el bache pero sigie la fuga</t>
  </si>
  <si>
    <t>Radioescucha Raul manda audio y reporta que Caasim ya tiene como 3 meses que dejo sus piedras en la calle 12 en La Flores Magón</t>
  </si>
  <si>
    <t>Caasim ya esta arreglando en La Noría</t>
  </si>
  <si>
    <t>Eulalio Larrieta comenta : Ya tenemos respuesta por parte de Cacim, nos comentan que lo de ahí, el señor Fidel de ahí de Santa Julia, que ya fue reparado lo que es el taponamiento del drenaje, ya se hizo toda la supervisión, y que lo del asfalto pues no le compete a Cacim, entonces, porque es a la mitad de la calle, aparentemente, es lo que tenemos de reporte. Y de lo del Palmar, o allá rumbo a esta zona de Palmar, por ahí, por San Charbel, por la iglesia de San Charbel, nos comentan que ya tuvieron contacto con la persona para esta fuga y ver lo de la presión del agua, ¿sí? que van a hacer una supervisión el día de mañana. No, hoy. ¿Hoy ya se hizo? No, ah, bueno, se va a hacer la supervisión. Ya se van a poner de acuerdo con ello para... O ya se están poniendo de acuerdo porque ya nos dicen que ya tuvieron contacto con ella. Entonces, para ponerse de acuerdo bien, ¿para cuándo va a ser la supervisión? ¿De acuerdo? Bueno.</t>
  </si>
  <si>
    <t>A 11 años de ser atacada con ácido en pachuca a Leslie Moreno, sigue pidiendo justicia. Vaya, vaya. A ver si las autoridades hacen algo al respecto y la puedan apoyar.</t>
  </si>
  <si>
    <t>Leslie</t>
  </si>
  <si>
    <t>Radioescucha pregunta ¿ Una pregunta, ¿qué día es el homenaje de José José? No escuché, perdón, no, este, lo repito, ayer, ya aquí vamos a checarlo, de la Orquesta Sinfónica del Estado de Hidalgo.</t>
  </si>
  <si>
    <t>El Instituto Mexicano del Seguro Social (IMSS) en Hidalgo exhorta a la población a adoptar medidas preventivas contra el dengue, enfermedad característica de la temporada de lluvias y altas temperaturas.El dengue es causado por un virus transmitido exclusivamente, a través de la picadura del mosquito portador, sin posibilidad de contagio directo entre personas, los síntomas frecuentes son: fiebre, dolor de huesos, cefalea intensa, especialmente en la frente, dolor ocular, erupciones cutáneas, náuseas y vómito, insomnio, comezón intensa, falta de apetito y dolor abdominal.La epidemióloga de la Unidad de Medicina Familiar (UMF) No. 34 en Tulancingo, doctora Saraí Ruiz Lara, subrayó la importancia de mantener la higiene en tinacos, cisternas, floreros, llantas y objetos en desuso que acumulen agua, ya que estos constituyen criaderos del mosquito transmisor.</t>
  </si>
  <si>
    <t>Dengue</t>
  </si>
  <si>
    <t>Hidalgo será sede del 10*. Coloquio Internacional de Historia y Costubres Funerarias</t>
  </si>
  <si>
    <t>Conservación del Patrimonio Cultural</t>
  </si>
  <si>
    <t>Julio Menchaca inagura Cuartel de la Policía Estatal Cubitos</t>
  </si>
  <si>
    <t>SSPH detienen a cinco presuntos involucradps en distribución de droga en Tolcayuca</t>
  </si>
  <si>
    <t>Base de Operaciones Interinstitucionales (BOI), asegura a grupo generador de violencia en Tecozautla</t>
  </si>
  <si>
    <t>Como parte de las investigaciones realizadas en atención a una denuncia remitida a la Fiscalía General de la República en Hidalgo por parte de la apoderada legal de Petróleos Mexicanos, elementos de la Policía Federal Ministerial ejecutaron una orden de cateo y aseguraron aproximadamente 173.800 litros de una sustancia líquida con características propias de un petrolífero y dos mangueras. La Fiscalía Especializada de Control Regional en el Estado tuvo conocimiento sobre el probable robo de hidrocarburo en la colonia Exhacienda Rancho Cadena, municipio de Pinerán de la Reforma, por lo que el agente del Ministerio Público de la Federación inició una investigación y obtuvo autorización del juez de control del Centro de Justicia Penal Federal en la entidad para llevar a cabo un cateo en el inmueble señalado. La diligencia fue ejecutada por la Fiscalía Federal en coordinación con elementos de la Policía Federal Ministerial y peritos de la Agencia de Investigación Criminal, quienes aseguraron el combustible a unos 7 metros del inmueble. Localizaron sístomas clandestinas en un ducto de Pemex, tres de las cuales conectaban directamente hacia el predio. Lo asegurado se encuentra a disposición de la Fiscalía Federal en Hidalgo para continuar con las investigaciones correspondientes.</t>
  </si>
  <si>
    <t>Eulalio Larrieta agradece a Jair Martínez de la SEGOBH, porque esta al pendiente de lo que se necesite y los reportes.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</si>
</sst>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5" tableType="queryTable" totalsRowShown="0">
  <autoFilter ref="A1:M145"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5"/>
  <sheetViews>
    <sheetView tabSelected="1" topLeftCell="A110" workbookViewId="0">
      <selection activeCell="B145" sqref="B145"/>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31</v>
      </c>
      <c r="C1" t="s">
        <v>32</v>
      </c>
      <c r="D1" t="s">
        <v>33</v>
      </c>
      <c r="E1" t="s">
        <v>1</v>
      </c>
      <c r="F1" t="s">
        <v>2</v>
      </c>
      <c r="G1" t="s">
        <v>4</v>
      </c>
      <c r="H1" t="s">
        <v>3</v>
      </c>
      <c r="I1" t="s">
        <v>5</v>
      </c>
      <c r="J1" t="s">
        <v>34</v>
      </c>
      <c r="K1" t="s">
        <v>35</v>
      </c>
      <c r="L1" t="s">
        <v>36</v>
      </c>
      <c r="M1" t="s">
        <v>43</v>
      </c>
    </row>
    <row r="2" spans="1:13" x14ac:dyDescent="0.25">
      <c r="A2" s="2">
        <v>46260</v>
      </c>
      <c r="B2" s="1" t="str">
        <f ca="1">IF(Información1[[#This Row],[Fecha]]='Ajuste de fechas'!$A$2,"Día actual","Día anterior")</f>
        <v>Día anterior</v>
      </c>
      <c r="C2" t="s">
        <v>47</v>
      </c>
      <c r="D2" t="s">
        <v>52</v>
      </c>
      <c r="E2" t="s">
        <v>92</v>
      </c>
      <c r="F2" t="s">
        <v>93</v>
      </c>
      <c r="G2" t="s">
        <v>94</v>
      </c>
      <c r="H2" t="s">
        <v>11</v>
      </c>
      <c r="I2" t="s">
        <v>12</v>
      </c>
      <c r="J2" t="s">
        <v>37</v>
      </c>
      <c r="K2" t="s">
        <v>9</v>
      </c>
      <c r="L2" t="s">
        <v>39</v>
      </c>
      <c r="M2">
        <v>1</v>
      </c>
    </row>
    <row r="3" spans="1:13" x14ac:dyDescent="0.25">
      <c r="A3" s="2">
        <v>46260</v>
      </c>
      <c r="B3" s="1" t="str">
        <f ca="1">IF(Información1[[#This Row],[Fecha]]='Ajuste de fechas'!$A$2,"Día actual","Día anterior")</f>
        <v>Día anterior</v>
      </c>
      <c r="C3" t="s">
        <v>47</v>
      </c>
      <c r="D3" t="s">
        <v>52</v>
      </c>
      <c r="E3" t="s">
        <v>95</v>
      </c>
      <c r="F3" t="s">
        <v>20</v>
      </c>
      <c r="G3" t="s">
        <v>84</v>
      </c>
      <c r="H3" t="s">
        <v>11</v>
      </c>
      <c r="I3" t="s">
        <v>7</v>
      </c>
      <c r="J3" t="s">
        <v>42</v>
      </c>
      <c r="K3" t="s">
        <v>48</v>
      </c>
      <c r="L3" t="s">
        <v>38</v>
      </c>
      <c r="M3">
        <v>1</v>
      </c>
    </row>
    <row r="4" spans="1:13" x14ac:dyDescent="0.25">
      <c r="A4" s="2">
        <v>46260</v>
      </c>
      <c r="B4" s="1" t="str">
        <f ca="1">IF(Información1[[#This Row],[Fecha]]='Ajuste de fechas'!$A$2,"Día actual","Día anterior")</f>
        <v>Día anterior</v>
      </c>
      <c r="C4" t="s">
        <v>47</v>
      </c>
      <c r="D4" t="s">
        <v>52</v>
      </c>
      <c r="E4" t="s">
        <v>96</v>
      </c>
      <c r="F4" t="s">
        <v>20</v>
      </c>
      <c r="G4" t="s">
        <v>97</v>
      </c>
      <c r="H4" t="s">
        <v>11</v>
      </c>
      <c r="I4" t="s">
        <v>7</v>
      </c>
      <c r="J4" t="s">
        <v>42</v>
      </c>
      <c r="K4" t="s">
        <v>48</v>
      </c>
      <c r="L4" t="s">
        <v>38</v>
      </c>
      <c r="M4">
        <v>1</v>
      </c>
    </row>
    <row r="5" spans="1:13" x14ac:dyDescent="0.25">
      <c r="A5" s="2">
        <v>46260</v>
      </c>
      <c r="B5" s="1" t="str">
        <f ca="1">IF(Información1[[#This Row],[Fecha]]='Ajuste de fechas'!$A$2,"Día actual","Día anterior")</f>
        <v>Día anterior</v>
      </c>
      <c r="C5" t="s">
        <v>47</v>
      </c>
      <c r="D5" t="s">
        <v>52</v>
      </c>
      <c r="E5" t="s">
        <v>98</v>
      </c>
      <c r="F5" t="s">
        <v>21</v>
      </c>
      <c r="G5" t="s">
        <v>72</v>
      </c>
      <c r="H5" t="s">
        <v>11</v>
      </c>
      <c r="I5" t="s">
        <v>7</v>
      </c>
      <c r="J5" t="s">
        <v>37</v>
      </c>
      <c r="K5" t="s">
        <v>48</v>
      </c>
      <c r="L5" t="s">
        <v>38</v>
      </c>
      <c r="M5">
        <v>1</v>
      </c>
    </row>
    <row r="6" spans="1:13" x14ac:dyDescent="0.25">
      <c r="A6" s="2">
        <v>46260</v>
      </c>
      <c r="B6" s="1" t="str">
        <f ca="1">IF(Información1[[#This Row],[Fecha]]='Ajuste de fechas'!$A$2,"Día actual","Día anterior")</f>
        <v>Día anterior</v>
      </c>
      <c r="C6" t="s">
        <v>47</v>
      </c>
      <c r="D6" t="s">
        <v>52</v>
      </c>
      <c r="E6" t="s">
        <v>99</v>
      </c>
      <c r="F6" t="s">
        <v>21</v>
      </c>
      <c r="G6" t="s">
        <v>100</v>
      </c>
      <c r="H6" t="s">
        <v>11</v>
      </c>
      <c r="I6" t="s">
        <v>7</v>
      </c>
      <c r="J6" t="s">
        <v>37</v>
      </c>
      <c r="K6" t="s">
        <v>48</v>
      </c>
      <c r="L6" t="s">
        <v>38</v>
      </c>
      <c r="M6">
        <v>1</v>
      </c>
    </row>
    <row r="7" spans="1:13" x14ac:dyDescent="0.25">
      <c r="A7" s="2">
        <v>46260</v>
      </c>
      <c r="B7" s="1" t="str">
        <f ca="1">IF(Información1[[#This Row],[Fecha]]='Ajuste de fechas'!$A$2,"Día actual","Día anterior")</f>
        <v>Día anterior</v>
      </c>
      <c r="C7" t="s">
        <v>47</v>
      </c>
      <c r="D7" t="s">
        <v>52</v>
      </c>
      <c r="E7" t="s">
        <v>101</v>
      </c>
      <c r="F7" t="s">
        <v>19</v>
      </c>
      <c r="G7" t="s">
        <v>102</v>
      </c>
      <c r="H7" t="s">
        <v>11</v>
      </c>
      <c r="I7" t="s">
        <v>7</v>
      </c>
      <c r="J7" t="s">
        <v>37</v>
      </c>
      <c r="K7" t="s">
        <v>48</v>
      </c>
      <c r="L7" t="s">
        <v>40</v>
      </c>
      <c r="M7">
        <v>1</v>
      </c>
    </row>
    <row r="8" spans="1:13" x14ac:dyDescent="0.25">
      <c r="A8" s="2">
        <v>46260</v>
      </c>
      <c r="B8" s="1" t="str">
        <f ca="1">IF(Información1[[#This Row],[Fecha]]='Ajuste de fechas'!$A$2,"Día actual","Día anterior")</f>
        <v>Día anterior</v>
      </c>
      <c r="C8" t="s">
        <v>47</v>
      </c>
      <c r="D8" t="s">
        <v>52</v>
      </c>
      <c r="E8" t="s">
        <v>103</v>
      </c>
      <c r="F8" t="s">
        <v>17</v>
      </c>
      <c r="G8" t="s">
        <v>104</v>
      </c>
      <c r="H8" t="s">
        <v>11</v>
      </c>
      <c r="I8" t="s">
        <v>7</v>
      </c>
      <c r="J8" t="s">
        <v>41</v>
      </c>
      <c r="K8" t="s">
        <v>48</v>
      </c>
      <c r="L8" t="s">
        <v>38</v>
      </c>
      <c r="M8">
        <v>1</v>
      </c>
    </row>
    <row r="9" spans="1:13" x14ac:dyDescent="0.25">
      <c r="A9" s="2">
        <v>46260</v>
      </c>
      <c r="B9" s="1" t="str">
        <f ca="1">IF(Información1[[#This Row],[Fecha]]='Ajuste de fechas'!$A$2,"Día actual","Día anterior")</f>
        <v>Día anterior</v>
      </c>
      <c r="C9" t="s">
        <v>47</v>
      </c>
      <c r="D9" t="s">
        <v>49</v>
      </c>
      <c r="E9" t="s">
        <v>105</v>
      </c>
      <c r="F9" t="s">
        <v>20</v>
      </c>
      <c r="G9" t="s">
        <v>106</v>
      </c>
      <c r="H9" t="s">
        <v>11</v>
      </c>
      <c r="I9" t="s">
        <v>7</v>
      </c>
      <c r="J9" t="s">
        <v>42</v>
      </c>
      <c r="K9" t="s">
        <v>46</v>
      </c>
      <c r="L9" t="s">
        <v>56</v>
      </c>
      <c r="M9">
        <v>1</v>
      </c>
    </row>
    <row r="10" spans="1:13" x14ac:dyDescent="0.25">
      <c r="A10" s="2">
        <v>46260</v>
      </c>
      <c r="B10" s="1" t="str">
        <f ca="1">IF(Información1[[#This Row],[Fecha]]='Ajuste de fechas'!$A$2,"Día actual","Día anterior")</f>
        <v>Día anterior</v>
      </c>
      <c r="C10" t="s">
        <v>47</v>
      </c>
      <c r="D10" t="s">
        <v>49</v>
      </c>
      <c r="E10" t="s">
        <v>107</v>
      </c>
      <c r="F10" t="s">
        <v>24</v>
      </c>
      <c r="G10" t="s">
        <v>91</v>
      </c>
      <c r="H10" t="s">
        <v>11</v>
      </c>
      <c r="I10" t="s">
        <v>7</v>
      </c>
      <c r="J10" t="s">
        <v>37</v>
      </c>
      <c r="K10" t="s">
        <v>46</v>
      </c>
      <c r="L10" t="s">
        <v>40</v>
      </c>
      <c r="M10">
        <v>1</v>
      </c>
    </row>
    <row r="11" spans="1:13" x14ac:dyDescent="0.25">
      <c r="A11" s="2">
        <v>46260</v>
      </c>
      <c r="B11" s="1" t="str">
        <f ca="1">IF(Información1[[#This Row],[Fecha]]='Ajuste de fechas'!$A$2,"Día actual","Día anterior")</f>
        <v>Día anterior</v>
      </c>
      <c r="C11" t="s">
        <v>47</v>
      </c>
      <c r="D11" t="s">
        <v>49</v>
      </c>
      <c r="E11" t="s">
        <v>108</v>
      </c>
      <c r="F11" t="s">
        <v>24</v>
      </c>
      <c r="G11" t="s">
        <v>91</v>
      </c>
      <c r="H11" t="s">
        <v>11</v>
      </c>
      <c r="I11" t="s">
        <v>7</v>
      </c>
      <c r="J11" t="s">
        <v>37</v>
      </c>
      <c r="K11" t="s">
        <v>46</v>
      </c>
      <c r="L11" t="s">
        <v>40</v>
      </c>
      <c r="M11">
        <v>1</v>
      </c>
    </row>
    <row r="12" spans="1:13" x14ac:dyDescent="0.25">
      <c r="A12" s="2">
        <v>46260</v>
      </c>
      <c r="B12" s="1" t="str">
        <f ca="1">IF(Información1[[#This Row],[Fecha]]='Ajuste de fechas'!$A$2,"Día actual","Día anterior")</f>
        <v>Día anterior</v>
      </c>
      <c r="C12" t="s">
        <v>47</v>
      </c>
      <c r="D12" t="s">
        <v>49</v>
      </c>
      <c r="E12" t="s">
        <v>109</v>
      </c>
      <c r="F12" t="s">
        <v>17</v>
      </c>
      <c r="G12" t="s">
        <v>82</v>
      </c>
      <c r="H12" t="s">
        <v>11</v>
      </c>
      <c r="I12" t="s">
        <v>7</v>
      </c>
      <c r="J12" t="s">
        <v>41</v>
      </c>
      <c r="K12" t="s">
        <v>48</v>
      </c>
      <c r="L12" t="s">
        <v>38</v>
      </c>
      <c r="M12">
        <v>1</v>
      </c>
    </row>
    <row r="13" spans="1:13" x14ac:dyDescent="0.25">
      <c r="A13" s="2">
        <v>46260</v>
      </c>
      <c r="B13" s="1" t="str">
        <f ca="1">IF(Información1[[#This Row],[Fecha]]='Ajuste de fechas'!$A$2,"Día actual","Día anterior")</f>
        <v>Día anterior</v>
      </c>
      <c r="C13" t="s">
        <v>47</v>
      </c>
      <c r="D13" t="s">
        <v>49</v>
      </c>
      <c r="E13" t="s">
        <v>109</v>
      </c>
      <c r="F13" t="s">
        <v>88</v>
      </c>
      <c r="G13" t="s">
        <v>82</v>
      </c>
      <c r="H13" t="s">
        <v>11</v>
      </c>
      <c r="I13" t="s">
        <v>7</v>
      </c>
      <c r="J13" t="s">
        <v>37</v>
      </c>
      <c r="K13" t="s">
        <v>48</v>
      </c>
      <c r="L13" t="s">
        <v>38</v>
      </c>
      <c r="M13">
        <v>1</v>
      </c>
    </row>
    <row r="14" spans="1:13" x14ac:dyDescent="0.25">
      <c r="A14" s="2">
        <v>46260</v>
      </c>
      <c r="B14" s="1" t="str">
        <f ca="1">IF(Información1[[#This Row],[Fecha]]='Ajuste de fechas'!$A$2,"Día actual","Día anterior")</f>
        <v>Día anterior</v>
      </c>
      <c r="C14" t="s">
        <v>47</v>
      </c>
      <c r="D14" t="s">
        <v>49</v>
      </c>
      <c r="E14" t="s">
        <v>110</v>
      </c>
      <c r="F14" t="s">
        <v>66</v>
      </c>
      <c r="G14" t="s">
        <v>111</v>
      </c>
      <c r="H14" t="s">
        <v>11</v>
      </c>
      <c r="I14" t="s">
        <v>7</v>
      </c>
      <c r="J14" t="s">
        <v>37</v>
      </c>
      <c r="K14" t="s">
        <v>46</v>
      </c>
      <c r="L14" t="s">
        <v>56</v>
      </c>
      <c r="M14">
        <v>1</v>
      </c>
    </row>
    <row r="15" spans="1:13" x14ac:dyDescent="0.25">
      <c r="A15" s="2">
        <v>46260</v>
      </c>
      <c r="B15" s="1" t="str">
        <f ca="1">IF(Información1[[#This Row],[Fecha]]='Ajuste de fechas'!$A$2,"Día actual","Día anterior")</f>
        <v>Día anterior</v>
      </c>
      <c r="C15" t="s">
        <v>47</v>
      </c>
      <c r="D15" t="s">
        <v>49</v>
      </c>
      <c r="E15" t="s">
        <v>112</v>
      </c>
      <c r="F15" t="s">
        <v>113</v>
      </c>
      <c r="G15" t="s">
        <v>114</v>
      </c>
      <c r="H15" t="s">
        <v>11</v>
      </c>
      <c r="I15" t="s">
        <v>7</v>
      </c>
      <c r="J15" t="s">
        <v>37</v>
      </c>
      <c r="K15" t="s">
        <v>46</v>
      </c>
      <c r="L15" t="s">
        <v>40</v>
      </c>
      <c r="M15">
        <v>1</v>
      </c>
    </row>
    <row r="16" spans="1:13" x14ac:dyDescent="0.25">
      <c r="A16" s="2">
        <v>46260</v>
      </c>
      <c r="B16" s="1" t="str">
        <f ca="1">IF(Información1[[#This Row],[Fecha]]='Ajuste de fechas'!$A$2,"Día actual","Día anterior")</f>
        <v>Día anterior</v>
      </c>
      <c r="C16" t="s">
        <v>47</v>
      </c>
      <c r="D16" t="s">
        <v>49</v>
      </c>
      <c r="E16" t="s">
        <v>115</v>
      </c>
      <c r="F16" t="s">
        <v>116</v>
      </c>
      <c r="G16" t="s">
        <v>117</v>
      </c>
      <c r="H16" t="s">
        <v>11</v>
      </c>
      <c r="I16" t="s">
        <v>7</v>
      </c>
      <c r="J16" t="s">
        <v>37</v>
      </c>
      <c r="K16" t="s">
        <v>46</v>
      </c>
      <c r="L16" t="s">
        <v>40</v>
      </c>
      <c r="M16">
        <v>1</v>
      </c>
    </row>
    <row r="17" spans="1:13" x14ac:dyDescent="0.25">
      <c r="A17" s="2">
        <v>46260</v>
      </c>
      <c r="B17" s="1" t="str">
        <f ca="1">IF(Información1[[#This Row],[Fecha]]='Ajuste de fechas'!$A$2,"Día actual","Día anterior")</f>
        <v>Día anterior</v>
      </c>
      <c r="C17" t="s">
        <v>47</v>
      </c>
      <c r="D17" t="s">
        <v>49</v>
      </c>
      <c r="E17" t="s">
        <v>118</v>
      </c>
      <c r="F17" t="s">
        <v>17</v>
      </c>
      <c r="G17" t="s">
        <v>119</v>
      </c>
      <c r="H17" t="s">
        <v>11</v>
      </c>
      <c r="I17" t="s">
        <v>7</v>
      </c>
      <c r="J17" t="s">
        <v>41</v>
      </c>
      <c r="K17" t="s">
        <v>48</v>
      </c>
      <c r="L17" t="s">
        <v>56</v>
      </c>
      <c r="M17">
        <v>1</v>
      </c>
    </row>
    <row r="18" spans="1:13" x14ac:dyDescent="0.25">
      <c r="A18" s="2">
        <v>46260</v>
      </c>
      <c r="B18" s="1" t="str">
        <f ca="1">IF(Información1[[#This Row],[Fecha]]='Ajuste de fechas'!$A$2,"Día actual","Día anterior")</f>
        <v>Día anterior</v>
      </c>
      <c r="C18" t="s">
        <v>47</v>
      </c>
      <c r="D18" t="s">
        <v>49</v>
      </c>
      <c r="E18" t="s">
        <v>120</v>
      </c>
      <c r="F18" t="s">
        <v>63</v>
      </c>
      <c r="G18" t="s">
        <v>121</v>
      </c>
      <c r="H18" t="s">
        <v>11</v>
      </c>
      <c r="I18" t="s">
        <v>7</v>
      </c>
      <c r="J18" t="s">
        <v>37</v>
      </c>
      <c r="K18" t="s">
        <v>46</v>
      </c>
      <c r="L18" t="s">
        <v>40</v>
      </c>
      <c r="M18">
        <v>1</v>
      </c>
    </row>
    <row r="19" spans="1:13" x14ac:dyDescent="0.25">
      <c r="A19" s="2">
        <v>46260</v>
      </c>
      <c r="B19" s="1" t="str">
        <f ca="1">IF(Información1[[#This Row],[Fecha]]='Ajuste de fechas'!$A$2,"Día actual","Día anterior")</f>
        <v>Día anterior</v>
      </c>
      <c r="C19" t="s">
        <v>47</v>
      </c>
      <c r="D19" t="s">
        <v>49</v>
      </c>
      <c r="E19" t="s">
        <v>122</v>
      </c>
      <c r="F19" t="s">
        <v>15</v>
      </c>
      <c r="G19" t="s">
        <v>123</v>
      </c>
      <c r="H19" t="s">
        <v>11</v>
      </c>
      <c r="I19" t="s">
        <v>7</v>
      </c>
      <c r="J19" t="s">
        <v>37</v>
      </c>
      <c r="K19" t="s">
        <v>46</v>
      </c>
      <c r="L19" t="s">
        <v>40</v>
      </c>
      <c r="M19">
        <v>1</v>
      </c>
    </row>
    <row r="20" spans="1:13" x14ac:dyDescent="0.25">
      <c r="A20" s="2">
        <v>46260</v>
      </c>
      <c r="B20" s="1" t="str">
        <f ca="1">IF(Información1[[#This Row],[Fecha]]='Ajuste de fechas'!$A$2,"Día actual","Día anterior")</f>
        <v>Día anterior</v>
      </c>
      <c r="C20" t="s">
        <v>8</v>
      </c>
      <c r="D20" t="s">
        <v>10</v>
      </c>
      <c r="E20" t="s">
        <v>124</v>
      </c>
      <c r="F20" t="s">
        <v>6</v>
      </c>
      <c r="G20" t="s">
        <v>125</v>
      </c>
      <c r="H20" t="s">
        <v>11</v>
      </c>
      <c r="I20" t="s">
        <v>23</v>
      </c>
      <c r="J20" t="s">
        <v>37</v>
      </c>
      <c r="K20" t="s">
        <v>9</v>
      </c>
      <c r="L20" t="s">
        <v>39</v>
      </c>
      <c r="M20">
        <v>1</v>
      </c>
    </row>
    <row r="21" spans="1:13" x14ac:dyDescent="0.25">
      <c r="A21" s="2">
        <v>46260</v>
      </c>
      <c r="B21" s="1" t="str">
        <f ca="1">IF(Información1[[#This Row],[Fecha]]='Ajuste de fechas'!$A$2,"Día actual","Día anterior")</f>
        <v>Día anterior</v>
      </c>
      <c r="C21" t="s">
        <v>8</v>
      </c>
      <c r="D21" t="s">
        <v>10</v>
      </c>
      <c r="E21" t="s">
        <v>126</v>
      </c>
      <c r="F21" t="s">
        <v>6</v>
      </c>
      <c r="G21" t="s">
        <v>125</v>
      </c>
      <c r="H21" t="s">
        <v>11</v>
      </c>
      <c r="I21" t="s">
        <v>23</v>
      </c>
      <c r="J21" t="s">
        <v>37</v>
      </c>
      <c r="K21" t="s">
        <v>9</v>
      </c>
      <c r="L21" t="s">
        <v>39</v>
      </c>
      <c r="M21">
        <v>1</v>
      </c>
    </row>
    <row r="22" spans="1:13" x14ac:dyDescent="0.25">
      <c r="A22" s="2">
        <v>46260</v>
      </c>
      <c r="B22" s="1" t="str">
        <f ca="1">IF(Información1[[#This Row],[Fecha]]='Ajuste de fechas'!$A$2,"Día actual","Día anterior")</f>
        <v>Día anterior</v>
      </c>
      <c r="C22" t="s">
        <v>8</v>
      </c>
      <c r="D22" t="s">
        <v>10</v>
      </c>
      <c r="E22" t="s">
        <v>127</v>
      </c>
      <c r="F22" t="s">
        <v>17</v>
      </c>
      <c r="G22" t="s">
        <v>85</v>
      </c>
      <c r="H22" t="s">
        <v>11</v>
      </c>
      <c r="I22" t="s">
        <v>23</v>
      </c>
      <c r="J22" t="s">
        <v>41</v>
      </c>
      <c r="K22" t="s">
        <v>9</v>
      </c>
      <c r="L22" t="s">
        <v>39</v>
      </c>
      <c r="M22">
        <v>1</v>
      </c>
    </row>
    <row r="23" spans="1:13" x14ac:dyDescent="0.25">
      <c r="A23" s="2">
        <v>46260</v>
      </c>
      <c r="B23" s="1" t="str">
        <f ca="1">IF(Información1[[#This Row],[Fecha]]='Ajuste de fechas'!$A$2,"Día actual","Día anterior")</f>
        <v>Día anterior</v>
      </c>
      <c r="C23" t="s">
        <v>8</v>
      </c>
      <c r="D23" t="s">
        <v>10</v>
      </c>
      <c r="E23" t="s">
        <v>128</v>
      </c>
      <c r="F23" t="s">
        <v>20</v>
      </c>
      <c r="G23" t="s">
        <v>129</v>
      </c>
      <c r="H23" t="s">
        <v>11</v>
      </c>
      <c r="I23" t="s">
        <v>7</v>
      </c>
      <c r="J23" t="s">
        <v>42</v>
      </c>
      <c r="K23" t="s">
        <v>13</v>
      </c>
      <c r="L23" t="s">
        <v>38</v>
      </c>
      <c r="M23">
        <v>1</v>
      </c>
    </row>
    <row r="24" spans="1:13" x14ac:dyDescent="0.25">
      <c r="A24" s="2">
        <v>46260</v>
      </c>
      <c r="B24" s="1" t="str">
        <f ca="1">IF(Información1[[#This Row],[Fecha]]='Ajuste de fechas'!$A$2,"Día actual","Día anterior")</f>
        <v>Día anterior</v>
      </c>
      <c r="C24" t="s">
        <v>26</v>
      </c>
      <c r="D24" t="s">
        <v>57</v>
      </c>
      <c r="E24" t="s">
        <v>130</v>
      </c>
      <c r="F24" t="s">
        <v>22</v>
      </c>
      <c r="G24" t="s">
        <v>131</v>
      </c>
      <c r="H24" t="s">
        <v>11</v>
      </c>
      <c r="I24" t="s">
        <v>7</v>
      </c>
      <c r="J24" t="s">
        <v>22</v>
      </c>
      <c r="K24" t="s">
        <v>58</v>
      </c>
      <c r="L24" t="s">
        <v>38</v>
      </c>
      <c r="M24">
        <v>1</v>
      </c>
    </row>
    <row r="25" spans="1:13" x14ac:dyDescent="0.25">
      <c r="A25" s="2">
        <v>46260</v>
      </c>
      <c r="B25" s="1" t="str">
        <f ca="1">IF(Información1[[#This Row],[Fecha]]='Ajuste de fechas'!$A$2,"Día actual","Día anterior")</f>
        <v>Día anterior</v>
      </c>
      <c r="C25" t="s">
        <v>26</v>
      </c>
      <c r="D25" t="s">
        <v>57</v>
      </c>
      <c r="E25" t="s">
        <v>132</v>
      </c>
      <c r="F25" t="s">
        <v>19</v>
      </c>
      <c r="G25" t="s">
        <v>102</v>
      </c>
      <c r="H25" t="s">
        <v>11</v>
      </c>
      <c r="I25" t="s">
        <v>7</v>
      </c>
      <c r="J25" t="s">
        <v>37</v>
      </c>
      <c r="K25" t="s">
        <v>58</v>
      </c>
      <c r="L25" t="s">
        <v>38</v>
      </c>
      <c r="M25">
        <v>1</v>
      </c>
    </row>
    <row r="26" spans="1:13" x14ac:dyDescent="0.25">
      <c r="A26" s="2">
        <v>46260</v>
      </c>
      <c r="B26" s="1" t="str">
        <f ca="1">IF(Información1[[#This Row],[Fecha]]='Ajuste de fechas'!$A$2,"Día actual","Día anterior")</f>
        <v>Día anterior</v>
      </c>
      <c r="C26" t="s">
        <v>54</v>
      </c>
      <c r="D26" t="s">
        <v>55</v>
      </c>
      <c r="E26" t="s">
        <v>133</v>
      </c>
      <c r="F26" t="s">
        <v>24</v>
      </c>
      <c r="G26" t="s">
        <v>91</v>
      </c>
      <c r="H26" t="s">
        <v>11</v>
      </c>
      <c r="I26" t="s">
        <v>7</v>
      </c>
      <c r="J26" t="s">
        <v>37</v>
      </c>
      <c r="K26" t="s">
        <v>134</v>
      </c>
      <c r="L26" t="s">
        <v>38</v>
      </c>
      <c r="M26">
        <v>1</v>
      </c>
    </row>
    <row r="27" spans="1:13" x14ac:dyDescent="0.25">
      <c r="A27" s="2">
        <v>46260</v>
      </c>
      <c r="B27" s="1" t="str">
        <f ca="1">IF(Información1[[#This Row],[Fecha]]='Ajuste de fechas'!$A$2,"Día actual","Día anterior")</f>
        <v>Día anterior</v>
      </c>
      <c r="C27" t="s">
        <v>26</v>
      </c>
      <c r="D27" t="s">
        <v>57</v>
      </c>
      <c r="E27" t="s">
        <v>135</v>
      </c>
      <c r="F27" t="s">
        <v>24</v>
      </c>
      <c r="G27" t="s">
        <v>91</v>
      </c>
      <c r="H27" t="s">
        <v>11</v>
      </c>
      <c r="I27" t="s">
        <v>7</v>
      </c>
      <c r="J27" t="s">
        <v>37</v>
      </c>
      <c r="K27" t="s">
        <v>58</v>
      </c>
      <c r="L27" t="s">
        <v>38</v>
      </c>
      <c r="M27">
        <v>1</v>
      </c>
    </row>
    <row r="28" spans="1:13" x14ac:dyDescent="0.25">
      <c r="A28" s="2">
        <v>46260</v>
      </c>
      <c r="B28" s="1" t="str">
        <f ca="1">IF(Información1[[#This Row],[Fecha]]='Ajuste de fechas'!$A$2,"Día actual","Día anterior")</f>
        <v>Día anterior</v>
      </c>
      <c r="C28" t="s">
        <v>26</v>
      </c>
      <c r="D28" t="s">
        <v>57</v>
      </c>
      <c r="E28" t="s">
        <v>136</v>
      </c>
      <c r="F28" t="s">
        <v>24</v>
      </c>
      <c r="G28" t="s">
        <v>91</v>
      </c>
      <c r="H28" t="s">
        <v>11</v>
      </c>
      <c r="I28" t="s">
        <v>7</v>
      </c>
      <c r="J28" t="s">
        <v>37</v>
      </c>
      <c r="K28" t="s">
        <v>58</v>
      </c>
      <c r="L28" t="s">
        <v>38</v>
      </c>
      <c r="M28">
        <v>1</v>
      </c>
    </row>
    <row r="29" spans="1:13" x14ac:dyDescent="0.25">
      <c r="A29" s="2">
        <v>46260</v>
      </c>
      <c r="B29" s="1" t="str">
        <f ca="1">IF(Información1[[#This Row],[Fecha]]='Ajuste de fechas'!$A$2,"Día actual","Día anterior")</f>
        <v>Día anterior</v>
      </c>
      <c r="C29" t="s">
        <v>26</v>
      </c>
      <c r="D29" t="s">
        <v>57</v>
      </c>
      <c r="E29" t="s">
        <v>137</v>
      </c>
      <c r="F29" t="s">
        <v>17</v>
      </c>
      <c r="G29" t="s">
        <v>138</v>
      </c>
      <c r="H29" t="s">
        <v>11</v>
      </c>
      <c r="I29" t="s">
        <v>23</v>
      </c>
      <c r="J29" t="s">
        <v>41</v>
      </c>
      <c r="K29" t="s">
        <v>58</v>
      </c>
      <c r="L29" t="s">
        <v>38</v>
      </c>
      <c r="M29">
        <v>1</v>
      </c>
    </row>
    <row r="30" spans="1:13" x14ac:dyDescent="0.25">
      <c r="A30" s="2">
        <v>46260</v>
      </c>
      <c r="B30" s="1" t="str">
        <f ca="1">IF(Información1[[#This Row],[Fecha]]='Ajuste de fechas'!$A$2,"Día actual","Día anterior")</f>
        <v>Día anterior</v>
      </c>
      <c r="C30" t="s">
        <v>26</v>
      </c>
      <c r="D30" t="s">
        <v>57</v>
      </c>
      <c r="E30" t="s">
        <v>139</v>
      </c>
      <c r="F30" t="s">
        <v>63</v>
      </c>
      <c r="G30" t="s">
        <v>86</v>
      </c>
      <c r="H30" t="s">
        <v>11</v>
      </c>
      <c r="I30" t="s">
        <v>7</v>
      </c>
      <c r="J30" t="s">
        <v>37</v>
      </c>
      <c r="K30" t="s">
        <v>58</v>
      </c>
      <c r="L30" t="s">
        <v>38</v>
      </c>
      <c r="M30">
        <v>1</v>
      </c>
    </row>
    <row r="31" spans="1:13" x14ac:dyDescent="0.25">
      <c r="A31" s="2">
        <v>46260</v>
      </c>
      <c r="B31" s="1" t="str">
        <f ca="1">IF(Información1[[#This Row],[Fecha]]='Ajuste de fechas'!$A$2,"Día actual","Día anterior")</f>
        <v>Día anterior</v>
      </c>
      <c r="C31" t="s">
        <v>8</v>
      </c>
      <c r="D31" t="s">
        <v>10</v>
      </c>
      <c r="E31" t="s">
        <v>140</v>
      </c>
      <c r="F31" t="s">
        <v>20</v>
      </c>
      <c r="G31" t="s">
        <v>141</v>
      </c>
      <c r="H31" t="s">
        <v>11</v>
      </c>
      <c r="I31" t="s">
        <v>7</v>
      </c>
      <c r="J31" t="s">
        <v>42</v>
      </c>
      <c r="K31" t="s">
        <v>13</v>
      </c>
      <c r="L31" t="s">
        <v>38</v>
      </c>
      <c r="M31">
        <v>1</v>
      </c>
    </row>
    <row r="32" spans="1:13" x14ac:dyDescent="0.25">
      <c r="A32" s="2">
        <v>46260</v>
      </c>
      <c r="B32" s="1" t="str">
        <f ca="1">IF(Información1[[#This Row],[Fecha]]='Ajuste de fechas'!$A$2,"Día actual","Día anterior")</f>
        <v>Día anterior</v>
      </c>
      <c r="C32" t="s">
        <v>26</v>
      </c>
      <c r="D32" t="s">
        <v>57</v>
      </c>
      <c r="E32" t="s">
        <v>142</v>
      </c>
      <c r="F32" t="s">
        <v>17</v>
      </c>
      <c r="G32" t="s">
        <v>141</v>
      </c>
      <c r="H32" t="s">
        <v>11</v>
      </c>
      <c r="I32" t="s">
        <v>7</v>
      </c>
      <c r="J32" t="s">
        <v>41</v>
      </c>
      <c r="K32" t="s">
        <v>58</v>
      </c>
      <c r="L32" t="s">
        <v>38</v>
      </c>
      <c r="M32">
        <v>1</v>
      </c>
    </row>
    <row r="33" spans="1:13" x14ac:dyDescent="0.25">
      <c r="A33" s="2">
        <v>46260</v>
      </c>
      <c r="B33" s="1" t="str">
        <f ca="1">IF(Información1[[#This Row],[Fecha]]='Ajuste de fechas'!$A$2,"Día actual","Día anterior")</f>
        <v>Día anterior</v>
      </c>
      <c r="C33" t="s">
        <v>8</v>
      </c>
      <c r="D33" t="s">
        <v>10</v>
      </c>
      <c r="E33" t="s">
        <v>143</v>
      </c>
      <c r="F33" t="s">
        <v>15</v>
      </c>
      <c r="G33" t="s">
        <v>144</v>
      </c>
      <c r="H33" t="s">
        <v>11</v>
      </c>
      <c r="I33" t="s">
        <v>23</v>
      </c>
      <c r="J33" t="s">
        <v>37</v>
      </c>
      <c r="K33" t="s">
        <v>9</v>
      </c>
      <c r="L33" t="s">
        <v>39</v>
      </c>
      <c r="M33">
        <v>1</v>
      </c>
    </row>
    <row r="34" spans="1:13" x14ac:dyDescent="0.25">
      <c r="A34" s="2">
        <v>46260</v>
      </c>
      <c r="B34" s="1" t="str">
        <f ca="1">IF(Información1[[#This Row],[Fecha]]='Ajuste de fechas'!$A$2,"Día actual","Día anterior")</f>
        <v>Día anterior</v>
      </c>
      <c r="C34" t="s">
        <v>26</v>
      </c>
      <c r="D34" t="s">
        <v>57</v>
      </c>
      <c r="E34" t="s">
        <v>145</v>
      </c>
      <c r="F34" t="s">
        <v>19</v>
      </c>
      <c r="G34" t="s">
        <v>146</v>
      </c>
      <c r="H34" t="s">
        <v>11</v>
      </c>
      <c r="I34" t="s">
        <v>7</v>
      </c>
      <c r="J34" t="s">
        <v>37</v>
      </c>
      <c r="K34" t="s">
        <v>58</v>
      </c>
      <c r="L34" t="s">
        <v>38</v>
      </c>
      <c r="M34">
        <v>1</v>
      </c>
    </row>
    <row r="35" spans="1:13" x14ac:dyDescent="0.25">
      <c r="A35" s="2">
        <v>46260</v>
      </c>
      <c r="B35" s="1" t="str">
        <f ca="1">IF(Información1[[#This Row],[Fecha]]='Ajuste de fechas'!$A$2,"Día actual","Día anterior")</f>
        <v>Día anterior</v>
      </c>
      <c r="C35" t="s">
        <v>8</v>
      </c>
      <c r="D35" t="s">
        <v>10</v>
      </c>
      <c r="E35" t="s">
        <v>147</v>
      </c>
      <c r="F35" t="s">
        <v>17</v>
      </c>
      <c r="G35" t="s">
        <v>148</v>
      </c>
      <c r="H35" t="s">
        <v>11</v>
      </c>
      <c r="I35" t="s">
        <v>7</v>
      </c>
      <c r="J35" t="s">
        <v>41</v>
      </c>
      <c r="K35" t="s">
        <v>13</v>
      </c>
      <c r="L35" t="s">
        <v>38</v>
      </c>
      <c r="M35">
        <v>1</v>
      </c>
    </row>
    <row r="36" spans="1:13" x14ac:dyDescent="0.25">
      <c r="A36" s="2">
        <v>46260</v>
      </c>
      <c r="B36" s="1" t="str">
        <f ca="1">IF(Información1[[#This Row],[Fecha]]='Ajuste de fechas'!$A$2,"Día actual","Día anterior")</f>
        <v>Día anterior</v>
      </c>
      <c r="C36" t="s">
        <v>8</v>
      </c>
      <c r="D36" t="s">
        <v>10</v>
      </c>
      <c r="E36" t="s">
        <v>149</v>
      </c>
      <c r="F36" t="s">
        <v>20</v>
      </c>
      <c r="G36" t="s">
        <v>150</v>
      </c>
      <c r="H36" t="s">
        <v>11</v>
      </c>
      <c r="I36" t="s">
        <v>7</v>
      </c>
      <c r="J36" t="s">
        <v>42</v>
      </c>
      <c r="K36" t="s">
        <v>13</v>
      </c>
      <c r="L36" t="s">
        <v>38</v>
      </c>
      <c r="M36">
        <v>1</v>
      </c>
    </row>
    <row r="37" spans="1:13" x14ac:dyDescent="0.25">
      <c r="A37" s="2">
        <v>46260</v>
      </c>
      <c r="B37" s="1" t="str">
        <f ca="1">IF(Información1[[#This Row],[Fecha]]='Ajuste de fechas'!$A$2,"Día actual","Día anterior")</f>
        <v>Día anterior</v>
      </c>
      <c r="C37" t="s">
        <v>8</v>
      </c>
      <c r="D37" t="s">
        <v>10</v>
      </c>
      <c r="E37" t="s">
        <v>151</v>
      </c>
      <c r="F37" t="s">
        <v>66</v>
      </c>
      <c r="G37" t="s">
        <v>150</v>
      </c>
      <c r="H37" t="s">
        <v>11</v>
      </c>
      <c r="I37" t="s">
        <v>7</v>
      </c>
      <c r="J37" t="s">
        <v>37</v>
      </c>
      <c r="K37" t="s">
        <v>13</v>
      </c>
      <c r="L37" t="s">
        <v>38</v>
      </c>
      <c r="M37">
        <v>1</v>
      </c>
    </row>
    <row r="38" spans="1:13" x14ac:dyDescent="0.25">
      <c r="A38" s="2">
        <v>46260</v>
      </c>
      <c r="B38" s="1" t="str">
        <f ca="1">IF(Información1[[#This Row],[Fecha]]='Ajuste de fechas'!$A$2,"Día actual","Día anterior")</f>
        <v>Día anterior</v>
      </c>
      <c r="C38" t="s">
        <v>26</v>
      </c>
      <c r="D38" t="s">
        <v>57</v>
      </c>
      <c r="E38" t="s">
        <v>152</v>
      </c>
      <c r="F38" t="s">
        <v>24</v>
      </c>
      <c r="G38" t="s">
        <v>150</v>
      </c>
      <c r="H38" t="s">
        <v>11</v>
      </c>
      <c r="I38" t="s">
        <v>7</v>
      </c>
      <c r="J38" t="s">
        <v>37</v>
      </c>
      <c r="K38" t="s">
        <v>58</v>
      </c>
      <c r="L38" t="s">
        <v>38</v>
      </c>
      <c r="M38">
        <v>1</v>
      </c>
    </row>
    <row r="39" spans="1:13" x14ac:dyDescent="0.25">
      <c r="A39" s="2">
        <v>46260</v>
      </c>
      <c r="B39" s="1" t="str">
        <f ca="1">IF(Información1[[#This Row],[Fecha]]='Ajuste de fechas'!$A$2,"Día actual","Día anterior")</f>
        <v>Día anterior</v>
      </c>
      <c r="C39" t="s">
        <v>26</v>
      </c>
      <c r="D39" t="s">
        <v>57</v>
      </c>
      <c r="E39" t="s">
        <v>153</v>
      </c>
      <c r="F39" t="s">
        <v>66</v>
      </c>
      <c r="G39" t="s">
        <v>154</v>
      </c>
      <c r="H39" t="s">
        <v>11</v>
      </c>
      <c r="I39" t="s">
        <v>7</v>
      </c>
      <c r="J39" t="s">
        <v>37</v>
      </c>
      <c r="K39" t="s">
        <v>58</v>
      </c>
      <c r="L39" t="s">
        <v>38</v>
      </c>
      <c r="M39">
        <v>1</v>
      </c>
    </row>
    <row r="40" spans="1:13" x14ac:dyDescent="0.25">
      <c r="A40" s="2">
        <v>46260</v>
      </c>
      <c r="B40" s="1" t="str">
        <f ca="1">IF(Información1[[#This Row],[Fecha]]='Ajuste de fechas'!$A$2,"Día actual","Día anterior")</f>
        <v>Día anterior</v>
      </c>
      <c r="C40" t="s">
        <v>26</v>
      </c>
      <c r="D40" t="s">
        <v>57</v>
      </c>
      <c r="E40" t="s">
        <v>155</v>
      </c>
      <c r="F40" t="s">
        <v>20</v>
      </c>
      <c r="G40" t="s">
        <v>156</v>
      </c>
      <c r="H40" t="s">
        <v>11</v>
      </c>
      <c r="I40" t="s">
        <v>7</v>
      </c>
      <c r="J40" t="s">
        <v>42</v>
      </c>
      <c r="K40" t="s">
        <v>58</v>
      </c>
      <c r="L40" t="s">
        <v>38</v>
      </c>
      <c r="M40">
        <v>1</v>
      </c>
    </row>
    <row r="41" spans="1:13" x14ac:dyDescent="0.25">
      <c r="A41" s="2">
        <v>46260</v>
      </c>
      <c r="B41" s="1" t="str">
        <f ca="1">IF(Información1[[#This Row],[Fecha]]='Ajuste de fechas'!$A$2,"Día actual","Día anterior")</f>
        <v>Día anterior</v>
      </c>
      <c r="C41" t="s">
        <v>8</v>
      </c>
      <c r="D41" t="s">
        <v>10</v>
      </c>
      <c r="E41" t="s">
        <v>157</v>
      </c>
      <c r="F41" t="s">
        <v>6</v>
      </c>
      <c r="G41" t="s">
        <v>158</v>
      </c>
      <c r="H41" t="s">
        <v>11</v>
      </c>
      <c r="I41" t="s">
        <v>23</v>
      </c>
      <c r="J41" t="s">
        <v>37</v>
      </c>
      <c r="K41" t="s">
        <v>9</v>
      </c>
      <c r="L41" t="s">
        <v>39</v>
      </c>
      <c r="M41">
        <v>1</v>
      </c>
    </row>
    <row r="42" spans="1:13" x14ac:dyDescent="0.25">
      <c r="A42" s="2">
        <v>46260</v>
      </c>
      <c r="B42" s="1" t="str">
        <f ca="1">IF(Información1[[#This Row],[Fecha]]='Ajuste de fechas'!$A$2,"Día actual","Día anterior")</f>
        <v>Día anterior</v>
      </c>
      <c r="C42" t="s">
        <v>8</v>
      </c>
      <c r="D42" t="s">
        <v>10</v>
      </c>
      <c r="E42" t="s">
        <v>159</v>
      </c>
      <c r="F42" t="s">
        <v>6</v>
      </c>
      <c r="G42" t="s">
        <v>158</v>
      </c>
      <c r="H42" t="s">
        <v>11</v>
      </c>
      <c r="I42" t="s">
        <v>23</v>
      </c>
      <c r="J42" t="s">
        <v>37</v>
      </c>
      <c r="K42" t="s">
        <v>9</v>
      </c>
      <c r="L42" t="s">
        <v>39</v>
      </c>
      <c r="M42">
        <v>1</v>
      </c>
    </row>
    <row r="43" spans="1:13" x14ac:dyDescent="0.25">
      <c r="A43" s="2">
        <v>46260</v>
      </c>
      <c r="B43" s="1" t="str">
        <f ca="1">IF(Información1[[#This Row],[Fecha]]='Ajuste de fechas'!$A$2,"Día actual","Día anterior")</f>
        <v>Día anterior</v>
      </c>
      <c r="C43" t="s">
        <v>8</v>
      </c>
      <c r="D43" t="s">
        <v>10</v>
      </c>
      <c r="E43" t="s">
        <v>160</v>
      </c>
      <c r="F43" t="s">
        <v>116</v>
      </c>
      <c r="G43" t="s">
        <v>117</v>
      </c>
      <c r="H43" t="s">
        <v>11</v>
      </c>
      <c r="I43" t="s">
        <v>7</v>
      </c>
      <c r="J43" t="s">
        <v>37</v>
      </c>
      <c r="K43" t="s">
        <v>13</v>
      </c>
      <c r="L43" t="s">
        <v>40</v>
      </c>
      <c r="M43">
        <v>1</v>
      </c>
    </row>
    <row r="44" spans="1:13" x14ac:dyDescent="0.25">
      <c r="A44" s="2">
        <v>46260</v>
      </c>
      <c r="B44" s="1" t="str">
        <f ca="1">IF(Información1[[#This Row],[Fecha]]='Ajuste de fechas'!$A$2,"Día actual","Día anterior")</f>
        <v>Día anterior</v>
      </c>
      <c r="C44" t="s">
        <v>26</v>
      </c>
      <c r="D44" t="s">
        <v>57</v>
      </c>
      <c r="E44" t="s">
        <v>161</v>
      </c>
      <c r="F44" t="s">
        <v>116</v>
      </c>
      <c r="G44" t="s">
        <v>117</v>
      </c>
      <c r="H44" t="s">
        <v>11</v>
      </c>
      <c r="I44" t="s">
        <v>7</v>
      </c>
      <c r="J44" t="s">
        <v>37</v>
      </c>
      <c r="K44" t="s">
        <v>58</v>
      </c>
      <c r="L44" t="s">
        <v>38</v>
      </c>
      <c r="M44">
        <v>1</v>
      </c>
    </row>
    <row r="45" spans="1:13" x14ac:dyDescent="0.25">
      <c r="A45" s="2">
        <v>46260</v>
      </c>
      <c r="B45" s="1" t="str">
        <f ca="1">IF(Información1[[#This Row],[Fecha]]='Ajuste de fechas'!$A$2,"Día actual","Día anterior")</f>
        <v>Día anterior</v>
      </c>
      <c r="C45" t="s">
        <v>8</v>
      </c>
      <c r="D45" t="s">
        <v>10</v>
      </c>
      <c r="E45" t="s">
        <v>162</v>
      </c>
      <c r="F45" t="s">
        <v>20</v>
      </c>
      <c r="G45" t="s">
        <v>163</v>
      </c>
      <c r="H45" t="s">
        <v>11</v>
      </c>
      <c r="I45" t="s">
        <v>7</v>
      </c>
      <c r="J45" t="s">
        <v>42</v>
      </c>
      <c r="K45" t="s">
        <v>9</v>
      </c>
      <c r="L45" t="s">
        <v>39</v>
      </c>
      <c r="M45">
        <v>1</v>
      </c>
    </row>
    <row r="46" spans="1:13" x14ac:dyDescent="0.25">
      <c r="A46" s="2">
        <v>46260</v>
      </c>
      <c r="B46" s="1" t="str">
        <f ca="1">IF(Información1[[#This Row],[Fecha]]='Ajuste de fechas'!$A$2,"Día actual","Día anterior")</f>
        <v>Día anterior</v>
      </c>
      <c r="C46" t="s">
        <v>8</v>
      </c>
      <c r="D46" t="s">
        <v>10</v>
      </c>
      <c r="E46" t="s">
        <v>164</v>
      </c>
      <c r="F46" t="s">
        <v>17</v>
      </c>
      <c r="G46" t="s">
        <v>165</v>
      </c>
      <c r="H46" t="s">
        <v>11</v>
      </c>
      <c r="I46" t="s">
        <v>23</v>
      </c>
      <c r="J46" t="s">
        <v>41</v>
      </c>
      <c r="K46" t="s">
        <v>9</v>
      </c>
      <c r="L46" t="s">
        <v>39</v>
      </c>
      <c r="M46">
        <v>1</v>
      </c>
    </row>
    <row r="47" spans="1:13" x14ac:dyDescent="0.25">
      <c r="A47" s="2">
        <v>46260</v>
      </c>
      <c r="B47" s="1" t="str">
        <f ca="1">IF(Información1[[#This Row],[Fecha]]='Ajuste de fechas'!$A$2,"Día actual","Día anterior")</f>
        <v>Día anterior</v>
      </c>
      <c r="C47" t="s">
        <v>59</v>
      </c>
      <c r="D47" t="s">
        <v>61</v>
      </c>
      <c r="E47" t="s">
        <v>166</v>
      </c>
      <c r="F47" t="s">
        <v>29</v>
      </c>
      <c r="G47" t="s">
        <v>167</v>
      </c>
      <c r="H47" t="s">
        <v>11</v>
      </c>
      <c r="I47" t="s">
        <v>7</v>
      </c>
      <c r="J47" t="s">
        <v>37</v>
      </c>
      <c r="K47" t="s">
        <v>68</v>
      </c>
      <c r="L47" t="s">
        <v>40</v>
      </c>
      <c r="M47">
        <v>1</v>
      </c>
    </row>
    <row r="48" spans="1:13" x14ac:dyDescent="0.25">
      <c r="A48" s="2">
        <v>46260</v>
      </c>
      <c r="B48" s="1" t="str">
        <f ca="1">IF(Información1[[#This Row],[Fecha]]='Ajuste de fechas'!$A$2,"Día actual","Día anterior")</f>
        <v>Día anterior</v>
      </c>
      <c r="C48" t="s">
        <v>26</v>
      </c>
      <c r="D48" t="s">
        <v>57</v>
      </c>
      <c r="E48" t="s">
        <v>168</v>
      </c>
      <c r="F48" t="s">
        <v>19</v>
      </c>
      <c r="G48" t="s">
        <v>169</v>
      </c>
      <c r="H48" t="s">
        <v>11</v>
      </c>
      <c r="I48" t="s">
        <v>7</v>
      </c>
      <c r="J48" t="s">
        <v>37</v>
      </c>
      <c r="K48" t="s">
        <v>58</v>
      </c>
      <c r="L48" t="s">
        <v>38</v>
      </c>
      <c r="M48">
        <v>1</v>
      </c>
    </row>
    <row r="49" spans="1:13" x14ac:dyDescent="0.25">
      <c r="A49" s="2">
        <v>46260</v>
      </c>
      <c r="B49" s="1" t="str">
        <f ca="1">IF(Información1[[#This Row],[Fecha]]='Ajuste de fechas'!$A$2,"Día actual","Día anterior")</f>
        <v>Día anterior</v>
      </c>
      <c r="C49" t="s">
        <v>8</v>
      </c>
      <c r="D49" t="s">
        <v>10</v>
      </c>
      <c r="E49" t="s">
        <v>170</v>
      </c>
      <c r="F49" t="s">
        <v>113</v>
      </c>
      <c r="G49" t="s">
        <v>171</v>
      </c>
      <c r="H49" t="s">
        <v>11</v>
      </c>
      <c r="I49" t="s">
        <v>7</v>
      </c>
      <c r="J49" t="s">
        <v>37</v>
      </c>
      <c r="K49" t="s">
        <v>13</v>
      </c>
      <c r="L49" t="s">
        <v>40</v>
      </c>
      <c r="M49">
        <v>1</v>
      </c>
    </row>
    <row r="50" spans="1:13" x14ac:dyDescent="0.25">
      <c r="A50" s="2">
        <v>46260</v>
      </c>
      <c r="B50" s="1" t="str">
        <f ca="1">IF(Información1[[#This Row],[Fecha]]='Ajuste de fechas'!$A$2,"Día actual","Día anterior")</f>
        <v>Día anterior</v>
      </c>
      <c r="C50" t="s">
        <v>8</v>
      </c>
      <c r="D50" t="s">
        <v>10</v>
      </c>
      <c r="E50" t="s">
        <v>172</v>
      </c>
      <c r="F50" t="s">
        <v>113</v>
      </c>
      <c r="G50" t="s">
        <v>171</v>
      </c>
      <c r="H50" t="s">
        <v>11</v>
      </c>
      <c r="I50" t="s">
        <v>7</v>
      </c>
      <c r="J50" t="s">
        <v>37</v>
      </c>
      <c r="K50" t="s">
        <v>9</v>
      </c>
      <c r="L50" t="s">
        <v>39</v>
      </c>
      <c r="M50">
        <v>1</v>
      </c>
    </row>
    <row r="51" spans="1:13" x14ac:dyDescent="0.25">
      <c r="A51" s="2">
        <v>46260</v>
      </c>
      <c r="B51" s="1" t="str">
        <f ca="1">IF(Información1[[#This Row],[Fecha]]='Ajuste de fechas'!$A$2,"Día actual","Día anterior")</f>
        <v>Día anterior</v>
      </c>
      <c r="C51" t="s">
        <v>8</v>
      </c>
      <c r="D51" t="s">
        <v>10</v>
      </c>
      <c r="E51" t="s">
        <v>90</v>
      </c>
      <c r="F51" t="s">
        <v>21</v>
      </c>
      <c r="G51" t="s">
        <v>83</v>
      </c>
      <c r="H51" t="s">
        <v>11</v>
      </c>
      <c r="I51" t="s">
        <v>7</v>
      </c>
      <c r="J51" t="s">
        <v>37</v>
      </c>
      <c r="K51" t="s">
        <v>13</v>
      </c>
      <c r="L51" t="s">
        <v>38</v>
      </c>
      <c r="M51">
        <v>1</v>
      </c>
    </row>
    <row r="52" spans="1:13" x14ac:dyDescent="0.25">
      <c r="A52" s="2">
        <v>46260</v>
      </c>
      <c r="B52" s="1" t="str">
        <f ca="1">IF(Información1[[#This Row],[Fecha]]='Ajuste de fechas'!$A$2,"Día actual","Día anterior")</f>
        <v>Día anterior</v>
      </c>
      <c r="C52" t="s">
        <v>54</v>
      </c>
      <c r="D52" t="s">
        <v>55</v>
      </c>
      <c r="E52" t="s">
        <v>173</v>
      </c>
      <c r="F52" t="s">
        <v>60</v>
      </c>
      <c r="G52" t="s">
        <v>174</v>
      </c>
      <c r="H52" t="s">
        <v>11</v>
      </c>
      <c r="I52" t="s">
        <v>7</v>
      </c>
      <c r="J52" t="s">
        <v>37</v>
      </c>
      <c r="K52" t="s">
        <v>134</v>
      </c>
      <c r="L52" t="s">
        <v>38</v>
      </c>
      <c r="M52">
        <v>1</v>
      </c>
    </row>
    <row r="53" spans="1:13" x14ac:dyDescent="0.25">
      <c r="A53" s="2">
        <v>46260</v>
      </c>
      <c r="B53" s="1" t="str">
        <f ca="1">IF(Información1[[#This Row],[Fecha]]='Ajuste de fechas'!$A$2,"Día actual","Día anterior")</f>
        <v>Día anterior</v>
      </c>
      <c r="C53" t="s">
        <v>8</v>
      </c>
      <c r="D53" t="s">
        <v>10</v>
      </c>
      <c r="E53" t="s">
        <v>175</v>
      </c>
      <c r="F53" t="s">
        <v>15</v>
      </c>
      <c r="G53" t="s">
        <v>87</v>
      </c>
      <c r="H53" t="s">
        <v>11</v>
      </c>
      <c r="I53" t="s">
        <v>7</v>
      </c>
      <c r="J53" t="s">
        <v>37</v>
      </c>
      <c r="K53" t="s">
        <v>9</v>
      </c>
      <c r="L53" t="s">
        <v>39</v>
      </c>
      <c r="M53">
        <v>1</v>
      </c>
    </row>
    <row r="54" spans="1:13" x14ac:dyDescent="0.25">
      <c r="A54" s="2">
        <v>46260</v>
      </c>
      <c r="B54" s="1" t="str">
        <f ca="1">IF(Información1[[#This Row],[Fecha]]='Ajuste de fechas'!$A$2,"Día actual","Día anterior")</f>
        <v>Día anterior</v>
      </c>
      <c r="C54" t="s">
        <v>8</v>
      </c>
      <c r="D54" t="s">
        <v>10</v>
      </c>
      <c r="E54" t="s">
        <v>18</v>
      </c>
      <c r="F54" t="s">
        <v>17</v>
      </c>
      <c r="G54" t="s">
        <v>30</v>
      </c>
      <c r="H54" t="s">
        <v>11</v>
      </c>
      <c r="I54" t="s">
        <v>12</v>
      </c>
      <c r="J54" t="s">
        <v>41</v>
      </c>
      <c r="K54" t="s">
        <v>13</v>
      </c>
      <c r="L54" t="s">
        <v>39</v>
      </c>
      <c r="M54">
        <v>1</v>
      </c>
    </row>
    <row r="55" spans="1:13" x14ac:dyDescent="0.25">
      <c r="A55" s="2">
        <v>46260</v>
      </c>
      <c r="B55" s="1" t="str">
        <f ca="1">IF(Información1[[#This Row],[Fecha]]='Ajuste de fechas'!$A$2,"Día actual","Día anterior")</f>
        <v>Día anterior</v>
      </c>
      <c r="C55" t="s">
        <v>8</v>
      </c>
      <c r="D55" t="s">
        <v>10</v>
      </c>
      <c r="E55" t="s">
        <v>16</v>
      </c>
      <c r="F55" t="s">
        <v>17</v>
      </c>
      <c r="G55" t="s">
        <v>30</v>
      </c>
      <c r="H55" t="s">
        <v>11</v>
      </c>
      <c r="I55" t="s">
        <v>12</v>
      </c>
      <c r="J55" t="s">
        <v>41</v>
      </c>
      <c r="K55" t="s">
        <v>13</v>
      </c>
      <c r="L55" t="s">
        <v>39</v>
      </c>
      <c r="M55">
        <v>1</v>
      </c>
    </row>
    <row r="56" spans="1:13" x14ac:dyDescent="0.25">
      <c r="A56" s="2">
        <v>46260</v>
      </c>
      <c r="B56" s="1" t="str">
        <f ca="1">IF(Información1[[#This Row],[Fecha]]='Ajuste de fechas'!$A$2,"Día actual","Día anterior")</f>
        <v>Día anterior</v>
      </c>
      <c r="C56" t="s">
        <v>8</v>
      </c>
      <c r="D56" t="s">
        <v>10</v>
      </c>
      <c r="E56" t="s">
        <v>62</v>
      </c>
      <c r="F56" t="s">
        <v>51</v>
      </c>
      <c r="G56" t="s">
        <v>30</v>
      </c>
      <c r="H56" t="s">
        <v>11</v>
      </c>
      <c r="I56" t="s">
        <v>12</v>
      </c>
      <c r="J56" t="s">
        <v>22</v>
      </c>
      <c r="K56" t="s">
        <v>13</v>
      </c>
      <c r="L56" t="s">
        <v>39</v>
      </c>
      <c r="M56">
        <v>1</v>
      </c>
    </row>
    <row r="57" spans="1:13" x14ac:dyDescent="0.25">
      <c r="A57" s="2">
        <v>46260</v>
      </c>
      <c r="B57" s="1" t="str">
        <f ca="1">IF(Información1[[#This Row],[Fecha]]='Ajuste de fechas'!$A$2,"Día actual","Día anterior")</f>
        <v>Día anterior</v>
      </c>
      <c r="C57" t="s">
        <v>8</v>
      </c>
      <c r="D57" t="s">
        <v>10</v>
      </c>
      <c r="E57" t="s">
        <v>14</v>
      </c>
      <c r="F57" t="s">
        <v>15</v>
      </c>
      <c r="G57" t="s">
        <v>30</v>
      </c>
      <c r="H57" t="s">
        <v>11</v>
      </c>
      <c r="I57" t="s">
        <v>12</v>
      </c>
      <c r="J57" t="s">
        <v>37</v>
      </c>
      <c r="K57" t="s">
        <v>13</v>
      </c>
      <c r="L57" t="s">
        <v>39</v>
      </c>
      <c r="M57">
        <v>1</v>
      </c>
    </row>
    <row r="58" spans="1:13" x14ac:dyDescent="0.25">
      <c r="A58" s="2">
        <v>46260</v>
      </c>
      <c r="B58" s="1" t="str">
        <f ca="1">IF(Información1[[#This Row],[Fecha]]='Ajuste de fechas'!$A$2,"Día actual","Día anterior")</f>
        <v>Día anterior</v>
      </c>
      <c r="C58" t="s">
        <v>8</v>
      </c>
      <c r="D58" t="s">
        <v>10</v>
      </c>
      <c r="E58" t="s">
        <v>176</v>
      </c>
      <c r="F58" t="s">
        <v>19</v>
      </c>
      <c r="G58" t="s">
        <v>30</v>
      </c>
      <c r="H58" t="s">
        <v>11</v>
      </c>
      <c r="I58" t="s">
        <v>12</v>
      </c>
      <c r="J58" t="s">
        <v>37</v>
      </c>
      <c r="K58" t="s">
        <v>13</v>
      </c>
      <c r="L58" t="s">
        <v>39</v>
      </c>
      <c r="M58">
        <v>1</v>
      </c>
    </row>
    <row r="59" spans="1:13" x14ac:dyDescent="0.25">
      <c r="A59" s="2">
        <v>46260</v>
      </c>
      <c r="B59" s="1" t="str">
        <f ca="1">IF(Información1[[#This Row],[Fecha]]='Ajuste de fechas'!$A$2,"Día actual","Día anterior")</f>
        <v>Día anterior</v>
      </c>
      <c r="C59" t="s">
        <v>8</v>
      </c>
      <c r="D59" t="s">
        <v>10</v>
      </c>
      <c r="E59" t="s">
        <v>50</v>
      </c>
      <c r="F59" t="s">
        <v>6</v>
      </c>
      <c r="G59" t="s">
        <v>30</v>
      </c>
      <c r="H59" t="s">
        <v>11</v>
      </c>
      <c r="I59" t="s">
        <v>12</v>
      </c>
      <c r="J59" t="s">
        <v>37</v>
      </c>
      <c r="K59" t="s">
        <v>13</v>
      </c>
      <c r="L59" t="s">
        <v>39</v>
      </c>
      <c r="M59">
        <v>1</v>
      </c>
    </row>
    <row r="60" spans="1:13" x14ac:dyDescent="0.25">
      <c r="A60" s="2">
        <v>46260</v>
      </c>
      <c r="B60" s="1" t="str">
        <f ca="1">IF(Información1[[#This Row],[Fecha]]='Ajuste de fechas'!$A$2,"Día actual","Día anterior")</f>
        <v>Día anterior</v>
      </c>
      <c r="C60" t="s">
        <v>8</v>
      </c>
      <c r="D60" t="s">
        <v>10</v>
      </c>
      <c r="E60" t="s">
        <v>177</v>
      </c>
      <c r="F60" t="s">
        <v>6</v>
      </c>
      <c r="G60" t="s">
        <v>30</v>
      </c>
      <c r="H60" t="s">
        <v>11</v>
      </c>
      <c r="I60" t="s">
        <v>12</v>
      </c>
      <c r="J60" t="s">
        <v>37</v>
      </c>
      <c r="K60" t="s">
        <v>9</v>
      </c>
      <c r="L60" t="s">
        <v>39</v>
      </c>
      <c r="M60">
        <v>1</v>
      </c>
    </row>
    <row r="61" spans="1:13" x14ac:dyDescent="0.25">
      <c r="A61" s="2">
        <v>46260</v>
      </c>
      <c r="B61" s="1" t="str">
        <f ca="1">IF(Información1[[#This Row],[Fecha]]='Ajuste de fechas'!$A$2,"Día actual","Día anterior")</f>
        <v>Día anterior</v>
      </c>
      <c r="C61" t="s">
        <v>54</v>
      </c>
      <c r="D61" t="s">
        <v>55</v>
      </c>
      <c r="E61" t="s">
        <v>178</v>
      </c>
      <c r="F61" t="s">
        <v>179</v>
      </c>
      <c r="G61" t="s">
        <v>180</v>
      </c>
      <c r="H61" t="s">
        <v>11</v>
      </c>
      <c r="I61" t="s">
        <v>7</v>
      </c>
      <c r="J61" t="s">
        <v>37</v>
      </c>
      <c r="K61" t="s">
        <v>134</v>
      </c>
      <c r="L61" t="s">
        <v>38</v>
      </c>
      <c r="M61">
        <v>1</v>
      </c>
    </row>
    <row r="62" spans="1:13" x14ac:dyDescent="0.25">
      <c r="A62" s="2">
        <v>46260</v>
      </c>
      <c r="B62" s="1" t="str">
        <f ca="1">IF(Información1[[#This Row],[Fecha]]='Ajuste de fechas'!$A$2,"Día actual","Día anterior")</f>
        <v>Día anterior</v>
      </c>
      <c r="C62" t="s">
        <v>26</v>
      </c>
      <c r="D62" t="s">
        <v>57</v>
      </c>
      <c r="E62" t="s">
        <v>181</v>
      </c>
      <c r="F62" t="s">
        <v>179</v>
      </c>
      <c r="G62" t="s">
        <v>180</v>
      </c>
      <c r="H62" t="s">
        <v>11</v>
      </c>
      <c r="I62" t="s">
        <v>7</v>
      </c>
      <c r="J62" t="s">
        <v>37</v>
      </c>
      <c r="K62" t="s">
        <v>58</v>
      </c>
      <c r="L62" t="s">
        <v>38</v>
      </c>
      <c r="M62">
        <v>1</v>
      </c>
    </row>
    <row r="63" spans="1:13" x14ac:dyDescent="0.25">
      <c r="A63" s="2">
        <v>46260</v>
      </c>
      <c r="B63" s="1" t="str">
        <f ca="1">IF(Información1[[#This Row],[Fecha]]='Ajuste de fechas'!$A$2,"Día actual","Día anterior")</f>
        <v>Día anterior</v>
      </c>
      <c r="C63" t="s">
        <v>26</v>
      </c>
      <c r="D63" t="s">
        <v>57</v>
      </c>
      <c r="E63" t="s">
        <v>182</v>
      </c>
      <c r="F63" t="s">
        <v>63</v>
      </c>
      <c r="G63" t="s">
        <v>121</v>
      </c>
      <c r="H63" t="s">
        <v>11</v>
      </c>
      <c r="I63" t="s">
        <v>7</v>
      </c>
      <c r="J63" t="s">
        <v>37</v>
      </c>
      <c r="K63" t="s">
        <v>58</v>
      </c>
      <c r="L63" t="s">
        <v>38</v>
      </c>
      <c r="M63">
        <v>1</v>
      </c>
    </row>
    <row r="64" spans="1:13" x14ac:dyDescent="0.25">
      <c r="A64" s="2">
        <v>46260</v>
      </c>
      <c r="B64" s="1" t="str">
        <f ca="1">IF(Información1[[#This Row],[Fecha]]='Ajuste de fechas'!$A$2,"Día actual","Día anterior")</f>
        <v>Día anterior</v>
      </c>
      <c r="C64" t="s">
        <v>8</v>
      </c>
      <c r="D64" t="s">
        <v>10</v>
      </c>
      <c r="E64" t="s">
        <v>183</v>
      </c>
      <c r="F64" t="s">
        <v>6</v>
      </c>
      <c r="G64" t="s">
        <v>69</v>
      </c>
      <c r="H64" t="s">
        <v>11</v>
      </c>
      <c r="I64" t="s">
        <v>23</v>
      </c>
      <c r="J64" t="s">
        <v>37</v>
      </c>
      <c r="K64" t="s">
        <v>9</v>
      </c>
      <c r="L64" t="s">
        <v>39</v>
      </c>
      <c r="M64">
        <v>1</v>
      </c>
    </row>
    <row r="65" spans="1:13" x14ac:dyDescent="0.25">
      <c r="A65" s="2">
        <v>46260</v>
      </c>
      <c r="B65" s="1" t="str">
        <f ca="1">IF(Información1[[#This Row],[Fecha]]='Ajuste de fechas'!$A$2,"Día actual","Día anterior")</f>
        <v>Día anterior</v>
      </c>
      <c r="C65" t="s">
        <v>26</v>
      </c>
      <c r="D65" t="s">
        <v>57</v>
      </c>
      <c r="E65" t="s">
        <v>184</v>
      </c>
      <c r="F65" t="s">
        <v>21</v>
      </c>
      <c r="G65" t="s">
        <v>185</v>
      </c>
      <c r="H65" t="s">
        <v>11</v>
      </c>
      <c r="I65" t="s">
        <v>7</v>
      </c>
      <c r="J65" t="s">
        <v>37</v>
      </c>
      <c r="K65" t="s">
        <v>58</v>
      </c>
      <c r="L65" t="s">
        <v>38</v>
      </c>
      <c r="M65">
        <v>1</v>
      </c>
    </row>
    <row r="66" spans="1:13" x14ac:dyDescent="0.25">
      <c r="A66" s="2">
        <v>46260</v>
      </c>
      <c r="B66" s="1" t="str">
        <f ca="1">IF(Información1[[#This Row],[Fecha]]='Ajuste de fechas'!$A$2,"Día actual","Día anterior")</f>
        <v>Día anterior</v>
      </c>
      <c r="C66" t="s">
        <v>70</v>
      </c>
      <c r="D66" t="s">
        <v>71</v>
      </c>
      <c r="E66" t="s">
        <v>186</v>
      </c>
      <c r="F66" t="s">
        <v>20</v>
      </c>
      <c r="G66" t="s">
        <v>187</v>
      </c>
      <c r="H66" t="s">
        <v>11</v>
      </c>
      <c r="I66" t="s">
        <v>23</v>
      </c>
      <c r="J66" t="s">
        <v>42</v>
      </c>
      <c r="K66" t="s">
        <v>9</v>
      </c>
      <c r="L66" t="s">
        <v>39</v>
      </c>
      <c r="M66">
        <v>1</v>
      </c>
    </row>
    <row r="67" spans="1:13" x14ac:dyDescent="0.25">
      <c r="A67" s="2">
        <v>46260</v>
      </c>
      <c r="B67" s="1" t="str">
        <f ca="1">IF(Información1[[#This Row],[Fecha]]='Ajuste de fechas'!$A$2,"Día actual","Día anterior")</f>
        <v>Día anterior</v>
      </c>
      <c r="C67" t="s">
        <v>70</v>
      </c>
      <c r="D67" t="s">
        <v>71</v>
      </c>
      <c r="E67" t="s">
        <v>188</v>
      </c>
      <c r="F67" t="s">
        <v>19</v>
      </c>
      <c r="G67" t="s">
        <v>102</v>
      </c>
      <c r="H67" t="s">
        <v>11</v>
      </c>
      <c r="I67" t="s">
        <v>7</v>
      </c>
      <c r="J67" t="s">
        <v>37</v>
      </c>
      <c r="K67" t="s">
        <v>74</v>
      </c>
      <c r="L67" t="s">
        <v>40</v>
      </c>
      <c r="M67">
        <v>1</v>
      </c>
    </row>
    <row r="68" spans="1:13" x14ac:dyDescent="0.25">
      <c r="A68" s="2">
        <v>46260</v>
      </c>
      <c r="B68" s="1" t="str">
        <f ca="1">IF(Información1[[#This Row],[Fecha]]='Ajuste de fechas'!$A$2,"Día actual","Día anterior")</f>
        <v>Día anterior</v>
      </c>
      <c r="C68" t="s">
        <v>70</v>
      </c>
      <c r="D68" t="s">
        <v>71</v>
      </c>
      <c r="E68" t="s">
        <v>189</v>
      </c>
      <c r="F68" t="s">
        <v>24</v>
      </c>
      <c r="G68" t="s">
        <v>150</v>
      </c>
      <c r="H68" t="s">
        <v>11</v>
      </c>
      <c r="I68" t="s">
        <v>7</v>
      </c>
      <c r="J68" t="s">
        <v>37</v>
      </c>
      <c r="K68" t="s">
        <v>73</v>
      </c>
      <c r="L68" t="s">
        <v>38</v>
      </c>
      <c r="M68">
        <v>1</v>
      </c>
    </row>
    <row r="69" spans="1:13" x14ac:dyDescent="0.25">
      <c r="A69" s="2">
        <v>46260</v>
      </c>
      <c r="B69" s="1" t="str">
        <f ca="1">IF(Información1[[#This Row],[Fecha]]='Ajuste de fechas'!$A$2,"Día actual","Día anterior")</f>
        <v>Día anterior</v>
      </c>
      <c r="C69" t="s">
        <v>70</v>
      </c>
      <c r="D69" t="s">
        <v>71</v>
      </c>
      <c r="E69" t="s">
        <v>190</v>
      </c>
      <c r="F69" t="s">
        <v>17</v>
      </c>
      <c r="G69" t="s">
        <v>191</v>
      </c>
      <c r="H69" t="s">
        <v>11</v>
      </c>
      <c r="I69" t="s">
        <v>23</v>
      </c>
      <c r="J69" t="s">
        <v>41</v>
      </c>
      <c r="K69" t="s">
        <v>9</v>
      </c>
      <c r="L69" t="s">
        <v>39</v>
      </c>
      <c r="M69">
        <v>1</v>
      </c>
    </row>
    <row r="70" spans="1:13" x14ac:dyDescent="0.25">
      <c r="A70" s="2">
        <v>46260</v>
      </c>
      <c r="B70" s="1" t="str">
        <f ca="1">IF(Información1[[#This Row],[Fecha]]='Ajuste de fechas'!$A$2,"Día actual","Día anterior")</f>
        <v>Día anterior</v>
      </c>
      <c r="C70" t="s">
        <v>70</v>
      </c>
      <c r="D70" t="s">
        <v>71</v>
      </c>
      <c r="E70" t="s">
        <v>108</v>
      </c>
      <c r="F70" t="s">
        <v>24</v>
      </c>
      <c r="G70" t="s">
        <v>91</v>
      </c>
      <c r="H70" t="s">
        <v>11</v>
      </c>
      <c r="I70" t="s">
        <v>7</v>
      </c>
      <c r="J70" t="s">
        <v>37</v>
      </c>
      <c r="K70" t="s">
        <v>73</v>
      </c>
      <c r="L70" t="s">
        <v>40</v>
      </c>
      <c r="M70">
        <v>1</v>
      </c>
    </row>
    <row r="71" spans="1:13" x14ac:dyDescent="0.25">
      <c r="A71" s="2">
        <v>46260</v>
      </c>
      <c r="B71" s="1" t="str">
        <f ca="1">IF(Información1[[#This Row],[Fecha]]='Ajuste de fechas'!$A$2,"Día actual","Día anterior")</f>
        <v>Día anterior</v>
      </c>
      <c r="C71" t="s">
        <v>70</v>
      </c>
      <c r="D71" t="s">
        <v>71</v>
      </c>
      <c r="E71" t="s">
        <v>192</v>
      </c>
      <c r="F71" t="s">
        <v>21</v>
      </c>
      <c r="G71" t="s">
        <v>83</v>
      </c>
      <c r="H71" t="s">
        <v>11</v>
      </c>
      <c r="I71" t="s">
        <v>7</v>
      </c>
      <c r="J71" t="s">
        <v>37</v>
      </c>
      <c r="K71" t="s">
        <v>73</v>
      </c>
      <c r="L71" t="s">
        <v>38</v>
      </c>
      <c r="M71">
        <v>1</v>
      </c>
    </row>
    <row r="72" spans="1:13" x14ac:dyDescent="0.25">
      <c r="A72" s="2">
        <v>46260</v>
      </c>
      <c r="B72" s="1" t="str">
        <f ca="1">IF(Información1[[#This Row],[Fecha]]='Ajuste de fechas'!$A$2,"Día actual","Día anterior")</f>
        <v>Día anterior</v>
      </c>
      <c r="C72" t="s">
        <v>70</v>
      </c>
      <c r="D72" t="s">
        <v>71</v>
      </c>
      <c r="E72" t="s">
        <v>193</v>
      </c>
      <c r="F72" t="s">
        <v>21</v>
      </c>
      <c r="G72" t="s">
        <v>194</v>
      </c>
      <c r="H72" t="s">
        <v>11</v>
      </c>
      <c r="I72" t="s">
        <v>23</v>
      </c>
      <c r="J72" t="s">
        <v>37</v>
      </c>
      <c r="K72" t="s">
        <v>73</v>
      </c>
      <c r="L72" t="s">
        <v>39</v>
      </c>
      <c r="M72">
        <v>1</v>
      </c>
    </row>
    <row r="73" spans="1:13" x14ac:dyDescent="0.25">
      <c r="A73" s="2">
        <v>46260</v>
      </c>
      <c r="B73" s="1" t="str">
        <f ca="1">IF(Información1[[#This Row],[Fecha]]='Ajuste de fechas'!$A$2,"Día actual","Día anterior")</f>
        <v>Día anterior</v>
      </c>
      <c r="C73" t="s">
        <v>70</v>
      </c>
      <c r="D73" t="s">
        <v>71</v>
      </c>
      <c r="E73" t="s">
        <v>195</v>
      </c>
      <c r="F73" t="s">
        <v>21</v>
      </c>
      <c r="G73" t="s">
        <v>196</v>
      </c>
      <c r="H73" t="s">
        <v>11</v>
      </c>
      <c r="I73" t="s">
        <v>7</v>
      </c>
      <c r="J73" t="s">
        <v>37</v>
      </c>
      <c r="K73" t="s">
        <v>73</v>
      </c>
      <c r="L73" t="s">
        <v>38</v>
      </c>
      <c r="M73">
        <v>1</v>
      </c>
    </row>
    <row r="74" spans="1:13" x14ac:dyDescent="0.25">
      <c r="A74" s="2">
        <v>46260</v>
      </c>
      <c r="B74" s="1" t="str">
        <f ca="1">IF(Información1[[#This Row],[Fecha]]='Ajuste de fechas'!$A$2,"Día actual","Día anterior")</f>
        <v>Día anterior</v>
      </c>
      <c r="C74" t="s">
        <v>70</v>
      </c>
      <c r="D74" t="s">
        <v>71</v>
      </c>
      <c r="E74" t="s">
        <v>197</v>
      </c>
      <c r="F74" t="s">
        <v>65</v>
      </c>
      <c r="G74" t="s">
        <v>198</v>
      </c>
      <c r="H74" t="s">
        <v>11</v>
      </c>
      <c r="I74" t="s">
        <v>7</v>
      </c>
      <c r="J74" t="s">
        <v>37</v>
      </c>
      <c r="K74" t="s">
        <v>199</v>
      </c>
      <c r="L74" t="s">
        <v>38</v>
      </c>
      <c r="M74">
        <v>1</v>
      </c>
    </row>
    <row r="75" spans="1:13" x14ac:dyDescent="0.25">
      <c r="A75" s="2">
        <v>46260</v>
      </c>
      <c r="B75" s="1" t="str">
        <f ca="1">IF(Información1[[#This Row],[Fecha]]='Ajuste de fechas'!$A$2,"Día actual","Día anterior")</f>
        <v>Día anterior</v>
      </c>
      <c r="C75" t="s">
        <v>70</v>
      </c>
      <c r="D75" t="s">
        <v>71</v>
      </c>
      <c r="E75" t="s">
        <v>200</v>
      </c>
      <c r="F75" t="s">
        <v>51</v>
      </c>
      <c r="G75" t="s">
        <v>201</v>
      </c>
      <c r="H75" t="s">
        <v>11</v>
      </c>
      <c r="I75" t="s">
        <v>23</v>
      </c>
      <c r="J75" t="s">
        <v>22</v>
      </c>
      <c r="K75" t="s">
        <v>74</v>
      </c>
      <c r="L75" t="s">
        <v>38</v>
      </c>
      <c r="M75">
        <v>1</v>
      </c>
    </row>
    <row r="76" spans="1:13" x14ac:dyDescent="0.25">
      <c r="A76" s="2">
        <v>46260</v>
      </c>
      <c r="B76" s="1" t="str">
        <f ca="1">IF(Información1[[#This Row],[Fecha]]='Ajuste de fechas'!$A$2,"Día actual","Día anterior")</f>
        <v>Día anterior</v>
      </c>
      <c r="C76" t="s">
        <v>70</v>
      </c>
      <c r="D76" t="s">
        <v>71</v>
      </c>
      <c r="E76" t="s">
        <v>202</v>
      </c>
      <c r="F76" t="s">
        <v>203</v>
      </c>
      <c r="G76" t="s">
        <v>79</v>
      </c>
      <c r="H76" t="s">
        <v>11</v>
      </c>
      <c r="I76" t="s">
        <v>7</v>
      </c>
      <c r="J76" t="s">
        <v>22</v>
      </c>
      <c r="K76" t="s">
        <v>73</v>
      </c>
      <c r="L76" t="s">
        <v>38</v>
      </c>
      <c r="M76">
        <v>1</v>
      </c>
    </row>
    <row r="77" spans="1:13" x14ac:dyDescent="0.25">
      <c r="A77" s="2">
        <v>46260</v>
      </c>
      <c r="B77" s="1" t="str">
        <f ca="1">IF(Información1[[#This Row],[Fecha]]='Ajuste de fechas'!$A$2,"Día actual","Día anterior")</f>
        <v>Día anterior</v>
      </c>
      <c r="C77" t="s">
        <v>70</v>
      </c>
      <c r="D77" t="s">
        <v>71</v>
      </c>
      <c r="E77" t="s">
        <v>204</v>
      </c>
      <c r="F77" t="s">
        <v>20</v>
      </c>
      <c r="G77" t="s">
        <v>205</v>
      </c>
      <c r="H77" t="s">
        <v>11</v>
      </c>
      <c r="I77" t="s">
        <v>7</v>
      </c>
      <c r="J77" t="s">
        <v>42</v>
      </c>
      <c r="K77" t="s">
        <v>73</v>
      </c>
      <c r="L77" t="s">
        <v>38</v>
      </c>
      <c r="M77">
        <v>1</v>
      </c>
    </row>
    <row r="78" spans="1:13" x14ac:dyDescent="0.25">
      <c r="A78" s="2">
        <v>46260</v>
      </c>
      <c r="B78" s="1" t="str">
        <f ca="1">IF(Información1[[#This Row],[Fecha]]='Ajuste de fechas'!$A$2,"Día actual","Día anterior")</f>
        <v>Día anterior</v>
      </c>
      <c r="C78" t="s">
        <v>70</v>
      </c>
      <c r="D78" t="s">
        <v>71</v>
      </c>
      <c r="E78" t="s">
        <v>206</v>
      </c>
      <c r="F78" t="s">
        <v>179</v>
      </c>
      <c r="G78" t="s">
        <v>180</v>
      </c>
      <c r="H78" t="s">
        <v>11</v>
      </c>
      <c r="I78" t="s">
        <v>12</v>
      </c>
      <c r="J78" t="s">
        <v>37</v>
      </c>
      <c r="K78" t="s">
        <v>74</v>
      </c>
      <c r="L78" t="s">
        <v>38</v>
      </c>
      <c r="M78">
        <v>1</v>
      </c>
    </row>
    <row r="79" spans="1:13" x14ac:dyDescent="0.25">
      <c r="A79" s="2">
        <v>46260</v>
      </c>
      <c r="B79" s="1" t="str">
        <f ca="1">IF(Información1[[#This Row],[Fecha]]='Ajuste de fechas'!$A$2,"Día actual","Día anterior")</f>
        <v>Día anterior</v>
      </c>
      <c r="C79" t="s">
        <v>70</v>
      </c>
      <c r="D79" t="s">
        <v>71</v>
      </c>
      <c r="E79" t="s">
        <v>207</v>
      </c>
      <c r="F79" t="s">
        <v>17</v>
      </c>
      <c r="G79" t="s">
        <v>148</v>
      </c>
      <c r="H79" t="s">
        <v>11</v>
      </c>
      <c r="I79" t="s">
        <v>12</v>
      </c>
      <c r="J79" t="s">
        <v>41</v>
      </c>
      <c r="K79" t="s">
        <v>74</v>
      </c>
      <c r="L79" t="s">
        <v>38</v>
      </c>
      <c r="M79">
        <v>1</v>
      </c>
    </row>
    <row r="80" spans="1:13" x14ac:dyDescent="0.25">
      <c r="A80" s="2">
        <v>46260</v>
      </c>
      <c r="B80" s="1" t="str">
        <f ca="1">IF(Información1[[#This Row],[Fecha]]='Ajuste de fechas'!$A$2,"Día actual","Día anterior")</f>
        <v>Día anterior</v>
      </c>
      <c r="C80" t="s">
        <v>70</v>
      </c>
      <c r="D80" t="s">
        <v>71</v>
      </c>
      <c r="E80" t="s">
        <v>208</v>
      </c>
      <c r="F80" t="s">
        <v>17</v>
      </c>
      <c r="G80" t="s">
        <v>209</v>
      </c>
      <c r="H80" t="s">
        <v>11</v>
      </c>
      <c r="I80" t="s">
        <v>7</v>
      </c>
      <c r="J80" t="s">
        <v>41</v>
      </c>
      <c r="K80" t="s">
        <v>73</v>
      </c>
      <c r="L80" t="s">
        <v>38</v>
      </c>
      <c r="M80">
        <v>1</v>
      </c>
    </row>
    <row r="81" spans="1:13" x14ac:dyDescent="0.25">
      <c r="A81" s="2">
        <v>46260</v>
      </c>
      <c r="B81" s="1" t="str">
        <f ca="1">IF(Información1[[#This Row],[Fecha]]='Ajuste de fechas'!$A$2,"Día actual","Día anterior")</f>
        <v>Día anterior</v>
      </c>
      <c r="C81" t="s">
        <v>70</v>
      </c>
      <c r="D81" t="s">
        <v>71</v>
      </c>
      <c r="E81" t="s">
        <v>76</v>
      </c>
      <c r="F81" t="s">
        <v>17</v>
      </c>
      <c r="G81" t="s">
        <v>77</v>
      </c>
      <c r="H81" t="s">
        <v>11</v>
      </c>
      <c r="I81" t="s">
        <v>7</v>
      </c>
      <c r="J81" t="s">
        <v>41</v>
      </c>
      <c r="K81" t="s">
        <v>75</v>
      </c>
      <c r="L81" t="s">
        <v>78</v>
      </c>
      <c r="M81">
        <v>1</v>
      </c>
    </row>
    <row r="82" spans="1:13" x14ac:dyDescent="0.25">
      <c r="A82" s="2">
        <v>46260</v>
      </c>
      <c r="B82" s="1" t="str">
        <f ca="1">IF(Información1[[#This Row],[Fecha]]='Ajuste de fechas'!$A$2,"Día actual","Día anterior")</f>
        <v>Día anterior</v>
      </c>
      <c r="C82" t="s">
        <v>70</v>
      </c>
      <c r="D82" t="s">
        <v>71</v>
      </c>
      <c r="E82" t="s">
        <v>210</v>
      </c>
      <c r="F82" t="s">
        <v>20</v>
      </c>
      <c r="G82" t="s">
        <v>211</v>
      </c>
      <c r="H82" t="s">
        <v>11</v>
      </c>
      <c r="I82" t="s">
        <v>7</v>
      </c>
      <c r="J82" t="s">
        <v>42</v>
      </c>
      <c r="K82" t="s">
        <v>74</v>
      </c>
      <c r="L82" t="s">
        <v>38</v>
      </c>
      <c r="M82">
        <v>1</v>
      </c>
    </row>
    <row r="83" spans="1:13" x14ac:dyDescent="0.25">
      <c r="A83" s="2">
        <v>46260</v>
      </c>
      <c r="B83" s="1" t="str">
        <f ca="1">IF(Información1[[#This Row],[Fecha]]='Ajuste de fechas'!$A$2,"Día actual","Día anterior")</f>
        <v>Día anterior</v>
      </c>
      <c r="C83" t="s">
        <v>70</v>
      </c>
      <c r="D83" t="s">
        <v>71</v>
      </c>
      <c r="E83" t="s">
        <v>212</v>
      </c>
      <c r="F83" t="s">
        <v>17</v>
      </c>
      <c r="G83" t="s">
        <v>80</v>
      </c>
      <c r="H83" t="s">
        <v>11</v>
      </c>
      <c r="I83" t="s">
        <v>7</v>
      </c>
      <c r="J83" t="s">
        <v>41</v>
      </c>
      <c r="K83" t="s">
        <v>74</v>
      </c>
      <c r="L83" t="s">
        <v>38</v>
      </c>
      <c r="M83">
        <v>1</v>
      </c>
    </row>
    <row r="84" spans="1:13" x14ac:dyDescent="0.25">
      <c r="A84" s="2">
        <v>46260</v>
      </c>
      <c r="B84" s="1" t="str">
        <f ca="1">IF(Información1[[#This Row],[Fecha]]='Ajuste de fechas'!$A$2,"Día actual","Día anterior")</f>
        <v>Día anterior</v>
      </c>
      <c r="C84" t="s">
        <v>70</v>
      </c>
      <c r="D84" t="s">
        <v>71</v>
      </c>
      <c r="E84" t="s">
        <v>213</v>
      </c>
      <c r="F84" t="s">
        <v>20</v>
      </c>
      <c r="G84" t="s">
        <v>214</v>
      </c>
      <c r="H84" t="s">
        <v>11</v>
      </c>
      <c r="I84" t="s">
        <v>7</v>
      </c>
      <c r="J84" t="s">
        <v>42</v>
      </c>
      <c r="K84" t="s">
        <v>199</v>
      </c>
      <c r="L84" t="s">
        <v>38</v>
      </c>
      <c r="M84">
        <v>1</v>
      </c>
    </row>
    <row r="85" spans="1:13" x14ac:dyDescent="0.25">
      <c r="A85" s="2">
        <v>46260</v>
      </c>
      <c r="B85" s="1" t="str">
        <f ca="1">IF(Información1[[#This Row],[Fecha]]='Ajuste de fechas'!$A$2,"Día actual","Día anterior")</f>
        <v>Día anterior</v>
      </c>
      <c r="C85" t="s">
        <v>27</v>
      </c>
      <c r="D85" t="s">
        <v>28</v>
      </c>
      <c r="E85" t="s">
        <v>215</v>
      </c>
      <c r="F85" t="s">
        <v>29</v>
      </c>
      <c r="G85" t="s">
        <v>216</v>
      </c>
      <c r="H85" t="s">
        <v>53</v>
      </c>
      <c r="I85" t="s">
        <v>7</v>
      </c>
      <c r="J85" t="s">
        <v>37</v>
      </c>
      <c r="K85" t="s">
        <v>25</v>
      </c>
      <c r="L85" t="s">
        <v>38</v>
      </c>
      <c r="M85">
        <v>1</v>
      </c>
    </row>
    <row r="86" spans="1:13" x14ac:dyDescent="0.25">
      <c r="A86" s="2">
        <v>46260</v>
      </c>
      <c r="B86" s="1" t="str">
        <f ca="1">IF(Información1[[#This Row],[Fecha]]='Ajuste de fechas'!$A$2,"Día actual","Día anterior")</f>
        <v>Día anterior</v>
      </c>
      <c r="C86" t="s">
        <v>27</v>
      </c>
      <c r="D86" t="s">
        <v>28</v>
      </c>
      <c r="E86" t="s">
        <v>217</v>
      </c>
      <c r="F86" t="s">
        <v>17</v>
      </c>
      <c r="G86" t="s">
        <v>77</v>
      </c>
      <c r="H86" t="s">
        <v>53</v>
      </c>
      <c r="I86" t="s">
        <v>7</v>
      </c>
      <c r="J86" t="s">
        <v>41</v>
      </c>
      <c r="K86" t="s">
        <v>67</v>
      </c>
      <c r="L86" t="s">
        <v>38</v>
      </c>
      <c r="M86">
        <v>1</v>
      </c>
    </row>
    <row r="87" spans="1:13" x14ac:dyDescent="0.25">
      <c r="A87" s="2">
        <v>46260</v>
      </c>
      <c r="B87" s="1" t="str">
        <f ca="1">IF(Información1[[#This Row],[Fecha]]='Ajuste de fechas'!$A$2,"Día actual","Día anterior")</f>
        <v>Día anterior</v>
      </c>
      <c r="C87" t="s">
        <v>27</v>
      </c>
      <c r="D87" t="s">
        <v>28</v>
      </c>
      <c r="E87" t="s">
        <v>218</v>
      </c>
      <c r="F87" t="s">
        <v>24</v>
      </c>
      <c r="G87" t="s">
        <v>219</v>
      </c>
      <c r="H87" t="s">
        <v>53</v>
      </c>
      <c r="I87" t="s">
        <v>7</v>
      </c>
      <c r="J87" t="s">
        <v>37</v>
      </c>
      <c r="K87" t="s">
        <v>67</v>
      </c>
      <c r="L87" t="s">
        <v>38</v>
      </c>
      <c r="M87">
        <v>1</v>
      </c>
    </row>
    <row r="88" spans="1:13" x14ac:dyDescent="0.25">
      <c r="A88" s="2">
        <v>46260</v>
      </c>
      <c r="B88" s="1" t="str">
        <f ca="1">IF(Información1[[#This Row],[Fecha]]='Ajuste de fechas'!$A$2,"Día actual","Día anterior")</f>
        <v>Día anterior</v>
      </c>
      <c r="C88" t="s">
        <v>27</v>
      </c>
      <c r="D88" t="s">
        <v>28</v>
      </c>
      <c r="E88" t="s">
        <v>220</v>
      </c>
      <c r="F88" t="s">
        <v>17</v>
      </c>
      <c r="G88" t="s">
        <v>221</v>
      </c>
      <c r="H88" t="s">
        <v>53</v>
      </c>
      <c r="I88" t="s">
        <v>7</v>
      </c>
      <c r="J88" t="s">
        <v>41</v>
      </c>
      <c r="K88" t="s">
        <v>222</v>
      </c>
      <c r="L88" t="s">
        <v>78</v>
      </c>
      <c r="M88">
        <v>1</v>
      </c>
    </row>
    <row r="89" spans="1:13" x14ac:dyDescent="0.25">
      <c r="A89" s="2">
        <v>46260</v>
      </c>
      <c r="B89" s="1" t="str">
        <f ca="1">IF(Información1[[#This Row],[Fecha]]='Ajuste de fechas'!$A$2,"Día actual","Día anterior")</f>
        <v>Día anterior</v>
      </c>
      <c r="C89" t="s">
        <v>27</v>
      </c>
      <c r="D89" t="s">
        <v>28</v>
      </c>
      <c r="E89" t="s">
        <v>223</v>
      </c>
      <c r="F89" t="s">
        <v>20</v>
      </c>
      <c r="G89" t="s">
        <v>224</v>
      </c>
      <c r="H89" t="s">
        <v>53</v>
      </c>
      <c r="I89" t="s">
        <v>7</v>
      </c>
      <c r="J89" t="s">
        <v>42</v>
      </c>
      <c r="K89" t="s">
        <v>25</v>
      </c>
      <c r="L89" t="s">
        <v>39</v>
      </c>
      <c r="M89">
        <v>1</v>
      </c>
    </row>
    <row r="90" spans="1:13" x14ac:dyDescent="0.25">
      <c r="A90" s="2">
        <v>46260</v>
      </c>
      <c r="B90" s="1" t="str">
        <f ca="1">IF(Información1[[#This Row],[Fecha]]='Ajuste de fechas'!$A$2,"Día actual","Día anterior")</f>
        <v>Día anterior</v>
      </c>
      <c r="C90" t="s">
        <v>27</v>
      </c>
      <c r="D90" t="s">
        <v>28</v>
      </c>
      <c r="E90" t="s">
        <v>225</v>
      </c>
      <c r="F90" t="s">
        <v>51</v>
      </c>
      <c r="G90" t="s">
        <v>226</v>
      </c>
      <c r="H90" t="s">
        <v>53</v>
      </c>
      <c r="I90" t="s">
        <v>7</v>
      </c>
      <c r="J90" t="s">
        <v>22</v>
      </c>
      <c r="K90" t="s">
        <v>25</v>
      </c>
      <c r="L90" t="s">
        <v>39</v>
      </c>
      <c r="M90">
        <v>1</v>
      </c>
    </row>
    <row r="91" spans="1:13" x14ac:dyDescent="0.25">
      <c r="A91" s="2">
        <v>46260</v>
      </c>
      <c r="B91" s="1" t="str">
        <f ca="1">IF(Información1[[#This Row],[Fecha]]='Ajuste de fechas'!$A$2,"Día actual","Día anterior")</f>
        <v>Día anterior</v>
      </c>
      <c r="C91" t="s">
        <v>27</v>
      </c>
      <c r="D91" t="s">
        <v>28</v>
      </c>
      <c r="E91" t="s">
        <v>227</v>
      </c>
      <c r="F91" t="s">
        <v>21</v>
      </c>
      <c r="G91" t="s">
        <v>228</v>
      </c>
      <c r="H91" t="s">
        <v>53</v>
      </c>
      <c r="I91" t="s">
        <v>7</v>
      </c>
      <c r="J91" t="s">
        <v>37</v>
      </c>
      <c r="K91" t="s">
        <v>67</v>
      </c>
      <c r="L91" t="s">
        <v>38</v>
      </c>
      <c r="M91">
        <v>1</v>
      </c>
    </row>
    <row r="92" spans="1:13" x14ac:dyDescent="0.25">
      <c r="A92" s="2">
        <v>46260</v>
      </c>
      <c r="B92" s="1" t="str">
        <f ca="1">IF(Información1[[#This Row],[Fecha]]='Ajuste de fechas'!$A$2,"Día actual","Día anterior")</f>
        <v>Día anterior</v>
      </c>
      <c r="C92" t="s">
        <v>27</v>
      </c>
      <c r="D92" t="s">
        <v>28</v>
      </c>
      <c r="E92" t="s">
        <v>229</v>
      </c>
      <c r="F92" t="s">
        <v>17</v>
      </c>
      <c r="G92" t="s">
        <v>230</v>
      </c>
      <c r="H92" t="s">
        <v>53</v>
      </c>
      <c r="I92" t="s">
        <v>7</v>
      </c>
      <c r="J92" t="s">
        <v>41</v>
      </c>
      <c r="K92" t="s">
        <v>25</v>
      </c>
      <c r="L92" t="s">
        <v>39</v>
      </c>
      <c r="M92">
        <v>1</v>
      </c>
    </row>
    <row r="93" spans="1:13" x14ac:dyDescent="0.25">
      <c r="A93" s="2">
        <v>46260</v>
      </c>
      <c r="B93" s="1" t="str">
        <f ca="1">IF(Información1[[#This Row],[Fecha]]='Ajuste de fechas'!$A$2,"Día actual","Día anterior")</f>
        <v>Día anterior</v>
      </c>
      <c r="C93" t="s">
        <v>27</v>
      </c>
      <c r="D93" t="s">
        <v>28</v>
      </c>
      <c r="E93" t="s">
        <v>231</v>
      </c>
      <c r="F93" t="s">
        <v>21</v>
      </c>
      <c r="G93" t="s">
        <v>100</v>
      </c>
      <c r="H93" t="s">
        <v>53</v>
      </c>
      <c r="I93" t="s">
        <v>7</v>
      </c>
      <c r="J93" t="s">
        <v>37</v>
      </c>
      <c r="K93" t="s">
        <v>25</v>
      </c>
      <c r="L93" t="s">
        <v>38</v>
      </c>
      <c r="M93">
        <v>1</v>
      </c>
    </row>
    <row r="94" spans="1:13" x14ac:dyDescent="0.25">
      <c r="A94" s="2">
        <v>46260</v>
      </c>
      <c r="B94" s="1" t="str">
        <f ca="1">IF(Información1[[#This Row],[Fecha]]='Ajuste de fechas'!$A$2,"Día actual","Día anterior")</f>
        <v>Día anterior</v>
      </c>
      <c r="C94" t="s">
        <v>27</v>
      </c>
      <c r="D94" t="s">
        <v>28</v>
      </c>
      <c r="E94" t="s">
        <v>232</v>
      </c>
      <c r="F94" t="s">
        <v>17</v>
      </c>
      <c r="G94" t="s">
        <v>233</v>
      </c>
      <c r="H94" t="s">
        <v>53</v>
      </c>
      <c r="I94" t="s">
        <v>7</v>
      </c>
      <c r="J94" t="s">
        <v>41</v>
      </c>
      <c r="K94" t="s">
        <v>25</v>
      </c>
      <c r="L94" t="s">
        <v>38</v>
      </c>
      <c r="M94">
        <v>1</v>
      </c>
    </row>
    <row r="95" spans="1:13" x14ac:dyDescent="0.25">
      <c r="A95" s="2">
        <v>46260</v>
      </c>
      <c r="B95" s="1" t="str">
        <f ca="1">IF(Información1[[#This Row],[Fecha]]='Ajuste de fechas'!$A$2,"Día actual","Día anterior")</f>
        <v>Día anterior</v>
      </c>
      <c r="C95" t="s">
        <v>27</v>
      </c>
      <c r="D95" t="s">
        <v>28</v>
      </c>
      <c r="E95" t="s">
        <v>234</v>
      </c>
      <c r="F95" t="s">
        <v>24</v>
      </c>
      <c r="G95" t="s">
        <v>150</v>
      </c>
      <c r="H95" t="s">
        <v>53</v>
      </c>
      <c r="I95" t="s">
        <v>7</v>
      </c>
      <c r="J95" t="s">
        <v>37</v>
      </c>
      <c r="K95" t="s">
        <v>25</v>
      </c>
      <c r="L95" t="s">
        <v>40</v>
      </c>
      <c r="M95">
        <v>1</v>
      </c>
    </row>
    <row r="96" spans="1:13" x14ac:dyDescent="0.25">
      <c r="A96" s="2">
        <v>46260</v>
      </c>
      <c r="B96" s="1" t="str">
        <f ca="1">IF(Información1[[#This Row],[Fecha]]='Ajuste de fechas'!$A$2,"Día actual","Día anterior")</f>
        <v>Día anterior</v>
      </c>
      <c r="C96" t="s">
        <v>27</v>
      </c>
      <c r="D96" t="s">
        <v>28</v>
      </c>
      <c r="E96" t="s">
        <v>235</v>
      </c>
      <c r="F96" t="s">
        <v>24</v>
      </c>
      <c r="G96" t="s">
        <v>91</v>
      </c>
      <c r="H96" t="s">
        <v>53</v>
      </c>
      <c r="I96" t="s">
        <v>7</v>
      </c>
      <c r="J96" t="s">
        <v>37</v>
      </c>
      <c r="K96" t="s">
        <v>25</v>
      </c>
      <c r="L96" t="s">
        <v>40</v>
      </c>
      <c r="M96">
        <v>1</v>
      </c>
    </row>
    <row r="97" spans="1:13" x14ac:dyDescent="0.25">
      <c r="A97" s="2">
        <v>46261</v>
      </c>
      <c r="B97" s="1" t="str">
        <f ca="1">IF(Información1[[#This Row],[Fecha]]='Ajuste de fechas'!$A$2,"Día actual","Día anterior")</f>
        <v>Día actual</v>
      </c>
      <c r="C97" t="s">
        <v>26</v>
      </c>
      <c r="D97" t="s">
        <v>236</v>
      </c>
      <c r="E97" t="s">
        <v>237</v>
      </c>
      <c r="F97" t="s">
        <v>24</v>
      </c>
      <c r="G97" t="s">
        <v>238</v>
      </c>
      <c r="H97" t="s">
        <v>11</v>
      </c>
      <c r="I97" t="s">
        <v>7</v>
      </c>
      <c r="J97" t="s">
        <v>37</v>
      </c>
      <c r="K97" t="s">
        <v>239</v>
      </c>
      <c r="L97" t="s">
        <v>38</v>
      </c>
      <c r="M97">
        <v>1</v>
      </c>
    </row>
    <row r="98" spans="1:13" x14ac:dyDescent="0.25">
      <c r="A98" s="2">
        <v>46261</v>
      </c>
      <c r="B98" s="1" t="str">
        <f ca="1">IF(Información1[[#This Row],[Fecha]]='Ajuste de fechas'!$A$2,"Día actual","Día anterior")</f>
        <v>Día actual</v>
      </c>
      <c r="C98" t="s">
        <v>26</v>
      </c>
      <c r="D98" t="s">
        <v>236</v>
      </c>
      <c r="E98" t="s">
        <v>240</v>
      </c>
      <c r="F98" t="s">
        <v>21</v>
      </c>
      <c r="G98" t="s">
        <v>241</v>
      </c>
      <c r="H98" t="s">
        <v>11</v>
      </c>
      <c r="I98" t="s">
        <v>7</v>
      </c>
      <c r="J98" t="s">
        <v>37</v>
      </c>
      <c r="K98" t="s">
        <v>239</v>
      </c>
      <c r="L98" t="s">
        <v>38</v>
      </c>
      <c r="M98">
        <v>1</v>
      </c>
    </row>
    <row r="99" spans="1:13" x14ac:dyDescent="0.25">
      <c r="A99" s="2">
        <v>46261</v>
      </c>
      <c r="B99" s="1" t="str">
        <f ca="1">IF(Información1[[#This Row],[Fecha]]='Ajuste de fechas'!$A$2,"Día actual","Día anterior")</f>
        <v>Día actual</v>
      </c>
      <c r="C99" t="s">
        <v>26</v>
      </c>
      <c r="D99" t="s">
        <v>236</v>
      </c>
      <c r="E99" t="s">
        <v>240</v>
      </c>
      <c r="F99" t="s">
        <v>21</v>
      </c>
      <c r="G99" t="s">
        <v>196</v>
      </c>
      <c r="H99" t="s">
        <v>11</v>
      </c>
      <c r="I99" t="s">
        <v>7</v>
      </c>
      <c r="J99" t="s">
        <v>37</v>
      </c>
      <c r="K99" t="s">
        <v>239</v>
      </c>
      <c r="L99" t="s">
        <v>38</v>
      </c>
      <c r="M99">
        <v>1</v>
      </c>
    </row>
    <row r="100" spans="1:13" x14ac:dyDescent="0.25">
      <c r="A100" s="2">
        <v>46261</v>
      </c>
      <c r="B100" s="1" t="str">
        <f ca="1">IF(Información1[[#This Row],[Fecha]]='Ajuste de fechas'!$A$2,"Día actual","Día anterior")</f>
        <v>Día actual</v>
      </c>
      <c r="C100" t="s">
        <v>26</v>
      </c>
      <c r="D100" t="s">
        <v>236</v>
      </c>
      <c r="E100" t="s">
        <v>242</v>
      </c>
      <c r="F100" t="s">
        <v>65</v>
      </c>
      <c r="G100" t="s">
        <v>243</v>
      </c>
      <c r="H100" t="s">
        <v>11</v>
      </c>
      <c r="I100" t="s">
        <v>7</v>
      </c>
      <c r="J100" t="s">
        <v>37</v>
      </c>
      <c r="K100" t="s">
        <v>239</v>
      </c>
      <c r="L100" t="s">
        <v>38</v>
      </c>
      <c r="M100">
        <v>1</v>
      </c>
    </row>
    <row r="101" spans="1:13" x14ac:dyDescent="0.25">
      <c r="A101" s="2">
        <v>46261</v>
      </c>
      <c r="B101" s="1" t="str">
        <f ca="1">IF(Información1[[#This Row],[Fecha]]='Ajuste de fechas'!$A$2,"Día actual","Día anterior")</f>
        <v>Día actual</v>
      </c>
      <c r="C101" t="s">
        <v>26</v>
      </c>
      <c r="D101" t="s">
        <v>236</v>
      </c>
      <c r="E101" t="s">
        <v>244</v>
      </c>
      <c r="F101" t="s">
        <v>20</v>
      </c>
      <c r="G101" t="s">
        <v>72</v>
      </c>
      <c r="H101" t="s">
        <v>11</v>
      </c>
      <c r="I101" t="s">
        <v>7</v>
      </c>
      <c r="J101" t="s">
        <v>42</v>
      </c>
      <c r="K101" t="s">
        <v>239</v>
      </c>
      <c r="L101" t="s">
        <v>38</v>
      </c>
      <c r="M101">
        <v>1</v>
      </c>
    </row>
    <row r="102" spans="1:13" x14ac:dyDescent="0.25">
      <c r="A102" s="2">
        <v>46261</v>
      </c>
      <c r="B102" s="1" t="str">
        <f ca="1">IF(Información1[[#This Row],[Fecha]]='Ajuste de fechas'!$A$2,"Día actual","Día anterior")</f>
        <v>Día actual</v>
      </c>
      <c r="C102" t="s">
        <v>26</v>
      </c>
      <c r="D102" t="s">
        <v>57</v>
      </c>
      <c r="E102" t="s">
        <v>245</v>
      </c>
      <c r="F102" t="s">
        <v>21</v>
      </c>
      <c r="G102" t="s">
        <v>246</v>
      </c>
      <c r="H102" t="s">
        <v>11</v>
      </c>
      <c r="I102" t="s">
        <v>7</v>
      </c>
      <c r="J102" t="s">
        <v>37</v>
      </c>
      <c r="K102" t="s">
        <v>58</v>
      </c>
      <c r="L102" t="s">
        <v>38</v>
      </c>
      <c r="M102">
        <v>1</v>
      </c>
    </row>
    <row r="103" spans="1:13" x14ac:dyDescent="0.25">
      <c r="A103" s="2">
        <v>46261</v>
      </c>
      <c r="B103" s="1" t="str">
        <f ca="1">IF(Información1[[#This Row],[Fecha]]='Ajuste de fechas'!$A$2,"Día actual","Día anterior")</f>
        <v>Día actual</v>
      </c>
      <c r="C103" t="s">
        <v>54</v>
      </c>
      <c r="D103" t="s">
        <v>55</v>
      </c>
      <c r="E103" t="s">
        <v>247</v>
      </c>
      <c r="F103" t="s">
        <v>63</v>
      </c>
      <c r="G103" t="s">
        <v>248</v>
      </c>
      <c r="H103" t="s">
        <v>11</v>
      </c>
      <c r="I103" t="s">
        <v>7</v>
      </c>
      <c r="J103" t="s">
        <v>37</v>
      </c>
      <c r="K103" t="s">
        <v>134</v>
      </c>
      <c r="L103" t="s">
        <v>40</v>
      </c>
      <c r="M103">
        <v>1</v>
      </c>
    </row>
    <row r="104" spans="1:13" x14ac:dyDescent="0.25">
      <c r="A104" s="2">
        <v>46261</v>
      </c>
      <c r="B104" s="1" t="str">
        <f ca="1">IF(Información1[[#This Row],[Fecha]]='Ajuste de fechas'!$A$2,"Día actual","Día anterior")</f>
        <v>Día actual</v>
      </c>
      <c r="C104" t="s">
        <v>54</v>
      </c>
      <c r="D104" t="s">
        <v>55</v>
      </c>
      <c r="E104" t="s">
        <v>249</v>
      </c>
      <c r="F104" t="s">
        <v>24</v>
      </c>
      <c r="G104" t="s">
        <v>233</v>
      </c>
      <c r="H104" t="s">
        <v>11</v>
      </c>
      <c r="I104" t="s">
        <v>7</v>
      </c>
      <c r="J104" t="s">
        <v>37</v>
      </c>
      <c r="K104" t="s">
        <v>134</v>
      </c>
      <c r="L104" t="s">
        <v>40</v>
      </c>
      <c r="M104">
        <v>1</v>
      </c>
    </row>
    <row r="105" spans="1:13" x14ac:dyDescent="0.25">
      <c r="A105" s="2">
        <v>46261</v>
      </c>
      <c r="B105" s="1" t="str">
        <f ca="1">IF(Información1[[#This Row],[Fecha]]='Ajuste de fechas'!$A$2,"Día actual","Día anterior")</f>
        <v>Día actual</v>
      </c>
      <c r="C105" t="s">
        <v>54</v>
      </c>
      <c r="D105" t="s">
        <v>55</v>
      </c>
      <c r="E105" t="s">
        <v>250</v>
      </c>
      <c r="F105" t="s">
        <v>251</v>
      </c>
      <c r="G105" t="s">
        <v>252</v>
      </c>
      <c r="H105" t="s">
        <v>11</v>
      </c>
      <c r="I105" t="s">
        <v>7</v>
      </c>
      <c r="J105" t="s">
        <v>37</v>
      </c>
      <c r="K105" t="s">
        <v>134</v>
      </c>
      <c r="L105" t="s">
        <v>40</v>
      </c>
      <c r="M105">
        <v>1</v>
      </c>
    </row>
    <row r="106" spans="1:13" x14ac:dyDescent="0.25">
      <c r="A106" s="2">
        <v>46261</v>
      </c>
      <c r="B106" s="1" t="str">
        <f ca="1">IF(Información1[[#This Row],[Fecha]]='Ajuste de fechas'!$A$2,"Día actual","Día anterior")</f>
        <v>Día actual</v>
      </c>
      <c r="C106" t="s">
        <v>26</v>
      </c>
      <c r="D106" t="s">
        <v>57</v>
      </c>
      <c r="E106" t="s">
        <v>253</v>
      </c>
      <c r="F106" t="s">
        <v>17</v>
      </c>
      <c r="G106" t="s">
        <v>243</v>
      </c>
      <c r="H106" t="s">
        <v>11</v>
      </c>
      <c r="I106" t="s">
        <v>23</v>
      </c>
      <c r="J106" t="s">
        <v>41</v>
      </c>
      <c r="K106" t="s">
        <v>58</v>
      </c>
      <c r="L106" t="s">
        <v>38</v>
      </c>
      <c r="M106">
        <v>1</v>
      </c>
    </row>
    <row r="107" spans="1:13" x14ac:dyDescent="0.25">
      <c r="A107" s="2">
        <v>46261</v>
      </c>
      <c r="B107" s="1" t="str">
        <f ca="1">IF(Información1[[#This Row],[Fecha]]='Ajuste de fechas'!$A$2,"Día actual","Día anterior")</f>
        <v>Día actual</v>
      </c>
      <c r="C107" t="s">
        <v>26</v>
      </c>
      <c r="D107" t="s">
        <v>57</v>
      </c>
      <c r="E107" t="s">
        <v>254</v>
      </c>
      <c r="F107" t="s">
        <v>64</v>
      </c>
      <c r="G107" t="s">
        <v>255</v>
      </c>
      <c r="H107" t="s">
        <v>11</v>
      </c>
      <c r="I107" t="s">
        <v>7</v>
      </c>
      <c r="J107" t="s">
        <v>37</v>
      </c>
      <c r="K107" t="s">
        <v>58</v>
      </c>
      <c r="L107" t="s">
        <v>38</v>
      </c>
      <c r="M107">
        <v>1</v>
      </c>
    </row>
    <row r="108" spans="1:13" x14ac:dyDescent="0.25">
      <c r="A108" s="2">
        <v>46261</v>
      </c>
      <c r="B108" s="1" t="str">
        <f ca="1">IF(Información1[[#This Row],[Fecha]]='Ajuste de fechas'!$A$2,"Día actual","Día anterior")</f>
        <v>Día actual</v>
      </c>
      <c r="C108" t="s">
        <v>26</v>
      </c>
      <c r="D108" t="s">
        <v>57</v>
      </c>
      <c r="E108" t="s">
        <v>256</v>
      </c>
      <c r="F108" t="s">
        <v>51</v>
      </c>
      <c r="G108" t="s">
        <v>257</v>
      </c>
      <c r="H108" t="s">
        <v>11</v>
      </c>
      <c r="I108" t="s">
        <v>7</v>
      </c>
      <c r="J108" t="s">
        <v>22</v>
      </c>
      <c r="K108" t="s">
        <v>58</v>
      </c>
      <c r="L108" t="s">
        <v>38</v>
      </c>
      <c r="M108">
        <v>1</v>
      </c>
    </row>
    <row r="109" spans="1:13" x14ac:dyDescent="0.25">
      <c r="A109" s="2">
        <v>46261</v>
      </c>
      <c r="B109" s="1" t="str">
        <f ca="1">IF(Información1[[#This Row],[Fecha]]='Ajuste de fechas'!$A$2,"Día actual","Día anterior")</f>
        <v>Día actual</v>
      </c>
      <c r="C109" t="s">
        <v>26</v>
      </c>
      <c r="D109" t="s">
        <v>57</v>
      </c>
      <c r="E109" t="s">
        <v>258</v>
      </c>
      <c r="F109" t="s">
        <v>22</v>
      </c>
      <c r="G109" t="s">
        <v>259</v>
      </c>
      <c r="H109" t="s">
        <v>11</v>
      </c>
      <c r="I109" t="s">
        <v>23</v>
      </c>
      <c r="J109" t="s">
        <v>22</v>
      </c>
      <c r="K109" t="s">
        <v>58</v>
      </c>
      <c r="L109" t="s">
        <v>38</v>
      </c>
      <c r="M109">
        <v>1</v>
      </c>
    </row>
    <row r="110" spans="1:13" x14ac:dyDescent="0.25">
      <c r="A110" s="2">
        <v>46261</v>
      </c>
      <c r="B110" s="1" t="str">
        <f ca="1">IF(Información1[[#This Row],[Fecha]]='Ajuste de fechas'!$A$2,"Día actual","Día anterior")</f>
        <v>Día actual</v>
      </c>
      <c r="C110" t="s">
        <v>26</v>
      </c>
      <c r="D110" t="s">
        <v>57</v>
      </c>
      <c r="E110" t="s">
        <v>260</v>
      </c>
      <c r="F110" t="s">
        <v>19</v>
      </c>
      <c r="G110" t="s">
        <v>89</v>
      </c>
      <c r="H110" t="s">
        <v>11</v>
      </c>
      <c r="I110" t="s">
        <v>7</v>
      </c>
      <c r="J110" t="s">
        <v>37</v>
      </c>
      <c r="K110" t="s">
        <v>58</v>
      </c>
      <c r="L110" t="s">
        <v>38</v>
      </c>
      <c r="M110">
        <v>1</v>
      </c>
    </row>
    <row r="111" spans="1:13" x14ac:dyDescent="0.25">
      <c r="A111" s="2">
        <v>46261</v>
      </c>
      <c r="B111" s="1" t="str">
        <f ca="1">IF(Información1[[#This Row],[Fecha]]='Ajuste de fechas'!$A$2,"Día actual","Día anterior")</f>
        <v>Día actual</v>
      </c>
      <c r="C111" t="s">
        <v>26</v>
      </c>
      <c r="D111" t="s">
        <v>57</v>
      </c>
      <c r="E111" t="s">
        <v>261</v>
      </c>
      <c r="F111" t="s">
        <v>21</v>
      </c>
      <c r="G111" t="s">
        <v>196</v>
      </c>
      <c r="H111" t="s">
        <v>11</v>
      </c>
      <c r="I111" t="s">
        <v>7</v>
      </c>
      <c r="J111" t="s">
        <v>37</v>
      </c>
      <c r="K111" t="s">
        <v>58</v>
      </c>
      <c r="L111" t="s">
        <v>38</v>
      </c>
      <c r="M111">
        <v>1</v>
      </c>
    </row>
    <row r="112" spans="1:13" x14ac:dyDescent="0.25">
      <c r="A112" s="2">
        <v>46261</v>
      </c>
      <c r="B112" s="1" t="str">
        <f ca="1">IF(Información1[[#This Row],[Fecha]]='Ajuste de fechas'!$A$2,"Día actual","Día anterior")</f>
        <v>Día actual</v>
      </c>
      <c r="C112" t="s">
        <v>26</v>
      </c>
      <c r="D112" t="s">
        <v>57</v>
      </c>
      <c r="E112" t="s">
        <v>262</v>
      </c>
      <c r="F112" t="s">
        <v>22</v>
      </c>
      <c r="G112" t="s">
        <v>81</v>
      </c>
      <c r="H112" t="s">
        <v>11</v>
      </c>
      <c r="I112" t="s">
        <v>7</v>
      </c>
      <c r="J112" t="s">
        <v>22</v>
      </c>
      <c r="K112" t="s">
        <v>58</v>
      </c>
      <c r="L112" t="s">
        <v>38</v>
      </c>
      <c r="M112">
        <v>1</v>
      </c>
    </row>
    <row r="113" spans="1:13" x14ac:dyDescent="0.25">
      <c r="A113" s="2">
        <v>46261</v>
      </c>
      <c r="B113" s="1" t="str">
        <f ca="1">IF(Información1[[#This Row],[Fecha]]='Ajuste de fechas'!$A$2,"Día actual","Día anterior")</f>
        <v>Día actual</v>
      </c>
      <c r="C113" t="s">
        <v>26</v>
      </c>
      <c r="D113" t="s">
        <v>57</v>
      </c>
      <c r="E113" t="s">
        <v>263</v>
      </c>
      <c r="F113" t="s">
        <v>19</v>
      </c>
      <c r="G113" t="s">
        <v>264</v>
      </c>
      <c r="H113" t="s">
        <v>11</v>
      </c>
      <c r="I113" t="s">
        <v>7</v>
      </c>
      <c r="J113" t="s">
        <v>37</v>
      </c>
      <c r="K113" t="s">
        <v>58</v>
      </c>
      <c r="L113" t="s">
        <v>38</v>
      </c>
      <c r="M113">
        <v>1</v>
      </c>
    </row>
    <row r="114" spans="1:13" x14ac:dyDescent="0.25">
      <c r="A114" s="2">
        <v>46261</v>
      </c>
      <c r="B114" s="1" t="str">
        <f ca="1">IF(Información1[[#This Row],[Fecha]]='Ajuste de fechas'!$A$2,"Día actual","Día anterior")</f>
        <v>Día actual</v>
      </c>
      <c r="C114" t="s">
        <v>26</v>
      </c>
      <c r="D114" t="s">
        <v>57</v>
      </c>
      <c r="E114" t="s">
        <v>265</v>
      </c>
      <c r="F114" t="s">
        <v>21</v>
      </c>
      <c r="G114" t="s">
        <v>100</v>
      </c>
      <c r="H114" t="s">
        <v>11</v>
      </c>
      <c r="I114" t="s">
        <v>7</v>
      </c>
      <c r="J114" t="s">
        <v>37</v>
      </c>
      <c r="K114" t="s">
        <v>58</v>
      </c>
      <c r="L114" t="s">
        <v>38</v>
      </c>
      <c r="M114">
        <v>1</v>
      </c>
    </row>
    <row r="115" spans="1:13" x14ac:dyDescent="0.25">
      <c r="A115" s="2">
        <v>46261</v>
      </c>
      <c r="B115" s="1" t="str">
        <f ca="1">IF(Información1[[#This Row],[Fecha]]='Ajuste de fechas'!$A$2,"Día actual","Día anterior")</f>
        <v>Día actual</v>
      </c>
      <c r="C115" t="s">
        <v>26</v>
      </c>
      <c r="D115" t="s">
        <v>57</v>
      </c>
      <c r="E115" t="s">
        <v>266</v>
      </c>
      <c r="F115" t="s">
        <v>21</v>
      </c>
      <c r="G115" t="s">
        <v>72</v>
      </c>
      <c r="H115" t="s">
        <v>11</v>
      </c>
      <c r="I115" t="s">
        <v>7</v>
      </c>
      <c r="J115" t="s">
        <v>37</v>
      </c>
      <c r="K115" t="s">
        <v>58</v>
      </c>
      <c r="L115" t="s">
        <v>38</v>
      </c>
      <c r="M115">
        <v>1</v>
      </c>
    </row>
    <row r="116" spans="1:13" x14ac:dyDescent="0.25">
      <c r="A116" s="2">
        <v>46261</v>
      </c>
      <c r="B116" s="1" t="str">
        <f ca="1">IF(Información1[[#This Row],[Fecha]]='Ajuste de fechas'!$A$2,"Día actual","Día anterior")</f>
        <v>Día actual</v>
      </c>
      <c r="C116" t="s">
        <v>26</v>
      </c>
      <c r="D116" t="s">
        <v>57</v>
      </c>
      <c r="E116" t="s">
        <v>267</v>
      </c>
      <c r="F116" t="s">
        <v>21</v>
      </c>
      <c r="G116" t="s">
        <v>83</v>
      </c>
      <c r="H116" t="s">
        <v>11</v>
      </c>
      <c r="I116" t="s">
        <v>7</v>
      </c>
      <c r="J116" t="s">
        <v>37</v>
      </c>
      <c r="K116" t="s">
        <v>58</v>
      </c>
      <c r="L116" t="s">
        <v>38</v>
      </c>
      <c r="M116">
        <v>1</v>
      </c>
    </row>
    <row r="117" spans="1:13" x14ac:dyDescent="0.25">
      <c r="A117" s="2">
        <v>46261</v>
      </c>
      <c r="B117" s="1" t="str">
        <f ca="1">IF(Información1[[#This Row],[Fecha]]='Ajuste de fechas'!$A$2,"Día actual","Día anterior")</f>
        <v>Día actual</v>
      </c>
      <c r="C117" t="s">
        <v>26</v>
      </c>
      <c r="D117" t="s">
        <v>57</v>
      </c>
      <c r="E117" t="s">
        <v>268</v>
      </c>
      <c r="F117" t="s">
        <v>65</v>
      </c>
      <c r="G117" t="s">
        <v>269</v>
      </c>
      <c r="H117" t="s">
        <v>11</v>
      </c>
      <c r="I117" t="s">
        <v>7</v>
      </c>
      <c r="J117" t="s">
        <v>37</v>
      </c>
      <c r="K117" t="s">
        <v>58</v>
      </c>
      <c r="L117" t="s">
        <v>38</v>
      </c>
      <c r="M117">
        <v>1</v>
      </c>
    </row>
    <row r="118" spans="1:13" x14ac:dyDescent="0.25">
      <c r="A118" s="2">
        <v>46261</v>
      </c>
      <c r="B118" s="1" t="str">
        <f ca="1">IF(Información1[[#This Row],[Fecha]]='Ajuste de fechas'!$A$2,"Día actual","Día anterior")</f>
        <v>Día actual</v>
      </c>
      <c r="C118" t="s">
        <v>26</v>
      </c>
      <c r="D118" t="s">
        <v>57</v>
      </c>
      <c r="E118" t="s">
        <v>270</v>
      </c>
      <c r="F118" t="s">
        <v>17</v>
      </c>
      <c r="G118" t="s">
        <v>228</v>
      </c>
      <c r="H118" t="s">
        <v>11</v>
      </c>
      <c r="I118" t="s">
        <v>7</v>
      </c>
      <c r="J118" t="s">
        <v>41</v>
      </c>
      <c r="K118" t="s">
        <v>58</v>
      </c>
      <c r="L118" t="s">
        <v>38</v>
      </c>
      <c r="M118">
        <v>1</v>
      </c>
    </row>
    <row r="119" spans="1:13" x14ac:dyDescent="0.25">
      <c r="A119" s="2">
        <v>46261</v>
      </c>
      <c r="B119" s="1" t="str">
        <f ca="1">IF(Información1[[#This Row],[Fecha]]='Ajuste de fechas'!$A$2,"Día actual","Día anterior")</f>
        <v>Día actual</v>
      </c>
      <c r="C119" t="s">
        <v>26</v>
      </c>
      <c r="D119" t="s">
        <v>57</v>
      </c>
      <c r="E119" t="s">
        <v>271</v>
      </c>
      <c r="F119" t="s">
        <v>24</v>
      </c>
      <c r="G119" t="s">
        <v>233</v>
      </c>
      <c r="H119" t="s">
        <v>11</v>
      </c>
      <c r="I119" t="s">
        <v>7</v>
      </c>
      <c r="J119" t="s">
        <v>37</v>
      </c>
      <c r="K119" t="s">
        <v>58</v>
      </c>
      <c r="L119" t="s">
        <v>38</v>
      </c>
      <c r="M119">
        <v>1</v>
      </c>
    </row>
    <row r="120" spans="1:13" x14ac:dyDescent="0.25">
      <c r="A120" s="2">
        <v>46261</v>
      </c>
      <c r="B120" s="1" t="str">
        <f ca="1">IF(Información1[[#This Row],[Fecha]]='Ajuste de fechas'!$A$2,"Día actual","Día anterior")</f>
        <v>Día actual</v>
      </c>
      <c r="C120" t="s">
        <v>26</v>
      </c>
      <c r="D120" t="s">
        <v>57</v>
      </c>
      <c r="E120" t="s">
        <v>272</v>
      </c>
      <c r="F120" t="s">
        <v>24</v>
      </c>
      <c r="G120" t="s">
        <v>214</v>
      </c>
      <c r="H120" t="s">
        <v>11</v>
      </c>
      <c r="I120" t="s">
        <v>7</v>
      </c>
      <c r="J120" t="s">
        <v>37</v>
      </c>
      <c r="K120" t="s">
        <v>58</v>
      </c>
      <c r="L120" t="s">
        <v>38</v>
      </c>
      <c r="M120">
        <v>1</v>
      </c>
    </row>
    <row r="121" spans="1:13" x14ac:dyDescent="0.25">
      <c r="A121" s="2">
        <v>46261</v>
      </c>
      <c r="B121" s="1" t="str">
        <f ca="1">IF(Información1[[#This Row],[Fecha]]='Ajuste de fechas'!$A$2,"Día actual","Día anterior")</f>
        <v>Día actual</v>
      </c>
      <c r="C121" t="s">
        <v>26</v>
      </c>
      <c r="D121" t="s">
        <v>57</v>
      </c>
      <c r="E121" t="s">
        <v>273</v>
      </c>
      <c r="F121" t="s">
        <v>24</v>
      </c>
      <c r="G121" t="s">
        <v>274</v>
      </c>
      <c r="H121" t="s">
        <v>11</v>
      </c>
      <c r="I121" t="s">
        <v>7</v>
      </c>
      <c r="J121" t="s">
        <v>37</v>
      </c>
      <c r="K121" t="s">
        <v>58</v>
      </c>
      <c r="L121" t="s">
        <v>38</v>
      </c>
      <c r="M121">
        <v>1</v>
      </c>
    </row>
    <row r="122" spans="1:13" x14ac:dyDescent="0.25">
      <c r="A122" s="2">
        <v>46261</v>
      </c>
      <c r="B122" s="1" t="str">
        <f ca="1">IF(Información1[[#This Row],[Fecha]]='Ajuste de fechas'!$A$2,"Día actual","Día anterior")</f>
        <v>Día actual</v>
      </c>
      <c r="C122" t="s">
        <v>26</v>
      </c>
      <c r="D122" t="s">
        <v>57</v>
      </c>
      <c r="E122" t="s">
        <v>275</v>
      </c>
      <c r="F122" t="s">
        <v>24</v>
      </c>
      <c r="G122" t="s">
        <v>276</v>
      </c>
      <c r="H122" t="s">
        <v>11</v>
      </c>
      <c r="I122" t="s">
        <v>7</v>
      </c>
      <c r="J122" t="s">
        <v>37</v>
      </c>
      <c r="K122" t="s">
        <v>58</v>
      </c>
      <c r="L122" t="s">
        <v>38</v>
      </c>
      <c r="M122">
        <v>1</v>
      </c>
    </row>
    <row r="123" spans="1:13" x14ac:dyDescent="0.25">
      <c r="A123" s="2">
        <v>46261</v>
      </c>
      <c r="B123" s="1" t="str">
        <f ca="1">IF(Información1[[#This Row],[Fecha]]='Ajuste de fechas'!$A$2,"Día actual","Día anterior")</f>
        <v>Día actual</v>
      </c>
      <c r="C123" t="s">
        <v>8</v>
      </c>
      <c r="D123" t="s">
        <v>10</v>
      </c>
      <c r="E123" t="s">
        <v>277</v>
      </c>
      <c r="F123" t="s">
        <v>17</v>
      </c>
      <c r="G123" t="s">
        <v>278</v>
      </c>
      <c r="H123" t="s">
        <v>11</v>
      </c>
      <c r="I123" t="s">
        <v>23</v>
      </c>
      <c r="J123" t="s">
        <v>41</v>
      </c>
      <c r="K123" t="s">
        <v>9</v>
      </c>
      <c r="L123" t="s">
        <v>39</v>
      </c>
      <c r="M123">
        <v>1</v>
      </c>
    </row>
    <row r="124" spans="1:13" x14ac:dyDescent="0.25">
      <c r="A124" s="2">
        <v>46261</v>
      </c>
      <c r="B124" s="1" t="str">
        <f ca="1">IF(Información1[[#This Row],[Fecha]]='Ajuste de fechas'!$A$2,"Día actual","Día anterior")</f>
        <v>Día actual</v>
      </c>
      <c r="C124" t="s">
        <v>8</v>
      </c>
      <c r="D124" t="s">
        <v>10</v>
      </c>
      <c r="E124" t="s">
        <v>279</v>
      </c>
      <c r="F124" t="s">
        <v>17</v>
      </c>
      <c r="G124" t="s">
        <v>278</v>
      </c>
      <c r="H124" t="s">
        <v>11</v>
      </c>
      <c r="I124" t="s">
        <v>23</v>
      </c>
      <c r="J124" t="s">
        <v>41</v>
      </c>
      <c r="K124" t="s">
        <v>9</v>
      </c>
      <c r="L124" t="s">
        <v>39</v>
      </c>
      <c r="M124">
        <v>1</v>
      </c>
    </row>
    <row r="125" spans="1:13" x14ac:dyDescent="0.25">
      <c r="A125" s="2">
        <v>46261</v>
      </c>
      <c r="B125" s="1" t="str">
        <f ca="1">IF(Información1[[#This Row],[Fecha]]='Ajuste de fechas'!$A$2,"Día actual","Día anterior")</f>
        <v>Día actual</v>
      </c>
      <c r="C125" t="s">
        <v>8</v>
      </c>
      <c r="D125" t="s">
        <v>10</v>
      </c>
      <c r="E125" t="s">
        <v>280</v>
      </c>
      <c r="F125" t="s">
        <v>15</v>
      </c>
      <c r="G125" t="s">
        <v>281</v>
      </c>
      <c r="H125" t="s">
        <v>11</v>
      </c>
      <c r="I125" t="s">
        <v>23</v>
      </c>
      <c r="J125" t="s">
        <v>37</v>
      </c>
      <c r="K125" t="s">
        <v>9</v>
      </c>
      <c r="L125" t="s">
        <v>39</v>
      </c>
      <c r="M125">
        <v>1</v>
      </c>
    </row>
    <row r="126" spans="1:13" x14ac:dyDescent="0.25">
      <c r="A126" s="2">
        <v>46261</v>
      </c>
      <c r="B126" s="1" t="str">
        <f ca="1">IF(Información1[[#This Row],[Fecha]]='Ajuste de fechas'!$A$2,"Día actual","Día anterior")</f>
        <v>Día actual</v>
      </c>
      <c r="C126" t="s">
        <v>8</v>
      </c>
      <c r="D126" t="s">
        <v>10</v>
      </c>
      <c r="E126" t="s">
        <v>282</v>
      </c>
      <c r="F126" t="s">
        <v>6</v>
      </c>
      <c r="G126" t="s">
        <v>283</v>
      </c>
      <c r="H126" t="s">
        <v>11</v>
      </c>
      <c r="I126" t="s">
        <v>23</v>
      </c>
      <c r="J126" t="s">
        <v>37</v>
      </c>
      <c r="K126" t="s">
        <v>9</v>
      </c>
      <c r="L126" t="s">
        <v>39</v>
      </c>
      <c r="M126">
        <v>1</v>
      </c>
    </row>
    <row r="127" spans="1:13" x14ac:dyDescent="0.25">
      <c r="A127" s="2">
        <v>46261</v>
      </c>
      <c r="B127" s="1" t="str">
        <f ca="1">IF(Información1[[#This Row],[Fecha]]='Ajuste de fechas'!$A$2,"Día actual","Día anterior")</f>
        <v>Día actual</v>
      </c>
      <c r="C127" t="s">
        <v>8</v>
      </c>
      <c r="D127" t="s">
        <v>10</v>
      </c>
      <c r="E127" t="s">
        <v>284</v>
      </c>
      <c r="F127" t="s">
        <v>6</v>
      </c>
      <c r="G127" t="s">
        <v>158</v>
      </c>
      <c r="H127" t="s">
        <v>11</v>
      </c>
      <c r="I127" t="s">
        <v>23</v>
      </c>
      <c r="J127" t="s">
        <v>37</v>
      </c>
      <c r="K127" t="s">
        <v>9</v>
      </c>
      <c r="L127" t="s">
        <v>39</v>
      </c>
      <c r="M127">
        <v>1</v>
      </c>
    </row>
    <row r="128" spans="1:13" x14ac:dyDescent="0.25">
      <c r="A128" s="2">
        <v>46261</v>
      </c>
      <c r="B128" s="1" t="str">
        <f ca="1">IF(Información1[[#This Row],[Fecha]]='Ajuste de fechas'!$A$2,"Día actual","Día anterior")</f>
        <v>Día actual</v>
      </c>
      <c r="C128" t="s">
        <v>8</v>
      </c>
      <c r="D128" t="s">
        <v>10</v>
      </c>
      <c r="E128" t="s">
        <v>285</v>
      </c>
      <c r="F128" t="s">
        <v>6</v>
      </c>
      <c r="G128" t="s">
        <v>125</v>
      </c>
      <c r="H128" t="s">
        <v>11</v>
      </c>
      <c r="I128" t="s">
        <v>23</v>
      </c>
      <c r="J128" t="s">
        <v>37</v>
      </c>
      <c r="K128" t="s">
        <v>9</v>
      </c>
      <c r="L128" t="s">
        <v>39</v>
      </c>
      <c r="M128">
        <v>1</v>
      </c>
    </row>
    <row r="129" spans="1:13" x14ac:dyDescent="0.25">
      <c r="A129" s="2">
        <v>46261</v>
      </c>
      <c r="B129" s="1" t="str">
        <f ca="1">IF(Información1[[#This Row],[Fecha]]='Ajuste de fechas'!$A$2,"Día actual","Día anterior")</f>
        <v>Día actual</v>
      </c>
      <c r="C129" t="s">
        <v>8</v>
      </c>
      <c r="D129" t="s">
        <v>10</v>
      </c>
      <c r="E129" t="s">
        <v>286</v>
      </c>
      <c r="F129" t="s">
        <v>6</v>
      </c>
      <c r="G129" t="s">
        <v>30</v>
      </c>
      <c r="H129" t="s">
        <v>11</v>
      </c>
      <c r="I129" t="s">
        <v>12</v>
      </c>
      <c r="J129" t="s">
        <v>37</v>
      </c>
      <c r="K129" t="s">
        <v>9</v>
      </c>
      <c r="L129" t="s">
        <v>39</v>
      </c>
      <c r="M129">
        <v>1</v>
      </c>
    </row>
    <row r="130" spans="1:13" x14ac:dyDescent="0.25">
      <c r="A130" s="2">
        <v>46261</v>
      </c>
      <c r="B130" s="1" t="str">
        <f ca="1">IF(Información1[[#This Row],[Fecha]]='Ajuste de fechas'!$A$2,"Día actual","Día anterior")</f>
        <v>Día actual</v>
      </c>
      <c r="C130" t="s">
        <v>8</v>
      </c>
      <c r="D130" t="s">
        <v>10</v>
      </c>
      <c r="E130" t="s">
        <v>287</v>
      </c>
      <c r="F130" t="s">
        <v>6</v>
      </c>
      <c r="G130" t="s">
        <v>30</v>
      </c>
      <c r="H130" t="s">
        <v>11</v>
      </c>
      <c r="I130" t="s">
        <v>7</v>
      </c>
      <c r="J130" t="s">
        <v>37</v>
      </c>
      <c r="K130" t="s">
        <v>13</v>
      </c>
      <c r="L130" t="s">
        <v>39</v>
      </c>
      <c r="M130">
        <v>1</v>
      </c>
    </row>
    <row r="131" spans="1:13" x14ac:dyDescent="0.25">
      <c r="A131" s="2">
        <v>46261</v>
      </c>
      <c r="B131" s="1" t="str">
        <f ca="1">IF(Información1[[#This Row],[Fecha]]='Ajuste de fechas'!$A$2,"Día actual","Día anterior")</f>
        <v>Día actual</v>
      </c>
      <c r="C131" t="s">
        <v>8</v>
      </c>
      <c r="D131" t="s">
        <v>10</v>
      </c>
      <c r="E131" t="s">
        <v>288</v>
      </c>
      <c r="F131" t="s">
        <v>65</v>
      </c>
      <c r="G131" t="s">
        <v>289</v>
      </c>
      <c r="H131" t="s">
        <v>11</v>
      </c>
      <c r="I131" t="s">
        <v>7</v>
      </c>
      <c r="J131" t="s">
        <v>37</v>
      </c>
      <c r="K131" t="s">
        <v>13</v>
      </c>
      <c r="L131" t="s">
        <v>38</v>
      </c>
      <c r="M131">
        <v>1</v>
      </c>
    </row>
    <row r="132" spans="1:13" x14ac:dyDescent="0.25">
      <c r="A132" s="2">
        <v>46261</v>
      </c>
      <c r="B132" s="1" t="str">
        <f ca="1">IF(Información1[[#This Row],[Fecha]]='Ajuste de fechas'!$A$2,"Día actual","Día anterior")</f>
        <v>Día actual</v>
      </c>
      <c r="C132" t="s">
        <v>8</v>
      </c>
      <c r="D132" t="s">
        <v>10</v>
      </c>
      <c r="E132" t="s">
        <v>290</v>
      </c>
      <c r="F132" t="s">
        <v>113</v>
      </c>
      <c r="G132" t="s">
        <v>171</v>
      </c>
      <c r="H132" t="s">
        <v>11</v>
      </c>
      <c r="I132" t="s">
        <v>7</v>
      </c>
      <c r="J132" t="s">
        <v>37</v>
      </c>
      <c r="K132" t="s">
        <v>9</v>
      </c>
      <c r="L132" t="s">
        <v>39</v>
      </c>
      <c r="M132">
        <v>1</v>
      </c>
    </row>
    <row r="133" spans="1:13" x14ac:dyDescent="0.25">
      <c r="A133" s="2">
        <v>46261</v>
      </c>
      <c r="B133" s="1" t="str">
        <f ca="1">IF(Información1[[#This Row],[Fecha]]='Ajuste de fechas'!$A$2,"Día actual","Día anterior")</f>
        <v>Día actual</v>
      </c>
      <c r="C133" t="s">
        <v>8</v>
      </c>
      <c r="D133" t="s">
        <v>10</v>
      </c>
      <c r="E133" t="s">
        <v>291</v>
      </c>
      <c r="F133" t="s">
        <v>20</v>
      </c>
      <c r="G133" t="s">
        <v>292</v>
      </c>
      <c r="H133" t="s">
        <v>11</v>
      </c>
      <c r="I133" t="s">
        <v>7</v>
      </c>
      <c r="J133" t="s">
        <v>42</v>
      </c>
      <c r="K133" t="s">
        <v>13</v>
      </c>
      <c r="L133" t="s">
        <v>38</v>
      </c>
      <c r="M133">
        <v>1</v>
      </c>
    </row>
    <row r="134" spans="1:13" x14ac:dyDescent="0.25">
      <c r="A134" s="2">
        <v>46261</v>
      </c>
      <c r="B134" s="1" t="str">
        <f ca="1">IF(Información1[[#This Row],[Fecha]]='Ajuste de fechas'!$A$2,"Día actual","Día anterior")</f>
        <v>Día actual</v>
      </c>
      <c r="C134" t="s">
        <v>8</v>
      </c>
      <c r="D134" t="s">
        <v>10</v>
      </c>
      <c r="E134" t="s">
        <v>293</v>
      </c>
      <c r="F134" t="s">
        <v>113</v>
      </c>
      <c r="G134" t="s">
        <v>294</v>
      </c>
      <c r="H134" t="s">
        <v>11</v>
      </c>
      <c r="I134" t="s">
        <v>7</v>
      </c>
      <c r="J134" t="s">
        <v>37</v>
      </c>
      <c r="K134" t="s">
        <v>13</v>
      </c>
      <c r="L134" t="s">
        <v>40</v>
      </c>
      <c r="M134">
        <v>1</v>
      </c>
    </row>
    <row r="135" spans="1:13" x14ac:dyDescent="0.25">
      <c r="A135" s="2">
        <v>46261</v>
      </c>
      <c r="B135" s="1" t="str">
        <f ca="1">IF(Información1[[#This Row],[Fecha]]='Ajuste de fechas'!$A$2,"Día actual","Día anterior")</f>
        <v>Día actual</v>
      </c>
      <c r="C135" t="s">
        <v>8</v>
      </c>
      <c r="D135" t="s">
        <v>10</v>
      </c>
      <c r="E135" t="s">
        <v>295</v>
      </c>
      <c r="F135" t="s">
        <v>24</v>
      </c>
      <c r="G135" t="s">
        <v>233</v>
      </c>
      <c r="H135" t="s">
        <v>11</v>
      </c>
      <c r="I135" t="s">
        <v>7</v>
      </c>
      <c r="J135" t="s">
        <v>37</v>
      </c>
      <c r="K135" t="s">
        <v>13</v>
      </c>
      <c r="L135" t="s">
        <v>40</v>
      </c>
      <c r="M135">
        <v>1</v>
      </c>
    </row>
    <row r="136" spans="1:13" x14ac:dyDescent="0.25">
      <c r="A136" s="2">
        <v>46261</v>
      </c>
      <c r="B136" s="1" t="str">
        <f ca="1">IF(Información1[[#This Row],[Fecha]]='Ajuste de fechas'!$A$2,"Día actual","Día anterior")</f>
        <v>Día actual</v>
      </c>
      <c r="C136" t="s">
        <v>8</v>
      </c>
      <c r="D136" t="s">
        <v>10</v>
      </c>
      <c r="E136" t="s">
        <v>296</v>
      </c>
      <c r="F136" t="s">
        <v>21</v>
      </c>
      <c r="G136" t="s">
        <v>83</v>
      </c>
      <c r="H136" t="s">
        <v>11</v>
      </c>
      <c r="I136" t="s">
        <v>7</v>
      </c>
      <c r="J136" t="s">
        <v>37</v>
      </c>
      <c r="K136" t="s">
        <v>13</v>
      </c>
      <c r="L136" t="s">
        <v>40</v>
      </c>
      <c r="M136">
        <v>1</v>
      </c>
    </row>
    <row r="137" spans="1:13" x14ac:dyDescent="0.25">
      <c r="A137" s="2">
        <v>46261</v>
      </c>
      <c r="B137" s="1" t="str">
        <f ca="1">IF(Información1[[#This Row],[Fecha]]='Ajuste de fechas'!$A$2,"Día actual","Día anterior")</f>
        <v>Día actual</v>
      </c>
      <c r="C137" t="s">
        <v>8</v>
      </c>
      <c r="D137" t="s">
        <v>10</v>
      </c>
      <c r="E137" t="s">
        <v>297</v>
      </c>
      <c r="F137" t="s">
        <v>21</v>
      </c>
      <c r="G137" t="s">
        <v>72</v>
      </c>
      <c r="H137" t="s">
        <v>11</v>
      </c>
      <c r="I137" t="s">
        <v>7</v>
      </c>
      <c r="J137" t="s">
        <v>37</v>
      </c>
      <c r="K137" t="s">
        <v>13</v>
      </c>
      <c r="L137" t="s">
        <v>40</v>
      </c>
      <c r="M137">
        <v>1</v>
      </c>
    </row>
    <row r="138" spans="1:13" x14ac:dyDescent="0.25">
      <c r="A138" s="2">
        <v>46261</v>
      </c>
      <c r="B138" s="1" t="str">
        <f ca="1">IF(Información1[[#This Row],[Fecha]]='Ajuste de fechas'!$A$2,"Día actual","Día anterior")</f>
        <v>Día actual</v>
      </c>
      <c r="C138" t="s">
        <v>8</v>
      </c>
      <c r="D138" t="s">
        <v>10</v>
      </c>
      <c r="E138" t="s">
        <v>298</v>
      </c>
      <c r="F138" t="s">
        <v>20</v>
      </c>
      <c r="G138" t="s">
        <v>84</v>
      </c>
      <c r="H138" t="s">
        <v>11</v>
      </c>
      <c r="I138" t="s">
        <v>7</v>
      </c>
      <c r="J138" t="s">
        <v>42</v>
      </c>
      <c r="K138" t="s">
        <v>13</v>
      </c>
      <c r="L138" t="s">
        <v>38</v>
      </c>
      <c r="M138">
        <v>1</v>
      </c>
    </row>
    <row r="139" spans="1:13" x14ac:dyDescent="0.25">
      <c r="A139" s="2">
        <v>46261</v>
      </c>
      <c r="B139" s="1" t="str">
        <f ca="1">IF(Información1[[#This Row],[Fecha]]='Ajuste de fechas'!$A$2,"Día actual","Día anterior")</f>
        <v>Día actual</v>
      </c>
      <c r="C139" t="s">
        <v>8</v>
      </c>
      <c r="D139" t="s">
        <v>10</v>
      </c>
      <c r="E139" t="s">
        <v>18</v>
      </c>
      <c r="F139" t="s">
        <v>17</v>
      </c>
      <c r="G139" t="s">
        <v>30</v>
      </c>
      <c r="H139" t="s">
        <v>11</v>
      </c>
      <c r="I139" t="s">
        <v>12</v>
      </c>
      <c r="J139" t="s">
        <v>41</v>
      </c>
      <c r="K139" t="s">
        <v>13</v>
      </c>
      <c r="L139" t="s">
        <v>39</v>
      </c>
      <c r="M139">
        <v>1</v>
      </c>
    </row>
    <row r="140" spans="1:13" x14ac:dyDescent="0.25">
      <c r="A140" s="2">
        <v>46261</v>
      </c>
      <c r="B140" s="1" t="str">
        <f ca="1">IF(Información1[[#This Row],[Fecha]]='Ajuste de fechas'!$A$2,"Día actual","Día anterior")</f>
        <v>Día actual</v>
      </c>
      <c r="C140" t="s">
        <v>8</v>
      </c>
      <c r="D140" t="s">
        <v>10</v>
      </c>
      <c r="E140" t="s">
        <v>16</v>
      </c>
      <c r="F140" t="s">
        <v>17</v>
      </c>
      <c r="G140" t="s">
        <v>30</v>
      </c>
      <c r="H140" t="s">
        <v>11</v>
      </c>
      <c r="I140" t="s">
        <v>12</v>
      </c>
      <c r="J140" t="s">
        <v>41</v>
      </c>
      <c r="K140" t="s">
        <v>13</v>
      </c>
      <c r="L140" t="s">
        <v>39</v>
      </c>
      <c r="M140">
        <v>1</v>
      </c>
    </row>
    <row r="141" spans="1:13" x14ac:dyDescent="0.25">
      <c r="A141" s="2">
        <v>46261</v>
      </c>
      <c r="B141" s="1" t="str">
        <f ca="1">IF(Información1[[#This Row],[Fecha]]='Ajuste de fechas'!$A$2,"Día actual","Día anterior")</f>
        <v>Día actual</v>
      </c>
      <c r="C141" t="s">
        <v>8</v>
      </c>
      <c r="D141" t="s">
        <v>10</v>
      </c>
      <c r="E141" t="s">
        <v>62</v>
      </c>
      <c r="F141" t="s">
        <v>51</v>
      </c>
      <c r="G141" t="s">
        <v>30</v>
      </c>
      <c r="H141" t="s">
        <v>11</v>
      </c>
      <c r="I141" t="s">
        <v>12</v>
      </c>
      <c r="J141" t="s">
        <v>22</v>
      </c>
      <c r="K141" t="s">
        <v>13</v>
      </c>
      <c r="L141" t="s">
        <v>39</v>
      </c>
      <c r="M141">
        <v>1</v>
      </c>
    </row>
    <row r="142" spans="1:13" x14ac:dyDescent="0.25">
      <c r="A142" s="2">
        <v>46261</v>
      </c>
      <c r="B142" s="1" t="str">
        <f ca="1">IF(Información1[[#This Row],[Fecha]]='Ajuste de fechas'!$A$2,"Día actual","Día anterior")</f>
        <v>Día actual</v>
      </c>
      <c r="C142" t="s">
        <v>8</v>
      </c>
      <c r="D142" t="s">
        <v>10</v>
      </c>
      <c r="E142" t="s">
        <v>176</v>
      </c>
      <c r="F142" t="s">
        <v>19</v>
      </c>
      <c r="G142" t="s">
        <v>30</v>
      </c>
      <c r="H142" t="s">
        <v>11</v>
      </c>
      <c r="I142" t="s">
        <v>12</v>
      </c>
      <c r="J142" t="s">
        <v>37</v>
      </c>
      <c r="K142" t="s">
        <v>13</v>
      </c>
      <c r="L142" t="s">
        <v>39</v>
      </c>
      <c r="M142">
        <v>1</v>
      </c>
    </row>
    <row r="143" spans="1:13" x14ac:dyDescent="0.25">
      <c r="A143" s="2">
        <v>46261</v>
      </c>
      <c r="B143" s="1" t="str">
        <f ca="1">IF(Información1[[#This Row],[Fecha]]='Ajuste de fechas'!$A$2,"Día actual","Día anterior")</f>
        <v>Día actual</v>
      </c>
      <c r="C143" t="s">
        <v>8</v>
      </c>
      <c r="D143" t="s">
        <v>10</v>
      </c>
      <c r="E143" t="s">
        <v>299</v>
      </c>
      <c r="F143" t="s">
        <v>251</v>
      </c>
      <c r="G143" t="s">
        <v>30</v>
      </c>
      <c r="H143" t="s">
        <v>11</v>
      </c>
      <c r="I143" t="s">
        <v>12</v>
      </c>
      <c r="J143" t="s">
        <v>37</v>
      </c>
      <c r="K143" t="s">
        <v>13</v>
      </c>
      <c r="L143" t="s">
        <v>39</v>
      </c>
      <c r="M143">
        <v>1</v>
      </c>
    </row>
    <row r="144" spans="1:13" x14ac:dyDescent="0.25">
      <c r="A144" s="2">
        <v>46261</v>
      </c>
      <c r="B144" s="1" t="str">
        <f ca="1">IF(Información1[[#This Row],[Fecha]]='Ajuste de fechas'!$A$2,"Día actual","Día anterior")</f>
        <v>Día actual</v>
      </c>
      <c r="C144" t="s">
        <v>8</v>
      </c>
      <c r="D144" t="s">
        <v>10</v>
      </c>
      <c r="E144" t="s">
        <v>14</v>
      </c>
      <c r="F144" t="s">
        <v>15</v>
      </c>
      <c r="G144" t="s">
        <v>30</v>
      </c>
      <c r="H144" t="s">
        <v>11</v>
      </c>
      <c r="I144" t="s">
        <v>12</v>
      </c>
      <c r="J144" t="s">
        <v>37</v>
      </c>
      <c r="K144" t="s">
        <v>13</v>
      </c>
      <c r="L144" t="s">
        <v>39</v>
      </c>
      <c r="M144">
        <v>1</v>
      </c>
    </row>
    <row r="145" spans="1:13" x14ac:dyDescent="0.25">
      <c r="A145" s="2">
        <v>46261</v>
      </c>
      <c r="B145" s="1" t="str">
        <f ca="1">IF(Información1[[#This Row],[Fecha]]='Ajuste de fechas'!$A$2,"Día actual","Día anterior")</f>
        <v>Día actual</v>
      </c>
      <c r="C145" t="s">
        <v>8</v>
      </c>
      <c r="D145" t="s">
        <v>10</v>
      </c>
      <c r="E145" t="s">
        <v>50</v>
      </c>
      <c r="F145" t="s">
        <v>6</v>
      </c>
      <c r="G145" t="s">
        <v>30</v>
      </c>
      <c r="H145" t="s">
        <v>11</v>
      </c>
      <c r="I145" t="s">
        <v>12</v>
      </c>
      <c r="J145" t="s">
        <v>37</v>
      </c>
      <c r="K145" t="s">
        <v>13</v>
      </c>
      <c r="L145" t="s">
        <v>39</v>
      </c>
      <c r="M14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44</v>
      </c>
      <c r="B1" t="s">
        <v>45</v>
      </c>
    </row>
    <row r="2" spans="1:2" x14ac:dyDescent="0.25">
      <c r="A2" s="2">
        <f ca="1">TODAY()</f>
        <v>46261</v>
      </c>
      <c r="B2" s="2">
        <f ca="1">A2-1</f>
        <v>46260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2026-08-27T23:32:30Z</dcterms:modified>
</cp:coreProperties>
</file>