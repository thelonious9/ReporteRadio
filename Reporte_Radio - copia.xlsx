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A41AC851-AE36-43DE-8E66-1AE8D9BFD79B}"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83" i="2" l="1"/>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3" i="2"/>
  <c r="B5" i="2"/>
  <c r="B52" i="2"/>
  <c r="B55" i="2"/>
  <c r="B175" i="2"/>
  <c r="B179" i="2"/>
  <c r="B182" i="2"/>
  <c r="B185" i="2"/>
  <c r="B59" i="2"/>
  <c r="B62" i="2"/>
  <c r="B65" i="2"/>
  <c r="B68" i="2"/>
  <c r="B71" i="2"/>
  <c r="B74" i="2"/>
  <c r="B77" i="2"/>
  <c r="B80"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2" i="2"/>
  <c r="B4" i="2"/>
  <c r="B51" i="2"/>
  <c r="B54" i="2"/>
  <c r="B57" i="2"/>
  <c r="B178" i="2"/>
  <c r="B181" i="2"/>
  <c r="B184" i="2"/>
  <c r="B186" i="2"/>
  <c r="B61" i="2"/>
  <c r="B64" i="2"/>
  <c r="B66" i="2"/>
  <c r="B70" i="2"/>
  <c r="B73" i="2"/>
  <c r="B75" i="2"/>
  <c r="B78" i="2"/>
  <c r="B81" i="2"/>
  <c r="B6" i="2"/>
  <c r="B7" i="2"/>
  <c r="B8" i="2"/>
  <c r="B9" i="2"/>
  <c r="B10" i="2"/>
  <c r="B11" i="2"/>
  <c r="B12" i="2"/>
  <c r="B13" i="2"/>
  <c r="B14" i="2"/>
  <c r="B15" i="2"/>
  <c r="B16" i="2"/>
  <c r="B17" i="2"/>
  <c r="B18" i="2"/>
  <c r="B19" i="2"/>
  <c r="B20" i="2"/>
  <c r="B21" i="2"/>
  <c r="B22" i="2"/>
  <c r="B23" i="2"/>
  <c r="B24" i="2"/>
  <c r="B25" i="2"/>
  <c r="B26" i="2"/>
  <c r="B27" i="2"/>
  <c r="B28" i="2"/>
  <c r="B29" i="2"/>
  <c r="B172" i="2"/>
  <c r="B173" i="2"/>
  <c r="B174" i="2"/>
  <c r="B30" i="2"/>
  <c r="B31" i="2"/>
  <c r="B32" i="2"/>
  <c r="B33" i="2"/>
  <c r="B34" i="2"/>
  <c r="B35" i="2"/>
  <c r="B36" i="2"/>
  <c r="B37" i="2"/>
  <c r="B38" i="2"/>
  <c r="B39" i="2"/>
  <c r="B40" i="2"/>
  <c r="B41" i="2"/>
  <c r="B42" i="2"/>
  <c r="B43" i="2"/>
  <c r="B44" i="2"/>
  <c r="B45" i="2"/>
  <c r="B46" i="2"/>
  <c r="B47" i="2"/>
  <c r="B48" i="2"/>
  <c r="B49" i="2"/>
  <c r="B50" i="2"/>
  <c r="B53" i="2"/>
  <c r="B56" i="2"/>
  <c r="B176" i="2"/>
  <c r="B177" i="2"/>
  <c r="B180" i="2"/>
  <c r="B183" i="2"/>
  <c r="B58" i="2"/>
  <c r="B60" i="2"/>
  <c r="B63" i="2"/>
  <c r="B67" i="2"/>
  <c r="B69" i="2"/>
  <c r="B72" i="2"/>
  <c r="B76" i="2"/>
  <c r="B79" i="2"/>
  <c r="B82"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<sst xmlns="http://schemas.openxmlformats.org/spreadsheetml/2006/main" count="1865" uniqueCount="340">
  <si>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</si>
  <si>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</si>
  <si>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</si>
  <si>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</si>
  <si>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</si>
  <si>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</si>
  <si>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</si>
  <si>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</si>
  <si>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</si>
  <si>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</si>
  <si>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</si>
  <si>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</si>
  <si>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</si>
  <si>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</si>
  <si>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</si>
  <si>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</si>
  <si>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</si>
  <si>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</si>
  <si>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</si>
  <si>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</si>
  <si>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</si>
  <si>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</si>
  <si>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Congreso</t>
  </si>
  <si>
    <t>Presidencia</t>
  </si>
  <si>
    <t>SSPH</t>
  </si>
  <si>
    <t>SSH</t>
  </si>
  <si>
    <t>Otros</t>
  </si>
  <si>
    <t>Negativa</t>
  </si>
  <si>
    <t>Gobernador</t>
  </si>
  <si>
    <t>Luminarias</t>
  </si>
  <si>
    <t>Andrés Torres</t>
  </si>
  <si>
    <t>Ke Buena 106.7 FM</t>
  </si>
  <si>
    <t>David Cárdenas</t>
  </si>
  <si>
    <t>Noticias 106.7</t>
  </si>
  <si>
    <t>Súper Stéreo 100.5 FM</t>
  </si>
  <si>
    <t>Rodolfo López</t>
  </si>
  <si>
    <t>Enfoque Regional Meridiano</t>
  </si>
  <si>
    <t>Enfoque Regional Matutino</t>
  </si>
  <si>
    <t>TV Cable hidalguense Canal 6</t>
  </si>
  <si>
    <t>Juan Carlos Santamaria</t>
  </si>
  <si>
    <t>Contigo Noticias</t>
  </si>
  <si>
    <t>TV local</t>
  </si>
  <si>
    <t>Auxilio a la ciudadanía</t>
  </si>
  <si>
    <t>Canal del Pueblo</t>
  </si>
  <si>
    <t>Vocales Radio</t>
  </si>
  <si>
    <t>NQ 90.1 FM</t>
  </si>
  <si>
    <t>Jesús Riveros</t>
  </si>
  <si>
    <t>Enlace Hidalgo1</t>
  </si>
  <si>
    <t>Enlace Hidalgo2</t>
  </si>
  <si>
    <t>Planeación</t>
  </si>
  <si>
    <t>Ultra 102.9 FM</t>
  </si>
  <si>
    <t>Ultra Noticias1</t>
  </si>
  <si>
    <t>Daniel Martínez</t>
  </si>
  <si>
    <t>Eulalio Larrieta agradece a Carlos Gamiño por estar al pendiente de temas</t>
  </si>
  <si>
    <t>Atención Ciudadana</t>
  </si>
  <si>
    <t>Jesús González</t>
  </si>
  <si>
    <t>Eulalio Larrieta agradece Paola García y Lic. Sarahi Pineda, por estar atentas a los mensajes de la ciudadanía y por atenderlos.</t>
  </si>
  <si>
    <t>Día</t>
  </si>
  <si>
    <t>Radiodifusora</t>
  </si>
  <si>
    <t>Programa</t>
  </si>
  <si>
    <t>Clasificación</t>
  </si>
  <si>
    <t>Autor</t>
  </si>
  <si>
    <t>Género</t>
  </si>
  <si>
    <t>Gobierno del estado</t>
  </si>
  <si>
    <t>Noticia</t>
  </si>
  <si>
    <t>Opinión</t>
  </si>
  <si>
    <t>Boletín</t>
  </si>
  <si>
    <t>Alcaldías</t>
  </si>
  <si>
    <t>Presidencia de la República</t>
  </si>
  <si>
    <t>Entrevista</t>
  </si>
  <si>
    <t>Recuento</t>
  </si>
  <si>
    <t>Día actual</t>
  </si>
  <si>
    <t>Día anterior</t>
  </si>
  <si>
    <t>Gusano barrenador</t>
  </si>
  <si>
    <t>Detención</t>
  </si>
  <si>
    <t>Día del Niño</t>
  </si>
  <si>
    <t>Fuga De Agua</t>
  </si>
  <si>
    <t>DIFH</t>
  </si>
  <si>
    <t>Saderh</t>
  </si>
  <si>
    <t>Eulalio Larrieta agradece a Edith Balderas de la Secretaria de Educación Pública.</t>
  </si>
  <si>
    <t>Bienestar</t>
  </si>
  <si>
    <t>Amenazas en escuela</t>
  </si>
  <si>
    <t>Oficialía Mayor</t>
  </si>
  <si>
    <t>Radiodifusoras</t>
  </si>
  <si>
    <t>Sedeco</t>
  </si>
  <si>
    <t>Mañanera de Hidalgo</t>
  </si>
  <si>
    <t>CGCG</t>
  </si>
  <si>
    <t>Alerta Meteorológica</t>
  </si>
  <si>
    <t>Imagen Urbana</t>
  </si>
  <si>
    <t>Accidente Vial</t>
  </si>
  <si>
    <t>La Poderosa Tuxpan 93.1 FM</t>
  </si>
  <si>
    <t>Entrega de infraestructura escolar</t>
  </si>
  <si>
    <t>Vacunación</t>
  </si>
  <si>
    <t>Combate a la delincuencia</t>
  </si>
  <si>
    <t>Control de incendios</t>
  </si>
  <si>
    <t>Cuenta Pública</t>
  </si>
  <si>
    <t>Contraloría</t>
  </si>
  <si>
    <t>Combate Al Huachicol</t>
  </si>
  <si>
    <t>Coordinación interestatal</t>
  </si>
  <si>
    <t>Turismo</t>
  </si>
  <si>
    <t>Delegación</t>
  </si>
  <si>
    <t>Operativo Rastrillo</t>
  </si>
  <si>
    <t>Nacionales Conade</t>
  </si>
  <si>
    <t>Apoyo Al Agro</t>
  </si>
  <si>
    <t>STPSH</t>
  </si>
  <si>
    <t>Cuenta pública</t>
  </si>
  <si>
    <t>Durante una sesión ordinaria, legisladores de Morena presentaron una iniciativa con la que buscan reconocer a las abejas como una especie polinizadora de atención prioritaria, debido a su importancia en la conservación de la biodiversidad. La propuesta fue impulsada por las diputadas Alma Rosa Elías Paso, Paloma Barragán Santos, Yarabi González Martínez, así como por el diputado Julián Nochebuena Hernández. El planteamiento contempla modificar el nombre de la actual Ley de Protección, Salvaguarda y Explotación de la Abeja para el Estado de Hidalgo, para denominarla como Ley para la Protección, Fomento Sustentable y Servicios Ecosistémicos de las Abejas para el Estado de Hidalgo.</t>
  </si>
  <si>
    <t>Iniciativa</t>
  </si>
  <si>
    <t>Boletín 1646: Impulsan educación en Tula con 6.4 mdp en obras y equipamiento</t>
  </si>
  <si>
    <t>En cabina Juan Carlos Zambrano, director de panteones en Tulancingo informó que con motivo del Día de las Madres, autoridades de Tulancingo organizan un homenaje especial en el panteón municipal San Miguel para recordar a las madres que han fallecido, mediante una serie de actividades conmemorativas. Convoca a la ciudadanía a participar enviando fotografías de sus seres queridos, las cuales serán colocadas en murales instalados en la entrada del camposanto como parte del tributo. El programa se llevará a cabo el próximo 10 de mayo a las 11:00 horas e incluirá la lectura del texto “Cuando un colibrí se acerca”, la presentación de un coro infantil con canciones alusivas a la fecha y la colocación de una ofrenda floral en memoria de las madres.</t>
  </si>
  <si>
    <t>Día de la madre</t>
  </si>
  <si>
    <t>Cuenta Pública 2025 confirma transformación financiera en Hidalgo</t>
  </si>
  <si>
    <t>Hacienda</t>
  </si>
  <si>
    <t>Las nuevas unidades del Tuzobús que comenzarán a circular en mayo en Pachuca contarán con una imagen basada en objetos, figuras, espacios y lugares representativos de Hidalgo, además con temas como el Mundial de Futbol 2026. El oficial mayor, Edgar Orlando Ángeles Pérez, señaló que entre el 15 y el 20 de mayo se prevé el inicio de operaciones de estas unidades, con el objetivo de fortalecer la calidad del servicio en beneficio de las y los usuarios. Se trata de 80 camiones nuevos.</t>
  </si>
  <si>
    <t>Modernización Tuzobús</t>
  </si>
  <si>
    <t>El gobierno de Hidalgo dio de baja diversos programas sociales al detectar que no generaron el impacto esperado o que no pudieron ser medidos de forma adecuada, informó Miguel Tello Vargas, titular de la Unidad de Planeación y Prospectiva estatal. El funcionario explicó que estas decisiones derivan del seguimiento a indicadores de desempeño disponibles en el Tablero Estatal de Indicadores, una herramienta pública que permite evaluar avances y resultados de políticas públicas. A través de este mecanismo, dijo, se determina la continuidad, modificación o cancelación de programas. Como ejemplo, mencionó el programa “Mujer de Maíz”, el cual estaba enfocado en mejorar la economía de mujeres en situación de pobreza mediante la entrega de equipos para la producción de tortillas. Sin embargo, durante su evaluación se detectaron inconsistencias en la medición de resultados, lo que llevó a su cancelación temporal.</t>
  </si>
  <si>
    <t>Cancelación de Programas</t>
  </si>
  <si>
    <t>El mejoramiento de las reglas de operación del programa “La escuela es nuestra”, a cargo del Gobierno de México, así como una revisión de cuentas más constante, ha disminuido el registro de malos manejos de recursos a prácticamente cero. Lo anterior fue afirmado por Abraham Mendoza Zenteno, delegado en Hidalgo de Programas del Bienestar federal, durante visita de trabajo para informar sobre la entrega de tarjetas bancarias con recursos financieros para dicho programa. Hace un par de años se registraron entre 3 a 4 casos de presunto mal manejo de los recursos de dicho programa, que incluso se judicializaron. El funcionario señaló que las experiencias al respecto, así como revisiones a las reglas de operación, ha permitido que los recursos entregados a los respectivos comités se usen con mayor eficiencia y transparencia. La misma situación se presenta en el caso del también programa federal “La clínica es nuestra”, para mejoras físicas de instalaciones para atención médica en localidades tanto del Estado de Hidalgo como del resto del país.</t>
  </si>
  <si>
    <t>La Escuela es Nuestra</t>
  </si>
  <si>
    <t>El titular de la Secretaría de Seguridad Pública de Hidalgo, reprochó a los responsables de la concesionaria a cargo de la autopista Arco Norte, que no tienen acceso ni conectividad a algunas cámaras de videovigilancia. El señalamiento se realizó durante la reunión de información y evaluación de los sistemas de vigilancia en la vialidad, ocurrida este miércoles 28 de abril. Santiago Córdoba García, director de operaciones de la empresa concesionaria IDEAL, anunció la instalación de 10 nuevas cámaras lectoras de placas para fortalecer el monitoreo en la autopista, de las cuales cuatro ya fueron colocadas y el resto se instalarán en las próximas semanas. Sin embargo, Cruz Neri señaló que no existe acceso a dichas cámaras ni a imágenes completas que permitan identificar vehículos. “En el tema de las cámaras del Arco Norte que usted dice se pusieron cuatro, tampoco tenemos conocimiento de esas. No tenemos conectividad ni sabemos dónde están”, enfatizó el mando policiaco. Además, solicitó la instalación de siete cámaras en el tramo hidalguense para mejorar la seguridad, pero indicó que el equipo de trabajo de la concesionaria solo le quería autorizar tres.</t>
  </si>
  <si>
    <t>Actualmente se evalúan dos terrenos propuestos para la construcción de un nuevo Centro de Reinserción Social (Cereso), que se ubicaría en el municipio de Ixmiquilpan, donde se contempla una inversión por aproximadamente 90 millones de pesos. Así lo informó Salvador Cruz Neri, titular de la Secretaría de Seguridad Pública de Hidalgo, señalando que uno de los terrenos presenta un avance significativo en su evaluación y fue donado por la propia comunidad. “Esperemos que en próximos días ya se tenga la viabilidad para que ahí se construya, y se dará el aviso oportuno de exactamente en dónde va a ser”. La revisión facilita el proceso de validación y arranque del proyecto; el segundo terreno también se encuentra en análisis técnico para determinar su viabilidad. El mando policiaco estatal no ofreció información sobre las localidades donde se encuentran los terrenos bajo evaluación, con objetivo de evitar posibles polémicas. En las próximas semanas podrían definirse las condiciones finales para elegir la ubicación definitiva, tras lo cual se emitiría el anuncio oficial. A principios de este año se conoció del proyecto de construcción del nuevo Cereso para ubicarse en el municipio de Tasquillo.</t>
  </si>
  <si>
    <t>Construcción de Cereso</t>
  </si>
  <si>
    <t>La Unidad Deportiva Javier Rojo Gómez fue escenario del Primer Encuentro Regional de Estudiantes con Discapacidad, en el que 110 niños, niñas y jóvenes de preescolar, primaria, secundaria y educación especial participaron en una miniolimpiada adaptada, demostrando que los límites existen en la mente, pero no en el corazón. El evento, organizado por la Dirección General de Inclusión para Personas con Discapacidad y Personas Cuidadoras, en colaboración con la Zona 05 de Educación Especial, reunió a más de 300 personas entre espectadores, docentes y familiares, quienes con su apoyo motivaron a los estudiantes a dar lo mejor de sí en cada actividad. Este importante encuentro contó con la presencia del Alfonso Hayim Flores Barrera, director de Inclusión del Estado de Hidalgo; la supervisora de la Zona 05, Milagros Arce Coen y Diana Esmeralda Peña Cañales, directora de Inclusión para Personas con Discapacidad y Personas Cuidadoras.</t>
  </si>
  <si>
    <t>Inclusión</t>
  </si>
  <si>
    <t>Vía telefónica el reporte de Bombero y Protección Civil con Abner Yáñez informa que se atendió un incendio por llantas, entre otras emergencias reportadas por la ciudadanía.</t>
  </si>
  <si>
    <t>Estructuras para colocación de publicidad fija fueron clausuradas por la Dirección municipal de Licencias y Permisos del Gobierno de Tulancingo, como medida de aviso para el retiro de las mismas por parte de sus propietarios. Lo anterior fue informado por Luis Edmundo Aguilar Aranda, Secretario General del Ayuntamiento, señalando que la medida es en acatamiento de la Ley de Imagen Urbana para el Estado de Hidalgo. Dicha normativa legal señala que no está permitida la instalación de este tipo de estructuras con objetivo de mejorar el entorno visual, así como para evitar accidentes a causa de distracciones de automovilistas al observar los anuncios. Hace unas semanas, la alcaldesa Lorena García Cázares señaló que las estructuras publicitarias serían retiradas, donde además del cuidado al entorno urbano, se previenen accidentes por la eventual caída, sobre todo de las que están colocadas a distancia del suelo. Señaló que posteriormente se hará una revisión de las solicitudes para la colocación de estructuras para colocación de publicidad, permitiendo que se coloquen aquellas que cumplan con las normativas de seguridad, así como las legales.</t>
  </si>
  <si>
    <t>La Comisión de Derechos Humanos del Estado de Hidalgo (CDEHEH) abrió investigación sobre el registro de mensajes amenazantes sobre un presunto tiroteo en escuelas de al menos cuatro municipios de la entidad. Lo anterior fue informado por la titular del organismo autóomo, Ana Karen Parra Bonilla, aclarando que la CDHEH está realizando observación y coordinación de las acciones que correspondan a la Secretaría de Educación Pública del Estado de Hidalgo y a la Secretaría de Seguridad Pública estatal. Por lo que las instancias estatales citadas deben implementar los operativos necesarios para atender las situaciones que se han presentado en días recientes.</t>
  </si>
  <si>
    <t>CDHEH</t>
  </si>
  <si>
    <t>Ante una serie de alertas y reportes falsos en planteles educativos de Hidalgo, vinculados a un reto viral que circula en redes sociales, la diputada Claudia Lilia Luna Islas planteó exhortar a la Secretaría de Educación Pública de Hidalgo (SEPH) y a la Secretaría de Seguridad Pública estatal (SSPH) para fortalecer las acciones de prevención tanto al interior como en el entorno de las escuelas. De acuerdo con datos de la SEPH, en lo que va del año se han registrado 13 amenazas de este tipo en instituciones públicas. Por ello, diputados de la 66 Legislatura impulsaron un acuerdo económico para solicitar la intervención coordinada de ambas dependencias. Entre las medidas propuestas se encuentra la actualización y difusión de los protocolos de atención ante este tipo de situaciones, el reforzamiento de los filtros de ingreso a los planteles y una mayor coordinación entre autoridades para atender de forma oportuna cualquier incidente. También se plantea desarrollar campañas informativas dirigidas a estudiantes, docentes y padres de familia, con el propósito de frenar la propagación de rumores y evitar reacciones de pánico en la comunidad escolar.</t>
  </si>
  <si>
    <t>Hasta el pasado fin de semana, autoridades en materia de seguridad pública así como del sector educativo, contabilizan 79 reportes sobre supuestos ataques con arma de fuego dentro de escuelas o en sus alrededores. De dicho total de reportes, 13 se han registrado en distintas regiones del Estado de Hidalgo, uno de ellos dentro del municipio de Tulancingo, cuya supuesta alerta se registró por medio de redes sociales. Las supuestas amenazas de tiroteo son producto de un reto viral donde los participantes deben colocar un anuncio, una pancarta o pintando alguna pared, sobre todo en baños dentro de planteles educativos, advirtiendo sobre un supuesto ataque armado. Otros puntos donde se ha registrado la colocación de los mensajes con “amenazas”, son los municipios de Pachuca y Tizayuca, siendo este último municipio citado uno de los primeros donde se conoció sobre la práctica del reto viral. La colocación de los anuncios ha implicado movilización policiaca para investigar las situaciones planteadas, así como la suspensión de clases para salvaguardar la integridad de los integrantes de las comunidades educativas involucradas. La Secretaría de Educación Pública en Hidalgo informó que directivos de los planteles educativos de todos los niveles ya fueron informados sobre protocolos y su aplicación, en caso de que se registren este tipo de “amenazas”. El protocolo incluye informar de esta tendencia viral a la comunidad escolar, especialmente a madres y padres de familia, así como mantener un diálogo permanente con sus hijas e hijos.</t>
  </si>
  <si>
    <t>La madrugada de este jueves, una mujer falleció y un hombre resultó lesionado tras accidentarse en su motocicleta contra la estructura del puente del Río de las Avenidas, a la altura del bulevar Rojo Gómez en Pachuca. El impacto provocó que las dos personas salieran proyectadas. La mujer fue localizada en el cauce del Río de las Avenidas, mientras que el conductor quedó sobre la vialidad con heridas de gravedad.</t>
  </si>
  <si>
    <t>Empleo y Capacitación en Tlahuelilpan: 159 Vacantes Disponibles</t>
  </si>
  <si>
    <t>Feria De Empleo</t>
  </si>
  <si>
    <t xml:space="preserve">Boletín 06: Hidalgo impulsa el conocimiento tecnológico con torneo de robots mundialista
</t>
  </si>
  <si>
    <t>Mundial de Futbol</t>
  </si>
  <si>
    <t>Mara Olvera y su columna Ajedrez Político: La visita de la Presidenta Claudia Sheinbaum mostró una democracia estable y alta gobernabilidad en el país. La fuerza política de izquierda, liderada por el gobernador Julio Menchaca Salazar en Hidalgo, demostró un impacto político claro. Mientras la derecha en Hidalgo enfrenta una crisis y disminución de sus militancias, Morena destacó con avances en obras públicas y programas sociales, consolidando el mensaje de unidad política de la Presidenta. El recorrido de Sheinbaum por varias localidades de Hidalgo reforzó sus proyectos, incluyendo la desarrollo del tren de la Ciudad de México a Pachuca y la inauguración de un Centro Deportivo. Esta visita fortaleció la relación entre la Presidenta y Menchaca, marcando estabilidad social en la región. El gobierno de Menchaca se centra en mejorar el bienestar de los hidalguenses, mientras la oposición lucha con la falta de un proyecto político. La participación ciudadana ha aumentado, reflejando el apoyo hacia el gobierno actual. La visita de Sheinbaum sugiere una fuerte aprobación hacia la transformación de la 4T y augura un posible destierro político de la derecha.</t>
  </si>
  <si>
    <t>Visita Sheinbaum</t>
  </si>
  <si>
    <t>Mara Olvera</t>
  </si>
  <si>
    <t>Radioescucha, Óscar Samperio Ortiz: ya estamos esperando los nuevos autobuses del Tuzobús que nos prometieron para mayo.</t>
  </si>
  <si>
    <t>Este boletín de Hacienda está hecho con las patas. Dicen cifras, a veces vienen atadas, a veces vienen desatadas. Es decir, a veces dice 3000 con un número, y a veces dice 3 y luego 1000 con M y L. Se llama atar o desatar. Para la lectura tiene que venir desatado. (0:24) ¿Me explico? (0:25) Y luego dice 3 y pones el signo de por ciento. Y luego viene desatado P o R por ciento. Es un pinche desgarriate. De verdad, debe de dar vergüenza, yo no sé cómo Mundo Pineda dice y regaña que, en radio, cuando no saben escribir, dice que es coordinado de comunicación. No saben escribir un boletín, no lo revisan. Es el boletín oficial, habla del gobernador. Ni siquiera hay un estilo, no tiene; a veces dice gobernador, a veces dice Julio Menchaca, a veces dice Menchaca Salazar como si fuéramos cuácharas, ¿no? No, no, no, de veras, pero uno es el maldito, ¿no? Yo soy muy maldito, pero no soy burro, como otros. No, no puedes, es una vergüenza, es un documento oficial. Imagínate que me mandas al Excélsior, ¿así escriben algo? Así es que ese es el nivel que trae la prensa de Hidalgo. ¡Qué vergüenza!</t>
  </si>
  <si>
    <t>Comunicación gubernamental</t>
  </si>
  <si>
    <t>La Comisión de Humanidades, Ciencias, Tecnología e Innovación del Congreso del Estado de Hidalgo, encabezada por la diputada Paloma Barragán Santos, entregó reconocimientos a niñas, niños, jóvenes y asesores que obtuvieron buenos resultados en la Expociencias Nacional 2025, celebrada en diciembre en Tampico, Tamaulipas, quienes participarán en diversos campeonatos internacionales este año en países como Tailandia, Reino Unido, Sudáfrica, Colombia y Costa Rica. El diputado Andrés Velázquez Vázquez, presidente de la Junta de Gobierno, indicó que los galardonados “son la prueba viva de que en nuestras aulas, laboratorios y comunidades se están gestando soluciones creativas a los retos del presente y del futuro. Quiero reconocer el esfuerzo de las niñas y niños y jóvenes que forman parte de esta delegación. Detrás de cada proyecto hay horas de estudio, ensayos fallidos, ajustes, desvelos y, sobre todo, una enorme pasión por aprender y transformar la realidad. Pero también hay alegría, optimismo y entusiasmo, satisfacciones que solamente se logran para tener algo sumamente trascendente en la vida: la felicidad”.</t>
  </si>
  <si>
    <t>Entrega de reconocimientos</t>
  </si>
  <si>
    <t>Boletín: Cuenta Pública 2025 confirma transformación financiera en Hidalgo</t>
  </si>
  <si>
    <t>En día de hoy el Secretario de Gobierno encabezará en Tepeji del Río la Jornada por la paz a las 12:45.</t>
  </si>
  <si>
    <t>Jornada por la paz</t>
  </si>
  <si>
    <t>La Saderh ha iniciado un campaña de información y concientización contra el gusano barrenador en la región de Ixmiquilpan. Hay que estar pendiente del ganado y los animales domésticos y ante cualquier sospecha de contagio de este gusano reportar y acudir a pedir atención.</t>
  </si>
  <si>
    <t>Hoy desde las 6 de la mañana Iniciaron trabajos de la segunda etapa de rehabilitación del bulevar Colinas – Santa Catarina, por lo que a partir de este viernes se realizará cierre vehicular en la zona. Para mantener la circulación se habilitará la calle Impulsor Primario en doble sentido, en dirección México–Pachuca.</t>
  </si>
  <si>
    <t>Rehabilitación Vial</t>
  </si>
  <si>
    <t>Andrés Torres informa que se quemó el transformador y no tienen electricidad, por lo que la señal del 1010 AM de El Vocero Huasteco está fuera del aire, pero sí se escuchan en 92.7 FM. Ya llevan dos semanas fuera del aire, dice.</t>
  </si>
  <si>
    <t>Andrés Torres recuerda que la Secretaría de Salud de Hidalgo mantiene activa la vacunación contra sarampión y otras enfermedades. Hay que acudir a clínicas y hospitales a vacunarse y completar los esquemas de vacunación.</t>
  </si>
  <si>
    <t>Alcantarillado</t>
  </si>
  <si>
    <t>Mosco Culex</t>
  </si>
  <si>
    <t>Mundial De Futbol</t>
  </si>
  <si>
    <t>Radio Lobo 96.7 FM</t>
  </si>
  <si>
    <t>Enlace Noticias</t>
  </si>
  <si>
    <t>Boletín 48: Estudiantes de la UAEH dan un paso en la construcción de nuevas masculinidades</t>
  </si>
  <si>
    <t>Perspectiva de género</t>
  </si>
  <si>
    <t>Gina Lorenzo</t>
  </si>
  <si>
    <t>Tianguis Pueblos Mágicos</t>
  </si>
  <si>
    <t>Trabajadores encargados de la restauración en la Zona de Monumentos Arqueológicos de Huapalcalco aseguraron el presunto hallazgo de 11 cráneos humanos y el esqueleto de un jaguar en el sitio. De acuerdo con testimonios de los operarios que realizan la reposición de piedra en los montículos donde existen faltantes, los restos óseos fueron localizados en la sección inferior de la zona. Al intentar obtener una postura oficial sobre la relevancia arqueológica de los restos, el arqueólogo responsable de la obra se negó a brindar detalles a La Jornada Hidalgo, argumentando que la delegación estatal del Instituto Nacional de Antropología e Historia (INAH) ha impuesto una prohibición explícita a los especialistas para declarar ante la prensa. Esta falta de apertura coincide con los cuestionamientos sobre la ausencia de Manuel Villarruel Vázquez, titular del INAH en Hidalgo, en la zona de monumentos, cuya gestión ha sido criticada por la falta de supervisión directa en los trabajos de campo. Aunado al silencio institucional, las condiciones actuales del sitio contrastan drásticamente con su importancia histórica y la proyección que se pretende darle. Pese a que se ejecuta una inversión de 1.7 millones de pesos orientada a la proyección turística para el próximo Mundial de Fútbol, el lugar carece de señalética visible en las vías de acceso que oriente a los visitantes hacia la zona arqueológica. En la Zona Arqueológica de Huapalcalco se observa acumulación de basura y el uso de bolsas de plástico adaptadas como cestos improvisados, evidenciando un descuido en el mantenimiento básico que contradice el presupuesto asignado para la dignificación y rescate del área. Las labores actuales en Huapalcalco se centran en el retiro de grafitis y la consolidación de estructuras. No obstante, las pintas registradas el 22 de diciembre de 2023 en el Montículo VI y el monolito de la plazoleta —donde se leen consignas como “Fuera Osvaldo Sterpone”, en referencia al exdelegado del Instituto en la entidad— han quedado fuera de las tareas de limpieza. Esto obedece a que dichas afectaciones forman parte de un procedimiento penal vigente para determinar responsabilidades por daños al patrimonio, lo que obliga a mantener las evidencias intactas como parte de la investigación jurídica, postergando así la restauración total de los monumentos afectados.</t>
  </si>
  <si>
    <t>Vestigios Arqueológicos</t>
  </si>
  <si>
    <t>En Tulancingo, Hidalgo, está prohibido apartar espacios de estacionamiento en la vía pública con objetos como cubetas, sillas o cajas, según el Reglamento de Tránsito local. Aunque la práctica es común, el artículo 83 y 86 prohíben la obstaculización, permitiendo a los agentes retirar dichos objetos para garantizar el libre tránsito.</t>
  </si>
  <si>
    <t>Entrevista grabada Edda Vite Ramos, presidenta del Patronato del Ssistema DIF Hidalgo, informó sobre una iniciativa que se está trabajando en conjunto con el TSJEH para agilizar las adopciones, es decir, que jurídicamente, el DIFH pueda estar en posibilidades de otorgar a más niños en adopción.</t>
  </si>
  <si>
    <t>Adopciones</t>
  </si>
  <si>
    <t>Entrevista grabada Edda Vite Ramos, presidenta del Patronato del Ssistema DIF Hidalgo, habló sobre la importancia de festejar a las infancias hidalguenses no solo un día, sino, los 365 días del año, educarlos con amor y estar al pendiente de su desarrollo. En el marco de la conmemoración del 30 aniversario del Parque Recreativo El Caracol, la importancia de del resurgimiento de estos espacios, ya que, dijo, son espacios donde la niñez y la familia pueden convivir. Respecto a los temas prioritarios en el DIFH, habló sobre la importancia de ser un DIFH cercano, que vea las necesidades de los niños, como lo hacen las y los presidentes municipales.</t>
  </si>
  <si>
    <t>En los últimos 38 días subió el robo a transporte de carga más del 100 por ciento y el robo a transporte privado también más del 100 por ciento en la autopista Arco Norte, reveló el secretario de Seguridad Pública estatal, Salvador Cruz Neri. “Es un tema para nosotros preocupante y que nos tenemos que ocupar de ello”, sostuvo en la mesa de trabajo interinstitucional de este miércoles con la concesionaria Arco Norte, en donde puntualizó que la vía es un tramo del orden federal, “en el que nosotros coadyuvamos”. De las cuatro cámaras de seguridad instaladas en la autopista Arco Norte lectoras de placas, las cuales serán 10 en total, el secretario de Seguridad Pública estatal mencionó que la concesionaria de la autopista no ha compartido las imágenes con la Secretaría. Indicó que incluso la dependencia a su cargo no tiene conocimiento de dichas cámaras. Recordó que hizo un planteamiento para la instalación de 16 cámaras en la autopista Arco Norte, en el tramo de Hidalgo, sin embargo, en las reuniones con la concesionaria se redujo a 7 cámaras para tener una mayor seguridad en la parte de la carretera que cruza por el estado. “Ya lo tiene su equipo de trabajo (del director de operaciones del concesionario, Santiago Córdoba García), nos dijeron que no, únicamente tres, parece que estamos en el mercado vendiendo chiles y cebollas, aquí no se regatea el tema, se va a colaborar y se acabó el tema, no vamos regatear nada, si hay colaboración y voluntad adelante”, sostuvo. Por su parte, el director de operaciones del concesionario de la vía Arco Norte, Santiago Córdoba García, mencionó que dentro de las diez cámaras lectoras de placas que se instalarán en la vía carretera están contempladas las siete que solicitó la Secretaría de Seguridad Pública estatal. Según Córdoba García en los últimos 18 meses, la incidencia delictiva ha disminuido alrededor del 60 por ciento en el Arco Norte, lo que consideró un logro de la Guardia Nacional (GN), el Ejército mexicano y la Secretaría de Seguridad Pública de Hidalgo (SSPH). “Lo que hemos logrado reducir es el asalto, el asalto en todo el tramo, la realidad es que, si bien todavía no cantamos victoria, seguimos poniendo sobre el renglón las cosas que están sucediendo, creo que los esfuerzos que se han dado nos han ayudado a reducir los asaltos en la vía a lo largo de los 224 kilómetro del Arco Norte que pasa por los cuatro estados: Hidalgo, Puebla, Tlaxcala y Estado de México”. Según Córdoba García en los últimos 18 meses, la incidencia delictiva ha disminuido alrededor del 60 por ciento en el Arco Norte, lo que consideró un logro de la Guardia Nacional (GN), el Ejército mexicano y la Secretaría de Seguridad Pública de Hidalgo (SSPH). “Lo que hemos logrado reducir es el asalto, el asalto en todo el tramo, la realidad es que, si bien todavía no cantamos victoria, seguimos poniendo sobre el renglón las cosas que están sucediendo, creo que los esfuerzos que se han dado nos ha ayudado a reducir los asaltos en la vía a lo largo de los 224 kilómetro del Arco Norte que pasa por los cuatro estados: Hidalgo, Puebla, Tlaxcala y Estado de México”.</t>
  </si>
  <si>
    <t>Boletín 600: La Secretaría de Cultura del Gobierno de México y el Gobierno del Estado de Hidalgo, a través de su Secretaría de Cultura, organizan el festival “Hidalgo en Los Pinos”, que lleva al Complejo Cultural Los Pinos más de 900 artistas, personas artesanas, cocineras tradicionales, talleristas, juegos tradicionales, productores locales y elencos de la entidad los días 9 y 10 de mayo de 10 a 17 h.</t>
  </si>
  <si>
    <t>Hidalgo en Los Pinos</t>
  </si>
  <si>
    <t>La noche del miércoles se registró un fuerte incendio en las instalaciones del Parque Acuático Valle Paraíso, el hecho movilizó a cuerpos de emergencia en el municipio de Ixmiquilpan. De acuerdo a la información, el fuego se inició en el área de almacenamiento de basura, ocasionando grandes cortinas de humo que alertaron a los pobladores. Bomberos de Protección Civil Municipal laboraron durante varios minutos para poder sofocar las llamas y evitar que se extendieran a más áreas del balneario. Pese a la situación, no se reportaron personas lesionadas, únicamente daños materiales. Hasta el momento se desconocen los motivos por los que se inició el incendio.</t>
  </si>
  <si>
    <t>Boletín 06: Hidalgo impulsa el conocimiento tecnológico con torneo de robots mundialista</t>
  </si>
  <si>
    <t>Boletín 266: Hidalgo se corona como el estado con mayor crecimiento económico de México en 2025</t>
  </si>
  <si>
    <t>Crecimiento Económico</t>
  </si>
  <si>
    <t>Mediante enlace telefónico, Rene Aguilar informó que el día de hoy se tiene prevista la visita de la señora Edda Vite, presidenta del Sistema DIF Hidalgo al municipio de Tulancingo, con motivo de la conmemoración del aniversario del “Parque El Caracol”</t>
  </si>
  <si>
    <t>Conmemoración Aniversario</t>
  </si>
  <si>
    <t>En su colaboración semanal, Gustavo Rosales habló sobre sobre la participación de atletas hidalguenses en la Olimpiada Nacional Conade 2026, destacando la participación de deportista en la disciplina de “Tiro con arco”, así como la participación de las pedalistas hidalguenses en ciclismo en donde Valeria Quetzali Domínguez se proclamó campeona nacional, así como, la participación de Arumi Carreón Hernández al adjudicarse la medalla de plata. Al corte del 27 de abril, el medallero marcha de la siguiente manera: en la primera posición Jalisco con 275 preseas; le sigue Nuevo León con 136;Baja California con 51; mientras que Hidalgo se coloca en la décimo tercera posición sumando cuatro medallas de oro, cinco de plata y una de bronce para sumar un total de diez preseas.</t>
  </si>
  <si>
    <t>Boletín 577: Último día para registro al Pabellón Artesanal de la Feria de San Francisco 2026</t>
  </si>
  <si>
    <t>Feria Pachuca</t>
  </si>
  <si>
    <t>Boletín 639: EMEH abre convocatorias 2026 con programas únicos en formación artística</t>
  </si>
  <si>
    <t>Cultura</t>
  </si>
  <si>
    <t>EMEH</t>
  </si>
  <si>
    <t>Boletín 48: Estados coordinan acciones para fortalecer la seguridad y operación del Arco Norte</t>
  </si>
  <si>
    <t>Boletín 725: SSPH detecta traslado ilegal de hidrocarburo y asegura a dos presuntos responsables en San Agustín Tlaxiaca</t>
  </si>
  <si>
    <t>Un accidente ocurrido la madrugada de este jueves en el bulevar Río de las Avenidas, en Pachuca, dejó un saldo de una mujer que perdió la vida y su acompañante resultó gravemente lesionado.De acuerdo con la Policía Municipal, el percance ocurrió en el cruce de este bulevar con bulevar Colosio, cuando una pareja viajaba en una motocicleta. Por razones aún no esclarecidas, el vehículo impactó contra un objeto fijo, lo que provocó que la mujer cayera al canal cercano.A pesar de los esfuerzos por salvarla, la mujer perdió la vida en el lugar. En cuanto a su acompañante, fue trasladada de inmediato a un hospital de Pachuca para recibir atención médica, aunque se desconocen la gravedad de sus lesiones.</t>
  </si>
  <si>
    <t>Radioescucha reporta que un taxi le cobró de Everardo Márquez a la Aquiles Serdán, cobró $70.00 pesos.</t>
  </si>
  <si>
    <t>Alteración tarifa de transporte</t>
  </si>
  <si>
    <t>Radioescucha reporta que un taxi 0426 le cobró $60 pesos, de 2 Caminos a Plaza Revolución.</t>
  </si>
  <si>
    <t>Radioescucha Javier Vázquez pregunta: ¿Cuánto debe cobrar un taxi de C. Doria a la colonia Morelos? Comenta conductor Eulalio Larrieta que ya están haciendo un desastre los taxistas; su mínima ya la hacen de 60 pesos; es un relajo que no siguen su tarifa</t>
  </si>
  <si>
    <t>La Secretaría de Educación Pública de Hidalgo (SEPH) informó que, en lo que va del año, ha documentado 13 amenazas de tiroteo en escuelas públicas de la entidad.El titular de la dependencia, Natividad Castrejón Valdez, explicó que las autoridades localizaron mensajes anónimos en sanitarios y otros espacios de secundarias y preparatorias, en los que se advierte sobre supuestos ataques armados dentro de los planteles.De acuerdo con el funcionario, en cada caso la SEPH activó los protocolos correspondientes para informar a madres y padres de familia, personal docente y autoridades municipales, con el fin de aplicar medidas preventivas y atender cualquier riesgo.</t>
  </si>
  <si>
    <t>Boletín 724 : La SSPH informa lo siguiente: Derivado de labores preventivas y de combate al delito en el municipio de Apan, elementos del Mando Coordinado intervinieron una camioneta que transportaba contenedores con gasolina. Al notar la presencia policial, adoptó una actitud evasiva, por lo que se solicitó el apoyo inmediato de elementos estatales, quienes desplegaron un operativo que derivó en una persecución en el camino viejo a la localidad de San Juan Ixtilmaco.</t>
  </si>
  <si>
    <t>El equipo que integra esta dependencia se solidariza con la familia de nuestro titular Miguel Tello en este momento, lamentamos el sencible fallecimiento de la Sra. Liliana Mireles, suegra de nuestro titular, Miguel Tello. Acompañamos con respeto y enviamos un abrazo a sus seres queridos.</t>
  </si>
  <si>
    <t>Condolencias</t>
  </si>
  <si>
    <t>El titular de la Secretaría de Seguridad Pública del Estado, Salvador Cruz Neri, informó que el municipio de Ixmiquilpan podría ser la sede del nuevo Centro de Readaptación Social (Cereso) que planea construir el Gobierno del Estado y el cual fue rechazado en un inicio por habitantes de Tasquillo. Aunque no reveló más detalles, el secretario mencionó que en este municipio existen terrenos en diferentes comunidades con viabilidad para albergar el nuevo edificio, sin embargo, omitió los nombres., AUDIO APOYO</t>
  </si>
  <si>
    <t>El titular de la Secretaría de Seguridad Pública del Estado, Salvador Cruz Neri, informó que el municipio de Ixmiquilpan podría ser la sede del nuevo Centro de Readaptación Social (Cereso) que planea construir el Gobierno del Estado y el cual fue rechazado en un inicio por habitantes de Tasquillo. Aunque no reveló más detalles, el secretario mencionó que en este municipio existen terrenos en diferentes comunidades con viabilidad para albergar el nuevo edificio, sin embargo, omitió los nombres.</t>
  </si>
  <si>
    <t>Boletín 48 : Estados coordinan acciones para fortalecer la seguridad y operación del Arco Norte, AUDIO APOYO</t>
  </si>
  <si>
    <t>Estados coordinan acciones para fortalecer la seguridad y operación del Arco Norte. En las oficinas centrales del Arco Norte, se llevó a cabo la mesa de trabajo interestatal con la concesionaria de esta vía a fin de fortalecer la coordinación institucional y revisar temas relacionados con su operación, mantenimiento y condiciones de seguridad. El encuentro, encabezado por el secretario de Gobierno, Guillermo Olivares Reyna, permitió definir mecanismos de colaboración que mejoren la movilidad, la seguridad vial y la atención a las y los usuarios que transitan por esta infraestructura estratégica, como ha sido interés del gobernador Julio Menchaca Salazar, donde se privilegie un tránsito seguro para quienes circulan por ahí.</t>
  </si>
  <si>
    <t>NN Nuestras Noticias Zona Norte</t>
  </si>
  <si>
    <t>Boletín : Cuenta Pública 2025 confirma transformación financiera en Hidalgo, AUDIO DE APOYO</t>
  </si>
  <si>
    <t>Liz Argüelles</t>
  </si>
  <si>
    <t>En representación del gobernador del estado de Hidalgo, Julio Menchaca, la Secretaria de Hacienda de Hidalgo, Esther Ramírez Vargas, entregó ante diputadas y diputados de la LXVI Legislatura del Congreso local la Cuenta Pública del Estado, correspondiente al ejercicio 2025, en cumplimiento de la normatividad y como parte del compromiso de informar con transparencia el destino de los recursos públicos.</t>
  </si>
  <si>
    <t>Vía telefónica, Eduardo Medecigo presidente municipal de Mineral de la Reforma, habló sobre las actividades por motivo del Día del Niño y la Niña</t>
  </si>
  <si>
    <t>Vía telefónica, Jorge Reyes presidente municipal de Pachuca sobre el tema : festividades por motivo del Día del Niño y la Niña</t>
  </si>
  <si>
    <t>Boletín 1646 : Impulsan educación en Tula con 6.4 mdp en obras y equipamiento</t>
  </si>
  <si>
    <t>Como parte del compromiso del gobernador Julio Menchaca Salazar de garantizar espacios dignos y herramientas de calidad para la comunidad educativa, el secretario de Educación Pública de Hidalgo, Natividad Castrejón Valdez, realizó una gira de trabajo en el municipio de Tula de Allende, donde entregó infraestructura y equipamiento con una inversión total de 6.4 millones de pesos.En la escuela Secundaria General “Genaro Guzmán Mayer”, ubicada en la localidad de San Marcos, el titular de la SEPH realizó la entrega simbólica de infraestructura y equipamiento para 16 escuelas de la región, con una inversión de 2.7 millones de pesos.</t>
  </si>
  <si>
    <t>Boletín 63 : Realizan Jornada de Empleo en Tlahuelilpan</t>
  </si>
  <si>
    <t>Radioescucha reporta nuevamente una fuga de agua en el Palmar</t>
  </si>
  <si>
    <t>La presencia del gusano barrenador del ganado se extiende en más de 40 municipios de Hidalgo, de acuerdo con autoridades del sector agropecuario, quienes señalaron que la plaga se mantiene bajo atención y control en la mayoría de los casos. El titular de la Secretaría de Agricultura y Desarrollo Rural en la entidad, Napoleón González, informó que existe una estrategia coordinada para contener su propagación y atender a los animales afectados. Por su parte, datos del Servicio Nacional de Sanidad, Inocuidad y Calidad Alimentaria indican que son 45 municipios los que reportan incidencia de esta plaga. Al corte del 24 de abril se contabilizaron 87 casos activos, distribuidos en 31 demarcaciones, siendo el municipio de la Misión el que concentra el mayor número de registros.En materia de salud publica la secretaria de salud estatal Vanessa Escalante Arrollo, señalo que se desarrollan acciones preventivas , AUDIO APOYO VEA</t>
  </si>
  <si>
    <t>La Secretaría de Cultura del Gobierno de México y el Gobierno del Estado de Hidalgo, a través de su Secretaría de Cultura, organizan el festival “Hidalgo en Los Pinos”, que lleva al Complejo Cultural Los Pinos más de 900 artistas, personas artesanas, cocineras tradicionales, talleristas, juegos tradicionales, productores locales y elencos de la entidad los días 9 y 10 de mayo de 10 a 17 h. Para la secretaria de Cultura del Gobierno de México, Claudia Curiel de Icaza, la colaboración amplifica la voz de las comunidades, promueve el patrimonio vivo y consolida espacios en los que la cultura se convierte en un motor de identidad, inclusión y transformación.</t>
  </si>
  <si>
    <t>La diputada Claudia Luna del Partido Acción Nacional (PAN) presentó ante el Congreso de Hidalgo una iniciativa que modifica los artículos 25 y 331 del Código Penal estatal para impedir que familiares o personas cercanas oculten a responsables de delitos graves sin sanción.La propuesta, conocida como Ley Monse, plantea que el parentesco no funcione como excusa legal en casos de feminicidio, homicidio, violación o delitos sexuales contra menores, AUDIO APOYO</t>
  </si>
  <si>
    <t>Radioescucha Sr. Paredes reporta que no funciona la lámpara que está en la esquina del callejón de Quintana Roo y Plaza de Patoni</t>
  </si>
  <si>
    <t>A partir de mayo de 2026, el sistema Tuzobús en Pachuca renovará su flota con la incorporación gradual de 80 a 140 nuevas unidades, diseñadas para mejorar la frecuencia y tiempos de espera. De acuerdo con el oficial mayor del Estado, Orlando Ángeles, el proyecto contempla el arrendamiento de las unidades por un monto superior a los 600 millones de pesos bajo un esquema de pagos mensuales durante 24 meses que incluyen mantenimiento seguro y servicios adicionales, AUDIO APOYO</t>
  </si>
  <si>
    <t>El Consejo de Ciencia, Tecnología e Innovación de Hidalgo (CITNOVA) llevó a cabo el Torneo Ingenio Mundialista 2026 de Robots</t>
  </si>
  <si>
    <t>Entrevista grabada presidente municipal de Tula de Allende, Cristhian Martínez, informó que se lleva a cabo un recorrido por distintas colonias y comunidades de Tula, “Encuentros por la Transformación” con el objetivo de regresar a constatar que en las 54 comunidades hay obra pública, donativo de los 20 mil pesos para todas las comunidades, esterilizaciones, maquinaria, muchísimas cosas. Platicó también sobre los festejos del Día del Niño, sobre eventos que va a haber este fin de semana, así como el avance para el proyecto del relleno sanitario de Tula, AUDIO APOYO</t>
  </si>
  <si>
    <t>Obras De Infraestructura</t>
  </si>
  <si>
    <t>Productores de Hidalgo, adscritos al Congreso Agrario Permanente (CAP), denunciaron que los retrasos en las obras del Plan Hídrico los han dejado sin ingresos tras la suspensión de siembras y advirtieron que podrían verse nuevamente afectados al no contar con infraestructura suficiente para el riego en el ciclo primavera-verano, el cual consideran el más productivo del año.El coordinador general del CAP, Francisco Ortega Sánchez, precisó que hubo un compromiso de la Comisión Nacional del Agua (Conagua) y otras instituciones para terminar las obras el 31 de marzo, sin embargo se firmó un plazo de un mes, pero tampoco fueron concluidas y se encuentran detenidas. Ortega Sánchez denunció la falta de transparencia en la asignación de contratos, incumplimiento en la promesa de empleo temporal y deficiencias en la calidad de la obra.AUDIOS DE APOYO</t>
  </si>
  <si>
    <t>Plan Hídrico</t>
  </si>
  <si>
    <t>Boletín 53: Hidalgo fortalece su proyección turística en la 50 edición del Tianguis Turístico México 2026, AUDIO DE APOYO</t>
  </si>
  <si>
    <t>Vía telefónica Diputada Paloma Barragán Santos con el tema: Agenda legislativa en el mes de abril: Comentó que este mes estuvo en la mesa directiva del Congreso del Estado de Hidalgo, que fue un mes lleno de muchos retos. Se impulsaron iniciativas enfocadas en el bienestar social, en el fortalecimiento de derechos, desarrollo de comunidades, acceso a mejores condiciones para la educación, impulso a sectores vulnerables, y enfocadas no solo en la región de la Huasteca, sino en todo el estado de Hidalgo.</t>
  </si>
  <si>
    <t>Trabajo legislativo</t>
  </si>
  <si>
    <t>Villa de Tezontepec está lista para celebrar, como cada año desde hace tres décadas, el Día del Tortero con la edición 2025 del Festival Internacional de la Torta, a realizarse el próximo jueves 1º de mayo. Este evento no solo rinde homenaje a más de 800 torteros locales, sino que también pone en alto el sabor y la identidad cultural del municipio.</t>
  </si>
  <si>
    <t>Turismo Gastronómico</t>
  </si>
  <si>
    <t>Locutor Jesús Riveros e Irving Sánchez comentan sobre el aumento a la tarifa de transporte público, un aumento que no se daba desde hace cuatro años; comentan que, ojalá este aumento también sirva para que los concesionarios mejores las unidades de transporte y que contraten a choferes más responsables y educados.</t>
  </si>
  <si>
    <t>Aumento Tarifa De Transporte</t>
  </si>
  <si>
    <t>Locutor Jesús Riveros da lectura a diversos comentarios de radioescuchas que preguntan, si con el nuevo aumento a la tarifa de transporte, también habrá mejores unidades de transporte, porque las que están, se encuentran en malas condiciones.</t>
  </si>
  <si>
    <t>Locutor Jesús Riveros da lectura a diversos comentarios de radioescuchas que pregunta, a partir de cuándo será aplicable el aumento a la tarifa del transporte público.</t>
  </si>
  <si>
    <t>La secretaria de Movilidad y Transporte, Lyzbeth Robles Gutiérrez, anunció que la tarifa del transporte público en Hidalgo tendrá un incremento del 20 por ciento, el cual aplicará únicamente para el Sistema de Transporte Convencional (SITMA), sin afectar al Tuzobús ni al servicio de taxis. Durante la conferencia mañanera, la funcionaria explicó que el ajuste responde a diversos factores, entre ellos las solicitudes presentadas por concesionarios, quienes plantearon aumentos que iban del 20 al 60 por ciento; sin embargo, tras un proceso de depuración, únicamente se autorizaron aquellas peticiones que contaban con sustento técnico. Detalló que el análisis consideró variables como la longitud de las rutas, el tipo de servicio, la frecuencia, los costos de operación y las condiciones económicas. Asimismo, se evaluaron aspectos como la infraestructura, las características de los trayectos y el desarrollo de cada región. Robles Gutiérrez subrayó que el procedimiento de actualización tarifaria corresponde a las personas concesionarias, quienes deben presentar la documentación que justifique el incremento. En ese sentido, señaló que varias solicitudes fueron descartadas por carecer de respaldo técnico suficiente.</t>
  </si>
  <si>
    <t>El pasado 24 de abril de 2026 se instaló en Pachuca la primera Visitaduría Regional del Órgano de Evaluación del Desempeño Judicial de la región Centro-Bajío. En el mismo acto, se designó a Iram Zúñiga Pérez como titular de la Visitaduría Regional del Órgano de Evaluación del Desempeño Judicial en la Región Centro-Bajío, que abarca a los estados de Guanajuato, Morelos, San Luis Potosí, Hidalgo, Zacatecas, Estado de México y Tamaulipas, y tendrá su sede en Pachuca</t>
  </si>
  <si>
    <t>Visitaduría Judicial</t>
  </si>
  <si>
    <t>David Cárdenas informó que, durante la conferencia mañanera de hoy, el titular de Comunicación Social dio a conocer que la tarifa para el Tuzobús y taxis no tendrá aumento, en el caso de la zona metropolitana, el incremento aplica únicamente para las colectivas. (AUDIO EPL).</t>
  </si>
  <si>
    <t>David Cárdenas informó que, durante la conferencia mañera, del día de hoy, la titular de Movilidad y Transporte, Lizbeth Robles dio a conocer el aumento a la tarifa del transporte público. (AUDIO LRG).</t>
  </si>
  <si>
    <t>Locutor David Cárdenas comentó que, durante la conferencia matutina, después de que se supo del temblor, fue el titular de comunicación Social el que informó que se trabajó de manera inmediata para atender el reporte.</t>
  </si>
  <si>
    <t>Durante el evento de la Estrategia de Seguridad Publica transforma, el secretario de Seguridad Pública de Hidalgo, Salvador Cruz Neri, señaló que los cuerpos de seguridad se están preparando día con día, lo que genera para la población mayor tranquilidad y mayor seguridad. (AUDIO SCN).</t>
  </si>
  <si>
    <t>Equipamiento policiaco</t>
  </si>
  <si>
    <t>Locutor David cárdenas informó que el día de hoy, el mandatario estatal encabezó la Estrategia de Seguridad Publica transforma, en donde , se habló del equipamiento especializado para pueblos y seguridad, así como el reporte de cómo se ha ido trabajando; cabe destacar, que día a día durante el noticiero se dan a conocer los esfuerzos que hacen a través de la participación ciudadana y la confianza que tiene la ciudadanía para acudir cuando hay alguna comisión de un delito con la SSPH. Ahora, con todo este esfuerzo institucional que se realiza de manera coordinada con distintas corporaciones para poder inhibir perseguir a quien comete algún delito.</t>
  </si>
  <si>
    <t>Boletín 021: Con plataforma única, en Hidalgo arrancan declaraciones patrimoniales 2026</t>
  </si>
  <si>
    <t>Declaración patrimonial</t>
  </si>
  <si>
    <t>Entrevista vía telefónica Neyda Naranjo, secretaria de Cultura - Hidalgo en Los Pinos - Habló sobre la participación de “Hidalgo en Los Pinos” el próximo 9 y 10 de mayo, con el objetivo de visibilizar la riqueza cultural de la entidad y promover el patrimonio vivo de sus comunidades, se contará con una amplia oferta gastronómica y artesanal con productos de difeentes regiones del Estado. Dicho evento, contará con la participación de representantes de 50 municipios.</t>
  </si>
  <si>
    <t>Entrevista pautada</t>
  </si>
  <si>
    <t>La mañana de este lunes se registró un sismo que se percibió en el la zona conurbada Veracruz- Boca del Río. El sismo ocurrió cerca de las 9:20 de la mañana, sin que se activara la alerta sísmica en los teléfonos, como en temblores anteriores. De acuerdo con el Servicio Sismológico Nacional, el sismo tuvo una magnitud de 6. La alerta sísmica se activó en la Ciudad de México durante el evento, horas antes de que se realizara un simulacro a nivel nacional.</t>
  </si>
  <si>
    <t>Sismo</t>
  </si>
  <si>
    <t>La Secretaría de Seguridad Pública, Tránsito y Vialidad de Pachuca logró, mediante una rápida reacción y coordinación interinstitucional, la recuperación de un vehículo robado en el fraccionamiento Puerta de Hierro, el cual fue localizado horas después en el Estado de México. El reporte se recibió a través del C4, lo que activó de inmediato un operativo por parte de la Policía Municipal, cuyos elementos se trasladaron sin demora a la avenida Nuevo Hidalgo para atender el hecho. En el lugar, el propietario, identificado con las iniciales C. C. I. P. M., indicó que la unidad, una Honda CRV color gris con placas del estado de Hidalgo, contaba con sistema de geolocalización, lo que permitió agilizar las acciones de búsqueda. De forma inmediata se estableció coordinación con la empresa de GPS, logrando ubicar el vehículo en Tecamachalco, Estado de México. Paralelamente, se activaron los canales de colaboración con el C5i Hidalgo y el C5 del Estado de México, fortaleciendo el despliegue operativo. Gracias a esta coordinación oportuna, la unidad fue inmovilizada de manera remota y posteriormente localizada en estado de abandono sobre Prolongación Morelos, mediante un operativo conjunto en el que participaron la Policía Estatal del Estado de México y la Secretaría de Marina. El vehículo fue recuperado y puesto a disposición para los trámites correspondientes, resultado de la respuesta inmediata y el trabajo coordinado entre instituciones de seguridad.</t>
  </si>
  <si>
    <t>Recuperación De Vehículos Robados</t>
  </si>
  <si>
    <t>Desde la conferencia matutina, Juan Carlos Santamaría habló sobre la presentación de Pedro Luis Noble Monterrubio, presidente del Colegio de Notarios de hidalgo, quien informó sobre la propuesta para expedir la nueva Ley Notarial para el Estado de Hidalgo. Pedro Luis Noble Monterrubio, señaló que estas nuevas disposiciones posicionarán a la entidad como un referente nacional en materia notarial.</t>
  </si>
  <si>
    <t>En vivo desde la conferencia mañanera, Juan Carlos Santamaría informó que, la secretaria de Movilidad y Transporte esta por anunciar el porcentaje que se estará incrementando en el monto a la tarifa del transporte público, antes, está dando una amplia explicación acerca de los fundamentos que se utilizaron para dicho incremento, que tenía más de cuatro años sin incrementos.</t>
  </si>
  <si>
    <t>En vivo desde la conferencia mañanera, Juan Carlos Santamaría da salida a audio por parte de titular de Comunicación Gubernamental, Edmundo Pineda López, en donde presenta a los participantes de esta conferencia: Lizbeth Robles, secretaria de Movilidad y Transporte; Ricardo Crespo, Diputado Federal; Heriberto Castillo Villanueva, Notario y Pedro Luis Noble Monterrubio, presidente del Colegio de Notarios de Hidalgo.</t>
  </si>
  <si>
    <t>Durante la conferencia mañanera de Gobierno del Estado de Hidalgo, el titular de Comunicación Gubernamental, Edmundo Pineda López hizo referencia sobre un evento que se realizará a las 11:00 horas en el Parque cultural Hidalguense y que será encabezado por el gobernador Julio Menchaca y ha solicitado a los medios presentes hacer más fluida está conferencia por esta ocasión, para que, quienes gusten, puedan trasladarse a dicho evento.</t>
  </si>
  <si>
    <t>Boletín 728: Con múltiple detención, la SSPH combate al delito de préstamos “gota a gota” Actopan</t>
  </si>
  <si>
    <t>Un hombre fue asesinado la tarde de este sábado en la calle Manuel Rojo del Río en la colonia centro de Tula de Allende, presuntamente al interior de un bar, en un hecho que ya es investigado por autoridades.De acuerdo con información preliminar, la víctima fue identificada con las iniciales I.S.I.M., de 39 años de edad y originario de Tezontepec de Aldama, trascendió que el hombre recibió tres impactos de arma de fuego, dos de ellos en la cabeza y uno más en el abdomen, lesiones que le provocaron la muerte de manera inmediata en el lugar.</t>
  </si>
  <si>
    <t>Ejecuciones</t>
  </si>
  <si>
    <t>La madrugada de este lunes 4 de mayo, un hombre fue asesinado a tiros en la colonia Cerro de la Cruz, en el municipio de Tlahuelilpan. El ataque ocurrió alrededor de las 05:10 horas sobre la calle 3 de Mayo, donde elementos de seguridad encontraron a la víctima sin vida, tendida boca abajo y con una herida de bala en la cabeza.La persona fallecida fue identificada con las iniciales J.M.S.M., de 36 años de edad. Su esposa, presente en el lugar, informó que ambos caminaban rumbo a su domicilio cuando fueron interceptados por dos hombres a bordo de una motocicleta, quienes dispararon sin advertencia y huyeron</t>
  </si>
  <si>
    <t>Vía telefónica, Neyda Naranjo, secretaria de Cultura - Hidalgo en Los Pinos – Comentó que Hidalgo llega a Los Pinos con lo más valioso que tiene su gente y su cultura. Este 9 y 10 de mayo, de 10 am a las 5 de la tarde, estaremos con una delegación de más de 1000 portadores de cultura representando a las 10 regiones geoculturales del estado de Hidalgo. Podrán disfrutar de danzas tradicionales, comparsas, música, huapangos, bandas de viento y orquestas sinfónicas. También se tendrá gastronomía y disfrutar de diferentes platillos de la cocina tradicional; por otro lado, venta de muchas artesanías, talleres y presentación de juegos tradicionales. Estaremos justamente en el complejo cultural Los Pinos, en la primera sección del Bosque de Chapultepec. Esta es la 3era edición de Hidalgo en Los Pinos</t>
  </si>
  <si>
    <t>Tras las afectaciones provocadas por las lluvias en octubre pasado, la reconstrucción de viviendas en Hidalgo y otros estados continúa en proceso. Así lo reconoció la presidenta de México, Claudia Sheinbaum, durante una conferencia hoy lunes. La presidenta señaló que cerca de 100 mil familias resultaron afectadas por estos fenómenos derivados de la vaguada monzónica, que impactó principalmente a Veracruz, Puebla e Hidalgo, AUDIO APOYO</t>
  </si>
  <si>
    <t>Huracán Priscilla</t>
  </si>
  <si>
    <t>Durante la conferencia mañanera de los lunes del gobierno de Hidalgo, se anunció el aumento del 20 % en la tarifa del transporte público Informo la secretaria de Movilidad, Lyzbeth Robles Gutiérrez: “Debo anunciar que el incremento que se ha analizado realizando los estudios correspondientes para tener un equilibrio entre los costos de operación y la exigencia de considerar al sector del público usuario. Hemos arribado a la decisión de que debemos incrementar la tarifa en el transporte público colectivo en un 20 % es decir, 20 puntos porcentuales.” AUDIO APOYO</t>
  </si>
  <si>
    <t>Comentó conductor Jesus Gonzales “Se acaba de autorizar el aumento del 20 % al transporte público, hoy se habló solamente del transporte que tiene que ver con los camiones, las combis, este tipo de unidades.Hasta el momento no se ha informado sobre taxis”</t>
  </si>
  <si>
    <t>Boletín 1065 : Persistirá el calor con chubascos en Hidalgo</t>
  </si>
  <si>
    <t>Boletín: Más de 2.1 mdp impulsan al campo hidalguense con entrega de árboles frutales en Huasca</t>
  </si>
  <si>
    <t>Boletín 1064: Atención cercana y oportuna permite traslado seguro de menor en estado delicado</t>
  </si>
  <si>
    <t>Puente aéreo</t>
  </si>
  <si>
    <t>Boletín 020: Comisarios públicos vigilan el adecuado ejercicio de los recursos</t>
  </si>
  <si>
    <t>Vigilancia del gasto público</t>
  </si>
  <si>
    <t>Tomás Sosa</t>
  </si>
  <si>
    <t>Boletín 266: Hidalgo se corona como el estado con mayor crecimiento económico de México en 2025: Al cierre de 2025, la entidad alcanzó un crecimiento anual del 4.2 %, cifra que supera de manera contundente el promedio nacional del 0.6 %, lo que otorga a Hidalgo el primer lugar nacional en crecimiento económico, de acuerdo con el Instituto Nacional de Estadística y Geografía (INEGI).</t>
  </si>
  <si>
    <t>La Universidad Tecnológica de la Zona Metropolitana del Valle de México firmó un convenio de colaboración con la empresa Petimex para fortalecer la vinculación con el sector productivo. Como parte de este acuerdo, cuatro estudiantes iniciarán estadías profesionales donde podrán aplicar sus conocimientos en entornos reales y reforzar su formación académica.</t>
  </si>
  <si>
    <t>Vinculación Académica</t>
  </si>
  <si>
    <t>De el 28 al 30 de abril la Secretaría del Bienestar e Inclusión Social encabezada por Ricardo Gómez Moreno visitó 57 localidades de 25 municipios donde de acuerdo con el Inegi no se habían recibido solicitudes en las convocatorias de este año debido a barreras de acceso. Con este despliegue de brigadas y servidores del pueblo se instalaron mesas de atención en regiones como la Huasteca, la Sierra Alta, la Sierra Gorda y la Otomitepegua priorizando a comunidades afectadas por la vaguada monzónica de 2025. La estrategia busca garantizar que la distancia o la falta de conectividad no impidan el acceso a apoyos en línea con la política estatal de atender primero a la población más vulnerable.</t>
  </si>
  <si>
    <t>Programas Del Pueblo</t>
  </si>
  <si>
    <t>Ya ha habido varios operativos por parte de la Secretaría de Seguridad Pública del Estado de Hidalgo para combatir la delincuencia en la puerta del Valle del Mezquital. En un despliegue conjunto de corporaciones de seguridad en Hidalgo pues se permitió la intervención de tres inmuebles en Actopan presuntamente utilizados para operar préstamos ilegales conocidos como gota a gota.El operativo se realizó en la colonia Pozo Grande donde fueron asegurados dos predios y un tercero en cañada aviación. En estos puntos fueron detenidas seis personas tres mujeres y tres hombres de ellas cuatro son de origen extranjero y dos de otras entidades del país. Durante las acciones se aseguraron 166 dosis de presunto cristal y 859 de supuesta marihuana además de documentación vinculada a esquemas de préstamos irregulares como tarjetas registros y material promocional.También fueron incautados nueve motocicletas y dos vehículos presuntamente utilizados para actividades de cobranza y operación. Las personas detenidas junto con los inmuebles vehículos y demás indicios quedaron a disposición de la autoridad ministerial. Hay que reconocer que en este municipio así como Ixmiquilpan son de los municipios donde más se están dando casos de estos préstamos gota a gota.</t>
  </si>
  <si>
    <t>El secretario de Educación Pública de Hidalgo, Natividad Castrejón Valdés, encabezó la entrega de obras y equipamiento en veintisiete escuelas de Tulancingo, con una inversión superior a los 3.9 millones de pesos.Durante la gira, en la secundaria técnica número 56, se rehabilitaron sanitarios y espacios exteriores en beneficio de más de 600 estudiantes. El funcionario destacó que estas acciones responden a la instrucción del gobernador Julio Menchaca Salazar bajo el principio de territorio no escritorio para garantizar mejores condiciones educativas</t>
  </si>
  <si>
    <t>Entrega De Equipo Escolar</t>
  </si>
  <si>
    <t>El delegado de Conagua de Hidalgo, Félix Brambila, habló del problema del lirio en la presa Endhó, el revestimiento de los canales y de las acciones de fumigación que se va a realizar. Acciones en la Presa Endhó y Canales. Control del Lirio Acuático: Se ha descartado la trituración del lirio (ya que deja sedimentos dañinos en el agua) en favor de su retiro físico. Para ello, se cuenta con 19 máquinas trabajando en el desalojo de la planta.Proyecto Energético: Existe un plan para construir una planta a orillas de la presa que procese el lirio retirado y lo transforme en energía eléctrica.Fumigación: Atendiendo la demanda de los 27 delegados de los pueblos ribereños, ha iniciado una campaña de fumigación contra mosquitos y plagas, comenzando en la localidad de Santa Ana Ahuehuepan. Se invitó a los ciudadanos que lo requieran a solicitar la incorporación de sus hogares a este programa.Infraestructura: Respecto al revestimiento de canales y canaletas en el Distrito 003 (Tula), se informó que las obras continúan y se espera que concluyan durante el mes de mayo</t>
  </si>
  <si>
    <t>Control lirio acuático</t>
  </si>
  <si>
    <t>El Estado de Hidalgo tendrá presencia por tercer año consecutivo en el Complejo Cultural Los Pinos, con actividades programadas el sábado 9 y domingo 10 de mayo, donde participarán más de mil personas provenientes de 54 municipios y 10 regiones geoculturales. Durante los dos días se realizarán más de 50 actividades artísticas y culturales, entre ellas danzas, comparsas y presentaciones de música tradicional, que incluyen bandas de viento, tríos huastecos, orquestas y ensambles.El programa contempla además tres exposiciones, un tapete artesanal, conferencias, conversatorios, talleres, juegos tradicionales y presentaciones editoriales</t>
  </si>
  <si>
    <t>Gobierno</t>
  </si>
  <si>
    <t>Hoy será el día durante la conferencia semanal del gobierno del estado, se dará a conocer el aumento a la tarifa del transporte público colectivo en nuestra entidad. Así lo informó el gobernador Julio Menchaca Salazar en entrevista al término de la develación de la placa conmemorativa del centenario del mercado primero de mayo. Veremos en un par de horas cuánto será el aumento, en qué porcentaje.En algún momento algunos fueron muy aventureros y pedían hasta el 30 o 40% en el aumento del costo del pasaje; hoy por la mañana, en la conferencia del pueblo, del gobierno del estado, cuánto va a subir la tarifa y le estaremos informando AUDIO APOYO JMS.</t>
  </si>
  <si>
    <t>Radioescucha Sr. Paredes, el aumento está bien, pero primero deben ver cómo están sus unidades</t>
  </si>
  <si>
    <t>Radioescucha comenta: “Al escuchar la noticia del aumento a tarifa de transporte público, pienso que las unidades están en mal estado, los choferes con maltrató a los usuarios; exigimos que nos den un buen transporte, un transporte digno”</t>
  </si>
  <si>
    <t>Radioescucha reporta una gran fuga de agua en Nicolás Flores</t>
  </si>
  <si>
    <t>Radioescucha reporta falta de agua en los Tuzos</t>
  </si>
  <si>
    <t>Abasto De Agua</t>
  </si>
  <si>
    <t>Radioescucha reporta falta de agua en calle de Ocampo</t>
  </si>
  <si>
    <t>Abandono de obra</t>
  </si>
  <si>
    <t>Conductor Eulalio Larrieta pregunta ; Estoy viendo pasar el camión del Tuzobús “¿Dónde están los nuevos? No que según arrancaban en mayo”,solo estan otros.</t>
  </si>
  <si>
    <t>La mañana de este lunes 4 de mayo de 2026, un sismo de magnitud preliminar 6.0 con epicentro a 14 kilómetros al noroeste de Pinotepa Nacional, Oaxaca, activó la alerta sísmica en la Ciudad de México y generó evacuaciones preventivas en edificios públicos y privados.De acuerdo con el Servicio Sismológico Nacional (SSN), el movimiento telúrico se registró a las 09:19 horas.La ubicación del epicentro corresponde a una zona de alta actividad sísmica en la costa del Pacífico mexicano, donde la interacción de placas tectónicas genera movimientos frecuentes.</t>
  </si>
  <si>
    <t>El gobernador Julio Menchaca confirmó que hoy se anunciará un ajuste en las tarifas del transporte público en Hidalgo, buscando un balance entre el bolsillo de los usuarios y la operación de los concesionarios.Julio Menchaca destacó que habrá mayor control y seguridad en carriles confinados, llegarán nuevas unidades para renovar el transporte, también aclaró que el Tuzobús no tendrá aumento en su tarifa, pero sí operará con camiones nuevos y mejores estándares.Este ajuste incluirá orden en las tarifas de taxis, un sector con constantes quejas por cobros excesivos. La información se dará a conocer en la conferencia matutina de cada lunes.</t>
  </si>
  <si>
    <t>La tarde de este domingo en el centro histórico de Pachuca un automovilista, en presunto estado de ebriedad, subió su vehículo a la explanada de la plaza Independencia hasta chocar contra una jardinera.Policías municipales interceptaron el vehículo justo en la zona peatonal, a unos metros del Reloj Monumental. El conductor fue trasladado en calidad de detenido por las autoridades locales.</t>
  </si>
  <si>
    <t>El presidente municipal de Mineral de la Reforma, Eduardo Medécigo Rubio, inauguró las canchas “La Reta 1” y “La Reta 2” en Paseos de Chavarría, con una inversión de 12 millones 876 mil 698 pesos, en el marco del Día de la Niña y el Niño.Estos espacios cuentan con canchas de fútbol, basquetbol, voleibol y usos múltiples, además de luminarias solares, velarías y máquinas para hacer ejercicio.En el evento, acompañado de vecinos de la zona, aseguró que hoy se necesita que las infancias de Mineral de la Reforma estén en un lugar digno, jugando o haciendo ejercicio, AUDIO APOYO</t>
  </si>
  <si>
    <t>Fomento al deporte</t>
  </si>
  <si>
    <t>Boletín 727: Más de 1,400 niñas y niños celebraron su día con la SSPH</t>
  </si>
  <si>
    <t>La Secretaría de Salud Federal informó que durante la temporada estacional de influenza del 28 de septiembre del 2025 al 23 de mayo del 2026, en Hidalgo se registraron 29 fallecimientos y 411 casos de influenza</t>
  </si>
  <si>
    <t>Influenza</t>
  </si>
  <si>
    <t>La Fiscalía General de la República aseguró tres inmuebles que fueron cateados por los delitos de posesión ilícita de hidrocarburos, en la colonia Doxey, del municipio de Tlaxcoapan, Hidalgo.Se dio a conocer que se autorizó la ejecución de un cateo en tres inmuebles ubicados en esa colonia, donde, de acuerdo con una denuncia anónima, se presumía el almacenamiento de gasolina de manera ilícita.</t>
  </si>
  <si>
    <t>Boletín 0012: Julio Menchaca destaca legado e identidad del mercado Primero de Mayo, AUDIO JMS.</t>
  </si>
  <si>
    <t>Conmemoración centenario</t>
  </si>
  <si>
    <t>La delegación de Hidalgo inició con gran éxito su participación en Tapalpa, Jalisco, que reanudó actividades con la prueba de short track, donde las pedalistas hidalguenses brillaron al conquistar el 1,2 en la categoría junior femenil. Valeria Quetzalli Domínguez Chávez se proclamó campeona nacional tras una destacada actuación que la llevó a subir a lo más alto del podio, consolidando su esfuerzo y preparación en esta importante justa deportiva. Por su parte, Arumy Carrión Hernández complementó la sobresaliente participación del estado al adjudicarse la medalla de plata, asegurando así el dominio hidalguense en la prueba.</t>
  </si>
  <si>
    <t>SSPH/BOL.725/2026: SSPH detecta traslado ilegal de hidrocarburo y asegura a dos presuntos responsables en San Agustín Tlaxiaca</t>
  </si>
  <si>
    <t>CITNOVA/06/2026: Hidalgo impulsa el conocimiento tecnológico con torneo de robots mundialista</t>
  </si>
  <si>
    <t>Habrá acciones extremas para exigir al gobierno federal que resuelva el grave problema del lirio acuático y del mosco culex que está matando literalmente a los pueblos ribereños de la presa Endo. La fecha fatal que las comunidades afectadas pusieron es el próximo miércoles 6 de mayo a las 7:00 de la mañana. El punto de reunión será en la comunidad de Michimaloya al occidente de Tula. Delegados y representantes de una población cercana a los 50 mil habitantes de 24 comunidades que rodean las 1,200 hectáreas del espejo de aguas negras provenientes del Valle de México, anunciaron que realizarán bloqueos en carreteras importantes de esta región para presionar al Gobierno de México a resolver urgentemente el problema del Mosco Culex y el lirio acuático que hoy cubre más del 80% de la presa Endo. Los afectados por la plaga del Mosco, en una acción desesperada, pretenden tomar las casetas del Arco Norte y permitir el libre tránsito de sus usuarios bloquear la autopista México Querétaro en el entronque con la autopista Arco Norte, además de parar los trabajos de construcción del tren México Querétaro en las comunidades de Macuá y San Antonio en Tula de Allende, las comunidades afectadas de los municipios de Tula y Tepetitlán, Juan Carlos, ya cuentan con un pliego petitorio en el que solicitan 10 máquinas trituradoras de lirio, fumigación domiciliaria y aérea constante en la zona afectada y es que la situación había sido grave desde hace décadas, pero hoy la crisis se ha agudizado. El gobierno hace fumigaciones cada tres días que son insuficientes, pero el fondo del problema no es el mosco culex, es el lirio que está en el agua y que con sólo una máquina trituradora trabajando es imposible acabar con el lirio acuático, hábitat del mosco culex, que ahora ya está invadiendo. La plaga está matando la economía local, está matando a los animales de granja y domésticos, está enfermando a los niños y está enfermando a los adultos mayores.</t>
  </si>
  <si>
    <t>Edson Vélez</t>
  </si>
  <si>
    <t>SC/Bol./020/2026: Comisarios públicos vigilan el adecuado ejercicio de los recursos</t>
  </si>
  <si>
    <t>UPLAPH/Bol. 36/2026: CEDSPI entregó más de mil metros de alcantarillado sanitario en Metepec</t>
  </si>
  <si>
    <t>Y a propósito de las celebraciones del día del niño, el gobernador del estado en sus redes sociales está publicando cartas que le mandaron pequeños de la escuela primaria Vicente Guerrero, usted observa en su pantalla el mensaje y el video con el que se acompaña este mensaje: En el día de la niña y el niño recibí cartas de la primaria Vicente Guerrero. Me escribieron lo que sienten por el sistema de captación de agua que instalamos y que ya está funcionando.</t>
  </si>
  <si>
    <t>Hidalgo impulsa el conocimiento tecnológico con torneo de robots mundialista</t>
  </si>
  <si>
    <t>Boletín 1653: Entrega SEPH obras y equipamiento en 27 escuelas de Tulancingo</t>
  </si>
  <si>
    <t>STPSH/Bol.64/2026: Se generan más de 38 mil empleos formales en Hidalg</t>
  </si>
  <si>
    <t>Generación De Empleo</t>
  </si>
  <si>
    <t>Con la reforma a los artículos 115,116 y 134 constitucionales, conocida como Plan B, en Hidalgo serán al menos 15 municipios los que reducirán el número de regidores en sus cabildos. Con la reforma los ayuntamientos no podrán ser integrados por más de 15 regidores, pues el objetivo es reducir los costos administrativos de los municipios y para que el presupuesto se utilice para obras. En el caso de Hidalgo y de acuerdo con la Ley Orgánica Municipal, los municipios con más de 100 mil habitantes deben tener al menos dos síndicos, uno hacendario y otro jurídico, además de 11 regidores de mayoría y ocho plurinominales, es decir, 22 asambleístas. Mientras que otros municipios tienen 18 integrantes porque cuentan con entre 50 y 100 mil habitantes: el presidente municipal, dos síndicos y nueve regidores de mayoría relativa y seis plurinominales.</t>
  </si>
  <si>
    <t>Morena</t>
  </si>
  <si>
    <t>Plan B</t>
  </si>
  <si>
    <t>Partidos</t>
  </si>
  <si>
    <t>Radioescucha: con el aumento de la tarifa al pasaje deberían revisar las condiciones de las unidades. Deberían ser condiciones dignas.</t>
  </si>
  <si>
    <t>Deficiencias transporte público</t>
  </si>
  <si>
    <t>SSPH/BOL.728/2026: Con múltiple detención, la SSPH combate al delito de préstamos "gota a gota" en Actopan</t>
  </si>
  <si>
    <t>G.S.J., considerado uno de los líderes de un grupo delictivo dedicado al fraude en la compra-venta de automóviles de lujo, fue detenido en la colonia Doctores, dentro de la Ciudad de México. De acuerdo con el Gabinete de Seguridad, el hombre, quien encabezaría el grupo delictivo “Los Soto Jiménez”, fue aprehendido por el delito de asociación delictuosa. Las investigaciones señalan que la organización usaba redes sociales para aparentar alto poder adquisitivo, contactar a vendedores de autos de alta gama y cerrar operaciones con documentación bancaria falsa o transferencias sin fondos. Una vez entregadas las unidades, las supuestas transferencias eran canceladas o resultaban inexistentes, por lo que las víctimas perdían los vehículos. De acuerdo a las autoridades, la red tenía zonas de operación en Nuevo León, Puebla, Guanajuato, Jalisco, Hidalgo, Estado de México y la Ciudad de México.</t>
  </si>
  <si>
    <t>En Tizayuca, una madre de familia denunció públicamente que su hija, Milagros Yamileth C.S., es víctima de acoso escolar y bullying en la secundaria Raúl Guerrero Guerrero, donde cursa el tercer grado. De acuerdo con el testimonio, la madre informó que reportó los hechos ante las autoridades del plantel; sin embargo, señaló que no fue atendida y, por el contrario, su hija fue suspendida. Indicó que esta situación derivó en un cuadro de depresión y en un intento de quitarse la vida dentro de su vivienda, al ingerir veneno para roedores. La denunciante agregó que, al solicitar una ambulancia a la dirección de Protección Civil y Bomberos, el personal no arribó, por lo que tras una hora los padres trasladaron a la menor al centro de salud de la colonia El Pedregal, donde no fue recibida.</t>
  </si>
  <si>
    <t>Bullying</t>
  </si>
  <si>
    <t>Enlace a la Conferencia Mañanera de Hidalgo donde se anuncia el aumento del 20% en la tarifa del pasaje público colectivo, es decir, pasa de 10 pesos a 12 pesos. Los taxis y el Tuzobús no entran en este aumento de tarifa. Con audio de Libeth Rodríguez, Secretaria de Movilidad.</t>
  </si>
  <si>
    <t>Son ya 31 municipios del Estado de Hidalgo los que cuentan con su respectivo Bando de Policía y Gobierno actualizado, estando pendientes 21 demarcaciones pendientes de dicha revisión y actualización. Lo anterior fue informado durante la entrega de dicho documento renovado para otros diez municipios en la entidad. Guillermo Olivares Reyna, titular de la Secretaría de Gobierno del Estado de Hidalgo, señaló que el proceso de actualización busca dotar a los ayuntamientos de herramientas legales claras y vigentes que permitan fortalecer la gobernanza, la seguridad jurídica y el respeto a los derechos humanos, la perspectiva de género y la diversidad cultural. El Bando de Policía y Gobierno es el documento que establece las normativas generales para los municipios, junto con los instrumentos jurídicos acordes a las necesidades actuales de la población. Los municipios que fueron apoyados en esta ocasión con la actualización de sus respectivos Bandos, y recibieron sus respectivos documentos actualizados, son Atlapexco, Chapantongo, El Arenal, Emiliano Zapata, Metepec, Nicolás Flores, Pisaflores, Tepehuacán de Guerrero, Tetepango y Zimapán.Ç</t>
  </si>
  <si>
    <t>Bando de policía y gobierno</t>
  </si>
  <si>
    <t>Integrantes de la Sección XV en el Estado de Hidalgo del Sindicato Nacional de Trabajadores de la Educación (SNTE), exigieron mejores condiciones laborales. Entre ellas, incremento al bono de fin de año para jubilados, el bono del Día del Maestro, así como mejor atención y especialidades en el ISSSTE, junto como el fortalecimiento del sistema educativo público. Lo anterior durante la marcha con motivo del Día del Trabajo, llevada a cabo en la ciudad de Pachuca este 1 de mayo, donde de acuerdo a los dirigentes magisteriales, participaron alrededor de 53 mil agremiados, entre trabajadores de la educación en activo así como jubilados. Said Vargas Sáenz, dirigente del SNTE en el Estado de Hidalgo, consideró que la cantidad de participantes en la marcha es muestra de un respaldo contundente al pliego nacional de demandas, así como a las exigencias específicas del ámbito estatal.</t>
  </si>
  <si>
    <t>Día del Trabajo</t>
  </si>
  <si>
    <t>Abusos físico y sexual encabezan las agresiones que sufren niñas, niños y adolescentes, y que son atendidas por el Sistema DIF Hidalgo, informó Edda Vite Ramos, Presidenta del Patronato del organismo asistencial estatal. Estudios señalan que un importante porcentaje de niñas, niños y adolescentes consideran a su propio hogar como el espacio menos seguro para cuidar su integridad física y emocional, además de tener poca confianza a sus madres, padres, o a sus familiares encargados de atención y cuidados. “Entonces, como sociedad tenemos qué revisar qué estamos haciendo mal, qué debemos mejorar, cuando resulta que nuestros niños están más inmersos en un dispositivo electrónico, y este no educa, no forma”. Las declaraciones fueron ofrecidas tras asistir a la conmemoración del 30 aniversario del parque recreativo de El Caracol, en Tulancingo.</t>
  </si>
  <si>
    <t>Protección del menor</t>
  </si>
  <si>
    <t>Enlace a la Conferencia Mañanera de Hidalgo donde se anuncia el aumento en la tarifa del pasaje público. Con audio de Libeth Rodríguez, Secretaria de Movilidad.</t>
  </si>
  <si>
    <t>Vía telefónica Roberto Rico Ruiz sobre el tema de que el gobernador de Sinaloa Rubén Rocha Moya y el alcalde de Culiacán, Juan de Dios Gámez, entre otro funcionarios anunciaron su separación del cargo temporalmente mientras la Fiscalía General de México avanza en las investigaciones sobre las acusaciones que hizo la fiscalía de Nueva York por narcotráfico y tenencia ilícita de armas, dijo que esto la presidenta lo debe abordar desde el tema jurídico y no político y de no abordarlos d ela manera corrcta puede desatarse un conflicto diplomático.</t>
  </si>
  <si>
    <t>Rubén Rocha</t>
  </si>
  <si>
    <t>Vía telefónica el reporte de Bombero y Protección Civil con Abner Yáñez informa que se atendieron incendios de pasto seco y basura, entre otras emergencias reportadas por la ciudadanía.</t>
  </si>
  <si>
    <t>Acude presidenta del Patronato del DIF Hidalgo a Tulancingo para celebrar el aniversario del parque recreativo “El Caracol”* . Con la presencia de la presidenta del Patronato del Sistema DIF Hidalgo, Edda Vite Ramos, y de la presidenta municipal de Tulancingo, Lorena García Cázares, se llevó a cabo la celebración del 30 aniversario del Parque Recreativo “El Caracol”, un espacio emblemático que, ha sido testigo de innumerables momentos de felicidad para la niñez tulancinguense. Esta significativa jornada, que da inicio este 30 de abril y concluirá el próximo 3 de mayo, es organizada por la presidenta del Patronato del Sistema DIF Tulancingo, Jessica Garrido Cázares, y contó con la participación de más de 650 niñas y niños, quienes disfrutaron de actividades preparadas especialmente para ellas y ellos. Como parte de esta conmemoración, se rindió un homenaje a la señora Amalia Mecedo de Bitar, ex presidenta del Patronato del DIF en 1996, año en que nació este importante proyecto. En reconocimiento a su visión y legado, se llevó a cabo la develación de una placa conmemorativa, simbolizando el impacto positivo que ha trascendido generaciones.</t>
  </si>
  <si>
    <t>Aniversario</t>
  </si>
  <si>
    <t>Será en unos días cuando inicien las operaciones de las nuevas unidades para servicio del Tuzobús, pues ya han llegado 32 de estas, y en próximos días serán entregadas otras 42. La confirmación fue realizada por el gobernador del Estado de Hidalgo, Julio Menchaca Salazar, señalando que serán en total 160 unidades considerando los autobuses para la línea troncal, junto con las que darán servicio a las rutas alimentadoras. Señaló que con la incorporación de las nuevas unidades se podrá mejorar la calidad del servicio de transporte de pasajeros, garantizando mejores condiciones de movilidad y seguridad para estos. En el desglose de las nuevas unidades para el Tuzobús, serán 42 autobuses, 38 microbuses, 60 vagonetas y otras unidades, bajo un contrato de arrendamiento que fue asignado a la empresa Rommify Capital, con una inversión por 662 millones de pesos. Mientras dure el contrato de arrendamiento, la empresa brindará a las unidades motoras mantenimiento preventivo y correctivo, además de otorgar refacciones, cubrir seguros, cambio de llantas, así como trabajos de hojalatería y pintura, entre otros servicios y trámites.</t>
  </si>
  <si>
    <t>El Gobierno de Hidalgo anunciará este lunes 4 de mayo los ajustes a las tarifas tanto del transporte público colectivo de pasajeros, como del servicio de taxis, confirmó el gobernador Julio Menchaca Salazar. “Se cuidó mucho el equilibrio entre la economía de los usuarios y que no perjudique a los transportistas, que sea solidario, señaló. Reconoció que siempre es difícil cuando se aplican aumentos, como en este caso, “pero va a ser justo, va a ser una cuestión justa y como cualquier actividad comercial”. El anuncio del ajuste a las tarifas al transporte público de pasajeros estaba programado para darse a conocer a finales del mes de abril; Menchaca Salazar aclaró que por cuestiones de agenda, la fecha se cambió. De acuerdo a autoridades, el ajuste a las tarifas del servicio de transporte colectivo de pasajeros implica, entre otros compromisos, mejorar el servicio; incluso la misma consideración fue expresada por Menchaca Salazar. Respecto a las tarifas en el servicio de taxis, el titular del Poder Ejecutivo del Estado de Hidalgo reconoció que existe falta de ordenamiento, por lo que señaló que habrá medidas para regular tanto el servicio como los cobros. “Hay una anarquía en ese tema. Va a haber un ajuste y vamos a ser muy estrictos. La aplicación de la norma ha sido muy laxa, pero ahora habrá mayor exigencia”.</t>
  </si>
  <si>
    <t>Andrés Torres informa que hoy se pone en marcha en el 96.5 FM Radio La Voz del Pueblo Hñahñú a las 2 de la tarde un nuevo programa de noticias "Cronómetro", con lo que se transmiten ya 110 programas.</t>
  </si>
  <si>
    <t>El fin de semana se dio conocer que el alcalde Mineral de la Reforma, Eduardo Medécigo decidió hacer cambios en el ayuntamiento y cambió a 4 de sus empleados de confianza, y, de acuerdo al comunicado es con el objetivo de eficientizar el trabajo en el ayuntamiento.</t>
  </si>
  <si>
    <t>Cambios En El Gabinete</t>
  </si>
  <si>
    <t>En cabina Alberto González comenta que el gobernador de Sinaloa, el morenista Rubén Rocha Moya, pidió licencia a las pocas horas de que se conociera que Estados Unidos pidiera su extradición y la de nueve hombres más por su narcorrelación con capos de su estado natal.</t>
  </si>
  <si>
    <t>SEBISO/BOL.579/2026: Sebiso atiende comunidades de difícil acceso</t>
  </si>
  <si>
    <t>El presidente municipal de Pachuca, Jorge Reyes, se posicionó una vez más como el alcalde mejor evaluado del estado durante abril de 2026, de acuerdo con mediciones recientes de la encuestadora Consulta Mitofsky. El estudio ubica al edil capitalino en el primer lugar del ranking estatal, destacando niveles de aprobación ciudadana por encima de otros municipios. Entre los factores que han influido en esta evaluación se encuentra la mejora en la percepción de seguridad. De acuerdo con la Encuesta Nacional de Seguridad Pública Urbana, Pachuca registró una disminución en la percepción de inseguridad en los últimos meses, lo que refleja una mayor confianza de la población en las acciones implementadas por el gobierno municipal. Mientras a nivel nacional la percepción de inseguridad apenas disminuyó 2.3 puntos porcentuales, Pachuca logró reducir este indicador casi 10 puntos en solo tres meses.</t>
  </si>
  <si>
    <t>Aprobación Alcalde</t>
  </si>
  <si>
    <t>Se llevó a cabo el Consejo Nacional de Morena y el gobernador Julio Menchaca compartió en sus redes sociales: Les comparto este momento importante en donde realizamos la votación para la presidencia nacional de Morena. Con esto, se define la dirigencia que asume esta responsabilidad dentro de nuestro movimiento. Nuestro movimiento de Transformación Nacional se fortalece con la elección de nuestra compañera Ariadna Montiel Reyes como nueva Presidenta de Morena. Vamos con todo y siempre unidos por lo que es mejor para México y las y los mexicanos.</t>
  </si>
  <si>
    <t>Dirigencia Nacional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</si>
</sst>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86" tableType="queryTable" totalsRowShown="0">
  <autoFilter ref="A1:M186" xr:uid="{717AF3FA-E95C-4D17-A1C9-B8D7CBE34EF0}"/>
  <sortState xmlns:xlrd2="http://schemas.microsoft.com/office/spreadsheetml/2017/richdata2" ref="A2:M186">
    <sortCondition ref="B1:B186"/>
  </sortState>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86"/>
  <sheetViews>
    <sheetView tabSelected="1" workbookViewId="0"/>
  </sheetViews>
  <sheetFormatPr baseColWidth="10" defaultRowHeight="15" x14ac:dyDescent="0.25"/>
  <cols>
    <col min="1" max="1" width="10.42578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3.8554687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57</v>
      </c>
      <c r="C1" t="s">
        <v>58</v>
      </c>
      <c r="D1" t="s">
        <v>59</v>
      </c>
      <c r="E1" t="s">
        <v>1</v>
      </c>
      <c r="F1" t="s">
        <v>2</v>
      </c>
      <c r="G1" t="s">
        <v>4</v>
      </c>
      <c r="H1" t="s">
        <v>3</v>
      </c>
      <c r="I1" t="s">
        <v>5</v>
      </c>
      <c r="J1" t="s">
        <v>60</v>
      </c>
      <c r="K1" t="s">
        <v>61</v>
      </c>
      <c r="L1" t="s">
        <v>62</v>
      </c>
      <c r="M1" t="s">
        <v>70</v>
      </c>
    </row>
    <row r="2" spans="1:13" x14ac:dyDescent="0.25">
      <c r="A2" s="1">
        <v>46146</v>
      </c>
      <c r="B2" s="1" t="str">
        <f ca="1">IF(Información1[[#This Row],[Fecha]]='Ajuste de fechas'!$A$2,"Día actual","Día anterior")</f>
        <v>Día actual</v>
      </c>
      <c r="C2" t="s">
        <v>45</v>
      </c>
      <c r="D2" t="s">
        <v>48</v>
      </c>
      <c r="E2" t="s">
        <v>221</v>
      </c>
      <c r="F2" t="s">
        <v>17</v>
      </c>
      <c r="G2" t="s">
        <v>222</v>
      </c>
      <c r="H2" t="s">
        <v>11</v>
      </c>
      <c r="I2" t="s">
        <v>7</v>
      </c>
      <c r="J2" t="s">
        <v>63</v>
      </c>
      <c r="K2" t="s">
        <v>46</v>
      </c>
      <c r="L2" t="s">
        <v>64</v>
      </c>
      <c r="M2">
        <v>1</v>
      </c>
    </row>
    <row r="3" spans="1:13" x14ac:dyDescent="0.25">
      <c r="A3" s="1">
        <v>46146</v>
      </c>
      <c r="B3" s="1" t="str">
        <f ca="1">IF(Información1[[#This Row],[Fecha]]='Ajuste de fechas'!$A$2,"Día actual","Día anterior")</f>
        <v>Día actual</v>
      </c>
      <c r="C3" t="s">
        <v>45</v>
      </c>
      <c r="D3" t="s">
        <v>48</v>
      </c>
      <c r="E3" t="s">
        <v>223</v>
      </c>
      <c r="F3" t="s">
        <v>17</v>
      </c>
      <c r="G3" t="s">
        <v>222</v>
      </c>
      <c r="H3" t="s">
        <v>11</v>
      </c>
      <c r="I3" t="s">
        <v>7</v>
      </c>
      <c r="J3" t="s">
        <v>63</v>
      </c>
      <c r="K3" t="s">
        <v>9</v>
      </c>
      <c r="L3" t="s">
        <v>65</v>
      </c>
      <c r="M3">
        <v>1</v>
      </c>
    </row>
    <row r="4" spans="1:13" x14ac:dyDescent="0.25">
      <c r="A4" s="1">
        <v>46146</v>
      </c>
      <c r="B4" s="1" t="str">
        <f ca="1">IF(Información1[[#This Row],[Fecha]]='Ajuste de fechas'!$A$2,"Día actual","Día anterior")</f>
        <v>Día actual</v>
      </c>
      <c r="C4" t="s">
        <v>45</v>
      </c>
      <c r="D4" t="s">
        <v>48</v>
      </c>
      <c r="E4" t="s">
        <v>224</v>
      </c>
      <c r="F4" t="s">
        <v>17</v>
      </c>
      <c r="G4" t="s">
        <v>222</v>
      </c>
      <c r="H4" t="s">
        <v>11</v>
      </c>
      <c r="I4" t="s">
        <v>7</v>
      </c>
      <c r="J4" t="s">
        <v>63</v>
      </c>
      <c r="K4" t="s">
        <v>9</v>
      </c>
      <c r="L4" t="s">
        <v>65</v>
      </c>
      <c r="M4">
        <v>1</v>
      </c>
    </row>
    <row r="5" spans="1:13" x14ac:dyDescent="0.25">
      <c r="A5" s="1">
        <v>46146</v>
      </c>
      <c r="B5" s="1" t="str">
        <f ca="1">IF(Información1[[#This Row],[Fecha]]='Ajuste de fechas'!$A$2,"Día actual","Día anterior")</f>
        <v>Día actual</v>
      </c>
      <c r="C5" t="s">
        <v>45</v>
      </c>
      <c r="D5" t="s">
        <v>48</v>
      </c>
      <c r="E5" t="s">
        <v>225</v>
      </c>
      <c r="F5" t="s">
        <v>17</v>
      </c>
      <c r="G5" t="s">
        <v>222</v>
      </c>
      <c r="H5" t="s">
        <v>11</v>
      </c>
      <c r="I5" t="s">
        <v>7</v>
      </c>
      <c r="J5" t="s">
        <v>63</v>
      </c>
      <c r="K5" t="s">
        <v>46</v>
      </c>
      <c r="L5" t="s">
        <v>64</v>
      </c>
      <c r="M5">
        <v>1</v>
      </c>
    </row>
    <row r="6" spans="1:13" x14ac:dyDescent="0.25">
      <c r="A6" s="1">
        <v>46146</v>
      </c>
      <c r="B6" s="1" t="str">
        <f ca="1">IF(Información1[[#This Row],[Fecha]]='Ajuste de fechas'!$A$2,"Día actual","Día anterior")</f>
        <v>Día actual</v>
      </c>
      <c r="C6" t="s">
        <v>31</v>
      </c>
      <c r="D6" t="s">
        <v>33</v>
      </c>
      <c r="E6" t="s">
        <v>226</v>
      </c>
      <c r="F6" t="s">
        <v>26</v>
      </c>
      <c r="G6" t="s">
        <v>227</v>
      </c>
      <c r="H6" t="s">
        <v>11</v>
      </c>
      <c r="I6" t="s">
        <v>7</v>
      </c>
      <c r="J6" t="s">
        <v>26</v>
      </c>
      <c r="K6" t="s">
        <v>32</v>
      </c>
      <c r="L6" t="s">
        <v>64</v>
      </c>
      <c r="M6">
        <v>1</v>
      </c>
    </row>
    <row r="7" spans="1:13" x14ac:dyDescent="0.25">
      <c r="A7" s="1">
        <v>46146</v>
      </c>
      <c r="B7" s="1" t="str">
        <f ca="1">IF(Información1[[#This Row],[Fecha]]='Ajuste de fechas'!$A$2,"Día actual","Día anterior")</f>
        <v>Día actual</v>
      </c>
      <c r="C7" t="s">
        <v>31</v>
      </c>
      <c r="D7" t="s">
        <v>33</v>
      </c>
      <c r="E7" t="s">
        <v>228</v>
      </c>
      <c r="F7" t="s">
        <v>86</v>
      </c>
      <c r="G7" t="s">
        <v>85</v>
      </c>
      <c r="H7" t="s">
        <v>11</v>
      </c>
      <c r="I7" t="s">
        <v>7</v>
      </c>
      <c r="J7" t="s">
        <v>63</v>
      </c>
      <c r="K7" t="s">
        <v>32</v>
      </c>
      <c r="L7" t="s">
        <v>64</v>
      </c>
      <c r="M7">
        <v>1</v>
      </c>
    </row>
    <row r="8" spans="1:13" x14ac:dyDescent="0.25">
      <c r="A8" s="1">
        <v>46146</v>
      </c>
      <c r="B8" s="1" t="str">
        <f ca="1">IF(Información1[[#This Row],[Fecha]]='Ajuste de fechas'!$A$2,"Día actual","Día anterior")</f>
        <v>Día actual</v>
      </c>
      <c r="C8" t="s">
        <v>31</v>
      </c>
      <c r="D8" t="s">
        <v>33</v>
      </c>
      <c r="E8" t="s">
        <v>229</v>
      </c>
      <c r="F8" t="s">
        <v>17</v>
      </c>
      <c r="G8" t="s">
        <v>85</v>
      </c>
      <c r="H8" t="s">
        <v>11</v>
      </c>
      <c r="I8" t="s">
        <v>7</v>
      </c>
      <c r="J8" t="s">
        <v>63</v>
      </c>
      <c r="K8" t="s">
        <v>32</v>
      </c>
      <c r="L8" t="s">
        <v>64</v>
      </c>
      <c r="M8">
        <v>1</v>
      </c>
    </row>
    <row r="9" spans="1:13" x14ac:dyDescent="0.25">
      <c r="A9" s="1">
        <v>46146</v>
      </c>
      <c r="B9" s="1" t="str">
        <f ca="1">IF(Información1[[#This Row],[Fecha]]='Ajuste de fechas'!$A$2,"Día actual","Día anterior")</f>
        <v>Día actual</v>
      </c>
      <c r="C9" t="s">
        <v>31</v>
      </c>
      <c r="D9" t="s">
        <v>33</v>
      </c>
      <c r="E9" t="s">
        <v>230</v>
      </c>
      <c r="F9" t="s">
        <v>86</v>
      </c>
      <c r="G9" t="s">
        <v>85</v>
      </c>
      <c r="H9" t="s">
        <v>11</v>
      </c>
      <c r="I9" t="s">
        <v>7</v>
      </c>
      <c r="J9" t="s">
        <v>63</v>
      </c>
      <c r="K9" t="s">
        <v>32</v>
      </c>
      <c r="L9" t="s">
        <v>64</v>
      </c>
      <c r="M9">
        <v>1</v>
      </c>
    </row>
    <row r="10" spans="1:13" x14ac:dyDescent="0.25">
      <c r="A10" s="1">
        <v>46146</v>
      </c>
      <c r="B10" s="1" t="str">
        <f ca="1">IF(Información1[[#This Row],[Fecha]]='Ajuste de fechas'!$A$2,"Día actual","Día anterior")</f>
        <v>Día actual</v>
      </c>
      <c r="C10" t="s">
        <v>31</v>
      </c>
      <c r="D10" t="s">
        <v>33</v>
      </c>
      <c r="E10" t="s">
        <v>231</v>
      </c>
      <c r="F10" t="s">
        <v>24</v>
      </c>
      <c r="G10" t="s">
        <v>232</v>
      </c>
      <c r="H10" t="s">
        <v>11</v>
      </c>
      <c r="I10" t="s">
        <v>7</v>
      </c>
      <c r="J10" t="s">
        <v>63</v>
      </c>
      <c r="K10" t="s">
        <v>32</v>
      </c>
      <c r="L10" t="s">
        <v>64</v>
      </c>
      <c r="M10">
        <v>1</v>
      </c>
    </row>
    <row r="11" spans="1:13" x14ac:dyDescent="0.25">
      <c r="A11" s="1">
        <v>46146</v>
      </c>
      <c r="B11" s="1" t="str">
        <f ca="1">IF(Información1[[#This Row],[Fecha]]='Ajuste de fechas'!$A$2,"Día actual","Día anterior")</f>
        <v>Día actual</v>
      </c>
      <c r="C11" t="s">
        <v>31</v>
      </c>
      <c r="D11" t="s">
        <v>33</v>
      </c>
      <c r="E11" t="s">
        <v>233</v>
      </c>
      <c r="F11" t="s">
        <v>28</v>
      </c>
      <c r="G11" t="s">
        <v>232</v>
      </c>
      <c r="H11" t="s">
        <v>11</v>
      </c>
      <c r="I11" t="s">
        <v>7</v>
      </c>
      <c r="J11" t="s">
        <v>63</v>
      </c>
      <c r="K11" t="s">
        <v>32</v>
      </c>
      <c r="L11" t="s">
        <v>64</v>
      </c>
      <c r="M11">
        <v>1</v>
      </c>
    </row>
    <row r="12" spans="1:13" x14ac:dyDescent="0.25">
      <c r="A12" s="1">
        <v>46146</v>
      </c>
      <c r="B12" s="1" t="str">
        <f ca="1">IF(Información1[[#This Row],[Fecha]]='Ajuste de fechas'!$A$2,"Día actual","Día anterior")</f>
        <v>Día actual</v>
      </c>
      <c r="C12" t="s">
        <v>31</v>
      </c>
      <c r="D12" t="s">
        <v>33</v>
      </c>
      <c r="E12" t="s">
        <v>234</v>
      </c>
      <c r="F12" t="s">
        <v>96</v>
      </c>
      <c r="G12" t="s">
        <v>235</v>
      </c>
      <c r="H12" t="s">
        <v>11</v>
      </c>
      <c r="I12" t="s">
        <v>7</v>
      </c>
      <c r="J12" t="s">
        <v>63</v>
      </c>
      <c r="K12" t="s">
        <v>32</v>
      </c>
      <c r="L12" t="s">
        <v>66</v>
      </c>
      <c r="M12">
        <v>1</v>
      </c>
    </row>
    <row r="13" spans="1:13" x14ac:dyDescent="0.25">
      <c r="A13" s="1">
        <v>46146</v>
      </c>
      <c r="B13" s="1" t="str">
        <f ca="1">IF(Información1[[#This Row],[Fecha]]='Ajuste de fechas'!$A$2,"Día actual","Día anterior")</f>
        <v>Día actual</v>
      </c>
      <c r="C13" t="s">
        <v>31</v>
      </c>
      <c r="D13" t="s">
        <v>33</v>
      </c>
      <c r="E13" t="s">
        <v>236</v>
      </c>
      <c r="F13" t="s">
        <v>179</v>
      </c>
      <c r="G13" t="s">
        <v>168</v>
      </c>
      <c r="H13" t="s">
        <v>11</v>
      </c>
      <c r="I13" t="s">
        <v>12</v>
      </c>
      <c r="J13" t="s">
        <v>63</v>
      </c>
      <c r="K13" t="s">
        <v>32</v>
      </c>
      <c r="L13" t="s">
        <v>237</v>
      </c>
      <c r="M13">
        <v>1</v>
      </c>
    </row>
    <row r="14" spans="1:13" x14ac:dyDescent="0.25">
      <c r="A14" s="1">
        <v>46146</v>
      </c>
      <c r="B14" s="1" t="str">
        <f ca="1">IF(Información1[[#This Row],[Fecha]]='Ajuste de fechas'!$A$2,"Día actual","Día anterior")</f>
        <v>Día actual</v>
      </c>
      <c r="C14" t="s">
        <v>45</v>
      </c>
      <c r="D14" t="s">
        <v>47</v>
      </c>
      <c r="E14" t="s">
        <v>238</v>
      </c>
      <c r="F14" t="s">
        <v>23</v>
      </c>
      <c r="G14" t="s">
        <v>239</v>
      </c>
      <c r="H14" t="s">
        <v>11</v>
      </c>
      <c r="I14" t="s">
        <v>7</v>
      </c>
      <c r="J14" t="s">
        <v>68</v>
      </c>
      <c r="K14" t="s">
        <v>46</v>
      </c>
      <c r="L14" t="s">
        <v>64</v>
      </c>
      <c r="M14">
        <v>1</v>
      </c>
    </row>
    <row r="15" spans="1:13" x14ac:dyDescent="0.25">
      <c r="A15" s="1">
        <v>46146</v>
      </c>
      <c r="B15" s="1" t="str">
        <f ca="1">IF(Información1[[#This Row],[Fecha]]='Ajuste de fechas'!$A$2,"Día actual","Día anterior")</f>
        <v>Día actual</v>
      </c>
      <c r="C15" t="s">
        <v>45</v>
      </c>
      <c r="D15" t="s">
        <v>47</v>
      </c>
      <c r="E15" t="s">
        <v>240</v>
      </c>
      <c r="F15" t="s">
        <v>19</v>
      </c>
      <c r="G15" t="s">
        <v>241</v>
      </c>
      <c r="H15" t="s">
        <v>11</v>
      </c>
      <c r="I15" t="s">
        <v>7</v>
      </c>
      <c r="J15" t="s">
        <v>67</v>
      </c>
      <c r="K15" t="s">
        <v>39</v>
      </c>
      <c r="L15" t="s">
        <v>64</v>
      </c>
      <c r="M15">
        <v>1</v>
      </c>
    </row>
    <row r="16" spans="1:13" x14ac:dyDescent="0.25">
      <c r="A16" s="1">
        <v>46146</v>
      </c>
      <c r="B16" s="1" t="str">
        <f ca="1">IF(Información1[[#This Row],[Fecha]]='Ajuste de fechas'!$A$2,"Día actual","Día anterior")</f>
        <v>Día actual</v>
      </c>
      <c r="C16" t="s">
        <v>45</v>
      </c>
      <c r="D16" t="s">
        <v>47</v>
      </c>
      <c r="E16" t="s">
        <v>242</v>
      </c>
      <c r="F16" t="s">
        <v>100</v>
      </c>
      <c r="G16" t="s">
        <v>85</v>
      </c>
      <c r="H16" t="s">
        <v>11</v>
      </c>
      <c r="I16" t="s">
        <v>7</v>
      </c>
      <c r="J16" t="s">
        <v>26</v>
      </c>
      <c r="K16" t="s">
        <v>39</v>
      </c>
      <c r="L16" t="s">
        <v>64</v>
      </c>
      <c r="M16">
        <v>1</v>
      </c>
    </row>
    <row r="17" spans="1:13" x14ac:dyDescent="0.25">
      <c r="A17" s="1">
        <v>46146</v>
      </c>
      <c r="B17" s="1" t="str">
        <f ca="1">IF(Información1[[#This Row],[Fecha]]='Ajuste de fechas'!$A$2,"Día actual","Día anterior")</f>
        <v>Día actual</v>
      </c>
      <c r="C17" t="s">
        <v>45</v>
      </c>
      <c r="D17" t="s">
        <v>47</v>
      </c>
      <c r="E17" t="s">
        <v>243</v>
      </c>
      <c r="F17" t="s">
        <v>17</v>
      </c>
      <c r="G17" t="s">
        <v>85</v>
      </c>
      <c r="H17" t="s">
        <v>11</v>
      </c>
      <c r="I17" t="s">
        <v>7</v>
      </c>
      <c r="J17" t="s">
        <v>63</v>
      </c>
      <c r="K17" t="s">
        <v>39</v>
      </c>
      <c r="L17" t="s">
        <v>64</v>
      </c>
      <c r="M17">
        <v>1</v>
      </c>
    </row>
    <row r="18" spans="1:13" x14ac:dyDescent="0.25">
      <c r="A18" s="1">
        <v>46146</v>
      </c>
      <c r="B18" s="1" t="str">
        <f ca="1">IF(Información1[[#This Row],[Fecha]]='Ajuste de fechas'!$A$2,"Día actual","Día anterior")</f>
        <v>Día actual</v>
      </c>
      <c r="C18" t="s">
        <v>45</v>
      </c>
      <c r="D18" t="s">
        <v>47</v>
      </c>
      <c r="E18" t="s">
        <v>244</v>
      </c>
      <c r="F18" t="s">
        <v>86</v>
      </c>
      <c r="G18" t="s">
        <v>85</v>
      </c>
      <c r="H18" t="s">
        <v>11</v>
      </c>
      <c r="I18" t="s">
        <v>7</v>
      </c>
      <c r="J18" t="s">
        <v>63</v>
      </c>
      <c r="K18" t="s">
        <v>39</v>
      </c>
      <c r="L18" t="s">
        <v>64</v>
      </c>
      <c r="M18">
        <v>1</v>
      </c>
    </row>
    <row r="19" spans="1:13" x14ac:dyDescent="0.25">
      <c r="A19" s="1">
        <v>46146</v>
      </c>
      <c r="B19" s="1" t="str">
        <f ca="1">IF(Información1[[#This Row],[Fecha]]='Ajuste de fechas'!$A$2,"Día actual","Día anterior")</f>
        <v>Día actual</v>
      </c>
      <c r="C19" t="s">
        <v>45</v>
      </c>
      <c r="D19" t="s">
        <v>47</v>
      </c>
      <c r="E19" t="s">
        <v>245</v>
      </c>
      <c r="F19" t="s">
        <v>86</v>
      </c>
      <c r="G19" t="s">
        <v>85</v>
      </c>
      <c r="H19" t="s">
        <v>11</v>
      </c>
      <c r="I19" t="s">
        <v>7</v>
      </c>
      <c r="J19" t="s">
        <v>63</v>
      </c>
      <c r="K19" t="s">
        <v>39</v>
      </c>
      <c r="L19" t="s">
        <v>64</v>
      </c>
      <c r="M19">
        <v>1</v>
      </c>
    </row>
    <row r="20" spans="1:13" x14ac:dyDescent="0.25">
      <c r="A20" s="1">
        <v>46146</v>
      </c>
      <c r="B20" s="1" t="str">
        <f ca="1">IF(Información1[[#This Row],[Fecha]]='Ajuste de fechas'!$A$2,"Día actual","Día anterior")</f>
        <v>Día actual</v>
      </c>
      <c r="C20" t="s">
        <v>45</v>
      </c>
      <c r="D20" t="s">
        <v>47</v>
      </c>
      <c r="E20" t="s">
        <v>246</v>
      </c>
      <c r="F20" t="s">
        <v>24</v>
      </c>
      <c r="G20" t="s">
        <v>93</v>
      </c>
      <c r="H20" t="s">
        <v>11</v>
      </c>
      <c r="I20" t="s">
        <v>7</v>
      </c>
      <c r="J20" t="s">
        <v>63</v>
      </c>
      <c r="K20" t="s">
        <v>39</v>
      </c>
      <c r="L20" t="s">
        <v>66</v>
      </c>
      <c r="M20">
        <v>1</v>
      </c>
    </row>
    <row r="21" spans="1:13" x14ac:dyDescent="0.25">
      <c r="A21" s="1">
        <v>46146</v>
      </c>
      <c r="B21" s="1" t="str">
        <f ca="1">IF(Información1[[#This Row],[Fecha]]='Ajuste de fechas'!$A$2,"Día actual","Día anterior")</f>
        <v>Día actual</v>
      </c>
      <c r="C21" t="s">
        <v>34</v>
      </c>
      <c r="D21" t="s">
        <v>36</v>
      </c>
      <c r="E21" t="s">
        <v>247</v>
      </c>
      <c r="F21" t="s">
        <v>19</v>
      </c>
      <c r="G21" t="s">
        <v>248</v>
      </c>
      <c r="H21" t="s">
        <v>11</v>
      </c>
      <c r="I21" t="s">
        <v>27</v>
      </c>
      <c r="J21" t="s">
        <v>67</v>
      </c>
      <c r="K21" t="s">
        <v>55</v>
      </c>
      <c r="L21" t="s">
        <v>64</v>
      </c>
      <c r="M21">
        <v>1</v>
      </c>
    </row>
    <row r="22" spans="1:13" x14ac:dyDescent="0.25">
      <c r="A22" s="1">
        <v>46146</v>
      </c>
      <c r="B22" s="1" t="str">
        <f ca="1">IF(Información1[[#This Row],[Fecha]]='Ajuste de fechas'!$A$2,"Día actual","Día anterior")</f>
        <v>Día actual</v>
      </c>
      <c r="C22" t="s">
        <v>34</v>
      </c>
      <c r="D22" t="s">
        <v>36</v>
      </c>
      <c r="E22" t="s">
        <v>249</v>
      </c>
      <c r="F22" t="s">
        <v>19</v>
      </c>
      <c r="G22" t="s">
        <v>248</v>
      </c>
      <c r="H22" t="s">
        <v>11</v>
      </c>
      <c r="I22" t="s">
        <v>27</v>
      </c>
      <c r="J22" t="s">
        <v>67</v>
      </c>
      <c r="K22" t="s">
        <v>55</v>
      </c>
      <c r="L22" t="s">
        <v>64</v>
      </c>
      <c r="M22">
        <v>1</v>
      </c>
    </row>
    <row r="23" spans="1:13" x14ac:dyDescent="0.25">
      <c r="A23" s="1">
        <v>46146</v>
      </c>
      <c r="B23" s="1" t="str">
        <f ca="1">IF(Información1[[#This Row],[Fecha]]='Ajuste de fechas'!$A$2,"Día actual","Día anterior")</f>
        <v>Día actual</v>
      </c>
      <c r="C23" t="s">
        <v>34</v>
      </c>
      <c r="D23" t="s">
        <v>36</v>
      </c>
      <c r="E23" t="s">
        <v>250</v>
      </c>
      <c r="F23" t="s">
        <v>179</v>
      </c>
      <c r="G23" t="s">
        <v>168</v>
      </c>
      <c r="H23" t="s">
        <v>11</v>
      </c>
      <c r="I23" t="s">
        <v>7</v>
      </c>
      <c r="J23" t="s">
        <v>63</v>
      </c>
      <c r="K23" t="s">
        <v>55</v>
      </c>
      <c r="L23" t="s">
        <v>237</v>
      </c>
      <c r="M23">
        <v>1</v>
      </c>
    </row>
    <row r="24" spans="1:13" x14ac:dyDescent="0.25">
      <c r="A24" s="1">
        <v>46146</v>
      </c>
      <c r="B24" s="1" t="str">
        <f ca="1">IF(Información1[[#This Row],[Fecha]]='Ajuste de fechas'!$A$2,"Día actual","Día anterior")</f>
        <v>Día actual</v>
      </c>
      <c r="C24" t="s">
        <v>34</v>
      </c>
      <c r="D24" t="s">
        <v>36</v>
      </c>
      <c r="E24" t="s">
        <v>251</v>
      </c>
      <c r="F24" t="s">
        <v>23</v>
      </c>
      <c r="G24" t="s">
        <v>252</v>
      </c>
      <c r="H24" t="s">
        <v>11</v>
      </c>
      <c r="I24" t="s">
        <v>7</v>
      </c>
      <c r="J24" t="s">
        <v>68</v>
      </c>
      <c r="K24" t="s">
        <v>55</v>
      </c>
      <c r="L24" t="s">
        <v>64</v>
      </c>
      <c r="M24">
        <v>1</v>
      </c>
    </row>
    <row r="25" spans="1:13" x14ac:dyDescent="0.25">
      <c r="A25" s="1">
        <v>46146</v>
      </c>
      <c r="B25" s="1" t="str">
        <f ca="1">IF(Información1[[#This Row],[Fecha]]='Ajuste de fechas'!$A$2,"Día actual","Día anterior")</f>
        <v>Día actual</v>
      </c>
      <c r="C25" t="s">
        <v>34</v>
      </c>
      <c r="D25" t="s">
        <v>36</v>
      </c>
      <c r="E25" t="s">
        <v>253</v>
      </c>
      <c r="F25" t="s">
        <v>17</v>
      </c>
      <c r="G25" t="s">
        <v>85</v>
      </c>
      <c r="H25" t="s">
        <v>11</v>
      </c>
      <c r="I25" t="s">
        <v>7</v>
      </c>
      <c r="J25" t="s">
        <v>63</v>
      </c>
      <c r="K25" t="s">
        <v>55</v>
      </c>
      <c r="L25" t="s">
        <v>64</v>
      </c>
      <c r="M25">
        <v>1</v>
      </c>
    </row>
    <row r="26" spans="1:13" x14ac:dyDescent="0.25">
      <c r="A26" s="1">
        <v>46146</v>
      </c>
      <c r="B26" s="1" t="str">
        <f ca="1">IF(Información1[[#This Row],[Fecha]]='Ajuste de fechas'!$A$2,"Día actual","Día anterior")</f>
        <v>Día actual</v>
      </c>
      <c r="C26" t="s">
        <v>34</v>
      </c>
      <c r="D26" t="s">
        <v>36</v>
      </c>
      <c r="E26" t="s">
        <v>254</v>
      </c>
      <c r="F26" t="s">
        <v>17</v>
      </c>
      <c r="G26" t="s">
        <v>85</v>
      </c>
      <c r="H26" t="s">
        <v>11</v>
      </c>
      <c r="I26" t="s">
        <v>7</v>
      </c>
      <c r="J26" t="s">
        <v>63</v>
      </c>
      <c r="K26" t="s">
        <v>55</v>
      </c>
      <c r="L26" t="s">
        <v>65</v>
      </c>
      <c r="M26">
        <v>1</v>
      </c>
    </row>
    <row r="27" spans="1:13" x14ac:dyDescent="0.25">
      <c r="A27" s="1">
        <v>46146</v>
      </c>
      <c r="B27" s="1" t="str">
        <f ca="1">IF(Información1[[#This Row],[Fecha]]='Ajuste de fechas'!$A$2,"Día actual","Día anterior")</f>
        <v>Día actual</v>
      </c>
      <c r="C27" t="s">
        <v>90</v>
      </c>
      <c r="D27" t="s">
        <v>196</v>
      </c>
      <c r="E27" t="s">
        <v>255</v>
      </c>
      <c r="F27" t="s">
        <v>86</v>
      </c>
      <c r="G27" t="s">
        <v>87</v>
      </c>
      <c r="H27" t="s">
        <v>11</v>
      </c>
      <c r="I27" t="s">
        <v>7</v>
      </c>
      <c r="J27" t="s">
        <v>63</v>
      </c>
      <c r="K27" t="s">
        <v>198</v>
      </c>
      <c r="L27" t="s">
        <v>66</v>
      </c>
      <c r="M27">
        <v>1</v>
      </c>
    </row>
    <row r="28" spans="1:13" x14ac:dyDescent="0.25">
      <c r="A28" s="1">
        <v>46146</v>
      </c>
      <c r="B28" s="1" t="str">
        <f ca="1">IF(Información1[[#This Row],[Fecha]]='Ajuste de fechas'!$A$2,"Día actual","Día anterior")</f>
        <v>Día actual</v>
      </c>
      <c r="C28" t="s">
        <v>90</v>
      </c>
      <c r="D28" t="s">
        <v>196</v>
      </c>
      <c r="E28" t="s">
        <v>256</v>
      </c>
      <c r="F28" t="s">
        <v>78</v>
      </c>
      <c r="G28" t="s">
        <v>103</v>
      </c>
      <c r="H28" t="s">
        <v>11</v>
      </c>
      <c r="I28" t="s">
        <v>7</v>
      </c>
      <c r="J28" t="s">
        <v>63</v>
      </c>
      <c r="K28" t="s">
        <v>198</v>
      </c>
      <c r="L28" t="s">
        <v>66</v>
      </c>
      <c r="M28">
        <v>1</v>
      </c>
    </row>
    <row r="29" spans="1:13" x14ac:dyDescent="0.25">
      <c r="A29" s="1">
        <v>46146</v>
      </c>
      <c r="B29" s="1" t="str">
        <f ca="1">IF(Información1[[#This Row],[Fecha]]='Ajuste de fechas'!$A$2,"Día actual","Día anterior")</f>
        <v>Día actual</v>
      </c>
      <c r="C29" t="s">
        <v>90</v>
      </c>
      <c r="D29" t="s">
        <v>196</v>
      </c>
      <c r="E29" t="s">
        <v>257</v>
      </c>
      <c r="F29" t="s">
        <v>86</v>
      </c>
      <c r="G29" t="s">
        <v>258</v>
      </c>
      <c r="H29" t="s">
        <v>11</v>
      </c>
      <c r="I29" t="s">
        <v>7</v>
      </c>
      <c r="J29" t="s">
        <v>63</v>
      </c>
      <c r="K29" t="s">
        <v>198</v>
      </c>
      <c r="L29" t="s">
        <v>66</v>
      </c>
      <c r="M29">
        <v>1</v>
      </c>
    </row>
    <row r="30" spans="1:13" x14ac:dyDescent="0.25">
      <c r="A30" s="1">
        <v>46146</v>
      </c>
      <c r="B30" s="1" t="str">
        <f ca="1">IF(Información1[[#This Row],[Fecha]]='Ajuste de fechas'!$A$2,"Día actual","Día anterior")</f>
        <v>Día actual</v>
      </c>
      <c r="C30" t="s">
        <v>34</v>
      </c>
      <c r="D30" t="s">
        <v>37</v>
      </c>
      <c r="E30" t="s">
        <v>263</v>
      </c>
      <c r="F30" t="s">
        <v>21</v>
      </c>
      <c r="G30" t="s">
        <v>264</v>
      </c>
      <c r="H30" t="s">
        <v>11</v>
      </c>
      <c r="I30" t="s">
        <v>7</v>
      </c>
      <c r="J30" t="s">
        <v>63</v>
      </c>
      <c r="K30" t="s">
        <v>35</v>
      </c>
      <c r="L30" t="s">
        <v>64</v>
      </c>
      <c r="M30">
        <v>1</v>
      </c>
    </row>
    <row r="31" spans="1:13" x14ac:dyDescent="0.25">
      <c r="A31" s="1">
        <v>46146</v>
      </c>
      <c r="B31" s="1" t="str">
        <f ca="1">IF(Información1[[#This Row],[Fecha]]='Ajuste de fechas'!$A$2,"Día actual","Día anterior")</f>
        <v>Día actual</v>
      </c>
      <c r="C31" t="s">
        <v>34</v>
      </c>
      <c r="D31" t="s">
        <v>37</v>
      </c>
      <c r="E31" t="s">
        <v>265</v>
      </c>
      <c r="F31" t="s">
        <v>80</v>
      </c>
      <c r="G31" t="s">
        <v>266</v>
      </c>
      <c r="H31" t="s">
        <v>11</v>
      </c>
      <c r="I31" t="s">
        <v>7</v>
      </c>
      <c r="J31" t="s">
        <v>63</v>
      </c>
      <c r="K31" t="s">
        <v>35</v>
      </c>
      <c r="L31" t="s">
        <v>64</v>
      </c>
      <c r="M31">
        <v>1</v>
      </c>
    </row>
    <row r="32" spans="1:13" x14ac:dyDescent="0.25">
      <c r="A32" s="1">
        <v>46146</v>
      </c>
      <c r="B32" s="1" t="str">
        <f ca="1">IF(Información1[[#This Row],[Fecha]]='Ajuste de fechas'!$A$2,"Día actual","Día anterior")</f>
        <v>Día actual</v>
      </c>
      <c r="C32" t="s">
        <v>34</v>
      </c>
      <c r="D32" t="s">
        <v>37</v>
      </c>
      <c r="E32" t="s">
        <v>267</v>
      </c>
      <c r="F32" t="s">
        <v>24</v>
      </c>
      <c r="G32" t="s">
        <v>93</v>
      </c>
      <c r="H32" t="s">
        <v>11</v>
      </c>
      <c r="I32" t="s">
        <v>7</v>
      </c>
      <c r="J32" t="s">
        <v>63</v>
      </c>
      <c r="K32" t="s">
        <v>35</v>
      </c>
      <c r="L32" t="s">
        <v>64</v>
      </c>
      <c r="M32">
        <v>1</v>
      </c>
    </row>
    <row r="33" spans="1:13" x14ac:dyDescent="0.25">
      <c r="A33" s="1">
        <v>46146</v>
      </c>
      <c r="B33" s="1" t="str">
        <f ca="1">IF(Información1[[#This Row],[Fecha]]='Ajuste de fechas'!$A$2,"Día actual","Día anterior")</f>
        <v>Día actual</v>
      </c>
      <c r="C33" t="s">
        <v>34</v>
      </c>
      <c r="D33" t="s">
        <v>37</v>
      </c>
      <c r="E33" t="s">
        <v>268</v>
      </c>
      <c r="F33" t="s">
        <v>21</v>
      </c>
      <c r="G33" t="s">
        <v>269</v>
      </c>
      <c r="H33" t="s">
        <v>11</v>
      </c>
      <c r="I33" t="s">
        <v>7</v>
      </c>
      <c r="J33" t="s">
        <v>63</v>
      </c>
      <c r="K33" t="s">
        <v>35</v>
      </c>
      <c r="L33" t="s">
        <v>64</v>
      </c>
      <c r="M33">
        <v>1</v>
      </c>
    </row>
    <row r="34" spans="1:13" x14ac:dyDescent="0.25">
      <c r="A34" s="1">
        <v>46146</v>
      </c>
      <c r="B34" s="1" t="str">
        <f ca="1">IF(Información1[[#This Row],[Fecha]]='Ajuste de fechas'!$A$2,"Día actual","Día anterior")</f>
        <v>Día actual</v>
      </c>
      <c r="C34" t="s">
        <v>34</v>
      </c>
      <c r="D34" t="s">
        <v>37</v>
      </c>
      <c r="E34" t="s">
        <v>255</v>
      </c>
      <c r="F34" t="s">
        <v>86</v>
      </c>
      <c r="G34" t="s">
        <v>87</v>
      </c>
      <c r="H34" t="s">
        <v>11</v>
      </c>
      <c r="I34" t="s">
        <v>7</v>
      </c>
      <c r="J34" t="s">
        <v>63</v>
      </c>
      <c r="K34" t="s">
        <v>35</v>
      </c>
      <c r="L34" t="s">
        <v>66</v>
      </c>
      <c r="M34">
        <v>1</v>
      </c>
    </row>
    <row r="35" spans="1:13" x14ac:dyDescent="0.25">
      <c r="A35" s="1">
        <v>46146</v>
      </c>
      <c r="B35" s="1" t="str">
        <f ca="1">IF(Información1[[#This Row],[Fecha]]='Ajuste de fechas'!$A$2,"Día actual","Día anterior")</f>
        <v>Día actual</v>
      </c>
      <c r="C35" t="s">
        <v>34</v>
      </c>
      <c r="D35" t="s">
        <v>37</v>
      </c>
      <c r="E35" t="s">
        <v>270</v>
      </c>
      <c r="F35" t="s">
        <v>23</v>
      </c>
      <c r="G35" t="s">
        <v>271</v>
      </c>
      <c r="H35" t="s">
        <v>11</v>
      </c>
      <c r="I35" t="s">
        <v>7</v>
      </c>
      <c r="J35" t="s">
        <v>68</v>
      </c>
      <c r="K35" t="s">
        <v>35</v>
      </c>
      <c r="L35" t="s">
        <v>64</v>
      </c>
      <c r="M35">
        <v>1</v>
      </c>
    </row>
    <row r="36" spans="1:13" x14ac:dyDescent="0.25">
      <c r="A36" s="1">
        <v>46146</v>
      </c>
      <c r="B36" s="1" t="str">
        <f ca="1">IF(Información1[[#This Row],[Fecha]]='Ajuste de fechas'!$A$2,"Día actual","Día anterior")</f>
        <v>Día actual</v>
      </c>
      <c r="C36" t="s">
        <v>34</v>
      </c>
      <c r="D36" t="s">
        <v>37</v>
      </c>
      <c r="E36" t="s">
        <v>272</v>
      </c>
      <c r="F36" t="s">
        <v>273</v>
      </c>
      <c r="G36" t="s">
        <v>168</v>
      </c>
      <c r="H36" t="s">
        <v>11</v>
      </c>
      <c r="I36" t="s">
        <v>7</v>
      </c>
      <c r="J36" t="s">
        <v>63</v>
      </c>
      <c r="K36" t="s">
        <v>35</v>
      </c>
      <c r="L36" t="s">
        <v>64</v>
      </c>
      <c r="M36">
        <v>1</v>
      </c>
    </row>
    <row r="37" spans="1:13" x14ac:dyDescent="0.25">
      <c r="A37" s="1">
        <v>46146</v>
      </c>
      <c r="B37" s="1" t="str">
        <f ca="1">IF(Información1[[#This Row],[Fecha]]='Ajuste de fechas'!$A$2,"Día actual","Día anterior")</f>
        <v>Día actual</v>
      </c>
      <c r="C37" t="s">
        <v>34</v>
      </c>
      <c r="D37" t="s">
        <v>37</v>
      </c>
      <c r="E37" t="s">
        <v>274</v>
      </c>
      <c r="F37" t="s">
        <v>28</v>
      </c>
      <c r="G37" t="s">
        <v>222</v>
      </c>
      <c r="H37" t="s">
        <v>11</v>
      </c>
      <c r="I37" t="s">
        <v>7</v>
      </c>
      <c r="J37" t="s">
        <v>63</v>
      </c>
      <c r="K37" t="s">
        <v>35</v>
      </c>
      <c r="L37" t="s">
        <v>64</v>
      </c>
      <c r="M37">
        <v>1</v>
      </c>
    </row>
    <row r="38" spans="1:13" x14ac:dyDescent="0.25">
      <c r="A38" s="1">
        <v>46146</v>
      </c>
      <c r="B38" s="1" t="str">
        <f ca="1">IF(Información1[[#This Row],[Fecha]]='Ajuste de fechas'!$A$2,"Día actual","Día anterior")</f>
        <v>Día actual</v>
      </c>
      <c r="C38" t="s">
        <v>8</v>
      </c>
      <c r="D38" t="s">
        <v>10</v>
      </c>
      <c r="E38" t="s">
        <v>275</v>
      </c>
      <c r="F38" t="s">
        <v>17</v>
      </c>
      <c r="G38" t="s">
        <v>222</v>
      </c>
      <c r="H38" t="s">
        <v>11</v>
      </c>
      <c r="I38" t="s">
        <v>7</v>
      </c>
      <c r="J38" t="s">
        <v>63</v>
      </c>
      <c r="K38" t="s">
        <v>9</v>
      </c>
      <c r="L38" t="s">
        <v>65</v>
      </c>
      <c r="M38">
        <v>1</v>
      </c>
    </row>
    <row r="39" spans="1:13" x14ac:dyDescent="0.25">
      <c r="A39" s="1">
        <v>46146</v>
      </c>
      <c r="B39" s="1" t="str">
        <f ca="1">IF(Información1[[#This Row],[Fecha]]='Ajuste de fechas'!$A$2,"Día actual","Día anterior")</f>
        <v>Día actual</v>
      </c>
      <c r="C39" t="s">
        <v>8</v>
      </c>
      <c r="D39" t="s">
        <v>10</v>
      </c>
      <c r="E39" t="s">
        <v>276</v>
      </c>
      <c r="F39" t="s">
        <v>17</v>
      </c>
      <c r="G39" t="s">
        <v>222</v>
      </c>
      <c r="H39" t="s">
        <v>11</v>
      </c>
      <c r="I39" t="s">
        <v>7</v>
      </c>
      <c r="J39" t="s">
        <v>63</v>
      </c>
      <c r="K39" t="s">
        <v>9</v>
      </c>
      <c r="L39" t="s">
        <v>64</v>
      </c>
      <c r="M39">
        <v>1</v>
      </c>
    </row>
    <row r="40" spans="1:13" x14ac:dyDescent="0.25">
      <c r="A40" s="1">
        <v>46146</v>
      </c>
      <c r="B40" s="1" t="str">
        <f ca="1">IF(Información1[[#This Row],[Fecha]]='Ajuste de fechas'!$A$2,"Día actual","Día anterior")</f>
        <v>Día actual</v>
      </c>
      <c r="C40" t="s">
        <v>8</v>
      </c>
      <c r="D40" t="s">
        <v>10</v>
      </c>
      <c r="E40" t="s">
        <v>277</v>
      </c>
      <c r="F40" t="s">
        <v>6</v>
      </c>
      <c r="G40" t="s">
        <v>76</v>
      </c>
      <c r="H40" t="s">
        <v>11</v>
      </c>
      <c r="I40" t="s">
        <v>7</v>
      </c>
      <c r="J40" t="s">
        <v>63</v>
      </c>
      <c r="K40" t="s">
        <v>9</v>
      </c>
      <c r="L40" t="s">
        <v>64</v>
      </c>
      <c r="M40">
        <v>1</v>
      </c>
    </row>
    <row r="41" spans="1:13" x14ac:dyDescent="0.25">
      <c r="A41" s="1">
        <v>46146</v>
      </c>
      <c r="B41" s="1" t="str">
        <f ca="1">IF(Información1[[#This Row],[Fecha]]='Ajuste de fechas'!$A$2,"Día actual","Día anterior")</f>
        <v>Día actual</v>
      </c>
      <c r="C41" t="s">
        <v>8</v>
      </c>
      <c r="D41" t="s">
        <v>10</v>
      </c>
      <c r="E41" t="s">
        <v>278</v>
      </c>
      <c r="F41" t="s">
        <v>6</v>
      </c>
      <c r="G41" t="s">
        <v>279</v>
      </c>
      <c r="H41" t="s">
        <v>11</v>
      </c>
      <c r="I41" t="s">
        <v>7</v>
      </c>
      <c r="J41" t="s">
        <v>63</v>
      </c>
      <c r="K41" t="s">
        <v>9</v>
      </c>
      <c r="L41" t="s">
        <v>64</v>
      </c>
      <c r="M41">
        <v>1</v>
      </c>
    </row>
    <row r="42" spans="1:13" x14ac:dyDescent="0.25">
      <c r="A42" s="1">
        <v>46146</v>
      </c>
      <c r="B42" s="1" t="str">
        <f ca="1">IF(Información1[[#This Row],[Fecha]]='Ajuste de fechas'!$A$2,"Día actual","Día anterior")</f>
        <v>Día actual</v>
      </c>
      <c r="C42" t="s">
        <v>8</v>
      </c>
      <c r="D42" t="s">
        <v>10</v>
      </c>
      <c r="E42" t="s">
        <v>280</v>
      </c>
      <c r="F42" t="s">
        <v>6</v>
      </c>
      <c r="G42" t="s">
        <v>281</v>
      </c>
      <c r="H42" t="s">
        <v>11</v>
      </c>
      <c r="I42" t="s">
        <v>7</v>
      </c>
      <c r="J42" t="s">
        <v>63</v>
      </c>
      <c r="K42" t="s">
        <v>9</v>
      </c>
      <c r="L42" t="s">
        <v>65</v>
      </c>
      <c r="M42">
        <v>1</v>
      </c>
    </row>
    <row r="43" spans="1:13" x14ac:dyDescent="0.25">
      <c r="A43" s="1">
        <v>46146</v>
      </c>
      <c r="B43" s="1" t="str">
        <f ca="1">IF(Información1[[#This Row],[Fecha]]='Ajuste de fechas'!$A$2,"Día actual","Día anterior")</f>
        <v>Día actual</v>
      </c>
      <c r="C43" t="s">
        <v>8</v>
      </c>
      <c r="D43" t="s">
        <v>10</v>
      </c>
      <c r="E43" t="s">
        <v>282</v>
      </c>
      <c r="F43" t="s">
        <v>17</v>
      </c>
      <c r="G43" t="s">
        <v>114</v>
      </c>
      <c r="H43" t="s">
        <v>11</v>
      </c>
      <c r="I43" t="s">
        <v>7</v>
      </c>
      <c r="J43" t="s">
        <v>63</v>
      </c>
      <c r="K43" t="s">
        <v>9</v>
      </c>
      <c r="L43" t="s">
        <v>65</v>
      </c>
      <c r="M43">
        <v>1</v>
      </c>
    </row>
    <row r="44" spans="1:13" x14ac:dyDescent="0.25">
      <c r="A44" s="1">
        <v>46146</v>
      </c>
      <c r="B44" s="1" t="str">
        <f ca="1">IF(Información1[[#This Row],[Fecha]]='Ajuste de fechas'!$A$2,"Día actual","Día anterior")</f>
        <v>Día actual</v>
      </c>
      <c r="C44" t="s">
        <v>8</v>
      </c>
      <c r="D44" t="s">
        <v>10</v>
      </c>
      <c r="E44" t="s">
        <v>283</v>
      </c>
      <c r="F44" t="s">
        <v>26</v>
      </c>
      <c r="G44" t="s">
        <v>239</v>
      </c>
      <c r="H44" t="s">
        <v>11</v>
      </c>
      <c r="I44" t="s">
        <v>7</v>
      </c>
      <c r="J44" t="s">
        <v>26</v>
      </c>
      <c r="K44" t="s">
        <v>14</v>
      </c>
      <c r="L44" t="s">
        <v>64</v>
      </c>
      <c r="M44">
        <v>1</v>
      </c>
    </row>
    <row r="45" spans="1:13" x14ac:dyDescent="0.25">
      <c r="A45" s="1">
        <v>46146</v>
      </c>
      <c r="B45" s="1" t="str">
        <f ca="1">IF(Información1[[#This Row],[Fecha]]='Ajuste de fechas'!$A$2,"Día actual","Día anterior")</f>
        <v>Día actual</v>
      </c>
      <c r="C45" t="s">
        <v>8</v>
      </c>
      <c r="D45" t="s">
        <v>10</v>
      </c>
      <c r="E45" t="s">
        <v>284</v>
      </c>
      <c r="F45" t="s">
        <v>28</v>
      </c>
      <c r="G45" t="s">
        <v>222</v>
      </c>
      <c r="H45" t="s">
        <v>11</v>
      </c>
      <c r="I45" t="s">
        <v>7</v>
      </c>
      <c r="J45" t="s">
        <v>63</v>
      </c>
      <c r="K45" t="s">
        <v>14</v>
      </c>
      <c r="L45" t="s">
        <v>64</v>
      </c>
      <c r="M45">
        <v>1</v>
      </c>
    </row>
    <row r="46" spans="1:13" x14ac:dyDescent="0.25">
      <c r="A46" s="1">
        <v>46146</v>
      </c>
      <c r="B46" s="1" t="str">
        <f ca="1">IF(Información1[[#This Row],[Fecha]]='Ajuste de fechas'!$A$2,"Día actual","Día anterior")</f>
        <v>Día actual</v>
      </c>
      <c r="C46" t="s">
        <v>8</v>
      </c>
      <c r="D46" t="s">
        <v>10</v>
      </c>
      <c r="E46" t="s">
        <v>285</v>
      </c>
      <c r="F46" t="s">
        <v>19</v>
      </c>
      <c r="G46" t="s">
        <v>74</v>
      </c>
      <c r="H46" t="s">
        <v>11</v>
      </c>
      <c r="I46" t="s">
        <v>7</v>
      </c>
      <c r="J46" t="s">
        <v>67</v>
      </c>
      <c r="K46" t="s">
        <v>14</v>
      </c>
      <c r="L46" t="s">
        <v>64</v>
      </c>
      <c r="M46">
        <v>1</v>
      </c>
    </row>
    <row r="47" spans="1:13" x14ac:dyDescent="0.25">
      <c r="A47" s="1">
        <v>46146</v>
      </c>
      <c r="B47" s="1" t="str">
        <f ca="1">IF(Información1[[#This Row],[Fecha]]='Ajuste de fechas'!$A$2,"Día actual","Día anterior")</f>
        <v>Día actual</v>
      </c>
      <c r="C47" t="s">
        <v>8</v>
      </c>
      <c r="D47" t="s">
        <v>10</v>
      </c>
      <c r="E47" t="s">
        <v>286</v>
      </c>
      <c r="F47" t="s">
        <v>19</v>
      </c>
      <c r="G47" t="s">
        <v>287</v>
      </c>
      <c r="H47" t="s">
        <v>11</v>
      </c>
      <c r="I47" t="s">
        <v>7</v>
      </c>
      <c r="J47" t="s">
        <v>67</v>
      </c>
      <c r="K47" t="s">
        <v>14</v>
      </c>
      <c r="L47" t="s">
        <v>64</v>
      </c>
      <c r="M47">
        <v>1</v>
      </c>
    </row>
    <row r="48" spans="1:13" x14ac:dyDescent="0.25">
      <c r="A48" s="1">
        <v>46146</v>
      </c>
      <c r="B48" s="1" t="str">
        <f ca="1">IF(Información1[[#This Row],[Fecha]]='Ajuste de fechas'!$A$2,"Día actual","Día anterior")</f>
        <v>Día actual</v>
      </c>
      <c r="C48" t="s">
        <v>8</v>
      </c>
      <c r="D48" t="s">
        <v>10</v>
      </c>
      <c r="E48" t="s">
        <v>288</v>
      </c>
      <c r="F48" t="s">
        <v>24</v>
      </c>
      <c r="G48" t="s">
        <v>75</v>
      </c>
      <c r="H48" t="s">
        <v>11</v>
      </c>
      <c r="I48" t="s">
        <v>7</v>
      </c>
      <c r="J48" t="s">
        <v>63</v>
      </c>
      <c r="K48" t="s">
        <v>14</v>
      </c>
      <c r="L48" t="s">
        <v>66</v>
      </c>
      <c r="M48">
        <v>1</v>
      </c>
    </row>
    <row r="49" spans="1:13" x14ac:dyDescent="0.25">
      <c r="A49" s="1">
        <v>46146</v>
      </c>
      <c r="B49" s="1" t="str">
        <f ca="1">IF(Información1[[#This Row],[Fecha]]='Ajuste de fechas'!$A$2,"Día actual","Día anterior")</f>
        <v>Día actual</v>
      </c>
      <c r="C49" t="s">
        <v>8</v>
      </c>
      <c r="D49" t="s">
        <v>10</v>
      </c>
      <c r="E49" t="s">
        <v>289</v>
      </c>
      <c r="F49" t="s">
        <v>25</v>
      </c>
      <c r="G49" t="s">
        <v>290</v>
      </c>
      <c r="H49" t="s">
        <v>11</v>
      </c>
      <c r="I49" t="s">
        <v>7</v>
      </c>
      <c r="J49" t="s">
        <v>63</v>
      </c>
      <c r="K49" t="s">
        <v>14</v>
      </c>
      <c r="L49" t="s">
        <v>64</v>
      </c>
      <c r="M49">
        <v>1</v>
      </c>
    </row>
    <row r="50" spans="1:13" x14ac:dyDescent="0.25">
      <c r="A50" s="1">
        <v>46146</v>
      </c>
      <c r="B50" s="1" t="str">
        <f ca="1">IF(Información1[[#This Row],[Fecha]]='Ajuste de fechas'!$A$2,"Día actual","Día anterior")</f>
        <v>Día actual</v>
      </c>
      <c r="C50" t="s">
        <v>8</v>
      </c>
      <c r="D50" t="s">
        <v>10</v>
      </c>
      <c r="E50" t="s">
        <v>291</v>
      </c>
      <c r="F50" t="s">
        <v>23</v>
      </c>
      <c r="G50" t="s">
        <v>97</v>
      </c>
      <c r="H50" t="s">
        <v>11</v>
      </c>
      <c r="I50" t="s">
        <v>7</v>
      </c>
      <c r="J50" t="s">
        <v>68</v>
      </c>
      <c r="K50" t="s">
        <v>14</v>
      </c>
      <c r="L50" t="s">
        <v>64</v>
      </c>
      <c r="M50">
        <v>1</v>
      </c>
    </row>
    <row r="51" spans="1:13" x14ac:dyDescent="0.25">
      <c r="A51" s="1">
        <v>46146</v>
      </c>
      <c r="B51" s="1" t="str">
        <f ca="1">IF(Información1[[#This Row],[Fecha]]='Ajuste de fechas'!$A$2,"Día actual","Día anterior")</f>
        <v>Día actual</v>
      </c>
      <c r="C51" t="s">
        <v>8</v>
      </c>
      <c r="D51" t="s">
        <v>10</v>
      </c>
      <c r="E51" t="s">
        <v>292</v>
      </c>
      <c r="F51" t="s">
        <v>28</v>
      </c>
      <c r="G51" t="s">
        <v>293</v>
      </c>
      <c r="H51" t="s">
        <v>11</v>
      </c>
      <c r="I51" t="s">
        <v>7</v>
      </c>
      <c r="J51" t="s">
        <v>63</v>
      </c>
      <c r="K51" t="s">
        <v>14</v>
      </c>
      <c r="L51" t="s">
        <v>66</v>
      </c>
      <c r="M51">
        <v>1</v>
      </c>
    </row>
    <row r="52" spans="1:13" x14ac:dyDescent="0.25">
      <c r="A52" s="1">
        <v>46146</v>
      </c>
      <c r="B52" s="1" t="str">
        <f ca="1">IF(Información1[[#This Row],[Fecha]]='Ajuste de fechas'!$A$2,"Día actual","Día anterior")</f>
        <v>Día actual</v>
      </c>
      <c r="C52" t="s">
        <v>8</v>
      </c>
      <c r="D52" t="s">
        <v>10</v>
      </c>
      <c r="E52" t="s">
        <v>20</v>
      </c>
      <c r="F52" t="s">
        <v>19</v>
      </c>
      <c r="G52" t="s">
        <v>54</v>
      </c>
      <c r="H52" t="s">
        <v>11</v>
      </c>
      <c r="I52" t="s">
        <v>12</v>
      </c>
      <c r="J52" t="s">
        <v>67</v>
      </c>
      <c r="K52" t="s">
        <v>14</v>
      </c>
      <c r="L52" t="s">
        <v>65</v>
      </c>
      <c r="M52">
        <v>1</v>
      </c>
    </row>
    <row r="53" spans="1:13" x14ac:dyDescent="0.25">
      <c r="A53" s="1">
        <v>46146</v>
      </c>
      <c r="B53" s="1" t="str">
        <f ca="1">IF(Información1[[#This Row],[Fecha]]='Ajuste de fechas'!$A$2,"Día actual","Día anterior")</f>
        <v>Día actual</v>
      </c>
      <c r="C53" t="s">
        <v>8</v>
      </c>
      <c r="D53" t="s">
        <v>10</v>
      </c>
      <c r="E53" t="s">
        <v>18</v>
      </c>
      <c r="F53" t="s">
        <v>19</v>
      </c>
      <c r="G53" t="s">
        <v>54</v>
      </c>
      <c r="H53" t="s">
        <v>11</v>
      </c>
      <c r="I53" t="s">
        <v>12</v>
      </c>
      <c r="J53" t="s">
        <v>67</v>
      </c>
      <c r="K53" t="s">
        <v>14</v>
      </c>
      <c r="L53" t="s">
        <v>65</v>
      </c>
      <c r="M53">
        <v>1</v>
      </c>
    </row>
    <row r="54" spans="1:13" x14ac:dyDescent="0.25">
      <c r="A54" s="1">
        <v>46146</v>
      </c>
      <c r="B54" s="1" t="str">
        <f ca="1">IF(Información1[[#This Row],[Fecha]]='Ajuste de fechas'!$A$2,"Día actual","Día anterior")</f>
        <v>Día actual</v>
      </c>
      <c r="C54" t="s">
        <v>8</v>
      </c>
      <c r="D54" t="s">
        <v>10</v>
      </c>
      <c r="E54" t="s">
        <v>79</v>
      </c>
      <c r="F54" t="s">
        <v>21</v>
      </c>
      <c r="G54" t="s">
        <v>54</v>
      </c>
      <c r="H54" t="s">
        <v>11</v>
      </c>
      <c r="I54" t="s">
        <v>12</v>
      </c>
      <c r="J54" t="s">
        <v>63</v>
      </c>
      <c r="K54" t="s">
        <v>14</v>
      </c>
      <c r="L54" t="s">
        <v>65</v>
      </c>
      <c r="M54">
        <v>1</v>
      </c>
    </row>
    <row r="55" spans="1:13" x14ac:dyDescent="0.25">
      <c r="A55" s="1">
        <v>46146</v>
      </c>
      <c r="B55" s="1" t="str">
        <f ca="1">IF(Información1[[#This Row],[Fecha]]='Ajuste de fechas'!$A$2,"Día actual","Día anterior")</f>
        <v>Día actual</v>
      </c>
      <c r="C55" t="s">
        <v>8</v>
      </c>
      <c r="D55" t="s">
        <v>10</v>
      </c>
      <c r="E55" t="s">
        <v>13</v>
      </c>
      <c r="F55" t="s">
        <v>15</v>
      </c>
      <c r="G55" t="s">
        <v>54</v>
      </c>
      <c r="H55" t="s">
        <v>11</v>
      </c>
      <c r="I55" t="s">
        <v>12</v>
      </c>
      <c r="J55" t="s">
        <v>63</v>
      </c>
      <c r="K55" t="s">
        <v>14</v>
      </c>
      <c r="L55" t="s">
        <v>65</v>
      </c>
      <c r="M55">
        <v>1</v>
      </c>
    </row>
    <row r="56" spans="1:13" x14ac:dyDescent="0.25">
      <c r="A56" s="1">
        <v>46146</v>
      </c>
      <c r="B56" s="1" t="str">
        <f ca="1">IF(Información1[[#This Row],[Fecha]]='Ajuste de fechas'!$A$2,"Día actual","Día anterior")</f>
        <v>Día actual</v>
      </c>
      <c r="C56" t="s">
        <v>8</v>
      </c>
      <c r="D56" t="s">
        <v>10</v>
      </c>
      <c r="E56" t="s">
        <v>16</v>
      </c>
      <c r="F56" t="s">
        <v>17</v>
      </c>
      <c r="G56" t="s">
        <v>54</v>
      </c>
      <c r="H56" t="s">
        <v>11</v>
      </c>
      <c r="I56" t="s">
        <v>12</v>
      </c>
      <c r="J56" t="s">
        <v>63</v>
      </c>
      <c r="K56" t="s">
        <v>14</v>
      </c>
      <c r="L56" t="s">
        <v>65</v>
      </c>
      <c r="M56">
        <v>1</v>
      </c>
    </row>
    <row r="57" spans="1:13" x14ac:dyDescent="0.25">
      <c r="A57" s="1">
        <v>46146</v>
      </c>
      <c r="B57" s="1" t="str">
        <f ca="1">IF(Información1[[#This Row],[Fecha]]='Ajuste de fechas'!$A$2,"Día actual","Día anterior")</f>
        <v>Día actual</v>
      </c>
      <c r="C57" t="s">
        <v>8</v>
      </c>
      <c r="D57" t="s">
        <v>10</v>
      </c>
      <c r="E57" t="s">
        <v>56</v>
      </c>
      <c r="F57" t="s">
        <v>6</v>
      </c>
      <c r="G57" t="s">
        <v>54</v>
      </c>
      <c r="H57" t="s">
        <v>11</v>
      </c>
      <c r="I57" t="s">
        <v>12</v>
      </c>
      <c r="J57" t="s">
        <v>63</v>
      </c>
      <c r="K57" t="s">
        <v>14</v>
      </c>
      <c r="L57" t="s">
        <v>65</v>
      </c>
      <c r="M57">
        <v>1</v>
      </c>
    </row>
    <row r="58" spans="1:13" x14ac:dyDescent="0.25">
      <c r="A58" s="1">
        <v>46146</v>
      </c>
      <c r="B58" s="1" t="str">
        <f ca="1">IF(Información1[[#This Row],[Fecha]]='Ajuste de fechas'!$A$2,"Día actual","Día anterior")</f>
        <v>Día actual</v>
      </c>
      <c r="C58" t="s">
        <v>50</v>
      </c>
      <c r="D58" t="s">
        <v>51</v>
      </c>
      <c r="E58" t="s">
        <v>303</v>
      </c>
      <c r="F58" t="s">
        <v>21</v>
      </c>
      <c r="G58" t="s">
        <v>269</v>
      </c>
      <c r="H58" t="s">
        <v>11</v>
      </c>
      <c r="I58" t="s">
        <v>7</v>
      </c>
      <c r="J58" t="s">
        <v>63</v>
      </c>
      <c r="K58" t="s">
        <v>52</v>
      </c>
      <c r="L58" t="s">
        <v>66</v>
      </c>
      <c r="M58">
        <v>1</v>
      </c>
    </row>
    <row r="59" spans="1:13" x14ac:dyDescent="0.25">
      <c r="A59" s="1">
        <v>46146</v>
      </c>
      <c r="B59" s="1" t="str">
        <f ca="1">IF(Información1[[#This Row],[Fecha]]='Ajuste de fechas'!$A$2,"Día actual","Día anterior")</f>
        <v>Día actual</v>
      </c>
      <c r="C59" t="s">
        <v>50</v>
      </c>
      <c r="D59" t="s">
        <v>51</v>
      </c>
      <c r="E59" t="s">
        <v>304</v>
      </c>
      <c r="F59" t="s">
        <v>104</v>
      </c>
      <c r="G59" t="s">
        <v>305</v>
      </c>
      <c r="H59" t="s">
        <v>11</v>
      </c>
      <c r="I59" t="s">
        <v>7</v>
      </c>
      <c r="J59" t="s">
        <v>63</v>
      </c>
      <c r="K59" t="s">
        <v>52</v>
      </c>
      <c r="L59" t="s">
        <v>66</v>
      </c>
      <c r="M59">
        <v>1</v>
      </c>
    </row>
    <row r="60" spans="1:13" x14ac:dyDescent="0.25">
      <c r="A60" s="1">
        <v>46146</v>
      </c>
      <c r="B60" s="1" t="str">
        <f ca="1">IF(Información1[[#This Row],[Fecha]]='Ajuste de fechas'!$A$2,"Día actual","Día anterior")</f>
        <v>Día actual</v>
      </c>
      <c r="C60" t="s">
        <v>50</v>
      </c>
      <c r="D60" t="s">
        <v>51</v>
      </c>
      <c r="E60" t="s">
        <v>306</v>
      </c>
      <c r="F60" t="s">
        <v>307</v>
      </c>
      <c r="G60" t="s">
        <v>308</v>
      </c>
      <c r="H60" t="s">
        <v>11</v>
      </c>
      <c r="I60" t="s">
        <v>7</v>
      </c>
      <c r="J60" t="s">
        <v>309</v>
      </c>
      <c r="K60" t="s">
        <v>52</v>
      </c>
      <c r="L60" t="s">
        <v>64</v>
      </c>
      <c r="M60">
        <v>1</v>
      </c>
    </row>
    <row r="61" spans="1:13" x14ac:dyDescent="0.25">
      <c r="A61" s="1">
        <v>46146</v>
      </c>
      <c r="B61" s="1" t="str">
        <f ca="1">IF(Información1[[#This Row],[Fecha]]='Ajuste de fechas'!$A$2,"Día actual","Día anterior")</f>
        <v>Día actual</v>
      </c>
      <c r="C61" t="s">
        <v>50</v>
      </c>
      <c r="D61" t="s">
        <v>51</v>
      </c>
      <c r="E61" t="s">
        <v>310</v>
      </c>
      <c r="F61" t="s">
        <v>17</v>
      </c>
      <c r="G61" t="s">
        <v>311</v>
      </c>
      <c r="H61" t="s">
        <v>11</v>
      </c>
      <c r="I61" t="s">
        <v>7</v>
      </c>
      <c r="J61" t="s">
        <v>63</v>
      </c>
      <c r="K61" t="s">
        <v>9</v>
      </c>
      <c r="L61" t="s">
        <v>65</v>
      </c>
      <c r="M61">
        <v>1</v>
      </c>
    </row>
    <row r="62" spans="1:13" x14ac:dyDescent="0.25">
      <c r="A62" s="1">
        <v>46146</v>
      </c>
      <c r="B62" s="1" t="str">
        <f ca="1">IF(Información1[[#This Row],[Fecha]]='Ajuste de fechas'!$A$2,"Día actual","Día anterior")</f>
        <v>Día actual</v>
      </c>
      <c r="C62" t="s">
        <v>50</v>
      </c>
      <c r="D62" t="s">
        <v>51</v>
      </c>
      <c r="E62" t="s">
        <v>312</v>
      </c>
      <c r="F62" t="s">
        <v>24</v>
      </c>
      <c r="G62" t="s">
        <v>93</v>
      </c>
      <c r="H62" t="s">
        <v>11</v>
      </c>
      <c r="I62" t="s">
        <v>7</v>
      </c>
      <c r="J62" t="s">
        <v>63</v>
      </c>
      <c r="K62" t="s">
        <v>52</v>
      </c>
      <c r="L62" t="s">
        <v>66</v>
      </c>
      <c r="M62">
        <v>1</v>
      </c>
    </row>
    <row r="63" spans="1:13" x14ac:dyDescent="0.25">
      <c r="A63" s="1">
        <v>46146</v>
      </c>
      <c r="B63" s="1" t="str">
        <f ca="1">IF(Información1[[#This Row],[Fecha]]='Ajuste de fechas'!$A$2,"Día actual","Día anterior")</f>
        <v>Día actual</v>
      </c>
      <c r="C63" t="s">
        <v>50</v>
      </c>
      <c r="D63" t="s">
        <v>51</v>
      </c>
      <c r="E63" t="s">
        <v>313</v>
      </c>
      <c r="F63" t="s">
        <v>23</v>
      </c>
      <c r="G63" t="s">
        <v>93</v>
      </c>
      <c r="H63" t="s">
        <v>11</v>
      </c>
      <c r="I63" t="s">
        <v>7</v>
      </c>
      <c r="J63" t="s">
        <v>68</v>
      </c>
      <c r="K63" t="s">
        <v>52</v>
      </c>
      <c r="L63" t="s">
        <v>64</v>
      </c>
      <c r="M63">
        <v>1</v>
      </c>
    </row>
    <row r="64" spans="1:13" x14ac:dyDescent="0.25">
      <c r="A64" s="1">
        <v>46146</v>
      </c>
      <c r="B64" s="1" t="str">
        <f ca="1">IF(Información1[[#This Row],[Fecha]]='Ajuste de fechas'!$A$2,"Día actual","Día anterior")</f>
        <v>Día actual</v>
      </c>
      <c r="C64" t="s">
        <v>50</v>
      </c>
      <c r="D64" t="s">
        <v>51</v>
      </c>
      <c r="E64" t="s">
        <v>314</v>
      </c>
      <c r="F64" t="s">
        <v>21</v>
      </c>
      <c r="G64" t="s">
        <v>315</v>
      </c>
      <c r="H64" t="s">
        <v>11</v>
      </c>
      <c r="I64" t="s">
        <v>27</v>
      </c>
      <c r="J64" t="s">
        <v>63</v>
      </c>
      <c r="K64" t="s">
        <v>52</v>
      </c>
      <c r="L64" t="s">
        <v>64</v>
      </c>
      <c r="M64">
        <v>1</v>
      </c>
    </row>
    <row r="65" spans="1:13" x14ac:dyDescent="0.25">
      <c r="A65" s="1">
        <v>46146</v>
      </c>
      <c r="B65" s="1" t="str">
        <f ca="1">IF(Información1[[#This Row],[Fecha]]='Ajuste de fechas'!$A$2,"Día actual","Día anterior")</f>
        <v>Día actual</v>
      </c>
      <c r="C65" t="s">
        <v>50</v>
      </c>
      <c r="D65" t="s">
        <v>51</v>
      </c>
      <c r="E65" t="s">
        <v>316</v>
      </c>
      <c r="F65" t="s">
        <v>17</v>
      </c>
      <c r="G65" t="s">
        <v>222</v>
      </c>
      <c r="H65" t="s">
        <v>11</v>
      </c>
      <c r="I65" t="s">
        <v>7</v>
      </c>
      <c r="J65" t="s">
        <v>63</v>
      </c>
      <c r="K65" t="s">
        <v>52</v>
      </c>
      <c r="L65" t="s">
        <v>64</v>
      </c>
      <c r="M65">
        <v>1</v>
      </c>
    </row>
    <row r="66" spans="1:13" x14ac:dyDescent="0.25">
      <c r="A66" s="1">
        <v>46146</v>
      </c>
      <c r="B66" s="1" t="str">
        <f ca="1">IF(Información1[[#This Row],[Fecha]]='Ajuste de fechas'!$A$2,"Día actual","Día anterior")</f>
        <v>Día actual</v>
      </c>
      <c r="C66" t="s">
        <v>50</v>
      </c>
      <c r="D66" t="s">
        <v>51</v>
      </c>
      <c r="E66" t="s">
        <v>317</v>
      </c>
      <c r="F66" t="s">
        <v>15</v>
      </c>
      <c r="G66" t="s">
        <v>318</v>
      </c>
      <c r="H66" t="s">
        <v>11</v>
      </c>
      <c r="I66" t="s">
        <v>7</v>
      </c>
      <c r="J66" t="s">
        <v>63</v>
      </c>
      <c r="K66" t="s">
        <v>52</v>
      </c>
      <c r="L66" t="s">
        <v>64</v>
      </c>
      <c r="M66">
        <v>1</v>
      </c>
    </row>
    <row r="67" spans="1:13" x14ac:dyDescent="0.25">
      <c r="A67" s="1">
        <v>46146</v>
      </c>
      <c r="B67" s="1" t="str">
        <f ca="1">IF(Información1[[#This Row],[Fecha]]='Ajuste de fechas'!$A$2,"Día actual","Día anterior")</f>
        <v>Día actual</v>
      </c>
      <c r="C67" t="s">
        <v>50</v>
      </c>
      <c r="D67" t="s">
        <v>51</v>
      </c>
      <c r="E67" t="s">
        <v>319</v>
      </c>
      <c r="F67" t="s">
        <v>26</v>
      </c>
      <c r="G67" t="s">
        <v>320</v>
      </c>
      <c r="H67" t="s">
        <v>11</v>
      </c>
      <c r="I67" t="s">
        <v>7</v>
      </c>
      <c r="J67" t="s">
        <v>26</v>
      </c>
      <c r="K67" t="s">
        <v>52</v>
      </c>
      <c r="L67" t="s">
        <v>64</v>
      </c>
      <c r="M67">
        <v>1</v>
      </c>
    </row>
    <row r="68" spans="1:13" x14ac:dyDescent="0.25">
      <c r="A68" s="1">
        <v>46146</v>
      </c>
      <c r="B68" s="1" t="str">
        <f ca="1">IF(Información1[[#This Row],[Fecha]]='Ajuste de fechas'!$A$2,"Día actual","Día anterior")</f>
        <v>Día actual</v>
      </c>
      <c r="C68" t="s">
        <v>50</v>
      </c>
      <c r="D68" t="s">
        <v>51</v>
      </c>
      <c r="E68" t="s">
        <v>321</v>
      </c>
      <c r="F68" t="s">
        <v>77</v>
      </c>
      <c r="G68" t="s">
        <v>322</v>
      </c>
      <c r="H68" t="s">
        <v>11</v>
      </c>
      <c r="I68" t="s">
        <v>7</v>
      </c>
      <c r="J68" t="s">
        <v>63</v>
      </c>
      <c r="K68" t="s">
        <v>52</v>
      </c>
      <c r="L68" t="s">
        <v>64</v>
      </c>
      <c r="M68">
        <v>1</v>
      </c>
    </row>
    <row r="69" spans="1:13" x14ac:dyDescent="0.25">
      <c r="A69" s="1">
        <v>46146</v>
      </c>
      <c r="B69" s="1" t="str">
        <f ca="1">IF(Información1[[#This Row],[Fecha]]='Ajuste de fechas'!$A$2,"Día actual","Día anterior")</f>
        <v>Día actual</v>
      </c>
      <c r="C69" t="s">
        <v>50</v>
      </c>
      <c r="D69" t="s">
        <v>51</v>
      </c>
      <c r="E69" t="s">
        <v>323</v>
      </c>
      <c r="F69" t="s">
        <v>17</v>
      </c>
      <c r="G69" t="s">
        <v>222</v>
      </c>
      <c r="H69" t="s">
        <v>11</v>
      </c>
      <c r="I69" t="s">
        <v>7</v>
      </c>
      <c r="J69" t="s">
        <v>63</v>
      </c>
      <c r="K69" t="s">
        <v>52</v>
      </c>
      <c r="L69" t="s">
        <v>64</v>
      </c>
      <c r="M69">
        <v>1</v>
      </c>
    </row>
    <row r="70" spans="1:13" x14ac:dyDescent="0.25">
      <c r="A70" s="1">
        <v>46146</v>
      </c>
      <c r="B70" s="1" t="str">
        <f ca="1">IF(Información1[[#This Row],[Fecha]]='Ajuste de fechas'!$A$2,"Día actual","Día anterior")</f>
        <v>Día actual</v>
      </c>
      <c r="C70" t="s">
        <v>50</v>
      </c>
      <c r="D70" t="s">
        <v>51</v>
      </c>
      <c r="E70" t="s">
        <v>324</v>
      </c>
      <c r="F70" t="s">
        <v>23</v>
      </c>
      <c r="G70" t="s">
        <v>325</v>
      </c>
      <c r="H70" t="s">
        <v>11</v>
      </c>
      <c r="I70" t="s">
        <v>7</v>
      </c>
      <c r="J70" t="s">
        <v>68</v>
      </c>
      <c r="K70" t="s">
        <v>52</v>
      </c>
      <c r="L70" t="s">
        <v>64</v>
      </c>
      <c r="M70">
        <v>1</v>
      </c>
    </row>
    <row r="71" spans="1:13" x14ac:dyDescent="0.25">
      <c r="A71" s="1">
        <v>46146</v>
      </c>
      <c r="B71" s="1" t="str">
        <f ca="1">IF(Información1[[#This Row],[Fecha]]='Ajuste de fechas'!$A$2,"Día actual","Día anterior")</f>
        <v>Día actual</v>
      </c>
      <c r="C71" t="s">
        <v>50</v>
      </c>
      <c r="D71" t="s">
        <v>51</v>
      </c>
      <c r="E71" t="s">
        <v>326</v>
      </c>
      <c r="F71" t="s">
        <v>19</v>
      </c>
      <c r="G71" t="s">
        <v>42</v>
      </c>
      <c r="H71" t="s">
        <v>11</v>
      </c>
      <c r="I71" t="s">
        <v>7</v>
      </c>
      <c r="J71" t="s">
        <v>67</v>
      </c>
      <c r="K71" t="s">
        <v>52</v>
      </c>
      <c r="L71" t="s">
        <v>64</v>
      </c>
      <c r="M71">
        <v>1</v>
      </c>
    </row>
    <row r="72" spans="1:13" x14ac:dyDescent="0.25">
      <c r="A72" s="1">
        <v>46146</v>
      </c>
      <c r="B72" s="1" t="str">
        <f ca="1">IF(Información1[[#This Row],[Fecha]]='Ajuste de fechas'!$A$2,"Día actual","Día anterior")</f>
        <v>Día actual</v>
      </c>
      <c r="C72" t="s">
        <v>50</v>
      </c>
      <c r="D72" t="s">
        <v>51</v>
      </c>
      <c r="E72" t="s">
        <v>257</v>
      </c>
      <c r="F72" t="s">
        <v>86</v>
      </c>
      <c r="G72" t="s">
        <v>258</v>
      </c>
      <c r="H72" t="s">
        <v>11</v>
      </c>
      <c r="I72" t="s">
        <v>7</v>
      </c>
      <c r="J72" t="s">
        <v>63</v>
      </c>
      <c r="K72" t="s">
        <v>52</v>
      </c>
      <c r="L72" t="s">
        <v>66</v>
      </c>
      <c r="M72">
        <v>1</v>
      </c>
    </row>
    <row r="73" spans="1:13" x14ac:dyDescent="0.25">
      <c r="A73" s="1">
        <v>46146</v>
      </c>
      <c r="B73" s="1" t="str">
        <f ca="1">IF(Información1[[#This Row],[Fecha]]='Ajuste de fechas'!$A$2,"Día actual","Día anterior")</f>
        <v>Día actual</v>
      </c>
      <c r="C73" t="s">
        <v>50</v>
      </c>
      <c r="D73" t="s">
        <v>51</v>
      </c>
      <c r="E73" t="s">
        <v>327</v>
      </c>
      <c r="F73" t="s">
        <v>77</v>
      </c>
      <c r="G73" t="s">
        <v>328</v>
      </c>
      <c r="H73" t="s">
        <v>11</v>
      </c>
      <c r="I73" t="s">
        <v>7</v>
      </c>
      <c r="J73" t="s">
        <v>63</v>
      </c>
      <c r="K73" t="s">
        <v>52</v>
      </c>
      <c r="L73" t="s">
        <v>66</v>
      </c>
      <c r="M73">
        <v>1</v>
      </c>
    </row>
    <row r="74" spans="1:13" x14ac:dyDescent="0.25">
      <c r="A74" s="1">
        <v>46146</v>
      </c>
      <c r="B74" s="1" t="str">
        <f ca="1">IF(Información1[[#This Row],[Fecha]]='Ajuste de fechas'!$A$2,"Día actual","Día anterior")</f>
        <v>Día actual</v>
      </c>
      <c r="C74" t="s">
        <v>50</v>
      </c>
      <c r="D74" t="s">
        <v>51</v>
      </c>
      <c r="E74" t="s">
        <v>329</v>
      </c>
      <c r="F74" t="s">
        <v>28</v>
      </c>
      <c r="G74" t="s">
        <v>114</v>
      </c>
      <c r="H74" t="s">
        <v>11</v>
      </c>
      <c r="I74" t="s">
        <v>7</v>
      </c>
      <c r="J74" t="s">
        <v>63</v>
      </c>
      <c r="K74" t="s">
        <v>52</v>
      </c>
      <c r="L74" t="s">
        <v>64</v>
      </c>
      <c r="M74">
        <v>1</v>
      </c>
    </row>
    <row r="75" spans="1:13" x14ac:dyDescent="0.25">
      <c r="A75" s="1">
        <v>46146</v>
      </c>
      <c r="B75" s="1" t="str">
        <f ca="1">IF(Información1[[#This Row],[Fecha]]='Ajuste de fechas'!$A$2,"Día actual","Día anterior")</f>
        <v>Día actual</v>
      </c>
      <c r="C75" t="s">
        <v>50</v>
      </c>
      <c r="D75" t="s">
        <v>51</v>
      </c>
      <c r="E75" t="s">
        <v>330</v>
      </c>
      <c r="F75" t="s">
        <v>28</v>
      </c>
      <c r="G75" t="s">
        <v>222</v>
      </c>
      <c r="H75" t="s">
        <v>11</v>
      </c>
      <c r="I75" t="s">
        <v>7</v>
      </c>
      <c r="J75" t="s">
        <v>63</v>
      </c>
      <c r="K75" t="s">
        <v>52</v>
      </c>
      <c r="L75" t="s">
        <v>64</v>
      </c>
      <c r="M75">
        <v>1</v>
      </c>
    </row>
    <row r="76" spans="1:13" x14ac:dyDescent="0.25">
      <c r="A76" s="1">
        <v>46146</v>
      </c>
      <c r="B76" s="1" t="str">
        <f ca="1">IF(Información1[[#This Row],[Fecha]]='Ajuste de fechas'!$A$2,"Día actual","Día anterior")</f>
        <v>Día actual</v>
      </c>
      <c r="C76" t="s">
        <v>43</v>
      </c>
      <c r="D76" t="s">
        <v>44</v>
      </c>
      <c r="E76" t="s">
        <v>331</v>
      </c>
      <c r="F76" t="s">
        <v>15</v>
      </c>
      <c r="G76" t="s">
        <v>83</v>
      </c>
      <c r="H76" t="s">
        <v>41</v>
      </c>
      <c r="I76" t="s">
        <v>7</v>
      </c>
      <c r="J76" t="s">
        <v>63</v>
      </c>
      <c r="K76" t="s">
        <v>30</v>
      </c>
      <c r="L76" t="s">
        <v>64</v>
      </c>
      <c r="M76">
        <v>1</v>
      </c>
    </row>
    <row r="77" spans="1:13" x14ac:dyDescent="0.25">
      <c r="A77" s="1">
        <v>46146</v>
      </c>
      <c r="B77" s="1" t="str">
        <f ca="1">IF(Información1[[#This Row],[Fecha]]='Ajuste de fechas'!$A$2,"Día actual","Día anterior")</f>
        <v>Día actual</v>
      </c>
      <c r="C77" t="s">
        <v>43</v>
      </c>
      <c r="D77" t="s">
        <v>44</v>
      </c>
      <c r="E77" t="s">
        <v>332</v>
      </c>
      <c r="F77" t="s">
        <v>19</v>
      </c>
      <c r="G77" t="s">
        <v>333</v>
      </c>
      <c r="H77" t="s">
        <v>41</v>
      </c>
      <c r="I77" t="s">
        <v>7</v>
      </c>
      <c r="J77" t="s">
        <v>67</v>
      </c>
      <c r="K77" t="s">
        <v>30</v>
      </c>
      <c r="L77" t="s">
        <v>64</v>
      </c>
      <c r="M77">
        <v>1</v>
      </c>
    </row>
    <row r="78" spans="1:13" x14ac:dyDescent="0.25">
      <c r="A78" s="1">
        <v>46146</v>
      </c>
      <c r="B78" s="1" t="str">
        <f ca="1">IF(Información1[[#This Row],[Fecha]]='Ajuste de fechas'!$A$2,"Día actual","Día anterior")</f>
        <v>Día actual</v>
      </c>
      <c r="C78" t="s">
        <v>43</v>
      </c>
      <c r="D78" t="s">
        <v>44</v>
      </c>
      <c r="E78" t="s">
        <v>334</v>
      </c>
      <c r="F78" t="s">
        <v>26</v>
      </c>
      <c r="G78" t="s">
        <v>325</v>
      </c>
      <c r="H78" t="s">
        <v>41</v>
      </c>
      <c r="I78" t="s">
        <v>7</v>
      </c>
      <c r="J78" t="s">
        <v>26</v>
      </c>
      <c r="K78" t="s">
        <v>30</v>
      </c>
      <c r="L78" t="s">
        <v>65</v>
      </c>
      <c r="M78">
        <v>1</v>
      </c>
    </row>
    <row r="79" spans="1:13" x14ac:dyDescent="0.25">
      <c r="A79" s="1">
        <v>46146</v>
      </c>
      <c r="B79" s="1" t="str">
        <f ca="1">IF(Información1[[#This Row],[Fecha]]='Ajuste de fechas'!$A$2,"Día actual","Día anterior")</f>
        <v>Día actual</v>
      </c>
      <c r="C79" t="s">
        <v>43</v>
      </c>
      <c r="D79" t="s">
        <v>44</v>
      </c>
      <c r="E79" t="s">
        <v>303</v>
      </c>
      <c r="F79" t="s">
        <v>21</v>
      </c>
      <c r="G79" t="s">
        <v>269</v>
      </c>
      <c r="H79" t="s">
        <v>41</v>
      </c>
      <c r="I79" t="s">
        <v>7</v>
      </c>
      <c r="J79" t="s">
        <v>63</v>
      </c>
      <c r="K79" t="s">
        <v>30</v>
      </c>
      <c r="L79" t="s">
        <v>66</v>
      </c>
      <c r="M79">
        <v>1</v>
      </c>
    </row>
    <row r="80" spans="1:13" x14ac:dyDescent="0.25">
      <c r="A80" s="1">
        <v>46146</v>
      </c>
      <c r="B80" s="1" t="str">
        <f ca="1">IF(Información1[[#This Row],[Fecha]]='Ajuste de fechas'!$A$2,"Día actual","Día anterior")</f>
        <v>Día actual</v>
      </c>
      <c r="C80" t="s">
        <v>43</v>
      </c>
      <c r="D80" t="s">
        <v>44</v>
      </c>
      <c r="E80" t="s">
        <v>335</v>
      </c>
      <c r="F80" t="s">
        <v>80</v>
      </c>
      <c r="G80" t="s">
        <v>266</v>
      </c>
      <c r="H80" t="s">
        <v>41</v>
      </c>
      <c r="I80" t="s">
        <v>7</v>
      </c>
      <c r="J80" t="s">
        <v>63</v>
      </c>
      <c r="K80" t="s">
        <v>30</v>
      </c>
      <c r="L80" t="s">
        <v>66</v>
      </c>
      <c r="M80">
        <v>1</v>
      </c>
    </row>
    <row r="81" spans="1:13" x14ac:dyDescent="0.25">
      <c r="A81" s="1">
        <v>46146</v>
      </c>
      <c r="B81" s="1" t="str">
        <f ca="1">IF(Información1[[#This Row],[Fecha]]='Ajuste de fechas'!$A$2,"Día actual","Día anterior")</f>
        <v>Día actual</v>
      </c>
      <c r="C81" t="s">
        <v>43</v>
      </c>
      <c r="D81" t="s">
        <v>44</v>
      </c>
      <c r="E81" t="s">
        <v>336</v>
      </c>
      <c r="F81" t="s">
        <v>19</v>
      </c>
      <c r="G81" t="s">
        <v>337</v>
      </c>
      <c r="H81" t="s">
        <v>41</v>
      </c>
      <c r="I81" t="s">
        <v>7</v>
      </c>
      <c r="J81" t="s">
        <v>67</v>
      </c>
      <c r="K81" t="s">
        <v>30</v>
      </c>
      <c r="L81" t="s">
        <v>64</v>
      </c>
      <c r="M81">
        <v>1</v>
      </c>
    </row>
    <row r="82" spans="1:13" x14ac:dyDescent="0.25">
      <c r="A82" s="1">
        <v>46146</v>
      </c>
      <c r="B82" s="1" t="str">
        <f ca="1">IF(Información1[[#This Row],[Fecha]]='Ajuste de fechas'!$A$2,"Día actual","Día anterior")</f>
        <v>Día actual</v>
      </c>
      <c r="C82" t="s">
        <v>43</v>
      </c>
      <c r="D82" t="s">
        <v>44</v>
      </c>
      <c r="E82" t="s">
        <v>338</v>
      </c>
      <c r="F82" t="s">
        <v>28</v>
      </c>
      <c r="G82" t="s">
        <v>339</v>
      </c>
      <c r="H82" t="s">
        <v>41</v>
      </c>
      <c r="I82" t="s">
        <v>7</v>
      </c>
      <c r="J82" t="s">
        <v>63</v>
      </c>
      <c r="K82" t="s">
        <v>30</v>
      </c>
      <c r="L82" t="s">
        <v>64</v>
      </c>
      <c r="M82">
        <v>1</v>
      </c>
    </row>
    <row r="83" spans="1:13" x14ac:dyDescent="0.25">
      <c r="A83" s="1">
        <v>46142</v>
      </c>
      <c r="B83" s="1" t="str">
        <f ca="1">IF(Información1[[#This Row],[Fecha]]='Ajuste de fechas'!$A$2,"Día actual","Día anterior")</f>
        <v>Día anterior</v>
      </c>
      <c r="C83" t="s">
        <v>50</v>
      </c>
      <c r="D83" t="s">
        <v>51</v>
      </c>
      <c r="E83" t="s">
        <v>106</v>
      </c>
      <c r="F83" t="s">
        <v>22</v>
      </c>
      <c r="G83" t="s">
        <v>107</v>
      </c>
      <c r="H83" t="s">
        <v>11</v>
      </c>
      <c r="I83" t="s">
        <v>7</v>
      </c>
      <c r="J83" t="s">
        <v>26</v>
      </c>
      <c r="K83" t="s">
        <v>52</v>
      </c>
      <c r="L83" t="s">
        <v>64</v>
      </c>
      <c r="M83">
        <v>1</v>
      </c>
    </row>
    <row r="84" spans="1:13" x14ac:dyDescent="0.25">
      <c r="A84" s="1">
        <v>46142</v>
      </c>
      <c r="B84" s="1" t="str">
        <f ca="1">IF(Información1[[#This Row],[Fecha]]='Ajuste de fechas'!$A$2,"Día actual","Día anterior")</f>
        <v>Día anterior</v>
      </c>
      <c r="C84" t="s">
        <v>50</v>
      </c>
      <c r="D84" t="s">
        <v>51</v>
      </c>
      <c r="E84" t="s">
        <v>108</v>
      </c>
      <c r="F84" t="s">
        <v>21</v>
      </c>
      <c r="G84" t="s">
        <v>91</v>
      </c>
      <c r="H84" t="s">
        <v>11</v>
      </c>
      <c r="I84" t="s">
        <v>7</v>
      </c>
      <c r="J84" t="s">
        <v>63</v>
      </c>
      <c r="K84" t="s">
        <v>52</v>
      </c>
      <c r="L84" t="s">
        <v>66</v>
      </c>
      <c r="M84">
        <v>1</v>
      </c>
    </row>
    <row r="85" spans="1:13" x14ac:dyDescent="0.25">
      <c r="A85" s="1">
        <v>46142</v>
      </c>
      <c r="B85" s="1" t="str">
        <f ca="1">IF(Información1[[#This Row],[Fecha]]='Ajuste de fechas'!$A$2,"Día actual","Día anterior")</f>
        <v>Día anterior</v>
      </c>
      <c r="C85" t="s">
        <v>50</v>
      </c>
      <c r="D85" t="s">
        <v>51</v>
      </c>
      <c r="E85" t="s">
        <v>109</v>
      </c>
      <c r="F85" t="s">
        <v>19</v>
      </c>
      <c r="G85" t="s">
        <v>110</v>
      </c>
      <c r="H85" t="s">
        <v>11</v>
      </c>
      <c r="I85" t="s">
        <v>7</v>
      </c>
      <c r="J85" t="s">
        <v>67</v>
      </c>
      <c r="K85" t="s">
        <v>52</v>
      </c>
      <c r="L85" t="s">
        <v>69</v>
      </c>
      <c r="M85">
        <v>1</v>
      </c>
    </row>
    <row r="86" spans="1:13" x14ac:dyDescent="0.25">
      <c r="A86" s="1">
        <v>46142</v>
      </c>
      <c r="B86" s="1" t="str">
        <f ca="1">IF(Información1[[#This Row],[Fecha]]='Ajuste de fechas'!$A$2,"Día actual","Día anterior")</f>
        <v>Día anterior</v>
      </c>
      <c r="C86" t="s">
        <v>50</v>
      </c>
      <c r="D86" t="s">
        <v>51</v>
      </c>
      <c r="E86" t="s">
        <v>111</v>
      </c>
      <c r="F86" t="s">
        <v>112</v>
      </c>
      <c r="G86" t="s">
        <v>105</v>
      </c>
      <c r="H86" t="s">
        <v>11</v>
      </c>
      <c r="I86" t="s">
        <v>7</v>
      </c>
      <c r="J86" t="s">
        <v>63</v>
      </c>
      <c r="K86" t="s">
        <v>52</v>
      </c>
      <c r="L86" t="s">
        <v>66</v>
      </c>
      <c r="M86">
        <v>1</v>
      </c>
    </row>
    <row r="87" spans="1:13" x14ac:dyDescent="0.25">
      <c r="A87" s="1">
        <v>46142</v>
      </c>
      <c r="B87" s="1" t="str">
        <f ca="1">IF(Información1[[#This Row],[Fecha]]='Ajuste de fechas'!$A$2,"Día actual","Día anterior")</f>
        <v>Día anterior</v>
      </c>
      <c r="C87" t="s">
        <v>50</v>
      </c>
      <c r="D87" t="s">
        <v>51</v>
      </c>
      <c r="E87" t="s">
        <v>113</v>
      </c>
      <c r="F87" t="s">
        <v>82</v>
      </c>
      <c r="G87" t="s">
        <v>114</v>
      </c>
      <c r="H87" t="s">
        <v>11</v>
      </c>
      <c r="I87" t="s">
        <v>7</v>
      </c>
      <c r="J87" t="s">
        <v>63</v>
      </c>
      <c r="K87" t="s">
        <v>52</v>
      </c>
      <c r="L87" t="s">
        <v>64</v>
      </c>
      <c r="M87">
        <v>1</v>
      </c>
    </row>
    <row r="88" spans="1:13" x14ac:dyDescent="0.25">
      <c r="A88" s="1">
        <v>46142</v>
      </c>
      <c r="B88" s="1" t="str">
        <f ca="1">IF(Información1[[#This Row],[Fecha]]='Ajuste de fechas'!$A$2,"Día actual","Día anterior")</f>
        <v>Día anterior</v>
      </c>
      <c r="C88" t="s">
        <v>50</v>
      </c>
      <c r="D88" t="s">
        <v>51</v>
      </c>
      <c r="E88" t="s">
        <v>115</v>
      </c>
      <c r="F88" t="s">
        <v>49</v>
      </c>
      <c r="G88" t="s">
        <v>116</v>
      </c>
      <c r="H88" t="s">
        <v>11</v>
      </c>
      <c r="I88" t="s">
        <v>7</v>
      </c>
      <c r="J88" t="s">
        <v>63</v>
      </c>
      <c r="K88" t="s">
        <v>52</v>
      </c>
      <c r="L88" t="s">
        <v>64</v>
      </c>
      <c r="M88">
        <v>1</v>
      </c>
    </row>
    <row r="89" spans="1:13" x14ac:dyDescent="0.25">
      <c r="A89" s="1">
        <v>46142</v>
      </c>
      <c r="B89" s="1" t="str">
        <f ca="1">IF(Información1[[#This Row],[Fecha]]='Ajuste de fechas'!$A$2,"Día actual","Día anterior")</f>
        <v>Día anterior</v>
      </c>
      <c r="C89" t="s">
        <v>50</v>
      </c>
      <c r="D89" t="s">
        <v>51</v>
      </c>
      <c r="E89" t="s">
        <v>117</v>
      </c>
      <c r="F89" t="s">
        <v>100</v>
      </c>
      <c r="G89" t="s">
        <v>118</v>
      </c>
      <c r="H89" t="s">
        <v>11</v>
      </c>
      <c r="I89" t="s">
        <v>7</v>
      </c>
      <c r="J89" t="s">
        <v>26</v>
      </c>
      <c r="K89" t="s">
        <v>52</v>
      </c>
      <c r="L89" t="s">
        <v>64</v>
      </c>
      <c r="M89">
        <v>1</v>
      </c>
    </row>
    <row r="90" spans="1:13" x14ac:dyDescent="0.25">
      <c r="A90" s="1">
        <v>46142</v>
      </c>
      <c r="B90" s="1" t="str">
        <f ca="1">IF(Información1[[#This Row],[Fecha]]='Ajuste de fechas'!$A$2,"Día actual","Día anterior")</f>
        <v>Día anterior</v>
      </c>
      <c r="C90" t="s">
        <v>50</v>
      </c>
      <c r="D90" t="s">
        <v>51</v>
      </c>
      <c r="E90" t="s">
        <v>119</v>
      </c>
      <c r="F90" t="s">
        <v>24</v>
      </c>
      <c r="G90" t="s">
        <v>98</v>
      </c>
      <c r="H90" t="s">
        <v>11</v>
      </c>
      <c r="I90" t="s">
        <v>7</v>
      </c>
      <c r="J90" t="s">
        <v>63</v>
      </c>
      <c r="K90" t="s">
        <v>52</v>
      </c>
      <c r="L90" t="s">
        <v>64</v>
      </c>
      <c r="M90">
        <v>1</v>
      </c>
    </row>
    <row r="91" spans="1:13" x14ac:dyDescent="0.25">
      <c r="A91" s="1">
        <v>46142</v>
      </c>
      <c r="B91" s="1" t="str">
        <f ca="1">IF(Información1[[#This Row],[Fecha]]='Ajuste de fechas'!$A$2,"Día actual","Día anterior")</f>
        <v>Día anterior</v>
      </c>
      <c r="C91" t="s">
        <v>50</v>
      </c>
      <c r="D91" t="s">
        <v>51</v>
      </c>
      <c r="E91" t="s">
        <v>120</v>
      </c>
      <c r="F91" t="s">
        <v>24</v>
      </c>
      <c r="G91" t="s">
        <v>121</v>
      </c>
      <c r="H91" t="s">
        <v>11</v>
      </c>
      <c r="I91" t="s">
        <v>7</v>
      </c>
      <c r="J91" t="s">
        <v>63</v>
      </c>
      <c r="K91" t="s">
        <v>52</v>
      </c>
      <c r="L91" t="s">
        <v>64</v>
      </c>
      <c r="M91">
        <v>1</v>
      </c>
    </row>
    <row r="92" spans="1:13" x14ac:dyDescent="0.25">
      <c r="A92" s="1">
        <v>46142</v>
      </c>
      <c r="B92" s="1" t="str">
        <f ca="1">IF(Información1[[#This Row],[Fecha]]='Ajuste de fechas'!$A$2,"Día actual","Día anterior")</f>
        <v>Día anterior</v>
      </c>
      <c r="C92" t="s">
        <v>50</v>
      </c>
      <c r="D92" t="s">
        <v>51</v>
      </c>
      <c r="E92" t="s">
        <v>122</v>
      </c>
      <c r="F92" t="s">
        <v>80</v>
      </c>
      <c r="G92" t="s">
        <v>123</v>
      </c>
      <c r="H92" t="s">
        <v>11</v>
      </c>
      <c r="I92" t="s">
        <v>7</v>
      </c>
      <c r="J92" t="s">
        <v>63</v>
      </c>
      <c r="K92" t="s">
        <v>52</v>
      </c>
      <c r="L92" t="s">
        <v>64</v>
      </c>
      <c r="M92">
        <v>1</v>
      </c>
    </row>
    <row r="93" spans="1:13" x14ac:dyDescent="0.25">
      <c r="A93" s="1">
        <v>46142</v>
      </c>
      <c r="B93" s="1" t="str">
        <f ca="1">IF(Información1[[#This Row],[Fecha]]='Ajuste de fechas'!$A$2,"Día actual","Día anterior")</f>
        <v>Día anterior</v>
      </c>
      <c r="C93" t="s">
        <v>50</v>
      </c>
      <c r="D93" t="s">
        <v>51</v>
      </c>
      <c r="E93" t="s">
        <v>124</v>
      </c>
      <c r="F93" t="s">
        <v>19</v>
      </c>
      <c r="G93" t="s">
        <v>42</v>
      </c>
      <c r="H93" t="s">
        <v>11</v>
      </c>
      <c r="I93" t="s">
        <v>7</v>
      </c>
      <c r="J93" t="s">
        <v>67</v>
      </c>
      <c r="K93" t="s">
        <v>52</v>
      </c>
      <c r="L93" t="s">
        <v>64</v>
      </c>
      <c r="M93">
        <v>1</v>
      </c>
    </row>
    <row r="94" spans="1:13" x14ac:dyDescent="0.25">
      <c r="A94" s="1">
        <v>46142</v>
      </c>
      <c r="B94" s="1" t="str">
        <f ca="1">IF(Información1[[#This Row],[Fecha]]='Ajuste de fechas'!$A$2,"Día actual","Día anterior")</f>
        <v>Día anterior</v>
      </c>
      <c r="C94" t="s">
        <v>50</v>
      </c>
      <c r="D94" t="s">
        <v>51</v>
      </c>
      <c r="E94" t="s">
        <v>125</v>
      </c>
      <c r="F94" t="s">
        <v>19</v>
      </c>
      <c r="G94" t="s">
        <v>88</v>
      </c>
      <c r="H94" t="s">
        <v>11</v>
      </c>
      <c r="I94" t="s">
        <v>7</v>
      </c>
      <c r="J94" t="s">
        <v>67</v>
      </c>
      <c r="K94" t="s">
        <v>52</v>
      </c>
      <c r="L94" t="s">
        <v>64</v>
      </c>
      <c r="M94">
        <v>1</v>
      </c>
    </row>
    <row r="95" spans="1:13" x14ac:dyDescent="0.25">
      <c r="A95" s="1">
        <v>46142</v>
      </c>
      <c r="B95" s="1" t="str">
        <f ca="1">IF(Información1[[#This Row],[Fecha]]='Ajuste de fechas'!$A$2,"Día actual","Día anterior")</f>
        <v>Día anterior</v>
      </c>
      <c r="C95" t="s">
        <v>50</v>
      </c>
      <c r="D95" t="s">
        <v>51</v>
      </c>
      <c r="E95" t="s">
        <v>126</v>
      </c>
      <c r="F95" t="s">
        <v>127</v>
      </c>
      <c r="G95" t="s">
        <v>81</v>
      </c>
      <c r="H95" t="s">
        <v>11</v>
      </c>
      <c r="I95" t="s">
        <v>7</v>
      </c>
      <c r="J95" t="s">
        <v>26</v>
      </c>
      <c r="K95" t="s">
        <v>52</v>
      </c>
      <c r="L95" t="s">
        <v>64</v>
      </c>
      <c r="M95">
        <v>1</v>
      </c>
    </row>
    <row r="96" spans="1:13" x14ac:dyDescent="0.25">
      <c r="A96" s="1">
        <v>46142</v>
      </c>
      <c r="B96" s="1" t="str">
        <f ca="1">IF(Información1[[#This Row],[Fecha]]='Ajuste de fechas'!$A$2,"Día actual","Día anterior")</f>
        <v>Día anterior</v>
      </c>
      <c r="C96" t="s">
        <v>50</v>
      </c>
      <c r="D96" t="s">
        <v>51</v>
      </c>
      <c r="E96" t="s">
        <v>128</v>
      </c>
      <c r="F96" t="s">
        <v>22</v>
      </c>
      <c r="G96" t="s">
        <v>81</v>
      </c>
      <c r="H96" t="s">
        <v>11</v>
      </c>
      <c r="I96" t="s">
        <v>7</v>
      </c>
      <c r="J96" t="s">
        <v>26</v>
      </c>
      <c r="K96" t="s">
        <v>52</v>
      </c>
      <c r="L96" t="s">
        <v>64</v>
      </c>
      <c r="M96">
        <v>1</v>
      </c>
    </row>
    <row r="97" spans="1:13" x14ac:dyDescent="0.25">
      <c r="A97" s="1">
        <v>46142</v>
      </c>
      <c r="B97" s="1" t="str">
        <f ca="1">IF(Información1[[#This Row],[Fecha]]='Ajuste de fechas'!$A$2,"Día actual","Día anterior")</f>
        <v>Día anterior</v>
      </c>
      <c r="C97" t="s">
        <v>50</v>
      </c>
      <c r="D97" t="s">
        <v>51</v>
      </c>
      <c r="E97" t="s">
        <v>129</v>
      </c>
      <c r="F97" t="s">
        <v>21</v>
      </c>
      <c r="G97" t="s">
        <v>81</v>
      </c>
      <c r="H97" t="s">
        <v>11</v>
      </c>
      <c r="I97" t="s">
        <v>7</v>
      </c>
      <c r="J97" t="s">
        <v>63</v>
      </c>
      <c r="K97" t="s">
        <v>52</v>
      </c>
      <c r="L97" t="s">
        <v>64</v>
      </c>
      <c r="M97">
        <v>1</v>
      </c>
    </row>
    <row r="98" spans="1:13" x14ac:dyDescent="0.25">
      <c r="A98" s="1">
        <v>46142</v>
      </c>
      <c r="B98" s="1" t="str">
        <f ca="1">IF(Información1[[#This Row],[Fecha]]='Ajuste de fechas'!$A$2,"Día actual","Día anterior")</f>
        <v>Día anterior</v>
      </c>
      <c r="C98" t="s">
        <v>43</v>
      </c>
      <c r="D98" t="s">
        <v>44</v>
      </c>
      <c r="E98" t="s">
        <v>130</v>
      </c>
      <c r="F98" t="s">
        <v>19</v>
      </c>
      <c r="G98" t="s">
        <v>89</v>
      </c>
      <c r="H98" t="s">
        <v>41</v>
      </c>
      <c r="I98" t="s">
        <v>7</v>
      </c>
      <c r="J98" t="s">
        <v>67</v>
      </c>
      <c r="K98" t="s">
        <v>30</v>
      </c>
      <c r="L98" t="s">
        <v>64</v>
      </c>
      <c r="M98">
        <v>1</v>
      </c>
    </row>
    <row r="99" spans="1:13" x14ac:dyDescent="0.25">
      <c r="A99" s="1">
        <v>46142</v>
      </c>
      <c r="B99" s="1" t="str">
        <f ca="1">IF(Información1[[#This Row],[Fecha]]='Ajuste de fechas'!$A$2,"Día actual","Día anterior")</f>
        <v>Día anterior</v>
      </c>
      <c r="C99" t="s">
        <v>43</v>
      </c>
      <c r="D99" t="s">
        <v>44</v>
      </c>
      <c r="E99" t="s">
        <v>131</v>
      </c>
      <c r="F99" t="s">
        <v>104</v>
      </c>
      <c r="G99" t="s">
        <v>132</v>
      </c>
      <c r="H99" t="s">
        <v>41</v>
      </c>
      <c r="I99" t="s">
        <v>7</v>
      </c>
      <c r="J99" t="s">
        <v>63</v>
      </c>
      <c r="K99" t="s">
        <v>30</v>
      </c>
      <c r="L99" t="s">
        <v>66</v>
      </c>
      <c r="M99">
        <v>1</v>
      </c>
    </row>
    <row r="100" spans="1:13" x14ac:dyDescent="0.25">
      <c r="A100" s="1">
        <v>46142</v>
      </c>
      <c r="B100" s="1" t="str">
        <f ca="1">IF(Información1[[#This Row],[Fecha]]='Ajuste de fechas'!$A$2,"Día actual","Día anterior")</f>
        <v>Día anterior</v>
      </c>
      <c r="C100" t="s">
        <v>43</v>
      </c>
      <c r="D100" t="s">
        <v>44</v>
      </c>
      <c r="E100" t="s">
        <v>133</v>
      </c>
      <c r="F100" t="s">
        <v>49</v>
      </c>
      <c r="G100" t="s">
        <v>134</v>
      </c>
      <c r="H100" t="s">
        <v>41</v>
      </c>
      <c r="I100" t="s">
        <v>7</v>
      </c>
      <c r="J100" t="s">
        <v>63</v>
      </c>
      <c r="K100" t="s">
        <v>30</v>
      </c>
      <c r="L100" t="s">
        <v>66</v>
      </c>
      <c r="M100">
        <v>1</v>
      </c>
    </row>
    <row r="101" spans="1:13" x14ac:dyDescent="0.25">
      <c r="A101" s="1">
        <v>46142</v>
      </c>
      <c r="B101" s="1" t="str">
        <f ca="1">IF(Información1[[#This Row],[Fecha]]='Ajuste de fechas'!$A$2,"Día actual","Día anterior")</f>
        <v>Día anterior</v>
      </c>
      <c r="C101" t="s">
        <v>43</v>
      </c>
      <c r="D101" t="s">
        <v>44</v>
      </c>
      <c r="E101" t="s">
        <v>135</v>
      </c>
      <c r="F101" t="s">
        <v>28</v>
      </c>
      <c r="G101" t="s">
        <v>136</v>
      </c>
      <c r="H101" t="s">
        <v>41</v>
      </c>
      <c r="I101" t="s">
        <v>12</v>
      </c>
      <c r="J101" t="s">
        <v>63</v>
      </c>
      <c r="K101" t="s">
        <v>137</v>
      </c>
      <c r="L101" t="s">
        <v>65</v>
      </c>
      <c r="M101">
        <v>1</v>
      </c>
    </row>
    <row r="102" spans="1:13" x14ac:dyDescent="0.25">
      <c r="A102" s="1">
        <v>46142</v>
      </c>
      <c r="B102" s="1" t="str">
        <f ca="1">IF(Información1[[#This Row],[Fecha]]='Ajuste de fechas'!$A$2,"Día actual","Día anterior")</f>
        <v>Día anterior</v>
      </c>
      <c r="C102" t="s">
        <v>43</v>
      </c>
      <c r="D102" t="s">
        <v>44</v>
      </c>
      <c r="E102" t="s">
        <v>108</v>
      </c>
      <c r="F102" t="s">
        <v>21</v>
      </c>
      <c r="G102" t="s">
        <v>91</v>
      </c>
      <c r="H102" t="s">
        <v>41</v>
      </c>
      <c r="I102" t="s">
        <v>7</v>
      </c>
      <c r="J102" t="s">
        <v>63</v>
      </c>
      <c r="K102" t="s">
        <v>30</v>
      </c>
      <c r="L102" t="s">
        <v>66</v>
      </c>
      <c r="M102">
        <v>1</v>
      </c>
    </row>
    <row r="103" spans="1:13" x14ac:dyDescent="0.25">
      <c r="A103" s="1">
        <v>46142</v>
      </c>
      <c r="B103" s="1" t="str">
        <f ca="1">IF(Información1[[#This Row],[Fecha]]='Ajuste de fechas'!$A$2,"Día actual","Día anterior")</f>
        <v>Día anterior</v>
      </c>
      <c r="C103" t="s">
        <v>43</v>
      </c>
      <c r="D103" t="s">
        <v>44</v>
      </c>
      <c r="E103" t="s">
        <v>138</v>
      </c>
      <c r="F103" t="s">
        <v>17</v>
      </c>
      <c r="G103" t="s">
        <v>114</v>
      </c>
      <c r="H103" t="s">
        <v>41</v>
      </c>
      <c r="I103" t="s">
        <v>7</v>
      </c>
      <c r="J103" t="s">
        <v>63</v>
      </c>
      <c r="K103" t="s">
        <v>9</v>
      </c>
      <c r="L103" t="s">
        <v>65</v>
      </c>
      <c r="M103">
        <v>1</v>
      </c>
    </row>
    <row r="104" spans="1:13" x14ac:dyDescent="0.25">
      <c r="A104" s="1">
        <v>46142</v>
      </c>
      <c r="B104" s="1" t="str">
        <f ca="1">IF(Información1[[#This Row],[Fecha]]='Ajuste de fechas'!$A$2,"Día actual","Día anterior")</f>
        <v>Día anterior</v>
      </c>
      <c r="C104" t="s">
        <v>43</v>
      </c>
      <c r="D104" t="s">
        <v>44</v>
      </c>
      <c r="E104" t="s">
        <v>139</v>
      </c>
      <c r="F104" t="s">
        <v>112</v>
      </c>
      <c r="G104" t="s">
        <v>140</v>
      </c>
      <c r="H104" t="s">
        <v>41</v>
      </c>
      <c r="I104" t="s">
        <v>27</v>
      </c>
      <c r="J104" t="s">
        <v>63</v>
      </c>
      <c r="K104" t="s">
        <v>30</v>
      </c>
      <c r="L104" t="s">
        <v>65</v>
      </c>
      <c r="M104">
        <v>1</v>
      </c>
    </row>
    <row r="105" spans="1:13" x14ac:dyDescent="0.25">
      <c r="A105" s="1">
        <v>46142</v>
      </c>
      <c r="B105" s="1" t="str">
        <f ca="1">IF(Información1[[#This Row],[Fecha]]='Ajuste de fechas'!$A$2,"Día actual","Día anterior")</f>
        <v>Día anterior</v>
      </c>
      <c r="C105" t="s">
        <v>43</v>
      </c>
      <c r="D105" t="s">
        <v>44</v>
      </c>
      <c r="E105" t="s">
        <v>141</v>
      </c>
      <c r="F105" t="s">
        <v>22</v>
      </c>
      <c r="G105" t="s">
        <v>142</v>
      </c>
      <c r="H105" t="s">
        <v>41</v>
      </c>
      <c r="I105" t="s">
        <v>7</v>
      </c>
      <c r="J105" t="s">
        <v>26</v>
      </c>
      <c r="K105" t="s">
        <v>30</v>
      </c>
      <c r="L105" t="s">
        <v>64</v>
      </c>
      <c r="M105">
        <v>1</v>
      </c>
    </row>
    <row r="106" spans="1:13" x14ac:dyDescent="0.25">
      <c r="A106" s="1">
        <v>46142</v>
      </c>
      <c r="B106" s="1" t="str">
        <f ca="1">IF(Información1[[#This Row],[Fecha]]='Ajuste de fechas'!$A$2,"Día actual","Día anterior")</f>
        <v>Día anterior</v>
      </c>
      <c r="C106" t="s">
        <v>43</v>
      </c>
      <c r="D106" t="s">
        <v>44</v>
      </c>
      <c r="E106" t="s">
        <v>143</v>
      </c>
      <c r="F106" t="s">
        <v>112</v>
      </c>
      <c r="G106" t="s">
        <v>105</v>
      </c>
      <c r="H106" t="s">
        <v>41</v>
      </c>
      <c r="I106" t="s">
        <v>7</v>
      </c>
      <c r="J106" t="s">
        <v>63</v>
      </c>
      <c r="K106" t="s">
        <v>30</v>
      </c>
      <c r="L106" t="s">
        <v>66</v>
      </c>
      <c r="M106">
        <v>1</v>
      </c>
    </row>
    <row r="107" spans="1:13" x14ac:dyDescent="0.25">
      <c r="A107" s="1">
        <v>46142</v>
      </c>
      <c r="B107" s="1" t="str">
        <f ca="1">IF(Información1[[#This Row],[Fecha]]='Ajuste de fechas'!$A$2,"Día actual","Día anterior")</f>
        <v>Día anterior</v>
      </c>
      <c r="C107" t="s">
        <v>43</v>
      </c>
      <c r="D107" t="s">
        <v>44</v>
      </c>
      <c r="E107" t="s">
        <v>144</v>
      </c>
      <c r="F107" t="s">
        <v>15</v>
      </c>
      <c r="G107" t="s">
        <v>145</v>
      </c>
      <c r="H107" t="s">
        <v>41</v>
      </c>
      <c r="I107" t="s">
        <v>7</v>
      </c>
      <c r="J107" t="s">
        <v>63</v>
      </c>
      <c r="K107" t="s">
        <v>30</v>
      </c>
      <c r="L107" t="s">
        <v>64</v>
      </c>
      <c r="M107">
        <v>1</v>
      </c>
    </row>
    <row r="108" spans="1:13" x14ac:dyDescent="0.25">
      <c r="A108" s="1">
        <v>46142</v>
      </c>
      <c r="B108" s="1" t="str">
        <f ca="1">IF(Información1[[#This Row],[Fecha]]='Ajuste de fechas'!$A$2,"Día actual","Día anterior")</f>
        <v>Día anterior</v>
      </c>
      <c r="C108" t="s">
        <v>43</v>
      </c>
      <c r="D108" t="s">
        <v>44</v>
      </c>
      <c r="E108" t="s">
        <v>146</v>
      </c>
      <c r="F108" t="s">
        <v>78</v>
      </c>
      <c r="G108" t="s">
        <v>73</v>
      </c>
      <c r="H108" t="s">
        <v>41</v>
      </c>
      <c r="I108" t="s">
        <v>7</v>
      </c>
      <c r="J108" t="s">
        <v>63</v>
      </c>
      <c r="K108" t="s">
        <v>30</v>
      </c>
      <c r="L108" t="s">
        <v>64</v>
      </c>
      <c r="M108">
        <v>1</v>
      </c>
    </row>
    <row r="109" spans="1:13" x14ac:dyDescent="0.25">
      <c r="A109" s="1">
        <v>46142</v>
      </c>
      <c r="B109" s="1" t="str">
        <f ca="1">IF(Información1[[#This Row],[Fecha]]='Ajuste de fechas'!$A$2,"Día actual","Día anterior")</f>
        <v>Día anterior</v>
      </c>
      <c r="C109" t="s">
        <v>43</v>
      </c>
      <c r="D109" t="s">
        <v>44</v>
      </c>
      <c r="E109" t="s">
        <v>147</v>
      </c>
      <c r="F109" t="s">
        <v>6</v>
      </c>
      <c r="G109" t="s">
        <v>148</v>
      </c>
      <c r="H109" t="s">
        <v>41</v>
      </c>
      <c r="I109" t="s">
        <v>7</v>
      </c>
      <c r="J109" t="s">
        <v>63</v>
      </c>
      <c r="K109" t="s">
        <v>30</v>
      </c>
      <c r="L109" t="s">
        <v>64</v>
      </c>
      <c r="M109">
        <v>1</v>
      </c>
    </row>
    <row r="110" spans="1:13" x14ac:dyDescent="0.25">
      <c r="A110" s="1">
        <v>46142</v>
      </c>
      <c r="B110" s="1" t="str">
        <f ca="1">IF(Información1[[#This Row],[Fecha]]='Ajuste de fechas'!$A$2,"Día actual","Día anterior")</f>
        <v>Día anterior</v>
      </c>
      <c r="C110" t="s">
        <v>43</v>
      </c>
      <c r="D110" t="s">
        <v>44</v>
      </c>
      <c r="E110" t="s">
        <v>149</v>
      </c>
      <c r="F110" t="s">
        <v>15</v>
      </c>
      <c r="G110" t="s">
        <v>83</v>
      </c>
      <c r="H110" t="s">
        <v>41</v>
      </c>
      <c r="I110" t="s">
        <v>7</v>
      </c>
      <c r="J110" t="s">
        <v>63</v>
      </c>
      <c r="K110" t="s">
        <v>30</v>
      </c>
      <c r="L110" t="s">
        <v>64</v>
      </c>
      <c r="M110">
        <v>1</v>
      </c>
    </row>
    <row r="111" spans="1:13" x14ac:dyDescent="0.25">
      <c r="A111" s="1">
        <v>46142</v>
      </c>
      <c r="B111" s="1" t="str">
        <f ca="1">IF(Información1[[#This Row],[Fecha]]='Ajuste de fechas'!$A$2,"Día actual","Día anterior")</f>
        <v>Día anterior</v>
      </c>
      <c r="C111" t="s">
        <v>43</v>
      </c>
      <c r="D111" t="s">
        <v>44</v>
      </c>
      <c r="E111" t="s">
        <v>150</v>
      </c>
      <c r="F111" t="s">
        <v>25</v>
      </c>
      <c r="G111" t="s">
        <v>92</v>
      </c>
      <c r="H111" t="s">
        <v>41</v>
      </c>
      <c r="I111" t="s">
        <v>7</v>
      </c>
      <c r="J111" t="s">
        <v>63</v>
      </c>
      <c r="K111" t="s">
        <v>30</v>
      </c>
      <c r="L111" t="s">
        <v>64</v>
      </c>
      <c r="M111">
        <v>1</v>
      </c>
    </row>
    <row r="112" spans="1:13" x14ac:dyDescent="0.25">
      <c r="A112" s="1">
        <v>46142</v>
      </c>
      <c r="B112" s="1" t="str">
        <f ca="1">IF(Información1[[#This Row],[Fecha]]='Ajuste de fechas'!$A$2,"Día actual","Día anterior")</f>
        <v>Día anterior</v>
      </c>
      <c r="C112" t="s">
        <v>45</v>
      </c>
      <c r="D112" t="s">
        <v>48</v>
      </c>
      <c r="E112" t="s">
        <v>160</v>
      </c>
      <c r="F112" t="s">
        <v>23</v>
      </c>
      <c r="G112" t="s">
        <v>161</v>
      </c>
      <c r="H112" t="s">
        <v>11</v>
      </c>
      <c r="I112" t="s">
        <v>27</v>
      </c>
      <c r="J112" t="s">
        <v>68</v>
      </c>
      <c r="K112" t="s">
        <v>46</v>
      </c>
      <c r="L112" t="s">
        <v>64</v>
      </c>
      <c r="M112">
        <v>1</v>
      </c>
    </row>
    <row r="113" spans="1:13" x14ac:dyDescent="0.25">
      <c r="A113" s="1">
        <v>46142</v>
      </c>
      <c r="B113" s="1" t="str">
        <f ca="1">IF(Información1[[#This Row],[Fecha]]='Ajuste de fechas'!$A$2,"Día actual","Día anterior")</f>
        <v>Día anterior</v>
      </c>
      <c r="C113" t="s">
        <v>45</v>
      </c>
      <c r="D113" t="s">
        <v>48</v>
      </c>
      <c r="E113" t="s">
        <v>162</v>
      </c>
      <c r="F113" t="s">
        <v>19</v>
      </c>
      <c r="G113" t="s">
        <v>101</v>
      </c>
      <c r="H113" t="s">
        <v>11</v>
      </c>
      <c r="I113" t="s">
        <v>7</v>
      </c>
      <c r="J113" t="s">
        <v>67</v>
      </c>
      <c r="K113" t="s">
        <v>46</v>
      </c>
      <c r="L113" t="s">
        <v>64</v>
      </c>
      <c r="M113">
        <v>1</v>
      </c>
    </row>
    <row r="114" spans="1:13" x14ac:dyDescent="0.25">
      <c r="A114" s="1">
        <v>46142</v>
      </c>
      <c r="B114" s="1" t="str">
        <f ca="1">IF(Información1[[#This Row],[Fecha]]='Ajuste de fechas'!$A$2,"Día actual","Día anterior")</f>
        <v>Día anterior</v>
      </c>
      <c r="C114" t="s">
        <v>45</v>
      </c>
      <c r="D114" t="s">
        <v>48</v>
      </c>
      <c r="E114" t="s">
        <v>163</v>
      </c>
      <c r="F114" t="s">
        <v>77</v>
      </c>
      <c r="G114" t="s">
        <v>164</v>
      </c>
      <c r="H114" t="s">
        <v>11</v>
      </c>
      <c r="I114" t="s">
        <v>7</v>
      </c>
      <c r="J114" t="s">
        <v>63</v>
      </c>
      <c r="K114" t="s">
        <v>46</v>
      </c>
      <c r="L114" t="s">
        <v>69</v>
      </c>
      <c r="M114">
        <v>1</v>
      </c>
    </row>
    <row r="115" spans="1:13" x14ac:dyDescent="0.25">
      <c r="A115" s="1">
        <v>46142</v>
      </c>
      <c r="B115" s="1" t="str">
        <f ca="1">IF(Información1[[#This Row],[Fecha]]='Ajuste de fechas'!$A$2,"Día actual","Día anterior")</f>
        <v>Día anterior</v>
      </c>
      <c r="C115" t="s">
        <v>45</v>
      </c>
      <c r="D115" t="s">
        <v>48</v>
      </c>
      <c r="E115" t="s">
        <v>165</v>
      </c>
      <c r="F115" t="s">
        <v>77</v>
      </c>
      <c r="G115" t="s">
        <v>75</v>
      </c>
      <c r="H115" t="s">
        <v>11</v>
      </c>
      <c r="I115" t="s">
        <v>7</v>
      </c>
      <c r="J115" t="s">
        <v>63</v>
      </c>
      <c r="K115" t="s">
        <v>46</v>
      </c>
      <c r="L115" t="s">
        <v>69</v>
      </c>
      <c r="M115">
        <v>1</v>
      </c>
    </row>
    <row r="116" spans="1:13" x14ac:dyDescent="0.25">
      <c r="A116" s="1">
        <v>46142</v>
      </c>
      <c r="B116" s="1" t="str">
        <f ca="1">IF(Información1[[#This Row],[Fecha]]='Ajuste de fechas'!$A$2,"Día actual","Día anterior")</f>
        <v>Día anterior</v>
      </c>
      <c r="C116" t="s">
        <v>45</v>
      </c>
      <c r="D116" t="s">
        <v>48</v>
      </c>
      <c r="E116" t="s">
        <v>166</v>
      </c>
      <c r="F116" t="s">
        <v>24</v>
      </c>
      <c r="G116" t="s">
        <v>98</v>
      </c>
      <c r="H116" t="s">
        <v>11</v>
      </c>
      <c r="I116" t="s">
        <v>7</v>
      </c>
      <c r="J116" t="s">
        <v>63</v>
      </c>
      <c r="K116" t="s">
        <v>46</v>
      </c>
      <c r="L116" t="s">
        <v>64</v>
      </c>
      <c r="M116">
        <v>1</v>
      </c>
    </row>
    <row r="117" spans="1:13" x14ac:dyDescent="0.25">
      <c r="A117" s="1">
        <v>46142</v>
      </c>
      <c r="B117" s="1" t="str">
        <f ca="1">IF(Información1[[#This Row],[Fecha]]='Ajuste de fechas'!$A$2,"Día actual","Día anterior")</f>
        <v>Día anterior</v>
      </c>
      <c r="C117" t="s">
        <v>31</v>
      </c>
      <c r="D117" t="s">
        <v>33</v>
      </c>
      <c r="E117" t="s">
        <v>167</v>
      </c>
      <c r="F117" t="s">
        <v>23</v>
      </c>
      <c r="G117" t="s">
        <v>168</v>
      </c>
      <c r="H117" t="s">
        <v>11</v>
      </c>
      <c r="I117" t="s">
        <v>7</v>
      </c>
      <c r="J117" t="s">
        <v>68</v>
      </c>
      <c r="K117" t="s">
        <v>32</v>
      </c>
      <c r="L117" t="s">
        <v>66</v>
      </c>
      <c r="M117">
        <v>1</v>
      </c>
    </row>
    <row r="118" spans="1:13" x14ac:dyDescent="0.25">
      <c r="A118" s="1">
        <v>46142</v>
      </c>
      <c r="B118" s="1" t="str">
        <f ca="1">IF(Información1[[#This Row],[Fecha]]='Ajuste de fechas'!$A$2,"Día actual","Día anterior")</f>
        <v>Día anterior</v>
      </c>
      <c r="C118" t="s">
        <v>31</v>
      </c>
      <c r="D118" t="s">
        <v>33</v>
      </c>
      <c r="E118" t="s">
        <v>169</v>
      </c>
      <c r="F118" t="s">
        <v>19</v>
      </c>
      <c r="G118" t="s">
        <v>94</v>
      </c>
      <c r="H118" t="s">
        <v>11</v>
      </c>
      <c r="I118" t="s">
        <v>7</v>
      </c>
      <c r="J118" t="s">
        <v>67</v>
      </c>
      <c r="K118" t="s">
        <v>32</v>
      </c>
      <c r="L118" t="s">
        <v>64</v>
      </c>
      <c r="M118">
        <v>1</v>
      </c>
    </row>
    <row r="119" spans="1:13" x14ac:dyDescent="0.25">
      <c r="A119" s="1">
        <v>46142</v>
      </c>
      <c r="B119" s="1" t="str">
        <f ca="1">IF(Información1[[#This Row],[Fecha]]='Ajuste de fechas'!$A$2,"Día actual","Día anterior")</f>
        <v>Día anterior</v>
      </c>
      <c r="C119" t="s">
        <v>31</v>
      </c>
      <c r="D119" t="s">
        <v>33</v>
      </c>
      <c r="E119" t="s">
        <v>170</v>
      </c>
      <c r="F119" t="s">
        <v>49</v>
      </c>
      <c r="G119" t="s">
        <v>153</v>
      </c>
      <c r="H119" t="s">
        <v>11</v>
      </c>
      <c r="I119" t="s">
        <v>7</v>
      </c>
      <c r="J119" t="s">
        <v>63</v>
      </c>
      <c r="K119" t="s">
        <v>32</v>
      </c>
      <c r="L119" t="s">
        <v>66</v>
      </c>
      <c r="M119">
        <v>1</v>
      </c>
    </row>
    <row r="120" spans="1:13" x14ac:dyDescent="0.25">
      <c r="A120" s="1">
        <v>46142</v>
      </c>
      <c r="B120" s="1" t="str">
        <f ca="1">IF(Información1[[#This Row],[Fecha]]='Ajuste de fechas'!$A$2,"Día actual","Día anterior")</f>
        <v>Día anterior</v>
      </c>
      <c r="C120" t="s">
        <v>31</v>
      </c>
      <c r="D120" t="s">
        <v>33</v>
      </c>
      <c r="E120" t="s">
        <v>171</v>
      </c>
      <c r="F120" t="s">
        <v>84</v>
      </c>
      <c r="G120" t="s">
        <v>172</v>
      </c>
      <c r="H120" t="s">
        <v>11</v>
      </c>
      <c r="I120" t="s">
        <v>7</v>
      </c>
      <c r="J120" t="s">
        <v>63</v>
      </c>
      <c r="K120" t="s">
        <v>32</v>
      </c>
      <c r="L120" t="s">
        <v>66</v>
      </c>
      <c r="M120">
        <v>1</v>
      </c>
    </row>
    <row r="121" spans="1:13" x14ac:dyDescent="0.25">
      <c r="A121" s="1">
        <v>46142</v>
      </c>
      <c r="B121" s="1" t="str">
        <f ca="1">IF(Información1[[#This Row],[Fecha]]='Ajuste de fechas'!$A$2,"Día actual","Día anterior")</f>
        <v>Día anterior</v>
      </c>
      <c r="C121" t="s">
        <v>31</v>
      </c>
      <c r="D121" t="s">
        <v>33</v>
      </c>
      <c r="E121" t="s">
        <v>143</v>
      </c>
      <c r="F121" t="s">
        <v>112</v>
      </c>
      <c r="G121" t="s">
        <v>95</v>
      </c>
      <c r="H121" t="s">
        <v>11</v>
      </c>
      <c r="I121" t="s">
        <v>7</v>
      </c>
      <c r="J121" t="s">
        <v>63</v>
      </c>
      <c r="K121" t="s">
        <v>32</v>
      </c>
      <c r="L121" t="s">
        <v>66</v>
      </c>
      <c r="M121">
        <v>1</v>
      </c>
    </row>
    <row r="122" spans="1:13" x14ac:dyDescent="0.25">
      <c r="A122" s="1">
        <v>46142</v>
      </c>
      <c r="B122" s="1" t="str">
        <f ca="1">IF(Información1[[#This Row],[Fecha]]='Ajuste de fechas'!$A$2,"Día actual","Día anterior")</f>
        <v>Día anterior</v>
      </c>
      <c r="C122" t="s">
        <v>45</v>
      </c>
      <c r="D122" t="s">
        <v>47</v>
      </c>
      <c r="E122" t="s">
        <v>167</v>
      </c>
      <c r="F122" t="s">
        <v>23</v>
      </c>
      <c r="G122" t="s">
        <v>168</v>
      </c>
      <c r="H122" t="s">
        <v>11</v>
      </c>
      <c r="I122" t="s">
        <v>7</v>
      </c>
      <c r="J122" t="s">
        <v>68</v>
      </c>
      <c r="K122" t="s">
        <v>39</v>
      </c>
      <c r="L122" t="s">
        <v>66</v>
      </c>
      <c r="M122">
        <v>1</v>
      </c>
    </row>
    <row r="123" spans="1:13" x14ac:dyDescent="0.25">
      <c r="A123" s="1">
        <v>46142</v>
      </c>
      <c r="B123" s="1" t="str">
        <f ca="1">IF(Información1[[#This Row],[Fecha]]='Ajuste de fechas'!$A$2,"Día actual","Día anterior")</f>
        <v>Día anterior</v>
      </c>
      <c r="C123" t="s">
        <v>45</v>
      </c>
      <c r="D123" t="s">
        <v>47</v>
      </c>
      <c r="E123" t="s">
        <v>173</v>
      </c>
      <c r="F123" t="s">
        <v>77</v>
      </c>
      <c r="G123" t="s">
        <v>174</v>
      </c>
      <c r="H123" t="s">
        <v>11</v>
      </c>
      <c r="I123" t="s">
        <v>7</v>
      </c>
      <c r="J123" t="s">
        <v>63</v>
      </c>
      <c r="K123" t="s">
        <v>46</v>
      </c>
      <c r="L123" t="s">
        <v>64</v>
      </c>
      <c r="M123">
        <v>1</v>
      </c>
    </row>
    <row r="124" spans="1:13" x14ac:dyDescent="0.25">
      <c r="A124" s="1">
        <v>46142</v>
      </c>
      <c r="B124" s="1" t="str">
        <f ca="1">IF(Información1[[#This Row],[Fecha]]='Ajuste de fechas'!$A$2,"Día actual","Día anterior")</f>
        <v>Día anterior</v>
      </c>
      <c r="C124" t="s">
        <v>45</v>
      </c>
      <c r="D124" t="s">
        <v>47</v>
      </c>
      <c r="E124" t="s">
        <v>175</v>
      </c>
      <c r="F124" t="s">
        <v>21</v>
      </c>
      <c r="G124" t="s">
        <v>102</v>
      </c>
      <c r="H124" t="s">
        <v>11</v>
      </c>
      <c r="I124" t="s">
        <v>12</v>
      </c>
      <c r="J124" t="s">
        <v>63</v>
      </c>
      <c r="K124" t="s">
        <v>39</v>
      </c>
      <c r="L124" t="s">
        <v>65</v>
      </c>
      <c r="M124">
        <v>1</v>
      </c>
    </row>
    <row r="125" spans="1:13" x14ac:dyDescent="0.25">
      <c r="A125" s="1">
        <v>46142</v>
      </c>
      <c r="B125" s="1" t="str">
        <f ca="1">IF(Información1[[#This Row],[Fecha]]='Ajuste de fechas'!$A$2,"Día actual","Día anterior")</f>
        <v>Día anterior</v>
      </c>
      <c r="C125" t="s">
        <v>45</v>
      </c>
      <c r="D125" t="s">
        <v>47</v>
      </c>
      <c r="E125" t="s">
        <v>176</v>
      </c>
      <c r="F125" t="s">
        <v>80</v>
      </c>
      <c r="G125" t="s">
        <v>177</v>
      </c>
      <c r="H125" t="s">
        <v>11</v>
      </c>
      <c r="I125" t="s">
        <v>7</v>
      </c>
      <c r="J125" t="s">
        <v>63</v>
      </c>
      <c r="K125" t="s">
        <v>39</v>
      </c>
      <c r="L125" t="s">
        <v>66</v>
      </c>
      <c r="M125">
        <v>1</v>
      </c>
    </row>
    <row r="126" spans="1:13" x14ac:dyDescent="0.25">
      <c r="A126" s="1">
        <v>46142</v>
      </c>
      <c r="B126" s="1" t="str">
        <f ca="1">IF(Información1[[#This Row],[Fecha]]='Ajuste de fechas'!$A$2,"Día actual","Día anterior")</f>
        <v>Día anterior</v>
      </c>
      <c r="C126" t="s">
        <v>45</v>
      </c>
      <c r="D126" t="s">
        <v>47</v>
      </c>
      <c r="E126" t="s">
        <v>178</v>
      </c>
      <c r="F126" t="s">
        <v>179</v>
      </c>
      <c r="G126" t="s">
        <v>180</v>
      </c>
      <c r="H126" t="s">
        <v>11</v>
      </c>
      <c r="I126" t="s">
        <v>7</v>
      </c>
      <c r="J126" t="s">
        <v>63</v>
      </c>
      <c r="K126" t="s">
        <v>39</v>
      </c>
      <c r="L126" t="s">
        <v>66</v>
      </c>
      <c r="M126">
        <v>1</v>
      </c>
    </row>
    <row r="127" spans="1:13" x14ac:dyDescent="0.25">
      <c r="A127" s="1">
        <v>46142</v>
      </c>
      <c r="B127" s="1" t="str">
        <f ca="1">IF(Información1[[#This Row],[Fecha]]='Ajuste de fechas'!$A$2,"Día actual","Día anterior")</f>
        <v>Día anterior</v>
      </c>
      <c r="C127" t="s">
        <v>45</v>
      </c>
      <c r="D127" t="s">
        <v>47</v>
      </c>
      <c r="E127" t="s">
        <v>171</v>
      </c>
      <c r="F127" t="s">
        <v>84</v>
      </c>
      <c r="G127" t="s">
        <v>172</v>
      </c>
      <c r="H127" t="s">
        <v>11</v>
      </c>
      <c r="I127" t="s">
        <v>7</v>
      </c>
      <c r="J127" t="s">
        <v>63</v>
      </c>
      <c r="K127" t="s">
        <v>39</v>
      </c>
      <c r="L127" t="s">
        <v>66</v>
      </c>
      <c r="M127">
        <v>1</v>
      </c>
    </row>
    <row r="128" spans="1:13" x14ac:dyDescent="0.25">
      <c r="A128" s="1">
        <v>46142</v>
      </c>
      <c r="B128" s="1" t="str">
        <f ca="1">IF(Información1[[#This Row],[Fecha]]='Ajuste de fechas'!$A$2,"Día actual","Día anterior")</f>
        <v>Día anterior</v>
      </c>
      <c r="C128" t="s">
        <v>45</v>
      </c>
      <c r="D128" t="s">
        <v>47</v>
      </c>
      <c r="E128" t="s">
        <v>181</v>
      </c>
      <c r="F128" t="s">
        <v>15</v>
      </c>
      <c r="G128" t="s">
        <v>98</v>
      </c>
      <c r="H128" t="s">
        <v>11</v>
      </c>
      <c r="I128" t="s">
        <v>7</v>
      </c>
      <c r="J128" t="s">
        <v>63</v>
      </c>
      <c r="K128" t="s">
        <v>39</v>
      </c>
      <c r="L128" t="s">
        <v>66</v>
      </c>
      <c r="M128">
        <v>1</v>
      </c>
    </row>
    <row r="129" spans="1:13" x14ac:dyDescent="0.25">
      <c r="A129" s="1">
        <v>46142</v>
      </c>
      <c r="B129" s="1" t="str">
        <f ca="1">IF(Información1[[#This Row],[Fecha]]='Ajuste de fechas'!$A$2,"Día actual","Día anterior")</f>
        <v>Día anterior</v>
      </c>
      <c r="C129" t="s">
        <v>45</v>
      </c>
      <c r="D129" t="s">
        <v>47</v>
      </c>
      <c r="E129" t="s">
        <v>182</v>
      </c>
      <c r="F129" t="s">
        <v>24</v>
      </c>
      <c r="G129" t="s">
        <v>97</v>
      </c>
      <c r="H129" t="s">
        <v>11</v>
      </c>
      <c r="I129" t="s">
        <v>7</v>
      </c>
      <c r="J129" t="s">
        <v>63</v>
      </c>
      <c r="K129" t="s">
        <v>39</v>
      </c>
      <c r="L129" t="s">
        <v>66</v>
      </c>
      <c r="M129">
        <v>1</v>
      </c>
    </row>
    <row r="130" spans="1:13" x14ac:dyDescent="0.25">
      <c r="A130" s="1">
        <v>46142</v>
      </c>
      <c r="B130" s="1" t="str">
        <f ca="1">IF(Información1[[#This Row],[Fecha]]='Ajuste de fechas'!$A$2,"Día actual","Día anterior")</f>
        <v>Día anterior</v>
      </c>
      <c r="C130" t="s">
        <v>8</v>
      </c>
      <c r="D130" t="s">
        <v>10</v>
      </c>
      <c r="E130" t="s">
        <v>183</v>
      </c>
      <c r="F130" t="s">
        <v>19</v>
      </c>
      <c r="G130" t="s">
        <v>89</v>
      </c>
      <c r="H130" t="s">
        <v>11</v>
      </c>
      <c r="I130" t="s">
        <v>7</v>
      </c>
      <c r="J130" t="s">
        <v>67</v>
      </c>
      <c r="K130" t="s">
        <v>14</v>
      </c>
      <c r="L130" t="s">
        <v>64</v>
      </c>
      <c r="M130">
        <v>1</v>
      </c>
    </row>
    <row r="131" spans="1:13" x14ac:dyDescent="0.25">
      <c r="A131" s="1">
        <v>46142</v>
      </c>
      <c r="B131" s="1" t="str">
        <f ca="1">IF(Información1[[#This Row],[Fecha]]='Ajuste de fechas'!$A$2,"Día actual","Día anterior")</f>
        <v>Día anterior</v>
      </c>
      <c r="C131" t="s">
        <v>8</v>
      </c>
      <c r="D131" t="s">
        <v>10</v>
      </c>
      <c r="E131" t="s">
        <v>184</v>
      </c>
      <c r="F131" t="s">
        <v>17</v>
      </c>
      <c r="G131" t="s">
        <v>185</v>
      </c>
      <c r="H131" t="s">
        <v>11</v>
      </c>
      <c r="I131" t="s">
        <v>27</v>
      </c>
      <c r="J131" t="s">
        <v>63</v>
      </c>
      <c r="K131" t="s">
        <v>14</v>
      </c>
      <c r="L131" t="s">
        <v>65</v>
      </c>
      <c r="M131">
        <v>1</v>
      </c>
    </row>
    <row r="132" spans="1:13" x14ac:dyDescent="0.25">
      <c r="A132" s="1">
        <v>46142</v>
      </c>
      <c r="B132" s="1" t="str">
        <f ca="1">IF(Información1[[#This Row],[Fecha]]='Ajuste de fechas'!$A$2,"Día actual","Día anterior")</f>
        <v>Día anterior</v>
      </c>
      <c r="C132" t="s">
        <v>8</v>
      </c>
      <c r="D132" t="s">
        <v>10</v>
      </c>
      <c r="E132" t="s">
        <v>186</v>
      </c>
      <c r="F132" t="s">
        <v>17</v>
      </c>
      <c r="G132" t="s">
        <v>185</v>
      </c>
      <c r="H132" t="s">
        <v>11</v>
      </c>
      <c r="I132" t="s">
        <v>27</v>
      </c>
      <c r="J132" t="s">
        <v>63</v>
      </c>
      <c r="K132" t="s">
        <v>14</v>
      </c>
      <c r="L132" t="s">
        <v>65</v>
      </c>
      <c r="M132">
        <v>1</v>
      </c>
    </row>
    <row r="133" spans="1:13" x14ac:dyDescent="0.25">
      <c r="A133" s="1">
        <v>46142</v>
      </c>
      <c r="B133" s="1" t="str">
        <f ca="1">IF(Información1[[#This Row],[Fecha]]='Ajuste de fechas'!$A$2,"Día actual","Día anterior")</f>
        <v>Día anterior</v>
      </c>
      <c r="C133" t="s">
        <v>8</v>
      </c>
      <c r="D133" t="s">
        <v>10</v>
      </c>
      <c r="E133" t="s">
        <v>187</v>
      </c>
      <c r="F133" t="s">
        <v>17</v>
      </c>
      <c r="G133" t="s">
        <v>185</v>
      </c>
      <c r="H133" t="s">
        <v>11</v>
      </c>
      <c r="I133" t="s">
        <v>27</v>
      </c>
      <c r="J133" t="s">
        <v>63</v>
      </c>
      <c r="K133" t="s">
        <v>14</v>
      </c>
      <c r="L133" t="s">
        <v>65</v>
      </c>
      <c r="M133">
        <v>1</v>
      </c>
    </row>
    <row r="134" spans="1:13" x14ac:dyDescent="0.25">
      <c r="A134" s="1">
        <v>46142</v>
      </c>
      <c r="B134" s="1" t="str">
        <f ca="1">IF(Información1[[#This Row],[Fecha]]='Ajuste de fechas'!$A$2,"Día actual","Día anterior")</f>
        <v>Día anterior</v>
      </c>
      <c r="C134" t="s">
        <v>8</v>
      </c>
      <c r="D134" t="s">
        <v>10</v>
      </c>
      <c r="E134" t="s">
        <v>188</v>
      </c>
      <c r="F134" t="s">
        <v>21</v>
      </c>
      <c r="G134" t="s">
        <v>81</v>
      </c>
      <c r="H134" t="s">
        <v>11</v>
      </c>
      <c r="I134" t="s">
        <v>7</v>
      </c>
      <c r="J134" t="s">
        <v>63</v>
      </c>
      <c r="K134" t="s">
        <v>14</v>
      </c>
      <c r="L134" t="s">
        <v>64</v>
      </c>
      <c r="M134">
        <v>1</v>
      </c>
    </row>
    <row r="135" spans="1:13" x14ac:dyDescent="0.25">
      <c r="A135" s="1">
        <v>46142</v>
      </c>
      <c r="B135" s="1" t="str">
        <f ca="1">IF(Información1[[#This Row],[Fecha]]='Ajuste de fechas'!$A$2,"Día actual","Día anterior")</f>
        <v>Día anterior</v>
      </c>
      <c r="C135" t="s">
        <v>8</v>
      </c>
      <c r="D135" t="s">
        <v>10</v>
      </c>
      <c r="E135" t="s">
        <v>20</v>
      </c>
      <c r="F135" t="s">
        <v>19</v>
      </c>
      <c r="G135" t="s">
        <v>54</v>
      </c>
      <c r="H135" t="s">
        <v>11</v>
      </c>
      <c r="I135" t="s">
        <v>12</v>
      </c>
      <c r="J135" t="s">
        <v>67</v>
      </c>
      <c r="K135" t="s">
        <v>14</v>
      </c>
      <c r="L135" t="s">
        <v>65</v>
      </c>
      <c r="M135">
        <v>1</v>
      </c>
    </row>
    <row r="136" spans="1:13" x14ac:dyDescent="0.25">
      <c r="A136" s="1">
        <v>46142</v>
      </c>
      <c r="B136" s="1" t="str">
        <f ca="1">IF(Información1[[#This Row],[Fecha]]='Ajuste de fechas'!$A$2,"Día actual","Día anterior")</f>
        <v>Día anterior</v>
      </c>
      <c r="C136" t="s">
        <v>8</v>
      </c>
      <c r="D136" t="s">
        <v>10</v>
      </c>
      <c r="E136" t="s">
        <v>18</v>
      </c>
      <c r="F136" t="s">
        <v>19</v>
      </c>
      <c r="G136" t="s">
        <v>54</v>
      </c>
      <c r="H136" t="s">
        <v>11</v>
      </c>
      <c r="I136" t="s">
        <v>12</v>
      </c>
      <c r="J136" t="s">
        <v>67</v>
      </c>
      <c r="K136" t="s">
        <v>14</v>
      </c>
      <c r="L136" t="s">
        <v>65</v>
      </c>
      <c r="M136">
        <v>1</v>
      </c>
    </row>
    <row r="137" spans="1:13" x14ac:dyDescent="0.25">
      <c r="A137" s="1">
        <v>46142</v>
      </c>
      <c r="B137" s="1" t="str">
        <f ca="1">IF(Información1[[#This Row],[Fecha]]='Ajuste de fechas'!$A$2,"Día actual","Día anterior")</f>
        <v>Día anterior</v>
      </c>
      <c r="C137" t="s">
        <v>8</v>
      </c>
      <c r="D137" t="s">
        <v>10</v>
      </c>
      <c r="E137" t="s">
        <v>53</v>
      </c>
      <c r="F137" t="s">
        <v>22</v>
      </c>
      <c r="G137" t="s">
        <v>54</v>
      </c>
      <c r="H137" t="s">
        <v>11</v>
      </c>
      <c r="I137" t="s">
        <v>12</v>
      </c>
      <c r="J137" t="s">
        <v>26</v>
      </c>
      <c r="K137" t="s">
        <v>14</v>
      </c>
      <c r="L137" t="s">
        <v>65</v>
      </c>
      <c r="M137">
        <v>1</v>
      </c>
    </row>
    <row r="138" spans="1:13" x14ac:dyDescent="0.25">
      <c r="A138" s="1">
        <v>46142</v>
      </c>
      <c r="B138" s="1" t="str">
        <f ca="1">IF(Información1[[#This Row],[Fecha]]='Ajuste de fechas'!$A$2,"Día actual","Día anterior")</f>
        <v>Día anterior</v>
      </c>
      <c r="C138" t="s">
        <v>8</v>
      </c>
      <c r="D138" t="s">
        <v>10</v>
      </c>
      <c r="E138" t="s">
        <v>79</v>
      </c>
      <c r="F138" t="s">
        <v>21</v>
      </c>
      <c r="G138" t="s">
        <v>54</v>
      </c>
      <c r="H138" t="s">
        <v>11</v>
      </c>
      <c r="I138" t="s">
        <v>12</v>
      </c>
      <c r="J138" t="s">
        <v>63</v>
      </c>
      <c r="K138" t="s">
        <v>14</v>
      </c>
      <c r="L138" t="s">
        <v>65</v>
      </c>
      <c r="M138">
        <v>1</v>
      </c>
    </row>
    <row r="139" spans="1:13" x14ac:dyDescent="0.25">
      <c r="A139" s="1">
        <v>46142</v>
      </c>
      <c r="B139" s="1" t="str">
        <f ca="1">IF(Información1[[#This Row],[Fecha]]='Ajuste de fechas'!$A$2,"Día actual","Día anterior")</f>
        <v>Día anterior</v>
      </c>
      <c r="C139" t="s">
        <v>8</v>
      </c>
      <c r="D139" t="s">
        <v>10</v>
      </c>
      <c r="E139" t="s">
        <v>13</v>
      </c>
      <c r="F139" t="s">
        <v>15</v>
      </c>
      <c r="G139" t="s">
        <v>54</v>
      </c>
      <c r="H139" t="s">
        <v>11</v>
      </c>
      <c r="I139" t="s">
        <v>12</v>
      </c>
      <c r="J139" t="s">
        <v>63</v>
      </c>
      <c r="K139" t="s">
        <v>14</v>
      </c>
      <c r="L139" t="s">
        <v>65</v>
      </c>
      <c r="M139">
        <v>1</v>
      </c>
    </row>
    <row r="140" spans="1:13" x14ac:dyDescent="0.25">
      <c r="A140" s="1">
        <v>46142</v>
      </c>
      <c r="B140" s="1" t="str">
        <f ca="1">IF(Información1[[#This Row],[Fecha]]='Ajuste de fechas'!$A$2,"Día actual","Día anterior")</f>
        <v>Día anterior</v>
      </c>
      <c r="C140" t="s">
        <v>8</v>
      </c>
      <c r="D140" t="s">
        <v>10</v>
      </c>
      <c r="E140" t="s">
        <v>16</v>
      </c>
      <c r="F140" t="s">
        <v>17</v>
      </c>
      <c r="G140" t="s">
        <v>54</v>
      </c>
      <c r="H140" t="s">
        <v>11</v>
      </c>
      <c r="I140" t="s">
        <v>12</v>
      </c>
      <c r="J140" t="s">
        <v>63</v>
      </c>
      <c r="K140" t="s">
        <v>14</v>
      </c>
      <c r="L140" t="s">
        <v>65</v>
      </c>
      <c r="M140">
        <v>1</v>
      </c>
    </row>
    <row r="141" spans="1:13" x14ac:dyDescent="0.25">
      <c r="A141" s="1">
        <v>46142</v>
      </c>
      <c r="B141" s="1" t="str">
        <f ca="1">IF(Información1[[#This Row],[Fecha]]='Ajuste de fechas'!$A$2,"Día actual","Día anterior")</f>
        <v>Día anterior</v>
      </c>
      <c r="C141" t="s">
        <v>8</v>
      </c>
      <c r="D141" t="s">
        <v>10</v>
      </c>
      <c r="E141" t="s">
        <v>56</v>
      </c>
      <c r="F141" t="s">
        <v>6</v>
      </c>
      <c r="G141" t="s">
        <v>54</v>
      </c>
      <c r="H141" t="s">
        <v>11</v>
      </c>
      <c r="I141" t="s">
        <v>12</v>
      </c>
      <c r="J141" t="s">
        <v>63</v>
      </c>
      <c r="K141" t="s">
        <v>14</v>
      </c>
      <c r="L141" t="s">
        <v>65</v>
      </c>
      <c r="M141">
        <v>1</v>
      </c>
    </row>
    <row r="142" spans="1:13" x14ac:dyDescent="0.25">
      <c r="A142" s="1">
        <v>46142</v>
      </c>
      <c r="B142" s="1" t="str">
        <f ca="1">IF(Información1[[#This Row],[Fecha]]='Ajuste de fechas'!$A$2,"Día actual","Día anterior")</f>
        <v>Día anterior</v>
      </c>
      <c r="C142" t="s">
        <v>8</v>
      </c>
      <c r="D142" t="s">
        <v>10</v>
      </c>
      <c r="E142" t="s">
        <v>189</v>
      </c>
      <c r="F142" t="s">
        <v>24</v>
      </c>
      <c r="G142" t="s">
        <v>97</v>
      </c>
      <c r="H142" t="s">
        <v>11</v>
      </c>
      <c r="I142" t="s">
        <v>7</v>
      </c>
      <c r="J142" t="s">
        <v>63</v>
      </c>
      <c r="K142" t="s">
        <v>14</v>
      </c>
      <c r="L142" t="s">
        <v>66</v>
      </c>
      <c r="M142">
        <v>1</v>
      </c>
    </row>
    <row r="143" spans="1:13" x14ac:dyDescent="0.25">
      <c r="A143" s="1">
        <v>46142</v>
      </c>
      <c r="B143" s="1" t="str">
        <f ca="1">IF(Información1[[#This Row],[Fecha]]='Ajuste de fechas'!$A$2,"Día actual","Día anterior")</f>
        <v>Día anterior</v>
      </c>
      <c r="C143" t="s">
        <v>8</v>
      </c>
      <c r="D143" t="s">
        <v>10</v>
      </c>
      <c r="E143" t="s">
        <v>190</v>
      </c>
      <c r="F143" t="s">
        <v>49</v>
      </c>
      <c r="G143" t="s">
        <v>191</v>
      </c>
      <c r="H143" t="s">
        <v>11</v>
      </c>
      <c r="I143" t="s">
        <v>7</v>
      </c>
      <c r="J143" t="s">
        <v>63</v>
      </c>
      <c r="K143" t="s">
        <v>14</v>
      </c>
      <c r="L143" t="s">
        <v>64</v>
      </c>
      <c r="M143">
        <v>1</v>
      </c>
    </row>
    <row r="144" spans="1:13" x14ac:dyDescent="0.25">
      <c r="A144" s="1">
        <v>46142</v>
      </c>
      <c r="B144" s="1" t="str">
        <f ca="1">IF(Información1[[#This Row],[Fecha]]='Ajuste de fechas'!$A$2,"Día actual","Día anterior")</f>
        <v>Día anterior</v>
      </c>
      <c r="C144" t="s">
        <v>34</v>
      </c>
      <c r="D144" t="s">
        <v>36</v>
      </c>
      <c r="E144" t="s">
        <v>192</v>
      </c>
      <c r="F144" t="s">
        <v>24</v>
      </c>
      <c r="G144" t="s">
        <v>121</v>
      </c>
      <c r="H144" t="s">
        <v>11</v>
      </c>
      <c r="I144" t="s">
        <v>7</v>
      </c>
      <c r="J144" t="s">
        <v>63</v>
      </c>
      <c r="K144" t="s">
        <v>55</v>
      </c>
      <c r="L144" t="s">
        <v>64</v>
      </c>
      <c r="M144">
        <v>1</v>
      </c>
    </row>
    <row r="145" spans="1:13" x14ac:dyDescent="0.25">
      <c r="A145" s="1">
        <v>46142</v>
      </c>
      <c r="B145" s="1" t="str">
        <f ca="1">IF(Información1[[#This Row],[Fecha]]='Ajuste de fechas'!$A$2,"Día actual","Día anterior")</f>
        <v>Día anterior</v>
      </c>
      <c r="C145" t="s">
        <v>34</v>
      </c>
      <c r="D145" t="s">
        <v>37</v>
      </c>
      <c r="E145" t="s">
        <v>193</v>
      </c>
      <c r="F145" t="s">
        <v>24</v>
      </c>
      <c r="G145" t="s">
        <v>121</v>
      </c>
      <c r="H145" t="s">
        <v>11</v>
      </c>
      <c r="I145" t="s">
        <v>7</v>
      </c>
      <c r="J145" t="s">
        <v>63</v>
      </c>
      <c r="K145" t="s">
        <v>35</v>
      </c>
      <c r="L145" t="s">
        <v>64</v>
      </c>
      <c r="M145">
        <v>1</v>
      </c>
    </row>
    <row r="146" spans="1:13" x14ac:dyDescent="0.25">
      <c r="A146" s="1">
        <v>46142</v>
      </c>
      <c r="B146" s="1" t="str">
        <f ca="1">IF(Información1[[#This Row],[Fecha]]='Ajuste de fechas'!$A$2,"Día actual","Día anterior")</f>
        <v>Día anterior</v>
      </c>
      <c r="C146" t="s">
        <v>34</v>
      </c>
      <c r="D146" t="s">
        <v>36</v>
      </c>
      <c r="E146" t="s">
        <v>194</v>
      </c>
      <c r="F146" t="s">
        <v>15</v>
      </c>
      <c r="G146" t="s">
        <v>98</v>
      </c>
      <c r="H146" t="s">
        <v>11</v>
      </c>
      <c r="I146" t="s">
        <v>7</v>
      </c>
      <c r="J146" t="s">
        <v>63</v>
      </c>
      <c r="K146" t="s">
        <v>55</v>
      </c>
      <c r="L146" t="s">
        <v>66</v>
      </c>
      <c r="M146">
        <v>1</v>
      </c>
    </row>
    <row r="147" spans="1:13" x14ac:dyDescent="0.25">
      <c r="A147" s="1">
        <v>46142</v>
      </c>
      <c r="B147" s="1" t="str">
        <f ca="1">IF(Información1[[#This Row],[Fecha]]='Ajuste de fechas'!$A$2,"Día actual","Día anterior")</f>
        <v>Día anterior</v>
      </c>
      <c r="C147" t="s">
        <v>34</v>
      </c>
      <c r="D147" t="s">
        <v>37</v>
      </c>
      <c r="E147" t="s">
        <v>195</v>
      </c>
      <c r="F147" t="s">
        <v>15</v>
      </c>
      <c r="G147" t="s">
        <v>98</v>
      </c>
      <c r="H147" t="s">
        <v>11</v>
      </c>
      <c r="I147" t="s">
        <v>7</v>
      </c>
      <c r="J147" t="s">
        <v>63</v>
      </c>
      <c r="K147" t="s">
        <v>35</v>
      </c>
      <c r="L147" t="s">
        <v>64</v>
      </c>
      <c r="M147">
        <v>1</v>
      </c>
    </row>
    <row r="148" spans="1:13" x14ac:dyDescent="0.25">
      <c r="A148" s="1">
        <v>46142</v>
      </c>
      <c r="B148" s="1" t="str">
        <f ca="1">IF(Información1[[#This Row],[Fecha]]='Ajuste de fechas'!$A$2,"Día actual","Día anterior")</f>
        <v>Día anterior</v>
      </c>
      <c r="C148" t="s">
        <v>34</v>
      </c>
      <c r="D148" t="s">
        <v>36</v>
      </c>
      <c r="E148" t="s">
        <v>171</v>
      </c>
      <c r="F148" t="s">
        <v>84</v>
      </c>
      <c r="G148" t="s">
        <v>172</v>
      </c>
      <c r="H148" t="s">
        <v>11</v>
      </c>
      <c r="I148" t="s">
        <v>7</v>
      </c>
      <c r="J148" t="s">
        <v>63</v>
      </c>
      <c r="K148" t="s">
        <v>55</v>
      </c>
      <c r="L148" t="s">
        <v>66</v>
      </c>
      <c r="M148">
        <v>1</v>
      </c>
    </row>
    <row r="149" spans="1:13" x14ac:dyDescent="0.25">
      <c r="A149" s="1">
        <v>46142</v>
      </c>
      <c r="B149" s="1" t="str">
        <f ca="1">IF(Información1[[#This Row],[Fecha]]='Ajuste de fechas'!$A$2,"Día actual","Día anterior")</f>
        <v>Día anterior</v>
      </c>
      <c r="C149" t="s">
        <v>90</v>
      </c>
      <c r="D149" t="s">
        <v>196</v>
      </c>
      <c r="E149" t="s">
        <v>197</v>
      </c>
      <c r="F149" t="s">
        <v>112</v>
      </c>
      <c r="G149" t="s">
        <v>105</v>
      </c>
      <c r="H149" t="s">
        <v>11</v>
      </c>
      <c r="I149" t="s">
        <v>7</v>
      </c>
      <c r="J149" t="s">
        <v>63</v>
      </c>
      <c r="K149" t="s">
        <v>198</v>
      </c>
      <c r="L149" t="s">
        <v>66</v>
      </c>
      <c r="M149">
        <v>1</v>
      </c>
    </row>
    <row r="150" spans="1:13" x14ac:dyDescent="0.25">
      <c r="A150" s="1">
        <v>46142</v>
      </c>
      <c r="B150" s="1" t="str">
        <f ca="1">IF(Información1[[#This Row],[Fecha]]='Ajuste de fechas'!$A$2,"Día actual","Día anterior")</f>
        <v>Día anterior</v>
      </c>
      <c r="C150" t="s">
        <v>34</v>
      </c>
      <c r="D150" t="s">
        <v>37</v>
      </c>
      <c r="E150" t="s">
        <v>197</v>
      </c>
      <c r="F150" t="s">
        <v>112</v>
      </c>
      <c r="G150" t="s">
        <v>105</v>
      </c>
      <c r="H150" t="s">
        <v>11</v>
      </c>
      <c r="I150" t="s">
        <v>7</v>
      </c>
      <c r="J150" t="s">
        <v>63</v>
      </c>
      <c r="K150" t="s">
        <v>35</v>
      </c>
      <c r="L150" t="s">
        <v>66</v>
      </c>
      <c r="M150">
        <v>1</v>
      </c>
    </row>
    <row r="151" spans="1:13" x14ac:dyDescent="0.25">
      <c r="A151" s="1">
        <v>46142</v>
      </c>
      <c r="B151" s="1" t="str">
        <f ca="1">IF(Información1[[#This Row],[Fecha]]='Ajuste de fechas'!$A$2,"Día actual","Día anterior")</f>
        <v>Día anterior</v>
      </c>
      <c r="C151" t="s">
        <v>8</v>
      </c>
      <c r="D151" t="s">
        <v>10</v>
      </c>
      <c r="E151" t="s">
        <v>199</v>
      </c>
      <c r="F151" t="s">
        <v>112</v>
      </c>
      <c r="G151" t="s">
        <v>105</v>
      </c>
      <c r="H151" t="s">
        <v>11</v>
      </c>
      <c r="I151" t="s">
        <v>7</v>
      </c>
      <c r="J151" t="s">
        <v>63</v>
      </c>
      <c r="K151" t="s">
        <v>14</v>
      </c>
      <c r="L151" t="s">
        <v>64</v>
      </c>
      <c r="M151">
        <v>1</v>
      </c>
    </row>
    <row r="152" spans="1:13" x14ac:dyDescent="0.25">
      <c r="A152" s="1">
        <v>46142</v>
      </c>
      <c r="B152" s="1" t="str">
        <f ca="1">IF(Información1[[#This Row],[Fecha]]='Ajuste de fechas'!$A$2,"Día actual","Día anterior")</f>
        <v>Día anterior</v>
      </c>
      <c r="C152" t="s">
        <v>8</v>
      </c>
      <c r="D152" t="s">
        <v>10</v>
      </c>
      <c r="E152" t="s">
        <v>200</v>
      </c>
      <c r="F152" t="s">
        <v>19</v>
      </c>
      <c r="G152" t="s">
        <v>75</v>
      </c>
      <c r="H152" t="s">
        <v>11</v>
      </c>
      <c r="I152" t="s">
        <v>7</v>
      </c>
      <c r="J152" t="s">
        <v>67</v>
      </c>
      <c r="K152" t="s">
        <v>14</v>
      </c>
      <c r="L152" t="s">
        <v>69</v>
      </c>
      <c r="M152">
        <v>1</v>
      </c>
    </row>
    <row r="153" spans="1:13" x14ac:dyDescent="0.25">
      <c r="A153" s="1">
        <v>46142</v>
      </c>
      <c r="B153" s="1" t="str">
        <f ca="1">IF(Información1[[#This Row],[Fecha]]='Ajuste de fechas'!$A$2,"Día actual","Día anterior")</f>
        <v>Día anterior</v>
      </c>
      <c r="C153" t="s">
        <v>8</v>
      </c>
      <c r="D153" t="s">
        <v>10</v>
      </c>
      <c r="E153" t="s">
        <v>201</v>
      </c>
      <c r="F153" t="s">
        <v>19</v>
      </c>
      <c r="G153" t="s">
        <v>75</v>
      </c>
      <c r="H153" t="s">
        <v>11</v>
      </c>
      <c r="I153" t="s">
        <v>7</v>
      </c>
      <c r="J153" t="s">
        <v>67</v>
      </c>
      <c r="K153" t="s">
        <v>14</v>
      </c>
      <c r="L153" t="s">
        <v>69</v>
      </c>
      <c r="M153">
        <v>1</v>
      </c>
    </row>
    <row r="154" spans="1:13" x14ac:dyDescent="0.25">
      <c r="A154" s="1">
        <v>46142</v>
      </c>
      <c r="B154" s="1" t="str">
        <f ca="1">IF(Información1[[#This Row],[Fecha]]='Ajuste de fechas'!$A$2,"Día actual","Día anterior")</f>
        <v>Día anterior</v>
      </c>
      <c r="C154" t="s">
        <v>154</v>
      </c>
      <c r="D154" t="s">
        <v>155</v>
      </c>
      <c r="E154" t="s">
        <v>178</v>
      </c>
      <c r="F154" t="s">
        <v>179</v>
      </c>
      <c r="G154" t="s">
        <v>180</v>
      </c>
      <c r="H154" t="s">
        <v>11</v>
      </c>
      <c r="I154" t="s">
        <v>7</v>
      </c>
      <c r="J154" t="s">
        <v>63</v>
      </c>
      <c r="K154" t="s">
        <v>158</v>
      </c>
      <c r="L154" t="s">
        <v>66</v>
      </c>
      <c r="M154">
        <v>1</v>
      </c>
    </row>
    <row r="155" spans="1:13" x14ac:dyDescent="0.25">
      <c r="A155" s="1">
        <v>46142</v>
      </c>
      <c r="B155" s="1" t="str">
        <f ca="1">IF(Información1[[#This Row],[Fecha]]='Ajuste de fechas'!$A$2,"Día actual","Día anterior")</f>
        <v>Día anterior</v>
      </c>
      <c r="C155" t="s">
        <v>34</v>
      </c>
      <c r="D155" t="s">
        <v>36</v>
      </c>
      <c r="E155" t="s">
        <v>202</v>
      </c>
      <c r="F155" t="s">
        <v>21</v>
      </c>
      <c r="G155" t="s">
        <v>91</v>
      </c>
      <c r="H155" t="s">
        <v>11</v>
      </c>
      <c r="I155" t="s">
        <v>7</v>
      </c>
      <c r="J155" t="s">
        <v>63</v>
      </c>
      <c r="K155" t="s">
        <v>55</v>
      </c>
      <c r="L155" t="s">
        <v>66</v>
      </c>
      <c r="M155">
        <v>1</v>
      </c>
    </row>
    <row r="156" spans="1:13" x14ac:dyDescent="0.25">
      <c r="A156" s="1">
        <v>46142</v>
      </c>
      <c r="B156" s="1" t="str">
        <f ca="1">IF(Información1[[#This Row],[Fecha]]='Ajuste de fechas'!$A$2,"Día actual","Día anterior")</f>
        <v>Día anterior</v>
      </c>
      <c r="C156" t="s">
        <v>34</v>
      </c>
      <c r="D156" t="s">
        <v>37</v>
      </c>
      <c r="E156" t="s">
        <v>203</v>
      </c>
      <c r="F156" t="s">
        <v>21</v>
      </c>
      <c r="G156" t="s">
        <v>91</v>
      </c>
      <c r="H156" t="s">
        <v>11</v>
      </c>
      <c r="I156" t="s">
        <v>7</v>
      </c>
      <c r="J156" t="s">
        <v>63</v>
      </c>
      <c r="K156" t="s">
        <v>35</v>
      </c>
      <c r="L156" t="s">
        <v>64</v>
      </c>
      <c r="M156">
        <v>1</v>
      </c>
    </row>
    <row r="157" spans="1:13" x14ac:dyDescent="0.25">
      <c r="A157" s="1">
        <v>46142</v>
      </c>
      <c r="B157" s="1" t="str">
        <f ca="1">IF(Información1[[#This Row],[Fecha]]='Ajuste de fechas'!$A$2,"Día actual","Día anterior")</f>
        <v>Día anterior</v>
      </c>
      <c r="C157" t="s">
        <v>34</v>
      </c>
      <c r="D157" t="s">
        <v>36</v>
      </c>
      <c r="E157" t="s">
        <v>204</v>
      </c>
      <c r="F157" t="s">
        <v>104</v>
      </c>
      <c r="G157" t="s">
        <v>132</v>
      </c>
      <c r="H157" t="s">
        <v>11</v>
      </c>
      <c r="I157" t="s">
        <v>7</v>
      </c>
      <c r="J157" t="s">
        <v>63</v>
      </c>
      <c r="K157" t="s">
        <v>55</v>
      </c>
      <c r="L157" t="s">
        <v>66</v>
      </c>
      <c r="M157">
        <v>1</v>
      </c>
    </row>
    <row r="158" spans="1:13" x14ac:dyDescent="0.25">
      <c r="A158" s="1">
        <v>46142</v>
      </c>
      <c r="B158" s="1" t="str">
        <f ca="1">IF(Información1[[#This Row],[Fecha]]='Ajuste de fechas'!$A$2,"Día actual","Día anterior")</f>
        <v>Día anterior</v>
      </c>
      <c r="C158" t="s">
        <v>8</v>
      </c>
      <c r="D158" t="s">
        <v>10</v>
      </c>
      <c r="E158" t="s">
        <v>205</v>
      </c>
      <c r="F158" t="s">
        <v>6</v>
      </c>
      <c r="G158" t="s">
        <v>76</v>
      </c>
      <c r="H158" t="s">
        <v>11</v>
      </c>
      <c r="I158" t="s">
        <v>27</v>
      </c>
      <c r="J158" t="s">
        <v>63</v>
      </c>
      <c r="K158" t="s">
        <v>14</v>
      </c>
      <c r="L158" t="s">
        <v>65</v>
      </c>
      <c r="M158">
        <v>1</v>
      </c>
    </row>
    <row r="159" spans="1:13" x14ac:dyDescent="0.25">
      <c r="A159" s="1">
        <v>46142</v>
      </c>
      <c r="B159" s="1" t="str">
        <f ca="1">IF(Información1[[#This Row],[Fecha]]='Ajuste de fechas'!$A$2,"Día actual","Día anterior")</f>
        <v>Día anterior</v>
      </c>
      <c r="C159" t="s">
        <v>34</v>
      </c>
      <c r="D159" t="s">
        <v>36</v>
      </c>
      <c r="E159" t="s">
        <v>206</v>
      </c>
      <c r="F159" t="s">
        <v>25</v>
      </c>
      <c r="G159" t="s">
        <v>73</v>
      </c>
      <c r="H159" t="s">
        <v>11</v>
      </c>
      <c r="I159" t="s">
        <v>7</v>
      </c>
      <c r="J159" t="s">
        <v>63</v>
      </c>
      <c r="K159" t="s">
        <v>55</v>
      </c>
      <c r="L159" t="s">
        <v>64</v>
      </c>
      <c r="M159">
        <v>1</v>
      </c>
    </row>
    <row r="160" spans="1:13" x14ac:dyDescent="0.25">
      <c r="A160" s="1">
        <v>46142</v>
      </c>
      <c r="B160" s="1" t="str">
        <f ca="1">IF(Información1[[#This Row],[Fecha]]='Ajuste de fechas'!$A$2,"Día actual","Día anterior")</f>
        <v>Día anterior</v>
      </c>
      <c r="C160" t="s">
        <v>34</v>
      </c>
      <c r="D160" t="s">
        <v>36</v>
      </c>
      <c r="E160" t="s">
        <v>206</v>
      </c>
      <c r="F160" t="s">
        <v>78</v>
      </c>
      <c r="G160" t="s">
        <v>73</v>
      </c>
      <c r="H160" t="s">
        <v>11</v>
      </c>
      <c r="I160" t="s">
        <v>7</v>
      </c>
      <c r="J160" t="s">
        <v>63</v>
      </c>
      <c r="K160" t="s">
        <v>55</v>
      </c>
      <c r="L160" t="s">
        <v>64</v>
      </c>
      <c r="M160">
        <v>1</v>
      </c>
    </row>
    <row r="161" spans="1:13" x14ac:dyDescent="0.25">
      <c r="A161" s="1">
        <v>46142</v>
      </c>
      <c r="B161" s="1" t="str">
        <f ca="1">IF(Información1[[#This Row],[Fecha]]='Ajuste de fechas'!$A$2,"Día actual","Día anterior")</f>
        <v>Día anterior</v>
      </c>
      <c r="C161" t="s">
        <v>34</v>
      </c>
      <c r="D161" t="s">
        <v>37</v>
      </c>
      <c r="E161" t="s">
        <v>207</v>
      </c>
      <c r="F161" t="s">
        <v>23</v>
      </c>
      <c r="G161" t="s">
        <v>168</v>
      </c>
      <c r="H161" t="s">
        <v>11</v>
      </c>
      <c r="I161" t="s">
        <v>7</v>
      </c>
      <c r="J161" t="s">
        <v>68</v>
      </c>
      <c r="K161" t="s">
        <v>35</v>
      </c>
      <c r="L161" t="s">
        <v>64</v>
      </c>
      <c r="M161">
        <v>1</v>
      </c>
    </row>
    <row r="162" spans="1:13" x14ac:dyDescent="0.25">
      <c r="A162" s="1">
        <v>46142</v>
      </c>
      <c r="B162" s="1" t="str">
        <f ca="1">IF(Información1[[#This Row],[Fecha]]='Ajuste de fechas'!$A$2,"Día actual","Día anterior")</f>
        <v>Día anterior</v>
      </c>
      <c r="C162" t="s">
        <v>34</v>
      </c>
      <c r="D162" t="s">
        <v>36</v>
      </c>
      <c r="E162" t="s">
        <v>208</v>
      </c>
      <c r="F162" t="s">
        <v>22</v>
      </c>
      <c r="G162" t="s">
        <v>107</v>
      </c>
      <c r="H162" t="s">
        <v>11</v>
      </c>
      <c r="I162" t="s">
        <v>7</v>
      </c>
      <c r="J162" t="s">
        <v>26</v>
      </c>
      <c r="K162" t="s">
        <v>55</v>
      </c>
      <c r="L162" t="s">
        <v>64</v>
      </c>
      <c r="M162">
        <v>1</v>
      </c>
    </row>
    <row r="163" spans="1:13" x14ac:dyDescent="0.25">
      <c r="A163" s="1">
        <v>46142</v>
      </c>
      <c r="B163" s="1" t="str">
        <f ca="1">IF(Información1[[#This Row],[Fecha]]='Ajuste de fechas'!$A$2,"Día actual","Día anterior")</f>
        <v>Día anterior</v>
      </c>
      <c r="C163" t="s">
        <v>8</v>
      </c>
      <c r="D163" t="s">
        <v>10</v>
      </c>
      <c r="E163" t="s">
        <v>209</v>
      </c>
      <c r="F163" t="s">
        <v>19</v>
      </c>
      <c r="G163" t="s">
        <v>29</v>
      </c>
      <c r="H163" t="s">
        <v>11</v>
      </c>
      <c r="I163" t="s">
        <v>27</v>
      </c>
      <c r="J163" t="s">
        <v>67</v>
      </c>
      <c r="K163" t="s">
        <v>14</v>
      </c>
      <c r="L163" t="s">
        <v>65</v>
      </c>
      <c r="M163">
        <v>1</v>
      </c>
    </row>
    <row r="164" spans="1:13" x14ac:dyDescent="0.25">
      <c r="A164" s="1">
        <v>46142</v>
      </c>
      <c r="B164" s="1" t="str">
        <f ca="1">IF(Información1[[#This Row],[Fecha]]='Ajuste de fechas'!$A$2,"Día actual","Día anterior")</f>
        <v>Día anterior</v>
      </c>
      <c r="C164" t="s">
        <v>34</v>
      </c>
      <c r="D164" t="s">
        <v>36</v>
      </c>
      <c r="E164" t="s">
        <v>210</v>
      </c>
      <c r="F164" t="s">
        <v>82</v>
      </c>
      <c r="G164" t="s">
        <v>114</v>
      </c>
      <c r="H164" t="s">
        <v>11</v>
      </c>
      <c r="I164" t="s">
        <v>7</v>
      </c>
      <c r="J164" t="s">
        <v>63</v>
      </c>
      <c r="K164" t="s">
        <v>55</v>
      </c>
      <c r="L164" t="s">
        <v>64</v>
      </c>
      <c r="M164">
        <v>1</v>
      </c>
    </row>
    <row r="165" spans="1:13" x14ac:dyDescent="0.25">
      <c r="A165" s="1">
        <v>46142</v>
      </c>
      <c r="B165" s="1" t="str">
        <f ca="1">IF(Información1[[#This Row],[Fecha]]='Ajuste de fechas'!$A$2,"Día actual","Día anterior")</f>
        <v>Día anterior</v>
      </c>
      <c r="C165" t="s">
        <v>8</v>
      </c>
      <c r="D165" t="s">
        <v>10</v>
      </c>
      <c r="E165" t="s">
        <v>211</v>
      </c>
      <c r="F165" t="s">
        <v>49</v>
      </c>
      <c r="G165" t="s">
        <v>153</v>
      </c>
      <c r="H165" t="s">
        <v>11</v>
      </c>
      <c r="I165" t="s">
        <v>7</v>
      </c>
      <c r="J165" t="s">
        <v>63</v>
      </c>
      <c r="K165" t="s">
        <v>14</v>
      </c>
      <c r="L165" t="s">
        <v>64</v>
      </c>
      <c r="M165">
        <v>1</v>
      </c>
    </row>
    <row r="166" spans="1:13" x14ac:dyDescent="0.25">
      <c r="A166" s="1">
        <v>46142</v>
      </c>
      <c r="B166" s="1" t="str">
        <f ca="1">IF(Información1[[#This Row],[Fecha]]='Ajuste de fechas'!$A$2,"Día actual","Día anterior")</f>
        <v>Día anterior</v>
      </c>
      <c r="C166" t="s">
        <v>34</v>
      </c>
      <c r="D166" t="s">
        <v>36</v>
      </c>
      <c r="E166" t="s">
        <v>212</v>
      </c>
      <c r="F166" t="s">
        <v>19</v>
      </c>
      <c r="G166" t="s">
        <v>213</v>
      </c>
      <c r="H166" t="s">
        <v>11</v>
      </c>
      <c r="I166" t="s">
        <v>7</v>
      </c>
      <c r="J166" t="s">
        <v>67</v>
      </c>
      <c r="K166" t="s">
        <v>55</v>
      </c>
      <c r="L166" t="s">
        <v>69</v>
      </c>
      <c r="M166">
        <v>1</v>
      </c>
    </row>
    <row r="167" spans="1:13" x14ac:dyDescent="0.25">
      <c r="A167" s="1">
        <v>46142</v>
      </c>
      <c r="B167" s="1" t="str">
        <f ca="1">IF(Información1[[#This Row],[Fecha]]='Ajuste de fechas'!$A$2,"Día actual","Día anterior")</f>
        <v>Día anterior</v>
      </c>
      <c r="C167" t="s">
        <v>90</v>
      </c>
      <c r="D167" t="s">
        <v>196</v>
      </c>
      <c r="E167" t="s">
        <v>156</v>
      </c>
      <c r="F167" t="s">
        <v>15</v>
      </c>
      <c r="G167" t="s">
        <v>157</v>
      </c>
      <c r="H167" t="s">
        <v>11</v>
      </c>
      <c r="I167" t="s">
        <v>7</v>
      </c>
      <c r="J167" t="s">
        <v>63</v>
      </c>
      <c r="K167" t="s">
        <v>198</v>
      </c>
      <c r="L167" t="s">
        <v>66</v>
      </c>
      <c r="M167">
        <v>1</v>
      </c>
    </row>
    <row r="168" spans="1:13" x14ac:dyDescent="0.25">
      <c r="A168" s="1">
        <v>46142</v>
      </c>
      <c r="B168" s="1" t="str">
        <f ca="1">IF(Información1[[#This Row],[Fecha]]='Ajuste de fechas'!$A$2,"Día actual","Día anterior")</f>
        <v>Día anterior</v>
      </c>
      <c r="C168" t="s">
        <v>34</v>
      </c>
      <c r="D168" t="s">
        <v>37</v>
      </c>
      <c r="E168" t="s">
        <v>214</v>
      </c>
      <c r="F168" t="s">
        <v>23</v>
      </c>
      <c r="G168" t="s">
        <v>215</v>
      </c>
      <c r="H168" t="s">
        <v>11</v>
      </c>
      <c r="I168" t="s">
        <v>27</v>
      </c>
      <c r="J168" t="s">
        <v>68</v>
      </c>
      <c r="K168" t="s">
        <v>35</v>
      </c>
      <c r="L168" t="s">
        <v>64</v>
      </c>
      <c r="M168">
        <v>1</v>
      </c>
    </row>
    <row r="169" spans="1:13" x14ac:dyDescent="0.25">
      <c r="A169" s="1">
        <v>46142</v>
      </c>
      <c r="B169" s="1" t="str">
        <f ca="1">IF(Información1[[#This Row],[Fecha]]='Ajuste de fechas'!$A$2,"Día actual","Día anterior")</f>
        <v>Día anterior</v>
      </c>
      <c r="C169" t="s">
        <v>90</v>
      </c>
      <c r="D169" t="s">
        <v>196</v>
      </c>
      <c r="E169" t="s">
        <v>216</v>
      </c>
      <c r="F169" t="s">
        <v>99</v>
      </c>
      <c r="G169" t="s">
        <v>159</v>
      </c>
      <c r="H169" t="s">
        <v>11</v>
      </c>
      <c r="I169" t="s">
        <v>7</v>
      </c>
      <c r="J169" t="s">
        <v>63</v>
      </c>
      <c r="K169" t="s">
        <v>198</v>
      </c>
      <c r="L169" t="s">
        <v>66</v>
      </c>
      <c r="M169">
        <v>1</v>
      </c>
    </row>
    <row r="170" spans="1:13" x14ac:dyDescent="0.25">
      <c r="A170" s="1">
        <v>46142</v>
      </c>
      <c r="B170" s="1" t="str">
        <f ca="1">IF(Información1[[#This Row],[Fecha]]='Ajuste de fechas'!$A$2,"Día actual","Día anterior")</f>
        <v>Día anterior</v>
      </c>
      <c r="C170" t="s">
        <v>8</v>
      </c>
      <c r="D170" t="s">
        <v>10</v>
      </c>
      <c r="E170" t="s">
        <v>217</v>
      </c>
      <c r="F170" t="s">
        <v>22</v>
      </c>
      <c r="G170" t="s">
        <v>218</v>
      </c>
      <c r="H170" t="s">
        <v>11</v>
      </c>
      <c r="I170" t="s">
        <v>7</v>
      </c>
      <c r="J170" t="s">
        <v>26</v>
      </c>
      <c r="K170" t="s">
        <v>14</v>
      </c>
      <c r="L170" t="s">
        <v>69</v>
      </c>
      <c r="M170">
        <v>1</v>
      </c>
    </row>
    <row r="171" spans="1:13" x14ac:dyDescent="0.25">
      <c r="A171" s="1">
        <v>46142</v>
      </c>
      <c r="B171" s="1" t="str">
        <f ca="1">IF(Información1[[#This Row],[Fecha]]='Ajuste de fechas'!$A$2,"Día actual","Día anterior")</f>
        <v>Día anterior</v>
      </c>
      <c r="C171" t="s">
        <v>8</v>
      </c>
      <c r="D171" t="s">
        <v>10</v>
      </c>
      <c r="E171" t="s">
        <v>219</v>
      </c>
      <c r="F171" t="s">
        <v>19</v>
      </c>
      <c r="G171" t="s">
        <v>220</v>
      </c>
      <c r="H171" t="s">
        <v>11</v>
      </c>
      <c r="I171" t="s">
        <v>7</v>
      </c>
      <c r="J171" t="s">
        <v>67</v>
      </c>
      <c r="K171" t="s">
        <v>14</v>
      </c>
      <c r="L171" t="s">
        <v>64</v>
      </c>
      <c r="M171">
        <v>1</v>
      </c>
    </row>
    <row r="172" spans="1:13" x14ac:dyDescent="0.25">
      <c r="A172" s="1">
        <v>46142</v>
      </c>
      <c r="B172" s="1" t="str">
        <f ca="1">IF(Información1[[#This Row],[Fecha]]='Ajuste de fechas'!$A$2,"Día actual","Día anterior")</f>
        <v>Día anterior</v>
      </c>
      <c r="C172" t="s">
        <v>90</v>
      </c>
      <c r="D172" t="s">
        <v>196</v>
      </c>
      <c r="E172" t="s">
        <v>259</v>
      </c>
      <c r="F172" t="s">
        <v>96</v>
      </c>
      <c r="G172" t="s">
        <v>260</v>
      </c>
      <c r="H172" t="s">
        <v>11</v>
      </c>
      <c r="I172" t="s">
        <v>7</v>
      </c>
      <c r="J172" t="s">
        <v>63</v>
      </c>
      <c r="K172" t="s">
        <v>261</v>
      </c>
      <c r="L172" t="s">
        <v>66</v>
      </c>
      <c r="M172">
        <v>1</v>
      </c>
    </row>
    <row r="173" spans="1:13" x14ac:dyDescent="0.25">
      <c r="A173" s="1">
        <v>46142</v>
      </c>
      <c r="B173" s="1" t="str">
        <f ca="1">IF(Información1[[#This Row],[Fecha]]='Ajuste de fechas'!$A$2,"Día actual","Día anterior")</f>
        <v>Día anterior</v>
      </c>
      <c r="C173" t="s">
        <v>90</v>
      </c>
      <c r="D173" t="s">
        <v>196</v>
      </c>
      <c r="E173" t="s">
        <v>262</v>
      </c>
      <c r="F173" t="s">
        <v>84</v>
      </c>
      <c r="G173" t="s">
        <v>172</v>
      </c>
      <c r="H173" t="s">
        <v>11</v>
      </c>
      <c r="I173" t="s">
        <v>7</v>
      </c>
      <c r="J173" t="s">
        <v>63</v>
      </c>
      <c r="K173" t="s">
        <v>261</v>
      </c>
      <c r="L173" t="s">
        <v>66</v>
      </c>
      <c r="M173">
        <v>1</v>
      </c>
    </row>
    <row r="174" spans="1:13" x14ac:dyDescent="0.25">
      <c r="A174" s="1">
        <v>46142</v>
      </c>
      <c r="B174" s="1" t="str">
        <f ca="1">IF(Información1[[#This Row],[Fecha]]='Ajuste de fechas'!$A$2,"Día actual","Día anterior")</f>
        <v>Día anterior</v>
      </c>
      <c r="C174" t="s">
        <v>90</v>
      </c>
      <c r="D174" t="s">
        <v>196</v>
      </c>
      <c r="E174" t="s">
        <v>194</v>
      </c>
      <c r="F174" t="s">
        <v>15</v>
      </c>
      <c r="G174" t="s">
        <v>98</v>
      </c>
      <c r="H174" t="s">
        <v>11</v>
      </c>
      <c r="I174" t="s">
        <v>7</v>
      </c>
      <c r="J174" t="s">
        <v>63</v>
      </c>
      <c r="K174" t="s">
        <v>261</v>
      </c>
      <c r="L174" t="s">
        <v>66</v>
      </c>
      <c r="M174">
        <v>1</v>
      </c>
    </row>
    <row r="175" spans="1:13" x14ac:dyDescent="0.25">
      <c r="A175" s="1">
        <v>46142</v>
      </c>
      <c r="B175" s="1" t="str">
        <f ca="1">IF(Información1[[#This Row],[Fecha]]='Ajuste de fechas'!$A$2,"Día actual","Día anterior")</f>
        <v>Día anterior</v>
      </c>
      <c r="C175" t="s">
        <v>38</v>
      </c>
      <c r="D175" t="s">
        <v>40</v>
      </c>
      <c r="E175" t="s">
        <v>294</v>
      </c>
      <c r="F175" t="s">
        <v>21</v>
      </c>
      <c r="G175" t="s">
        <v>102</v>
      </c>
      <c r="H175" t="s">
        <v>41</v>
      </c>
      <c r="I175" t="s">
        <v>7</v>
      </c>
      <c r="J175" t="s">
        <v>63</v>
      </c>
      <c r="K175" t="s">
        <v>39</v>
      </c>
      <c r="L175" t="s">
        <v>64</v>
      </c>
      <c r="M175">
        <v>1</v>
      </c>
    </row>
    <row r="176" spans="1:13" x14ac:dyDescent="0.25">
      <c r="A176" s="1">
        <v>46142</v>
      </c>
      <c r="B176" s="1" t="str">
        <f ca="1">IF(Información1[[#This Row],[Fecha]]='Ajuste de fechas'!$A$2,"Día actual","Día anterior")</f>
        <v>Día anterior</v>
      </c>
      <c r="C176" t="s">
        <v>38</v>
      </c>
      <c r="D176" t="s">
        <v>40</v>
      </c>
      <c r="E176" t="s">
        <v>295</v>
      </c>
      <c r="F176" t="s">
        <v>24</v>
      </c>
      <c r="G176" t="s">
        <v>97</v>
      </c>
      <c r="H176" t="s">
        <v>41</v>
      </c>
      <c r="I176" t="s">
        <v>7</v>
      </c>
      <c r="J176" t="s">
        <v>63</v>
      </c>
      <c r="K176" t="s">
        <v>39</v>
      </c>
      <c r="L176" t="s">
        <v>66</v>
      </c>
      <c r="M176">
        <v>1</v>
      </c>
    </row>
    <row r="177" spans="1:13" x14ac:dyDescent="0.25">
      <c r="A177" s="1">
        <v>46142</v>
      </c>
      <c r="B177" s="1" t="str">
        <f ca="1">IF(Información1[[#This Row],[Fecha]]='Ajuste de fechas'!$A$2,"Día actual","Día anterior")</f>
        <v>Día anterior</v>
      </c>
      <c r="C177" t="s">
        <v>38</v>
      </c>
      <c r="D177" t="s">
        <v>40</v>
      </c>
      <c r="E177" t="s">
        <v>108</v>
      </c>
      <c r="F177" t="s">
        <v>21</v>
      </c>
      <c r="G177" t="s">
        <v>91</v>
      </c>
      <c r="H177" t="s">
        <v>41</v>
      </c>
      <c r="I177" t="s">
        <v>7</v>
      </c>
      <c r="J177" t="s">
        <v>63</v>
      </c>
      <c r="K177" t="s">
        <v>39</v>
      </c>
      <c r="L177" t="s">
        <v>66</v>
      </c>
      <c r="M177">
        <v>1</v>
      </c>
    </row>
    <row r="178" spans="1:13" x14ac:dyDescent="0.25">
      <c r="A178" s="1">
        <v>46142</v>
      </c>
      <c r="B178" s="1" t="str">
        <f ca="1">IF(Información1[[#This Row],[Fecha]]='Ajuste de fechas'!$A$2,"Día actual","Día anterior")</f>
        <v>Día anterior</v>
      </c>
      <c r="C178" t="s">
        <v>38</v>
      </c>
      <c r="D178" t="s">
        <v>40</v>
      </c>
      <c r="E178" t="s">
        <v>178</v>
      </c>
      <c r="F178" t="s">
        <v>179</v>
      </c>
      <c r="G178" t="s">
        <v>180</v>
      </c>
      <c r="H178" t="s">
        <v>41</v>
      </c>
      <c r="I178" t="s">
        <v>7</v>
      </c>
      <c r="J178" t="s">
        <v>63</v>
      </c>
      <c r="K178" t="s">
        <v>39</v>
      </c>
      <c r="L178" t="s">
        <v>66</v>
      </c>
      <c r="M178">
        <v>1</v>
      </c>
    </row>
    <row r="179" spans="1:13" x14ac:dyDescent="0.25">
      <c r="A179" s="1">
        <v>46142</v>
      </c>
      <c r="B179" s="1" t="str">
        <f ca="1">IF(Información1[[#This Row],[Fecha]]='Ajuste de fechas'!$A$2,"Día actual","Día anterior")</f>
        <v>Día anterior</v>
      </c>
      <c r="C179" t="s">
        <v>38</v>
      </c>
      <c r="D179" t="s">
        <v>40</v>
      </c>
      <c r="E179" t="s">
        <v>296</v>
      </c>
      <c r="F179" t="s">
        <v>49</v>
      </c>
      <c r="G179" t="s">
        <v>153</v>
      </c>
      <c r="H179" t="s">
        <v>41</v>
      </c>
      <c r="I179" t="s">
        <v>7</v>
      </c>
      <c r="J179" t="s">
        <v>63</v>
      </c>
      <c r="K179" t="s">
        <v>39</v>
      </c>
      <c r="L179" t="s">
        <v>66</v>
      </c>
      <c r="M179">
        <v>1</v>
      </c>
    </row>
    <row r="180" spans="1:13" x14ac:dyDescent="0.25">
      <c r="A180" s="1">
        <v>46142</v>
      </c>
      <c r="B180" s="1" t="str">
        <f ca="1">IF(Información1[[#This Row],[Fecha]]='Ajuste de fechas'!$A$2,"Día actual","Día anterior")</f>
        <v>Día anterior</v>
      </c>
      <c r="C180" t="s">
        <v>38</v>
      </c>
      <c r="D180" t="s">
        <v>40</v>
      </c>
      <c r="E180" t="s">
        <v>297</v>
      </c>
      <c r="F180" t="s">
        <v>23</v>
      </c>
      <c r="G180" t="s">
        <v>152</v>
      </c>
      <c r="H180" t="s">
        <v>41</v>
      </c>
      <c r="I180" t="s">
        <v>27</v>
      </c>
      <c r="J180" t="s">
        <v>68</v>
      </c>
      <c r="K180" t="s">
        <v>298</v>
      </c>
      <c r="L180" t="s">
        <v>64</v>
      </c>
      <c r="M180">
        <v>1</v>
      </c>
    </row>
    <row r="181" spans="1:13" x14ac:dyDescent="0.25">
      <c r="A181" s="1">
        <v>46142</v>
      </c>
      <c r="B181" s="1" t="str">
        <f ca="1">IF(Información1[[#This Row],[Fecha]]='Ajuste de fechas'!$A$2,"Día actual","Día anterior")</f>
        <v>Día anterior</v>
      </c>
      <c r="C181" t="s">
        <v>38</v>
      </c>
      <c r="D181" t="s">
        <v>40</v>
      </c>
      <c r="E181" t="s">
        <v>299</v>
      </c>
      <c r="F181" t="s">
        <v>96</v>
      </c>
      <c r="G181" t="s">
        <v>260</v>
      </c>
      <c r="H181" t="s">
        <v>41</v>
      </c>
      <c r="I181" t="s">
        <v>7</v>
      </c>
      <c r="J181" t="s">
        <v>63</v>
      </c>
      <c r="K181" t="s">
        <v>39</v>
      </c>
      <c r="L181" t="s">
        <v>66</v>
      </c>
      <c r="M181">
        <v>1</v>
      </c>
    </row>
    <row r="182" spans="1:13" x14ac:dyDescent="0.25">
      <c r="A182" s="1">
        <v>46142</v>
      </c>
      <c r="B182" s="1" t="str">
        <f ca="1">IF(Información1[[#This Row],[Fecha]]='Ajuste de fechas'!$A$2,"Día actual","Día anterior")</f>
        <v>Día anterior</v>
      </c>
      <c r="C182" t="s">
        <v>38</v>
      </c>
      <c r="D182" t="s">
        <v>40</v>
      </c>
      <c r="E182" t="s">
        <v>300</v>
      </c>
      <c r="F182" t="s">
        <v>49</v>
      </c>
      <c r="G182" t="s">
        <v>151</v>
      </c>
      <c r="H182" t="s">
        <v>41</v>
      </c>
      <c r="I182" t="s">
        <v>7</v>
      </c>
      <c r="J182" t="s">
        <v>63</v>
      </c>
      <c r="K182" t="s">
        <v>39</v>
      </c>
      <c r="L182" t="s">
        <v>66</v>
      </c>
      <c r="M182">
        <v>1</v>
      </c>
    </row>
    <row r="183" spans="1:13" x14ac:dyDescent="0.25">
      <c r="A183" s="1">
        <v>46142</v>
      </c>
      <c r="B183" s="1" t="str">
        <f ca="1">IF(Información1[[#This Row],[Fecha]]='Ajuste de fechas'!$A$2,"Día actual","Día anterior")</f>
        <v>Día anterior</v>
      </c>
      <c r="C183" t="s">
        <v>38</v>
      </c>
      <c r="D183" t="s">
        <v>40</v>
      </c>
      <c r="E183" t="s">
        <v>176</v>
      </c>
      <c r="F183" t="s">
        <v>80</v>
      </c>
      <c r="G183" t="s">
        <v>177</v>
      </c>
      <c r="H183" t="s">
        <v>41</v>
      </c>
      <c r="I183" t="s">
        <v>7</v>
      </c>
      <c r="J183" t="s">
        <v>63</v>
      </c>
      <c r="K183" t="s">
        <v>39</v>
      </c>
      <c r="L183" t="s">
        <v>66</v>
      </c>
      <c r="M183">
        <v>1</v>
      </c>
    </row>
    <row r="184" spans="1:13" x14ac:dyDescent="0.25">
      <c r="A184" s="1">
        <v>46142</v>
      </c>
      <c r="B184" s="1" t="str">
        <f ca="1">IF(Información1[[#This Row],[Fecha]]='Ajuste de fechas'!$A$2,"Día actual","Día anterior")</f>
        <v>Día anterior</v>
      </c>
      <c r="C184" t="s">
        <v>38</v>
      </c>
      <c r="D184" t="s">
        <v>40</v>
      </c>
      <c r="E184" t="s">
        <v>301</v>
      </c>
      <c r="F184" t="s">
        <v>28</v>
      </c>
      <c r="G184" t="s">
        <v>75</v>
      </c>
      <c r="H184" t="s">
        <v>41</v>
      </c>
      <c r="I184" t="s">
        <v>7</v>
      </c>
      <c r="J184" t="s">
        <v>63</v>
      </c>
      <c r="K184" t="s">
        <v>39</v>
      </c>
      <c r="L184" t="s">
        <v>64</v>
      </c>
      <c r="M184">
        <v>1</v>
      </c>
    </row>
    <row r="185" spans="1:13" x14ac:dyDescent="0.25">
      <c r="A185" s="1">
        <v>46142</v>
      </c>
      <c r="B185" s="1" t="str">
        <f ca="1">IF(Información1[[#This Row],[Fecha]]='Ajuste de fechas'!$A$2,"Día actual","Día anterior")</f>
        <v>Día anterior</v>
      </c>
      <c r="C185" t="s">
        <v>38</v>
      </c>
      <c r="D185" t="s">
        <v>40</v>
      </c>
      <c r="E185" t="s">
        <v>302</v>
      </c>
      <c r="F185" t="s">
        <v>112</v>
      </c>
      <c r="G185" t="s">
        <v>105</v>
      </c>
      <c r="H185" t="s">
        <v>41</v>
      </c>
      <c r="I185" t="s">
        <v>7</v>
      </c>
      <c r="J185" t="s">
        <v>63</v>
      </c>
      <c r="K185" t="s">
        <v>39</v>
      </c>
      <c r="L185" t="s">
        <v>66</v>
      </c>
      <c r="M185">
        <v>1</v>
      </c>
    </row>
    <row r="186" spans="1:13" x14ac:dyDescent="0.25">
      <c r="A186" s="1">
        <v>46142</v>
      </c>
      <c r="B186" s="1" t="str">
        <f ca="1">IF(Información1[[#This Row],[Fecha]]='Ajuste de fechas'!$A$2,"Día actual","Día anterior")</f>
        <v>Día anterior</v>
      </c>
      <c r="C186" t="s">
        <v>38</v>
      </c>
      <c r="D186" t="s">
        <v>40</v>
      </c>
      <c r="E186" t="s">
        <v>171</v>
      </c>
      <c r="F186" t="s">
        <v>84</v>
      </c>
      <c r="G186" t="s">
        <v>172</v>
      </c>
      <c r="H186" t="s">
        <v>41</v>
      </c>
      <c r="I186" t="s">
        <v>7</v>
      </c>
      <c r="J186" t="s">
        <v>63</v>
      </c>
      <c r="K186" t="s">
        <v>39</v>
      </c>
      <c r="L186" t="s">
        <v>66</v>
      </c>
      <c r="M186">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71</v>
      </c>
      <c r="B1" t="s">
        <v>72</v>
      </c>
    </row>
    <row r="2" spans="1:2" x14ac:dyDescent="0.25">
      <c r="A2" s="2">
        <f ca="1">TODAY()</f>
        <v>46146</v>
      </c>
      <c r="B2" s="2">
        <f ca="1">A2-1</f>
        <v>46145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2026-05-05T00:33:48Z</dcterms:modified>
</cp:coreProperties>
</file>