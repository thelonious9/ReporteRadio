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202300"/>
  <mc:AlternateContent xmlns:mc="http://schemas.openxmlformats.org/markup-compatibility/2006">
    <mc:Choice Requires="x15">
      <x15ac:absPath xmlns:x15ac="http://schemas.microsoft.com/office/spreadsheetml/2010/11/ac" url="C:\Users\vivie\Repositorios de capturas y reportes\ReporteRadio\"/>
    </mc:Choice>
  </mc:AlternateContent>
  <xr:revisionPtr revIDLastSave="0" documentId="13_ncr:1_{E1AF2E22-082F-4DA9-A87A-7A40978B8162}"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Radio!$A$1:$M$132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67" i="2"/>
  <c r="B103" i="2"/>
  <c r="B106" i="2"/>
  <c r="B108" i="2"/>
  <c r="B111" i="2"/>
  <c r="B114" i="2"/>
  <c r="B117" i="2"/>
  <c r="B120" i="2"/>
  <c r="B123" i="2"/>
  <c r="B126" i="2"/>
  <c r="B129" i="2"/>
  <c r="B132"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101" i="2"/>
  <c r="B104" i="2"/>
  <c r="B105" i="2"/>
  <c r="B109" i="2"/>
  <c r="B112" i="2"/>
  <c r="B115" i="2"/>
  <c r="B118" i="2"/>
  <c r="B121" i="2"/>
  <c r="B124" i="2"/>
  <c r="B127" i="2"/>
  <c r="B130"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2" i="2"/>
  <c r="B107" i="2"/>
  <c r="B110" i="2"/>
  <c r="B113" i="2"/>
  <c r="B116" i="2"/>
  <c r="B119" i="2"/>
  <c r="B122" i="2"/>
  <c r="B125" i="2"/>
  <c r="B128" i="2"/>
  <c r="B131"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<sst xmlns="http://schemas.openxmlformats.org/spreadsheetml/2006/main" count="1325" uniqueCount="280">
  <si>
    <t>Fecha</t>
  </si>
  <si>
    <t>Titular</t>
  </si>
  <si>
    <t>Dependencia</t>
  </si>
  <si>
    <t>Canal</t>
  </si>
  <si>
    <t>Tema</t>
  </si>
  <si>
    <t>Estatus</t>
  </si>
  <si>
    <t>Sipdus</t>
  </si>
  <si>
    <t>Informativa</t>
  </si>
  <si>
    <t>Acir 92.5 FM</t>
  </si>
  <si>
    <t>Panorama Informativo Pachuca</t>
  </si>
  <si>
    <t>Positiva</t>
  </si>
  <si>
    <t>Eulalio Larrieta</t>
  </si>
  <si>
    <t>Semot</t>
  </si>
  <si>
    <t>SEPH</t>
  </si>
  <si>
    <t>Negativa</t>
  </si>
  <si>
    <t>Día</t>
  </si>
  <si>
    <t>Radiodifusora</t>
  </si>
  <si>
    <t>Programa</t>
  </si>
  <si>
    <t>Clasificación</t>
  </si>
  <si>
    <t>Autor</t>
  </si>
  <si>
    <t>Género</t>
  </si>
  <si>
    <t>Gobierno del estado</t>
  </si>
  <si>
    <t>Noticia</t>
  </si>
  <si>
    <t>Opinión</t>
  </si>
  <si>
    <t>Boletín</t>
  </si>
  <si>
    <t>Recuento</t>
  </si>
  <si>
    <t>Día actual</t>
  </si>
  <si>
    <t>Día anterior</t>
  </si>
  <si>
    <t>Entrevista</t>
  </si>
  <si>
    <t>Segobh</t>
  </si>
  <si>
    <t>SSH</t>
  </si>
  <si>
    <t>RADIO LOCAL</t>
  </si>
  <si>
    <t>NQ 90.1 FM</t>
  </si>
  <si>
    <t>Enlace Hidalgo1</t>
  </si>
  <si>
    <t>Jesús Riveros</t>
  </si>
  <si>
    <t>Juan Carlos Santamaría</t>
  </si>
  <si>
    <t>PGJEH</t>
  </si>
  <si>
    <t>Enlace Hidalgo2</t>
  </si>
  <si>
    <t>Radioescucha</t>
  </si>
  <si>
    <t>Ke Buena 106.7 FM</t>
  </si>
  <si>
    <t>Noticias 106.7</t>
  </si>
  <si>
    <t>David Cárdenas</t>
  </si>
  <si>
    <t>Canal del Pueblo</t>
  </si>
  <si>
    <t>Vocales Radio</t>
  </si>
  <si>
    <t>TV LOCAL</t>
  </si>
  <si>
    <t>Aldo Falcón</t>
  </si>
  <si>
    <t>Andrés Torres</t>
  </si>
  <si>
    <t>Ultra 102.9 FM</t>
  </si>
  <si>
    <t>Ultra Noticias1</t>
  </si>
  <si>
    <t>Daniel Martínez</t>
  </si>
  <si>
    <t>Radio Lobo 96.7 FM</t>
  </si>
  <si>
    <t>Enlace Noticias</t>
  </si>
  <si>
    <t>Gina Lorenzo</t>
  </si>
  <si>
    <t>Enfoque Regional Meridiano</t>
  </si>
  <si>
    <t>Jesús González</t>
  </si>
  <si>
    <t>Abasto de agua</t>
  </si>
  <si>
    <t>Atención Ciudadana</t>
  </si>
  <si>
    <t>Eulalio Larrieta agradece Paola García y Lic. Sarahi Pineda, por estar atentas a los mensajes de la ciudadanía y por atenderlos.</t>
  </si>
  <si>
    <t>Localización de cuerpo</t>
  </si>
  <si>
    <t>SSPH</t>
  </si>
  <si>
    <t>Súper Stéreo 100.5 FM</t>
  </si>
  <si>
    <t>Eulalio Larrieta agradece a Cristian Yahir Castañeda supervisor de la región Pachuca quien nos va atender los reportes que correspondan a la SEMOT</t>
  </si>
  <si>
    <t>Radiodifusoras</t>
  </si>
  <si>
    <t>Comparecencias</t>
  </si>
  <si>
    <t>Cultura</t>
  </si>
  <si>
    <t>Contraloría</t>
  </si>
  <si>
    <t>Eulalio Larrieta agradece a Jair Martínez de la SEGOBH, porque esta al pendiente de lo que se necesite y los reportes.</t>
  </si>
  <si>
    <t>Saderh</t>
  </si>
  <si>
    <t>Planeación</t>
  </si>
  <si>
    <t>Enfoque Regional Matutino</t>
  </si>
  <si>
    <t>Christian García</t>
  </si>
  <si>
    <t>Vacunación</t>
  </si>
  <si>
    <t>Entrega de infraestructura escolar</t>
  </si>
  <si>
    <t>Izza Hernández</t>
  </si>
  <si>
    <t>Exigen localización de persona</t>
  </si>
  <si>
    <t>Mesas de acercamiento</t>
  </si>
  <si>
    <t>Fuga De Agua</t>
  </si>
  <si>
    <t>Captación De Agua</t>
  </si>
  <si>
    <t>Panorama Informativo</t>
  </si>
  <si>
    <t>Rehabilitación Vial</t>
  </si>
  <si>
    <t>Un trabajador de la construcción fue localizado sin vida al interior de una vivienda del fraccionamiento Fuentes de Tizayuca luego de que presuntamente sufriera un accidente mientras realizaba sus labores. De acuerdo con los primeros reportes, la propietaria del inmueble encontró al albañil y solicitó apoyo a través del número de emergencias 911. Al lugar acudieron paramédicos y elementos de la policía municipal tras revisar al trabajador los servicios de emergencia confirmados. La zona fue acordonada para preservar el lugar, en tanto que personal de la Procuraduría General de Justicia del Estado de Hidalgo inició el levantamiento de pruebas y testimoniales. El personal del Servicio Médico Forense realizó el levantamiento del cuerpo y lo trasladó al anfiteatro para practicarle la necropsia de ley. Las autoridades ministeriales investigan las circunstancias del fallecimiento para determinar si se trató de un accidente laboral o si existen otros factores relacionados con la muerte.</t>
  </si>
  <si>
    <t>Jessenia Romero</t>
  </si>
  <si>
    <t>Un hombre de aproximadamente 45 años de edad, hasta el momento no identificado, fue localizado sin vida la tarde de este martes en el interior de una habitación que rentaba sobre la avenida Hidalgo, en la zona centro de la cabecera municipal de Epazoyucan. De acuerdo con los primeros reportes de las autoridades locales, la víctima no había sido vista por sus vecinos desde el pasado fin de semana. Fue a partir de que los vecinos percibieron un fuerte olor a gas, que los vecinos realizaron reporta a los cuerpos de seguridad pública y de atención a emergencias. Al sitio arribaron elementos de la Policía Municipal, quienes tras ingresar a la vivienda confirmaron el hallazgo del cuerpo y procedieron a resguardar y acordonar el área para preservar la escena. Personal de la Procuraduría General de Justicia del Estado de Hidalgo inició las investigaciones respectivas al caso, para establecer lo ocurrido y con ello señalar las responsabilidades legales.</t>
  </si>
  <si>
    <t>SEPH coordina estrategia de vacunación en escuelas</t>
  </si>
  <si>
    <t>Señala el contralor del estado de Hidalgo, Álvaro Bardales Ramírez, que hasta el momento se han presentado 97 denuncias penales en total por qué se le conoce a la "Estafa Siniestra" en el estado de Hidalgo por temas relacionados con presunta corrupción. Él puntualizó que se han presentado 42 denuncias hacia proveedores y exservidores públicos de 7 dependencias, 3 organismos y 10 municipios. El monto del presunto daño asciende a 2,400 millones de pesos, de los cuales se han recuperado 500 millones. A ellos se agrega que 228 millones de pesos corresponden a recursos en 13 municipios, mientras que otros 50 millones de pesos provienen de diversos organismos. Además de que 5 inmuebles fueron destinados a programas sociales con un valor de 201 millones de pesos. El funcionario estatal señaló que algunas de las denuncias presentadas ante la Procuraduría Estatal de Justicia han derivado en la detención de presidentes municipales por presuntos actos de corrupción. Bardales Ramírez destacó que se han incorporado al patrimonio del estado 435 inmuebles recuperados con un valor superior a 1,267 millones de pesos, que se han destinado a beneficiar a la ciudadanía mediante espacios sociales, entre ellos la casa de los adolescentes, centros culturales, parques y jardines, así como la nueva sede del Tribunal de Justicia Administrativa del Estado. Por otro lado, el contralor afirmó que Hidalgo ocupa el primer lugar en denuncias penales por hechos de corrupción y atribuyó ese posicionamiento al incremento de las denuncias presentadas.</t>
  </si>
  <si>
    <t>Con los nombres de sus seres queridos desaparecidos como consigna, familiares de personas no localizadas marcharon este miércoles en Pachuca para exigir avances en las labores de búsqueda y localización. La movilización, encabezada por el colectivo Madres Buscadoras, partió de Plaza Juárez y avanzó hacia las instalaciones de la Comisión de Búsqueda de Personas del Estado de Hidalgo (CBPEH), donde las familias expusieron las dificultades que han enfrentado durante los procesos de búsqueda. “Carlos, escucha, tu madre está en la lucha”, “Luis, escucha, tu padre está en la lucha” y otras consignas fueron repetidas durante el recorrido, mientras madres, padres, hermanos y demás familiares recordaban los nombres de las personas cuyo paradero continúa sin conocerse. Durante la manifestación, algunas familias compartieron experiencias relacionadas con las jornadas de búsqueda realizadas en distintos puntos del estado y señalaron que existen zonas que requieren mayor atención, particularmente aquellas de difícil acceso. Entre las participantes estuvo la madre de Carlos Gabriel Elizalde Gutiérrez, desaparecido el 11 de marzo de 2026 en Zempoala, quien señaló que continúa participando en las labores para localizarlo y que hasta el momento no cuenta con información sobre su paradero. La mujer también cuestionó la efectividad reportada por la Comisión de Búsqueda y señaló que, desde su perspectiva, existen deficiencias y lentitud en algunas jornadas. Afirmó que las familias han proporcionado información sobre posibles puntos de interés y consideró necesario mantener las labores de campo. Respecto a las búsquedas realizadas en zonas de minas de Zempoala, explicó que en uno de los puntos fueron localizados nueve cuerpos que, según la información recibida por las familias, correspondían a restos arqueológicos antiguos. Las familias también destacaron la participación de la Procuraduría General de Justicia del Estado de Hidalgo en las inspecciones de algunos terrenos, particularmente en la recuperación y análisis de posibles restos e indicios. Durante la marcha, los familiares reiteraron que continuarán participando en las labores de búsqueda y solicitando que se atiendan los distintos casos de personas desaparecidas en Hidalgo.</t>
  </si>
  <si>
    <t>Búsqueda de personas</t>
  </si>
  <si>
    <t>El secretario de Educación Pública de nuestra entidad, Natividad Castrejón, no para, prácticamente recorre todo el estado constantemente visitando las escuelas, desde nivel preescolar hasta las superiores. Es de destacar el interés que hay por atender las demandas de las regiones en cuanto al tema educativo y pues es una constante la presencia del secretario en todas las regiones, en todas las escuelas de del estado.</t>
  </si>
  <si>
    <t>Labor destacada</t>
  </si>
  <si>
    <t>Natividad Castrejón entregó nuevos espacios educativos en beneficio de estudiantes de Alfajayucan</t>
  </si>
  <si>
    <t>Rocket Revolution acerca la industria aeroespacial a Hidalgo</t>
  </si>
  <si>
    <t>Impulso a ciencia y tecnología</t>
  </si>
  <si>
    <t>Primera sentencia condenatoria por violencia vicaria</t>
  </si>
  <si>
    <t>Hoy comparece Napoleón González, secretario de Agricultura y Salvador Cruz Neri, el secretario de Seguridad Pública</t>
  </si>
  <si>
    <t>Hoy comparece Napoleón González, secretario de Agricultura y Salvador Cruz Neri, el secretario de Seguridad Pública.</t>
  </si>
  <si>
    <t>Ayer tuve una reunión con el secretario del despacho del gobernador Julio Menchaca con don Alejandro Velázquez y estuvimos viendo el tema de resolver lo más pronto posible, junto con el secretario de gobierno Guillermo Olivares Reyna, la situación que tenemos en Jacala de Ledezma, donde casi ya llevamos un mes fuera del aire. Ayer tuvimos una reunión ex profeso para ver estos temas. Gracias de verdad por el apoyo, muy pronto vamos a estar nuevamente al aire allá en Jacala en el 91.1 de frecuencia modulada.</t>
  </si>
  <si>
    <t>La Secretaría de Salud Pública inició la campaña de vacunación invernal con dosis gratuitas contra el COVID-19 y la influenza estacional en todo el estado. Las vacunas son gratis, hay que ponerse la vacuna del COVID cada año, dos veces al año se recomienda la de influenza, por favor, primero niños, niñas menores de 5 años, es el sector de población uno de los más importantes para temas de salud, eh los adultos mayores, las personas que tienen enfermedades crónico-degenerativas.</t>
  </si>
  <si>
    <t>Locutor Jesús Riveros da salida a audio de radioescucha identificada como la doctora Leticia Guzmán quien reportó una grave fuga de agua potable con más de un mes de antigüedad ubicada en el fraccionamiento Mineral del Oro, específicamente entre las calles Maestranza y Mineral Paraíso, cerca de la explanada al sur de Pachuca. Señaló que a pesar de haber interpuesto más de 14 denuncias ante la Comisión de Agua y Alcantarillado de Sistemas Intermunicipales (CAASIM), las autoridades no han acudido a solucionar el problema que desperdicia miles de litros diarios, por lo que solicitó la intervención urgente del organismo.</t>
  </si>
  <si>
    <t>Muy negativo</t>
  </si>
  <si>
    <t>Locutor Jesús Riveros da salida a audio de radioescucha que expresó su inconformidad sobre el costo de 3.4 millones de pesos destinado para la construcción de dos aulas equipadas con tecnología en un plantel escolar, cuestionando el destino de dicha inversión. En respuesta, Jesús Riveros explicó que se trata de espacios tipo laboratorios tecnológicos avanzados promovidos por la Secretaría de Educación Pública, los cuales justifican el monto debido a su alto nivel de equipamiento e innovación.</t>
  </si>
  <si>
    <t>Infraestructura escolar</t>
  </si>
  <si>
    <t>Durante su comparecencia ante el Congreso de Hidalgo, el secretario de Contraloría, Álvaro Bardales Ramírez, informó sobre los avances en la fiscalización de recursos y la consolidación del complejo Hidalgo Honesto. El funcionario destacó la recuperación de cerca de 500 millones de pesos por desvíos y la incorporación de 435 inmuebles al patrimonio público con un valor superior a los 1,267 millones de pesos. Asimismo, detalló las auditorías e investigaciones realizadas para combatir la corrupción y garantizar la correcta aplicación del gasto en beneficio de la ciudadanía.</t>
  </si>
  <si>
    <t>En Hidalgo se logró la primera sentencia condenatoria por violencia vicaria tras el caso de una mujer de Cuautepec que expuso su situación en las mesas de acercamiento de Bienestar y Paz. El seguimiento institucional de la Secretaría de Gobernación y las instancias competentes permitió obtener este fallo histórico que busca causar daño a la madre a través de los hijos. En el proceso destacó la intervención del Frente Nacional Contra la Violencia Vicaria y la actuación con perspectiva de género por parte del Ministerio Público y el juez.</t>
  </si>
  <si>
    <t>Con 21 funciones llegará Circuito Nacional de Artes Escénicas a Hidalgo</t>
  </si>
  <si>
    <t>Evento Cultural</t>
  </si>
  <si>
    <t>Complejo Hidalgo Honesto fortalece la vigilancia del dinero público y la calidad de las obras</t>
  </si>
  <si>
    <t>SSH establece la ruta para fortalecer la atención segura y de calidad en 2027</t>
  </si>
  <si>
    <t>Coordinación Interinstitucional</t>
  </si>
  <si>
    <t>La Secretaría de Educación Pública de Hidalgo (SEPH), que encabeza Natividad Castrejón Valdez coordina una campaña de vacunación contra la influenza y COVID-19 en escuelas de educación básica, en colaboración con instituciones del sector salud, con el objetivo de proteger a niñas, niños y personal educativo.</t>
  </si>
  <si>
    <t>Por primera vez en Hidalgo, una persona fue sentenciada por violencia familiar en su modalidad vicaria, en agravio de una mujer de Cuautepec. El caso recibió seguimiento institucional luego de que la víctima expusiera su situación en las mesas de acercamiento de bienestar y paz. La Secretaría de Gobierno coordinó la atención con las instancias correspondientes. La resolución constituye un precedente para el Estado. El Frente Nacional contra Violencia Vicaria reconoció la actuación del Ministerio Público y del juez, así como la importancia de aplicar perspectiva de género para garantizar el acceso a la justicia. La Secretaría de Gobierno informó que continuará dando seguimiento a los casos planteados en estas mesas.</t>
  </si>
  <si>
    <t>Vía telefónica secretario de educación pública Natividad Castrejón Valdéz con temas de educación</t>
  </si>
  <si>
    <t>Impulso A La Educación</t>
  </si>
  <si>
    <t>Integrantes del Colectivo Madres Buscadoras de Hidalgo, se manifestaron en Plaza Juárez de Pachuca y posteriormente marcharon hacia la Comisión de Búsqueda de Personas de Hidalgo, para exigir avances en la localización de sus familiares, así lo refirió una de las madres buscadoras, quién desde el 24 de julio de 2025 se mantiene en la búsqueda de su hijo Cruz Giovanni Villegas Ruiz, de 31 años de edad.Giovanni desapareció en el municipio de Zempoala y de acuerdo con su mamá al encontrarse en compañía de otros amigos fue obligado a subir a un vehículo y desde entonces no ha sido localizado. Detalló además que su carpeta de investigación no ha presentado avances. «Vengo del colectivo de Madres Buscadoras de Hidalgo y pues yo busco este la ayuda para encontrar a mi hijo que desapareció el 24 de julio del 2025 en Santiago Tepeyahualco municipio de Zempoala.</t>
  </si>
  <si>
    <t>Hablando de comparecencias en el marco de la glosa del cuarto informe del gobernador Julio Menchaca Salazar, el secretario de la Contraloría Álvaro Bardales Ramírez destacó la consolidación del complejo Hidalgo honesto como una de las principales herramientas del estado para prevenir la corrupción,</t>
  </si>
  <si>
    <t>Otro tema que ha llamado la atención en Hidalgo es la prohibición de las corridas de toros, aquí en el estado sigue dando de qué hablar y durante la comparecencia de la secretaria de cultura Neyda Naranjo, el diputado Marco Antonio Mendoza Bustamante cuestionó a la funcionaria sobre este tema, el tauromachi es parte de la cultura hidalguense</t>
  </si>
  <si>
    <t>La actividad pecuaria de San Pedro Tlaquilpan contará con mayor disponibilidad de agua durante la temporada de estiaje, con la inauguración de una olla de captación, almacenamiento y aprovechamiento hídrico, cuya capacidad supera los 3.2 millones de litros.El titular de la Secretaría de Agricultura y Desarrollo Rural de Hidalgo (Saderh), Napoleón González Pérez, encabezó la entrega de esta infraestructura, construida con una inversión de más de 2 millones de pesos,</t>
  </si>
  <si>
    <t>Radioescucha dice: «Muy buenos días. En Panorama Informativo quiero hacer una denuncia por la falta de agua en la calle Arnulfo G. Farías, esquina con Magnolia. Ya llevamos tres días sin suministro de agua potable». Con mucho gusto, aquí la estamos pasando de una vez.</t>
  </si>
  <si>
    <t>Radioescucha 0825. Luz, ¿cómo está, señora Luz? Dice: Muy buenos días, Lalo. Nos tomó desprevenidos la falta de agua en la colonia Nueva Francisco I. Madero, ya que no se notificó por parte de CAASIM». ¡Ah, caray! Pues vamos a checarlo. «Que nos envíen pipas</t>
  </si>
  <si>
    <t>Sí, llama muchísimo la atención este dato que se está proporcionando, porque pues estamos hablando incluso de que sí ha habido aumento en el empleo informal, y pues incluso en las estadísticas que proporcionaban, un incremento del 1.7%. Entonces ahí hay un tema importante, ahí hay un punto que también se debe de revisar y pues lo que hemos estado platicando también, Daniel, que no solo es generar empleos, sino también que encuentren salarios dignos con prestaciones, porque pues esto también será indispensable. En con calidad laboral, no es únicamente los pesos y centavos, ¿eh?</t>
  </si>
  <si>
    <t>Sedeco</t>
  </si>
  <si>
    <t>Informalidad laboral</t>
  </si>
  <si>
    <t>La presencia de perros en situación de calle y la formación de jaurías representan una problemática que requiere atención tanto por el bienestar de los animales como por las situaciones de riesgo que pueden generarse para la población, señaló la maestra Luisa, presidenta del colectivo de protección animal Jauría de Balú. Explicó que en Tulancingo, Santiago Tulantepec y Cuautepec han identificado animales en condiciones precarias, muchos de ellos con sarna, heridas e infecciones, además de casos de tumor venéreo transmisible (TVT), enfermedad que puede propagarse entre los propios perros. La activista señaló que otro factor de preocupación es el comportamiento defensivo que pueden presentar algunos grupos de perros. Indicó que el trato poco empático hacia los animales puede provocar que reaccionen para protegerse, por lo que consideró necesario atender el problema desde una perspectiva de bienestar animal y prevención. Respecto a la coordinación con los gobiernos municipales, afirmó que hasta el momento ninguno de los tres ayuntamientos ha establecido un esquema de trabajo con el colectivo, situación que, dijo, dificulta la atención oportuna de denuncias relacionadas con maltrato animal. Añadió que actualmente también existe preocupación por la capacidad para brindar atención y resguardo a los animales en situación de calle, debido a que son pocas las personas y organizaciones que cuentan con las posibilidades para intervenir ante estos casos. Ante este panorama, consideró que una de las principales acciones para contener el crecimiento de las jaurías debe ser la esterilización, pero acompañada de una verdadera cultura de responsabilidad entre los propietarios de animales. “Esterilizar, esterilizar”, enfatizó, al señalar que ya no es suficiente aplicar campañas bajo el esquema de esterilizar y liberar, sino que se requiere una estrategia integral que contemple el cuidado y resguardo responsable de los animales.</t>
  </si>
  <si>
    <t>Ayuntamiento</t>
  </si>
  <si>
    <t>Control animal</t>
  </si>
  <si>
    <t>Alcaldías</t>
  </si>
  <si>
    <t>Representantes del despacho Magallán, Reyes y Asociados, quienes representan jurídicamente al luchador Hijo de Fishman reiteraron que recuperó su libertad después de alcanzar un acuerdo reparatorio con los familiares de Gerardo Germán Pineda, réferi que falleció durante una función de lucha libre realizada en un gimnasio ubicado en el municipio de Mineral de la Reforma el pasado 6 de octubre. El equipo legal explicó en conferencia de prensa que el luchador fue investigado inicialmente por homicidio culposo y que, durante las diligencias, se realizaron estudios médico-forenses, entrevistas y revisiones del material relacionado con los hechos. De acuerdo con la defensa, el convenio fue alcanzado mediante un mecanismo de justicia restaurativa, con la participación y consentimiento de los familiares reconocidos como ofendidos. Los abogados sostuvieron que el procedimiento relacionado con el fallecimiento quedó concluido mediante ese acuerdo, cuya existencia permitió la liberación del luchador el pasado 9 de octubre. La defensa legal descartó, por el momento, promover una contrademanda contra la empresa organizadora por las posibles deficiencias de seguridad mencionadas durante el encuentro con los medios. El equipo jurídico cuestionó que imágenes del luchador bajo custodia policial circularan en redes sociales y medios de comunicación, al considerar que su divulgación pudo vulnerar derechos relacionados con la privacidad y la presunción de inocencia. Los abogados señalaron que una de las fotografías habría sido filtrada desde una corporación policial de Pachuca y afirmaron que también se difundió información correspondiente a las diligencias de investigación. Asimismo, aseguraron que durante su detención el luchador recibió comentarios ofensivos de elementos policiales, circunstancia que, según la defensa, contribuyó a su estado de tensión emocional. Los representantes legales indicaron que estas situaciones están siendo revisadas para determinar posibles responsabilidades administrativas. Por su parte, Hijo de Fishman dijo que actualmente atraviesa momentos de angustia, ansiedad e incertidumbre, y explicó que la experiencia modificó su manera de observar los riesgos de su profesión. Por lo que reconoció la necesidad de recibir apoyo para enfrentar las consecuencias psicológicas de lo ocurrido. Respecto a su futuro profesional, manifestó su intención de continuar dentro de la lucha libre, actividad a la que ha dedicado buena parte de su vida. No obstante, señaló que la experiencia lo obliga a actuar con mayor cautela. La conferencia también contó con la intervención de El Fantasma, presidente de la Comisión de Lucha Libre de Ciudad de México, quien abordó los riesgos que representa involucrar físicamente a los réferis en determinadas acciones de los combates. El ex luchador señaló que estas intervenciones se han convertido en una práctica frecuente dentro del espectáculo, pese a que pueden exponer a los oficiales a lesiones para las que no necesariamente están preparados. Por ello, planteó la necesidad de evitar que los réferis reciban determinados castigos y de reforzar las precauciones tanto entre los luchadores como entre los organizadores. Hijo de Fishman rechazó haber actuado con intención de causarle daño, cuestionó las versiones difundidas sobre la maniobra aplicada y señaló la falta de atención médica inmediata como uno de los problemas que deben revisarse en este tipo de espectáculos. Cuestionó que no hubiera una ambulancia ni personal médico disponible para intervenir de inmediato, según su relato, durante la emergencia que sufrió el réferi Gerardo Germán Pineda. El luchador aseguró que la falta de servicios adecuados no representa una situación exclusiva de aquella función, sino un problema que también ha observado en otros eventos del circuito independiente. Consideró que algunos organizadores priorizan la reducción de gastos sobre la contratación de personal especializado, pese a que los luchadores y réferis están expuestos a lesiones que pueden requerir atención urgente. Por ello, pidió a las empresas promotoras garantizar servicios médicos suficientes y establecer mejores condiciones de seguridad para quienes participan en los espectáculos.</t>
  </si>
  <si>
    <t>Otros</t>
  </si>
  <si>
    <t>Filtración de información</t>
  </si>
  <si>
    <t>La décima macrojornada de salud visual “¡A ver… A ver!” se realizará el próximo jueves 22 de octubre en el arcotecho de Santa Ana Hueytlalpan, donde se prevé atender al menos a 150 personas con exámenes de la vista y entrega gratuita de lentes pregraduados. La jornada se desarrollará de 9:00 a 14:00 horas, como resultado de la coordinación entre el Gobierno Municipal de Tulancingo y el Gobierno de Hidalgo, a través de la Comisión Estatal para el Desarrollo Sostenible de los Pueblos Indígenas (CEDSPI). El programa, impulsado por el gobernador Julio Menchaca Salazar, está dirigido principalmente a la población indígena y busca facilitar el acceso a servicios de salud visual, especialmente para quienes enfrentan dificultades para obtener atención especializada. Con esta nueva edición, las macrojornadas suman más de 2 mil beneficiarios en localidades y colonias como Francisco I. Madero, La Cañada, Paraíso, Rojo Gómez, Santa María Asunción, Guadalupe y San Nicolás Cebolletas, entre otras. Los adultos mayores representan al menos el 50 por ciento de las personas atendidas, sector para el que una adecuada atención visual contribuye a realizar actividades cotidianas con mayor autonomía. Las personas interesadas en recibir el servicio deberán presentar una copia de su identificación oficial vigente (INE).</t>
  </si>
  <si>
    <t>Salud Visual</t>
  </si>
  <si>
    <t>En cabina Jessica Garrido, titular del DIF Tulancingo y la titular de Sanidad, informaron que el 19 de octubre a las 6 de la tarde con el objetivo de informar a las mujeres sobre las acciones para la prevención del cáncer, se realizará una caminata y una conferencia en la Explanada del Vagón de Tulancingo.</t>
  </si>
  <si>
    <t>Prevención cáncer de mama</t>
  </si>
  <si>
    <t>El 58.4 por ciento de los 130 proyectos de inversión que han llegado al Hidalgo en el actual periodo de gobierno de la entidad, ya están en operación, aseguró el titular de la Secretaría estatal de Desarrollo Económico (Sedecoh), Carlos Henkel Escorza. Lo anterior fue declarado durante su comparecencia ante integrantes del Congreso del Estado de Hidalgo, realizada el miércoles 14 de octubre, en el marco de la glosa por el Cuarto Informe de Gobierno de la actual administración estatal. El funcionario aseguró que los 130 proyectos de inversión privada están consolidados, con inversión por 147 mil millones de pesos, que el funcionario estatal calificó como histórica. Con ello se han creado más de 73 mil empleos directos y 117 mil indirectos, con impacto positivo a 37 municipios de las distintas regiones. En el desglose, Henkel Escorza señaló que de este total de proyectos, 76 ya están en operación, mientras que 28 siguen en construcción, y 26 proyectos en trámites y permisos. Mencionó que muchas de las empresas que se establecen, van desarrollando sus proyectos a corto, mediano y largo plazo, lo cual queda plasmado en su carta de intención, y cuando se hacen los anuncios de inversión quedan marcados los tiempos y en su mayoría los han cumplido. En otro momento de la comparecencia, Henkel Escorza, reconoció que uno de los principales retos de la entidad es reducir la informalidad laboral, al ubicarse entre los cinco estados del país con mayor registro en esta materia. Atribuyó esta problemática al descuido y al rezago estructural histórico, donde en el Estado de Hidalgo siete de cada diez personas ocupadas en Hidalgo se encuentran en el sector informal, de acuerdo a datos del Instituto Nacional de Estadística y Geografía (Inegi). Henkel Escorza aseguró que la dependencia combate la informalidad con la generación de fuentes de trabajo formales y estables al señalar que Hidalgo se consolida como referente nacional en dinamismo laboral ya que de septiembre de 2022 a julio de 2026, se generaron 39 mil 900 nuevos empleos formales. De este total, 23 mil 741 correspondieron a hombres, lo que representa el 59.5%, mientras que 16 mil 163 fueron ocupados por mujeres, es decir, el 40.5%. Además, indicó que la entidad cuenta con 296 mil 980 puestos de trabajo asegurados. En tanto, señaló que el número de trabajadores formales ha crecido 6.6%, mientras que el empleo informal registra un incremento de 1.7%. A lo largo de la actual administración, explicó, se ha impulsado la constitución y formalización de 223 sociedades mercantiles y cooperativas en 65 municipios, con una inversión de 31 millones de pesos, en beneficio directo de 21 mil 53 personas. Además, se destinó una bolsa de 20 millones de pesos para atender a cerca de 100 cooperativas, al cierre del último reporte se habían ejercido 12 millones de pesos para respaldar a 62 sociedades cooperativas de 24 municipios.</t>
  </si>
  <si>
    <t>Regidoras, regidores y síndicos de más de 60 municipios de Hidalgo expresaron su rechazo a la reforma de la fracción XV del artículo 141 de la Constitución estatal, aprobada por el Congreso local el pasado 6 de octubre. Consideran que el cambio reduce la participación de los ayuntamientos en la revisión de contratos que pueden comprometer recursos municipales. La modificación fue avalada por 23 votos a favor y siete en contra, de acuerdo con el posicionamiento firmado por integrantes de distintos ayuntamientos. El documento sostiene que la reforma elimina la facultad del cabildo de intervenir antes de que las presidencias municipales celebren contratos con particulares o instituciones oficiales para asuntos de interés público. La fracción reformada mantiene la aprobación de dos terceras partes del ayuntamiento para la enajenación de bienes inmuebles municipales y para comprometer al municipio más allá del periodo de gobierno en funciones. Sin embargo, quienes se oponen al cambio señalan que ya no contempla la intervención colegiada previa en otros contratos. Las y los representantes municipales anunciaron que este jueves 15 de octubre se reunirán para analizar las implicaciones de la reforma e incorporar a más integrantes de los 84 ayuntamientos del estado. Aseguran que las decisiones sobre contratos deben discutirse entre quienes integran el gobierno municipal, pues pueden involucrar montos, proveedores, plazos y convenios que inciden en la hacienda pública. Gloria Hernández Madrid, regidora de Apan, explicó que la convocatoria busca construir una postura común en defensa de la transparencia, la representación ciudadana y la responsabilidad compartida dentro de los gobiernos municipales. “Gobernar un municipio es una responsabilidad compartida. La defensa del ayuntamiento nos une por encima de cualquier partido político”, afirmó. También llamó a las y los integrantes de los ayuntamientos a revisar el alcance de la reforma y emitir un voto razonado e informado cuando les corresponda pronunciarse. El posicionamiento plantea que la reforma representa un retroceso para la transparencia y para la toma colegiada de decisiones. Sus firmantes argumentan que el ayuntamiento, como órgano de gobierno integrado por presidencia, sindicaturas y regidurías, debe participar en asuntos que comprometen los recursos y los intereses de cada municipio. Según el documento, en los próximos días la reforma será sometida a votación en los ayuntamientos de Hidalgo. Por ello, las y los firmantes exhortaron a sus integrantes a analizar el cambio y votar en contra. La discusión se trasladará así del Congreso estatal a los cabildos, donde las autoridades municipales deberán fijar postura sobre la modificación constitucional. Hasta ahora, el grupo convocante sostiene que su rechazo reúne a representantes de más de 60 municipios y busca ampliar esa participación en la reunión anunciada para este jueves.</t>
  </si>
  <si>
    <t>Congreso</t>
  </si>
  <si>
    <t>Reforma De Ley</t>
  </si>
  <si>
    <t>Por conflictos derivados del manejo de recursos del programa “La Escuela es Nuestra”, se han registrado 38 casos en el Estado de Hidalgo, de los cuales, nueve cuentan con carpetas de investigación abiertas y otros se encuentran en proceso de integración de posibles delitos. Lo anterior fue informado por Abraham Mendoza Zenteno, delegado en el Estado de Hidalgo de Programas para el Bienestar del Gobierno de México. El funcionario explicó que, de las 20 mil 500 acciones realizadas durante ese periodo, algunos casos han derivado en denuncias ante la Fiscalía General de la República o la Procuraduría General de Justicia del Estado de Hidalgo, debido a presuntas irregularidades en el uso del dinero entregado a los comités escolares. Entre los casos identificados se encuentran situaciones en las que tesoreras de los comités presuntamente se llevaron el dinero destinado a las mejoras de los planteles. Las situaciones se han registrado en municipios como Pachuca, Pisaflores, Atlapexco y Tula de Allende. De los 38 casos, 10 involucran a las personas encargadas de la tesorería, mientras que en otros se han identificado problemas con proveedores que incumplieron con los trabajos contratados. Indicó que el monto total del presunto daño patrimonial todavía no está determinado, pues existen casos en los que las obras sí avanzaron y las irregularidades corresponden a cantidades restantes, o al último depósito que es de alrededor de 50 mil pesos. Mendoza Zenteno señaló que la FGR ya citó a varios integrantes de los comités para que respondan por el manejo de los recursos, e incluso en algunos casos se han girado órdenes de detención contra los padres de familia que fungieron como tesoreros. Lo anterior debido a que, aunque los integrantes de los comités no son servidores públicos, sí tienen la responsabilidad de administrar correctamente el dinero que reciben, por lo que un uso distinto al autorizado puede derivar en consecuencias legales. Entre los posibles delitos que podrían configurarse mencionó abuso de confianza, robo y peculado, dependiendo de las circunstancias de cada caso. El funcionario declinó ofrecer mayores detalles sobre las investigaciones debido a que los procedimientos continúan en curso. Señaló que durante el ejercicio fiscal 2026 se dispersaron recursos de La escuela es nuestra a más de 2 mil 900 planteles de Hidalgo. De ese presupuesto, 40 por ciento se destinó a la ampliación o rehabilitación de los planteles y 60 por ciento al equipamiento. Agregó que actualmente se lleva a cabo la rendición de cuentas en más de 300 planteles beneficiados por el programa en el Estado de Hidalgo.</t>
  </si>
  <si>
    <t>Delegación</t>
  </si>
  <si>
    <t>La Escuela es Nuestra</t>
  </si>
  <si>
    <t>La CAAMT informa a los usuarios de la colonia Napateco que hoy 15 de octubre, de 11:00 a.m. a 3:00 p.m., se suspenderá temporalmente el servicio de agua potable, debido al cambio de arrancador del pozo Napateco, como parte de las acciones de mantenimiento preventivo para favorecer su adecuado funcionamiento. La suspensión afectará el suministro de la calle 14 a la calle 43. Se invita a las y los usuarios a tomar las precauciones necesarias y almacenar agua con anticipación.</t>
  </si>
  <si>
    <t>Vía telefónica el reporte de Bombero y Protección Civil con Abner Yáñez informa de las diversas emergencias reportadas por la ciudadanía y que fueron atendidas.</t>
  </si>
  <si>
    <t>Auxilio a la ciudadanía</t>
  </si>
  <si>
    <t>Abner Yáñez</t>
  </si>
  <si>
    <t>Participación</t>
  </si>
  <si>
    <t>El gobierno municipal de Singuilucan pondrá en operación el Corredor Gastronómico de Pueblos Indígenas, el cual se ubicará en la zona de Las Canchitas, donde acuden decenas de familias sobre todo a desarrollar. La alcaldesa Yazmín Dávila López señaló que se trata de un espacio para fomentar el comercio local, aprovechando la cantidad importante incluso de familias completas que acuden. Puntualizó que este espacio sería complementario al mercado municipal, que se espera poner en operación este mismo 2026, luego de casi diez años de iniciarse su construcción. Por lo menos mil 800 personas acuden a Las Canchitas, sobre todo los fines de semana, para realizar actividades deportivas, en compañía de sus familias. Por lo que Dávila López consideró que el alcance en ventas de los comerciantes que se instalen en dicho espacio, será importante. En este espacio se considera ofrecer y promover productos, gastronomía y tradiciones de las comunidades, contribuyendo con ello al fortalecimiento del comercio local. La obra cuenta con una inversión de 1.7 millones de pesos, recursos gestionados ante la Comisión Estatal para el Desarrollo Sostenible de los Pueblos Indígenas del Estado de Hidalgo, y se prevé que comience el próximo mes. La alcaldesa de Singuilucan señaló que tanto el Corredor Gastronómico de Pueblos Indígenas, como el mercado municipal, y otros espacios ubicados dentro del municipio, son proyectos para el desarrollo turístico, y con ello, comercial y social. Consideró que la riqueza gastronómica, los espacios naturales y las tradiciones del municipio, son atractivos que deben ofrecerse a los visitantes, por lo cual están considerados estos y otros proyectos. Paulatinamente se estarán presentando otros proyectos para el desarrollo de actividad turística, bajo el lema “Singuilucan en el mapa”.</t>
  </si>
  <si>
    <t>Centro Gastronómico</t>
  </si>
  <si>
    <t>Con 30 camas censables, la clínica 2 Tulancingo, perteneciente del Instituto Mexicano del Seguro Social (IMSS), enfrenta carencias para ofrecer las atenciones médicas. Personal adscrito a dicha unidad, brindaron testimonio de que en ocasiones sólo dos enfermeras deben atender hasta a 28 pacientes, situación que se complica durante el turno nocturno, donde pueden ser hasta 35 pacientes los que se reciben con personal mínimo. “Pedimos apoyo a nuestro sindicato, y lo único que nos responden nuestros representantes es que no hay personal y que debemos trabajar así”, señaló uno de los trabajadores adscritos a la clínica 2 IMSS Tulancingo. En dicha unidad sólo existe una sala de choque, la que es insuficiente para atender a la cantidad de pacientes que llegan, quienes además deben acomodarse en sillas, bancas, incluso en el suelo, ante la falta de instalaciones suficientes para albergarlos en tanto esperan ser atendidos por el personal médico. El área de hospitalización de la clínica 2 IMSS Tulancingo cuenta con 30 camas censables; de acuerdo al personal de la unidad, algunas de estas están instaladas desde hace varios años, “y se han soldado y reparado en varias ocasiones para que sigan usándose·. “Imagínate qué clase de atención le das a un paciente que es una persona adulta mayor, que obviamente necesita una colchoneta un poquito más cómoda, y que obviamente no la hay”, enfatizaron los consultados. Por lo que consideraron que el espacio es obsoleto desde hace mucho tiempo para ofrecer la atención médica que requieren los derechohabientes del IMSS. En febrero de este año, la alcaldesa Lorena García Cázares señaló en entrevista que el proyecto de construcción de un hospital de zona, con 90 camas censables, se había cancelado, por la baja cantidad de derechohabiencia, requisito que el IMSS considera fundamental para el desarrollo de un nuevo nosocomio. “Pero la población de Tulancingo sigue creciendo, y es urgente que les brindemos servicios médicos adecuados, de calidad”, señaló uno de los colaboradores del IMSS consultados.</t>
  </si>
  <si>
    <t>Presidencia</t>
  </si>
  <si>
    <t>Deficiencias hospitalarias</t>
  </si>
  <si>
    <t>Presidencia de la República</t>
  </si>
  <si>
    <t>Andrés Torres informa que el alcalde de Pachuca, Jorge Reyes, quien es considerado uno de los mejores alcaldes del estado según encuestas recientes. Aunque no se discutieron los detalles de estas encuestas porque son repetitivos, se destaca que Reyes está bien posicionado para una posible reelección como presidente municipal. La mayoría de las encuestas sugieren que, en una futura elección para renovar el Ayuntamiento de Pachuca, el partido Morena ganaría por un amplio margen. Aunque hay diferentes nombres y porcentajes en las encuestas, como las de Polaris, Massive Caller y Mitofsky, todas coinciden en que Morena sería el partido dominante en este proceso electoral. Es importante tener en cuenta que el registro para candidaturas aún está abierto, lo que significa que la situación podría cambiar más adelante.</t>
  </si>
  <si>
    <t>Reelección</t>
  </si>
  <si>
    <t>El presidente municipal de Pachuca, Jorge Reyes, acompañó el inicio de las prácticas de la Capacitación de Conducción Responsable en el Estadio Hidalgo, donde observó el desempeño de las y los participantes y la aplicación de los conocimientos adquiridos durante el curso. En esta etapa, las y los asistentes realizan ejercicios prácticos para desarrollar sus habilidades de manejo, reforzar la toma de decisiones al volante y reconocer la importancia de una conducción preventiva, con el propósito de reducir riesgos y contribuir a la seguridad vial. Impulsado por la Dirección de Prevención del Delito de la Secretaría de Seguridad Pública, Tránsito y Vialidad, este programa ofrece formación gratuita a la ciudadanía y busca fortalecer la responsabilidad de quienes conducen, mediante herramientas que permitan mejorar sus prácticas al volante y favorecer una convivencia más segura en las vialidades. La capacitación tendrá nuevas convocatorias, por lo que se invita a la población interesada a mantenerse pendiente de los canales oficiales del Ayuntamiento para conocer las próximas fechas y los requisitos de participación. Con esta iniciativa, Pachuca apuesta por la prevención como una vía para reducir accidentes y promover una cultura vial en la que la seguridad y la responsabilidad sean parte de cada trayecto.</t>
  </si>
  <si>
    <t>Curso de manejo</t>
  </si>
  <si>
    <t>Se realizó la octava sesión ordinaria del Consejo Nacional de Morena en el World Trade Center de la Ciudad de México, donde estuvieron presentes figuras políticas de Hidalgo como Susana Ángeles (aspirante a la coordinación distrital federal por Tepeapulco), Miguel Tello (aspirante por Pachuca) y Marco Rico (presidente del partido en el estado).</t>
  </si>
  <si>
    <t>Morena</t>
  </si>
  <si>
    <t>Consejo Nacional</t>
  </si>
  <si>
    <t>Partidos</t>
  </si>
  <si>
    <t>Hoy rinde su cuarto informe de actividades la titular del patronato DIF Hidalgo, Edita Vite Ramos a las 17:00 horas en el auditorio Gota de Plata.</t>
  </si>
  <si>
    <t>DIFH</t>
  </si>
  <si>
    <t>Informe DIFH</t>
  </si>
  <si>
    <t>La zona del municipio de Zapotlán está llamada a crecer exponencialmente en los próximos meses y años. Ya lo verá, Julio Menchaca anunció en su cuarto informe de gobierno a la carretera Pachuca-Ciudad de México, va a iniciar ahí, exactamente en el municipio de Zapotlán. En la comunidad de Acayuca y de ahí, pues vamos a iniciar con un importante sobre la México-Pachuca, se va a ampliar a ocho carriles. Y de ahí en adelante, vieneun importante desarrollo para toda esta zona de nuestro estado.</t>
  </si>
  <si>
    <t>Gobernador</t>
  </si>
  <si>
    <t>Ampliación carretera</t>
  </si>
  <si>
    <t>El gobernador del estado, Julio Menchaca Salazar, asistió a la Ciudad de México como invitado especial al segundo informe de actividades de la jefa de Gobierno, Clara Brugada. Ahí, se hace la declaratoria para que también municipios como Tula, Zapotlán, Tizayuca y Tepeji, se incluyan en esta zona metropolitana de la Ciudad de México. Comento el gobernador Julio Menchaca, acompañé a mi compañera Clara Brugada, perdón, a su entrega del segundo informe de gobierno. Los resultados confirman que con honestidad, cercanía y amor al pueblo, el segundo piso de la cuarta transformación se traduce en mejores condiciones de vida para las familias.</t>
  </si>
  <si>
    <t>Asistencia a informe</t>
  </si>
  <si>
    <t>En la colonia Villas del Álamo, un árbol cayó sobre la avenida principal afectando a un vehículo sin personas lesionadas; este suceso se atribuyó al reblandecimiento de la tierra por las recientes lluvias.</t>
  </si>
  <si>
    <t>Afectaciones Por Lluvias</t>
  </si>
  <si>
    <t>Se reportaron diversos percances automovilísticos, entre ellos un choque en el bulevar Felipe Ángeles (en el puente que va hacia la Plaza de Toros y las instalaciones de la feria), donde un vehículo impactó contra el muro de contención.</t>
  </si>
  <si>
    <t>Accidente Vial</t>
  </si>
  <si>
    <t>Locutor Jesús Riveros da salida a audio de radioescucha de la comunidad de Molango, en el municipio de Cuautepec, que expresó su inconformidad por el retraso en los trabajos de pavimentación de la Avenida México. Señaló que la obra dio inicio el 3 de marzo de 2026 y a la fecha, encontrándose en octubre, no registra ni la mitad de avance, generando afectaciones en la vialidad y solicitando a los responsables agilizar los trabajos.</t>
  </si>
  <si>
    <t>Incumplimiento de obra</t>
  </si>
  <si>
    <t>La Comisión de Agua y Alcantarillado informó que la suspensión en el suministro de agua potable en la colonia Vicente Guerrero se originó por una fuga en la calle Reforma de la colonia Nueva Morelos. Debido a la interconexión con los pozos Antonio Ornedo y central 2, fue necesario suspender temporalmente el funcionamiento de este último para llevar a cabo las reparaciones necesarias en la línea de conducción de 10 pulgadas, encontrándose el personal trabajando para restablecer el servicio a la brevedad.</t>
  </si>
  <si>
    <t>El Instituto Mexicano del Seguro Social (IMSS) mejorará la oferta salarial para sus trabajadores luego de que la base trabajadora rechazó por mayoría la propuesta inicial. A través de un video mensaje publicado en redes sociales, Zoé Robledo, director general del instituto, informó que ofrecerá una nueva propuesta para incrementar las percepciones de los empleados y optimizar sus condiciones laborales. Para lo cual, dijo, se instalará una mesa de trabajo con el Sindicato Nacional de Trabajadores del Seguro Social (SNTSS). © 2026 Imagen - Excélsior. Todos los derechos reservados. El contenido de este sitio y de la edición impresa está protegido por la Ley Federal del Derecho de Autor. Prohibida la reproducción total o parcial sin autorización previa y por escrito. El material de terceros conserva sus propios derechos.</t>
  </si>
  <si>
    <t>Protesta sindical</t>
  </si>
  <si>
    <t>Irving Sánchez</t>
  </si>
  <si>
    <t>Durante su comparecencia ante el Congreso, el titular de la Secretaría de Desarrollo Económico (Sedeco), Carlos Henkel Escorza, resaltó la consolidación de 130 proyectos de inversión para el estado de Hidalgo. El funcionario destacó que la entidad ha dejado atrás el rezago en infraestructura y conectividad para posicionarse como un competidor activo y un atractor de capitales a nivel nacional e internacional.</t>
  </si>
  <si>
    <t>Entrevista vía telefónica Tomás Aquino Ma Hernández, vocal ejecutivo de la 02 Junta Distrital Ejecutiva del INE en Ixmiquilpan: Informó sobre la apertura de la convocatoria 2026 para participar en el proceso de selección de consejeras y consejeros electorales distritales. El registro en línea se llevará a cabo del 1 al 31 de octubre de 2026, mientras que la recepción y cotejo de documentos de forma presencial se realizará del 16 al 31 de octubre en las oficinas ubicadas en la colonia El Bondo. Asimismo, se detallaron los requisitos legales, las funciones de fiscalización ciudadana que realizan los consejeros y se indicó que este cargo honorífico cuenta con una dieta de participación.</t>
  </si>
  <si>
    <t>Proceso electoral</t>
  </si>
  <si>
    <t>Menchaca Salazar acompaña a Clara Brugada en Segundo Informe de Actividades</t>
  </si>
  <si>
    <t>Abraham Mendoza Zenteno, delegado de los programas de bienestar en Hidalgo, detalló el proceso de dispersión de recursos correspondiente a las becas de continuidad para educación secundaria y primaria (modalidad "Rita Cetina"). Explicó que los pagos se realizan de manera calendarizada según la primera letra del apellido hasta el 16 de octubre, especificando los montos anuales y por familia, además de exhortar a los nuevos beneficiarios a registrar a sus hijos para evitar quedar fuera del programa.</t>
  </si>
  <si>
    <t>Beca Rita Cetina</t>
  </si>
  <si>
    <t>En el marco del Día Internacional de la Lucha contra el Cáncer de Mama, las autoridades municipales de Tulancingo anunciaron la realización de una caminata de concientización programada para el próximo 19 de octubre a las 6:00 p.m., partiendo de la explanada del vagón. Durante el evento se ofrecerá una charla informativa y se entregarán 50 pases para mastografías gratuitas dirigidas a mujeres de 40 a 69 años. Representantes del sistema DIF, la instancia de la mujer y la dirección de sanidad destacaron la importancia de la prevención, la autoexploración y la participación activa tanto de mujeres como de la sociedad en general para combatir esta enfermedad.</t>
  </si>
  <si>
    <t>Presenta Carlos Henkel avances económicos en Hidalgo</t>
  </si>
  <si>
    <t>La audiencia para dictar sentencia contra los tres responsables del triple feminicidio, dos homicidios dolosos y un aborto forzado cometidos en Santiago Tulantepec fue diferida debido a que uno de los acusados cambió de abogado y este no contaba con el expediente completo. Con esta suspensión, el proceso suma ya 36 audiencias y se reprogramó para el próximo 21 de octubre, mientras familiares, encabezados por Mónica Sepúlveda, exigen que los tres homicidios sean clasificados legalmente como feminicidios y se aplique perspectiva de género.</t>
  </si>
  <si>
    <t>TSJEH</t>
  </si>
  <si>
    <t>Proceso Por Feminicidio</t>
  </si>
  <si>
    <t>Durante el reporte sobre el Valle de México, se dio a conocer que el gobernador del estado, Julio Menchaca Salazar, estuvo presente para acompañar a Clara Brugada Molina, jefa de Gobierno de la Ciudad de México, en el marco de su segundo informe de actividades.</t>
  </si>
  <si>
    <t>Radioescucha reporta la carretera de la Providencia – Chavarria , no tiene ni un año que la arreglaron y tiene unos baches muy grandes.</t>
  </si>
  <si>
    <t>Vialidad En Mal Estado</t>
  </si>
  <si>
    <t>Radioescucha reporta los baches que estan el puente de la Providencia y la 11 de Julio</t>
  </si>
  <si>
    <t>Vía telefonica diputado Andrés Velázquez Vázquez, presidente de la Junta de Gobierno del Congreso del Estado de Hidalgo.</t>
  </si>
  <si>
    <t>Trabajo legislativo</t>
  </si>
  <si>
    <t>El presidente municipal de Tula, Cristhian Martínez, adelantó que para el próximo año se recibirán recursos millonarios por parte del gobierno de México para seguir con las labores de restauración del río Tula.</t>
  </si>
  <si>
    <t>Restauración Ecológica</t>
  </si>
  <si>
    <t>El presidente municipal de Tula, Cristhian Martínez, supervisó hoy los trabajos que se llevan a cabo como parte de la restauración del río Tula en la zona de San Marcos, todos estos trabajos están a cargo del gobierno federal de Conagua y obviamente el interés de nuestra presidenta de la república, que tiene un cariño muy especial por Tula.</t>
  </si>
  <si>
    <t>Informarle que si ayer usted no se enteró, bueno, pues la parte de la entrada sobre la calzada Melchor Ocampo está cerrada, ahí a la altura de El Sharon, ese carril de entrada hacia el centro de Tula está cerrado desde el día de ayer, para que usted salga con tiempo, tomen sus precauciones, vías alternas, que en este caso sería para ingresar hacia el centro, una en la desviación hacia el tanque elevado, que lo lleva hacia la 16 de enero o hacia la unidad habitacional de Pemex, y la otra directamente ahí donde está Plaza Boulevard y esa calle que baja hacia la unidad habitacional de Pemex también, para que salga con tiempo y, bueno, pues tome sus precauciones.</t>
  </si>
  <si>
    <t>Al décimo mes de 2026, los apoyos de los programas Bienestar y Desarrollo, Madres Trabajadoras, Bienestar de Personas Artesanas y Xantolo han sido entregados por el gobierno de Hidalgo, a través de la Secretaría de Bienestar e Inclusión Social (Sebiso), en beneficio de cerca de 4 mil personas de las regiones Huasteca y Sierra Alta.El titular de la Sebiso, Ricardo Gómez Moreno, en Huejutla, encabezó la entrega de tarjetas correspondientes a la segunda etapa de los programas sociales.</t>
  </si>
  <si>
    <t>Bienestar</t>
  </si>
  <si>
    <t>Programas Del Pueblo</t>
  </si>
  <si>
    <t>Polos del Bienestar</t>
  </si>
  <si>
    <t>Lamentablemente en muchos municipios ha costado demasiado encontrar estos terrenos, como pasa en Cuautepec , donde el Secretario General del Ayuntamiento, Jesús Alejandro Ruiz León, reconoció ante el Pleno que el municipio ha enfrentado múltiples dificultades para localizar un predio que cumpla con los requisitos para construir más de 250 viviendas del bienestar. Esto en Cuautepec de Hinojosa , indicó que diversos factores han impedido concretar la donación del terreno que requiere la Secretaría de Desarrollo Agrario, Territorial y Urbano.</t>
  </si>
  <si>
    <t>Plan Nacional De Vivienda</t>
  </si>
  <si>
    <t>Hay un programa federal del Gobierno de México que encabeza a la presidenta Claudia Sheinbaum en torno a la creación, a la construcción de casas, las llamadas casas del bienestar. Te comento esto porque el Gobierno Federal publicó un convenio de coordinación entre la Secretaría de Desarrollo Agrario, Territorial y Urbano, la SEDATU, el Instituto Nacional del Suelo Sustentable y el Estado de Hidalgo, por el que la entidad se compromete a ceder a la Federación diversos bienes inmuebles que serán destinados a la ejecución del programa Viviendas para el Bienestar. De acuerdo con el decreto publicado en el Diario Oficial de la Federación, se deberán destinar los bienes inmuebles que reciba en donación exclusivamente al desarrollo, ejecución y cumplimiento de los objetivos del esquema federal, conforme a la normatividad aplicable y en el marco de sus atribuciones. De igual manera, la Federación deberá cumplir con las disposiciones legales, reglamentarias y administrativas aplicables en materia de desarrollo urbano, vivienda, protección civil, medio ambiente y demás ordenamientos relacionados. Esto quiere decir que el Gobierno de Hidalgo tendrá que buscar terrenos para que se lleven a cabo las casas del bienestar, se construyan.</t>
  </si>
  <si>
    <t>El actual gobierno de México ha utilizado mucho la palabra bienestar para muchos de sus programas, incluso una secretaría, se llama la Secretaría del Bienestar, lo que antes era la Sedesol, Secretaría de Desarrollo Social, y le digo esto porque han sacado productos que llevan ese nombre, incluso hace algunos meses me hicieron llegar, y le agradezco mucho a la Secretaría del Bienestar, unos chocolates del bienestar, café del bienestar, igual me hicieron llegar como unas palanquetas del bienestar, una canastita bastante bien arregladita, donde venían estos productos que están vendiendo allá en Atotonilco de Tula, productos del bienestar, pues mire que también ya se va a poner en marcha las gasolineras del bienestar, el proyecto de la gasolinera del bienestar está integrado en el caso de Ixmiquilpan por 200 personas, así informaron autoridades municipales quienes expusieron que para próximo en diciembre ya estará en funcionamiento gasolinera del bienestar allá en Ixmiquilpan, explicaron que la gasolinera es un ejemplo del cooperativismo, toda vez que los 200 socios se organizaron y lograron acuerdos para trabajar en conjunto en este proyecto, agregaron que fue en el periodo del expresidente de México Andrés Manuel López Obrador cuando se generó la posibilidad de que de manera colectiva se realizara el proyecto de las gasolineras, el cual de forma individual no podrían llevar a cabo, entre los efectos positivos que va a originar esta gasolinera del bienestar en Ixmiquilpan, mencionaron que están las fuentes de empleo, además del beneficio económico a los socios, mientras que la ciudadanía va a tener mejores precios en la compra del combustible, cabe mencionar que las gasolineras del bienestar operan bajo un modelo de sociedades cooperativas integradas por miembros de comunidades indígenas o locales.</t>
  </si>
  <si>
    <t>Gasolinera del Bienestar</t>
  </si>
  <si>
    <t>Radioescucha reporta que fue a tramitar su tarjeta del bienestar a la calle de Iglesias y le comentaron que tiene un mes que no se realiza ese tramite , debido a que no tienen material para la impresora</t>
  </si>
  <si>
    <t>Falta de insumos</t>
  </si>
  <si>
    <t>El presidente municipal, Jorge Reyes, acompañó el inicio de las prácticas de la Capacitación de Conducción Responsable en el Estadio Hidalgo, donde las y los participantes ponen en práctica sus habilidades al volante.Este programa gratuito, impulsado por la Dirección de Prevención del Delito de la Secretaría de Seguridad Pública, Tránsito y Vialidad, busca fortalecer la conducción preventiva, reducir riesgos y fomentar una mejor convivencia vial.</t>
  </si>
  <si>
    <t>Y también déjeme platicarle que Hidalgo suma 130 proyectos de inversión privada por más de 147 mil millones de pesos, con una proyección de 191 mil empleos directos e indirectos en 37 municipios. Así lo informó el secretario de Desarrollo Económico, Carlos Henkel Escorza, durante su comparecencia ante el Congreso Estatal. Entre los proyectos destacó el Polo de Desarrollo para el Bienestar, Reserva Zapotlán, que prevé una inversión de más de 10 mil millones de pesos y la creación de 5 mil empleos.</t>
  </si>
  <si>
    <t>Abraham Mendoza Zenteno, delegado de Programas para el Bienestar en Hidalgo, informó que, del 5 al 16 de octubre, las familias de las y los adolescentes inscritos en secundarias públicas, recibirán el pago correspondiente al bimestre septiembre – octubre del ciclo escolar 2026-2027. Los depósitos se realizan conforme a la primera letra del apellido de la persona titular de la tarjeta del Banco del Bienestar. Por lo que Invitó a madres y padres de familia con hijas e hijos de nuevo ingreso a primaria o secundaria, a participar en las asambleas informativas que se llevan a cabo del 5 al 31 de octubre, donde conocerán los detalles del registro a la Beca Rita Cetina.Por otra parte, el delegado, informó que, en el ejercicio fiscal 2026, se dispersaron recursos económicos a más de 2,900 escuelas como parte del programa La Escuela es Nuestra, de los cuales el 40% fue asignado para ampliación o rehabilitación de los planteles y el 60% para equipamiento.</t>
  </si>
  <si>
    <t>Mire, le comentamos acerca de este asunto que hemos vivido con los trabajadores del Seguro Social, porque, sin detallar cifras, el Sindicato Nacional de Trabajadores del Seguro Social reconoció que la mayoría de los trabajadores que participaron en la consulta sobre la revisión salarial de 2026 rechazó la propuesta de incremento de 2.9%, por lo que solicitará retomar la mesa de negociación con el Instituto Mexicano del Seguro Social para buscar mejores condiciones salariales. En un mensaje dirigido a los trabajadores, Rafael Olivos, líder del Sindicato Nacional de Trabajadores del Seguro Social, afirmó que respetará el resultado de la consulta y asumirá la responsabilidad de representar la voluntad expresada por los participantes. Ya veremos en qué termina este asunto y le estaremos dando seguimiento, por supuesto, para que también usted nos comente, bueno, a través de nuestras redes sociales, ahí, en el posteo que hicimos el día de ayer, ahí usted podrá ver este tipo de comentarios que se han realizado acerca del tema.</t>
  </si>
  <si>
    <t>Aumento salarial</t>
  </si>
  <si>
    <t>Eulalio Larrieta agradece Hans Islas del ayuntamiento de Mineral de la Reforma , por su apoyo en pasar los reportes.</t>
  </si>
  <si>
    <t>Eulalio Larrieta informa que Jorge Hernández del ayuntamiento de Pachuca, esta al pendiente de todos los reportes de la ciudadania del Municipio de Pachuca</t>
  </si>
  <si>
    <t>Eulalio Larrieta agradece a Carlos Gamiño por estar al pendiente de temas.</t>
  </si>
  <si>
    <t>En respaldo a la transformación que se vive en otros rincones del país. El gobernador Julio Menchaca Salazar acompañó a la jefa de gobierno de la Ciudad de México, Clara Brugada, en su segundo informe de actividades, en el que el mandatario de Hidalgo destacó que con resultados, honestidad, cercanía y amor, se mejoran las condiciones de vida de las familias mexicanas.</t>
  </si>
  <si>
    <t>Durante la séptima sesión extraordinaria de la Junta de Gobierno de la Comisión de Agua y Alcantarillado de Tulancingo (CAAMT), celebrada un jueves, se aprobó la designación de Rubén San Juan Galindo como nuevo encargado de la Dirección General del organismo. La toma de protesta estuvo a cargo del secretario general municipal, Edmundo Aguilar Aranda, en representación de la presidenta municipal Lorena García Cázares. San Juan Galindo cuenta con una trayectoria en la CAAMT desde 1997, habiéndose desempeñado en diversos puestos técnicos y directivos a lo largo de su carrera.</t>
  </si>
  <si>
    <t>Nombramientos</t>
  </si>
  <si>
    <t>La presidenta Claudia Sheinbaum Pardo hizo un llamado a la población a mantenerse atenta a las indicaciones de Protección Civil por el huracán Trudy, que podría alcanzar la categoría 4 y se acercará a 65 kilómetros de las costas de Colima y Jalisco durante este fin de semana. Desde Palacio Nacional, en su conferencia de prensa matutina, la jefa del Ejecutivo, también previno a la población ante el frente frío número 2 en el Golfo de México, el cual provocará lluvias intensas en Michoacán, Oaxaca, Guerrero, San Luis Potosí, Querétaro, Puebla, Hidalgo, Veracruz, Tabasco, Quintana Roo y Yucatán.</t>
  </si>
  <si>
    <t>Alerta Meteorológica</t>
  </si>
  <si>
    <t>Durante su comparecencia ante el Congreso del Estado en el marco del análisis del cuarto informe de gobierno, el titular de la Secretaría de Agricultura y Desarrollo Rural (SADERH), Napoleón González Pérez, destacó una inversión histórica de 721 millones de pesos destinada al campo durante 2026, beneficiando a más de 487,900 familias rurales. El funcionario subrayó los avances en programas de acompañamiento técnico, mecanización con la adquisición de tractores, certificación de 123 unidades de producción en inocuidad por el Senasica, y la atención fitosanitaria frente a problemáticas como el gusano barrenador. Asimismo, resaltó la asignación de más de 403.8 millones de pesos en infraestructura hidroagrícola para optimizar el aprovechamiento del agua en el estado.</t>
  </si>
  <si>
    <t>Durante la presentación de su cuarto informe de actividades, la presidenta del Patronato del Sistema DIF Hidalgo, Edda Vite Ramos, destacó las acciones implementadas tras la suspensión del ejercicio anterior debido a la vaguada monzónica. Entre los logros resaltados se encuentran la entrega de despensas y cobijos mediante puentes aéreos, la incorporación del modelo Nacional Pilares con 113 centros activos, la entrega de becas a 2,968 usuarios con una inversión de 6,015,000 pesos, y la restitución del derecho a vivir en familia a 61 niñas, niños y adolescentes mediante adopciones agilizadas en coordinación con el Poder Judicial del Estado. Asimismo, subrayó el trabajo coordinado con el Congreso del Estado para la creación de Procuradurías Municipales de protección a la infancia.</t>
  </si>
  <si>
    <t>Continuamos en la información en este inicio de fin de semana Edda Vite Ramos, presidenta del Patronato del Sistema DIF Hidalgo, presentó su cuarto informe de actividades. El acto contó con la presencia de Edda Vite Ramos, titular del Sistema Nacional DIF; el gobernador Julio Menchaca Salazar, a quienes Edda Vite agradeció su respaldo y colaboración. Este ejercicio de transparencia se ha realizado luego de que fue interrumpido en 2025 debido a las labores de apoyo brindadas por el organismo ante la emergencia ocasionada por la vaguada monzónica. Rosa María tiene la información. Durante su cuarto informe de actividades, la presidenta del Patronato del DIF Hidalgo, Edda Vite Ramos, informó sobre los proyectos que llevarán a cabo para el cierre de la actual administración, en donde destacó la rehabilitación y creación de nuevos espacios. Detalló que este año entrará en funcionamiento la nueva Casa Cuna, en donde fue rehabilitado el primer piso, se construyó el segundo piso y se invirtió en equipamiento; asimismo, fue remodelada totalmente la Casa del Niño y del Adolescente. Antes de concluir esta administración, precisó que se construirá el nuevo taller de órtesis y prótesis, así como tres bodegas. De igual manera, se ampliarán diferentes áreas del Centro de Rehabilitación Regional de Ixmiquilpan. Se construirán dos centros de atención infantil, uno en la colonia Matilde y otro en San Bartolo, en el municipio de Pachuca. Además, se construirá un edificio para incrementar los ingresos para seguir apoyando la asistencia social, aunque no brindó detalles de este proyecto. Por otra parte, subrayó que identificaron la necesidad de reformar la Ley de Asistencia Social con el fin de que niños, niñas y adolescentes se vieran protegidos, por lo que presentó al Congreso la reforma de la ley en octubre de 2025, que permite que las unidades de primer contacto de 51 municipios transiten a Procuraduría Municipal para atender la niñez y la adolescencia cuando sus derechos hayan sido violentados.</t>
  </si>
  <si>
    <t>SEPH reúne 5 mil 932 ejemplares en la cuarta edición del Kilómetro del Libro</t>
  </si>
  <si>
    <t>Fomento A La Lectura</t>
  </si>
  <si>
    <t>La Comisión Nacional del Agua (Conagua), a través del Servicio Meteorológico Nacional (SMN), advirtió sobre un escenario de lluvias intensas en distintas regiones de México ante la evolución del huracán Trudy y los efectos del frente frío número 2. El pronóstico contempla precipitaciones torrenciales, rachas de viento y oleaje elevado, principalmente en las costas del Pacífico y la región de la Huasteca.</t>
  </si>
  <si>
    <t>La notaria número uno de Tulancingo, Maricela Marín Conquit, destacó en entrevista la importancia de elaborar un testamento, recordando que este trámite no es exclusivo de personas de la tercera edad, sino de cualquier adulto que posea bienes o dependientes económicos. Explicó que el testamento es personalísimo y se realiza ante un notario público, quedando registrado a nivel nacional. Asimismo, detalló las diferencias entre herederos universales y legatarios, las funciones de un albacea y la importancia de nombrar tutores en caso de tener hijos menores, señalando que las asesorías continúan abiertas más allá del "Mes del Testamento".</t>
  </si>
  <si>
    <t>Testamento</t>
  </si>
  <si>
    <t>La fiscalía general de la República (FGR), a través de la Fiscalía Especializada de Control Regional en Hidalgo, ejecutó una técnica de cateo en un inmueble localizado en la localidad de Segundas Lajas, municipio de Singuilucan. El operativo derivó de una denuncia por delitos contra la salud en la modalidad de posesión con fines de comercio. Como resultado, las autoridades aseguraron diversos narcóticos —incluyendo cápsulas y tabletas de psicotrópicos, metilfenidato y cocaína—, además de dinero, una báscula, teléfonos celulares, y detuvieron a tres personas que fueron puestas a disposición de la representación social federal.</t>
  </si>
  <si>
    <t>Justa Deportiva</t>
  </si>
  <si>
    <t>Combate Al Narcomenudeo</t>
  </si>
  <si>
    <t>Mediante enlace telefónico a través del notimóvil, Rene Aguilar informó sobre un conductor que sufrió una salida de carretera alrededor de las 4:00 de la mañana en la vía Pachuca-Tulancingo, a la altura de El Sabino con dirección a Tulancingo, tras quedarse dormido al volante. Aunque elementos de la Policía Municipal de Singuilucan y de la Cruz Roja acudieron a valorarlo descartando lesiones graves, el vehículo permaneció varado por horas a la espera de la Guardia Nacional para el peritaje y uso de grúa, debido a que quedó atascado sobre piedras de gran tamaño. Por otra parte, se reportó que ejidatarios de Memila continúan sin llegar a un acuerdo con autoridades federales respecto a la ampliación de la carretera en el tramo del kilómetro 87 al 90.</t>
  </si>
  <si>
    <t>Accidente Carretero</t>
  </si>
  <si>
    <t>Destaca Saderh inversión histórica de 721 mdp para el campo hidalguense</t>
  </si>
  <si>
    <t>SSPH fortalece la seguridad en Hidalgo: más de 26 mil personas detenidas y 7 millones de litros de hidrocarburo incautados</t>
  </si>
  <si>
    <t>Trabajadores del Instituto Mexicano del Seguro Social (IMSS) mantienen protestas y bloqueos en vialidades como la carretera México-Pachuca —a la altura del Hospital Regional número 200 en Tecámac, Estado de México— tras rechazar el incremento salarial de 6.8% ofrecido por la institución y exigir un aumento del 10%. Los inconformes reclaman además mejoras laborales, la destitución del secretario general del sindicato, Rafael Olivos, y solución al desabasto de medicamentos, anunciando nuevas movilizaciones y una marcha nacional para el próximo 21 de octubre. Por su parte, la presidenta Claudia Sheinbaum indicó que el director del IMSS, Zoé Robledo, deberá abrir una mesa de negociación para atender las demandas salariales y laborales de los trabajadores.</t>
  </si>
  <si>
    <t>Miled 97.1 FM</t>
  </si>
  <si>
    <t>Línea En Alta Tensión</t>
  </si>
  <si>
    <t>Vía telefónica notario Pedro Luis Noble Monterrubio, presidente del Colegio de Notarios del Estado de Hidalgo con el tema: Octubre, igual que septiembre, mes del testamento</t>
  </si>
  <si>
    <t>OCSAD</t>
  </si>
  <si>
    <t>María Antonieta Islas</t>
  </si>
  <si>
    <t>Entrevista pautada</t>
  </si>
  <si>
    <t>La Secretaría de Educación Pública de Hidalgo que reunió 5,932 libros durante la cuarta edición del Kilómetro del Libro. Los ejemplares fortalecerán bibliotecas de escuelas públicas de educación básica principalmente en comunidades alejadas y vulnerables. De los libros recaudados, 3,000 fueron donados por la Fundación Elena Poniatowska Amor y 2,932 por personal de distintas áreas de la dependencia. La iniciativa busca acercar la lectura a niñas, niños y jóvenes y apoyar el desarrollo de habilidades como la comprensión lectora y el pensamiento crítico que tanta falta hace hoy en día.</t>
  </si>
  <si>
    <t>La Secretaría de Educación Pública coordina una campaña de vacunación contra la influenza y COVID-19 en escuelas de educación básica de Hidalgo, esto en colaboración con instituciones del sector salud. Los módulos se instalarán en las entradas de los planteles y funcionarán del 12 de octubre al 2 de abril de 2027. La meta es alcanzar el 70% de cobertura al cierre de este año y llegar al 100% al concluir la campaña. En la estrategia participan el ISSSTE, el IMSS-Bienestar, el IMSS-Ordinario, Pemex y los Servicios de Salud de Hidalgo.</t>
  </si>
  <si>
    <t>El cuerpo de una persona fue localizado en una obra en construcción ubicada entre tierras de cultivo en el municipio de Zapotlán de Juárez. De acuerdo con los reportes, estaba entre bloques de concreto y presentaba avanzado estado de descomposición. La identidad de la persona y las causas de su muerte no han sido confirmadas. Como señas de vestimenta, se informó que portaba tenis blancos, pantalón de mezclilla y una sudadera gris. Las autoridades realizarán las investigaciones correspondientes.</t>
  </si>
  <si>
    <t>Estamos ya casi casi terminando, pero déjeme platicarles que la persecución de un tractocamión presuntamente relacionado con el robo de carga terminó con una persona detenida y el aseguramiento de la unidad, así como de dos semirremolques, esto lo informó la Secretaría de Seguridad Pública de Hidalgo.E</t>
  </si>
  <si>
    <t>Combate a la delincuencia</t>
  </si>
  <si>
    <t>Personal de la Unidad de Medicina Familiar número 9 del Instituto Mexicano del Seguro Social en Cruz Azul y del Hospital General de Tula, perteneciente al sistema IMSS-Bienestar, informaron que trabajan bajo protesta debido a diversas inconformidades laborales y carencias en los servicios de salud. En la unidad médica de Cruz Azul fue colocada una lona para informar sobre la protesta, mientras que en el Hospital General de Tula se instalaron pancartas con las demandas de los trabajadores. Siete de la mañana ya con veintiocho minutos.</t>
  </si>
  <si>
    <t>Trabajo bajo protesta</t>
  </si>
  <si>
    <t>Le informamos que la doctora Concepción Carmona Ramos, jefa de Servicios de Atención a la Salud del IMSS-Bienestar Hidalgo, aclaró la situación del abasto de medicamentos e insumos anestésicos en los dieciocho hospitales con los que cuenta Hidalgo.Como todos sabemos hoy, todas las instituciones del sector salud somos ministradas o bien distribuidas por los mismos a través de la Secretaría de Salud Federal y que las compras se hacen justo a través de esta dependencia y en ese sentido, la que corresponde a entrega al estado de Hidalgo para el mes de octubre, justo se nos informó que el próximo viernes estaría generándose esa dotación. Pero reitero, el próximo viernes al estado de Hidalgo estará arribando la distribución, según el informe que nos da nuestro nivel central, de la totalidad de 80.000 dosis correspondientes al mes de octubre, lo cual se le instruirá a hacer esta distribución. El próximo viernes está arribando el insumo al estado de Hidalgo, ya se han salido, que corresponde a todos los dieciocho hospitales del estado y la siguiente semana se estarán entregando a todos los dieciocho hospitales lo que corresponde, como las luchas de urgencia. Pero justo fue uno de los temas que se trató el pasado viernes en donde la presidenta visitara a la entidad y afortunadamente a este corte los hospitales están operando de un abasto promedio del 75 al 80%. Hay hospitales que tienen un abasto mayor, hay hospitales que quizás entre un 70 pero el promedio está en 75 al 80%.</t>
  </si>
  <si>
    <t>Abasto De Medicamentos</t>
  </si>
  <si>
    <t>El secretario de la Contraloría de Hidalgo, Álvaro Bardales Ramírez, confirmó ante el Congreso del Estado que se han detenido a diez presidentes municipales que estaban en funciones por delitos vinculados a hechos de corrupción.Hoy Hidalgo es el primer lugar, desafortunadamente, en denuncias penales por hechos de corrupción. Presentamos cerca de cien denuncias contra quienes, con tolerancia, complicidad, desviaron recursos destinados a obras públicas y servicios esenciales. Se logró la detención de 25 personas, entre ellas un exsecretario, un exoficial mayor y diez presidentes municipales, diez alcaldes que se encontraban en funciones y fue a mitad de su periodo que por hechos de corrupción tuvieron que dejar el cargo que tenían.</t>
  </si>
  <si>
    <t>Y mire, pasando a otra información, la audiencia para definir las sanciones y la reparación del daño por el asesinato de tres mujeres en Santiago Tulantepec, fue reprogramada para el próximo miércoles 21 de octubre. La sesión del 14 de octubre se definió luego de que uno de los sentenciados cambiara de abogado. El nuevo defensor solicitó tiempo para revisar el expediente, incluidas las carpetas de investigación y las grabaciones de 35 audiencias.Familiares y allegados de las víctimas se manifestaron pacíficamente afuera de los juzgados. Exigieron la pena máxima y que los homicidios de Jocelyn y Daniela sean reclasificados como feminicidio, pues el tribunal determinó que no se acreditaron razones de género. En el caso de Guadalupe, hermana de Jocelyn, sí se acreditó feminicidio y aborto forzado.¡Buenas amigas! Y que se haga justicia, no sólo por ella, por todas las mujeres. ¡Que se haga justicia! ¡Que no se aplique esto así! ¡Ni una más! ¡Ni una más!</t>
  </si>
  <si>
    <t>Si su tarjeta del Banco del Bienestar venció, los depósitos de su apoyo continúan, informó el delegado Abraham Mendoza Centeno. En Hidalgo sigue la entrega de tarjetas renovadas. Las personas adultas mayores pueden acudir a su centro integrador para recibir orientación. Mediante un mensaje de texto se les indicará el día, la hora y el lugar para recoger su nuevo plástico.Antes de que se les venza o ya cuando están en el mes o en el segundo mes de vencimiento, estamos entregando precisamente estos medios de cobro. Es importante decirles lo siguiente, no porque las tarjetas estén vencidas, las personas dejan de cobrar. Se les sigue depositando porque es una cuenta de ahorro, sólo que la tarjeta pues está vencida. ¿Cómo pueden cobrar? Con su talón de pago o incluso con su tarjeta vencida y una identificación oficial, les pagan pero en ventanilla. Entonces, ahí hay un poquito más de fila, por así decirlo, y no con la comodidad del cajero automático. Entonces, por eso estamos entregando medios de cobro. En el caso del Estado de Hidalgo, el total será de más de cuatro mil cuatrocientas. En esta semana, antier que empezamos con poquitas, al próximo sábado.</t>
  </si>
  <si>
    <t>Programas Del Bienestar</t>
  </si>
  <si>
    <t>El pasado 14 de octubre fue el Día Mundial de la Donación de Órganos, Tejidos y Transplantes, una jornada para fomentar la donación y salvar vidas. Toda la información con nuestra compañera Claudia Alcántara.Para nadie es desconocido que una donación de órganos permite que una persona beneficiaria, además de aumentar su supervivencia, también tenga una mejor calidad de vida. De ahí que el trasplante de células, tejidos y órganos humanos sea cada día más una práctica común a nivel mundial. Cabe mencionar que en nuestro país la donación de órganos, tejidos y células se practica desde 1963. En el marco de la conmemoración del Día Mundial de la Donación de Órganos, Tejidos y Transplantes, instituida por la Organización Mundial de la Salud, cada 14 de octubre, tiene una intención de fortalecer la cultura de la donación y una actitud de generosidad de las personas ante situaciones complicadas de salud. En la entidad crece la procuración de órganos y tejidos, brindando con ello una esperanza a las más de 20.000 personas que se encuentran a la espera de un trasplante en el país. ¿Usted está a favor de la donación de órganos? Yo digo que está bien, porque así le dan oportunidad de vivir a las personas que lo necesitan. Sabemos que hay muchas personas que requieren de un riñón, de un corazón, de los ojos, de muchas cosas. A mí sí me parece bien, porque así le da más oportunidad de vivir a otras personas. Está muy bien, porque salva muchas vidas a las personas. Está muy bien para apoyar a todos los necesitados, por ejemplo, muchos que en accidentes pueden donar esos órganos. Sumarnos a esta, pues para dar esperanza de que los órganos, que una persona que tiene una muerte cerebral pueda donar sus órganos a un ser vivo que sí los pueda utilizar. Fortalezcamos la cultura de la donación de órganos. Para Enfoque Regional informó Claudia Alcántara.</t>
  </si>
  <si>
    <t>Donación De Órganos</t>
  </si>
  <si>
    <t>Un total de 128 regidores y síndicos de 46 municipios de Hidalgo se reunieron en Pachuca para rechazar la reforma al artículo 141 constitucional la cual busca eliminar la facultad del cabildo para autorizar la firma de contratos municipales. Regidoras, regidores, síndicas y síndicos de Hidalgo participaron en una reunión plural donde también fijaron posturas sobre la reforma aprobada para modernizar la gestión administrativa municipal.Para el funcionamiento de los municipios, reconocemos que los gobiernos municipales deben actuar con eficiencia y responder oportunamente a las necesidades de la población. Pero debemos formular una pregunta fundamental, ¿cómo lograr una administración más ágil sin debilitar los mecanismos de autorización, vigilancia y rendición de cuentas? Nuestra preocupación es que, al retirar determinadas decisiones del ámbito de autorización del cabildo se reduzcan los espacios de deliberación y contrapesos internos. En inquietud se suman los posicionamientos que han surgido por modificaciones previas a la Ley Orgánica Municipal, particularmente en relación con mayorías requeridas para aprobar decisiones presupuestarias y otros asuntos que anteriormente exigían mayores consensos. Es indispensable revisar conjuntamente el alcance de estas modificaciones, porque los requisitos de votación no son simples formalidades, pueden constituir mecanismos para promover acuerdos y evitar decisiones unilaterales.Son ya las 7 de la mañana con 12 minutos, que no se le haga tarde, maneje con muchísima precaución y por supuesto amanezca bien informado con nosotros y también con el reporte vial que le presentamos aquí a través de Super Stereo.</t>
  </si>
  <si>
    <t>Reforma a contrataciones municipales</t>
  </si>
  <si>
    <t>La presidenta del Patronato del DIF Hidalgo, Edda Vite Ramos, presentó su cuarto informe de actividades con resultados en salud, alimentación, educación y atención cercana a grupos prioritarios. Entre las acciones destacó la puesta en marcha del Centro de Salud Mental Pilares con una inversión superior a 12 millones de pesos y el apoyo a más de 300 familias con integrantes con discapacidad para impulsar proyectos productivos.</t>
  </si>
  <si>
    <t>La Contraloría de Hidalgo, Transparencia para el Pueblo y los súper agentes de la legalidad, ofrecen pláticas y talleres gratuitos para prevenir riesgos digitales entre niñas, niños y adolescentes. Las actividades están dirigidas a estudiantes, docentes y familias y además brindan herramientas para proteger datos personales, reconocer situaciones de ciberacoso o violencia digital y promover un uso responsable de Internet. También busca fortalecer el acompañamiento para detectar y atender a tiempo posibles riesgos en línea. Las comunidades escolares interesadas pueden solicitar estas actividades con las instituciones participantes.</t>
  </si>
  <si>
    <t>Entornos digitales seguridad</t>
  </si>
  <si>
    <t>El secretario de Seguridad Pública, Salvador Cruz Neri, habló sobre la fosa clandestina localizada en los límites de Hidalgo y Estado de México. La Fosa, la Comisión de Búsqueda de Personas del Estado de Hidalgo, todos los días hace, camina y hace acciones en busca de personas desaparecidas, ¿no? En coordinación con la Procuraduría del Estado. La información que yo tengo es que en un lugar denominado Texas, en la comunidad muy pegado en los límites con Estado de México, encontraron cinco cuerpos</t>
  </si>
  <si>
    <t>Francisco Fernández Hasbun, jefe de despacho encargado de la Procuraduría General de Justicia, informó sobre la detención de Pedro N en el municipio de Tula. Hoy por la mañana, muy temprano, se detuvo una persona al nombre de Pedro N. Esa persona lo teníamos considerado en el escalón de la operatividad que llevaba el delincuente El H, ustedes recuerdan que fue detenido en Hidalgo, en un segundo plano. Creemos que con esta detención vamos a lograr tener mucho más tranquilidad en la zona de Tula-Tepeji y vamos a seguir deteniendo a cualquier criminal que haga daño o mueva la estructura en realidad.</t>
  </si>
  <si>
    <t>Detención</t>
  </si>
  <si>
    <t>Como resultado de acciones a cargo de la Agencia de Investigación Criminal de la Procuraduría General de Justicia del Estado de Hidalgo, fue detenido un hombre de iniciales P. A. A., objetivo prioritario en la entidad. La detención de quien es ubicado como el brazo derecho de "El H", detenido anteriormente por la Procuraduría General de Justicia de Hidalgo, ocurrió en la localidad de Xochitlán de las Flores, municipio de Tula de Allende</t>
  </si>
  <si>
    <t>Radioescucha 7723. Dice: «Muy buenos días, Lalo. Antes de todo, saludos cordiales. Por primera vez que te escribo solicitando tu valioso apoyo: hace tres meses CAASIM vino a revisar unas tomas de agua en el bulevar Paseos de Chavarria, en la segunda glorieta entrando por Sahagún, dejando inconcluso».</t>
  </si>
  <si>
    <t>Obra inconclusa</t>
  </si>
  <si>
    <t>Radioescucha 6024. Dice: «Muy buenos días, licenciado. Soy el señor Badillo. Aquí en la colonia Real de Oriente no tenemos agua desde hace una semana».</t>
  </si>
  <si>
    <t>Abandono de obra</t>
  </si>
  <si>
    <t>Radioescucha dice: «Lalo, un favor, reporto aquí que en la colonia CTM no cae agua desde hace cuatro días»</t>
  </si>
  <si>
    <t>Radioescucha dice: Muy buenos días, señor Larrieta. Para saludar, Pedro Nieto. Solamente para solicitar el apoyo de CAASIM para ver si hay solución, porque no nos dan... no nos ha caído agua desde hace tres días en el barrio de San Clemente</t>
  </si>
  <si>
    <t>Trabajadores del IMSS bloquean de manera intermitente la carretera México-Pachuca en Tecámac</t>
  </si>
  <si>
    <t>El Comité de Emergencias de Mineral de la Reforma, encabezado por el alcalde Eduardo Medécigo Rubio, presentó un plan de acción para atender contingencias provocadas por fenómenos hidrometeorológicos. El plan incluye la participación de instancias de los tres órdenes de gobierno y de las dependencias que integran la presidencia municipal. Ante los integrantes del comité, el alcalde señaló que estas condiciones meteorológicas son un asunto de alta prioridad para toda la población del municipio, por lo que las labores se enfocan en su protección.</t>
  </si>
  <si>
    <t>Comité de emergencias</t>
  </si>
  <si>
    <t>La Fiscalía General de la República (FGR), a través de la Fiscalía Especializada de Control Regional (FECOR) en su representación en el estado de Hidalgo, ejecutó un cateo en el que se aseguró un inmueble, ubicado en la localidad de Segundas Lajas, perteneciente al municipio de Singuilucan, por un delito contra la salud en la modalidad de posesión de narcóticos con fines comercio en su hipótesis de venta.La diligencia de cateo derivó de una denuncia interpuesta en la que se informó sobre un local comercial donde se realiza la venta de narcótico.Por lo que el Ministerio Público de la Federación, en coordinación con elementos de la Policía Federal Ministerial (PFM) ingresaron al inmueble y aseguraron 153 cápsulas y 26 tabletas de psicotrópico denominado clobenzorex, 177 tabletas de metilfenidato y 2.5 gramos de clorhidrato de cocaína, numerario, una báscula y tres teléfonos celulares.En la diligencia también detuvieron a tres personas, las cuales junto con el inmueble y lo asegurado quedaron a disposición de la Fiscalía General de la Republica.</t>
  </si>
  <si>
    <t>Como resultado de acciones a cargo de la Agencia de Investigación Criminal de la Procuraduría General de Justicia del Estado de Hidalgo, fue detenido un hombre de iniciales P. A. A., objetivo prioritario en la entidad.La detención de quien es ubicado como el brazo derecho de “El H”, detenido anteriormente por la PGJEH, ocurrió en la localidad de Xochitlán de las Flores, municipio de Tula de Allende</t>
  </si>
  <si>
    <t>En su comparecencia en el Congreso del Estado de Hidalgo, Salvador Cruz Neri, secretario de seguridad pública de Hidalgo, fue cuestionado por la diputada Karla Perales, sobre el reclutamiento de menores de edad en Hidalgo.</t>
  </si>
  <si>
    <t>Con acciones de combate a la delincuencia, prevención y atención ciudadana, la Secretaría de Seguridad Pública de Hidalgo (SSPH) presentó los resultados de cuatro años de trabajo durante la comparecencia de su titular, Salvador Cruz Neri, ante el Congreso del Estado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</si>
</sst>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64" formatCode="d/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32" tableType="queryTable" totalsRowShown="0">
  <autoFilter ref="A1:M132" xr:uid="{717AF3FA-E95C-4D17-A1C9-B8D7CBE34EF0}"/>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32"/>
  <sheetViews>
    <sheetView tabSelected="1" topLeftCell="A97" workbookViewId="0">
      <selection activeCell="A132" sqref="A132"/>
    </sheetView>
  </sheetViews>
  <sheetFormatPr baseColWidth="10" defaultRowHeight="15" x14ac:dyDescent="0.25"/>
  <cols>
    <col min="1" max="1" width="8.5703125" bestFit="1" customWidth="1"/>
    <col min="2" max="2" width="11.42578125" bestFit="1" customWidth="1"/>
    <col min="3" max="3" width="20" bestFit="1" customWidth="1"/>
    <col min="4" max="4" width="29.42578125" bestFit="1" customWidth="1"/>
    <col min="5" max="5" width="81.140625" bestFit="1" customWidth="1"/>
    <col min="6" max="6" width="15.28515625" bestFit="1" customWidth="1"/>
    <col min="7" max="7" width="35.7109375" bestFit="1" customWidth="1"/>
    <col min="8" max="9" width="12.42578125" bestFit="1" customWidth="1"/>
    <col min="10" max="10" width="25.7109375" bestFit="1" customWidth="1"/>
    <col min="11" max="11" width="22.28515625" bestFit="1" customWidth="1"/>
    <col min="12" max="12" width="17.570312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15</v>
      </c>
      <c r="C1" t="s">
        <v>16</v>
      </c>
      <c r="D1" t="s">
        <v>17</v>
      </c>
      <c r="E1" t="s">
        <v>1</v>
      </c>
      <c r="F1" t="s">
        <v>2</v>
      </c>
      <c r="G1" t="s">
        <v>4</v>
      </c>
      <c r="H1" t="s">
        <v>3</v>
      </c>
      <c r="I1" t="s">
        <v>5</v>
      </c>
      <c r="J1" t="s">
        <v>18</v>
      </c>
      <c r="K1" t="s">
        <v>19</v>
      </c>
      <c r="L1" t="s">
        <v>20</v>
      </c>
      <c r="M1" t="s">
        <v>25</v>
      </c>
    </row>
    <row r="2" spans="1:13" x14ac:dyDescent="0.25">
      <c r="A2" s="2">
        <v>46310</v>
      </c>
      <c r="B2" s="1" t="str">
        <f ca="1">IF(Información1[[#This Row],[Fecha]]='Ajuste de fechas'!$A$2,"Día actual","Día anterior")</f>
        <v>Día anterior</v>
      </c>
      <c r="C2" s="3" t="s">
        <v>47</v>
      </c>
      <c r="D2" t="s">
        <v>48</v>
      </c>
      <c r="E2" s="3" t="s">
        <v>80</v>
      </c>
      <c r="F2" s="3" t="s">
        <v>36</v>
      </c>
      <c r="G2" s="3" t="s">
        <v>58</v>
      </c>
      <c r="H2" s="3" t="s">
        <v>31</v>
      </c>
      <c r="I2" s="3" t="s">
        <v>7</v>
      </c>
      <c r="J2" s="3" t="s">
        <v>21</v>
      </c>
      <c r="K2" s="3" t="s">
        <v>81</v>
      </c>
      <c r="L2" s="3" t="s">
        <v>22</v>
      </c>
      <c r="M2">
        <v>1</v>
      </c>
    </row>
    <row r="3" spans="1:13" x14ac:dyDescent="0.25">
      <c r="A3" s="2">
        <v>46310</v>
      </c>
      <c r="B3" s="1" t="str">
        <f ca="1">IF(Información1[[#This Row],[Fecha]]='Ajuste de fechas'!$A$2,"Día actual","Día anterior")</f>
        <v>Día anterior</v>
      </c>
      <c r="C3" s="3" t="s">
        <v>47</v>
      </c>
      <c r="D3" t="s">
        <v>48</v>
      </c>
      <c r="E3" s="3" t="s">
        <v>118</v>
      </c>
      <c r="F3" s="3" t="s">
        <v>119</v>
      </c>
      <c r="G3" s="3" t="s">
        <v>120</v>
      </c>
      <c r="H3" s="3" t="s">
        <v>31</v>
      </c>
      <c r="I3" s="3" t="s">
        <v>14</v>
      </c>
      <c r="J3" s="3" t="s">
        <v>21</v>
      </c>
      <c r="K3" s="3" t="s">
        <v>49</v>
      </c>
      <c r="L3" s="3" t="s">
        <v>23</v>
      </c>
      <c r="M3">
        <v>1</v>
      </c>
    </row>
    <row r="4" spans="1:13" x14ac:dyDescent="0.25">
      <c r="A4" s="2">
        <v>46310</v>
      </c>
      <c r="B4" s="1" t="str">
        <f ca="1">IF(Información1[[#This Row],[Fecha]]='Ajuste de fechas'!$A$2,"Día actual","Día anterior")</f>
        <v>Día anterior</v>
      </c>
      <c r="C4" s="3" t="s">
        <v>47</v>
      </c>
      <c r="D4" t="s">
        <v>48</v>
      </c>
      <c r="E4" s="3" t="s">
        <v>121</v>
      </c>
      <c r="F4" s="3" t="s">
        <v>122</v>
      </c>
      <c r="G4" s="3" t="s">
        <v>123</v>
      </c>
      <c r="H4" s="3" t="s">
        <v>31</v>
      </c>
      <c r="I4" s="3" t="s">
        <v>7</v>
      </c>
      <c r="J4" s="3" t="s">
        <v>124</v>
      </c>
      <c r="K4" s="3" t="s">
        <v>73</v>
      </c>
      <c r="L4" s="3" t="s">
        <v>22</v>
      </c>
      <c r="M4">
        <v>1</v>
      </c>
    </row>
    <row r="5" spans="1:13" x14ac:dyDescent="0.25">
      <c r="A5" s="2">
        <v>46310</v>
      </c>
      <c r="B5" s="1" t="str">
        <f ca="1">IF(Información1[[#This Row],[Fecha]]='Ajuste de fechas'!$A$2,"Día actual","Día anterior")</f>
        <v>Día anterior</v>
      </c>
      <c r="C5" s="3" t="s">
        <v>47</v>
      </c>
      <c r="D5" t="s">
        <v>48</v>
      </c>
      <c r="E5" s="3" t="s">
        <v>82</v>
      </c>
      <c r="F5" s="3" t="s">
        <v>36</v>
      </c>
      <c r="G5" s="3" t="s">
        <v>58</v>
      </c>
      <c r="H5" s="3" t="s">
        <v>31</v>
      </c>
      <c r="I5" s="3" t="s">
        <v>7</v>
      </c>
      <c r="J5" s="3" t="s">
        <v>21</v>
      </c>
      <c r="K5" s="3" t="s">
        <v>73</v>
      </c>
      <c r="L5" s="3" t="s">
        <v>22</v>
      </c>
      <c r="M5">
        <v>1</v>
      </c>
    </row>
    <row r="6" spans="1:13" x14ac:dyDescent="0.25">
      <c r="A6" s="2">
        <v>46310</v>
      </c>
      <c r="B6" s="1" t="str">
        <f ca="1">IF(Información1[[#This Row],[Fecha]]='Ajuste de fechas'!$A$2,"Día actual","Día anterior")</f>
        <v>Día anterior</v>
      </c>
      <c r="C6" s="3" t="s">
        <v>47</v>
      </c>
      <c r="D6" t="s">
        <v>48</v>
      </c>
      <c r="E6" s="3" t="s">
        <v>125</v>
      </c>
      <c r="F6" s="3" t="s">
        <v>126</v>
      </c>
      <c r="G6" s="3" t="s">
        <v>127</v>
      </c>
      <c r="H6" s="3" t="s">
        <v>31</v>
      </c>
      <c r="I6" s="3" t="s">
        <v>7</v>
      </c>
      <c r="J6" s="3" t="s">
        <v>126</v>
      </c>
      <c r="K6" s="3" t="s">
        <v>73</v>
      </c>
      <c r="L6" s="3" t="s">
        <v>22</v>
      </c>
      <c r="M6">
        <v>1</v>
      </c>
    </row>
    <row r="7" spans="1:13" x14ac:dyDescent="0.25">
      <c r="A7" s="2">
        <v>46310</v>
      </c>
      <c r="B7" s="1" t="str">
        <f ca="1">IF(Información1[[#This Row],[Fecha]]='Ajuste de fechas'!$A$2,"Día actual","Día anterior")</f>
        <v>Día anterior</v>
      </c>
      <c r="C7" s="3" t="s">
        <v>47</v>
      </c>
      <c r="D7" t="s">
        <v>48</v>
      </c>
      <c r="E7" s="3" t="s">
        <v>128</v>
      </c>
      <c r="F7" s="3" t="s">
        <v>122</v>
      </c>
      <c r="G7" s="3" t="s">
        <v>129</v>
      </c>
      <c r="H7" s="3" t="s">
        <v>31</v>
      </c>
      <c r="I7" s="3" t="s">
        <v>7</v>
      </c>
      <c r="J7" s="3" t="s">
        <v>124</v>
      </c>
      <c r="K7" s="3" t="s">
        <v>73</v>
      </c>
      <c r="L7" s="3" t="s">
        <v>22</v>
      </c>
      <c r="M7">
        <v>1</v>
      </c>
    </row>
    <row r="8" spans="1:13" x14ac:dyDescent="0.25">
      <c r="A8" s="2">
        <v>46310</v>
      </c>
      <c r="B8" s="1" t="str">
        <f ca="1">IF(Información1[[#This Row],[Fecha]]='Ajuste de fechas'!$A$2,"Día actual","Día anterior")</f>
        <v>Día anterior</v>
      </c>
      <c r="C8" s="3" t="s">
        <v>47</v>
      </c>
      <c r="D8" t="s">
        <v>48</v>
      </c>
      <c r="E8" s="3" t="s">
        <v>83</v>
      </c>
      <c r="F8" s="3" t="s">
        <v>13</v>
      </c>
      <c r="G8" s="3" t="s">
        <v>71</v>
      </c>
      <c r="H8" s="3" t="s">
        <v>31</v>
      </c>
      <c r="I8" s="3" t="s">
        <v>7</v>
      </c>
      <c r="J8" s="3" t="s">
        <v>21</v>
      </c>
      <c r="K8" s="3" t="s">
        <v>73</v>
      </c>
      <c r="L8" s="3" t="s">
        <v>24</v>
      </c>
      <c r="M8">
        <v>1</v>
      </c>
    </row>
    <row r="9" spans="1:13" x14ac:dyDescent="0.25">
      <c r="A9" s="2">
        <v>46310</v>
      </c>
      <c r="B9" s="1" t="str">
        <f ca="1">IF(Información1[[#This Row],[Fecha]]='Ajuste de fechas'!$A$2,"Día actual","Día anterior")</f>
        <v>Día anterior</v>
      </c>
      <c r="C9" s="3" t="s">
        <v>47</v>
      </c>
      <c r="D9" t="s">
        <v>48</v>
      </c>
      <c r="E9" s="3" t="s">
        <v>130</v>
      </c>
      <c r="F9" s="3" t="s">
        <v>122</v>
      </c>
      <c r="G9" s="3" t="s">
        <v>131</v>
      </c>
      <c r="H9" s="3" t="s">
        <v>31</v>
      </c>
      <c r="I9" s="3" t="s">
        <v>7</v>
      </c>
      <c r="J9" s="3" t="s">
        <v>124</v>
      </c>
      <c r="K9" s="3" t="s">
        <v>49</v>
      </c>
      <c r="L9" s="3" t="s">
        <v>28</v>
      </c>
      <c r="M9">
        <v>1</v>
      </c>
    </row>
    <row r="10" spans="1:13" x14ac:dyDescent="0.25">
      <c r="A10" s="2">
        <v>46310</v>
      </c>
      <c r="B10" s="1" t="str">
        <f ca="1">IF(Información1[[#This Row],[Fecha]]='Ajuste de fechas'!$A$2,"Día actual","Día anterior")</f>
        <v>Día anterior</v>
      </c>
      <c r="C10" s="3" t="s">
        <v>47</v>
      </c>
      <c r="D10" t="s">
        <v>48</v>
      </c>
      <c r="E10" s="3" t="s">
        <v>84</v>
      </c>
      <c r="F10" s="3" t="s">
        <v>65</v>
      </c>
      <c r="G10" s="3" t="s">
        <v>63</v>
      </c>
      <c r="H10" s="3" t="s">
        <v>31</v>
      </c>
      <c r="I10" s="3" t="s">
        <v>7</v>
      </c>
      <c r="J10" s="3" t="s">
        <v>21</v>
      </c>
      <c r="K10" s="3" t="s">
        <v>49</v>
      </c>
      <c r="L10" s="3" t="s">
        <v>22</v>
      </c>
      <c r="M10">
        <v>1</v>
      </c>
    </row>
    <row r="11" spans="1:13" x14ac:dyDescent="0.25">
      <c r="A11" s="2">
        <v>46310</v>
      </c>
      <c r="B11" s="1" t="str">
        <f ca="1">IF(Información1[[#This Row],[Fecha]]='Ajuste de fechas'!$A$2,"Día actual","Día anterior")</f>
        <v>Día anterior</v>
      </c>
      <c r="C11" s="3" t="s">
        <v>47</v>
      </c>
      <c r="D11" t="s">
        <v>48</v>
      </c>
      <c r="E11" s="3" t="s">
        <v>132</v>
      </c>
      <c r="F11" s="3" t="s">
        <v>119</v>
      </c>
      <c r="G11" s="3" t="s">
        <v>63</v>
      </c>
      <c r="H11" s="3" t="s">
        <v>31</v>
      </c>
      <c r="I11" s="3" t="s">
        <v>7</v>
      </c>
      <c r="J11" s="3" t="s">
        <v>21</v>
      </c>
      <c r="K11" s="3" t="s">
        <v>73</v>
      </c>
      <c r="L11" s="3" t="s">
        <v>22</v>
      </c>
      <c r="M11">
        <v>1</v>
      </c>
    </row>
    <row r="12" spans="1:13" x14ac:dyDescent="0.25">
      <c r="A12" s="2">
        <v>46310</v>
      </c>
      <c r="B12" s="1" t="str">
        <f ca="1">IF(Información1[[#This Row],[Fecha]]='Ajuste de fechas'!$A$2,"Día actual","Día anterior")</f>
        <v>Día anterior</v>
      </c>
      <c r="C12" s="3" t="s">
        <v>47</v>
      </c>
      <c r="D12" t="s">
        <v>48</v>
      </c>
      <c r="E12" s="3" t="s">
        <v>133</v>
      </c>
      <c r="F12" s="3" t="s">
        <v>134</v>
      </c>
      <c r="G12" s="3" t="s">
        <v>135</v>
      </c>
      <c r="H12" s="3" t="s">
        <v>31</v>
      </c>
      <c r="I12" s="3" t="s">
        <v>7</v>
      </c>
      <c r="J12" s="3" t="s">
        <v>126</v>
      </c>
      <c r="K12" s="3" t="s">
        <v>73</v>
      </c>
      <c r="L12" s="3" t="s">
        <v>22</v>
      </c>
      <c r="M12">
        <v>1</v>
      </c>
    </row>
    <row r="13" spans="1:13" x14ac:dyDescent="0.25">
      <c r="A13" s="2">
        <v>46310</v>
      </c>
      <c r="B13" s="1" t="str">
        <f ca="1">IF(Información1[[#This Row],[Fecha]]='Ajuste de fechas'!$A$2,"Día actual","Día anterior")</f>
        <v>Día anterior</v>
      </c>
      <c r="C13" s="3" t="s">
        <v>47</v>
      </c>
      <c r="D13" t="s">
        <v>48</v>
      </c>
      <c r="E13" s="3" t="s">
        <v>136</v>
      </c>
      <c r="F13" s="3" t="s">
        <v>137</v>
      </c>
      <c r="G13" s="3" t="s">
        <v>138</v>
      </c>
      <c r="H13" s="3" t="s">
        <v>31</v>
      </c>
      <c r="I13" s="3" t="s">
        <v>7</v>
      </c>
      <c r="J13" s="3" t="s">
        <v>126</v>
      </c>
      <c r="K13" s="3" t="s">
        <v>73</v>
      </c>
      <c r="L13" s="3" t="s">
        <v>22</v>
      </c>
      <c r="M13">
        <v>1</v>
      </c>
    </row>
    <row r="14" spans="1:13" x14ac:dyDescent="0.25">
      <c r="A14" s="2">
        <v>46310</v>
      </c>
      <c r="B14" s="1" t="str">
        <f ca="1">IF(Información1[[#This Row],[Fecha]]='Ajuste de fechas'!$A$2,"Día actual","Día anterior")</f>
        <v>Día anterior</v>
      </c>
      <c r="C14" s="3" t="s">
        <v>47</v>
      </c>
      <c r="D14" t="s">
        <v>48</v>
      </c>
      <c r="E14" s="3" t="s">
        <v>139</v>
      </c>
      <c r="F14" s="3" t="s">
        <v>122</v>
      </c>
      <c r="G14" s="3" t="s">
        <v>55</v>
      </c>
      <c r="H14" s="3" t="s">
        <v>31</v>
      </c>
      <c r="I14" s="3" t="s">
        <v>7</v>
      </c>
      <c r="J14" s="3" t="s">
        <v>124</v>
      </c>
      <c r="K14" s="3" t="s">
        <v>49</v>
      </c>
      <c r="L14" s="3" t="s">
        <v>22</v>
      </c>
      <c r="M14">
        <v>1</v>
      </c>
    </row>
    <row r="15" spans="1:13" x14ac:dyDescent="0.25">
      <c r="A15" s="2">
        <v>46310</v>
      </c>
      <c r="B15" s="1" t="str">
        <f ca="1">IF(Información1[[#This Row],[Fecha]]='Ajuste de fechas'!$A$2,"Día actual","Día anterior")</f>
        <v>Día anterior</v>
      </c>
      <c r="C15" s="3" t="s">
        <v>47</v>
      </c>
      <c r="D15" t="s">
        <v>48</v>
      </c>
      <c r="E15" s="3" t="s">
        <v>140</v>
      </c>
      <c r="F15" s="3" t="s">
        <v>122</v>
      </c>
      <c r="G15" s="3" t="s">
        <v>141</v>
      </c>
      <c r="H15" s="3" t="s">
        <v>31</v>
      </c>
      <c r="I15" s="3" t="s">
        <v>7</v>
      </c>
      <c r="J15" s="3" t="s">
        <v>124</v>
      </c>
      <c r="K15" s="3" t="s">
        <v>142</v>
      </c>
      <c r="L15" s="3" t="s">
        <v>143</v>
      </c>
      <c r="M15">
        <v>1</v>
      </c>
    </row>
    <row r="16" spans="1:13" x14ac:dyDescent="0.25">
      <c r="A16" s="2">
        <v>46310</v>
      </c>
      <c r="B16" s="1" t="str">
        <f ca="1">IF(Información1[[#This Row],[Fecha]]='Ajuste de fechas'!$A$2,"Día actual","Día anterior")</f>
        <v>Día anterior</v>
      </c>
      <c r="C16" s="3" t="s">
        <v>47</v>
      </c>
      <c r="D16" t="s">
        <v>48</v>
      </c>
      <c r="E16" s="3" t="s">
        <v>144</v>
      </c>
      <c r="F16" s="3" t="s">
        <v>122</v>
      </c>
      <c r="G16" s="3" t="s">
        <v>145</v>
      </c>
      <c r="H16" s="3" t="s">
        <v>31</v>
      </c>
      <c r="I16" s="3" t="s">
        <v>7</v>
      </c>
      <c r="J16" s="3" t="s">
        <v>124</v>
      </c>
      <c r="K16" s="3" t="s">
        <v>73</v>
      </c>
      <c r="L16" s="3" t="s">
        <v>22</v>
      </c>
      <c r="M16">
        <v>1</v>
      </c>
    </row>
    <row r="17" spans="1:13" x14ac:dyDescent="0.25">
      <c r="A17" s="2">
        <v>46310</v>
      </c>
      <c r="B17" s="1" t="str">
        <f ca="1">IF(Información1[[#This Row],[Fecha]]='Ajuste de fechas'!$A$2,"Día actual","Día anterior")</f>
        <v>Día anterior</v>
      </c>
      <c r="C17" s="3" t="s">
        <v>47</v>
      </c>
      <c r="D17" t="s">
        <v>48</v>
      </c>
      <c r="E17" s="3" t="s">
        <v>85</v>
      </c>
      <c r="F17" s="3" t="s">
        <v>29</v>
      </c>
      <c r="G17" s="3" t="s">
        <v>86</v>
      </c>
      <c r="H17" s="3" t="s">
        <v>31</v>
      </c>
      <c r="I17" s="3" t="s">
        <v>7</v>
      </c>
      <c r="J17" s="3" t="s">
        <v>21</v>
      </c>
      <c r="K17" s="3" t="s">
        <v>73</v>
      </c>
      <c r="L17" s="3" t="s">
        <v>22</v>
      </c>
      <c r="M17">
        <v>1</v>
      </c>
    </row>
    <row r="18" spans="1:13" x14ac:dyDescent="0.25">
      <c r="A18" s="2">
        <v>46310</v>
      </c>
      <c r="B18" s="1" t="str">
        <f ca="1">IF(Información1[[#This Row],[Fecha]]='Ajuste de fechas'!$A$2,"Día actual","Día anterior")</f>
        <v>Día anterior</v>
      </c>
      <c r="C18" s="3" t="s">
        <v>47</v>
      </c>
      <c r="D18" t="s">
        <v>48</v>
      </c>
      <c r="E18" s="3" t="s">
        <v>146</v>
      </c>
      <c r="F18" s="3" t="s">
        <v>147</v>
      </c>
      <c r="G18" s="3" t="s">
        <v>148</v>
      </c>
      <c r="H18" s="3" t="s">
        <v>31</v>
      </c>
      <c r="I18" s="3" t="s">
        <v>14</v>
      </c>
      <c r="J18" s="3" t="s">
        <v>149</v>
      </c>
      <c r="K18" s="3" t="s">
        <v>49</v>
      </c>
      <c r="L18" s="3" t="s">
        <v>22</v>
      </c>
      <c r="M18">
        <v>1</v>
      </c>
    </row>
    <row r="19" spans="1:13" x14ac:dyDescent="0.25">
      <c r="A19" s="2">
        <v>46310</v>
      </c>
      <c r="B19" s="1" t="str">
        <f ca="1">IF(Información1[[#This Row],[Fecha]]='Ajuste de fechas'!$A$2,"Día actual","Día anterior")</f>
        <v>Día anterior</v>
      </c>
      <c r="C19" s="3" t="s">
        <v>42</v>
      </c>
      <c r="D19" t="s">
        <v>43</v>
      </c>
      <c r="E19" s="3" t="s">
        <v>87</v>
      </c>
      <c r="F19" s="3" t="s">
        <v>13</v>
      </c>
      <c r="G19" s="3" t="s">
        <v>88</v>
      </c>
      <c r="H19" s="3" t="s">
        <v>44</v>
      </c>
      <c r="I19" s="3" t="s">
        <v>10</v>
      </c>
      <c r="J19" s="3" t="s">
        <v>21</v>
      </c>
      <c r="K19" s="3" t="s">
        <v>46</v>
      </c>
      <c r="L19" s="3" t="s">
        <v>23</v>
      </c>
      <c r="M19">
        <v>1</v>
      </c>
    </row>
    <row r="20" spans="1:13" x14ac:dyDescent="0.25">
      <c r="A20" s="2">
        <v>46310</v>
      </c>
      <c r="B20" s="1" t="str">
        <f ca="1">IF(Información1[[#This Row],[Fecha]]='Ajuste de fechas'!$A$2,"Día actual","Día anterior")</f>
        <v>Día anterior</v>
      </c>
      <c r="C20" s="3" t="s">
        <v>42</v>
      </c>
      <c r="D20" t="s">
        <v>43</v>
      </c>
      <c r="E20" s="3" t="s">
        <v>89</v>
      </c>
      <c r="F20" s="3" t="s">
        <v>13</v>
      </c>
      <c r="G20" s="3" t="s">
        <v>72</v>
      </c>
      <c r="H20" s="3" t="s">
        <v>44</v>
      </c>
      <c r="I20" s="3" t="s">
        <v>7</v>
      </c>
      <c r="J20" s="3" t="s">
        <v>21</v>
      </c>
      <c r="K20" s="3" t="s">
        <v>45</v>
      </c>
      <c r="L20" s="3" t="s">
        <v>24</v>
      </c>
      <c r="M20">
        <v>1</v>
      </c>
    </row>
    <row r="21" spans="1:13" x14ac:dyDescent="0.25">
      <c r="A21" s="2">
        <v>46310</v>
      </c>
      <c r="B21" s="1" t="str">
        <f ca="1">IF(Información1[[#This Row],[Fecha]]='Ajuste de fechas'!$A$2,"Día actual","Día anterior")</f>
        <v>Día anterior</v>
      </c>
      <c r="C21" s="3" t="s">
        <v>42</v>
      </c>
      <c r="D21" t="s">
        <v>43</v>
      </c>
      <c r="E21" s="3" t="s">
        <v>150</v>
      </c>
      <c r="F21" s="3" t="s">
        <v>122</v>
      </c>
      <c r="G21" s="3" t="s">
        <v>151</v>
      </c>
      <c r="H21" s="3" t="s">
        <v>44</v>
      </c>
      <c r="I21" s="3" t="s">
        <v>7</v>
      </c>
      <c r="J21" s="3" t="s">
        <v>124</v>
      </c>
      <c r="K21" s="3" t="s">
        <v>46</v>
      </c>
      <c r="L21" s="3" t="s">
        <v>22</v>
      </c>
      <c r="M21">
        <v>1</v>
      </c>
    </row>
    <row r="22" spans="1:13" x14ac:dyDescent="0.25">
      <c r="A22" s="2">
        <v>46310</v>
      </c>
      <c r="B22" s="1" t="str">
        <f ca="1">IF(Información1[[#This Row],[Fecha]]='Ajuste de fechas'!$A$2,"Día actual","Día anterior")</f>
        <v>Día anterior</v>
      </c>
      <c r="C22" s="3" t="s">
        <v>42</v>
      </c>
      <c r="D22" t="s">
        <v>43</v>
      </c>
      <c r="E22" s="3" t="s">
        <v>152</v>
      </c>
      <c r="F22" s="3" t="s">
        <v>122</v>
      </c>
      <c r="G22" s="3" t="s">
        <v>153</v>
      </c>
      <c r="H22" s="3" t="s">
        <v>44</v>
      </c>
      <c r="I22" s="3" t="s">
        <v>7</v>
      </c>
      <c r="J22" s="3" t="s">
        <v>124</v>
      </c>
      <c r="K22" s="3" t="s">
        <v>45</v>
      </c>
      <c r="L22" s="3" t="s">
        <v>22</v>
      </c>
      <c r="M22">
        <v>1</v>
      </c>
    </row>
    <row r="23" spans="1:13" x14ac:dyDescent="0.25">
      <c r="A23" s="2">
        <v>46310</v>
      </c>
      <c r="B23" s="1" t="str">
        <f ca="1">IF(Información1[[#This Row],[Fecha]]='Ajuste de fechas'!$A$2,"Día actual","Día anterior")</f>
        <v>Día anterior</v>
      </c>
      <c r="C23" s="3" t="s">
        <v>42</v>
      </c>
      <c r="D23" t="s">
        <v>43</v>
      </c>
      <c r="E23" s="3" t="s">
        <v>154</v>
      </c>
      <c r="F23" s="3" t="s">
        <v>155</v>
      </c>
      <c r="G23" s="3" t="s">
        <v>156</v>
      </c>
      <c r="H23" s="3" t="s">
        <v>44</v>
      </c>
      <c r="I23" s="3" t="s">
        <v>7</v>
      </c>
      <c r="J23" s="3" t="s">
        <v>157</v>
      </c>
      <c r="K23" s="3" t="s">
        <v>46</v>
      </c>
      <c r="L23" s="3" t="s">
        <v>22</v>
      </c>
      <c r="M23">
        <v>1</v>
      </c>
    </row>
    <row r="24" spans="1:13" x14ac:dyDescent="0.25">
      <c r="A24" s="2">
        <v>46310</v>
      </c>
      <c r="B24" s="1" t="str">
        <f ca="1">IF(Información1[[#This Row],[Fecha]]='Ajuste de fechas'!$A$2,"Día actual","Día anterior")</f>
        <v>Día anterior</v>
      </c>
      <c r="C24" s="3" t="s">
        <v>42</v>
      </c>
      <c r="D24" t="s">
        <v>43</v>
      </c>
      <c r="E24" s="3" t="s">
        <v>158</v>
      </c>
      <c r="F24" s="3" t="s">
        <v>159</v>
      </c>
      <c r="G24" s="3" t="s">
        <v>160</v>
      </c>
      <c r="H24" s="3" t="s">
        <v>44</v>
      </c>
      <c r="I24" s="3" t="s">
        <v>7</v>
      </c>
      <c r="J24" s="3" t="s">
        <v>21</v>
      </c>
      <c r="K24" s="3" t="s">
        <v>46</v>
      </c>
      <c r="L24" s="3" t="s">
        <v>22</v>
      </c>
      <c r="M24">
        <v>1</v>
      </c>
    </row>
    <row r="25" spans="1:13" x14ac:dyDescent="0.25">
      <c r="A25" s="2">
        <v>46310</v>
      </c>
      <c r="B25" s="1" t="str">
        <f ca="1">IF(Información1[[#This Row],[Fecha]]='Ajuste de fechas'!$A$2,"Día actual","Día anterior")</f>
        <v>Día anterior</v>
      </c>
      <c r="C25" s="3" t="s">
        <v>42</v>
      </c>
      <c r="D25" t="s">
        <v>43</v>
      </c>
      <c r="E25" s="3" t="s">
        <v>90</v>
      </c>
      <c r="F25" s="3" t="s">
        <v>68</v>
      </c>
      <c r="G25" s="3" t="s">
        <v>91</v>
      </c>
      <c r="H25" s="3" t="s">
        <v>44</v>
      </c>
      <c r="I25" s="3" t="s">
        <v>7</v>
      </c>
      <c r="J25" s="3" t="s">
        <v>21</v>
      </c>
      <c r="K25" s="3" t="s">
        <v>45</v>
      </c>
      <c r="L25" s="3" t="s">
        <v>22</v>
      </c>
      <c r="M25">
        <v>1</v>
      </c>
    </row>
    <row r="26" spans="1:13" x14ac:dyDescent="0.25">
      <c r="A26" s="2">
        <v>46310</v>
      </c>
      <c r="B26" s="1" t="str">
        <f ca="1">IF(Información1[[#This Row],[Fecha]]='Ajuste de fechas'!$A$2,"Día actual","Día anterior")</f>
        <v>Día anterior</v>
      </c>
      <c r="C26" s="3" t="s">
        <v>42</v>
      </c>
      <c r="D26" t="s">
        <v>43</v>
      </c>
      <c r="E26" s="3" t="s">
        <v>92</v>
      </c>
      <c r="F26" s="3" t="s">
        <v>29</v>
      </c>
      <c r="G26" s="3" t="s">
        <v>75</v>
      </c>
      <c r="H26" s="3" t="s">
        <v>44</v>
      </c>
      <c r="I26" s="3" t="s">
        <v>7</v>
      </c>
      <c r="J26" s="3" t="s">
        <v>21</v>
      </c>
      <c r="K26" s="3" t="s">
        <v>46</v>
      </c>
      <c r="L26" s="3" t="s">
        <v>24</v>
      </c>
      <c r="M26">
        <v>1</v>
      </c>
    </row>
    <row r="27" spans="1:13" x14ac:dyDescent="0.25">
      <c r="A27" s="2">
        <v>46310</v>
      </c>
      <c r="B27" s="1" t="str">
        <f ca="1">IF(Información1[[#This Row],[Fecha]]='Ajuste de fechas'!$A$2,"Día actual","Día anterior")</f>
        <v>Día anterior</v>
      </c>
      <c r="C27" s="3" t="s">
        <v>42</v>
      </c>
      <c r="D27" t="s">
        <v>43</v>
      </c>
      <c r="E27" s="3" t="s">
        <v>93</v>
      </c>
      <c r="F27" s="3" t="s">
        <v>59</v>
      </c>
      <c r="G27" s="3" t="s">
        <v>63</v>
      </c>
      <c r="H27" s="3" t="s">
        <v>44</v>
      </c>
      <c r="I27" s="3" t="s">
        <v>7</v>
      </c>
      <c r="J27" s="3" t="s">
        <v>21</v>
      </c>
      <c r="K27" s="3" t="s">
        <v>46</v>
      </c>
      <c r="L27" s="3" t="s">
        <v>22</v>
      </c>
      <c r="M27">
        <v>1</v>
      </c>
    </row>
    <row r="28" spans="1:13" x14ac:dyDescent="0.25">
      <c r="A28" s="2">
        <v>46310</v>
      </c>
      <c r="B28" s="1" t="str">
        <f ca="1">IF(Información1[[#This Row],[Fecha]]='Ajuste de fechas'!$A$2,"Día actual","Día anterior")</f>
        <v>Día anterior</v>
      </c>
      <c r="C28" s="3" t="s">
        <v>42</v>
      </c>
      <c r="D28" t="s">
        <v>43</v>
      </c>
      <c r="E28" s="3" t="s">
        <v>94</v>
      </c>
      <c r="F28" s="3" t="s">
        <v>67</v>
      </c>
      <c r="G28" s="3" t="s">
        <v>63</v>
      </c>
      <c r="H28" s="3" t="s">
        <v>44</v>
      </c>
      <c r="I28" s="3" t="s">
        <v>7</v>
      </c>
      <c r="J28" s="3" t="s">
        <v>21</v>
      </c>
      <c r="K28" s="3" t="s">
        <v>46</v>
      </c>
      <c r="L28" s="3" t="s">
        <v>22</v>
      </c>
      <c r="M28">
        <v>1</v>
      </c>
    </row>
    <row r="29" spans="1:13" x14ac:dyDescent="0.25">
      <c r="A29" s="2">
        <v>46310</v>
      </c>
      <c r="B29" s="1" t="str">
        <f ca="1">IF(Información1[[#This Row],[Fecha]]='Ajuste de fechas'!$A$2,"Día actual","Día anterior")</f>
        <v>Día anterior</v>
      </c>
      <c r="C29" s="3" t="s">
        <v>42</v>
      </c>
      <c r="D29" t="s">
        <v>43</v>
      </c>
      <c r="E29" s="3" t="s">
        <v>95</v>
      </c>
      <c r="F29" s="3" t="s">
        <v>29</v>
      </c>
      <c r="G29" s="3" t="s">
        <v>62</v>
      </c>
      <c r="H29" s="3" t="s">
        <v>44</v>
      </c>
      <c r="I29" s="3" t="s">
        <v>7</v>
      </c>
      <c r="J29" s="3" t="s">
        <v>21</v>
      </c>
      <c r="K29" s="3" t="s">
        <v>46</v>
      </c>
      <c r="L29" s="3" t="s">
        <v>22</v>
      </c>
      <c r="M29">
        <v>1</v>
      </c>
    </row>
    <row r="30" spans="1:13" x14ac:dyDescent="0.25">
      <c r="A30" s="2">
        <v>46310</v>
      </c>
      <c r="B30" s="1" t="str">
        <f ca="1">IF(Información1[[#This Row],[Fecha]]='Ajuste de fechas'!$A$2,"Día actual","Día anterior")</f>
        <v>Día anterior</v>
      </c>
      <c r="C30" s="3" t="s">
        <v>42</v>
      </c>
      <c r="D30" t="s">
        <v>43</v>
      </c>
      <c r="E30" s="3" t="s">
        <v>161</v>
      </c>
      <c r="F30" s="3" t="s">
        <v>162</v>
      </c>
      <c r="G30" s="3" t="s">
        <v>163</v>
      </c>
      <c r="H30" s="3" t="s">
        <v>44</v>
      </c>
      <c r="I30" s="3" t="s">
        <v>10</v>
      </c>
      <c r="J30" s="3" t="s">
        <v>21</v>
      </c>
      <c r="K30" s="3" t="s">
        <v>46</v>
      </c>
      <c r="L30" s="3" t="s">
        <v>22</v>
      </c>
      <c r="M30">
        <v>1</v>
      </c>
    </row>
    <row r="31" spans="1:13" x14ac:dyDescent="0.25">
      <c r="A31" s="2">
        <v>46310</v>
      </c>
      <c r="B31" s="1" t="str">
        <f ca="1">IF(Información1[[#This Row],[Fecha]]='Ajuste de fechas'!$A$2,"Día actual","Día anterior")</f>
        <v>Día anterior</v>
      </c>
      <c r="C31" s="3" t="s">
        <v>42</v>
      </c>
      <c r="D31" t="s">
        <v>43</v>
      </c>
      <c r="E31" s="3" t="s">
        <v>164</v>
      </c>
      <c r="F31" s="3" t="s">
        <v>162</v>
      </c>
      <c r="G31" s="3" t="s">
        <v>165</v>
      </c>
      <c r="H31" s="3" t="s">
        <v>44</v>
      </c>
      <c r="I31" s="3" t="s">
        <v>7</v>
      </c>
      <c r="J31" s="3" t="s">
        <v>21</v>
      </c>
      <c r="K31" s="3" t="s">
        <v>46</v>
      </c>
      <c r="L31" s="3" t="s">
        <v>22</v>
      </c>
      <c r="M31">
        <v>1</v>
      </c>
    </row>
    <row r="32" spans="1:13" x14ac:dyDescent="0.25">
      <c r="A32" s="2">
        <v>46310</v>
      </c>
      <c r="B32" s="1" t="str">
        <f ca="1">IF(Información1[[#This Row],[Fecha]]='Ajuste de fechas'!$A$2,"Día actual","Día anterior")</f>
        <v>Día anterior</v>
      </c>
      <c r="C32" s="3" t="s">
        <v>42</v>
      </c>
      <c r="D32" t="s">
        <v>43</v>
      </c>
      <c r="E32" s="3" t="s">
        <v>96</v>
      </c>
      <c r="F32" s="3" t="s">
        <v>30</v>
      </c>
      <c r="G32" s="3" t="s">
        <v>71</v>
      </c>
      <c r="H32" s="3" t="s">
        <v>44</v>
      </c>
      <c r="I32" s="3" t="s">
        <v>7</v>
      </c>
      <c r="J32" s="3" t="s">
        <v>21</v>
      </c>
      <c r="K32" s="3" t="s">
        <v>46</v>
      </c>
      <c r="L32" s="3" t="s">
        <v>22</v>
      </c>
      <c r="M32">
        <v>1</v>
      </c>
    </row>
    <row r="33" spans="1:13" x14ac:dyDescent="0.25">
      <c r="A33" s="2">
        <v>46310</v>
      </c>
      <c r="B33" s="1" t="str">
        <f ca="1">IF(Información1[[#This Row],[Fecha]]='Ajuste de fechas'!$A$2,"Día actual","Día anterior")</f>
        <v>Día anterior</v>
      </c>
      <c r="C33" s="3" t="s">
        <v>42</v>
      </c>
      <c r="D33" t="s">
        <v>43</v>
      </c>
      <c r="E33" s="3" t="s">
        <v>166</v>
      </c>
      <c r="F33" s="3" t="s">
        <v>122</v>
      </c>
      <c r="G33" s="3" t="s">
        <v>167</v>
      </c>
      <c r="H33" s="3" t="s">
        <v>44</v>
      </c>
      <c r="I33" s="3" t="s">
        <v>7</v>
      </c>
      <c r="J33" s="3" t="s">
        <v>124</v>
      </c>
      <c r="K33" s="3" t="s">
        <v>45</v>
      </c>
      <c r="L33" s="3" t="s">
        <v>22</v>
      </c>
      <c r="M33">
        <v>1</v>
      </c>
    </row>
    <row r="34" spans="1:13" x14ac:dyDescent="0.25">
      <c r="A34" s="2">
        <v>46310</v>
      </c>
      <c r="B34" s="1" t="str">
        <f ca="1">IF(Información1[[#This Row],[Fecha]]='Ajuste de fechas'!$A$2,"Día actual","Día anterior")</f>
        <v>Día anterior</v>
      </c>
      <c r="C34" s="3" t="s">
        <v>42</v>
      </c>
      <c r="D34" t="s">
        <v>43</v>
      </c>
      <c r="E34" s="3" t="s">
        <v>168</v>
      </c>
      <c r="F34" s="3" t="s">
        <v>122</v>
      </c>
      <c r="G34" s="3" t="s">
        <v>169</v>
      </c>
      <c r="H34" s="3" t="s">
        <v>44</v>
      </c>
      <c r="I34" s="3" t="s">
        <v>7</v>
      </c>
      <c r="J34" s="3" t="s">
        <v>124</v>
      </c>
      <c r="K34" s="3" t="s">
        <v>45</v>
      </c>
      <c r="L34" s="3" t="s">
        <v>22</v>
      </c>
      <c r="M34">
        <v>1</v>
      </c>
    </row>
    <row r="35" spans="1:13" x14ac:dyDescent="0.25">
      <c r="A35" s="2">
        <v>46310</v>
      </c>
      <c r="B35" s="1" t="str">
        <f ca="1">IF(Información1[[#This Row],[Fecha]]='Ajuste de fechas'!$A$2,"Día actual","Día anterior")</f>
        <v>Día anterior</v>
      </c>
      <c r="C35" s="3" t="s">
        <v>32</v>
      </c>
      <c r="D35" t="s">
        <v>37</v>
      </c>
      <c r="E35" s="3" t="s">
        <v>97</v>
      </c>
      <c r="F35" s="3" t="s">
        <v>6</v>
      </c>
      <c r="G35" s="3" t="s">
        <v>76</v>
      </c>
      <c r="H35" s="3" t="s">
        <v>31</v>
      </c>
      <c r="I35" s="3" t="s">
        <v>98</v>
      </c>
      <c r="J35" s="3" t="s">
        <v>21</v>
      </c>
      <c r="K35" s="3" t="s">
        <v>38</v>
      </c>
      <c r="L35" s="3" t="s">
        <v>23</v>
      </c>
      <c r="M35">
        <v>1</v>
      </c>
    </row>
    <row r="36" spans="1:13" x14ac:dyDescent="0.25">
      <c r="A36" s="2">
        <v>46310</v>
      </c>
      <c r="B36" s="1" t="str">
        <f ca="1">IF(Información1[[#This Row],[Fecha]]='Ajuste de fechas'!$A$2,"Día actual","Día anterior")</f>
        <v>Día anterior</v>
      </c>
      <c r="C36" s="3" t="s">
        <v>32</v>
      </c>
      <c r="D36" t="s">
        <v>37</v>
      </c>
      <c r="E36" s="3" t="s">
        <v>99</v>
      </c>
      <c r="F36" s="3" t="s">
        <v>13</v>
      </c>
      <c r="G36" s="3" t="s">
        <v>100</v>
      </c>
      <c r="H36" s="3" t="s">
        <v>31</v>
      </c>
      <c r="I36" s="3" t="s">
        <v>7</v>
      </c>
      <c r="J36" s="3" t="s">
        <v>21</v>
      </c>
      <c r="K36" s="3" t="s">
        <v>38</v>
      </c>
      <c r="L36" s="3" t="s">
        <v>23</v>
      </c>
      <c r="M36">
        <v>1</v>
      </c>
    </row>
    <row r="37" spans="1:13" x14ac:dyDescent="0.25">
      <c r="A37" s="2">
        <v>46310</v>
      </c>
      <c r="B37" s="1" t="str">
        <f ca="1">IF(Información1[[#This Row],[Fecha]]='Ajuste de fechas'!$A$2,"Día actual","Día anterior")</f>
        <v>Día anterior</v>
      </c>
      <c r="C37" s="3" t="s">
        <v>32</v>
      </c>
      <c r="D37" t="s">
        <v>37</v>
      </c>
      <c r="E37" s="3" t="s">
        <v>170</v>
      </c>
      <c r="F37" s="3" t="s">
        <v>122</v>
      </c>
      <c r="G37" s="3" t="s">
        <v>171</v>
      </c>
      <c r="H37" s="3" t="s">
        <v>31</v>
      </c>
      <c r="I37" s="3" t="s">
        <v>14</v>
      </c>
      <c r="J37" s="3" t="s">
        <v>124</v>
      </c>
      <c r="K37" s="3" t="s">
        <v>38</v>
      </c>
      <c r="L37" s="3" t="s">
        <v>23</v>
      </c>
      <c r="M37">
        <v>1</v>
      </c>
    </row>
    <row r="38" spans="1:13" x14ac:dyDescent="0.25">
      <c r="A38" s="2">
        <v>46310</v>
      </c>
      <c r="B38" s="1" t="str">
        <f ca="1">IF(Información1[[#This Row],[Fecha]]='Ajuste de fechas'!$A$2,"Día actual","Día anterior")</f>
        <v>Día anterior</v>
      </c>
      <c r="C38" s="3" t="s">
        <v>32</v>
      </c>
      <c r="D38" t="s">
        <v>37</v>
      </c>
      <c r="E38" s="3" t="s">
        <v>172</v>
      </c>
      <c r="F38" s="3" t="s">
        <v>122</v>
      </c>
      <c r="G38" s="3" t="s">
        <v>76</v>
      </c>
      <c r="H38" s="3" t="s">
        <v>31</v>
      </c>
      <c r="I38" s="3" t="s">
        <v>7</v>
      </c>
      <c r="J38" s="3" t="s">
        <v>124</v>
      </c>
      <c r="K38" s="3" t="s">
        <v>34</v>
      </c>
      <c r="L38" s="3" t="s">
        <v>22</v>
      </c>
      <c r="M38">
        <v>1</v>
      </c>
    </row>
    <row r="39" spans="1:13" x14ac:dyDescent="0.25">
      <c r="A39" s="2">
        <v>46310</v>
      </c>
      <c r="B39" s="1" t="str">
        <f ca="1">IF(Información1[[#This Row],[Fecha]]='Ajuste de fechas'!$A$2,"Día actual","Día anterior")</f>
        <v>Día anterior</v>
      </c>
      <c r="C39" s="3" t="s">
        <v>32</v>
      </c>
      <c r="D39" t="s">
        <v>37</v>
      </c>
      <c r="E39" s="3" t="s">
        <v>173</v>
      </c>
      <c r="F39" s="3" t="s">
        <v>147</v>
      </c>
      <c r="G39" s="3" t="s">
        <v>174</v>
      </c>
      <c r="H39" s="3" t="s">
        <v>31</v>
      </c>
      <c r="I39" s="3" t="s">
        <v>7</v>
      </c>
      <c r="J39" s="3" t="s">
        <v>149</v>
      </c>
      <c r="K39" s="3" t="s">
        <v>175</v>
      </c>
      <c r="L39" s="3" t="s">
        <v>22</v>
      </c>
      <c r="M39">
        <v>1</v>
      </c>
    </row>
    <row r="40" spans="1:13" x14ac:dyDescent="0.25">
      <c r="A40" s="2">
        <v>46310</v>
      </c>
      <c r="B40" s="1" t="str">
        <f ca="1">IF(Información1[[#This Row],[Fecha]]='Ajuste de fechas'!$A$2,"Día actual","Día anterior")</f>
        <v>Día anterior</v>
      </c>
      <c r="C40" s="3" t="s">
        <v>39</v>
      </c>
      <c r="D40" t="s">
        <v>40</v>
      </c>
      <c r="E40" s="3" t="s">
        <v>176</v>
      </c>
      <c r="F40" s="3" t="s">
        <v>119</v>
      </c>
      <c r="G40" s="3" t="s">
        <v>63</v>
      </c>
      <c r="H40" s="3" t="s">
        <v>31</v>
      </c>
      <c r="I40" s="3" t="s">
        <v>10</v>
      </c>
      <c r="J40" s="3" t="s">
        <v>21</v>
      </c>
      <c r="K40" s="3" t="s">
        <v>41</v>
      </c>
      <c r="L40" s="3" t="s">
        <v>22</v>
      </c>
      <c r="M40">
        <v>1</v>
      </c>
    </row>
    <row r="41" spans="1:13" x14ac:dyDescent="0.25">
      <c r="A41" s="2">
        <v>46310</v>
      </c>
      <c r="B41" s="1" t="str">
        <f ca="1">IF(Información1[[#This Row],[Fecha]]='Ajuste de fechas'!$A$2,"Día actual","Día anterior")</f>
        <v>Día anterior</v>
      </c>
      <c r="C41" s="3" t="s">
        <v>39</v>
      </c>
      <c r="D41" t="s">
        <v>40</v>
      </c>
      <c r="E41" s="3" t="s">
        <v>177</v>
      </c>
      <c r="F41" s="3" t="s">
        <v>126</v>
      </c>
      <c r="G41" s="3" t="s">
        <v>178</v>
      </c>
      <c r="H41" s="3" t="s">
        <v>31</v>
      </c>
      <c r="I41" s="3" t="s">
        <v>7</v>
      </c>
      <c r="J41" s="3" t="s">
        <v>126</v>
      </c>
      <c r="K41" s="3" t="s">
        <v>41</v>
      </c>
      <c r="L41" s="3" t="s">
        <v>28</v>
      </c>
      <c r="M41">
        <v>1</v>
      </c>
    </row>
    <row r="42" spans="1:13" x14ac:dyDescent="0.25">
      <c r="A42" s="2">
        <v>46310</v>
      </c>
      <c r="B42" s="1" t="str">
        <f ca="1">IF(Información1[[#This Row],[Fecha]]='Ajuste de fechas'!$A$2,"Día actual","Día anterior")</f>
        <v>Día anterior</v>
      </c>
      <c r="C42" s="3" t="s">
        <v>39</v>
      </c>
      <c r="D42" t="s">
        <v>40</v>
      </c>
      <c r="E42" s="3" t="s">
        <v>101</v>
      </c>
      <c r="F42" s="3" t="s">
        <v>65</v>
      </c>
      <c r="G42" s="3" t="s">
        <v>63</v>
      </c>
      <c r="H42" s="3" t="s">
        <v>31</v>
      </c>
      <c r="I42" s="3" t="s">
        <v>10</v>
      </c>
      <c r="J42" s="3" t="s">
        <v>21</v>
      </c>
      <c r="K42" s="3" t="s">
        <v>41</v>
      </c>
      <c r="L42" s="3" t="s">
        <v>22</v>
      </c>
      <c r="M42">
        <v>1</v>
      </c>
    </row>
    <row r="43" spans="1:13" x14ac:dyDescent="0.25">
      <c r="A43" s="2">
        <v>46310</v>
      </c>
      <c r="B43" s="1" t="str">
        <f ca="1">IF(Información1[[#This Row],[Fecha]]='Ajuste de fechas'!$A$2,"Día actual","Día anterior")</f>
        <v>Día anterior</v>
      </c>
      <c r="C43" s="3" t="s">
        <v>39</v>
      </c>
      <c r="D43" t="s">
        <v>40</v>
      </c>
      <c r="E43" s="3" t="s">
        <v>102</v>
      </c>
      <c r="F43" s="3" t="s">
        <v>29</v>
      </c>
      <c r="G43" s="3" t="s">
        <v>75</v>
      </c>
      <c r="H43" s="3" t="s">
        <v>31</v>
      </c>
      <c r="I43" s="3" t="s">
        <v>10</v>
      </c>
      <c r="J43" s="3" t="s">
        <v>21</v>
      </c>
      <c r="K43" s="3" t="s">
        <v>41</v>
      </c>
      <c r="L43" s="3" t="s">
        <v>22</v>
      </c>
      <c r="M43">
        <v>1</v>
      </c>
    </row>
    <row r="44" spans="1:13" x14ac:dyDescent="0.25">
      <c r="A44" s="2">
        <v>46310</v>
      </c>
      <c r="B44" s="1" t="str">
        <f ca="1">IF(Información1[[#This Row],[Fecha]]='Ajuste de fechas'!$A$2,"Día actual","Día anterior")</f>
        <v>Día anterior</v>
      </c>
      <c r="C44" s="3" t="s">
        <v>39</v>
      </c>
      <c r="D44" t="s">
        <v>40</v>
      </c>
      <c r="E44" s="3" t="s">
        <v>179</v>
      </c>
      <c r="F44" s="3" t="s">
        <v>162</v>
      </c>
      <c r="G44" s="3" t="s">
        <v>165</v>
      </c>
      <c r="H44" s="3" t="s">
        <v>31</v>
      </c>
      <c r="I44" s="3" t="s">
        <v>7</v>
      </c>
      <c r="J44" s="3" t="s">
        <v>21</v>
      </c>
      <c r="K44" s="3" t="s">
        <v>41</v>
      </c>
      <c r="L44" s="3" t="s">
        <v>24</v>
      </c>
      <c r="M44">
        <v>1</v>
      </c>
    </row>
    <row r="45" spans="1:13" x14ac:dyDescent="0.25">
      <c r="A45" s="2">
        <v>46310</v>
      </c>
      <c r="B45" s="1" t="str">
        <f ca="1">IF(Información1[[#This Row],[Fecha]]='Ajuste de fechas'!$A$2,"Día actual","Día anterior")</f>
        <v>Día anterior</v>
      </c>
      <c r="C45" s="3" t="s">
        <v>32</v>
      </c>
      <c r="D45" t="s">
        <v>33</v>
      </c>
      <c r="E45" s="3" t="s">
        <v>103</v>
      </c>
      <c r="F45" s="3" t="s">
        <v>64</v>
      </c>
      <c r="G45" s="3" t="s">
        <v>104</v>
      </c>
      <c r="H45" s="3" t="s">
        <v>31</v>
      </c>
      <c r="I45" s="3" t="s">
        <v>7</v>
      </c>
      <c r="J45" s="3" t="s">
        <v>21</v>
      </c>
      <c r="K45" s="3" t="s">
        <v>35</v>
      </c>
      <c r="L45" s="3" t="s">
        <v>24</v>
      </c>
      <c r="M45">
        <v>1</v>
      </c>
    </row>
    <row r="46" spans="1:13" x14ac:dyDescent="0.25">
      <c r="A46" s="2">
        <v>46310</v>
      </c>
      <c r="B46" s="1" t="str">
        <f ca="1">IF(Información1[[#This Row],[Fecha]]='Ajuste de fechas'!$A$2,"Día actual","Día anterior")</f>
        <v>Día anterior</v>
      </c>
      <c r="C46" s="3" t="s">
        <v>32</v>
      </c>
      <c r="D46" t="s">
        <v>33</v>
      </c>
      <c r="E46" s="3" t="s">
        <v>180</v>
      </c>
      <c r="F46" s="3" t="s">
        <v>137</v>
      </c>
      <c r="G46" s="3" t="s">
        <v>181</v>
      </c>
      <c r="H46" s="3" t="s">
        <v>31</v>
      </c>
      <c r="I46" s="3" t="s">
        <v>7</v>
      </c>
      <c r="J46" s="3" t="s">
        <v>126</v>
      </c>
      <c r="K46" s="3" t="s">
        <v>35</v>
      </c>
      <c r="L46" s="3" t="s">
        <v>22</v>
      </c>
      <c r="M46">
        <v>1</v>
      </c>
    </row>
    <row r="47" spans="1:13" x14ac:dyDescent="0.25">
      <c r="A47" s="2">
        <v>46310</v>
      </c>
      <c r="B47" s="1" t="str">
        <f ca="1">IF(Información1[[#This Row],[Fecha]]='Ajuste de fechas'!$A$2,"Día actual","Día anterior")</f>
        <v>Día anterior</v>
      </c>
      <c r="C47" s="3" t="s">
        <v>32</v>
      </c>
      <c r="D47" t="s">
        <v>33</v>
      </c>
      <c r="E47" s="3" t="s">
        <v>89</v>
      </c>
      <c r="F47" s="3" t="s">
        <v>13</v>
      </c>
      <c r="G47" s="3" t="s">
        <v>72</v>
      </c>
      <c r="H47" s="3" t="s">
        <v>31</v>
      </c>
      <c r="I47" s="3" t="s">
        <v>7</v>
      </c>
      <c r="J47" s="3" t="s">
        <v>21</v>
      </c>
      <c r="K47" s="3" t="s">
        <v>34</v>
      </c>
      <c r="L47" s="3" t="s">
        <v>24</v>
      </c>
      <c r="M47">
        <v>1</v>
      </c>
    </row>
    <row r="48" spans="1:13" x14ac:dyDescent="0.25">
      <c r="A48" s="2">
        <v>46310</v>
      </c>
      <c r="B48" s="1" t="str">
        <f ca="1">IF(Información1[[#This Row],[Fecha]]='Ajuste de fechas'!$A$2,"Día actual","Día anterior")</f>
        <v>Día anterior</v>
      </c>
      <c r="C48" s="3" t="s">
        <v>32</v>
      </c>
      <c r="D48" t="s">
        <v>33</v>
      </c>
      <c r="E48" s="3" t="s">
        <v>105</v>
      </c>
      <c r="F48" s="3" t="s">
        <v>65</v>
      </c>
      <c r="G48" s="3" t="s">
        <v>63</v>
      </c>
      <c r="H48" s="3" t="s">
        <v>31</v>
      </c>
      <c r="I48" s="3" t="s">
        <v>7</v>
      </c>
      <c r="J48" s="3" t="s">
        <v>21</v>
      </c>
      <c r="K48" s="3" t="s">
        <v>35</v>
      </c>
      <c r="L48" s="3" t="s">
        <v>24</v>
      </c>
      <c r="M48">
        <v>1</v>
      </c>
    </row>
    <row r="49" spans="1:13" x14ac:dyDescent="0.25">
      <c r="A49" s="2">
        <v>46310</v>
      </c>
      <c r="B49" s="1" t="str">
        <f ca="1">IF(Información1[[#This Row],[Fecha]]='Ajuste de fechas'!$A$2,"Día actual","Día anterior")</f>
        <v>Día anterior</v>
      </c>
      <c r="C49" s="3" t="s">
        <v>32</v>
      </c>
      <c r="D49" t="s">
        <v>33</v>
      </c>
      <c r="E49" s="3" t="s">
        <v>182</v>
      </c>
      <c r="F49" s="3" t="s">
        <v>122</v>
      </c>
      <c r="G49" s="3" t="s">
        <v>131</v>
      </c>
      <c r="H49" s="3" t="s">
        <v>31</v>
      </c>
      <c r="I49" s="3" t="s">
        <v>7</v>
      </c>
      <c r="J49" s="3" t="s">
        <v>124</v>
      </c>
      <c r="K49" s="3" t="s">
        <v>34</v>
      </c>
      <c r="L49" s="3" t="s">
        <v>28</v>
      </c>
      <c r="M49">
        <v>1</v>
      </c>
    </row>
    <row r="50" spans="1:13" x14ac:dyDescent="0.25">
      <c r="A50" s="2">
        <v>46310</v>
      </c>
      <c r="B50" s="1" t="str">
        <f ca="1">IF(Información1[[#This Row],[Fecha]]='Ajuste de fechas'!$A$2,"Día actual","Día anterior")</f>
        <v>Día anterior</v>
      </c>
      <c r="C50" s="3" t="s">
        <v>32</v>
      </c>
      <c r="D50" t="s">
        <v>33</v>
      </c>
      <c r="E50" s="3" t="s">
        <v>183</v>
      </c>
      <c r="F50" s="3" t="s">
        <v>119</v>
      </c>
      <c r="G50" s="3" t="s">
        <v>63</v>
      </c>
      <c r="H50" s="3" t="s">
        <v>31</v>
      </c>
      <c r="I50" s="3" t="s">
        <v>7</v>
      </c>
      <c r="J50" s="3" t="s">
        <v>21</v>
      </c>
      <c r="K50" s="3" t="s">
        <v>35</v>
      </c>
      <c r="L50" s="3" t="s">
        <v>24</v>
      </c>
      <c r="M50">
        <v>1</v>
      </c>
    </row>
    <row r="51" spans="1:13" x14ac:dyDescent="0.25">
      <c r="A51" s="2">
        <v>46310</v>
      </c>
      <c r="B51" s="1" t="str">
        <f ca="1">IF(Información1[[#This Row],[Fecha]]='Ajuste de fechas'!$A$2,"Día actual","Día anterior")</f>
        <v>Día anterior</v>
      </c>
      <c r="C51" s="3" t="s">
        <v>32</v>
      </c>
      <c r="D51" t="s">
        <v>33</v>
      </c>
      <c r="E51" s="3" t="s">
        <v>184</v>
      </c>
      <c r="F51" s="3" t="s">
        <v>185</v>
      </c>
      <c r="G51" s="3" t="s">
        <v>186</v>
      </c>
      <c r="H51" s="3" t="s">
        <v>31</v>
      </c>
      <c r="I51" s="3" t="s">
        <v>7</v>
      </c>
      <c r="J51" s="3" t="s">
        <v>126</v>
      </c>
      <c r="K51" s="3" t="s">
        <v>34</v>
      </c>
      <c r="L51" s="3" t="s">
        <v>22</v>
      </c>
      <c r="M51">
        <v>1</v>
      </c>
    </row>
    <row r="52" spans="1:13" x14ac:dyDescent="0.25">
      <c r="A52" s="2">
        <v>46310</v>
      </c>
      <c r="B52" s="1" t="str">
        <f ca="1">IF(Información1[[#This Row],[Fecha]]='Ajuste de fechas'!$A$2,"Día actual","Día anterior")</f>
        <v>Día anterior</v>
      </c>
      <c r="C52" s="3" t="s">
        <v>32</v>
      </c>
      <c r="D52" t="s">
        <v>33</v>
      </c>
      <c r="E52" s="3" t="s">
        <v>106</v>
      </c>
      <c r="F52" s="3" t="s">
        <v>30</v>
      </c>
      <c r="G52" s="3" t="s">
        <v>107</v>
      </c>
      <c r="H52" s="3" t="s">
        <v>31</v>
      </c>
      <c r="I52" s="3" t="s">
        <v>7</v>
      </c>
      <c r="J52" s="3" t="s">
        <v>21</v>
      </c>
      <c r="K52" s="3" t="s">
        <v>35</v>
      </c>
      <c r="L52" s="3" t="s">
        <v>24</v>
      </c>
      <c r="M52">
        <v>1</v>
      </c>
    </row>
    <row r="53" spans="1:13" x14ac:dyDescent="0.25">
      <c r="A53" s="2">
        <v>46310</v>
      </c>
      <c r="B53" s="1" t="str">
        <f ca="1">IF(Información1[[#This Row],[Fecha]]='Ajuste de fechas'!$A$2,"Día actual","Día anterior")</f>
        <v>Día anterior</v>
      </c>
      <c r="C53" s="3" t="s">
        <v>32</v>
      </c>
      <c r="D53" t="s">
        <v>33</v>
      </c>
      <c r="E53" s="3" t="s">
        <v>187</v>
      </c>
      <c r="F53" s="3" t="s">
        <v>162</v>
      </c>
      <c r="G53" s="3" t="s">
        <v>165</v>
      </c>
      <c r="H53" s="3" t="s">
        <v>31</v>
      </c>
      <c r="I53" s="3" t="s">
        <v>7</v>
      </c>
      <c r="J53" s="3" t="s">
        <v>21</v>
      </c>
      <c r="K53" s="3" t="s">
        <v>35</v>
      </c>
      <c r="L53" s="3" t="s">
        <v>22</v>
      </c>
      <c r="M53">
        <v>1</v>
      </c>
    </row>
    <row r="54" spans="1:13" x14ac:dyDescent="0.25">
      <c r="A54" s="2">
        <v>46310</v>
      </c>
      <c r="B54" s="1" t="str">
        <f ca="1">IF(Información1[[#This Row],[Fecha]]='Ajuste de fechas'!$A$2,"Día actual","Día anterior")</f>
        <v>Día anterior</v>
      </c>
      <c r="C54" s="3" t="s">
        <v>8</v>
      </c>
      <c r="D54" t="s">
        <v>9</v>
      </c>
      <c r="E54" s="3" t="s">
        <v>188</v>
      </c>
      <c r="F54" s="3" t="s">
        <v>122</v>
      </c>
      <c r="G54" s="3" t="s">
        <v>189</v>
      </c>
      <c r="H54" s="3" t="s">
        <v>31</v>
      </c>
      <c r="I54" s="3" t="s">
        <v>14</v>
      </c>
      <c r="J54" s="3" t="s">
        <v>124</v>
      </c>
      <c r="K54" s="3" t="s">
        <v>38</v>
      </c>
      <c r="L54" s="3" t="s">
        <v>23</v>
      </c>
      <c r="M54">
        <v>1</v>
      </c>
    </row>
    <row r="55" spans="1:13" x14ac:dyDescent="0.25">
      <c r="A55" s="2">
        <v>46310</v>
      </c>
      <c r="B55" s="1" t="str">
        <f ca="1">IF(Información1[[#This Row],[Fecha]]='Ajuste de fechas'!$A$2,"Día actual","Día anterior")</f>
        <v>Día anterior</v>
      </c>
      <c r="C55" s="3" t="s">
        <v>8</v>
      </c>
      <c r="D55" t="s">
        <v>9</v>
      </c>
      <c r="E55" s="3" t="s">
        <v>190</v>
      </c>
      <c r="F55" s="3" t="s">
        <v>122</v>
      </c>
      <c r="G55" s="3" t="s">
        <v>189</v>
      </c>
      <c r="H55" s="3" t="s">
        <v>31</v>
      </c>
      <c r="I55" s="3" t="s">
        <v>14</v>
      </c>
      <c r="J55" s="3" t="s">
        <v>124</v>
      </c>
      <c r="K55" s="3" t="s">
        <v>38</v>
      </c>
      <c r="L55" s="3" t="s">
        <v>23</v>
      </c>
      <c r="M55">
        <v>1</v>
      </c>
    </row>
    <row r="56" spans="1:13" x14ac:dyDescent="0.25">
      <c r="A56" s="2">
        <v>46310</v>
      </c>
      <c r="B56" s="1" t="str">
        <f ca="1">IF(Información1[[#This Row],[Fecha]]='Ajuste de fechas'!$A$2,"Día actual","Día anterior")</f>
        <v>Día anterior</v>
      </c>
      <c r="C56" s="3" t="s">
        <v>50</v>
      </c>
      <c r="D56" t="s">
        <v>51</v>
      </c>
      <c r="E56" s="3" t="s">
        <v>108</v>
      </c>
      <c r="F56" s="3" t="s">
        <v>13</v>
      </c>
      <c r="G56" s="3" t="s">
        <v>71</v>
      </c>
      <c r="H56" s="3" t="s">
        <v>31</v>
      </c>
      <c r="I56" s="3" t="s">
        <v>7</v>
      </c>
      <c r="J56" s="3" t="s">
        <v>21</v>
      </c>
      <c r="K56" s="3" t="s">
        <v>52</v>
      </c>
      <c r="L56" s="3" t="s">
        <v>24</v>
      </c>
      <c r="M56">
        <v>1</v>
      </c>
    </row>
    <row r="57" spans="1:13" x14ac:dyDescent="0.25">
      <c r="A57" s="2">
        <v>46310</v>
      </c>
      <c r="B57" s="1" t="str">
        <f ca="1">IF(Información1[[#This Row],[Fecha]]='Ajuste de fechas'!$A$2,"Día actual","Día anterior")</f>
        <v>Día anterior</v>
      </c>
      <c r="C57" s="3" t="s">
        <v>8</v>
      </c>
      <c r="D57" t="s">
        <v>9</v>
      </c>
      <c r="E57" s="3" t="s">
        <v>191</v>
      </c>
      <c r="F57" s="3" t="s">
        <v>134</v>
      </c>
      <c r="G57" s="3" t="s">
        <v>192</v>
      </c>
      <c r="H57" s="3" t="s">
        <v>31</v>
      </c>
      <c r="I57" s="3" t="s">
        <v>7</v>
      </c>
      <c r="J57" s="3" t="s">
        <v>126</v>
      </c>
      <c r="K57" s="3" t="s">
        <v>11</v>
      </c>
      <c r="L57" s="3" t="s">
        <v>28</v>
      </c>
      <c r="M57">
        <v>1</v>
      </c>
    </row>
    <row r="58" spans="1:13" x14ac:dyDescent="0.25">
      <c r="A58" s="2">
        <v>46310</v>
      </c>
      <c r="B58" s="1" t="str">
        <f ca="1">IF(Información1[[#This Row],[Fecha]]='Ajuste de fechas'!$A$2,"Día actual","Día anterior")</f>
        <v>Día anterior</v>
      </c>
      <c r="C58" s="3" t="s">
        <v>60</v>
      </c>
      <c r="D58" t="s">
        <v>53</v>
      </c>
      <c r="E58" s="3" t="s">
        <v>193</v>
      </c>
      <c r="F58" s="3" t="s">
        <v>122</v>
      </c>
      <c r="G58" s="3" t="s">
        <v>194</v>
      </c>
      <c r="H58" s="3" t="s">
        <v>31</v>
      </c>
      <c r="I58" s="3" t="s">
        <v>10</v>
      </c>
      <c r="J58" s="3" t="s">
        <v>124</v>
      </c>
      <c r="K58" s="3" t="s">
        <v>54</v>
      </c>
      <c r="L58" s="3" t="s">
        <v>22</v>
      </c>
      <c r="M58">
        <v>1</v>
      </c>
    </row>
    <row r="59" spans="1:13" x14ac:dyDescent="0.25">
      <c r="A59" s="2">
        <v>46310</v>
      </c>
      <c r="B59" s="1" t="str">
        <f ca="1">IF(Información1[[#This Row],[Fecha]]='Ajuste de fechas'!$A$2,"Día actual","Día anterior")</f>
        <v>Día anterior</v>
      </c>
      <c r="C59" s="3" t="s">
        <v>60</v>
      </c>
      <c r="D59" t="s">
        <v>53</v>
      </c>
      <c r="E59" s="3" t="s">
        <v>195</v>
      </c>
      <c r="F59" s="3" t="s">
        <v>122</v>
      </c>
      <c r="G59" s="3" t="s">
        <v>194</v>
      </c>
      <c r="H59" s="3" t="s">
        <v>31</v>
      </c>
      <c r="I59" s="3" t="s">
        <v>7</v>
      </c>
      <c r="J59" s="3" t="s">
        <v>124</v>
      </c>
      <c r="K59" s="3" t="s">
        <v>54</v>
      </c>
      <c r="L59" s="3" t="s">
        <v>22</v>
      </c>
      <c r="M59">
        <v>1</v>
      </c>
    </row>
    <row r="60" spans="1:13" x14ac:dyDescent="0.25">
      <c r="A60" s="2">
        <v>46310</v>
      </c>
      <c r="B60" s="1" t="str">
        <f ca="1">IF(Información1[[#This Row],[Fecha]]='Ajuste de fechas'!$A$2,"Día actual","Día anterior")</f>
        <v>Día anterior</v>
      </c>
      <c r="C60" s="3" t="s">
        <v>60</v>
      </c>
      <c r="D60" t="s">
        <v>69</v>
      </c>
      <c r="E60" s="3" t="s">
        <v>196</v>
      </c>
      <c r="F60" s="3" t="s">
        <v>122</v>
      </c>
      <c r="G60" s="3" t="s">
        <v>79</v>
      </c>
      <c r="H60" s="3" t="s">
        <v>31</v>
      </c>
      <c r="I60" s="3" t="s">
        <v>7</v>
      </c>
      <c r="J60" s="3" t="s">
        <v>124</v>
      </c>
      <c r="K60" s="3" t="s">
        <v>70</v>
      </c>
      <c r="L60" s="3" t="s">
        <v>22</v>
      </c>
      <c r="M60">
        <v>1</v>
      </c>
    </row>
    <row r="61" spans="1:13" x14ac:dyDescent="0.25">
      <c r="A61" s="2">
        <v>46310</v>
      </c>
      <c r="B61" s="1" t="str">
        <f ca="1">IF(Información1[[#This Row],[Fecha]]='Ajuste de fechas'!$A$2,"Día actual","Día anterior")</f>
        <v>Día anterior</v>
      </c>
      <c r="C61" s="3" t="s">
        <v>8</v>
      </c>
      <c r="D61" t="s">
        <v>9</v>
      </c>
      <c r="E61" s="3" t="s">
        <v>197</v>
      </c>
      <c r="F61" s="3" t="s">
        <v>198</v>
      </c>
      <c r="G61" s="3" t="s">
        <v>199</v>
      </c>
      <c r="H61" s="3" t="s">
        <v>31</v>
      </c>
      <c r="I61" s="3" t="s">
        <v>7</v>
      </c>
      <c r="J61" s="3" t="s">
        <v>21</v>
      </c>
      <c r="K61" s="3" t="s">
        <v>11</v>
      </c>
      <c r="L61" s="3" t="s">
        <v>23</v>
      </c>
      <c r="M61">
        <v>1</v>
      </c>
    </row>
    <row r="62" spans="1:13" x14ac:dyDescent="0.25">
      <c r="A62" s="2">
        <v>46310</v>
      </c>
      <c r="B62" s="1" t="str">
        <f ca="1">IF(Información1[[#This Row],[Fecha]]='Ajuste de fechas'!$A$2,"Día actual","Día anterior")</f>
        <v>Día anterior</v>
      </c>
      <c r="C62" s="3" t="s">
        <v>8</v>
      </c>
      <c r="D62" t="s">
        <v>9</v>
      </c>
      <c r="E62" s="3" t="s">
        <v>191</v>
      </c>
      <c r="F62" s="3" t="s">
        <v>134</v>
      </c>
      <c r="G62" s="3" t="s">
        <v>200</v>
      </c>
      <c r="H62" s="3" t="s">
        <v>31</v>
      </c>
      <c r="I62" s="3" t="s">
        <v>7</v>
      </c>
      <c r="J62" s="3" t="s">
        <v>126</v>
      </c>
      <c r="K62" s="3" t="s">
        <v>11</v>
      </c>
      <c r="L62" s="3" t="s">
        <v>28</v>
      </c>
      <c r="M62">
        <v>1</v>
      </c>
    </row>
    <row r="63" spans="1:13" x14ac:dyDescent="0.25">
      <c r="A63" s="2">
        <v>46310</v>
      </c>
      <c r="B63" s="1" t="str">
        <f ca="1">IF(Información1[[#This Row],[Fecha]]='Ajuste de fechas'!$A$2,"Día actual","Día anterior")</f>
        <v>Día anterior</v>
      </c>
      <c r="C63" s="3" t="s">
        <v>60</v>
      </c>
      <c r="D63" t="s">
        <v>53</v>
      </c>
      <c r="E63" s="3" t="s">
        <v>201</v>
      </c>
      <c r="F63" s="3" t="s">
        <v>122</v>
      </c>
      <c r="G63" s="3" t="s">
        <v>202</v>
      </c>
      <c r="H63" s="3" t="s">
        <v>31</v>
      </c>
      <c r="I63" s="3" t="s">
        <v>7</v>
      </c>
      <c r="J63" s="3" t="s">
        <v>124</v>
      </c>
      <c r="K63" s="3" t="s">
        <v>54</v>
      </c>
      <c r="L63" s="3" t="s">
        <v>22</v>
      </c>
      <c r="M63">
        <v>1</v>
      </c>
    </row>
    <row r="64" spans="1:13" x14ac:dyDescent="0.25">
      <c r="A64" s="2">
        <v>46310</v>
      </c>
      <c r="B64" s="1" t="str">
        <f ca="1">IF(Información1[[#This Row],[Fecha]]='Ajuste de fechas'!$A$2,"Día actual","Día anterior")</f>
        <v>Día anterior</v>
      </c>
      <c r="C64" s="3" t="s">
        <v>60</v>
      </c>
      <c r="D64" t="s">
        <v>53</v>
      </c>
      <c r="E64" s="3" t="s">
        <v>203</v>
      </c>
      <c r="F64" s="3" t="s">
        <v>147</v>
      </c>
      <c r="G64" s="3" t="s">
        <v>202</v>
      </c>
      <c r="H64" s="3" t="s">
        <v>31</v>
      </c>
      <c r="I64" s="3" t="s">
        <v>7</v>
      </c>
      <c r="J64" s="3" t="s">
        <v>149</v>
      </c>
      <c r="K64" s="3" t="s">
        <v>54</v>
      </c>
      <c r="L64" s="3" t="s">
        <v>22</v>
      </c>
      <c r="M64">
        <v>1</v>
      </c>
    </row>
    <row r="65" spans="1:13" x14ac:dyDescent="0.25">
      <c r="A65" s="2">
        <v>46310</v>
      </c>
      <c r="B65" s="1" t="str">
        <f ca="1">IF(Información1[[#This Row],[Fecha]]='Ajuste de fechas'!$A$2,"Día actual","Día anterior")</f>
        <v>Día anterior</v>
      </c>
      <c r="C65" s="3" t="s">
        <v>60</v>
      </c>
      <c r="D65" t="s">
        <v>69</v>
      </c>
      <c r="E65" s="3" t="s">
        <v>109</v>
      </c>
      <c r="F65" s="3" t="s">
        <v>29</v>
      </c>
      <c r="G65" s="3" t="s">
        <v>75</v>
      </c>
      <c r="H65" s="3" t="s">
        <v>31</v>
      </c>
      <c r="I65" s="3" t="s">
        <v>7</v>
      </c>
      <c r="J65" s="3" t="s">
        <v>21</v>
      </c>
      <c r="K65" s="3" t="s">
        <v>70</v>
      </c>
      <c r="L65" s="3" t="s">
        <v>22</v>
      </c>
      <c r="M65">
        <v>1</v>
      </c>
    </row>
    <row r="66" spans="1:13" x14ac:dyDescent="0.25">
      <c r="A66" s="2">
        <v>46310</v>
      </c>
      <c r="B66" s="1" t="str">
        <f ca="1">IF(Información1[[#This Row],[Fecha]]='Ajuste de fechas'!$A$2,"Día actual","Día anterior")</f>
        <v>Día anterior</v>
      </c>
      <c r="C66" s="3" t="s">
        <v>60</v>
      </c>
      <c r="D66" t="s">
        <v>69</v>
      </c>
      <c r="E66" s="3" t="s">
        <v>110</v>
      </c>
      <c r="F66" s="3" t="s">
        <v>13</v>
      </c>
      <c r="G66" s="3" t="s">
        <v>111</v>
      </c>
      <c r="H66" s="3" t="s">
        <v>31</v>
      </c>
      <c r="I66" s="3" t="s">
        <v>10</v>
      </c>
      <c r="J66" s="3" t="s">
        <v>21</v>
      </c>
      <c r="K66" s="3" t="s">
        <v>70</v>
      </c>
      <c r="L66" s="3" t="s">
        <v>28</v>
      </c>
      <c r="M66">
        <v>1</v>
      </c>
    </row>
    <row r="67" spans="1:13" x14ac:dyDescent="0.25">
      <c r="A67" s="2">
        <v>46310</v>
      </c>
      <c r="B67" s="1" t="str">
        <f ca="1">IF(Información1[[#This Row],[Fecha]]='Ajuste de fechas'!$A$2,"Día actual","Día anterior")</f>
        <v>Día anterior</v>
      </c>
      <c r="C67" s="3" t="s">
        <v>60</v>
      </c>
      <c r="D67" t="s">
        <v>53</v>
      </c>
      <c r="E67" s="3" t="s">
        <v>204</v>
      </c>
      <c r="F67" s="3" t="s">
        <v>147</v>
      </c>
      <c r="G67" s="3" t="s">
        <v>205</v>
      </c>
      <c r="H67" s="3" t="s">
        <v>31</v>
      </c>
      <c r="I67" s="3" t="s">
        <v>7</v>
      </c>
      <c r="J67" s="3" t="s">
        <v>149</v>
      </c>
      <c r="K67" s="3" t="s">
        <v>54</v>
      </c>
      <c r="L67" s="3" t="s">
        <v>22</v>
      </c>
      <c r="M67">
        <v>1</v>
      </c>
    </row>
    <row r="68" spans="1:13" x14ac:dyDescent="0.25">
      <c r="A68" s="2">
        <v>46310</v>
      </c>
      <c r="B68" s="1" t="str">
        <f ca="1">IF(Información1[[#This Row],[Fecha]]='Ajuste de fechas'!$A$2,"Día actual","Día anterior")</f>
        <v>Día anterior</v>
      </c>
      <c r="C68" s="3" t="s">
        <v>8</v>
      </c>
      <c r="D68" t="s">
        <v>9</v>
      </c>
      <c r="E68" s="3" t="s">
        <v>206</v>
      </c>
      <c r="F68" s="3" t="s">
        <v>137</v>
      </c>
      <c r="G68" s="3" t="s">
        <v>207</v>
      </c>
      <c r="H68" s="3" t="s">
        <v>31</v>
      </c>
      <c r="I68" s="3" t="s">
        <v>14</v>
      </c>
      <c r="J68" s="3" t="s">
        <v>126</v>
      </c>
      <c r="K68" s="3" t="s">
        <v>38</v>
      </c>
      <c r="L68" s="3" t="s">
        <v>23</v>
      </c>
      <c r="M68">
        <v>1</v>
      </c>
    </row>
    <row r="69" spans="1:13" x14ac:dyDescent="0.25">
      <c r="A69" s="2">
        <v>46310</v>
      </c>
      <c r="B69" s="1" t="str">
        <f ca="1">IF(Información1[[#This Row],[Fecha]]='Ajuste de fechas'!$A$2,"Día actual","Día anterior")</f>
        <v>Día anterior</v>
      </c>
      <c r="C69" s="3" t="s">
        <v>8</v>
      </c>
      <c r="D69" t="s">
        <v>9</v>
      </c>
      <c r="E69" s="3" t="s">
        <v>112</v>
      </c>
      <c r="F69" s="3" t="s">
        <v>29</v>
      </c>
      <c r="G69" s="3" t="s">
        <v>74</v>
      </c>
      <c r="H69" s="3" t="s">
        <v>31</v>
      </c>
      <c r="I69" s="3" t="s">
        <v>14</v>
      </c>
      <c r="J69" s="3" t="s">
        <v>21</v>
      </c>
      <c r="K69" s="3" t="s">
        <v>11</v>
      </c>
      <c r="L69" s="3" t="s">
        <v>23</v>
      </c>
      <c r="M69">
        <v>1</v>
      </c>
    </row>
    <row r="70" spans="1:13" x14ac:dyDescent="0.25">
      <c r="A70" s="2">
        <v>46310</v>
      </c>
      <c r="B70" s="1" t="str">
        <f ca="1">IF(Información1[[#This Row],[Fecha]]='Ajuste de fechas'!$A$2,"Día actual","Día anterior")</f>
        <v>Día anterior</v>
      </c>
      <c r="C70" s="3" t="s">
        <v>8</v>
      </c>
      <c r="D70" t="s">
        <v>9</v>
      </c>
      <c r="E70" s="3" t="s">
        <v>208</v>
      </c>
      <c r="F70" s="3" t="s">
        <v>122</v>
      </c>
      <c r="G70" s="3" t="s">
        <v>153</v>
      </c>
      <c r="H70" s="3" t="s">
        <v>31</v>
      </c>
      <c r="I70" s="3" t="s">
        <v>7</v>
      </c>
      <c r="J70" s="3" t="s">
        <v>124</v>
      </c>
      <c r="K70" s="3" t="s">
        <v>11</v>
      </c>
      <c r="L70" s="3" t="s">
        <v>23</v>
      </c>
      <c r="M70">
        <v>1</v>
      </c>
    </row>
    <row r="71" spans="1:13" x14ac:dyDescent="0.25">
      <c r="A71" s="2">
        <v>46310</v>
      </c>
      <c r="B71" s="1" t="str">
        <f ca="1">IF(Información1[[#This Row],[Fecha]]='Ajuste de fechas'!$A$2,"Día actual","Día anterior")</f>
        <v>Día anterior</v>
      </c>
      <c r="C71" s="3" t="s">
        <v>60</v>
      </c>
      <c r="D71" t="s">
        <v>53</v>
      </c>
      <c r="E71" s="3" t="s">
        <v>113</v>
      </c>
      <c r="F71" s="3" t="s">
        <v>65</v>
      </c>
      <c r="G71" s="3" t="s">
        <v>63</v>
      </c>
      <c r="H71" s="3" t="s">
        <v>31</v>
      </c>
      <c r="I71" s="3" t="s">
        <v>7</v>
      </c>
      <c r="J71" s="3" t="s">
        <v>21</v>
      </c>
      <c r="K71" s="3" t="s">
        <v>54</v>
      </c>
      <c r="L71" s="3" t="s">
        <v>22</v>
      </c>
      <c r="M71">
        <v>1</v>
      </c>
    </row>
    <row r="72" spans="1:13" x14ac:dyDescent="0.25">
      <c r="A72" s="2">
        <v>46310</v>
      </c>
      <c r="B72" s="1" t="str">
        <f ca="1">IF(Información1[[#This Row],[Fecha]]='Ajuste de fechas'!$A$2,"Día actual","Día anterior")</f>
        <v>Día anterior</v>
      </c>
      <c r="C72" s="3" t="s">
        <v>60</v>
      </c>
      <c r="D72" t="s">
        <v>53</v>
      </c>
      <c r="E72" s="3" t="s">
        <v>114</v>
      </c>
      <c r="F72" s="3" t="s">
        <v>64</v>
      </c>
      <c r="G72" s="3" t="s">
        <v>63</v>
      </c>
      <c r="H72" s="3" t="s">
        <v>31</v>
      </c>
      <c r="I72" s="3" t="s">
        <v>7</v>
      </c>
      <c r="J72" s="3" t="s">
        <v>21</v>
      </c>
      <c r="K72" s="3" t="s">
        <v>54</v>
      </c>
      <c r="L72" s="3" t="s">
        <v>22</v>
      </c>
      <c r="M72">
        <v>1</v>
      </c>
    </row>
    <row r="73" spans="1:13" x14ac:dyDescent="0.25">
      <c r="A73" s="2">
        <v>46310</v>
      </c>
      <c r="B73" s="1" t="str">
        <f ca="1">IF(Información1[[#This Row],[Fecha]]='Ajuste de fechas'!$A$2,"Día actual","Día anterior")</f>
        <v>Día anterior</v>
      </c>
      <c r="C73" s="3" t="s">
        <v>60</v>
      </c>
      <c r="D73" t="s">
        <v>69</v>
      </c>
      <c r="E73" s="3" t="s">
        <v>209</v>
      </c>
      <c r="F73" s="3" t="s">
        <v>119</v>
      </c>
      <c r="G73" s="3" t="s">
        <v>63</v>
      </c>
      <c r="H73" s="3" t="s">
        <v>31</v>
      </c>
      <c r="I73" s="3" t="s">
        <v>7</v>
      </c>
      <c r="J73" s="3" t="s">
        <v>21</v>
      </c>
      <c r="K73" s="3" t="s">
        <v>70</v>
      </c>
      <c r="L73" s="3" t="s">
        <v>22</v>
      </c>
      <c r="M73">
        <v>1</v>
      </c>
    </row>
    <row r="74" spans="1:13" x14ac:dyDescent="0.25">
      <c r="A74" s="2">
        <v>46310</v>
      </c>
      <c r="B74" s="1" t="str">
        <f ca="1">IF(Información1[[#This Row],[Fecha]]='Ajuste de fechas'!$A$2,"Día actual","Día anterior")</f>
        <v>Día anterior</v>
      </c>
      <c r="C74" s="3" t="s">
        <v>8</v>
      </c>
      <c r="D74" t="s">
        <v>9</v>
      </c>
      <c r="E74" s="3" t="s">
        <v>191</v>
      </c>
      <c r="F74" s="3" t="s">
        <v>134</v>
      </c>
      <c r="G74" s="3" t="s">
        <v>63</v>
      </c>
      <c r="H74" s="3" t="s">
        <v>31</v>
      </c>
      <c r="I74" s="3" t="s">
        <v>7</v>
      </c>
      <c r="J74" s="3" t="s">
        <v>126</v>
      </c>
      <c r="K74" s="3" t="s">
        <v>11</v>
      </c>
      <c r="L74" s="3" t="s">
        <v>28</v>
      </c>
      <c r="M74">
        <v>1</v>
      </c>
    </row>
    <row r="75" spans="1:13" x14ac:dyDescent="0.25">
      <c r="A75" s="2">
        <v>46310</v>
      </c>
      <c r="B75" s="1" t="str">
        <f ca="1">IF(Información1[[#This Row],[Fecha]]='Ajuste de fechas'!$A$2,"Día actual","Día anterior")</f>
        <v>Día anterior</v>
      </c>
      <c r="C75" s="3" t="s">
        <v>8</v>
      </c>
      <c r="D75" t="s">
        <v>9</v>
      </c>
      <c r="E75" s="3" t="s">
        <v>115</v>
      </c>
      <c r="F75" s="3" t="s">
        <v>67</v>
      </c>
      <c r="G75" s="3" t="s">
        <v>77</v>
      </c>
      <c r="H75" s="3" t="s">
        <v>31</v>
      </c>
      <c r="I75" s="3" t="s">
        <v>7</v>
      </c>
      <c r="J75" s="3" t="s">
        <v>21</v>
      </c>
      <c r="K75" s="3" t="s">
        <v>11</v>
      </c>
      <c r="L75" s="3" t="s">
        <v>23</v>
      </c>
      <c r="M75">
        <v>1</v>
      </c>
    </row>
    <row r="76" spans="1:13" x14ac:dyDescent="0.25">
      <c r="A76" s="2">
        <v>46310</v>
      </c>
      <c r="B76" s="1" t="str">
        <f ca="1">IF(Información1[[#This Row],[Fecha]]='Ajuste de fechas'!$A$2,"Día actual","Día anterior")</f>
        <v>Día anterior</v>
      </c>
      <c r="C76" s="3" t="s">
        <v>8</v>
      </c>
      <c r="D76" t="s">
        <v>9</v>
      </c>
      <c r="E76" s="3" t="s">
        <v>210</v>
      </c>
      <c r="F76" s="3" t="s">
        <v>137</v>
      </c>
      <c r="G76" s="3" t="s">
        <v>181</v>
      </c>
      <c r="H76" s="3" t="s">
        <v>31</v>
      </c>
      <c r="I76" s="3" t="s">
        <v>7</v>
      </c>
      <c r="J76" s="3" t="s">
        <v>126</v>
      </c>
      <c r="K76" s="3" t="s">
        <v>11</v>
      </c>
      <c r="L76" s="3" t="s">
        <v>23</v>
      </c>
      <c r="M76">
        <v>1</v>
      </c>
    </row>
    <row r="77" spans="1:13" x14ac:dyDescent="0.25">
      <c r="A77" s="2">
        <v>46310</v>
      </c>
      <c r="B77" s="1" t="str">
        <f ca="1">IF(Información1[[#This Row],[Fecha]]='Ajuste de fechas'!$A$2,"Día actual","Día anterior")</f>
        <v>Día anterior</v>
      </c>
      <c r="C77" s="3" t="s">
        <v>60</v>
      </c>
      <c r="D77" t="s">
        <v>69</v>
      </c>
      <c r="E77" s="3" t="s">
        <v>211</v>
      </c>
      <c r="F77" s="3" t="s">
        <v>147</v>
      </c>
      <c r="G77" s="3" t="s">
        <v>212</v>
      </c>
      <c r="H77" s="3" t="s">
        <v>31</v>
      </c>
      <c r="I77" s="3" t="s">
        <v>7</v>
      </c>
      <c r="J77" s="3" t="s">
        <v>149</v>
      </c>
      <c r="K77" s="3" t="s">
        <v>70</v>
      </c>
      <c r="L77" s="3" t="s">
        <v>22</v>
      </c>
      <c r="M77">
        <v>1</v>
      </c>
    </row>
    <row r="78" spans="1:13" x14ac:dyDescent="0.25">
      <c r="A78" s="2">
        <v>46310</v>
      </c>
      <c r="B78" s="1" t="str">
        <f ca="1">IF(Información1[[#This Row],[Fecha]]='Ajuste de fechas'!$A$2,"Día actual","Día anterior")</f>
        <v>Día anterior</v>
      </c>
      <c r="C78" s="3" t="s">
        <v>8</v>
      </c>
      <c r="D78" t="s">
        <v>9</v>
      </c>
      <c r="E78" s="3" t="s">
        <v>213</v>
      </c>
      <c r="F78" s="3" t="s">
        <v>122</v>
      </c>
      <c r="G78" s="3" t="s">
        <v>56</v>
      </c>
      <c r="H78" s="3" t="s">
        <v>31</v>
      </c>
      <c r="I78" s="3" t="s">
        <v>7</v>
      </c>
      <c r="J78" s="3" t="s">
        <v>124</v>
      </c>
      <c r="K78" s="3" t="s">
        <v>11</v>
      </c>
      <c r="L78" s="3" t="s">
        <v>23</v>
      </c>
      <c r="M78">
        <v>1</v>
      </c>
    </row>
    <row r="79" spans="1:13" x14ac:dyDescent="0.25">
      <c r="A79" s="2">
        <v>46310</v>
      </c>
      <c r="B79" s="1" t="str">
        <f ca="1">IF(Información1[[#This Row],[Fecha]]='Ajuste de fechas'!$A$2,"Día actual","Día anterior")</f>
        <v>Día anterior</v>
      </c>
      <c r="C79" s="3" t="s">
        <v>8</v>
      </c>
      <c r="D79" t="s">
        <v>9</v>
      </c>
      <c r="E79" s="3" t="s">
        <v>214</v>
      </c>
      <c r="F79" s="3" t="s">
        <v>122</v>
      </c>
      <c r="G79" s="3" t="s">
        <v>56</v>
      </c>
      <c r="H79" s="3" t="s">
        <v>31</v>
      </c>
      <c r="I79" s="3" t="s">
        <v>7</v>
      </c>
      <c r="J79" s="3" t="s">
        <v>124</v>
      </c>
      <c r="K79" s="3" t="s">
        <v>11</v>
      </c>
      <c r="L79" s="3" t="s">
        <v>23</v>
      </c>
      <c r="M79">
        <v>1</v>
      </c>
    </row>
    <row r="80" spans="1:13" x14ac:dyDescent="0.25">
      <c r="A80" s="2">
        <v>46310</v>
      </c>
      <c r="B80" s="1" t="str">
        <f ca="1">IF(Información1[[#This Row],[Fecha]]='Ajuste de fechas'!$A$2,"Día actual","Día anterior")</f>
        <v>Día anterior</v>
      </c>
      <c r="C80" s="3" t="s">
        <v>8</v>
      </c>
      <c r="D80" t="s">
        <v>9</v>
      </c>
      <c r="E80" s="3" t="s">
        <v>215</v>
      </c>
      <c r="F80" s="3" t="s">
        <v>134</v>
      </c>
      <c r="G80" s="3" t="s">
        <v>56</v>
      </c>
      <c r="H80" s="3" t="s">
        <v>31</v>
      </c>
      <c r="I80" s="3" t="s">
        <v>7</v>
      </c>
      <c r="J80" s="3" t="s">
        <v>126</v>
      </c>
      <c r="K80" s="3" t="s">
        <v>11</v>
      </c>
      <c r="L80" s="3" t="s">
        <v>23</v>
      </c>
      <c r="M80">
        <v>1</v>
      </c>
    </row>
    <row r="81" spans="1:13" x14ac:dyDescent="0.25">
      <c r="A81" s="2">
        <v>46310</v>
      </c>
      <c r="B81" s="1" t="str">
        <f ca="1">IF(Información1[[#This Row],[Fecha]]='Ajuste de fechas'!$A$2,"Día actual","Día anterior")</f>
        <v>Día anterior</v>
      </c>
      <c r="C81" s="3" t="s">
        <v>8</v>
      </c>
      <c r="D81" t="s">
        <v>9</v>
      </c>
      <c r="E81" s="3" t="s">
        <v>66</v>
      </c>
      <c r="F81" s="3" t="s">
        <v>29</v>
      </c>
      <c r="G81" s="3" t="s">
        <v>56</v>
      </c>
      <c r="H81" s="3" t="s">
        <v>31</v>
      </c>
      <c r="I81" s="3" t="s">
        <v>7</v>
      </c>
      <c r="J81" s="3" t="s">
        <v>21</v>
      </c>
      <c r="K81" s="3" t="s">
        <v>11</v>
      </c>
      <c r="L81" s="3" t="s">
        <v>23</v>
      </c>
      <c r="M81">
        <v>1</v>
      </c>
    </row>
    <row r="82" spans="1:13" x14ac:dyDescent="0.25">
      <c r="A82" s="2">
        <v>46310</v>
      </c>
      <c r="B82" s="1" t="str">
        <f ca="1">IF(Información1[[#This Row],[Fecha]]='Ajuste de fechas'!$A$2,"Día actual","Día anterior")</f>
        <v>Día anterior</v>
      </c>
      <c r="C82" s="3" t="s">
        <v>8</v>
      </c>
      <c r="D82" t="s">
        <v>9</v>
      </c>
      <c r="E82" s="3" t="s">
        <v>61</v>
      </c>
      <c r="F82" s="3" t="s">
        <v>12</v>
      </c>
      <c r="G82" s="3" t="s">
        <v>56</v>
      </c>
      <c r="H82" s="3" t="s">
        <v>31</v>
      </c>
      <c r="I82" s="3" t="s">
        <v>7</v>
      </c>
      <c r="J82" s="3" t="s">
        <v>21</v>
      </c>
      <c r="K82" s="3" t="s">
        <v>11</v>
      </c>
      <c r="L82" s="3" t="s">
        <v>23</v>
      </c>
      <c r="M82">
        <v>1</v>
      </c>
    </row>
    <row r="83" spans="1:13" x14ac:dyDescent="0.25">
      <c r="A83" s="2">
        <v>46310</v>
      </c>
      <c r="B83" s="1" t="str">
        <f ca="1">IF(Información1[[#This Row],[Fecha]]='Ajuste de fechas'!$A$2,"Día actual","Día anterior")</f>
        <v>Día anterior</v>
      </c>
      <c r="C83" s="3" t="s">
        <v>8</v>
      </c>
      <c r="D83" t="s">
        <v>9</v>
      </c>
      <c r="E83" s="3" t="s">
        <v>57</v>
      </c>
      <c r="F83" s="3" t="s">
        <v>6</v>
      </c>
      <c r="G83" s="3" t="s">
        <v>56</v>
      </c>
      <c r="H83" s="3" t="s">
        <v>31</v>
      </c>
      <c r="I83" s="3" t="s">
        <v>10</v>
      </c>
      <c r="J83" s="3" t="s">
        <v>21</v>
      </c>
      <c r="K83" s="3" t="s">
        <v>11</v>
      </c>
      <c r="L83" s="3" t="s">
        <v>23</v>
      </c>
      <c r="M83">
        <v>1</v>
      </c>
    </row>
    <row r="84" spans="1:13" x14ac:dyDescent="0.25">
      <c r="A84" s="2">
        <v>46310</v>
      </c>
      <c r="B84" s="1" t="str">
        <f ca="1">IF(Información1[[#This Row],[Fecha]]='Ajuste de fechas'!$A$2,"Día actual","Día anterior")</f>
        <v>Día anterior</v>
      </c>
      <c r="C84" s="3" t="s">
        <v>60</v>
      </c>
      <c r="D84" t="s">
        <v>69</v>
      </c>
      <c r="E84" s="3" t="s">
        <v>216</v>
      </c>
      <c r="F84" s="3" t="s">
        <v>162</v>
      </c>
      <c r="G84" s="3" t="s">
        <v>165</v>
      </c>
      <c r="H84" s="3" t="s">
        <v>31</v>
      </c>
      <c r="I84" s="3" t="s">
        <v>7</v>
      </c>
      <c r="J84" s="3" t="s">
        <v>21</v>
      </c>
      <c r="K84" s="3" t="s">
        <v>70</v>
      </c>
      <c r="L84" s="3" t="s">
        <v>24</v>
      </c>
      <c r="M84">
        <v>1</v>
      </c>
    </row>
    <row r="85" spans="1:13" x14ac:dyDescent="0.25">
      <c r="A85" s="2">
        <v>46310</v>
      </c>
      <c r="B85" s="1" t="str">
        <f ca="1">IF(Información1[[#This Row],[Fecha]]='Ajuste de fechas'!$A$2,"Día actual","Día anterior")</f>
        <v>Día anterior</v>
      </c>
      <c r="C85" s="3" t="s">
        <v>8</v>
      </c>
      <c r="D85" t="s">
        <v>9</v>
      </c>
      <c r="E85" s="3" t="s">
        <v>116</v>
      </c>
      <c r="F85" s="3" t="s">
        <v>6</v>
      </c>
      <c r="G85" s="3" t="s">
        <v>55</v>
      </c>
      <c r="H85" s="3" t="s">
        <v>31</v>
      </c>
      <c r="I85" s="3" t="s">
        <v>14</v>
      </c>
      <c r="J85" s="3" t="s">
        <v>21</v>
      </c>
      <c r="K85" s="3" t="s">
        <v>38</v>
      </c>
      <c r="L85" s="3" t="s">
        <v>23</v>
      </c>
      <c r="M85">
        <v>1</v>
      </c>
    </row>
    <row r="86" spans="1:13" x14ac:dyDescent="0.25">
      <c r="A86" s="2">
        <v>46310</v>
      </c>
      <c r="B86" s="1" t="str">
        <f ca="1">IF(Información1[[#This Row],[Fecha]]='Ajuste de fechas'!$A$2,"Día actual","Día anterior")</f>
        <v>Día anterior</v>
      </c>
      <c r="C86" s="3" t="s">
        <v>8</v>
      </c>
      <c r="D86" t="s">
        <v>9</v>
      </c>
      <c r="E86" s="3" t="s">
        <v>117</v>
      </c>
      <c r="F86" s="3" t="s">
        <v>6</v>
      </c>
      <c r="G86" s="3" t="s">
        <v>55</v>
      </c>
      <c r="H86" s="3" t="s">
        <v>31</v>
      </c>
      <c r="I86" s="3" t="s">
        <v>14</v>
      </c>
      <c r="J86" s="3" t="s">
        <v>21</v>
      </c>
      <c r="K86" s="3" t="s">
        <v>38</v>
      </c>
      <c r="L86" s="3" t="s">
        <v>23</v>
      </c>
      <c r="M86">
        <v>1</v>
      </c>
    </row>
    <row r="87" spans="1:13" x14ac:dyDescent="0.25">
      <c r="A87" s="2">
        <v>46311</v>
      </c>
      <c r="B87" s="1" t="str">
        <f ca="1">IF(Información1[[#This Row],[Fecha]]='Ajuste de fechas'!$A$2,"Día actual","Día anterior")</f>
        <v>Día actual</v>
      </c>
      <c r="C87" s="3" t="s">
        <v>32</v>
      </c>
      <c r="D87" t="s">
        <v>37</v>
      </c>
      <c r="E87" s="3" t="s">
        <v>217</v>
      </c>
      <c r="F87" s="3" t="s">
        <v>122</v>
      </c>
      <c r="G87" s="3" t="s">
        <v>218</v>
      </c>
      <c r="H87" s="3" t="s">
        <v>31</v>
      </c>
      <c r="I87" s="3" t="s">
        <v>7</v>
      </c>
      <c r="J87" s="3" t="s">
        <v>124</v>
      </c>
      <c r="K87" s="3" t="s">
        <v>34</v>
      </c>
      <c r="L87" s="3" t="s">
        <v>22</v>
      </c>
      <c r="M87">
        <v>1</v>
      </c>
    </row>
    <row r="88" spans="1:13" x14ac:dyDescent="0.25">
      <c r="A88" s="2">
        <v>46311</v>
      </c>
      <c r="B88" s="1" t="str">
        <f ca="1">IF(Información1[[#This Row],[Fecha]]='Ajuste de fechas'!$A$2,"Día actual","Día anterior")</f>
        <v>Día actual</v>
      </c>
      <c r="C88" s="3" t="s">
        <v>32</v>
      </c>
      <c r="D88" t="s">
        <v>37</v>
      </c>
      <c r="E88" s="3" t="s">
        <v>219</v>
      </c>
      <c r="F88" s="3" t="s">
        <v>147</v>
      </c>
      <c r="G88" s="3" t="s">
        <v>220</v>
      </c>
      <c r="H88" s="3" t="s">
        <v>31</v>
      </c>
      <c r="I88" s="3" t="s">
        <v>7</v>
      </c>
      <c r="J88" s="3" t="s">
        <v>149</v>
      </c>
      <c r="K88" s="3" t="s">
        <v>175</v>
      </c>
      <c r="L88" s="3" t="s">
        <v>22</v>
      </c>
      <c r="M88">
        <v>1</v>
      </c>
    </row>
    <row r="89" spans="1:13" x14ac:dyDescent="0.25">
      <c r="A89" s="2">
        <v>46311</v>
      </c>
      <c r="B89" s="1" t="str">
        <f ca="1">IF(Información1[[#This Row],[Fecha]]='Ajuste de fechas'!$A$2,"Día actual","Día anterior")</f>
        <v>Día actual</v>
      </c>
      <c r="C89" s="3" t="s">
        <v>39</v>
      </c>
      <c r="D89" t="s">
        <v>40</v>
      </c>
      <c r="E89" s="3" t="s">
        <v>221</v>
      </c>
      <c r="F89" s="3" t="s">
        <v>67</v>
      </c>
      <c r="G89" s="3" t="s">
        <v>63</v>
      </c>
      <c r="H89" s="3" t="s">
        <v>31</v>
      </c>
      <c r="I89" s="3" t="s">
        <v>10</v>
      </c>
      <c r="J89" s="3" t="s">
        <v>21</v>
      </c>
      <c r="K89" s="3" t="s">
        <v>41</v>
      </c>
      <c r="L89" s="3" t="s">
        <v>22</v>
      </c>
      <c r="M89">
        <v>1</v>
      </c>
    </row>
    <row r="90" spans="1:13" x14ac:dyDescent="0.25">
      <c r="A90" s="2">
        <v>46311</v>
      </c>
      <c r="B90" s="1" t="str">
        <f ca="1">IF(Información1[[#This Row],[Fecha]]='Ajuste de fechas'!$A$2,"Día actual","Día anterior")</f>
        <v>Día actual</v>
      </c>
      <c r="C90" s="3" t="s">
        <v>39</v>
      </c>
      <c r="D90" t="s">
        <v>40</v>
      </c>
      <c r="E90" s="3" t="s">
        <v>222</v>
      </c>
      <c r="F90" s="3" t="s">
        <v>159</v>
      </c>
      <c r="G90" s="3" t="s">
        <v>160</v>
      </c>
      <c r="H90" s="3" t="s">
        <v>31</v>
      </c>
      <c r="I90" s="3" t="s">
        <v>10</v>
      </c>
      <c r="J90" s="3" t="s">
        <v>21</v>
      </c>
      <c r="K90" s="3" t="s">
        <v>41</v>
      </c>
      <c r="L90" s="3" t="s">
        <v>22</v>
      </c>
      <c r="M90">
        <v>1</v>
      </c>
    </row>
    <row r="91" spans="1:13" x14ac:dyDescent="0.25">
      <c r="A91" s="2">
        <v>46311</v>
      </c>
      <c r="B91" s="1" t="str">
        <f ca="1">IF(Información1[[#This Row],[Fecha]]='Ajuste de fechas'!$A$2,"Día actual","Día anterior")</f>
        <v>Día actual</v>
      </c>
      <c r="C91" s="3" t="s">
        <v>39</v>
      </c>
      <c r="D91" t="s">
        <v>40</v>
      </c>
      <c r="E91" s="3" t="s">
        <v>223</v>
      </c>
      <c r="F91" s="3" t="s">
        <v>159</v>
      </c>
      <c r="G91" s="3" t="s">
        <v>160</v>
      </c>
      <c r="H91" s="3" t="s">
        <v>31</v>
      </c>
      <c r="I91" s="3" t="s">
        <v>10</v>
      </c>
      <c r="J91" s="3" t="s">
        <v>21</v>
      </c>
      <c r="K91" s="3" t="s">
        <v>41</v>
      </c>
      <c r="L91" s="3" t="s">
        <v>22</v>
      </c>
      <c r="M91">
        <v>1</v>
      </c>
    </row>
    <row r="92" spans="1:13" x14ac:dyDescent="0.25">
      <c r="A92" s="2">
        <v>46311</v>
      </c>
      <c r="B92" s="1" t="str">
        <f ca="1">IF(Información1[[#This Row],[Fecha]]='Ajuste de fechas'!$A$2,"Día actual","Día anterior")</f>
        <v>Día actual</v>
      </c>
      <c r="C92" s="3" t="s">
        <v>39</v>
      </c>
      <c r="D92" t="s">
        <v>40</v>
      </c>
      <c r="E92" s="3" t="s">
        <v>224</v>
      </c>
      <c r="F92" s="3" t="s">
        <v>13</v>
      </c>
      <c r="G92" s="3" t="s">
        <v>225</v>
      </c>
      <c r="H92" s="3" t="s">
        <v>31</v>
      </c>
      <c r="I92" s="3" t="s">
        <v>7</v>
      </c>
      <c r="J92" s="3" t="s">
        <v>21</v>
      </c>
      <c r="K92" s="3" t="s">
        <v>41</v>
      </c>
      <c r="L92" s="3" t="s">
        <v>24</v>
      </c>
      <c r="M92">
        <v>1</v>
      </c>
    </row>
    <row r="93" spans="1:13" x14ac:dyDescent="0.25">
      <c r="A93" s="2">
        <v>46311</v>
      </c>
      <c r="B93" s="1" t="str">
        <f ca="1">IF(Información1[[#This Row],[Fecha]]='Ajuste de fechas'!$A$2,"Día actual","Día anterior")</f>
        <v>Día actual</v>
      </c>
      <c r="C93" s="3" t="s">
        <v>39</v>
      </c>
      <c r="D93" t="s">
        <v>40</v>
      </c>
      <c r="E93" s="3" t="s">
        <v>226</v>
      </c>
      <c r="F93" s="3" t="s">
        <v>147</v>
      </c>
      <c r="G93" s="3" t="s">
        <v>220</v>
      </c>
      <c r="H93" s="3" t="s">
        <v>31</v>
      </c>
      <c r="I93" s="3" t="s">
        <v>7</v>
      </c>
      <c r="J93" s="3" t="s">
        <v>149</v>
      </c>
      <c r="K93" s="3" t="s">
        <v>41</v>
      </c>
      <c r="L93" s="3" t="s">
        <v>22</v>
      </c>
      <c r="M93">
        <v>1</v>
      </c>
    </row>
    <row r="94" spans="1:13" x14ac:dyDescent="0.25">
      <c r="A94" s="2">
        <v>46311</v>
      </c>
      <c r="B94" s="1" t="str">
        <f ca="1">IF(Información1[[#This Row],[Fecha]]='Ajuste de fechas'!$A$2,"Día actual","Día anterior")</f>
        <v>Día actual</v>
      </c>
      <c r="C94" s="3" t="s">
        <v>32</v>
      </c>
      <c r="D94" t="s">
        <v>33</v>
      </c>
      <c r="E94" s="3" t="s">
        <v>227</v>
      </c>
      <c r="F94" s="3" t="s">
        <v>126</v>
      </c>
      <c r="G94" s="3" t="s">
        <v>228</v>
      </c>
      <c r="H94" s="3" t="s">
        <v>31</v>
      </c>
      <c r="I94" s="3" t="s">
        <v>7</v>
      </c>
      <c r="J94" s="3" t="s">
        <v>126</v>
      </c>
      <c r="K94" s="3" t="s">
        <v>34</v>
      </c>
      <c r="L94" s="3" t="s">
        <v>28</v>
      </c>
      <c r="M94">
        <v>1</v>
      </c>
    </row>
    <row r="95" spans="1:13" x14ac:dyDescent="0.25">
      <c r="A95" s="2">
        <v>46311</v>
      </c>
      <c r="B95" s="1" t="str">
        <f ca="1">IF(Información1[[#This Row],[Fecha]]='Ajuste de fechas'!$A$2,"Día actual","Día anterior")</f>
        <v>Día actual</v>
      </c>
      <c r="C95" s="3" t="s">
        <v>32</v>
      </c>
      <c r="D95" t="s">
        <v>33</v>
      </c>
      <c r="E95" s="3" t="s">
        <v>229</v>
      </c>
      <c r="F95" s="3" t="s">
        <v>126</v>
      </c>
      <c r="G95" s="3" t="s">
        <v>230</v>
      </c>
      <c r="H95" s="3" t="s">
        <v>31</v>
      </c>
      <c r="I95" s="3" t="s">
        <v>10</v>
      </c>
      <c r="J95" s="3" t="s">
        <v>126</v>
      </c>
      <c r="K95" s="3" t="s">
        <v>35</v>
      </c>
      <c r="L95" s="3" t="s">
        <v>28</v>
      </c>
      <c r="M95">
        <v>1</v>
      </c>
    </row>
    <row r="96" spans="1:13" x14ac:dyDescent="0.25">
      <c r="A96" s="2">
        <v>46311</v>
      </c>
      <c r="B96" s="1" t="str">
        <f ca="1">IF(Información1[[#This Row],[Fecha]]='Ajuste de fechas'!$A$2,"Día actual","Día anterior")</f>
        <v>Día actual</v>
      </c>
      <c r="C96" s="3" t="s">
        <v>32</v>
      </c>
      <c r="D96" t="s">
        <v>33</v>
      </c>
      <c r="E96" s="3" t="s">
        <v>229</v>
      </c>
      <c r="F96" s="3" t="s">
        <v>147</v>
      </c>
      <c r="G96" s="3" t="s">
        <v>231</v>
      </c>
      <c r="H96" s="3" t="s">
        <v>31</v>
      </c>
      <c r="I96" s="3" t="s">
        <v>7</v>
      </c>
      <c r="J96" s="3" t="s">
        <v>149</v>
      </c>
      <c r="K96" s="3" t="s">
        <v>34</v>
      </c>
      <c r="L96" s="3" t="s">
        <v>22</v>
      </c>
      <c r="M96">
        <v>1</v>
      </c>
    </row>
    <row r="97" spans="1:13" x14ac:dyDescent="0.25">
      <c r="A97" s="2">
        <v>46311</v>
      </c>
      <c r="B97" s="1" t="str">
        <f ca="1">IF(Información1[[#This Row],[Fecha]]='Ajuste de fechas'!$A$2,"Día actual","Día anterior")</f>
        <v>Día actual</v>
      </c>
      <c r="C97" s="3" t="s">
        <v>32</v>
      </c>
      <c r="D97" t="s">
        <v>33</v>
      </c>
      <c r="E97" s="3" t="s">
        <v>232</v>
      </c>
      <c r="F97" s="3" t="s">
        <v>147</v>
      </c>
      <c r="G97" s="3" t="s">
        <v>233</v>
      </c>
      <c r="H97" s="3" t="s">
        <v>31</v>
      </c>
      <c r="I97" s="3" t="s">
        <v>14</v>
      </c>
      <c r="J97" s="3" t="s">
        <v>149</v>
      </c>
      <c r="K97" s="3" t="s">
        <v>34</v>
      </c>
      <c r="L97" s="3" t="s">
        <v>22</v>
      </c>
      <c r="M97">
        <v>1</v>
      </c>
    </row>
    <row r="98" spans="1:13" x14ac:dyDescent="0.25">
      <c r="A98" s="2">
        <v>46311</v>
      </c>
      <c r="B98" s="1" t="str">
        <f ca="1">IF(Información1[[#This Row],[Fecha]]='Ajuste de fechas'!$A$2,"Día actual","Día anterior")</f>
        <v>Día actual</v>
      </c>
      <c r="C98" s="3" t="s">
        <v>32</v>
      </c>
      <c r="D98" t="s">
        <v>33</v>
      </c>
      <c r="E98" s="3" t="s">
        <v>234</v>
      </c>
      <c r="F98" s="3" t="s">
        <v>67</v>
      </c>
      <c r="G98" s="3" t="s">
        <v>63</v>
      </c>
      <c r="H98" s="3" t="s">
        <v>31</v>
      </c>
      <c r="I98" s="3" t="s">
        <v>7</v>
      </c>
      <c r="J98" s="3" t="s">
        <v>21</v>
      </c>
      <c r="K98" s="3" t="s">
        <v>35</v>
      </c>
      <c r="L98" s="3" t="s">
        <v>24</v>
      </c>
      <c r="M98">
        <v>1</v>
      </c>
    </row>
    <row r="99" spans="1:13" x14ac:dyDescent="0.25">
      <c r="A99" s="2">
        <v>46311</v>
      </c>
      <c r="B99" s="1" t="str">
        <f ca="1">IF(Información1[[#This Row],[Fecha]]='Ajuste de fechas'!$A$2,"Día actual","Día anterior")</f>
        <v>Día actual</v>
      </c>
      <c r="C99" s="3" t="s">
        <v>32</v>
      </c>
      <c r="D99" t="s">
        <v>33</v>
      </c>
      <c r="E99" s="3" t="s">
        <v>235</v>
      </c>
      <c r="F99" s="3" t="s">
        <v>59</v>
      </c>
      <c r="G99" s="3" t="s">
        <v>63</v>
      </c>
      <c r="H99" s="3" t="s">
        <v>31</v>
      </c>
      <c r="I99" s="3" t="s">
        <v>7</v>
      </c>
      <c r="J99" s="3" t="s">
        <v>21</v>
      </c>
      <c r="K99" s="3" t="s">
        <v>35</v>
      </c>
      <c r="L99" s="3" t="s">
        <v>24</v>
      </c>
      <c r="M99">
        <v>1</v>
      </c>
    </row>
    <row r="100" spans="1:13" x14ac:dyDescent="0.25">
      <c r="A100" s="2">
        <v>46311</v>
      </c>
      <c r="B100" s="1" t="str">
        <f ca="1">IF(Información1[[#This Row],[Fecha]]='Ajuste de fechas'!$A$2,"Día actual","Día anterior")</f>
        <v>Día actual</v>
      </c>
      <c r="C100" s="3" t="s">
        <v>32</v>
      </c>
      <c r="D100" t="s">
        <v>33</v>
      </c>
      <c r="E100" s="3" t="s">
        <v>236</v>
      </c>
      <c r="F100" s="3" t="s">
        <v>147</v>
      </c>
      <c r="G100" s="3" t="s">
        <v>174</v>
      </c>
      <c r="H100" s="3" t="s">
        <v>31</v>
      </c>
      <c r="I100" s="3" t="s">
        <v>14</v>
      </c>
      <c r="J100" s="3" t="s">
        <v>149</v>
      </c>
      <c r="K100" s="3" t="s">
        <v>34</v>
      </c>
      <c r="L100" s="3" t="s">
        <v>22</v>
      </c>
      <c r="M100">
        <v>1</v>
      </c>
    </row>
    <row r="101" spans="1:13" x14ac:dyDescent="0.25">
      <c r="A101" s="2">
        <v>46311</v>
      </c>
      <c r="B101" s="1" t="str">
        <f ca="1">IF(Información1[[#This Row],[Fecha]]='Ajuste de fechas'!$A$2,"Día actual","Día anterior")</f>
        <v>Día actual</v>
      </c>
      <c r="C101" s="3" t="s">
        <v>237</v>
      </c>
      <c r="D101" t="s">
        <v>238</v>
      </c>
      <c r="E101" s="3" t="s">
        <v>239</v>
      </c>
      <c r="F101" s="3" t="s">
        <v>240</v>
      </c>
      <c r="G101" s="3" t="s">
        <v>228</v>
      </c>
      <c r="H101" s="3" t="s">
        <v>31</v>
      </c>
      <c r="I101" s="3" t="s">
        <v>10</v>
      </c>
      <c r="J101" s="3" t="s">
        <v>21</v>
      </c>
      <c r="K101" s="3" t="s">
        <v>241</v>
      </c>
      <c r="L101" s="3" t="s">
        <v>242</v>
      </c>
      <c r="M101">
        <v>1</v>
      </c>
    </row>
    <row r="102" spans="1:13" x14ac:dyDescent="0.25">
      <c r="A102" s="2">
        <v>46311</v>
      </c>
      <c r="B102" s="1" t="str">
        <f ca="1">IF(Información1[[#This Row],[Fecha]]='Ajuste de fechas'!$A$2,"Día actual","Día anterior")</f>
        <v>Día actual</v>
      </c>
      <c r="C102" s="3" t="s">
        <v>60</v>
      </c>
      <c r="D102" t="s">
        <v>69</v>
      </c>
      <c r="E102" s="3" t="s">
        <v>243</v>
      </c>
      <c r="F102" s="3" t="s">
        <v>13</v>
      </c>
      <c r="G102" s="3" t="s">
        <v>225</v>
      </c>
      <c r="H102" s="3" t="s">
        <v>31</v>
      </c>
      <c r="I102" s="3" t="s">
        <v>7</v>
      </c>
      <c r="J102" s="3" t="s">
        <v>21</v>
      </c>
      <c r="K102" s="3" t="s">
        <v>70</v>
      </c>
      <c r="L102" s="3" t="s">
        <v>22</v>
      </c>
      <c r="M102">
        <v>1</v>
      </c>
    </row>
    <row r="103" spans="1:13" x14ac:dyDescent="0.25">
      <c r="A103" s="2">
        <v>46311</v>
      </c>
      <c r="B103" s="1" t="str">
        <f ca="1">IF(Información1[[#This Row],[Fecha]]='Ajuste de fechas'!$A$2,"Día actual","Día anterior")</f>
        <v>Día actual</v>
      </c>
      <c r="C103" s="3" t="s">
        <v>60</v>
      </c>
      <c r="D103" t="s">
        <v>69</v>
      </c>
      <c r="E103" s="3" t="s">
        <v>244</v>
      </c>
      <c r="F103" s="3" t="s">
        <v>13</v>
      </c>
      <c r="G103" s="3" t="s">
        <v>71</v>
      </c>
      <c r="H103" s="3" t="s">
        <v>31</v>
      </c>
      <c r="I103" s="3" t="s">
        <v>7</v>
      </c>
      <c r="J103" s="3" t="s">
        <v>21</v>
      </c>
      <c r="K103" s="3" t="s">
        <v>70</v>
      </c>
      <c r="L103" s="3" t="s">
        <v>22</v>
      </c>
      <c r="M103">
        <v>1</v>
      </c>
    </row>
    <row r="104" spans="1:13" x14ac:dyDescent="0.25">
      <c r="A104" s="2">
        <v>46311</v>
      </c>
      <c r="B104" s="1" t="str">
        <f ca="1">IF(Información1[[#This Row],[Fecha]]='Ajuste de fechas'!$A$2,"Día actual","Día anterior")</f>
        <v>Día actual</v>
      </c>
      <c r="C104" s="3" t="s">
        <v>60</v>
      </c>
      <c r="D104" t="s">
        <v>69</v>
      </c>
      <c r="E104" s="3" t="s">
        <v>245</v>
      </c>
      <c r="F104" s="3" t="s">
        <v>36</v>
      </c>
      <c r="G104" s="3" t="s">
        <v>58</v>
      </c>
      <c r="H104" s="3" t="s">
        <v>31</v>
      </c>
      <c r="I104" s="3" t="s">
        <v>7</v>
      </c>
      <c r="J104" s="3" t="s">
        <v>21</v>
      </c>
      <c r="K104" s="3" t="s">
        <v>70</v>
      </c>
      <c r="L104" s="3" t="s">
        <v>22</v>
      </c>
      <c r="M104">
        <v>1</v>
      </c>
    </row>
    <row r="105" spans="1:13" x14ac:dyDescent="0.25">
      <c r="A105" s="2">
        <v>46311</v>
      </c>
      <c r="B105" s="1" t="str">
        <f ca="1">IF(Información1[[#This Row],[Fecha]]='Ajuste de fechas'!$A$2,"Día actual","Día anterior")</f>
        <v>Día actual</v>
      </c>
      <c r="C105" s="3" t="s">
        <v>60</v>
      </c>
      <c r="D105" t="s">
        <v>69</v>
      </c>
      <c r="E105" s="3" t="s">
        <v>246</v>
      </c>
      <c r="F105" s="3" t="s">
        <v>59</v>
      </c>
      <c r="G105" s="3" t="s">
        <v>247</v>
      </c>
      <c r="H105" s="3" t="s">
        <v>31</v>
      </c>
      <c r="I105" s="3" t="s">
        <v>7</v>
      </c>
      <c r="J105" s="3" t="s">
        <v>21</v>
      </c>
      <c r="K105" s="3" t="s">
        <v>70</v>
      </c>
      <c r="L105" s="3" t="s">
        <v>22</v>
      </c>
      <c r="M105">
        <v>1</v>
      </c>
    </row>
    <row r="106" spans="1:13" x14ac:dyDescent="0.25">
      <c r="A106" s="2">
        <v>46311</v>
      </c>
      <c r="B106" s="1" t="str">
        <f ca="1">IF(Información1[[#This Row],[Fecha]]='Ajuste de fechas'!$A$2,"Día actual","Día anterior")</f>
        <v>Día actual</v>
      </c>
      <c r="C106" s="3" t="s">
        <v>60</v>
      </c>
      <c r="D106" t="s">
        <v>69</v>
      </c>
      <c r="E106" s="3" t="s">
        <v>248</v>
      </c>
      <c r="F106" s="3" t="s">
        <v>147</v>
      </c>
      <c r="G106" s="3" t="s">
        <v>249</v>
      </c>
      <c r="H106" s="3" t="s">
        <v>31</v>
      </c>
      <c r="I106" s="3" t="s">
        <v>7</v>
      </c>
      <c r="J106" s="3" t="s">
        <v>149</v>
      </c>
      <c r="K106" s="3" t="s">
        <v>70</v>
      </c>
      <c r="L106" s="3" t="s">
        <v>22</v>
      </c>
      <c r="M106">
        <v>1</v>
      </c>
    </row>
    <row r="107" spans="1:13" x14ac:dyDescent="0.25">
      <c r="A107" s="2">
        <v>46311</v>
      </c>
      <c r="B107" s="1" t="str">
        <f ca="1">IF(Información1[[#This Row],[Fecha]]='Ajuste de fechas'!$A$2,"Día actual","Día anterior")</f>
        <v>Día actual</v>
      </c>
      <c r="C107" s="3" t="s">
        <v>60</v>
      </c>
      <c r="D107" t="s">
        <v>69</v>
      </c>
      <c r="E107" s="3" t="s">
        <v>250</v>
      </c>
      <c r="F107" s="3" t="s">
        <v>147</v>
      </c>
      <c r="G107" s="3" t="s">
        <v>251</v>
      </c>
      <c r="H107" s="3" t="s">
        <v>31</v>
      </c>
      <c r="I107" s="3" t="s">
        <v>7</v>
      </c>
      <c r="J107" s="3" t="s">
        <v>149</v>
      </c>
      <c r="K107" s="3" t="s">
        <v>70</v>
      </c>
      <c r="L107" s="3" t="s">
        <v>22</v>
      </c>
      <c r="M107">
        <v>1</v>
      </c>
    </row>
    <row r="108" spans="1:13" x14ac:dyDescent="0.25">
      <c r="A108" s="2">
        <v>46311</v>
      </c>
      <c r="B108" s="1" t="str">
        <f ca="1">IF(Información1[[#This Row],[Fecha]]='Ajuste de fechas'!$A$2,"Día actual","Día anterior")</f>
        <v>Día actual</v>
      </c>
      <c r="C108" s="3" t="s">
        <v>60</v>
      </c>
      <c r="D108" t="s">
        <v>69</v>
      </c>
      <c r="E108" s="3" t="s">
        <v>252</v>
      </c>
      <c r="F108" s="3" t="s">
        <v>65</v>
      </c>
      <c r="G108" s="3" t="s">
        <v>63</v>
      </c>
      <c r="H108" s="3" t="s">
        <v>31</v>
      </c>
      <c r="I108" s="3" t="s">
        <v>7</v>
      </c>
      <c r="J108" s="3" t="s">
        <v>21</v>
      </c>
      <c r="K108" s="3" t="s">
        <v>70</v>
      </c>
      <c r="L108" s="3" t="s">
        <v>22</v>
      </c>
      <c r="M108">
        <v>1</v>
      </c>
    </row>
    <row r="109" spans="1:13" x14ac:dyDescent="0.25">
      <c r="A109" s="2">
        <v>46311</v>
      </c>
      <c r="B109" s="1" t="str">
        <f ca="1">IF(Información1[[#This Row],[Fecha]]='Ajuste de fechas'!$A$2,"Día actual","Día anterior")</f>
        <v>Día actual</v>
      </c>
      <c r="C109" s="3" t="s">
        <v>60</v>
      </c>
      <c r="D109" t="s">
        <v>69</v>
      </c>
      <c r="E109" s="3" t="s">
        <v>253</v>
      </c>
      <c r="F109" s="3" t="s">
        <v>185</v>
      </c>
      <c r="G109" s="3" t="s">
        <v>186</v>
      </c>
      <c r="H109" s="3" t="s">
        <v>31</v>
      </c>
      <c r="I109" s="3" t="s">
        <v>7</v>
      </c>
      <c r="J109" s="3" t="s">
        <v>126</v>
      </c>
      <c r="K109" s="3" t="s">
        <v>70</v>
      </c>
      <c r="L109" s="3" t="s">
        <v>22</v>
      </c>
      <c r="M109">
        <v>1</v>
      </c>
    </row>
    <row r="110" spans="1:13" x14ac:dyDescent="0.25">
      <c r="A110" s="2">
        <v>46311</v>
      </c>
      <c r="B110" s="1" t="str">
        <f ca="1">IF(Información1[[#This Row],[Fecha]]='Ajuste de fechas'!$A$2,"Día actual","Día anterior")</f>
        <v>Día actual</v>
      </c>
      <c r="C110" s="3" t="s">
        <v>60</v>
      </c>
      <c r="D110" t="s">
        <v>69</v>
      </c>
      <c r="E110" s="3" t="s">
        <v>254</v>
      </c>
      <c r="F110" s="3" t="s">
        <v>137</v>
      </c>
      <c r="G110" s="3" t="s">
        <v>255</v>
      </c>
      <c r="H110" s="3" t="s">
        <v>31</v>
      </c>
      <c r="I110" s="3" t="s">
        <v>7</v>
      </c>
      <c r="J110" s="3" t="s">
        <v>126</v>
      </c>
      <c r="K110" s="3" t="s">
        <v>70</v>
      </c>
      <c r="L110" s="3" t="s">
        <v>22</v>
      </c>
      <c r="M110">
        <v>1</v>
      </c>
    </row>
    <row r="111" spans="1:13" x14ac:dyDescent="0.25">
      <c r="A111" s="2">
        <v>46311</v>
      </c>
      <c r="B111" s="1" t="str">
        <f ca="1">IF(Información1[[#This Row],[Fecha]]='Ajuste de fechas'!$A$2,"Día actual","Día anterior")</f>
        <v>Día actual</v>
      </c>
      <c r="C111" s="3" t="s">
        <v>60</v>
      </c>
      <c r="D111" t="s">
        <v>69</v>
      </c>
      <c r="E111" s="3" t="s">
        <v>256</v>
      </c>
      <c r="F111" s="3" t="s">
        <v>126</v>
      </c>
      <c r="G111" s="3" t="s">
        <v>257</v>
      </c>
      <c r="H111" s="3" t="s">
        <v>31</v>
      </c>
      <c r="I111" s="3" t="s">
        <v>7</v>
      </c>
      <c r="J111" s="3" t="s">
        <v>126</v>
      </c>
      <c r="K111" s="3" t="s">
        <v>70</v>
      </c>
      <c r="L111" s="3" t="s">
        <v>22</v>
      </c>
      <c r="M111">
        <v>1</v>
      </c>
    </row>
    <row r="112" spans="1:13" x14ac:dyDescent="0.25">
      <c r="A112" s="2">
        <v>46311</v>
      </c>
      <c r="B112" s="1" t="str">
        <f ca="1">IF(Información1[[#This Row],[Fecha]]='Ajuste de fechas'!$A$2,"Día actual","Día anterior")</f>
        <v>Día actual</v>
      </c>
      <c r="C112" s="3" t="s">
        <v>60</v>
      </c>
      <c r="D112" t="s">
        <v>69</v>
      </c>
      <c r="E112" s="3" t="s">
        <v>258</v>
      </c>
      <c r="F112" s="3" t="s">
        <v>134</v>
      </c>
      <c r="G112" s="3" t="s">
        <v>259</v>
      </c>
      <c r="H112" s="3" t="s">
        <v>31</v>
      </c>
      <c r="I112" s="3" t="s">
        <v>7</v>
      </c>
      <c r="J112" s="3" t="s">
        <v>126</v>
      </c>
      <c r="K112" s="3" t="s">
        <v>70</v>
      </c>
      <c r="L112" s="3" t="s">
        <v>22</v>
      </c>
      <c r="M112">
        <v>1</v>
      </c>
    </row>
    <row r="113" spans="1:13" x14ac:dyDescent="0.25">
      <c r="A113" s="2">
        <v>46311</v>
      </c>
      <c r="B113" s="1" t="str">
        <f ca="1">IF(Información1[[#This Row],[Fecha]]='Ajuste de fechas'!$A$2,"Día actual","Día anterior")</f>
        <v>Día actual</v>
      </c>
      <c r="C113" s="3" t="s">
        <v>60</v>
      </c>
      <c r="D113" t="s">
        <v>69</v>
      </c>
      <c r="E113" s="3" t="s">
        <v>260</v>
      </c>
      <c r="F113" s="3" t="s">
        <v>159</v>
      </c>
      <c r="G113" s="3" t="s">
        <v>160</v>
      </c>
      <c r="H113" s="3" t="s">
        <v>31</v>
      </c>
      <c r="I113" s="3" t="s">
        <v>7</v>
      </c>
      <c r="J113" s="3" t="s">
        <v>21</v>
      </c>
      <c r="K113" s="3" t="s">
        <v>70</v>
      </c>
      <c r="L113" s="3" t="s">
        <v>22</v>
      </c>
      <c r="M113">
        <v>1</v>
      </c>
    </row>
    <row r="114" spans="1:13" x14ac:dyDescent="0.25">
      <c r="A114" s="2">
        <v>46311</v>
      </c>
      <c r="B114" s="1" t="str">
        <f ca="1">IF(Información1[[#This Row],[Fecha]]='Ajuste de fechas'!$A$2,"Día actual","Día anterior")</f>
        <v>Día actual</v>
      </c>
      <c r="C114" s="3" t="s">
        <v>60</v>
      </c>
      <c r="D114" t="s">
        <v>69</v>
      </c>
      <c r="E114" s="3" t="s">
        <v>261</v>
      </c>
      <c r="F114" s="3" t="s">
        <v>65</v>
      </c>
      <c r="G114" s="3" t="s">
        <v>262</v>
      </c>
      <c r="H114" s="3" t="s">
        <v>31</v>
      </c>
      <c r="I114" s="3" t="s">
        <v>7</v>
      </c>
      <c r="J114" s="3" t="s">
        <v>21</v>
      </c>
      <c r="K114" s="3" t="s">
        <v>70</v>
      </c>
      <c r="L114" s="3" t="s">
        <v>22</v>
      </c>
      <c r="M114">
        <v>1</v>
      </c>
    </row>
    <row r="115" spans="1:13" x14ac:dyDescent="0.25">
      <c r="A115" s="2">
        <v>46311</v>
      </c>
      <c r="B115" s="1" t="str">
        <f ca="1">IF(Información1[[#This Row],[Fecha]]='Ajuste de fechas'!$A$2,"Día actual","Día anterior")</f>
        <v>Día actual</v>
      </c>
      <c r="C115" s="3" t="s">
        <v>60</v>
      </c>
      <c r="D115" t="s">
        <v>69</v>
      </c>
      <c r="E115" s="3" t="s">
        <v>263</v>
      </c>
      <c r="F115" s="3" t="s">
        <v>59</v>
      </c>
      <c r="G115" s="3" t="s">
        <v>63</v>
      </c>
      <c r="H115" s="3" t="s">
        <v>31</v>
      </c>
      <c r="I115" s="3" t="s">
        <v>7</v>
      </c>
      <c r="J115" s="3" t="s">
        <v>21</v>
      </c>
      <c r="K115" s="3" t="s">
        <v>70</v>
      </c>
      <c r="L115" s="3" t="s">
        <v>22</v>
      </c>
      <c r="M115">
        <v>1</v>
      </c>
    </row>
    <row r="116" spans="1:13" x14ac:dyDescent="0.25">
      <c r="A116" s="2">
        <v>46311</v>
      </c>
      <c r="B116" s="1" t="str">
        <f ca="1">IF(Información1[[#This Row],[Fecha]]='Ajuste de fechas'!$A$2,"Día actual","Día anterior")</f>
        <v>Día actual</v>
      </c>
      <c r="C116" s="3" t="s">
        <v>60</v>
      </c>
      <c r="D116" t="s">
        <v>69</v>
      </c>
      <c r="E116" s="3" t="s">
        <v>264</v>
      </c>
      <c r="F116" s="3" t="s">
        <v>36</v>
      </c>
      <c r="G116" s="3" t="s">
        <v>265</v>
      </c>
      <c r="H116" s="3" t="s">
        <v>31</v>
      </c>
      <c r="I116" s="3" t="s">
        <v>7</v>
      </c>
      <c r="J116" s="3" t="s">
        <v>21</v>
      </c>
      <c r="K116" s="3" t="s">
        <v>70</v>
      </c>
      <c r="L116" s="3" t="s">
        <v>22</v>
      </c>
      <c r="M116">
        <v>1</v>
      </c>
    </row>
    <row r="117" spans="1:13" x14ac:dyDescent="0.25">
      <c r="A117" s="2">
        <v>46311</v>
      </c>
      <c r="B117" s="1" t="str">
        <f ca="1">IF(Información1[[#This Row],[Fecha]]='Ajuste de fechas'!$A$2,"Día actual","Día anterior")</f>
        <v>Día actual</v>
      </c>
      <c r="C117" s="3" t="s">
        <v>60</v>
      </c>
      <c r="D117" t="s">
        <v>69</v>
      </c>
      <c r="E117" s="3" t="s">
        <v>266</v>
      </c>
      <c r="F117" s="3" t="s">
        <v>36</v>
      </c>
      <c r="G117" s="3" t="s">
        <v>265</v>
      </c>
      <c r="H117" s="3" t="s">
        <v>31</v>
      </c>
      <c r="I117" s="3" t="s">
        <v>7</v>
      </c>
      <c r="J117" s="3" t="s">
        <v>21</v>
      </c>
      <c r="K117" s="3" t="s">
        <v>70</v>
      </c>
      <c r="L117" s="3" t="s">
        <v>22</v>
      </c>
      <c r="M117">
        <v>1</v>
      </c>
    </row>
    <row r="118" spans="1:13" x14ac:dyDescent="0.25">
      <c r="A118" s="2">
        <v>46311</v>
      </c>
      <c r="B118" s="1" t="str">
        <f ca="1">IF(Información1[[#This Row],[Fecha]]='Ajuste de fechas'!$A$2,"Día actual","Día anterior")</f>
        <v>Día actual</v>
      </c>
      <c r="C118" s="3" t="s">
        <v>8</v>
      </c>
      <c r="D118" t="s">
        <v>78</v>
      </c>
      <c r="E118" s="3" t="s">
        <v>267</v>
      </c>
      <c r="F118" s="3" t="s">
        <v>6</v>
      </c>
      <c r="G118" s="3" t="s">
        <v>268</v>
      </c>
      <c r="H118" s="3" t="s">
        <v>31</v>
      </c>
      <c r="I118" s="3" t="s">
        <v>14</v>
      </c>
      <c r="J118" s="3" t="s">
        <v>21</v>
      </c>
      <c r="K118" s="3" t="s">
        <v>11</v>
      </c>
      <c r="L118" s="3" t="s">
        <v>23</v>
      </c>
      <c r="M118">
        <v>1</v>
      </c>
    </row>
    <row r="119" spans="1:13" x14ac:dyDescent="0.25">
      <c r="A119" s="2">
        <v>46311</v>
      </c>
      <c r="B119" s="1" t="str">
        <f ca="1">IF(Información1[[#This Row],[Fecha]]='Ajuste de fechas'!$A$2,"Día actual","Día anterior")</f>
        <v>Día actual</v>
      </c>
      <c r="C119" s="3" t="s">
        <v>8</v>
      </c>
      <c r="D119" t="s">
        <v>78</v>
      </c>
      <c r="E119" s="3" t="s">
        <v>269</v>
      </c>
      <c r="F119" s="3" t="s">
        <v>6</v>
      </c>
      <c r="G119" s="3" t="s">
        <v>270</v>
      </c>
      <c r="H119" s="3" t="s">
        <v>31</v>
      </c>
      <c r="I119" s="3" t="s">
        <v>14</v>
      </c>
      <c r="J119" s="3" t="s">
        <v>21</v>
      </c>
      <c r="K119" s="3" t="s">
        <v>11</v>
      </c>
      <c r="L119" s="3" t="s">
        <v>23</v>
      </c>
      <c r="M119">
        <v>1</v>
      </c>
    </row>
    <row r="120" spans="1:13" x14ac:dyDescent="0.25">
      <c r="A120" s="2">
        <v>46311</v>
      </c>
      <c r="B120" s="1" t="str">
        <f ca="1">IF(Información1[[#This Row],[Fecha]]='Ajuste de fechas'!$A$2,"Día actual","Día anterior")</f>
        <v>Día actual</v>
      </c>
      <c r="C120" s="3" t="s">
        <v>8</v>
      </c>
      <c r="D120" t="s">
        <v>78</v>
      </c>
      <c r="E120" s="3" t="s">
        <v>271</v>
      </c>
      <c r="F120" s="3" t="s">
        <v>6</v>
      </c>
      <c r="G120" s="3" t="s">
        <v>55</v>
      </c>
      <c r="H120" s="3" t="s">
        <v>31</v>
      </c>
      <c r="I120" s="3" t="s">
        <v>14</v>
      </c>
      <c r="J120" s="3" t="s">
        <v>21</v>
      </c>
      <c r="K120" s="3" t="s">
        <v>11</v>
      </c>
      <c r="L120" s="3" t="s">
        <v>23</v>
      </c>
      <c r="M120">
        <v>1</v>
      </c>
    </row>
    <row r="121" spans="1:13" x14ac:dyDescent="0.25">
      <c r="A121" s="2">
        <v>46311</v>
      </c>
      <c r="B121" s="1" t="str">
        <f ca="1">IF(Información1[[#This Row],[Fecha]]='Ajuste de fechas'!$A$2,"Día actual","Día anterior")</f>
        <v>Día actual</v>
      </c>
      <c r="C121" s="3" t="s">
        <v>8</v>
      </c>
      <c r="D121" t="s">
        <v>78</v>
      </c>
      <c r="E121" s="3" t="s">
        <v>272</v>
      </c>
      <c r="F121" s="3" t="s">
        <v>6</v>
      </c>
      <c r="G121" s="3" t="s">
        <v>55</v>
      </c>
      <c r="H121" s="3" t="s">
        <v>31</v>
      </c>
      <c r="I121" s="3" t="s">
        <v>14</v>
      </c>
      <c r="J121" s="3" t="s">
        <v>21</v>
      </c>
      <c r="K121" s="3" t="s">
        <v>11</v>
      </c>
      <c r="L121" s="3" t="s">
        <v>23</v>
      </c>
      <c r="M121">
        <v>1</v>
      </c>
    </row>
    <row r="122" spans="1:13" x14ac:dyDescent="0.25">
      <c r="A122" s="2">
        <v>46311</v>
      </c>
      <c r="B122" s="1" t="str">
        <f ca="1">IF(Información1[[#This Row],[Fecha]]='Ajuste de fechas'!$A$2,"Día actual","Día anterior")</f>
        <v>Día actual</v>
      </c>
      <c r="C122" s="3" t="s">
        <v>8</v>
      </c>
      <c r="D122" t="s">
        <v>78</v>
      </c>
      <c r="E122" s="3" t="s">
        <v>273</v>
      </c>
      <c r="F122" s="3" t="s">
        <v>147</v>
      </c>
      <c r="G122" s="3" t="s">
        <v>174</v>
      </c>
      <c r="H122" s="3" t="s">
        <v>31</v>
      </c>
      <c r="I122" s="3" t="s">
        <v>7</v>
      </c>
      <c r="J122" s="3" t="s">
        <v>149</v>
      </c>
      <c r="K122" s="3" t="s">
        <v>11</v>
      </c>
      <c r="L122" s="3" t="s">
        <v>22</v>
      </c>
      <c r="M122">
        <v>1</v>
      </c>
    </row>
    <row r="123" spans="1:13" x14ac:dyDescent="0.25">
      <c r="A123" s="2">
        <v>46311</v>
      </c>
      <c r="B123" s="1" t="str">
        <f ca="1">IF(Información1[[#This Row],[Fecha]]='Ajuste de fechas'!$A$2,"Día actual","Día anterior")</f>
        <v>Día actual</v>
      </c>
      <c r="C123" s="3" t="s">
        <v>8</v>
      </c>
      <c r="D123" t="s">
        <v>78</v>
      </c>
      <c r="E123" s="3" t="s">
        <v>274</v>
      </c>
      <c r="F123" s="3" t="s">
        <v>122</v>
      </c>
      <c r="G123" s="3" t="s">
        <v>275</v>
      </c>
      <c r="H123" s="3" t="s">
        <v>31</v>
      </c>
      <c r="I123" s="3" t="s">
        <v>7</v>
      </c>
      <c r="J123" s="3" t="s">
        <v>124</v>
      </c>
      <c r="K123" s="3" t="s">
        <v>11</v>
      </c>
      <c r="L123" s="3" t="s">
        <v>22</v>
      </c>
      <c r="M123">
        <v>1</v>
      </c>
    </row>
    <row r="124" spans="1:13" x14ac:dyDescent="0.25">
      <c r="A124" s="2">
        <v>46311</v>
      </c>
      <c r="B124" s="1" t="str">
        <f ca="1">IF(Información1[[#This Row],[Fecha]]='Ajuste de fechas'!$A$2,"Día actual","Día anterior")</f>
        <v>Día actual</v>
      </c>
      <c r="C124" s="3" t="s">
        <v>8</v>
      </c>
      <c r="D124" t="s">
        <v>78</v>
      </c>
      <c r="E124" s="3" t="s">
        <v>276</v>
      </c>
      <c r="F124" s="3" t="s">
        <v>147</v>
      </c>
      <c r="G124" s="3" t="s">
        <v>231</v>
      </c>
      <c r="H124" s="3" t="s">
        <v>31</v>
      </c>
      <c r="I124" s="3" t="s">
        <v>7</v>
      </c>
      <c r="J124" s="3" t="s">
        <v>149</v>
      </c>
      <c r="K124" s="3" t="s">
        <v>11</v>
      </c>
      <c r="L124" s="3" t="s">
        <v>22</v>
      </c>
      <c r="M124">
        <v>1</v>
      </c>
    </row>
    <row r="125" spans="1:13" x14ac:dyDescent="0.25">
      <c r="A125" s="2">
        <v>46311</v>
      </c>
      <c r="B125" s="1" t="str">
        <f ca="1">IF(Información1[[#This Row],[Fecha]]='Ajuste de fechas'!$A$2,"Día actual","Día anterior")</f>
        <v>Día actual</v>
      </c>
      <c r="C125" s="3" t="s">
        <v>8</v>
      </c>
      <c r="D125" t="s">
        <v>78</v>
      </c>
      <c r="E125" s="3" t="s">
        <v>277</v>
      </c>
      <c r="F125" s="3" t="s">
        <v>36</v>
      </c>
      <c r="G125" s="3" t="s">
        <v>265</v>
      </c>
      <c r="H125" s="3" t="s">
        <v>31</v>
      </c>
      <c r="I125" s="3" t="s">
        <v>7</v>
      </c>
      <c r="J125" s="3" t="s">
        <v>21</v>
      </c>
      <c r="K125" s="3" t="s">
        <v>11</v>
      </c>
      <c r="L125" s="3" t="s">
        <v>22</v>
      </c>
      <c r="M125">
        <v>1</v>
      </c>
    </row>
    <row r="126" spans="1:13" x14ac:dyDescent="0.25">
      <c r="A126" s="2">
        <v>46311</v>
      </c>
      <c r="B126" s="1" t="str">
        <f ca="1">IF(Información1[[#This Row],[Fecha]]='Ajuste de fechas'!$A$2,"Día actual","Día anterior")</f>
        <v>Día actual</v>
      </c>
      <c r="C126" s="3" t="s">
        <v>8</v>
      </c>
      <c r="D126" t="s">
        <v>78</v>
      </c>
      <c r="E126" s="3" t="s">
        <v>278</v>
      </c>
      <c r="F126" s="3" t="s">
        <v>59</v>
      </c>
      <c r="G126" s="3" t="s">
        <v>63</v>
      </c>
      <c r="H126" s="3" t="s">
        <v>31</v>
      </c>
      <c r="I126" s="3" t="s">
        <v>7</v>
      </c>
      <c r="J126" s="3" t="s">
        <v>21</v>
      </c>
      <c r="K126" s="3" t="s">
        <v>11</v>
      </c>
      <c r="L126" s="3" t="s">
        <v>22</v>
      </c>
      <c r="M126">
        <v>1</v>
      </c>
    </row>
    <row r="127" spans="1:13" x14ac:dyDescent="0.25">
      <c r="A127" s="2">
        <v>46311</v>
      </c>
      <c r="B127" s="1" t="str">
        <f ca="1">IF(Información1[[#This Row],[Fecha]]='Ajuste de fechas'!$A$2,"Día actual","Día anterior")</f>
        <v>Día actual</v>
      </c>
      <c r="C127" s="3" t="s">
        <v>8</v>
      </c>
      <c r="D127" t="s">
        <v>78</v>
      </c>
      <c r="E127" s="3" t="s">
        <v>279</v>
      </c>
      <c r="F127" s="3" t="s">
        <v>59</v>
      </c>
      <c r="G127" s="3" t="s">
        <v>63</v>
      </c>
      <c r="H127" s="3" t="s">
        <v>31</v>
      </c>
      <c r="I127" s="3" t="s">
        <v>7</v>
      </c>
      <c r="J127" s="3" t="s">
        <v>21</v>
      </c>
      <c r="K127" s="3" t="s">
        <v>11</v>
      </c>
      <c r="L127" s="3" t="s">
        <v>24</v>
      </c>
      <c r="M127">
        <v>1</v>
      </c>
    </row>
    <row r="128" spans="1:13" x14ac:dyDescent="0.25">
      <c r="A128" s="2">
        <v>46311</v>
      </c>
      <c r="B128" s="1" t="str">
        <f ca="1">IF(Información1[[#This Row],[Fecha]]='Ajuste de fechas'!$A$2,"Día actual","Día anterior")</f>
        <v>Día actual</v>
      </c>
      <c r="C128" s="3" t="s">
        <v>8</v>
      </c>
      <c r="D128" t="s">
        <v>78</v>
      </c>
      <c r="E128" s="3" t="s">
        <v>214</v>
      </c>
      <c r="F128" s="3" t="s">
        <v>122</v>
      </c>
      <c r="G128" s="3" t="s">
        <v>56</v>
      </c>
      <c r="H128" s="3" t="s">
        <v>31</v>
      </c>
      <c r="I128" s="3" t="s">
        <v>10</v>
      </c>
      <c r="J128" s="3" t="s">
        <v>124</v>
      </c>
      <c r="K128" s="3" t="s">
        <v>11</v>
      </c>
      <c r="L128" s="3" t="s">
        <v>23</v>
      </c>
      <c r="M128">
        <v>1</v>
      </c>
    </row>
    <row r="129" spans="1:13" x14ac:dyDescent="0.25">
      <c r="A129" s="2">
        <v>46311</v>
      </c>
      <c r="B129" s="1" t="str">
        <f ca="1">IF(Información1[[#This Row],[Fecha]]='Ajuste de fechas'!$A$2,"Día actual","Día anterior")</f>
        <v>Día actual</v>
      </c>
      <c r="C129" s="3" t="s">
        <v>8</v>
      </c>
      <c r="D129" t="s">
        <v>78</v>
      </c>
      <c r="E129" s="3" t="s">
        <v>215</v>
      </c>
      <c r="F129" s="3" t="s">
        <v>134</v>
      </c>
      <c r="G129" s="3" t="s">
        <v>56</v>
      </c>
      <c r="H129" s="3" t="s">
        <v>31</v>
      </c>
      <c r="I129" s="3" t="s">
        <v>10</v>
      </c>
      <c r="J129" s="3" t="s">
        <v>126</v>
      </c>
      <c r="K129" s="3" t="s">
        <v>11</v>
      </c>
      <c r="L129" s="3" t="s">
        <v>23</v>
      </c>
      <c r="M129">
        <v>1</v>
      </c>
    </row>
    <row r="130" spans="1:13" x14ac:dyDescent="0.25">
      <c r="A130" s="2">
        <v>46311</v>
      </c>
      <c r="B130" s="1" t="str">
        <f ca="1">IF(Información1[[#This Row],[Fecha]]='Ajuste de fechas'!$A$2,"Día actual","Día anterior")</f>
        <v>Día actual</v>
      </c>
      <c r="C130" s="3" t="s">
        <v>8</v>
      </c>
      <c r="D130" t="s">
        <v>78</v>
      </c>
      <c r="E130" s="3" t="s">
        <v>66</v>
      </c>
      <c r="F130" s="3" t="s">
        <v>29</v>
      </c>
      <c r="G130" s="3" t="s">
        <v>56</v>
      </c>
      <c r="H130" s="3" t="s">
        <v>31</v>
      </c>
      <c r="I130" s="3" t="s">
        <v>10</v>
      </c>
      <c r="J130" s="3" t="s">
        <v>21</v>
      </c>
      <c r="K130" s="3" t="s">
        <v>11</v>
      </c>
      <c r="L130" s="3" t="s">
        <v>23</v>
      </c>
      <c r="M130">
        <v>1</v>
      </c>
    </row>
    <row r="131" spans="1:13" x14ac:dyDescent="0.25">
      <c r="A131" s="2">
        <v>46311</v>
      </c>
      <c r="B131" s="1" t="str">
        <f ca="1">IF(Información1[[#This Row],[Fecha]]='Ajuste de fechas'!$A$2,"Día actual","Día anterior")</f>
        <v>Día actual</v>
      </c>
      <c r="C131" s="3" t="s">
        <v>8</v>
      </c>
      <c r="D131" t="s">
        <v>78</v>
      </c>
      <c r="E131" s="3" t="s">
        <v>61</v>
      </c>
      <c r="F131" s="3" t="s">
        <v>12</v>
      </c>
      <c r="G131" s="3" t="s">
        <v>56</v>
      </c>
      <c r="H131" s="3" t="s">
        <v>31</v>
      </c>
      <c r="I131" s="3" t="s">
        <v>10</v>
      </c>
      <c r="J131" s="3" t="s">
        <v>21</v>
      </c>
      <c r="K131" s="3" t="s">
        <v>11</v>
      </c>
      <c r="L131" s="3" t="s">
        <v>23</v>
      </c>
      <c r="M131">
        <v>1</v>
      </c>
    </row>
    <row r="132" spans="1:13" x14ac:dyDescent="0.25">
      <c r="A132" s="2">
        <v>46311</v>
      </c>
      <c r="B132" s="1" t="str">
        <f ca="1">IF(Información1[[#This Row],[Fecha]]='Ajuste de fechas'!$A$2,"Día actual","Día anterior")</f>
        <v>Día actual</v>
      </c>
      <c r="C132" s="3" t="s">
        <v>8</v>
      </c>
      <c r="D132" t="s">
        <v>78</v>
      </c>
      <c r="E132" s="3" t="s">
        <v>57</v>
      </c>
      <c r="F132" s="3" t="s">
        <v>6</v>
      </c>
      <c r="G132" s="3" t="s">
        <v>56</v>
      </c>
      <c r="H132" s="3" t="s">
        <v>31</v>
      </c>
      <c r="I132" s="3" t="s">
        <v>10</v>
      </c>
      <c r="J132" s="3" t="s">
        <v>21</v>
      </c>
      <c r="K132" s="3" t="s">
        <v>11</v>
      </c>
      <c r="L132" s="3" t="s">
        <v>23</v>
      </c>
      <c r="M132">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26</v>
      </c>
      <c r="B1" t="s">
        <v>27</v>
      </c>
    </row>
    <row r="2" spans="1:2" x14ac:dyDescent="0.25">
      <c r="A2" s="2">
        <f ca="1">TODAY()</f>
        <v>46311</v>
      </c>
      <c r="B2" s="2">
        <f ca="1">A2-1</f>
        <v>46310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2026-10-16T23:16:33Z</dcterms:modified>
</cp:coreProperties>
</file>