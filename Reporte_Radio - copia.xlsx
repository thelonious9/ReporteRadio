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8191024F-A912-4AE6-8E46-006B1F07B48F}"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19" i="2" l="1"/>
  <c r="B20" i="2"/>
  <c r="B21" i="2"/>
  <c r="B22" i="2"/>
  <c r="B23" i="2"/>
  <c r="B24" i="2"/>
  <c r="B25" i="2"/>
  <c r="B26" i="2"/>
  <c r="B27" i="2"/>
  <c r="B28" i="2"/>
  <c r="B29" i="2"/>
  <c r="B30" i="2"/>
  <c r="B31" i="2"/>
  <c r="B32" i="2"/>
  <c r="B33" i="2"/>
  <c r="B34" i="2"/>
  <c r="B35" i="2"/>
  <c r="B36" i="2"/>
  <c r="B55" i="2"/>
  <c r="B57" i="2"/>
  <c r="B59" i="2"/>
  <c r="B61" i="2"/>
  <c r="B63" i="2"/>
  <c r="B65" i="2"/>
  <c r="B66" i="2"/>
  <c r="B68" i="2"/>
  <c r="B70" i="2"/>
  <c r="B37" i="2"/>
  <c r="B38" i="2"/>
  <c r="B39" i="2"/>
  <c r="B40" i="2"/>
  <c r="B41" i="2"/>
  <c r="B42" i="2"/>
  <c r="B43" i="2"/>
  <c r="B44" i="2"/>
  <c r="B45" i="2"/>
  <c r="B46" i="2"/>
  <c r="B47" i="2"/>
  <c r="B48" i="2"/>
  <c r="B49" i="2"/>
  <c r="B50" i="2"/>
  <c r="B51" i="2"/>
  <c r="B52" i="2"/>
  <c r="B53" i="2"/>
  <c r="B54" i="2"/>
  <c r="B56" i="2"/>
  <c r="B58" i="2"/>
  <c r="B60" i="2"/>
  <c r="B62" i="2"/>
  <c r="B64" i="2"/>
  <c r="B67" i="2"/>
  <c r="B69" i="2"/>
  <c r="B71" i="2"/>
  <c r="B2" i="2"/>
  <c r="B3" i="2"/>
  <c r="B4" i="2"/>
  <c r="B5" i="2"/>
  <c r="B6" i="2"/>
  <c r="B7" i="2"/>
  <c r="B8" i="2"/>
  <c r="B9" i="2"/>
  <c r="B10" i="2"/>
  <c r="B11" i="2"/>
  <c r="B12" i="2"/>
  <c r="B13" i="2"/>
  <c r="B14" i="2"/>
  <c r="B15" i="2"/>
  <c r="B16" i="2"/>
  <c r="B17" i="2"/>
  <c r="B1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<sst xmlns="http://schemas.openxmlformats.org/spreadsheetml/2006/main" count="715" uniqueCount="171">
  <si>
    <t>Fecha</t>
  </si>
  <si>
    <t>Titular</t>
  </si>
  <si>
    <t>Dependencia</t>
  </si>
  <si>
    <t>Canal</t>
  </si>
  <si>
    <t>Tema</t>
  </si>
  <si>
    <t>Estatus</t>
  </si>
  <si>
    <t>Informativa</t>
  </si>
  <si>
    <t>Positiva</t>
  </si>
  <si>
    <t>Semot</t>
  </si>
  <si>
    <t>SEPH</t>
  </si>
  <si>
    <t>Negativa</t>
  </si>
  <si>
    <t>Día</t>
  </si>
  <si>
    <t>Radiodifusora</t>
  </si>
  <si>
    <t>Programa</t>
  </si>
  <si>
    <t>Clasificación</t>
  </si>
  <si>
    <t>Autor</t>
  </si>
  <si>
    <t>Género</t>
  </si>
  <si>
    <t>Gobierno del estado</t>
  </si>
  <si>
    <t>Noticia</t>
  </si>
  <si>
    <t>Opinión</t>
  </si>
  <si>
    <t>Boletín</t>
  </si>
  <si>
    <t>Recuento</t>
  </si>
  <si>
    <t>Día actual</t>
  </si>
  <si>
    <t>Día anterior</t>
  </si>
  <si>
    <t>Entrevista</t>
  </si>
  <si>
    <t>Segobh</t>
  </si>
  <si>
    <t>SSH</t>
  </si>
  <si>
    <t>RADIO LOCAL</t>
  </si>
  <si>
    <t>NQ 90.1 FM</t>
  </si>
  <si>
    <t>Enlace Hidalgo1</t>
  </si>
  <si>
    <t>Jesús Riveros</t>
  </si>
  <si>
    <t>Juan Carlos Santamaría</t>
  </si>
  <si>
    <t>PGJEH</t>
  </si>
  <si>
    <t>Enlace Hidalgo2</t>
  </si>
  <si>
    <t>Radioescucha</t>
  </si>
  <si>
    <t>Ke Buena 106.7 FM</t>
  </si>
  <si>
    <t>Noticias 106.7</t>
  </si>
  <si>
    <t>David Cárdenas</t>
  </si>
  <si>
    <t>SSPH</t>
  </si>
  <si>
    <t>Ayuntamiento</t>
  </si>
  <si>
    <t>Alcaldías</t>
  </si>
  <si>
    <t>Otros</t>
  </si>
  <si>
    <t>Presidencia</t>
  </si>
  <si>
    <t>Presidencia de la República</t>
  </si>
  <si>
    <t>Gobernador</t>
  </si>
  <si>
    <t>Radio Lobo 96.7 FM</t>
  </si>
  <si>
    <t>Enlace Noticias</t>
  </si>
  <si>
    <t>Gina Lorenzo</t>
  </si>
  <si>
    <t>Apps de transporte</t>
  </si>
  <si>
    <t>Oficialía Mayor</t>
  </si>
  <si>
    <t>Xantolo</t>
  </si>
  <si>
    <t>Irving Sánchez</t>
  </si>
  <si>
    <t>Sipdus</t>
  </si>
  <si>
    <t>Combate Al Narcomenudeo</t>
  </si>
  <si>
    <t>Día De Muertos</t>
  </si>
  <si>
    <t>Jubilaciones</t>
  </si>
  <si>
    <t>Durante la conferencia matutina del Gobierno del Estado de Hidalgo, la secretaria de Hacienda, Esther Ramírez Vargas, presentó los detalles sobre la visión del presupuesto 2027 para la entidad. Destacó que se mantendrá una recaudación eficiente para financiar más obras y mejores servicios públicos, y mencionó los trabajos recientes de modernización catastral en colaboración con los municipios. Asimismo, informó sobre su encuentro con representantes de la Unión Europea.</t>
  </si>
  <si>
    <t>Hacienda</t>
  </si>
  <si>
    <t>Aclaración en Mañanera</t>
  </si>
  <si>
    <t>Durante la conferencia matutina, la secretaria de Movilidad y Transporte en el estado de Hidalgo, Lizbeth Robles Gutiérrez, informó que se ha formalizado una denuncia ante la Procuraduría General de Justicia del Estado de Hidalgo en contra de la empresa Uber, debido a que la legislación local no permite la operación de plataformas digitales para el traslado de personas. La funcionaria detalló que el Poder Ejecutivo presentó la querella a través de la Coordinación General Jurídica. Asimismo, aclaró que no existe una comunicación formal con dicha compañía y señaló que, aunque otras plataformas han buscado acercarse a la Secretaría (SEMOT), estas no han acreditado su personalidad jurídica o solicitan información a distancia sin certeza sobre la identidad de sus representantes.</t>
  </si>
  <si>
    <t>SSPH desmantela dos puntos de narcomenudeo y detiene a ocho personas en Hidalgo</t>
  </si>
  <si>
    <t>Durante entrevista en cabina, la licenciada Viviana Pedraza Oropeza, representante del Instituto Nacional Electoral (INE) en el distrito 4 con cabecera en Tulancingo, dio a conocer los detalles sobre el funcionamiento y los horarios de los módulos de atención ciudadana para la semana. La funcionaria detalló la ubicación del módulo fijo en Tulancingo (ubicado en Avenida del Maestro 202, colonia Los Pinos) y especificó los itinerarios de los dos módulos móviles que recorren los municipios del distrito, abarcando demarcaciones como Cuautepec, Acatlán y la región de la sierra Otomí-Tepehua (incluyendo Huehuetla y San Bartolo Tutotepec). Asimismo, recordó a la ciudadanía los trámites disponibles (inscripción, actualización de datos y cambio de domicilio), la documentación requerida (acta de nacimiento, comprobante de domicilio reciente, identificación oficial y CURP), y enfatizó que los jóvenes que cumplirán la mayoría de edad antes del 6 de junio de 2027 ya pueden tramitar su credencial. Finalmente, recordó que continúan abiertas las convocatorias para participar como observadores electorales (con registro hasta el 10 de mayo de 2027) y para aspirar a cargos de consejeros electorales distritales (con registro hasta el 31 de octubre).</t>
  </si>
  <si>
    <t>Credencialización</t>
  </si>
  <si>
    <t>El municipio de Tulancingo de Bravo, Hidalgo, ha preparado su tradicional Desfile de Catrinas y la actividad de repartición de dulces como parte de los eventos estelares para la Fiesta de los Muertos 2026. Las actividades principales se realizarán en el centro de la ciudad de la siguiente manera: Desfile Nocturno de Catrinas y Catrines: Se llevará a cabo el viernes 30 de octubre a las 19:00 horas. El contingente iniciará su recorrido en la calle Libertad (en la zona de La Empedrada) y concluirá en el Jardín La Floresta, seguido de un concurso de disfraces al finalizar la caminata; La recolección y entrega de dulces se tiene programada para el sábado 31 de octubre a partir de las 17:00 horas en el Centro de Tulancingo. Adicionalmente, la agenda cultural del municipio incluye una muestra de altares desde el 28 de octubre, caminatas nocturnas en el Panteón Municipal San Miguel y exhibiciones de catrinas monumentales.</t>
  </si>
  <si>
    <t>Entrevista en cabina María Guadalupe Rodríguez Uribe, secretaria de Educación, Cultura y Juventud, y a la doctora Erika Gamalieli López Montoya, directora de Sanidad de Tulancingo. Las funcionarias presentaron el programa de actividades para las festividades de Día de Muertos 2026, el cual incluye el encendido del altar monumental en el panteón de San Miguel, recorridos de leyendas, un altar dedicado a los seres sintientes (mascotas) en la Floresta, el concurso de disfraces "¡Qué perro miedo! El último susto", la muestra de altares y un gran desfile de catrinas con carros alegóricos monumentales. Asimismo, se destacó la realización de la Feria del Mole el próximo 2 de noviembre en Santa Ana Hueytlalpan.</t>
  </si>
  <si>
    <t>Ernestina Godoy y Julio Menchaca inauguran los Módulos de Atención Social ¡Sí Confío! de la FGR</t>
  </si>
  <si>
    <t>Entrega de instalaciones</t>
  </si>
  <si>
    <t>Estratégica coordinación con la Federación fortalecerá la seguridad pública en Hidalgo</t>
  </si>
  <si>
    <t>FASP</t>
  </si>
  <si>
    <t>El Ayuntamiento reforzará la difusión de las reglas para colocar anuncios y publicidad en el Centro Histórico, con especial atención al quiosco del jardín La Floresta. La normativa vigente contempla multas, suspensión y retiro de anuncios, así como la revocación de autorizaciones en caso de incumplimiento. Guadalupe Rodríguez Uribe, secretaria de Cultura, Educación, Deporte y Juventud, llamó a comerciantes, prestadores de servicios, organizadores de eventos y ciudadanía a cuidar los espacios públicos. Señaló que la promoción turística del municipio debe acompañarse de acciones para conservar su imagen urbana. La funcionaria explicó que las disposiciones clasifican los anuncios según su duración, forma de colocación, sistema de fijación y finalidad. También establecen criterios sobre diseño y contenido permitido, por lo que la instalación de publicidad debe ajustarse a estos lineamientos. El marco aplicable es el Reglamento de Anuncios del Municipio de Tulancingo de Bravo, expedido mediante el Decreto Municipal número 44 y publicado en el Periódico Oficial de Hidalgo el 25 de julio de 2016. Las medidas por incumplimiento están previstas en sus artículos 68 al 73, de acuerdo con la información municipal. Rodríguez Uribe añadió que preservar una ciudad limpia y ordenada forma parte de las acciones impulsadas por la presidenta municipal, Lorena García Cázares, para fortalecer la presencia de Tulancingo como destino turístico.</t>
  </si>
  <si>
    <t>Imagen Urbana</t>
  </si>
  <si>
    <t>Premia SEPH el talento estudiantil en el 4.º Concurso de Canto “De mi Voz al Canto”</t>
  </si>
  <si>
    <t>Justa Académica</t>
  </si>
  <si>
    <t>Durante la conferencia matutina semanal, la secretaria de Movilidad y Transporte, Lyzbeth Robles Gutiérrez, anunció el lanzamiento de un operativo de inspección vehicular extraordinaria enfocado exclusivamente en la verificación de pólizas de seguro de las unidades de transporte público convencional. La funcionaria destacó que esta revisión es de carácter obligatorio y opera de forma paralela a las inspecciones anuales ordinarias. Asimismo, advirtió de manera enérgica a los concesionarios y conductores sobre la trascendencia de contar con un seguro amplio que cumpla con los requisitos estipulados en los artículos 107 y 108 de la ley local (incluyendo coberturas de responsabilidad civil y gastos médicos). Robles Gutiérrez subrayó que la falta de una póliza vigente no solo amerita sanciones económicas o administrativas, sino que puede derivar directamente en la revocación de la concesión. Las revisiones se llevarán a cabo en las instalaciones del Sistema de Transporte Convencional de Hidalgo, oficinas itinerantes, unidades móviles y a través de operativos en campo implementados por la Dirección de Vigilancia y Supervisión. Por último, se abordó brevemente el marco legal que regula la transportación de personas mediante aplicaciones móviles en el estado.</t>
  </si>
  <si>
    <t>Mañanera de Hidalgo</t>
  </si>
  <si>
    <t>La titular de la Secretaría del Bienestar, Leticia Ramírez, anunció el calendario de pagos correspondiente al último bimestre de 2026, noviembre-diciembre, mediante el cual las personas beneficiarias de las pensiones y programas sociales recibirán sus apoyos económicos a partir del martes 3 de noviembre y hasta el viernes 27 de ese mes. De acuerdo con la información proporcionada, la dispersión de los recursos se realizará de manera escalonada, conforme a la primera letra del apellido de las personas derechohabientes, con el propósito de organizar la entrega de los apoyos a través del Banco del Bienestar. En el marco de la conferencia mañanera de la presidenta de México, Claudia Sheinbaum Pardo, se dio a conocer que el calendario comenzaría el martes 3 de noviembre con las personas cuyo primer apellido inicia con la letra A, mientras que el miércoles 4 corresponderá a quienes tienen la letra B. La distribución continuaría durante las siguientes semanas hasta concluir el viernes 27 de noviembre, fecha prevista para los beneficiarios cuyos apellidos comienzan con las letras W, X, Y y Z. Cabe mencionar que este depósito corresponde al sexto y último bimestre del año, por lo que representaría el último pago ordinario de 2026 para las personas inscritas en los programas contemplados en la dispersión.</t>
  </si>
  <si>
    <t>Programas Del Bienestar</t>
  </si>
  <si>
    <t>La titular de la Secretaría del Bienestar, Leticia Ramírez, anunció el calendario de pagos correspondiente al último bimestre de 2026, noviembre-diciembre, mediante el cual las personas beneficiarias de las pensiones y programas sociales recibirán sus apoyos económicos a partir del martes 3 de noviembre y hasta el viernes 27 de ese mes. De acuerdo con la información proporcionada, la dispersión de los recursos se realizará de manera escalonada, conforme a la primera letra del apellido de las personas derechohabientes, con el propósito de organizar la entrega de los apoyos a través del Banco del Bienestar. En el marco de la conferencia mañanera de la presidenta de México, Claudia Sheinbaum Pardo, se dio a conocer que el calendario comenzaría el martes 3 de noviembre con las personas cuyo primer apellido inicia con la letra A, mientras que el miércoles 4 corresponderá a quienes tienen la letra B. La distribución continuaría durante las siguientes semanas hasta concluir el viernes 27 de noviembre, fecha prevista para los beneficiarios cuyos apellidos comienzan con las letras W, X, Y y Z. Cabe mencionar que este depósito corresponde al sexto y último bimestre del año, por lo que representaría el último pago ordinario de 2026 para las personas inscritas en los programas contemplados en la dispersión</t>
  </si>
  <si>
    <t>El presidente municipal de Ixmiquilpan, Emanuel Hernández Pascual, informó esta mañana en conferencia de prensa que la Procuraduría Municipal de Protección de Niñas, Niños y Adolescentes atendió su primer caso de gran magnitud, relacionado con la muerte de un niño de dos años, quien presuntamente fue víctima de violencia en el municipio de Santiago de Anaya. El alcalde aclaró que los hechos no ocurrieron en Ixmiquilpan; sin embargo, el caso llegó a las autoridades municipales debido a que el menor fue ingresado al Hospital Regional del Valle del Mezquital, ubicado en Taxhadó, donde se tuvo conocimiento de las circunstancias que motivaron la intervención de las instancias correspondientes. De acuerdo con la información del caso, las agresiones ocurrieron el pasado 17 de octubre en la localidad de El Jagüey, en el municipio de Santiago de Anaya; sin embargo, el niño falleció el viernes 23 de octubre, presuntamente a consecuencia de las lesiones que presentaba. Hernández Pascual señaló que las autoridades municipales brindaron atención y mantuvieron coordinación con la Procuraduría General de Justicia del Estado de Hidalgo (PGJEH) para dar seguimiento al caso y colaborar en las acciones encaminadas a esclarecer los hechos y llevar ante la justicia a los probables responsables, identificados como los padres del menor. De acuerdo con la información oficial, los presuntos Miguel Ángel N. y Mirari Matzin N. fueron presentados ante un juez de control y vinculados a proceso por los delitos de homicidio doloso calificado agravado, violación equiparada agravada y violencia familiar equiparada agravada. En su mensaje, el presidente municipal lamentó los hechos y llamó a la población a cuidar y proteger a los niños y niñas. Además, insistió en que uno de los principales factores dentro de los hogares que sufren violencia tiene que ver con el consumo de sustancias tóxicas, que predisponen a este tipo de comportamientos.</t>
  </si>
  <si>
    <t>Protección del menor</t>
  </si>
  <si>
    <t>La Secretaría de Gobernación (Segob) hizo un llamado a los integrantes de la Cámara Nacional del Autotransporte de Carga (Canacar) a evitar bloqueos carreteros que afectan directamente a miles de familias que necesitan trasladarse a sus trabajos, escuelas y hogares, además de interrumpir el transporte de mercancías, el abastecimiento de productos y las actividades comerciales e industriales. Las demandas de un sector no deben traducirse en afectaciones a la vida cotidiana de la población, afirmó la dependencia. La Segob mantiene abiertos los canales de diálogo para atender sus planteamientos sin perjudicar a la ciudadanía.</t>
  </si>
  <si>
    <t>Protesta Transportistas</t>
  </si>
  <si>
    <t>La Secretaría de Gobernación (Segob) informa que, con corte a las 09:30 horas, se registran movilizaciones de transportistas en 19 entidades federativas, con 38 puntos de manifestación, 691 vehículos y 858 personas. Las entidades con mayor número de puntos son Veracruz, con ocho; Estado de México, con seis; y Nuevo León y Tlaxcala, con tres cada una. Por número de participantes destacan Guanajuato, Veracruz y Tabasco. Hasta el momento se reporta un bloqueo total en Taxco, Tlaxcala, así como cierres parciales en otros puntos de Tlaxcala y Veracruz. El Gobierno de México mantiene abiertos los canales de diálogo con las organizaciones transportistas para atender sus planteamientos mediante las instancias competentes, privilegiando la construcción de acuerdos y evitando mayores afectaciones a la ciudadanía y a la industria de la transformación.</t>
  </si>
  <si>
    <t>Locutor Irving Sánchez da lectura a comentario de radioescucha que reporta irregularidades y deficiencias en el servicio de transporte colectivo de la ruta que va de Tulancingo hacia Acatlán y Almoloya, cuya base se encuentra en Morelos. De acuerdo con el reporte, las unidades no brindan un servicio de calidad, ya que dejan pasajeros varados con frecuencia y señaló que el pasado viernes, a partir de las 4:00 horas, se quedaron sin servicio. Ante esta situación, solicitó que se envíe el reporte a las autoridades o áreas correspondientes para su atención.</t>
  </si>
  <si>
    <t>Queja transporte público</t>
  </si>
  <si>
    <t>Durante la conferencia de prensa matutina del Gobierno del Estado de Hidalgo, se presentaron actividades culturales relacionadas con las festividades tradicionales del Xantolo, destacando la participación de agrupaciones musicales y representantes de municipios como Atlapexco, Huejutla, San Felipe Orizatlán, Calnali y Tlahuelilpan, con el fin de enaltecer las tradiciones de la Huasteca Hidalguense.</t>
  </si>
  <si>
    <t>OCSAD</t>
  </si>
  <si>
    <t>La Comisión de Agua y Alcantarillado de Sistemas Intermunicipales (CAASIM) informó sobre una suspensión temporal en el suministro de agua potable que afecta a 26 colonias y zonas de Pachuca debido a los trabajos en una línea de conducción vinculados con la ampliación del bulevar Felipe Ángeles. Las labores iniciaron este martes 27 de octubre a las 6:00 horas con una duración estimada de 24 horas. No obstante, la dependencia advirtió que la recuperación del servicio será gradual y podría tomar otras 24 horas adicionales una vez concluidos los trabajos. Entre las zonas afectadas se encuentran colonias como San Antonio, Vistas de Pachuca, Real de San Francisco, Venta Prieta, Puerta de Hierro, entre otras.</t>
  </si>
  <si>
    <t>Abasto De Agua</t>
  </si>
  <si>
    <t>Súper Stéreo 100.5 FM</t>
  </si>
  <si>
    <t>Enfoque Regional Matutino</t>
  </si>
  <si>
    <t>Vecinos del fraccionamiento Loma Encantada bloquearon calles y los accesos a la presidencia municipal. Esto para exigir el servicio de agua potable que aseguran no reciben desde hace varios días</t>
  </si>
  <si>
    <t>Christian García</t>
  </si>
  <si>
    <t>Acir 92.5 FM</t>
  </si>
  <si>
    <t>Panorama Informativo</t>
  </si>
  <si>
    <t>En conferencia de prensa la titular de la secretaria de Movilidad y transporte del Estado de Hidalgo, Lyzbteh Robles, informó que fue presentada una denuncia ante la Procuraduría General de Justicia del Estado de Hidalgo contra la plataforma de taxi por aplicación UBER,</t>
  </si>
  <si>
    <t>Eulalio Larrieta</t>
  </si>
  <si>
    <t>Eulalio Larrieta agradece Hans Islas del ayuntamiento de Mineral de la Reforma , por su apoyo en pasar los reportes.</t>
  </si>
  <si>
    <t>Atención a la ciudadanía</t>
  </si>
  <si>
    <t>Eulalio Larrieta informa que Jorge Hernández del ayuntamiento de Pachuca, esta al pendiente de todos los reportes de la ciudadania del Municipio de Pachuca</t>
  </si>
  <si>
    <t>Eulalio Larrieta agradece a Carlos Gamiño por estar al pendiente de temas.</t>
  </si>
  <si>
    <t>Congreso</t>
  </si>
  <si>
    <t>Eulalio Larrieta agradece a Edith Balderas de la Secretaria de Educación Pública.</t>
  </si>
  <si>
    <t>Eulalio Larrieta agradece a Uriel Ramirez y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</si>
  <si>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</si>
  <si>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</si>
  <si>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Que en Mixquiahuala, la Secretaría de Salud de Hidalgo entregó apoyos funcionales a personas que requieren ayuda para desplazarse. La titular, Escalante Arroyo, encabezó la entrega de 19 sillas de ruedas, 6 andaderas y 4 bastones, esto para favorecer la movilidad de los beneficiarios.</t>
  </si>
  <si>
    <t>Auxiliares funcionales</t>
  </si>
  <si>
    <t>Radioescucha reportó el envío de fotografías que confirman casos del virus de Coxsackie en un menor de edad, el cual presenta síntomas característicos en manos, boca y pies. Tras ser llevado al centro de salud, el diagnóstico fue confirmado, por lo que se emitieron agradecimientos por el aviso preventivo para alertar a las autoridades educativas y mantenerlas al pendiente de la situación.</t>
  </si>
  <si>
    <t>Brote epidémico</t>
  </si>
  <si>
    <t>Autoridades llevan a cabo un ejercicio de cateos e investigación en diversos puntos de la ciudad de Tulancingo. Uno de los operativos se registra en las inmediaciones de la Escuela Secundaria Número 2, ubicada en la avenida del Trabajo de la colonia Vicente Guerrero. Estas diligencias derivan de carpetas de investigación en curso, por lo que se exhorta a la ciudadanía a manejar con precaución y evitar obstaculizar la labor de los cuerpos de seguridad.</t>
  </si>
  <si>
    <t>Cateo</t>
  </si>
  <si>
    <t>Otra información presentada de la encuesta intercensal del Instituto Nacional de Estadística y Geografía (INEGI), en donde se observó que el crecimiento poblacional va lento. Laura Silva González, coordinadora estatal del INEGI, habló al respecto:"Aquí partir... saber que a los resultados del 2025 somos 3 millones 245,000 habitantes. Esto es importante porque si vemos los resultados de 2020 la población era de 3 millones 82,000 habitantes. Esto nos permite ver que seguimos creciendo, pero algo importante es que a un ritmo menor, pues la tasa de crecimiento promedio anual del 0.9%, mientras que la del 2020 fue del 1.5%. Es importante también resaltar que por el número de hidalguenses se coloca en el lugar número 16 en el concierto nacional. Entonces es bien importante ver que esto a un ritmo un poco menor."</t>
  </si>
  <si>
    <t>CENSO INEGI</t>
  </si>
  <si>
    <t>Titular de la dependencia participa en plenaria extraordinaria del Conaedu 2026 y asiste al lanzamiento del Primer Concurso Nacional de Coros Escolares</t>
  </si>
  <si>
    <t>CONAEDU</t>
  </si>
  <si>
    <t>Tenemos noticias desde el estado de Hidalgo: Natividad Castrejón Valdéz participa en la plenaria extraordinaria del Consejo Nacional de Autoridades Educativas. El secretario de Educación Pública de Hidalgo, Natividad Castrejón Valdéz, participó en la Cuarta Reunión Nacional Plenaria Extraordinaria 2026 del Consejo Nacional de Autoridades Educativas, encabezada por el titular de la Secretaría de Educación Pública, Mario Delgado Carrillo. D</t>
  </si>
  <si>
    <t>El secretario de Educación Pública de Hidalgo, Natividad Castrejón Valdéz, participó en la Cuarta Reunión Nacional Plenaria Extraordinaria con Nacional de Autoridades Educativas, encabezada por el titular de la Secretaría de Educación Pública, Mario Delgado Carrillo</t>
  </si>
  <si>
    <t>Enfoque Regional Meridiano</t>
  </si>
  <si>
    <t>Alrededor de 60 personas bloquearon la mañana de hoy martes ambos sentidos de la carretera federal México-Laredo, a la altura de la comunidad de Julián Villagrán, en Ixmiquilpan, para exigir la liberación de dos personas. Al respecto, la titular de Asuntos Agrarios de la Secretaría de Gobierno de Hidalgo, Reyna Serrano, explicó que la movilización tiene su origen en una controversia agraria relacionada con la posesión de terrenos cuya pertenencia reclama la comunidad de Pueblo Nuevo."Derivado de un conflicto agrario.</t>
  </si>
  <si>
    <t>Conflicto agrario</t>
  </si>
  <si>
    <t>Jesús González</t>
  </si>
  <si>
    <t>Entrevista vía telefónica Alejandra Lazcano, directora de Turismo del municipio de Singuilucan - Habló sobre la última edición del tradicional "Turibús del Terror" que se realizará los días 30 y 31 de octubre en la Hacienda de San Joaquín. Este evento de carácter familiar e interpretativo contará con recorridos nocturnos temáticos sobre nahuales, leyendas locales, música en vivo y antojitos mexicanos. Las salidas de los turibuses se realizarán desde la cabecera municipal cada hora, en un horario de 7:00 p.m. a 10:00 p.m., con un costo accesible e inclusivo del traslado, además de contar con la participación de actores profesionales del Instituto de las Artes de la Universidad Autónoma del Estado de Hidalgo (UAEH). Asimismo, las autoridades anunciaron un desfile de catrines programado para el 30 de octubre como parte de las actividades turísticas y culturales de la temporada.</t>
  </si>
  <si>
    <t>Previo al Día de Muertos, mire, ya los productores de flor de temporada se declaran listos, acudan a visitar sus campos. El ciclo de cuatro meses para florecer, productores mantienen las técnicas tradicionales, cultivar esta flor emblemática del Día de Muertos. La compañera Claudia Alcántara.El color predomina en esta temporada en la zona de Doxey y de Tlaxcoapan, o desde que circula uno por la carretera. Los campos reviven con la diversidad de la flor de la temporada. Los campesinos creen que esta temporada les genere un poco de ingresos en la venta de flores.</t>
  </si>
  <si>
    <t>Reportaje</t>
  </si>
  <si>
    <t>En el marco de la conmemoración del Día del Médico y la Médica, el gobernador del estado, Julio Menchaca Salazar, encabezó un homenaje para reconocer la trayectoria, vocación y el compromiso social de las y los profesionales de la salud en Hidalgo. Durante su mensaje, en el que compartió una reflexión personal sobre el esfuerzo que implica esta profesión, destacó que la labor médica va más allá de la técnica, implicando sensibilidad ante el dolor humano y un contacto diario y cercano con la población. Asimismo, resaltó la importancia de la preparación constante ante los retos sanitarios y ambientales actuales, reconociendo tanto a quienes laboran en zonas urbanas como a los que desempeñan su labor en las regiones más alejadas del estado.</t>
  </si>
  <si>
    <t>Día del médico</t>
  </si>
  <si>
    <t>Hidalgo suma más de 654 mdp en apoyos de Pemex para salud, educación e infraestructura</t>
  </si>
  <si>
    <t>Despacho</t>
  </si>
  <si>
    <t>Donación Pemex</t>
  </si>
  <si>
    <t>Las gestiones del gobierno de Hidalgo ante Pemex han permitido incorporar cincuenta y tres unidades operativas, ofrecer ciento setenta y nueve mil servicios médicos en cincuenta y nueve municipios y realizar diez mil mastografías gratuitas desde el dos mil veintidós. V</t>
  </si>
  <si>
    <t>Entrevista en cabina con la recién egresada de la carrera de Ingeniería en Logística del Instituto Tecnológico Superior del Oriente del Estado de Hidalgo (ITESA), Mexli Ninel Hernández Franco, obtuvo el segundo lugar en el Premio de Excelencia Dual gracias a un proyecto de optimización y digitalización de procesos logísticos implementado en el centro de distribución (Cedis) de la empresa Caxaplax. Durante su entrevista en cabina, la joven destacó cómo su formación práctica y teórica a través del modelo dual en el ITESA le permitió integrarse con éxito al sector laboral e impulsar herramientas tecnológicas para la mejora de flujos de información empresarial.</t>
  </si>
  <si>
    <t>Educación dual</t>
  </si>
  <si>
    <t>Mediante políticas educativas, Menchaca prioriza recursos para el sector</t>
  </si>
  <si>
    <t>Entrega de reconocimientos</t>
  </si>
  <si>
    <t>Julio Menchaca Salazar, quien encabezó esta mañana la ceremonia conmemorativa del Día del Médico y la Médica, en cuyo marco se llevó a cabo la entrega de medallas y reconocimientos a profesionales de la salud distinguidos por su trayectoria y desempeño en la entidad."Siempre he pensado que la carrera más difícil profesional es ser médico o médica, porque implica un contacto muy directo con las personas.</t>
  </si>
  <si>
    <t>Mire, más de dos mil trabajadores de apoyo y asistencia a la educación en Hidalgo recibieron trayectoria de entre diez y cincuenta años de servicio. Durante la entrega, el gobernador Julio Menchaca destacó que su labor contribuye al mantenimiento de los planteles y refrendó el compromiso de fortalecer la educación pública.</t>
  </si>
  <si>
    <t>Por su esfuerzo, vocación y años de servicio, más de dos mil trabajadoras y trabajadores de apoyo y asistencia a la educación recibieron un estímulo y fueron reconocidos por el gobernador Julio Menchaca quien refrendó su compromiso con el fortalecimiento del sector educativo para transformar a la entidad</t>
  </si>
  <si>
    <t>Esta tarde una persona resultó herida tras registrarse una explosión presuntamente ocasionada por acumulación de gas, en las inmediaciones de Servicios Funerarios Arriaga; sobre la avenida Mariano Arista, en la colonia La Surtidora, Pachuca.Cuerpos de emergencia ya se encuentran en el lugar.</t>
  </si>
  <si>
    <t>Explosión</t>
  </si>
  <si>
    <t>Comenta conductor Jesús Gonzalez : Le pregunto a usted qué piensa del Hoy No Circula. Hace mucho tiempo, no es la primera vez que se hace esta propuesta, hace ya algunos años se decía que también querían echar a andar el Hoy No Circula en esta región de Tula: Tula, Tepeji, algunas zonas cercanas, Tulancingo y en Pachuca. Le comento esto porque ante las condiciones de tránsito que registra la zona metropolitana de Pachuca, el Gobierno de Hidalgo contempla evaluar la viabilidad del programa Hoy No Circula como parte de una estrategia más amplia para atender los problemas de movilidad. La secretaria de Movilidad y Transporte, Lyzbeth Robles, dio a conocer que sostuvo un primer acercamiento con su homóloga de Medio Ambiente y Recursos Naturales, Mónica Mixtega, con quien acordó establecer una mesa de trabajo para examinar los alcances de esta posibilidad</t>
  </si>
  <si>
    <t>Hoy no circula</t>
  </si>
  <si>
    <t>Radioescucha Sra. Hernández, pide apoyo con la CFE para que arreglen un poste que está casi tirado con los cables en el suelo; está en Santa Matilde, está en Avenida Reforma Agraria, justo entre la escuela primaria y la iglesia.</t>
  </si>
  <si>
    <t>Infraestructura eléctrica</t>
  </si>
  <si>
    <t>Radioescucha pide apoyo para quitar un poste de madera que esta a punto de caer en Rinconadas de San Francisco en Mineral de la Reforma</t>
  </si>
  <si>
    <t>Participación semanal de Mtro. Roberto Rico con el tema: Modalidad 40.Comentó que el pasado 21 de octubre de 2026, el Consejo Técnico del IMSS publicó en el Diario Oficial de la Federación un acuerdo que modifica las reglas de la Modalidad 40 (Continuación Voluntaria en el Régimen Obligatorio), explicó que este cambio limita el salario base de cotización para nuevas incorporaciones o reingresos al último sueldo registrado —permitiendo un incremento de solo 1 UMA ($117.31 MXN) en lugar de las 25 UMAs anteriores ($2,932.75 MXN)— y elimina los pagos retroactivos para cubrir periodos pasados. Aunque la medida respeta los derechos adquiridos de quienes ya cotizaban bajo este esquema antes del 21 de octubre, se proyecta un impacto directo en entre 1.2 y 1.3 millones de trabajadores pertenecientes al régimen de la Ley de 1973, cuyas expectativas de pensión mensual podrían reducirse de montos estimados entre $30,000 y $40,000 MXN a rangos de $6,000 a $7,000 MXN. Señaló que, si bien la medida busca frenar el colapso financiero de un sistema de pensiones que absorbe el 33% del Presupuesto de Egresos de la Federación y el 6% del PIB, el Consejo Técnico del IMSS excedió sus facultades operativas al alterar la Ley del Seguro Social sin la aprobación del Congreso de la Unión, vulnerando el principio constitucional de progresividad y abriendo la vía para juicios de amparo e impugnaciones legales.</t>
  </si>
  <si>
    <t>Natividad Castrejón asiste al lanzamiento del Primer Concurso Nacional de Coros Escolares</t>
  </si>
  <si>
    <t>Oiga, ya ve que le platicábamos al inicio este coro de la Escuela Primaria Pedro María Anaya de Mixquiahuala. Desde el día de ayer que le mandamos también esta felicitación. Bueno, pues ellos representaron a Hidalgo durante el aniversario de los coros escolares 2026. En el encuentro participaron la presidenta Claudia Sheinbaum Pardo, el secretario de Educación y también el titular de la Secretaría de Educación Pública de Hidalgo, Natividad Castrejón Valdéz.</t>
  </si>
  <si>
    <t>El presidente municipal de Mineral de la Reforma, Eduardo Medécigo, encabezó la firma de la entrega-recepción, del fraccionamiento Hacienda Margarita el cuarto desarrollo habitacional que municipaliza esta administración, proceso que beneficia a aproximadamente mil 400 familias.Eduardo Medecigo subrayó que se trataba de un reto importante para el gobierno municipal. Detalló que su administración resolvió darles certeza jurídica para que las familias se sientan seguras con una propiedad reconocida por el municipio y, con ello, cobre vida jurídica".</t>
  </si>
  <si>
    <t>Municipalización</t>
  </si>
  <si>
    <t>El Instituto Municipal para la Cultura de Pachuca anunció la realización de la décimo cuarta edición de la "Ruta de los Museos", la cual se llevará a cabo el próximo jueves 29 de octubre a partir de las 17:00 horas. El punto de partida será la Casa de Cultura (Instituto Municipal para la Cultura de Pachuca), desde donde los asistentes se congregarán para visitar el Archivo General del Estado y recorrer sus diversas exposiciones.</t>
  </si>
  <si>
    <t>Museos</t>
  </si>
  <si>
    <t>Ante los señalamientos por presunto nepotismo y la investigación iniciada por la Contraloría, se informó que renunció a su cargo como secretaria particular de la titular de la Secretaría de Cultura de Hidalgo, Neida Naranjo Baltazar.</t>
  </si>
  <si>
    <t>Nepotismo</t>
  </si>
  <si>
    <t>Durante la conferencia de prensa en el Edificio del Gobierno del Estado, la secretaria de Hacienda, María Esther Ramírez Vargas, informó que las estimaciones apuntan a que el presupuesto de Hidalgo para 2027 podría superar los 79,000 millones de pesos, impulsando la inversión en infraestructura, obra pública y programas sociales. La funcionaria subrayó que una recaudación eficiente permite ofrecer mejores servicios y oportunidades, para lo cual es necesario fortalecer la cultura contributiva y apoyar a los municipios. Asimismo, destacó que el estado se consolidó como sede de la Cuarta Sesión Ordinaria de AMEXHUASCA y que, gracias a diversas alianzas académicas e institucionales, Hidalgo se posiciona en el segundo lugar nacional en modernización catastral según la Sedatu.</t>
  </si>
  <si>
    <t>Presupuesto De Egresos</t>
  </si>
  <si>
    <t>Hidalgo podría superar los 79 mil millones de pesos de presupuesto para el ejercicio 2027. Así lo informó la secretaria de Hacienda estatal, María Esther Ramírez Vargas, con base en las proyecciones de la Secretaría de Hacienda y Crédito Público (SHCP).</t>
  </si>
  <si>
    <t>Abraham Mendoza Zenteno, delegado de Programas para el Bienestar en Hidalgo, informó que, del 3 al 27 de noviembre se realizará el pago de los Programas de Bienestar a los adultos mayores, mujeres, personas con discapacidad, madres trabajadoras, sembradoras y sembradores, correspondiente al bimestre noviembre-diciembre.Los depósitos se realizan conforme a la primera letra del apellido de la persona titular de la tarjeta del Banco del Bienestar, Abraham Mendoza Zenteno, señaló que este bimestre, los derechohabientes de las Pensiones para adultos mayores recibirán 6 mil 400 pesos; de Mujeres Bienestar, 3 mil 100 pesos; de Personas con Discapacidad, 3 mil 300 pesos; las y los beneficiarios de los Programas para Madres Trabajadoras, mil 650 pesos; y de Sembrando Vida, 6 mil 450 pesos mensuales.El delegado también dio a conocer que, el 28 de octubre, inicia la fase de asambleas y sorteos del programa Vivienda para el Bienestar de la CONAVI 2026. Por el momento, las primeras sedes son: Actopan, Mixquiahuala de Juárez, Huautla y Zempoala.</t>
  </si>
  <si>
    <t>Delegación</t>
  </si>
  <si>
    <t>La Secretaría de Gobernación (Segob) y la Canacar acordaron el retiro de bloqueos carreteros y la suspensión de movilizaciones a cambio de establecer mesas de diálogo por cuatro meses.</t>
  </si>
  <si>
    <t>El tema del día de ayer fue estos bloqueos por parte de transportistas y por segundo día consecutivo organizaciones del sector transportista mantienen el paro nacional luego de las concentraciones y protestas registradas ayer lunes en 19 entidades del país</t>
  </si>
  <si>
    <t>Transportistas se movilizaron este lunes hasta las instalaciones de Infraestructura, Comunicaciones y Transportes (SICT) en Pachuca. Esto para exigir mayor seguridad en las carreteras federales.Denunciaron que los constantes robos ponen en riesgo sus vidas, sus unidades y su patrimonio. Por lo que demandaron a las autoridades federales reforzar la vigilancia para poder trabajar.Un representante del sector transportista expresó:"Sí, ya en práctica el transporte nos toman como los malos, cuando realmente somos los que abastecemos a todas las principales ciudades. Entonces nos han afectado por todos lados, de manera fiscal, de manera... por andar en cualquier lado, por la delincuencia. Estamos muy atorados por esa parte. Y está en todos lados, prácticamente, punto rojo. No es Potosí, Estado de México, pero prácticamente ya no hay... México-Querétaro, o sea, ya no hay a dónde te salgas."</t>
  </si>
  <si>
    <t>Transportistas realizaron una caravana que partió de la carretera México- Pachuca a la altura del C5I de Hidalgo en el municipio de Zapotlán con dirección a Pachuca.Con claxon y mantas en las que exigen mayor seguridad en carreteras, frenar los asaltos y las extorsiones, así como mejorar la infraestructura vial, los transportistas avanzaron por vialidades como el Bulevar Felipe Ángeles y el Bulevar Nuevo Hidalgo para llegar hasta un centro comercial ubicado frente a las oficinas de la Secretaría de Infraestructura, Comunicaciones y Transportes, donde estacionaron sus vehículos, por la tarde bloquearon un carril del bulevar Colosio en ambos sentidos generando rezago vehicular.Transportistas del municipio de Tula, también se sumaron a esta manifestación.</t>
  </si>
  <si>
    <t>A partir del próximo 3 de noviembre entrarán en vigor los lineamientos para regular el uso de dispositivos móviles en los planteles educativos públicos y privados del país, con el propósito de favorecer la concentración de las y los estudiantes, fortalecer la convivencia escolar y promover el uso responsable de la tecnología, informó el secretario de Educación Pública, Mario Delgado Carrillo. Durante la Cuarta Reunión Nacional Plenaria Extraordinaria 2026 del Consejo Nacional de Autoridades Educativas (Conaedu), Delgado Carrillo destacó que esta iniciativa, impulsada por la presidenta Claudia Sheinbaum Pardo y aprobada por las y los titulares de educación de las 32 entidades del país, responde a la necesidad de fortalecer los ambientes de aprendizaje y reducir las distracciones que pueden afectar la atención de las y los estudiantes. Asimismo, señaló que se busca aprovechar los espacios educativos para estimular la imaginación, la participación y las relaciones interpersonales. Explicó que, en educación básica, que comprende primaria y secundaria, el uso de teléfonos celulares estará restringido durante la jornada escolar, tanto en las aulas como en los periodos de recreo. La medida busca recuperar los espacios de convivencia entre niñas, niños y adolescentes, así como propiciar las conversaciones, las amistades y la interacción directa en las escuelas. En educación media superior, indicó que cada plantel establecerá sus propias reglas mediante acuerdos con su comunidad educativa, a fin de definir las condiciones para el uso de dispositivos móviles de acuerdo con sus necesidades y contextos particulares. En educación superior, el titular de la SEP destacó que, en coordinación con la Asociación Nacional de Universidades e Instituciones de Educación Superior (ANUIES), se promueve el uso crítico de la tecnología para que las y los jóvenes comprendan el funcionamiento de los algoritmos, las implicaciones de la inteligencia artificial y el papel de estas herramientas en su formación académica y en la sociedad. El secretario subrayó que la iniciativa no busca alejar a las y los estudiantes de la tecnología, sino fomentar prácticas que permitan aprovechar sus beneficios de manera consciente y responsable, privilegiando el aprendizaje, la convivencia y el desarrollo integral de las comunidades escolares.</t>
  </si>
  <si>
    <t>Regulación de dispositivos digitales</t>
  </si>
  <si>
    <t>Transportistas sin seguro vigente en Hidalgo podría costarles mucho más que una multa. También podrían perder su concesión. la convocatoria y la supervisión podría comenzar a partir de noviembre. Esto lo informó la Secretaría de Movilidad y Transporte, Lyzbeth Robles</t>
  </si>
  <si>
    <t>Supervisión de transporte</t>
  </si>
  <si>
    <t>El gobernador de Hidalgo, Julio Menchaca Salazar, confirmó que la presidenta de la república, Claudia Sheinbaum, realizará una gira de dos días en la entidad durante el próximo jueves y viernes. El objetivo de la visita es entregar apoyos y tarjetas a las familias afectadas por las lluvias y precipitaciones que ocasionaron daños en diversas regiones y miles de hectáreas siniestradas. La agenda presidencial contemplará actividades y recorridos en municipios como Zacualtipán de Ángeles y Villa de Tezontepec para atender a las poblaciones damnificadas por fenómenos meteorológicos previos.</t>
  </si>
  <si>
    <t>Visita Sheinbaum</t>
  </si>
  <si>
    <t>Anuncian visita de la presidenta Claudia Sheinbaum a Hidalgo y entrega de apoyos Le informamos que se informó que se prevé la visita de la presidenta de México, Claudia Sheinbaum, dos días esta semana.</t>
  </si>
  <si>
    <t>El gobernador Julio Menchaca confirmó que los próximos días jueves 29 y viernes 30 de octubre, la presidenta Claudia Sheimbaun visitará nuevamente el estado de Hidalgo,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</si>
</sst>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71" tableType="queryTable" totalsRowShown="0">
  <autoFilter ref="A1:M71"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71"/>
  <sheetViews>
    <sheetView tabSelected="1" topLeftCell="A36" workbookViewId="0">
      <selection activeCell="A71" sqref="A71"/>
    </sheetView>
  </sheetViews>
  <sheetFormatPr baseColWidth="10" defaultRowHeight="15" x14ac:dyDescent="0.25"/>
  <cols>
    <col min="1" max="1" width="8.5703125" bestFit="1" customWidth="1"/>
    <col min="2" max="2" width="11.42578125" bestFit="1" customWidth="1"/>
    <col min="3" max="3" width="20" bestFit="1" customWidth="1"/>
    <col min="4" max="4" width="26" bestFit="1" customWidth="1"/>
    <col min="5" max="5" width="81.140625" bestFit="1" customWidth="1"/>
    <col min="6" max="6" width="15.28515625" bestFit="1" customWidth="1"/>
    <col min="7" max="7" width="33.140625" bestFit="1" customWidth="1"/>
    <col min="8" max="8" width="12.42578125"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11</v>
      </c>
      <c r="C1" t="s">
        <v>12</v>
      </c>
      <c r="D1" t="s">
        <v>13</v>
      </c>
      <c r="E1" t="s">
        <v>1</v>
      </c>
      <c r="F1" t="s">
        <v>2</v>
      </c>
      <c r="G1" t="s">
        <v>4</v>
      </c>
      <c r="H1" t="s">
        <v>3</v>
      </c>
      <c r="I1" t="s">
        <v>5</v>
      </c>
      <c r="J1" t="s">
        <v>14</v>
      </c>
      <c r="K1" t="s">
        <v>15</v>
      </c>
      <c r="L1" t="s">
        <v>16</v>
      </c>
      <c r="M1" t="s">
        <v>21</v>
      </c>
    </row>
    <row r="2" spans="1:13" x14ac:dyDescent="0.25">
      <c r="A2" s="2">
        <v>46321</v>
      </c>
      <c r="B2" s="1" t="str">
        <f ca="1">IF(Información1[[#This Row],[Fecha]]='Ajuste de fechas'!$A$2,"Día actual","Día anterior")</f>
        <v>Día anterior</v>
      </c>
      <c r="C2" s="3" t="s">
        <v>28</v>
      </c>
      <c r="D2" t="s">
        <v>29</v>
      </c>
      <c r="E2" s="3" t="s">
        <v>56</v>
      </c>
      <c r="F2" s="3" t="s">
        <v>57</v>
      </c>
      <c r="G2" s="3" t="s">
        <v>58</v>
      </c>
      <c r="H2" s="3" t="s">
        <v>27</v>
      </c>
      <c r="I2" s="3" t="s">
        <v>6</v>
      </c>
      <c r="J2" s="3" t="s">
        <v>17</v>
      </c>
      <c r="K2" s="3" t="s">
        <v>31</v>
      </c>
      <c r="L2" s="3" t="s">
        <v>18</v>
      </c>
      <c r="M2">
        <v>1</v>
      </c>
    </row>
    <row r="3" spans="1:13" x14ac:dyDescent="0.25">
      <c r="A3" s="2">
        <v>46321</v>
      </c>
      <c r="B3" s="1" t="str">
        <f ca="1">IF(Información1[[#This Row],[Fecha]]='Ajuste de fechas'!$A$2,"Día actual","Día anterior")</f>
        <v>Día anterior</v>
      </c>
      <c r="C3" s="3" t="s">
        <v>28</v>
      </c>
      <c r="D3" t="s">
        <v>33</v>
      </c>
      <c r="E3" s="3" t="s">
        <v>59</v>
      </c>
      <c r="F3" s="3" t="s">
        <v>8</v>
      </c>
      <c r="G3" s="3" t="s">
        <v>48</v>
      </c>
      <c r="H3" s="3" t="s">
        <v>27</v>
      </c>
      <c r="I3" s="3" t="s">
        <v>6</v>
      </c>
      <c r="J3" s="3" t="s">
        <v>17</v>
      </c>
      <c r="K3" s="3" t="s">
        <v>30</v>
      </c>
      <c r="L3" s="3" t="s">
        <v>18</v>
      </c>
      <c r="M3">
        <v>1</v>
      </c>
    </row>
    <row r="4" spans="1:13" x14ac:dyDescent="0.25">
      <c r="A4" s="2">
        <v>46321</v>
      </c>
      <c r="B4" s="1" t="str">
        <f ca="1">IF(Información1[[#This Row],[Fecha]]='Ajuste de fechas'!$A$2,"Día actual","Día anterior")</f>
        <v>Día anterior</v>
      </c>
      <c r="C4" s="3" t="s">
        <v>35</v>
      </c>
      <c r="D4" t="s">
        <v>36</v>
      </c>
      <c r="E4" s="3" t="s">
        <v>60</v>
      </c>
      <c r="F4" s="3" t="s">
        <v>38</v>
      </c>
      <c r="G4" s="3" t="s">
        <v>53</v>
      </c>
      <c r="H4" s="3" t="s">
        <v>27</v>
      </c>
      <c r="I4" s="3" t="s">
        <v>6</v>
      </c>
      <c r="J4" s="3" t="s">
        <v>17</v>
      </c>
      <c r="K4" s="3" t="s">
        <v>37</v>
      </c>
      <c r="L4" s="3" t="s">
        <v>20</v>
      </c>
      <c r="M4">
        <v>1</v>
      </c>
    </row>
    <row r="5" spans="1:13" x14ac:dyDescent="0.25">
      <c r="A5" s="2">
        <v>46321</v>
      </c>
      <c r="B5" s="1" t="str">
        <f ca="1">IF(Información1[[#This Row],[Fecha]]='Ajuste de fechas'!$A$2,"Día actual","Día anterior")</f>
        <v>Día anterior</v>
      </c>
      <c r="C5" s="3" t="s">
        <v>28</v>
      </c>
      <c r="D5" t="s">
        <v>29</v>
      </c>
      <c r="E5" s="3" t="s">
        <v>61</v>
      </c>
      <c r="F5" s="3" t="s">
        <v>41</v>
      </c>
      <c r="G5" s="3" t="s">
        <v>62</v>
      </c>
      <c r="H5" s="3" t="s">
        <v>27</v>
      </c>
      <c r="I5" s="3" t="s">
        <v>6</v>
      </c>
      <c r="J5" s="3" t="s">
        <v>41</v>
      </c>
      <c r="K5" s="3" t="s">
        <v>30</v>
      </c>
      <c r="L5" s="3" t="s">
        <v>24</v>
      </c>
      <c r="M5">
        <v>1</v>
      </c>
    </row>
    <row r="6" spans="1:13" x14ac:dyDescent="0.25">
      <c r="A6" s="2">
        <v>46321</v>
      </c>
      <c r="B6" s="1" t="str">
        <f ca="1">IF(Información1[[#This Row],[Fecha]]='Ajuste de fechas'!$A$2,"Día actual","Día anterior")</f>
        <v>Día anterior</v>
      </c>
      <c r="C6" s="3" t="s">
        <v>28</v>
      </c>
      <c r="D6" t="s">
        <v>33</v>
      </c>
      <c r="E6" s="3" t="s">
        <v>63</v>
      </c>
      <c r="F6" s="3" t="s">
        <v>39</v>
      </c>
      <c r="G6" s="3" t="s">
        <v>54</v>
      </c>
      <c r="H6" s="3" t="s">
        <v>27</v>
      </c>
      <c r="I6" s="3" t="s">
        <v>6</v>
      </c>
      <c r="J6" s="3" t="s">
        <v>40</v>
      </c>
      <c r="K6" s="3" t="s">
        <v>30</v>
      </c>
      <c r="L6" s="3" t="s">
        <v>18</v>
      </c>
      <c r="M6">
        <v>1</v>
      </c>
    </row>
    <row r="7" spans="1:13" x14ac:dyDescent="0.25">
      <c r="A7" s="2">
        <v>46321</v>
      </c>
      <c r="B7" s="1" t="str">
        <f ca="1">IF(Información1[[#This Row],[Fecha]]='Ajuste de fechas'!$A$2,"Día actual","Día anterior")</f>
        <v>Día anterior</v>
      </c>
      <c r="C7" s="3" t="s">
        <v>28</v>
      </c>
      <c r="D7" t="s">
        <v>29</v>
      </c>
      <c r="E7" s="3" t="s">
        <v>64</v>
      </c>
      <c r="F7" s="3" t="s">
        <v>39</v>
      </c>
      <c r="G7" s="3" t="s">
        <v>54</v>
      </c>
      <c r="H7" s="3" t="s">
        <v>27</v>
      </c>
      <c r="I7" s="3" t="s">
        <v>6</v>
      </c>
      <c r="J7" s="3" t="s">
        <v>40</v>
      </c>
      <c r="K7" s="3" t="s">
        <v>30</v>
      </c>
      <c r="L7" s="3" t="s">
        <v>24</v>
      </c>
      <c r="M7">
        <v>1</v>
      </c>
    </row>
    <row r="8" spans="1:13" x14ac:dyDescent="0.25">
      <c r="A8" s="2">
        <v>46321</v>
      </c>
      <c r="B8" s="1" t="str">
        <f ca="1">IF(Información1[[#This Row],[Fecha]]='Ajuste de fechas'!$A$2,"Día actual","Día anterior")</f>
        <v>Día anterior</v>
      </c>
      <c r="C8" s="3" t="s">
        <v>45</v>
      </c>
      <c r="D8" t="s">
        <v>46</v>
      </c>
      <c r="E8" s="3" t="s">
        <v>65</v>
      </c>
      <c r="F8" s="3" t="s">
        <v>44</v>
      </c>
      <c r="G8" s="3" t="s">
        <v>66</v>
      </c>
      <c r="H8" s="3" t="s">
        <v>27</v>
      </c>
      <c r="I8" s="3" t="s">
        <v>6</v>
      </c>
      <c r="J8" s="3" t="s">
        <v>17</v>
      </c>
      <c r="K8" s="3" t="s">
        <v>47</v>
      </c>
      <c r="L8" s="3" t="s">
        <v>20</v>
      </c>
      <c r="M8">
        <v>1</v>
      </c>
    </row>
    <row r="9" spans="1:13" x14ac:dyDescent="0.25">
      <c r="A9" s="2">
        <v>46321</v>
      </c>
      <c r="B9" s="1" t="str">
        <f ca="1">IF(Información1[[#This Row],[Fecha]]='Ajuste de fechas'!$A$2,"Día actual","Día anterior")</f>
        <v>Día anterior</v>
      </c>
      <c r="C9" s="3" t="s">
        <v>35</v>
      </c>
      <c r="D9" t="s">
        <v>36</v>
      </c>
      <c r="E9" s="3" t="s">
        <v>65</v>
      </c>
      <c r="F9" s="3" t="s">
        <v>44</v>
      </c>
      <c r="G9" s="3" t="s">
        <v>66</v>
      </c>
      <c r="H9" s="3" t="s">
        <v>27</v>
      </c>
      <c r="I9" s="3" t="s">
        <v>6</v>
      </c>
      <c r="J9" s="3" t="s">
        <v>17</v>
      </c>
      <c r="K9" s="3" t="s">
        <v>37</v>
      </c>
      <c r="L9" s="3" t="s">
        <v>20</v>
      </c>
      <c r="M9">
        <v>1</v>
      </c>
    </row>
    <row r="10" spans="1:13" x14ac:dyDescent="0.25">
      <c r="A10" s="2">
        <v>46321</v>
      </c>
      <c r="B10" s="1" t="str">
        <f ca="1">IF(Información1[[#This Row],[Fecha]]='Ajuste de fechas'!$A$2,"Día actual","Día anterior")</f>
        <v>Día anterior</v>
      </c>
      <c r="C10" s="3" t="s">
        <v>35</v>
      </c>
      <c r="D10" t="s">
        <v>36</v>
      </c>
      <c r="E10" s="3" t="s">
        <v>67</v>
      </c>
      <c r="F10" s="3" t="s">
        <v>25</v>
      </c>
      <c r="G10" s="3" t="s">
        <v>68</v>
      </c>
      <c r="H10" s="3" t="s">
        <v>27</v>
      </c>
      <c r="I10" s="3" t="s">
        <v>6</v>
      </c>
      <c r="J10" s="3" t="s">
        <v>17</v>
      </c>
      <c r="K10" s="3" t="s">
        <v>37</v>
      </c>
      <c r="L10" s="3" t="s">
        <v>20</v>
      </c>
      <c r="M10">
        <v>1</v>
      </c>
    </row>
    <row r="11" spans="1:13" x14ac:dyDescent="0.25">
      <c r="A11" s="2">
        <v>46321</v>
      </c>
      <c r="B11" s="1" t="str">
        <f ca="1">IF(Información1[[#This Row],[Fecha]]='Ajuste de fechas'!$A$2,"Día actual","Día anterior")</f>
        <v>Día anterior</v>
      </c>
      <c r="C11" s="3" t="s">
        <v>28</v>
      </c>
      <c r="D11" t="s">
        <v>33</v>
      </c>
      <c r="E11" s="3" t="s">
        <v>69</v>
      </c>
      <c r="F11" s="3" t="s">
        <v>39</v>
      </c>
      <c r="G11" s="3" t="s">
        <v>70</v>
      </c>
      <c r="H11" s="3" t="s">
        <v>27</v>
      </c>
      <c r="I11" s="3" t="s">
        <v>6</v>
      </c>
      <c r="J11" s="3" t="s">
        <v>40</v>
      </c>
      <c r="K11" s="3" t="s">
        <v>51</v>
      </c>
      <c r="L11" s="3" t="s">
        <v>18</v>
      </c>
      <c r="M11">
        <v>1</v>
      </c>
    </row>
    <row r="12" spans="1:13" x14ac:dyDescent="0.25">
      <c r="A12" s="2">
        <v>46321</v>
      </c>
      <c r="B12" s="1" t="str">
        <f ca="1">IF(Información1[[#This Row],[Fecha]]='Ajuste de fechas'!$A$2,"Día actual","Día anterior")</f>
        <v>Día anterior</v>
      </c>
      <c r="C12" s="3" t="s">
        <v>28</v>
      </c>
      <c r="D12" t="s">
        <v>33</v>
      </c>
      <c r="E12" s="3" t="s">
        <v>71</v>
      </c>
      <c r="F12" s="3" t="s">
        <v>9</v>
      </c>
      <c r="G12" s="3" t="s">
        <v>72</v>
      </c>
      <c r="H12" s="3" t="s">
        <v>27</v>
      </c>
      <c r="I12" s="3" t="s">
        <v>6</v>
      </c>
      <c r="J12" s="3" t="s">
        <v>17</v>
      </c>
      <c r="K12" s="3" t="s">
        <v>30</v>
      </c>
      <c r="L12" s="3" t="s">
        <v>20</v>
      </c>
      <c r="M12">
        <v>1</v>
      </c>
    </row>
    <row r="13" spans="1:13" x14ac:dyDescent="0.25">
      <c r="A13" s="2">
        <v>46321</v>
      </c>
      <c r="B13" s="1" t="str">
        <f ca="1">IF(Información1[[#This Row],[Fecha]]='Ajuste de fechas'!$A$2,"Día actual","Día anterior")</f>
        <v>Día anterior</v>
      </c>
      <c r="C13" s="3" t="s">
        <v>28</v>
      </c>
      <c r="D13" t="s">
        <v>29</v>
      </c>
      <c r="E13" s="3" t="s">
        <v>73</v>
      </c>
      <c r="F13" s="3" t="s">
        <v>8</v>
      </c>
      <c r="G13" s="3" t="s">
        <v>74</v>
      </c>
      <c r="H13" s="3" t="s">
        <v>27</v>
      </c>
      <c r="I13" s="3" t="s">
        <v>6</v>
      </c>
      <c r="J13" s="3" t="s">
        <v>17</v>
      </c>
      <c r="K13" s="3" t="s">
        <v>31</v>
      </c>
      <c r="L13" s="3" t="s">
        <v>18</v>
      </c>
      <c r="M13">
        <v>1</v>
      </c>
    </row>
    <row r="14" spans="1:13" x14ac:dyDescent="0.25">
      <c r="A14" s="2">
        <v>46321</v>
      </c>
      <c r="B14" s="1" t="str">
        <f ca="1">IF(Información1[[#This Row],[Fecha]]='Ajuste de fechas'!$A$2,"Día actual","Día anterior")</f>
        <v>Día anterior</v>
      </c>
      <c r="C14" s="3" t="s">
        <v>28</v>
      </c>
      <c r="D14" t="s">
        <v>33</v>
      </c>
      <c r="E14" s="3" t="s">
        <v>75</v>
      </c>
      <c r="F14" s="3" t="s">
        <v>42</v>
      </c>
      <c r="G14" s="3" t="s">
        <v>76</v>
      </c>
      <c r="H14" s="3" t="s">
        <v>27</v>
      </c>
      <c r="I14" s="3" t="s">
        <v>6</v>
      </c>
      <c r="J14" s="3" t="s">
        <v>43</v>
      </c>
      <c r="K14" s="3" t="s">
        <v>30</v>
      </c>
      <c r="L14" s="3" t="s">
        <v>18</v>
      </c>
      <c r="M14">
        <v>1</v>
      </c>
    </row>
    <row r="15" spans="1:13" x14ac:dyDescent="0.25">
      <c r="A15" s="2">
        <v>46321</v>
      </c>
      <c r="B15" s="1" t="str">
        <f ca="1">IF(Información1[[#This Row],[Fecha]]='Ajuste de fechas'!$A$2,"Día actual","Día anterior")</f>
        <v>Día anterior</v>
      </c>
      <c r="C15" s="3" t="s">
        <v>35</v>
      </c>
      <c r="D15" t="s">
        <v>36</v>
      </c>
      <c r="E15" s="3" t="s">
        <v>77</v>
      </c>
      <c r="F15" s="3" t="s">
        <v>42</v>
      </c>
      <c r="G15" s="3" t="s">
        <v>76</v>
      </c>
      <c r="H15" s="3" t="s">
        <v>27</v>
      </c>
      <c r="I15" s="3" t="s">
        <v>6</v>
      </c>
      <c r="J15" s="3" t="s">
        <v>43</v>
      </c>
      <c r="K15" s="3" t="s">
        <v>37</v>
      </c>
      <c r="L15" s="3" t="s">
        <v>18</v>
      </c>
      <c r="M15">
        <v>1</v>
      </c>
    </row>
    <row r="16" spans="1:13" x14ac:dyDescent="0.25">
      <c r="A16" s="2">
        <v>46321</v>
      </c>
      <c r="B16" s="1" t="str">
        <f ca="1">IF(Información1[[#This Row],[Fecha]]='Ajuste de fechas'!$A$2,"Día actual","Día anterior")</f>
        <v>Día anterior</v>
      </c>
      <c r="C16" s="3" t="s">
        <v>35</v>
      </c>
      <c r="D16" t="s">
        <v>36</v>
      </c>
      <c r="E16" s="3" t="s">
        <v>78</v>
      </c>
      <c r="F16" s="3" t="s">
        <v>39</v>
      </c>
      <c r="G16" s="3" t="s">
        <v>79</v>
      </c>
      <c r="H16" s="3" t="s">
        <v>27</v>
      </c>
      <c r="I16" s="3" t="s">
        <v>6</v>
      </c>
      <c r="J16" s="3" t="s">
        <v>40</v>
      </c>
      <c r="K16" s="3" t="s">
        <v>37</v>
      </c>
      <c r="L16" s="3" t="s">
        <v>18</v>
      </c>
      <c r="M16">
        <v>1</v>
      </c>
    </row>
    <row r="17" spans="1:13" x14ac:dyDescent="0.25">
      <c r="A17" s="2">
        <v>46321</v>
      </c>
      <c r="B17" s="1" t="str">
        <f ca="1">IF(Información1[[#This Row],[Fecha]]='Ajuste de fechas'!$A$2,"Día actual","Día anterior")</f>
        <v>Día anterior</v>
      </c>
      <c r="C17" s="3" t="s">
        <v>28</v>
      </c>
      <c r="D17" t="s">
        <v>33</v>
      </c>
      <c r="E17" s="3" t="s">
        <v>80</v>
      </c>
      <c r="F17" s="3" t="s">
        <v>42</v>
      </c>
      <c r="G17" s="3" t="s">
        <v>81</v>
      </c>
      <c r="H17" s="3" t="s">
        <v>27</v>
      </c>
      <c r="I17" s="3" t="s">
        <v>6</v>
      </c>
      <c r="J17" s="3" t="s">
        <v>43</v>
      </c>
      <c r="K17" s="3" t="s">
        <v>30</v>
      </c>
      <c r="L17" s="3" t="s">
        <v>18</v>
      </c>
      <c r="M17">
        <v>1</v>
      </c>
    </row>
    <row r="18" spans="1:13" x14ac:dyDescent="0.25">
      <c r="A18" s="2">
        <v>46321</v>
      </c>
      <c r="B18" s="1" t="str">
        <f ca="1">IF(Información1[[#This Row],[Fecha]]='Ajuste de fechas'!$A$2,"Día actual","Día anterior")</f>
        <v>Día anterior</v>
      </c>
      <c r="C18" s="3" t="s">
        <v>35</v>
      </c>
      <c r="D18" t="s">
        <v>36</v>
      </c>
      <c r="E18" s="3" t="s">
        <v>82</v>
      </c>
      <c r="F18" s="3" t="s">
        <v>42</v>
      </c>
      <c r="G18" s="3" t="s">
        <v>81</v>
      </c>
      <c r="H18" s="3" t="s">
        <v>27</v>
      </c>
      <c r="I18" s="3" t="s">
        <v>6</v>
      </c>
      <c r="J18" s="3" t="s">
        <v>43</v>
      </c>
      <c r="K18" s="3" t="s">
        <v>37</v>
      </c>
      <c r="L18" s="3" t="s">
        <v>18</v>
      </c>
      <c r="M18">
        <v>1</v>
      </c>
    </row>
    <row r="19" spans="1:13" x14ac:dyDescent="0.25">
      <c r="A19" s="2">
        <v>46321</v>
      </c>
      <c r="B19" s="1" t="str">
        <f ca="1">IF(Información1[[#This Row],[Fecha]]='Ajuste de fechas'!$A$2,"Día actual","Día anterior")</f>
        <v>Día anterior</v>
      </c>
      <c r="C19" s="3" t="s">
        <v>28</v>
      </c>
      <c r="D19" t="s">
        <v>33</v>
      </c>
      <c r="E19" s="3" t="s">
        <v>83</v>
      </c>
      <c r="F19" s="3" t="s">
        <v>8</v>
      </c>
      <c r="G19" s="3" t="s">
        <v>84</v>
      </c>
      <c r="H19" s="3" t="s">
        <v>27</v>
      </c>
      <c r="I19" s="3" t="s">
        <v>10</v>
      </c>
      <c r="J19" s="3" t="s">
        <v>17</v>
      </c>
      <c r="K19" s="3" t="s">
        <v>34</v>
      </c>
      <c r="L19" s="3" t="s">
        <v>19</v>
      </c>
      <c r="M19">
        <v>1</v>
      </c>
    </row>
    <row r="20" spans="1:13" x14ac:dyDescent="0.25">
      <c r="A20" s="2">
        <v>46321</v>
      </c>
      <c r="B20" s="1" t="str">
        <f ca="1">IF(Información1[[#This Row],[Fecha]]='Ajuste de fechas'!$A$2,"Día actual","Día anterior")</f>
        <v>Día anterior</v>
      </c>
      <c r="C20" s="3" t="s">
        <v>28</v>
      </c>
      <c r="D20" t="s">
        <v>29</v>
      </c>
      <c r="E20" s="3" t="s">
        <v>85</v>
      </c>
      <c r="F20" s="3" t="s">
        <v>86</v>
      </c>
      <c r="G20" s="3" t="s">
        <v>50</v>
      </c>
      <c r="H20" s="3" t="s">
        <v>27</v>
      </c>
      <c r="I20" s="3" t="s">
        <v>6</v>
      </c>
      <c r="J20" s="3" t="s">
        <v>17</v>
      </c>
      <c r="K20" s="3" t="s">
        <v>31</v>
      </c>
      <c r="L20" s="3" t="s">
        <v>18</v>
      </c>
      <c r="M20">
        <v>1</v>
      </c>
    </row>
    <row r="21" spans="1:13" x14ac:dyDescent="0.25">
      <c r="A21" s="2">
        <v>46322</v>
      </c>
      <c r="B21" s="1" t="str">
        <f ca="1">IF(Información1[[#This Row],[Fecha]]='Ajuste de fechas'!$A$2,"Día actual","Día anterior")</f>
        <v>Día actual</v>
      </c>
      <c r="C21" s="3" t="s">
        <v>28</v>
      </c>
      <c r="D21" t="s">
        <v>33</v>
      </c>
      <c r="E21" s="3" t="s">
        <v>87</v>
      </c>
      <c r="F21" s="3" t="s">
        <v>52</v>
      </c>
      <c r="G21" s="3" t="s">
        <v>88</v>
      </c>
      <c r="H21" s="3" t="s">
        <v>27</v>
      </c>
      <c r="I21" s="3" t="s">
        <v>6</v>
      </c>
      <c r="J21" s="3" t="s">
        <v>17</v>
      </c>
      <c r="K21" s="3" t="s">
        <v>30</v>
      </c>
      <c r="L21" s="3" t="s">
        <v>18</v>
      </c>
      <c r="M21">
        <v>1</v>
      </c>
    </row>
    <row r="22" spans="1:13" x14ac:dyDescent="0.25">
      <c r="A22" s="2">
        <v>46322</v>
      </c>
      <c r="B22" s="1" t="str">
        <f ca="1">IF(Información1[[#This Row],[Fecha]]='Ajuste de fechas'!$A$2,"Día actual","Día anterior")</f>
        <v>Día actual</v>
      </c>
      <c r="C22" s="3" t="s">
        <v>89</v>
      </c>
      <c r="D22" t="s">
        <v>90</v>
      </c>
      <c r="E22" s="3" t="s">
        <v>91</v>
      </c>
      <c r="F22" s="3" t="s">
        <v>39</v>
      </c>
      <c r="G22" s="3" t="s">
        <v>88</v>
      </c>
      <c r="H22" s="3" t="s">
        <v>27</v>
      </c>
      <c r="I22" s="3" t="s">
        <v>10</v>
      </c>
      <c r="J22" s="3" t="s">
        <v>40</v>
      </c>
      <c r="K22" s="3" t="s">
        <v>92</v>
      </c>
      <c r="L22" s="3" t="s">
        <v>18</v>
      </c>
      <c r="M22">
        <v>1</v>
      </c>
    </row>
    <row r="23" spans="1:13" x14ac:dyDescent="0.25">
      <c r="A23" s="2">
        <v>46322</v>
      </c>
      <c r="B23" s="1" t="str">
        <f ca="1">IF(Información1[[#This Row],[Fecha]]='Ajuste de fechas'!$A$2,"Día actual","Día anterior")</f>
        <v>Día actual</v>
      </c>
      <c r="C23" s="3" t="s">
        <v>93</v>
      </c>
      <c r="D23" t="s">
        <v>94</v>
      </c>
      <c r="E23" s="3" t="s">
        <v>95</v>
      </c>
      <c r="F23" s="3" t="s">
        <v>8</v>
      </c>
      <c r="G23" s="3" t="s">
        <v>48</v>
      </c>
      <c r="H23" s="3" t="s">
        <v>27</v>
      </c>
      <c r="I23" s="3" t="s">
        <v>6</v>
      </c>
      <c r="J23" s="3" t="s">
        <v>17</v>
      </c>
      <c r="K23" s="3" t="s">
        <v>96</v>
      </c>
      <c r="L23" s="3" t="s">
        <v>18</v>
      </c>
      <c r="M23">
        <v>1</v>
      </c>
    </row>
    <row r="24" spans="1:13" x14ac:dyDescent="0.25">
      <c r="A24" s="2">
        <v>46322</v>
      </c>
      <c r="B24" s="1" t="str">
        <f ca="1">IF(Información1[[#This Row],[Fecha]]='Ajuste de fechas'!$A$2,"Día actual","Día anterior")</f>
        <v>Día actual</v>
      </c>
      <c r="C24" s="3" t="s">
        <v>93</v>
      </c>
      <c r="D24" t="s">
        <v>94</v>
      </c>
      <c r="E24" s="3" t="s">
        <v>97</v>
      </c>
      <c r="F24" s="3" t="s">
        <v>39</v>
      </c>
      <c r="G24" s="3" t="s">
        <v>98</v>
      </c>
      <c r="H24" s="3" t="s">
        <v>27</v>
      </c>
      <c r="I24" s="3" t="s">
        <v>7</v>
      </c>
      <c r="J24" s="3" t="s">
        <v>40</v>
      </c>
      <c r="K24" s="3" t="s">
        <v>96</v>
      </c>
      <c r="L24" s="3" t="s">
        <v>19</v>
      </c>
      <c r="M24">
        <v>1</v>
      </c>
    </row>
    <row r="25" spans="1:13" x14ac:dyDescent="0.25">
      <c r="A25" s="2">
        <v>46322</v>
      </c>
      <c r="B25" s="1" t="str">
        <f ca="1">IF(Información1[[#This Row],[Fecha]]='Ajuste de fechas'!$A$2,"Día actual","Día anterior")</f>
        <v>Día actual</v>
      </c>
      <c r="C25" s="3" t="s">
        <v>93</v>
      </c>
      <c r="D25" t="s">
        <v>94</v>
      </c>
      <c r="E25" s="3" t="s">
        <v>99</v>
      </c>
      <c r="F25" s="3" t="s">
        <v>39</v>
      </c>
      <c r="G25" s="3" t="s">
        <v>98</v>
      </c>
      <c r="H25" s="3" t="s">
        <v>27</v>
      </c>
      <c r="I25" s="3" t="s">
        <v>7</v>
      </c>
      <c r="J25" s="3" t="s">
        <v>40</v>
      </c>
      <c r="K25" s="3" t="s">
        <v>96</v>
      </c>
      <c r="L25" s="3" t="s">
        <v>19</v>
      </c>
      <c r="M25">
        <v>1</v>
      </c>
    </row>
    <row r="26" spans="1:13" x14ac:dyDescent="0.25">
      <c r="A26" s="2">
        <v>46322</v>
      </c>
      <c r="B26" s="1" t="str">
        <f ca="1">IF(Información1[[#This Row],[Fecha]]='Ajuste de fechas'!$A$2,"Día actual","Día anterior")</f>
        <v>Día actual</v>
      </c>
      <c r="C26" s="3" t="s">
        <v>93</v>
      </c>
      <c r="D26" t="s">
        <v>94</v>
      </c>
      <c r="E26" s="3" t="s">
        <v>100</v>
      </c>
      <c r="F26" s="3" t="s">
        <v>101</v>
      </c>
      <c r="G26" s="3" t="s">
        <v>98</v>
      </c>
      <c r="H26" s="3" t="s">
        <v>27</v>
      </c>
      <c r="I26" s="3" t="s">
        <v>7</v>
      </c>
      <c r="J26" s="3" t="s">
        <v>41</v>
      </c>
      <c r="K26" s="3" t="s">
        <v>96</v>
      </c>
      <c r="L26" s="3" t="s">
        <v>19</v>
      </c>
      <c r="M26">
        <v>1</v>
      </c>
    </row>
    <row r="27" spans="1:13" x14ac:dyDescent="0.25">
      <c r="A27" s="2">
        <v>46322</v>
      </c>
      <c r="B27" s="1" t="str">
        <f ca="1">IF(Información1[[#This Row],[Fecha]]='Ajuste de fechas'!$A$2,"Día actual","Día anterior")</f>
        <v>Día actual</v>
      </c>
      <c r="C27" s="3" t="s">
        <v>93</v>
      </c>
      <c r="D27" t="s">
        <v>94</v>
      </c>
      <c r="E27" s="3" t="s">
        <v>102</v>
      </c>
      <c r="F27" s="3" t="s">
        <v>9</v>
      </c>
      <c r="G27" s="3" t="s">
        <v>98</v>
      </c>
      <c r="H27" s="3" t="s">
        <v>27</v>
      </c>
      <c r="I27" s="3" t="s">
        <v>7</v>
      </c>
      <c r="J27" s="3" t="s">
        <v>17</v>
      </c>
      <c r="K27" s="3" t="s">
        <v>96</v>
      </c>
      <c r="L27" s="3" t="s">
        <v>19</v>
      </c>
      <c r="M27">
        <v>1</v>
      </c>
    </row>
    <row r="28" spans="1:13" x14ac:dyDescent="0.25">
      <c r="A28" s="2">
        <v>46322</v>
      </c>
      <c r="B28" s="1" t="str">
        <f ca="1">IF(Información1[[#This Row],[Fecha]]='Ajuste de fechas'!$A$2,"Día actual","Día anterior")</f>
        <v>Día actual</v>
      </c>
      <c r="C28" s="3" t="s">
        <v>93</v>
      </c>
      <c r="D28" t="s">
        <v>94</v>
      </c>
      <c r="E28" s="3" t="s">
        <v>103</v>
      </c>
      <c r="F28" s="3" t="s">
        <v>25</v>
      </c>
      <c r="G28" s="3" t="s">
        <v>98</v>
      </c>
      <c r="H28" s="3" t="s">
        <v>27</v>
      </c>
      <c r="I28" s="3" t="s">
        <v>7</v>
      </c>
      <c r="J28" s="3" t="s">
        <v>17</v>
      </c>
      <c r="K28" s="3" t="s">
        <v>96</v>
      </c>
      <c r="L28" s="3" t="s">
        <v>19</v>
      </c>
      <c r="M28">
        <v>1</v>
      </c>
    </row>
    <row r="29" spans="1:13" x14ac:dyDescent="0.25">
      <c r="A29" s="2">
        <v>46322</v>
      </c>
      <c r="B29" s="1" t="str">
        <f ca="1">IF(Información1[[#This Row],[Fecha]]='Ajuste de fechas'!$A$2,"Día actual","Día anterior")</f>
        <v>Día actual</v>
      </c>
      <c r="C29" s="3" t="s">
        <v>93</v>
      </c>
      <c r="D29" t="s">
        <v>94</v>
      </c>
      <c r="E29" s="3" t="s">
        <v>104</v>
      </c>
      <c r="F29" s="3" t="s">
        <v>8</v>
      </c>
      <c r="G29" s="3" t="s">
        <v>98</v>
      </c>
      <c r="H29" s="3" t="s">
        <v>27</v>
      </c>
      <c r="I29" s="3" t="s">
        <v>7</v>
      </c>
      <c r="J29" s="3" t="s">
        <v>17</v>
      </c>
      <c r="K29" s="3" t="s">
        <v>96</v>
      </c>
      <c r="L29" s="3" t="s">
        <v>19</v>
      </c>
      <c r="M29">
        <v>1</v>
      </c>
    </row>
    <row r="30" spans="1:13" x14ac:dyDescent="0.25">
      <c r="A30" s="2">
        <v>46322</v>
      </c>
      <c r="B30" s="1" t="str">
        <f ca="1">IF(Información1[[#This Row],[Fecha]]='Ajuste de fechas'!$A$2,"Día actual","Día anterior")</f>
        <v>Día actual</v>
      </c>
      <c r="C30" s="3" t="s">
        <v>93</v>
      </c>
      <c r="D30" t="s">
        <v>94</v>
      </c>
      <c r="E30" s="3" t="s">
        <v>105</v>
      </c>
      <c r="F30" s="3" t="s">
        <v>52</v>
      </c>
      <c r="G30" s="3" t="s">
        <v>98</v>
      </c>
      <c r="H30" s="3" t="s">
        <v>27</v>
      </c>
      <c r="I30" s="3" t="s">
        <v>7</v>
      </c>
      <c r="J30" s="3" t="s">
        <v>17</v>
      </c>
      <c r="K30" s="3" t="s">
        <v>96</v>
      </c>
      <c r="L30" s="3" t="s">
        <v>19</v>
      </c>
      <c r="M30">
        <v>1</v>
      </c>
    </row>
    <row r="31" spans="1:13" x14ac:dyDescent="0.25">
      <c r="A31" s="2">
        <v>46322</v>
      </c>
      <c r="B31" s="1" t="str">
        <f ca="1">IF(Información1[[#This Row],[Fecha]]='Ajuste de fechas'!$A$2,"Día actual","Día anterior")</f>
        <v>Día actual</v>
      </c>
      <c r="C31" s="3" t="s">
        <v>89</v>
      </c>
      <c r="D31" t="s">
        <v>90</v>
      </c>
      <c r="E31" s="3" t="s">
        <v>106</v>
      </c>
      <c r="F31" s="3" t="s">
        <v>26</v>
      </c>
      <c r="G31" s="3" t="s">
        <v>107</v>
      </c>
      <c r="H31" s="3" t="s">
        <v>27</v>
      </c>
      <c r="I31" s="3" t="s">
        <v>6</v>
      </c>
      <c r="J31" s="3" t="s">
        <v>17</v>
      </c>
      <c r="K31" s="3" t="s">
        <v>92</v>
      </c>
      <c r="L31" s="3" t="s">
        <v>18</v>
      </c>
      <c r="M31">
        <v>1</v>
      </c>
    </row>
    <row r="32" spans="1:13" x14ac:dyDescent="0.25">
      <c r="A32" s="2">
        <v>46322</v>
      </c>
      <c r="B32" s="1" t="str">
        <f ca="1">IF(Información1[[#This Row],[Fecha]]='Ajuste de fechas'!$A$2,"Día actual","Día anterior")</f>
        <v>Día actual</v>
      </c>
      <c r="C32" s="3" t="s">
        <v>28</v>
      </c>
      <c r="D32" t="s">
        <v>33</v>
      </c>
      <c r="E32" s="3" t="s">
        <v>108</v>
      </c>
      <c r="F32" s="3" t="s">
        <v>26</v>
      </c>
      <c r="G32" s="3" t="s">
        <v>109</v>
      </c>
      <c r="H32" s="3" t="s">
        <v>27</v>
      </c>
      <c r="I32" s="3" t="s">
        <v>6</v>
      </c>
      <c r="J32" s="3" t="s">
        <v>17</v>
      </c>
      <c r="K32" s="3" t="s">
        <v>34</v>
      </c>
      <c r="L32" s="3" t="s">
        <v>18</v>
      </c>
      <c r="M32">
        <v>1</v>
      </c>
    </row>
    <row r="33" spans="1:13" x14ac:dyDescent="0.25">
      <c r="A33" s="2">
        <v>46322</v>
      </c>
      <c r="B33" s="1" t="str">
        <f ca="1">IF(Información1[[#This Row],[Fecha]]='Ajuste de fechas'!$A$2,"Día actual","Día anterior")</f>
        <v>Día actual</v>
      </c>
      <c r="C33" s="3" t="s">
        <v>28</v>
      </c>
      <c r="D33" t="s">
        <v>29</v>
      </c>
      <c r="E33" s="3" t="s">
        <v>110</v>
      </c>
      <c r="F33" s="3" t="s">
        <v>32</v>
      </c>
      <c r="G33" s="3" t="s">
        <v>111</v>
      </c>
      <c r="H33" s="3" t="s">
        <v>27</v>
      </c>
      <c r="I33" s="3" t="s">
        <v>6</v>
      </c>
      <c r="J33" s="3" t="s">
        <v>17</v>
      </c>
      <c r="K33" s="3" t="s">
        <v>30</v>
      </c>
      <c r="L33" s="3" t="s">
        <v>18</v>
      </c>
      <c r="M33">
        <v>1</v>
      </c>
    </row>
    <row r="34" spans="1:13" x14ac:dyDescent="0.25">
      <c r="A34" s="2">
        <v>46322</v>
      </c>
      <c r="B34" s="1" t="str">
        <f ca="1">IF(Información1[[#This Row],[Fecha]]='Ajuste de fechas'!$A$2,"Día actual","Día anterior")</f>
        <v>Día actual</v>
      </c>
      <c r="C34" s="3" t="s">
        <v>89</v>
      </c>
      <c r="D34" t="s">
        <v>90</v>
      </c>
      <c r="E34" s="3" t="s">
        <v>112</v>
      </c>
      <c r="F34" s="3" t="s">
        <v>41</v>
      </c>
      <c r="G34" s="3" t="s">
        <v>113</v>
      </c>
      <c r="H34" s="3" t="s">
        <v>27</v>
      </c>
      <c r="I34" s="3" t="s">
        <v>6</v>
      </c>
      <c r="J34" s="3" t="s">
        <v>41</v>
      </c>
      <c r="K34" s="3" t="s">
        <v>92</v>
      </c>
      <c r="L34" s="3" t="s">
        <v>18</v>
      </c>
      <c r="M34">
        <v>1</v>
      </c>
    </row>
    <row r="35" spans="1:13" x14ac:dyDescent="0.25">
      <c r="A35" s="2">
        <v>46322</v>
      </c>
      <c r="B35" s="1" t="str">
        <f ca="1">IF(Información1[[#This Row],[Fecha]]='Ajuste de fechas'!$A$2,"Día actual","Día anterior")</f>
        <v>Día actual</v>
      </c>
      <c r="C35" s="3" t="s">
        <v>28</v>
      </c>
      <c r="D35" t="s">
        <v>29</v>
      </c>
      <c r="E35" s="3" t="s">
        <v>114</v>
      </c>
      <c r="F35" s="3" t="s">
        <v>9</v>
      </c>
      <c r="G35" s="3" t="s">
        <v>115</v>
      </c>
      <c r="H35" s="3" t="s">
        <v>27</v>
      </c>
      <c r="I35" s="3" t="s">
        <v>6</v>
      </c>
      <c r="J35" s="3" t="s">
        <v>17</v>
      </c>
      <c r="K35" s="3" t="s">
        <v>31</v>
      </c>
      <c r="L35" s="3" t="s">
        <v>20</v>
      </c>
      <c r="M35">
        <v>1</v>
      </c>
    </row>
    <row r="36" spans="1:13" x14ac:dyDescent="0.25">
      <c r="A36" s="2">
        <v>46322</v>
      </c>
      <c r="B36" s="1" t="str">
        <f ca="1">IF(Información1[[#This Row],[Fecha]]='Ajuste de fechas'!$A$2,"Día actual","Día anterior")</f>
        <v>Día actual</v>
      </c>
      <c r="C36" s="3" t="s">
        <v>45</v>
      </c>
      <c r="D36" t="s">
        <v>46</v>
      </c>
      <c r="E36" s="3" t="s">
        <v>116</v>
      </c>
      <c r="F36" s="3" t="s">
        <v>9</v>
      </c>
      <c r="G36" s="3" t="s">
        <v>115</v>
      </c>
      <c r="H36" s="3" t="s">
        <v>27</v>
      </c>
      <c r="I36" s="3" t="s">
        <v>6</v>
      </c>
      <c r="J36" s="3" t="s">
        <v>17</v>
      </c>
      <c r="K36" s="3" t="s">
        <v>47</v>
      </c>
      <c r="L36" s="3" t="s">
        <v>20</v>
      </c>
      <c r="M36">
        <v>1</v>
      </c>
    </row>
    <row r="37" spans="1:13" x14ac:dyDescent="0.25">
      <c r="A37" s="2">
        <v>46322</v>
      </c>
      <c r="B37" s="1" t="str">
        <f ca="1">IF(Información1[[#This Row],[Fecha]]='Ajuste de fechas'!$A$2,"Día actual","Día anterior")</f>
        <v>Día actual</v>
      </c>
      <c r="C37" s="3" t="s">
        <v>89</v>
      </c>
      <c r="D37" t="s">
        <v>90</v>
      </c>
      <c r="E37" s="3" t="s">
        <v>117</v>
      </c>
      <c r="F37" s="3" t="s">
        <v>9</v>
      </c>
      <c r="G37" s="3" t="s">
        <v>115</v>
      </c>
      <c r="H37" s="3" t="s">
        <v>27</v>
      </c>
      <c r="I37" s="3" t="s">
        <v>6</v>
      </c>
      <c r="J37" s="3" t="s">
        <v>17</v>
      </c>
      <c r="K37" s="3" t="s">
        <v>92</v>
      </c>
      <c r="L37" s="3" t="s">
        <v>20</v>
      </c>
      <c r="M37">
        <v>1</v>
      </c>
    </row>
    <row r="38" spans="1:13" x14ac:dyDescent="0.25">
      <c r="A38" s="2">
        <v>46322</v>
      </c>
      <c r="B38" s="1" t="str">
        <f ca="1">IF(Información1[[#This Row],[Fecha]]='Ajuste de fechas'!$A$2,"Día actual","Día anterior")</f>
        <v>Día actual</v>
      </c>
      <c r="C38" s="3" t="s">
        <v>89</v>
      </c>
      <c r="D38" t="s">
        <v>118</v>
      </c>
      <c r="E38" s="3" t="s">
        <v>119</v>
      </c>
      <c r="F38" s="3" t="s">
        <v>25</v>
      </c>
      <c r="G38" s="3" t="s">
        <v>120</v>
      </c>
      <c r="H38" s="3" t="s">
        <v>27</v>
      </c>
      <c r="I38" s="3" t="s">
        <v>6</v>
      </c>
      <c r="J38" s="3" t="s">
        <v>17</v>
      </c>
      <c r="K38" s="3" t="s">
        <v>121</v>
      </c>
      <c r="L38" s="3" t="s">
        <v>18</v>
      </c>
      <c r="M38">
        <v>1</v>
      </c>
    </row>
    <row r="39" spans="1:13" x14ac:dyDescent="0.25">
      <c r="A39" s="2">
        <v>46322</v>
      </c>
      <c r="B39" s="1" t="str">
        <f ca="1">IF(Información1[[#This Row],[Fecha]]='Ajuste de fechas'!$A$2,"Día actual","Día anterior")</f>
        <v>Día actual</v>
      </c>
      <c r="C39" s="3" t="s">
        <v>28</v>
      </c>
      <c r="D39" t="s">
        <v>33</v>
      </c>
      <c r="E39" s="3" t="s">
        <v>122</v>
      </c>
      <c r="F39" s="3" t="s">
        <v>39</v>
      </c>
      <c r="G39" s="3" t="s">
        <v>54</v>
      </c>
      <c r="H39" s="3" t="s">
        <v>27</v>
      </c>
      <c r="I39" s="3" t="s">
        <v>6</v>
      </c>
      <c r="J39" s="3" t="s">
        <v>40</v>
      </c>
      <c r="K39" s="3" t="s">
        <v>30</v>
      </c>
      <c r="L39" s="3" t="s">
        <v>24</v>
      </c>
      <c r="M39">
        <v>1</v>
      </c>
    </row>
    <row r="40" spans="1:13" x14ac:dyDescent="0.25">
      <c r="A40" s="2">
        <v>46322</v>
      </c>
      <c r="B40" s="1" t="str">
        <f ca="1">IF(Información1[[#This Row],[Fecha]]='Ajuste de fechas'!$A$2,"Día actual","Día anterior")</f>
        <v>Día actual</v>
      </c>
      <c r="C40" s="3" t="s">
        <v>89</v>
      </c>
      <c r="D40" t="s">
        <v>90</v>
      </c>
      <c r="E40" s="3" t="s">
        <v>123</v>
      </c>
      <c r="F40" s="3" t="s">
        <v>41</v>
      </c>
      <c r="G40" s="3" t="s">
        <v>54</v>
      </c>
      <c r="H40" s="3" t="s">
        <v>27</v>
      </c>
      <c r="I40" s="3" t="s">
        <v>6</v>
      </c>
      <c r="J40" s="3" t="s">
        <v>41</v>
      </c>
      <c r="K40" s="3" t="s">
        <v>92</v>
      </c>
      <c r="L40" s="3" t="s">
        <v>124</v>
      </c>
      <c r="M40">
        <v>1</v>
      </c>
    </row>
    <row r="41" spans="1:13" x14ac:dyDescent="0.25">
      <c r="A41" s="2">
        <v>46322</v>
      </c>
      <c r="B41" s="1" t="str">
        <f ca="1">IF(Información1[[#This Row],[Fecha]]='Ajuste de fechas'!$A$2,"Día actual","Día anterior")</f>
        <v>Día actual</v>
      </c>
      <c r="C41" s="3" t="s">
        <v>35</v>
      </c>
      <c r="D41" t="s">
        <v>36</v>
      </c>
      <c r="E41" s="3" t="s">
        <v>125</v>
      </c>
      <c r="F41" s="3" t="s">
        <v>44</v>
      </c>
      <c r="G41" s="3" t="s">
        <v>126</v>
      </c>
      <c r="H41" s="3" t="s">
        <v>27</v>
      </c>
      <c r="I41" s="3" t="s">
        <v>6</v>
      </c>
      <c r="J41" s="3" t="s">
        <v>17</v>
      </c>
      <c r="K41" s="3" t="s">
        <v>37</v>
      </c>
      <c r="L41" s="3" t="s">
        <v>18</v>
      </c>
      <c r="M41">
        <v>1</v>
      </c>
    </row>
    <row r="42" spans="1:13" x14ac:dyDescent="0.25">
      <c r="A42" s="2">
        <v>46322</v>
      </c>
      <c r="B42" s="1" t="str">
        <f ca="1">IF(Información1[[#This Row],[Fecha]]='Ajuste de fechas'!$A$2,"Día actual","Día anterior")</f>
        <v>Día actual</v>
      </c>
      <c r="C42" s="3" t="s">
        <v>35</v>
      </c>
      <c r="D42" t="s">
        <v>36</v>
      </c>
      <c r="E42" s="3" t="s">
        <v>127</v>
      </c>
      <c r="F42" s="3" t="s">
        <v>128</v>
      </c>
      <c r="G42" s="3" t="s">
        <v>129</v>
      </c>
      <c r="H42" s="3" t="s">
        <v>27</v>
      </c>
      <c r="I42" s="3" t="s">
        <v>7</v>
      </c>
      <c r="J42" s="3" t="s">
        <v>17</v>
      </c>
      <c r="K42" s="3" t="s">
        <v>37</v>
      </c>
      <c r="L42" s="3" t="s">
        <v>20</v>
      </c>
      <c r="M42">
        <v>1</v>
      </c>
    </row>
    <row r="43" spans="1:13" x14ac:dyDescent="0.25">
      <c r="A43" s="2">
        <v>46322</v>
      </c>
      <c r="B43" s="1" t="str">
        <f ca="1">IF(Información1[[#This Row],[Fecha]]='Ajuste de fechas'!$A$2,"Día actual","Día anterior")</f>
        <v>Día actual</v>
      </c>
      <c r="C43" s="3" t="s">
        <v>89</v>
      </c>
      <c r="D43" t="s">
        <v>90</v>
      </c>
      <c r="E43" s="3" t="s">
        <v>130</v>
      </c>
      <c r="F43" s="3" t="s">
        <v>128</v>
      </c>
      <c r="G43" s="3" t="s">
        <v>129</v>
      </c>
      <c r="H43" s="3" t="s">
        <v>27</v>
      </c>
      <c r="I43" s="3" t="s">
        <v>6</v>
      </c>
      <c r="J43" s="3" t="s">
        <v>17</v>
      </c>
      <c r="K43" s="3" t="s">
        <v>92</v>
      </c>
      <c r="L43" s="3" t="s">
        <v>18</v>
      </c>
      <c r="M43">
        <v>1</v>
      </c>
    </row>
    <row r="44" spans="1:13" x14ac:dyDescent="0.25">
      <c r="A44" s="2">
        <v>46322</v>
      </c>
      <c r="B44" s="1" t="str">
        <f ca="1">IF(Información1[[#This Row],[Fecha]]='Ajuste de fechas'!$A$2,"Día actual","Día anterior")</f>
        <v>Día actual</v>
      </c>
      <c r="C44" s="3" t="s">
        <v>28</v>
      </c>
      <c r="D44" t="s">
        <v>29</v>
      </c>
      <c r="E44" s="3" t="s">
        <v>131</v>
      </c>
      <c r="F44" s="3" t="s">
        <v>9</v>
      </c>
      <c r="G44" s="3" t="s">
        <v>132</v>
      </c>
      <c r="H44" s="3" t="s">
        <v>27</v>
      </c>
      <c r="I44" s="3" t="s">
        <v>7</v>
      </c>
      <c r="J44" s="3" t="s">
        <v>17</v>
      </c>
      <c r="K44" s="3" t="s">
        <v>31</v>
      </c>
      <c r="L44" s="3" t="s">
        <v>24</v>
      </c>
      <c r="M44">
        <v>1</v>
      </c>
    </row>
    <row r="45" spans="1:13" x14ac:dyDescent="0.25">
      <c r="A45" s="2">
        <v>46322</v>
      </c>
      <c r="B45" s="1" t="str">
        <f ca="1">IF(Información1[[#This Row],[Fecha]]='Ajuste de fechas'!$A$2,"Día actual","Día anterior")</f>
        <v>Día actual</v>
      </c>
      <c r="C45" s="3" t="s">
        <v>35</v>
      </c>
      <c r="D45" t="s">
        <v>36</v>
      </c>
      <c r="E45" s="3" t="s">
        <v>133</v>
      </c>
      <c r="F45" s="3" t="s">
        <v>44</v>
      </c>
      <c r="G45" s="3" t="s">
        <v>134</v>
      </c>
      <c r="H45" s="3" t="s">
        <v>27</v>
      </c>
      <c r="I45" s="3" t="s">
        <v>6</v>
      </c>
      <c r="J45" s="3" t="s">
        <v>17</v>
      </c>
      <c r="K45" s="3" t="s">
        <v>37</v>
      </c>
      <c r="L45" s="3" t="s">
        <v>20</v>
      </c>
      <c r="M45">
        <v>1</v>
      </c>
    </row>
    <row r="46" spans="1:13" x14ac:dyDescent="0.25">
      <c r="A46" s="2">
        <v>46322</v>
      </c>
      <c r="B46" s="1" t="str">
        <f ca="1">IF(Información1[[#This Row],[Fecha]]='Ajuste de fechas'!$A$2,"Día actual","Día anterior")</f>
        <v>Día actual</v>
      </c>
      <c r="C46" s="3" t="s">
        <v>28</v>
      </c>
      <c r="D46" t="s">
        <v>29</v>
      </c>
      <c r="E46" s="3" t="s">
        <v>133</v>
      </c>
      <c r="F46" s="3" t="s">
        <v>44</v>
      </c>
      <c r="G46" s="3" t="s">
        <v>134</v>
      </c>
      <c r="H46" s="3" t="s">
        <v>27</v>
      </c>
      <c r="I46" s="3" t="s">
        <v>6</v>
      </c>
      <c r="J46" s="3" t="s">
        <v>17</v>
      </c>
      <c r="K46" s="3" t="s">
        <v>31</v>
      </c>
      <c r="L46" s="3" t="s">
        <v>20</v>
      </c>
      <c r="M46">
        <v>1</v>
      </c>
    </row>
    <row r="47" spans="1:13" x14ac:dyDescent="0.25">
      <c r="A47" s="2">
        <v>46322</v>
      </c>
      <c r="B47" s="1" t="str">
        <f ca="1">IF(Información1[[#This Row],[Fecha]]='Ajuste de fechas'!$A$2,"Día actual","Día anterior")</f>
        <v>Día actual</v>
      </c>
      <c r="C47" s="3" t="s">
        <v>89</v>
      </c>
      <c r="D47" t="s">
        <v>118</v>
      </c>
      <c r="E47" s="3" t="s">
        <v>135</v>
      </c>
      <c r="F47" s="3" t="s">
        <v>44</v>
      </c>
      <c r="G47" s="3" t="s">
        <v>134</v>
      </c>
      <c r="H47" s="3" t="s">
        <v>27</v>
      </c>
      <c r="I47" s="3" t="s">
        <v>6</v>
      </c>
      <c r="J47" s="3" t="s">
        <v>17</v>
      </c>
      <c r="K47" s="3" t="s">
        <v>121</v>
      </c>
      <c r="L47" s="3" t="s">
        <v>18</v>
      </c>
      <c r="M47">
        <v>1</v>
      </c>
    </row>
    <row r="48" spans="1:13" x14ac:dyDescent="0.25">
      <c r="A48" s="2">
        <v>46322</v>
      </c>
      <c r="B48" s="1" t="str">
        <f ca="1">IF(Información1[[#This Row],[Fecha]]='Ajuste de fechas'!$A$2,"Día actual","Día anterior")</f>
        <v>Día actual</v>
      </c>
      <c r="C48" s="3" t="s">
        <v>89</v>
      </c>
      <c r="D48" t="s">
        <v>90</v>
      </c>
      <c r="E48" s="3" t="s">
        <v>136</v>
      </c>
      <c r="F48" s="3" t="s">
        <v>44</v>
      </c>
      <c r="G48" s="3" t="s">
        <v>134</v>
      </c>
      <c r="H48" s="3" t="s">
        <v>27</v>
      </c>
      <c r="I48" s="3" t="s">
        <v>6</v>
      </c>
      <c r="J48" s="3" t="s">
        <v>17</v>
      </c>
      <c r="K48" s="3" t="s">
        <v>92</v>
      </c>
      <c r="L48" s="3" t="s">
        <v>18</v>
      </c>
      <c r="M48">
        <v>1</v>
      </c>
    </row>
    <row r="49" spans="1:13" x14ac:dyDescent="0.25">
      <c r="A49" s="2">
        <v>46322</v>
      </c>
      <c r="B49" s="1" t="str">
        <f ca="1">IF(Información1[[#This Row],[Fecha]]='Ajuste de fechas'!$A$2,"Día actual","Día anterior")</f>
        <v>Día actual</v>
      </c>
      <c r="C49" s="3" t="s">
        <v>93</v>
      </c>
      <c r="D49" t="s">
        <v>94</v>
      </c>
      <c r="E49" s="3" t="s">
        <v>137</v>
      </c>
      <c r="F49" s="3" t="s">
        <v>44</v>
      </c>
      <c r="G49" s="3" t="s">
        <v>134</v>
      </c>
      <c r="H49" s="3" t="s">
        <v>27</v>
      </c>
      <c r="I49" s="3" t="s">
        <v>6</v>
      </c>
      <c r="J49" s="3" t="s">
        <v>17</v>
      </c>
      <c r="K49" s="3" t="s">
        <v>96</v>
      </c>
      <c r="L49" s="3" t="s">
        <v>18</v>
      </c>
      <c r="M49">
        <v>1</v>
      </c>
    </row>
    <row r="50" spans="1:13" x14ac:dyDescent="0.25">
      <c r="A50" s="2">
        <v>46322</v>
      </c>
      <c r="B50" s="1" t="str">
        <f ca="1">IF(Información1[[#This Row],[Fecha]]='Ajuste de fechas'!$A$2,"Día actual","Día anterior")</f>
        <v>Día actual</v>
      </c>
      <c r="C50" s="3" t="s">
        <v>89</v>
      </c>
      <c r="D50" t="s">
        <v>118</v>
      </c>
      <c r="E50" s="3" t="s">
        <v>138</v>
      </c>
      <c r="F50" s="3" t="s">
        <v>39</v>
      </c>
      <c r="G50" s="3" t="s">
        <v>139</v>
      </c>
      <c r="H50" s="3" t="s">
        <v>27</v>
      </c>
      <c r="I50" s="3" t="s">
        <v>6</v>
      </c>
      <c r="J50" s="3" t="s">
        <v>40</v>
      </c>
      <c r="K50" s="3" t="s">
        <v>121</v>
      </c>
      <c r="L50" s="3" t="s">
        <v>18</v>
      </c>
      <c r="M50">
        <v>1</v>
      </c>
    </row>
    <row r="51" spans="1:13" x14ac:dyDescent="0.25">
      <c r="A51" s="2">
        <v>46322</v>
      </c>
      <c r="B51" s="1" t="str">
        <f ca="1">IF(Información1[[#This Row],[Fecha]]='Ajuste de fechas'!$A$2,"Día actual","Día anterior")</f>
        <v>Día actual</v>
      </c>
      <c r="C51" s="3" t="s">
        <v>89</v>
      </c>
      <c r="D51" t="s">
        <v>118</v>
      </c>
      <c r="E51" s="3" t="s">
        <v>140</v>
      </c>
      <c r="F51" s="3" t="s">
        <v>8</v>
      </c>
      <c r="G51" s="3" t="s">
        <v>141</v>
      </c>
      <c r="H51" s="3" t="s">
        <v>27</v>
      </c>
      <c r="I51" s="3" t="s">
        <v>6</v>
      </c>
      <c r="J51" s="3" t="s">
        <v>17</v>
      </c>
      <c r="K51" s="3" t="s">
        <v>121</v>
      </c>
      <c r="L51" s="3" t="s">
        <v>18</v>
      </c>
      <c r="M51">
        <v>1</v>
      </c>
    </row>
    <row r="52" spans="1:13" x14ac:dyDescent="0.25">
      <c r="A52" s="2">
        <v>46322</v>
      </c>
      <c r="B52" s="1" t="str">
        <f ca="1">IF(Información1[[#This Row],[Fecha]]='Ajuste de fechas'!$A$2,"Día actual","Día anterior")</f>
        <v>Día actual</v>
      </c>
      <c r="C52" s="3" t="s">
        <v>93</v>
      </c>
      <c r="D52" t="s">
        <v>94</v>
      </c>
      <c r="E52" s="3" t="s">
        <v>142</v>
      </c>
      <c r="F52" s="3" t="s">
        <v>42</v>
      </c>
      <c r="G52" s="3" t="s">
        <v>143</v>
      </c>
      <c r="H52" s="3" t="s">
        <v>27</v>
      </c>
      <c r="I52" s="3" t="s">
        <v>6</v>
      </c>
      <c r="J52" s="3" t="s">
        <v>43</v>
      </c>
      <c r="K52" s="3" t="s">
        <v>34</v>
      </c>
      <c r="L52" s="3" t="s">
        <v>19</v>
      </c>
      <c r="M52">
        <v>1</v>
      </c>
    </row>
    <row r="53" spans="1:13" x14ac:dyDescent="0.25">
      <c r="A53" s="2">
        <v>46322</v>
      </c>
      <c r="B53" s="1" t="str">
        <f ca="1">IF(Información1[[#This Row],[Fecha]]='Ajuste de fechas'!$A$2,"Día actual","Día anterior")</f>
        <v>Día actual</v>
      </c>
      <c r="C53" s="3" t="s">
        <v>93</v>
      </c>
      <c r="D53" t="s">
        <v>94</v>
      </c>
      <c r="E53" s="3" t="s">
        <v>144</v>
      </c>
      <c r="F53" s="3" t="s">
        <v>39</v>
      </c>
      <c r="G53" s="3" t="s">
        <v>143</v>
      </c>
      <c r="H53" s="3" t="s">
        <v>27</v>
      </c>
      <c r="I53" s="3" t="s">
        <v>6</v>
      </c>
      <c r="J53" s="3" t="s">
        <v>40</v>
      </c>
      <c r="K53" s="3" t="s">
        <v>34</v>
      </c>
      <c r="L53" s="3" t="s">
        <v>19</v>
      </c>
      <c r="M53">
        <v>1</v>
      </c>
    </row>
    <row r="54" spans="1:13" x14ac:dyDescent="0.25">
      <c r="A54" s="2">
        <v>46322</v>
      </c>
      <c r="B54" s="1" t="str">
        <f ca="1">IF(Información1[[#This Row],[Fecha]]='Ajuste de fechas'!$A$2,"Día actual","Día anterior")</f>
        <v>Día actual</v>
      </c>
      <c r="C54" s="3" t="s">
        <v>93</v>
      </c>
      <c r="D54" t="s">
        <v>94</v>
      </c>
      <c r="E54" s="3" t="s">
        <v>145</v>
      </c>
      <c r="F54" s="3" t="s">
        <v>42</v>
      </c>
      <c r="G54" s="3" t="s">
        <v>55</v>
      </c>
      <c r="H54" s="3" t="s">
        <v>27</v>
      </c>
      <c r="I54" s="3" t="s">
        <v>6</v>
      </c>
      <c r="J54" s="3" t="s">
        <v>43</v>
      </c>
      <c r="K54" s="3" t="s">
        <v>96</v>
      </c>
      <c r="L54" s="3" t="s">
        <v>18</v>
      </c>
      <c r="M54">
        <v>1</v>
      </c>
    </row>
    <row r="55" spans="1:13" x14ac:dyDescent="0.25">
      <c r="A55" s="2">
        <v>46322</v>
      </c>
      <c r="B55" s="1" t="str">
        <f ca="1">IF(Información1[[#This Row],[Fecha]]='Ajuste de fechas'!$A$2,"Día actual","Día anterior")</f>
        <v>Día actual</v>
      </c>
      <c r="C55" s="3" t="s">
        <v>28</v>
      </c>
      <c r="D55" t="s">
        <v>29</v>
      </c>
      <c r="E55" s="3" t="s">
        <v>146</v>
      </c>
      <c r="F55" s="3" t="s">
        <v>9</v>
      </c>
      <c r="G55" s="3" t="s">
        <v>72</v>
      </c>
      <c r="H55" s="3" t="s">
        <v>27</v>
      </c>
      <c r="I55" s="3" t="s">
        <v>6</v>
      </c>
      <c r="J55" s="3" t="s">
        <v>17</v>
      </c>
      <c r="K55" s="3" t="s">
        <v>31</v>
      </c>
      <c r="L55" s="3" t="s">
        <v>20</v>
      </c>
      <c r="M55">
        <v>1</v>
      </c>
    </row>
    <row r="56" spans="1:13" x14ac:dyDescent="0.25">
      <c r="A56" s="2">
        <v>46322</v>
      </c>
      <c r="B56" s="1" t="str">
        <f ca="1">IF(Información1[[#This Row],[Fecha]]='Ajuste de fechas'!$A$2,"Día actual","Día anterior")</f>
        <v>Día actual</v>
      </c>
      <c r="C56" s="3" t="s">
        <v>89</v>
      </c>
      <c r="D56" t="s">
        <v>90</v>
      </c>
      <c r="E56" s="3" t="s">
        <v>147</v>
      </c>
      <c r="F56" s="3" t="s">
        <v>9</v>
      </c>
      <c r="G56" s="3" t="s">
        <v>72</v>
      </c>
      <c r="H56" s="3" t="s">
        <v>27</v>
      </c>
      <c r="I56" s="3" t="s">
        <v>6</v>
      </c>
      <c r="J56" s="3" t="s">
        <v>17</v>
      </c>
      <c r="K56" s="3" t="s">
        <v>92</v>
      </c>
      <c r="L56" s="3" t="s">
        <v>18</v>
      </c>
      <c r="M56">
        <v>1</v>
      </c>
    </row>
    <row r="57" spans="1:13" x14ac:dyDescent="0.25">
      <c r="A57" s="2">
        <v>46322</v>
      </c>
      <c r="B57" s="1" t="str">
        <f ca="1">IF(Información1[[#This Row],[Fecha]]='Ajuste de fechas'!$A$2,"Día actual","Día anterior")</f>
        <v>Día actual</v>
      </c>
      <c r="C57" s="3" t="s">
        <v>93</v>
      </c>
      <c r="D57" t="s">
        <v>94</v>
      </c>
      <c r="E57" s="3" t="s">
        <v>148</v>
      </c>
      <c r="F57" s="3" t="s">
        <v>39</v>
      </c>
      <c r="G57" s="3" t="s">
        <v>149</v>
      </c>
      <c r="H57" s="3" t="s">
        <v>27</v>
      </c>
      <c r="I57" s="3" t="s">
        <v>6</v>
      </c>
      <c r="J57" s="3" t="s">
        <v>40</v>
      </c>
      <c r="K57" s="3" t="s">
        <v>96</v>
      </c>
      <c r="L57" s="3" t="s">
        <v>18</v>
      </c>
      <c r="M57">
        <v>1</v>
      </c>
    </row>
    <row r="58" spans="1:13" x14ac:dyDescent="0.25">
      <c r="A58" s="2">
        <v>46322</v>
      </c>
      <c r="B58" s="1" t="str">
        <f ca="1">IF(Información1[[#This Row],[Fecha]]='Ajuste de fechas'!$A$2,"Día actual","Día anterior")</f>
        <v>Día actual</v>
      </c>
      <c r="C58" s="3" t="s">
        <v>28</v>
      </c>
      <c r="D58" t="s">
        <v>29</v>
      </c>
      <c r="E58" s="3" t="s">
        <v>150</v>
      </c>
      <c r="F58" s="3" t="s">
        <v>39</v>
      </c>
      <c r="G58" s="3" t="s">
        <v>151</v>
      </c>
      <c r="H58" s="3" t="s">
        <v>27</v>
      </c>
      <c r="I58" s="3" t="s">
        <v>6</v>
      </c>
      <c r="J58" s="3" t="s">
        <v>40</v>
      </c>
      <c r="K58" s="3" t="s">
        <v>31</v>
      </c>
      <c r="L58" s="3" t="s">
        <v>18</v>
      </c>
      <c r="M58">
        <v>1</v>
      </c>
    </row>
    <row r="59" spans="1:13" x14ac:dyDescent="0.25">
      <c r="A59" s="2">
        <v>46322</v>
      </c>
      <c r="B59" s="1" t="str">
        <f ca="1">IF(Información1[[#This Row],[Fecha]]='Ajuste de fechas'!$A$2,"Día actual","Día anterior")</f>
        <v>Día actual</v>
      </c>
      <c r="C59" s="3" t="s">
        <v>89</v>
      </c>
      <c r="D59" t="s">
        <v>90</v>
      </c>
      <c r="E59" s="3" t="s">
        <v>152</v>
      </c>
      <c r="F59" s="3" t="s">
        <v>49</v>
      </c>
      <c r="G59" s="3" t="s">
        <v>153</v>
      </c>
      <c r="H59" s="3" t="s">
        <v>27</v>
      </c>
      <c r="I59" s="3" t="s">
        <v>6</v>
      </c>
      <c r="J59" s="3" t="s">
        <v>17</v>
      </c>
      <c r="K59" s="3" t="s">
        <v>92</v>
      </c>
      <c r="L59" s="3" t="s">
        <v>18</v>
      </c>
      <c r="M59">
        <v>1</v>
      </c>
    </row>
    <row r="60" spans="1:13" x14ac:dyDescent="0.25">
      <c r="A60" s="2">
        <v>46322</v>
      </c>
      <c r="B60" s="1" t="str">
        <f ca="1">IF(Información1[[#This Row],[Fecha]]='Ajuste de fechas'!$A$2,"Día actual","Día anterior")</f>
        <v>Día actual</v>
      </c>
      <c r="C60" s="3" t="s">
        <v>35</v>
      </c>
      <c r="D60" t="s">
        <v>36</v>
      </c>
      <c r="E60" s="3" t="s">
        <v>154</v>
      </c>
      <c r="F60" s="3" t="s">
        <v>57</v>
      </c>
      <c r="G60" s="3" t="s">
        <v>155</v>
      </c>
      <c r="H60" s="3" t="s">
        <v>27</v>
      </c>
      <c r="I60" s="3" t="s">
        <v>6</v>
      </c>
      <c r="J60" s="3" t="s">
        <v>17</v>
      </c>
      <c r="K60" s="3" t="s">
        <v>37</v>
      </c>
      <c r="L60" s="3" t="s">
        <v>18</v>
      </c>
      <c r="M60">
        <v>1</v>
      </c>
    </row>
    <row r="61" spans="1:13" x14ac:dyDescent="0.25">
      <c r="A61" s="2">
        <v>46322</v>
      </c>
      <c r="B61" s="1" t="str">
        <f ca="1">IF(Información1[[#This Row],[Fecha]]='Ajuste de fechas'!$A$2,"Día actual","Día anterior")</f>
        <v>Día actual</v>
      </c>
      <c r="C61" s="3" t="s">
        <v>89</v>
      </c>
      <c r="D61" t="s">
        <v>90</v>
      </c>
      <c r="E61" s="3" t="s">
        <v>156</v>
      </c>
      <c r="F61" s="3" t="s">
        <v>57</v>
      </c>
      <c r="G61" s="3" t="s">
        <v>155</v>
      </c>
      <c r="H61" s="3" t="s">
        <v>27</v>
      </c>
      <c r="I61" s="3" t="s">
        <v>6</v>
      </c>
      <c r="J61" s="3" t="s">
        <v>17</v>
      </c>
      <c r="K61" s="3" t="s">
        <v>92</v>
      </c>
      <c r="L61" s="3" t="s">
        <v>18</v>
      </c>
      <c r="M61">
        <v>1</v>
      </c>
    </row>
    <row r="62" spans="1:13" x14ac:dyDescent="0.25">
      <c r="A62" s="2">
        <v>46322</v>
      </c>
      <c r="B62" s="1" t="str">
        <f ca="1">IF(Información1[[#This Row],[Fecha]]='Ajuste de fechas'!$A$2,"Día actual","Día anterior")</f>
        <v>Día actual</v>
      </c>
      <c r="C62" s="3" t="s">
        <v>93</v>
      </c>
      <c r="D62" t="s">
        <v>94</v>
      </c>
      <c r="E62" s="3" t="s">
        <v>157</v>
      </c>
      <c r="F62" s="3" t="s">
        <v>158</v>
      </c>
      <c r="G62" s="3" t="s">
        <v>76</v>
      </c>
      <c r="H62" s="3" t="s">
        <v>27</v>
      </c>
      <c r="I62" s="3" t="s">
        <v>6</v>
      </c>
      <c r="J62" s="3" t="s">
        <v>41</v>
      </c>
      <c r="K62" s="3" t="s">
        <v>96</v>
      </c>
      <c r="L62" s="3" t="s">
        <v>18</v>
      </c>
      <c r="M62">
        <v>1</v>
      </c>
    </row>
    <row r="63" spans="1:13" x14ac:dyDescent="0.25">
      <c r="A63" s="2">
        <v>46322</v>
      </c>
      <c r="B63" s="1" t="str">
        <f ca="1">IF(Información1[[#This Row],[Fecha]]='Ajuste de fechas'!$A$2,"Día actual","Día anterior")</f>
        <v>Día actual</v>
      </c>
      <c r="C63" s="3" t="s">
        <v>28</v>
      </c>
      <c r="D63" t="s">
        <v>33</v>
      </c>
      <c r="E63" s="3" t="s">
        <v>159</v>
      </c>
      <c r="F63" s="3" t="s">
        <v>42</v>
      </c>
      <c r="G63" s="3" t="s">
        <v>81</v>
      </c>
      <c r="H63" s="3" t="s">
        <v>27</v>
      </c>
      <c r="I63" s="3" t="s">
        <v>6</v>
      </c>
      <c r="J63" s="3" t="s">
        <v>43</v>
      </c>
      <c r="K63" s="3" t="s">
        <v>51</v>
      </c>
      <c r="L63" s="3" t="s">
        <v>18</v>
      </c>
      <c r="M63">
        <v>1</v>
      </c>
    </row>
    <row r="64" spans="1:13" x14ac:dyDescent="0.25">
      <c r="A64" s="2">
        <v>46322</v>
      </c>
      <c r="B64" s="1" t="str">
        <f ca="1">IF(Información1[[#This Row],[Fecha]]='Ajuste de fechas'!$A$2,"Día actual","Día anterior")</f>
        <v>Día actual</v>
      </c>
      <c r="C64" s="3" t="s">
        <v>89</v>
      </c>
      <c r="D64" t="s">
        <v>118</v>
      </c>
      <c r="E64" s="3" t="s">
        <v>160</v>
      </c>
      <c r="F64" s="3" t="s">
        <v>42</v>
      </c>
      <c r="G64" s="3" t="s">
        <v>81</v>
      </c>
      <c r="H64" s="3" t="s">
        <v>27</v>
      </c>
      <c r="I64" s="3" t="s">
        <v>10</v>
      </c>
      <c r="J64" s="3" t="s">
        <v>43</v>
      </c>
      <c r="K64" s="3" t="s">
        <v>121</v>
      </c>
      <c r="L64" s="3" t="s">
        <v>18</v>
      </c>
      <c r="M64">
        <v>1</v>
      </c>
    </row>
    <row r="65" spans="1:13" x14ac:dyDescent="0.25">
      <c r="A65" s="2">
        <v>46322</v>
      </c>
      <c r="B65" s="1" t="str">
        <f ca="1">IF(Información1[[#This Row],[Fecha]]='Ajuste de fechas'!$A$2,"Día actual","Día anterior")</f>
        <v>Día actual</v>
      </c>
      <c r="C65" s="3" t="s">
        <v>89</v>
      </c>
      <c r="D65" t="s">
        <v>90</v>
      </c>
      <c r="E65" s="3" t="s">
        <v>161</v>
      </c>
      <c r="F65" s="3" t="s">
        <v>42</v>
      </c>
      <c r="G65" s="3" t="s">
        <v>81</v>
      </c>
      <c r="H65" s="3" t="s">
        <v>27</v>
      </c>
      <c r="I65" s="3" t="s">
        <v>10</v>
      </c>
      <c r="J65" s="3" t="s">
        <v>43</v>
      </c>
      <c r="K65" s="3" t="s">
        <v>92</v>
      </c>
      <c r="L65" s="3" t="s">
        <v>18</v>
      </c>
      <c r="M65">
        <v>1</v>
      </c>
    </row>
    <row r="66" spans="1:13" x14ac:dyDescent="0.25">
      <c r="A66" s="2">
        <v>46322</v>
      </c>
      <c r="B66" s="1" t="str">
        <f ca="1">IF(Información1[[#This Row],[Fecha]]='Ajuste de fechas'!$A$2,"Día actual","Día anterior")</f>
        <v>Día actual</v>
      </c>
      <c r="C66" s="3" t="s">
        <v>93</v>
      </c>
      <c r="D66" t="s">
        <v>94</v>
      </c>
      <c r="E66" s="3" t="s">
        <v>162</v>
      </c>
      <c r="F66" s="3" t="s">
        <v>42</v>
      </c>
      <c r="G66" s="3" t="s">
        <v>81</v>
      </c>
      <c r="H66" s="3" t="s">
        <v>27</v>
      </c>
      <c r="I66" s="3" t="s">
        <v>10</v>
      </c>
      <c r="J66" s="3" t="s">
        <v>43</v>
      </c>
      <c r="K66" s="3" t="s">
        <v>34</v>
      </c>
      <c r="L66" s="3" t="s">
        <v>19</v>
      </c>
      <c r="M66">
        <v>1</v>
      </c>
    </row>
    <row r="67" spans="1:13" x14ac:dyDescent="0.25">
      <c r="A67" s="2">
        <v>46322</v>
      </c>
      <c r="B67" s="1" t="str">
        <f ca="1">IF(Información1[[#This Row],[Fecha]]='Ajuste de fechas'!$A$2,"Día actual","Día anterior")</f>
        <v>Día actual</v>
      </c>
      <c r="C67" s="3" t="s">
        <v>28</v>
      </c>
      <c r="D67" t="s">
        <v>33</v>
      </c>
      <c r="E67" s="3" t="s">
        <v>163</v>
      </c>
      <c r="F67" s="3" t="s">
        <v>42</v>
      </c>
      <c r="G67" s="3" t="s">
        <v>164</v>
      </c>
      <c r="H67" s="3" t="s">
        <v>27</v>
      </c>
      <c r="I67" s="3" t="s">
        <v>6</v>
      </c>
      <c r="J67" s="3" t="s">
        <v>43</v>
      </c>
      <c r="K67" s="3" t="s">
        <v>51</v>
      </c>
      <c r="L67" s="3" t="s">
        <v>18</v>
      </c>
      <c r="M67">
        <v>1</v>
      </c>
    </row>
    <row r="68" spans="1:13" x14ac:dyDescent="0.25">
      <c r="A68" s="2">
        <v>46322</v>
      </c>
      <c r="B68" s="1" t="str">
        <f ca="1">IF(Información1[[#This Row],[Fecha]]='Ajuste de fechas'!$A$2,"Día actual","Día anterior")</f>
        <v>Día actual</v>
      </c>
      <c r="C68" s="3" t="s">
        <v>89</v>
      </c>
      <c r="D68" t="s">
        <v>90</v>
      </c>
      <c r="E68" s="3" t="s">
        <v>165</v>
      </c>
      <c r="F68" s="3" t="s">
        <v>8</v>
      </c>
      <c r="G68" s="3" t="s">
        <v>166</v>
      </c>
      <c r="H68" s="3" t="s">
        <v>27</v>
      </c>
      <c r="I68" s="3" t="s">
        <v>6</v>
      </c>
      <c r="J68" s="3" t="s">
        <v>17</v>
      </c>
      <c r="K68" s="3" t="s">
        <v>92</v>
      </c>
      <c r="L68" s="3" t="s">
        <v>18</v>
      </c>
      <c r="M68">
        <v>1</v>
      </c>
    </row>
    <row r="69" spans="1:13" x14ac:dyDescent="0.25">
      <c r="A69" s="2">
        <v>46322</v>
      </c>
      <c r="B69" s="1" t="str">
        <f ca="1">IF(Información1[[#This Row],[Fecha]]='Ajuste de fechas'!$A$2,"Día actual","Día anterior")</f>
        <v>Día actual</v>
      </c>
      <c r="C69" s="3" t="s">
        <v>28</v>
      </c>
      <c r="D69" t="s">
        <v>29</v>
      </c>
      <c r="E69" s="3" t="s">
        <v>167</v>
      </c>
      <c r="F69" s="3" t="s">
        <v>44</v>
      </c>
      <c r="G69" s="3" t="s">
        <v>168</v>
      </c>
      <c r="H69" s="3" t="s">
        <v>27</v>
      </c>
      <c r="I69" s="3" t="s">
        <v>6</v>
      </c>
      <c r="J69" s="3" t="s">
        <v>17</v>
      </c>
      <c r="K69" s="3" t="s">
        <v>30</v>
      </c>
      <c r="L69" s="3" t="s">
        <v>18</v>
      </c>
      <c r="M69">
        <v>1</v>
      </c>
    </row>
    <row r="70" spans="1:13" x14ac:dyDescent="0.25">
      <c r="A70" s="2">
        <v>46322</v>
      </c>
      <c r="B70" s="1" t="str">
        <f ca="1">IF(Información1[[#This Row],[Fecha]]='Ajuste de fechas'!$A$2,"Día actual","Día anterior")</f>
        <v>Día actual</v>
      </c>
      <c r="C70" s="3" t="s">
        <v>89</v>
      </c>
      <c r="D70" t="s">
        <v>90</v>
      </c>
      <c r="E70" s="3" t="s">
        <v>169</v>
      </c>
      <c r="F70" s="3" t="s">
        <v>44</v>
      </c>
      <c r="G70" s="3" t="s">
        <v>168</v>
      </c>
      <c r="H70" s="3" t="s">
        <v>27</v>
      </c>
      <c r="I70" s="3" t="s">
        <v>6</v>
      </c>
      <c r="J70" s="3" t="s">
        <v>17</v>
      </c>
      <c r="K70" s="3" t="s">
        <v>92</v>
      </c>
      <c r="L70" s="3" t="s">
        <v>18</v>
      </c>
      <c r="M70">
        <v>1</v>
      </c>
    </row>
    <row r="71" spans="1:13" x14ac:dyDescent="0.25">
      <c r="A71" s="2">
        <v>46322</v>
      </c>
      <c r="B71" s="1" t="str">
        <f ca="1">IF(Información1[[#This Row],[Fecha]]='Ajuste de fechas'!$A$2,"Día actual","Día anterior")</f>
        <v>Día actual</v>
      </c>
      <c r="C71" s="3" t="s">
        <v>93</v>
      </c>
      <c r="D71" t="s">
        <v>94</v>
      </c>
      <c r="E71" s="3" t="s">
        <v>170</v>
      </c>
      <c r="F71" s="3" t="s">
        <v>44</v>
      </c>
      <c r="G71" s="3" t="s">
        <v>168</v>
      </c>
      <c r="H71" s="3" t="s">
        <v>27</v>
      </c>
      <c r="I71" s="3" t="s">
        <v>6</v>
      </c>
      <c r="J71" s="3" t="s">
        <v>17</v>
      </c>
      <c r="K71" s="3" t="s">
        <v>96</v>
      </c>
      <c r="L71" s="3" t="s">
        <v>18</v>
      </c>
      <c r="M71">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22</v>
      </c>
      <c r="B1" t="s">
        <v>23</v>
      </c>
    </row>
    <row r="2" spans="1:2" x14ac:dyDescent="0.25">
      <c r="A2" s="2">
        <f ca="1">TODAY()</f>
        <v>46322</v>
      </c>
      <c r="B2" s="2">
        <f ca="1">A2-1</f>
        <v>46321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2026-10-27T23:27:12Z</dcterms:modified>
</cp:coreProperties>
</file>