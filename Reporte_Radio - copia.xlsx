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99414DAF-75BB-4934-B7C0-2A80F4C67B3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71" i="2"/>
  <c r="B73" i="2"/>
  <c r="B75" i="2"/>
  <c r="B78" i="2"/>
  <c r="B80" i="2"/>
  <c r="B83" i="2"/>
  <c r="B85" i="2"/>
  <c r="B87" i="2"/>
  <c r="B89" i="2"/>
  <c r="B91" i="2"/>
  <c r="B93"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4" i="2"/>
  <c r="B65" i="2"/>
  <c r="B66" i="2"/>
  <c r="B67" i="2"/>
  <c r="B68" i="2"/>
  <c r="B69" i="2"/>
  <c r="B70" i="2"/>
  <c r="B72" i="2"/>
  <c r="B74" i="2"/>
  <c r="B76" i="2"/>
  <c r="B77" i="2"/>
  <c r="B79" i="2"/>
  <c r="B81" i="2"/>
  <c r="B82" i="2"/>
  <c r="B84" i="2"/>
  <c r="B86" i="2"/>
  <c r="B88" i="2"/>
  <c r="B90" i="2"/>
  <c r="B92" i="2"/>
  <c r="B6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<sst xmlns="http://schemas.openxmlformats.org/spreadsheetml/2006/main" count="1233" uniqueCount="273">
  <si>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</si>
  <si>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</si>
  <si>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</si>
  <si>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</si>
  <si>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</si>
  <si>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</si>
  <si>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</si>
  <si>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</si>
  <si>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</si>
  <si>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</si>
  <si>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</si>
  <si>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</si>
  <si>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</si>
  <si>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</si>
  <si>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</si>
  <si>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</si>
  <si>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SSPH</t>
  </si>
  <si>
    <t>Otros</t>
  </si>
  <si>
    <t>Negativa</t>
  </si>
  <si>
    <t>Gobernador</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</si>
  <si>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</si>
  <si>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</si>
  <si>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</si>
  <si>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</si>
  <si>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</si>
  <si>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</si>
  <si>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</si>
  <si>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</si>
  <si>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</si>
  <si>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</si>
  <si>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</si>
  <si>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</si>
  <si>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</si>
  <si>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</si>
  <si>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</si>
  <si>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</si>
  <si>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</si>
  <si>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</si>
  <si>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</si>
  <si>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</si>
  <si>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</si>
  <si>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</si>
  <si>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</si>
  <si>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</si>
  <si>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Súper Stéreo 100.5 FM</t>
  </si>
  <si>
    <t>Enfoque Regional Matutino</t>
  </si>
  <si>
    <t>Rodolfo López</t>
  </si>
  <si>
    <t>PGJEH</t>
  </si>
  <si>
    <t>Enlace Hidalgo2</t>
  </si>
  <si>
    <t>Turismo</t>
  </si>
  <si>
    <t>Radioescucha</t>
  </si>
  <si>
    <t>Bienestar</t>
  </si>
  <si>
    <t>Conmemoración Aniversario</t>
  </si>
  <si>
    <t>Planeación</t>
  </si>
  <si>
    <t>Tarifario de taxis</t>
  </si>
  <si>
    <t>Feria Pachuca</t>
  </si>
  <si>
    <t>Localización de cuerpo</t>
  </si>
  <si>
    <t>Comparecencias</t>
  </si>
  <si>
    <t>Ke Buena 106.7 FM</t>
  </si>
  <si>
    <t>Noticias 106.7</t>
  </si>
  <si>
    <t>Cultura</t>
  </si>
  <si>
    <t>David Cárdenas</t>
  </si>
  <si>
    <t>Detención</t>
  </si>
  <si>
    <t>STPSH</t>
  </si>
  <si>
    <t>Movilidad laboral</t>
  </si>
  <si>
    <t>Dinámica demográfica</t>
  </si>
  <si>
    <t>Ley De Ingresos</t>
  </si>
  <si>
    <t>Covid 19</t>
  </si>
  <si>
    <t>Canal del Pueblo</t>
  </si>
  <si>
    <t>Vocales Radio</t>
  </si>
  <si>
    <t>Morena</t>
  </si>
  <si>
    <t>TV LOCAL</t>
  </si>
  <si>
    <t>Partidos</t>
  </si>
  <si>
    <t>Arranca SEPH Feria para la Convivencia Escolar en Epazoyucan</t>
  </si>
  <si>
    <t>Convivencia Escolar</t>
  </si>
  <si>
    <t>Aldo Falcón</t>
  </si>
  <si>
    <t>Andrés Torres</t>
  </si>
  <si>
    <t>Aumento Tarifa De Transporte</t>
  </si>
  <si>
    <t>Candidaturas</t>
  </si>
  <si>
    <t>Accidente de vehículo oficial</t>
  </si>
  <si>
    <t>Ultra 102.9 FM</t>
  </si>
  <si>
    <t>Ultra Noticias1</t>
  </si>
  <si>
    <t>Daniel Martínez</t>
  </si>
  <si>
    <t>Auxilio a la ciudadanía</t>
  </si>
  <si>
    <t>Izza Hernández</t>
  </si>
  <si>
    <t>Ampliación carretera</t>
  </si>
  <si>
    <t>Rescate Animal</t>
  </si>
  <si>
    <t>Radio Lobo 96.7 FM</t>
  </si>
  <si>
    <t>Enlace Noticias</t>
  </si>
  <si>
    <t>Gina Lorenzo</t>
  </si>
  <si>
    <t>Prevención De Embarazo Adolescente</t>
  </si>
  <si>
    <t>Con eventos culturales, artísticos y por supuesto turísticos. Va a ser conmemorado este próximo 5 de octubre el 25 aniversario del nombramiento de Huasca de Ocampo como primer Pueblo Mágico de México. Este anuncio fue realizado por Elizabeth Quintanar Gómez, quien es titular de la Secretaría de Turismo en el estado de Hidalgo, recordando que en esta fecha pues se celebra el Día Nacional de los Pueblos Mágicos en México. Y pues en la conmemoración, de hecho se tiene contemplado analizar... realizar, perdón, una feria con actividades culturales, artísticas, turísticas, por ejemplo, pues que inviten eh... pues a visitantes, obviamente también a descubrir pues el destino que dio origen de alguna forma a uno de los programas más emblemáticos del turismo en México. Los nueve pueblos mágicos estarán reunidos. "Es el pretexto pues ideal para ese fin de semana completo: sábado, domingo y lunes 5 de octubre, lo queremos celebrar exactamente el día que es de los Pueblos Mágicos", fue parte de lo que dijo la funcionaria estatal. Y pues la celebración va a incluir un tianguis en el que van a participar productores y artesanos de los pueblos mágicos en la entidad. Hablamos de Huasca de Ocampo, Mineral del Monte, Mineral del Chico, Huichapan, Tecozautla, Zimapán, Zempoala, Acaxochitlán y también Metztitlán. Y además también el Gobierno Federal extendió una invitación para que otros pueblos mágicos del país puedan participar en estas actividades y compartan sus experiencias, y a ello pues se agrega también la proyección de video mapping. De hecho que este es dedicado a Huasca, lo que se estaría realizando durante el fin de semana del aniversario y va a permanecer durante todo octubre. Y pues en este se estaría contando parte de la historia del municipio con referencias a su tradición minera y también a los principales atractivos pues que lo han eh... convertido en uno de los destinos turísticos más reconocidos de Hidalgo. Quintanar Gómez también destacó eh... pues que otra de las estrategias que ha dado resultados es el impulso al turismo cinematográfico al abrir las puertas del estado a producciones nacionales e internacionales. Y pues durante el último periodo, Hidalgo se ubicó también como el cuarto estado del país con mayor número de producciones audiovisuales al albergar 101 proyectos entre series, películas y también contenidos para plataformas y televisión. Parte de lo que se dijo fue lo siguiente: "Este dinamismo generó una derrama económica directa superior a los 10 millones de pesos, consolidando a Hidalgo como un destino seguro y competitivo también que ofrece una amplia diversidad de locaciones y las condiciones necesarias para el desarrollo de proyectos fílmicos", así lo enfatizó la funcionaria.</t>
  </si>
  <si>
    <t>Pueblos Mágicos</t>
  </si>
  <si>
    <t>Como resultado de acciones al combate al delito efectuadas por la Secretaría de Seguridad Pública de Hidalgo, se logró la detención de tres hombres por su participación en el asalto a una tienda de alimento para mascotas en el municipio de Zempoala, luego de que cometieran el robo e intentaran huir. De hecho, todo esto ocurrió tras recibir una llamada de auxilio a través de la línea de emergencias 911, donde se reportaba que tres masculinos habían amagado a los empleados de la tienda, de lo cual pues robaron mercancía y dinero en efectivo, para posteriormente huir a bordo de un automóvil Chevrolet Aveo color blanco con placas del Estado de México. Luego de la oportuna implementación de un operativo, y también con el apoyo del sistema de videovigilancia del Centro de Control, Comando, Comunicación, Cómputo, Coordinación e Inteligencia, el C5i Hidalgo, pues la unidad fue intervenida sobre la carretera Ciudad Sahagún-Emiliano Zapata, logrando la detención de los ocupantes. De hecho, los sujetos responden a las iniciales J. N. B. G., E. G. G. B. y también C. K. R. M., todos originarios del Estado de México, por lo que se exhorta a la población a que, pues en caso de reconocer a los sujetos que fueron publicados previamente, pues obviamente sí hagan y formalicen su denuncia.</t>
  </si>
  <si>
    <t>En la ciudad de Pachuca se reportó la volcadura de una camioneta. esto de una unidad de vigilancia operativa del Sistema de Transporte Metropolitano, el Tuzobús, que terminó volcada sobre el camellón del bulevar Felipe Ángeles en Pachuca luego de que aparentemente presentara una falla mecánica. El incidente se registró a la altura de la estación Vicente Segura del Tuzobús con dirección hacia el sur. De acuerdo con el Sistema Integrado de Transporte Masivo de Hidalgo, en la unidad viajaban dos personas que se encontraban realizando actividades relacionadas con sus funciones quienes no resultaron lesionadas. Durante el percance, la camioneta salió de la vialidad, impactó y derribó un poste de alumbrado público para finalmente quedar sobre el camellón con diversos daños materiales. Elementos de la Policía Estatal y otras corporaciones acudieron al sitio para atender la emergencia y llevar a cabo las diligencias correspondientes. El Sistema Integrado de Transporte Metropolitano señaló que de... que de manera preliminar el accidente estaría relacionado con una falla mecánica; sin embargo, no se ha detallado qué desperfecto presentó la unidad ni cómo ocurrió exactamente la volcadura.</t>
  </si>
  <si>
    <t>Resulta que el reporte sobre una persona sin vida movilizó a corporaciones de seguridad este lunes 28 de septiembre, luego de que un hombre fuera encontrado eh... cubierto con bolsas de plástico en la localidad de Santiago Tlapacoya. De hecho, el hallazgo se registró en una zona ubicada detrás de Ciudad del Conocimiento en los límites entre Pachuca y San Agustín Tlaxiaca. Al sitio acudieron policías municipales de Pachuca, elementos de la Secretaría de Seguridad Pública de Hidalgo. La persona localizada permanece en este momento en calidad de desconocida, mientras que hasta el momento pues tampoco se ha establecido como tal públicamente las condiciones en las que habría ocurrido el fallecimiento. Y el área fue asegurada por autoridades para poder preservar pues posibles indicios en tanto se realizan las diligencias correspondientes y se inicia también la investigación para determinar lo ocurrido.</t>
  </si>
  <si>
    <t>Durante los primeros días de la Feria San Francisco Pachuca 2026, alrededor de 38 personas han sido detenidas mediante el operativo del alcoholímetro, informó el presidente municipal Jorge Reyes Hernández. El alcalde señaló que la cifra corresponde al periodo comprendido entre el jueves y el domingo, días en los que se reforzó la aplicación del alcoholímetro debido a la realización de eventos de la feria. Tan solo el domingo fueron detenidas 12 personas por superar el límite permitido de alcohol. Exposiciones y convenciones Reyes Hernández explicó que el alcoholímetro se mantiene durante toda la semana, con mayor presencia en los eventos identificados como focos rojos mediante una semaforización que el ayuntamiento trabaja en coordinación con la Secretaría de Seguridad Pública estatal. Explicó que esta clasificación considera los eventos programados en la feria y particularmente aquellos realizados en el Palenque, con el objetivo de prevenir incidentes relacionados con el consumo de alcohol. El presidente municipal agregó que, pese al incremento de la actividad durante la feria, hasta ese momento el ayuntamiento reporta saldo blanco y no tiene registro de algún incidente mayor relacionado con los festejos.</t>
  </si>
  <si>
    <t>Resulta que las autoridades de Hidalgo dieron a conocer los resultados de los operativos de seguridad realizados durante la última semana, entre los que destacan el aseguramiento a más de 20,000 L de hidrocarburo y el desmantelamiento de cinco tomas clandestinas. De acuerdo con el Gabinete de Seguridad Estatal, uno de los principales aseguramientos ocurrió en un predio relacionado con acciones realizadas en Atitalaquia y también en Pachuca, donde fue localizado un túnel de alrededor de 30 m que presuntamente era utilizado para la extracción ilegal de combustible. Y pues en total fueron recuperados 20,900 L de hidrocarburo, además de 150 m de manguera de alta presión y 23 contenedores. Eh... mientras tanto pues en la zona de Tula-Tepeji, durante una revisión al ducto Tula-Salamanca, se localizaron y clausuraron cinco tomas clandestinas. Las acciones contra el narcomenudeo también dejaron resultados en nueve municipios con 14 personas detenidas y el aseguramiento de 2,443 dosis de distintas drogas, además de vehículos, teléfonos celulares y una báscula. Y pues entre otros operativos también fueron detenidas seis personas por hechos relacionados con robo y presunta tala ilegal, también se recuperaron vehículos y mercancía, entre ellos una camioneta que había sido robada momentos antes en la carretera Actopan-Tula. En cuanto a la búsqueda de personas, las autoridades reportaron la localización de 17 personas durante la última semana, además también se atendieron diversos eh... diversas afectaciones provocadas por las lluvias como caída de árboles, derrumbes y también bloqueos en caminos del estado.</t>
  </si>
  <si>
    <t>Reunión Gabinete De Seguridad</t>
  </si>
  <si>
    <t>Con el propósito de acercar información, orientación y herramientas de prevención a las y los adolescentes, el Sistema Municipal de Protección Integral de Niñas, Niños y Adolescentes (SIPINNA) Tulancingo, realizó este lunes 28 de septiembre, la Feria de la Salud Integral en la Escuela Secundaria Técnica No. 56, ubicada en la colonia El Paraíso. La jornada se desarrolló en el marco del Día Nacional para la Prevención del Embarazo en Adolescentes y el Día de Acción Global por el Aborto, mediante un trabajo coordinado entre dependencias municipales y estatales, así como asociaciones civiles y fundaciones. Participaron la Instancia Municipal de la Mujer, Juventud, CEAVIF, Sanidad, el Centro de Cultura Emocional de la Familia (CCEF), Procuraduría Municipal, Salud a tu Alcance, Jurisdicci ón Sanitaria y Prevención del Delito, entre otras instituciones. Como parte de la feria, se impartieron charlas e n diferentes aulas sobre violencia en el noviazgo, violencia de género, riesgos en el mundo virtual, grooming, salud bucal y educación sexual, con información dirigida a fortalecer la capacidad de las y los estudiantes para identificar situaciones de riesgo y conocer las alternativas de apoyo disponibles. También se convocó a madres y padres de familia, quienes recibieron información y testimonios relacionados con la prevención de adicciones, además de herramientas para identificar señales de alerta y saber cómo actuar ante una posible situación de consumo en sus hijas e hijos. La actividad incluyó una práctica de yoga como herramienta para la gestión de emociones, así como la aplicación de pruebas psicométricas orientadas a la detección de factores relacionados con adicciones. Durante la inauguración, el supervisor de zona, Salvador Limón, y la presidenta municipal, Lorena García Cázares, coincidieron en la importancia de fortalecer el acompañamiento de madres y padres durante la adolescencia, mediante supervisión, comunicación y orientación, respetando al mismo tiempo la privacidad y autonomía progresiva de las y los jóvenes. A través de estas acciones, SIPINNA Tulancingo busca que niñas, niños y adolescentes identifiquen a las instituciones y servicios a los que pueden acudir cuando necesiten orientación o apoyo, fortaleciendo una red de atención cercana y coordinada.</t>
  </si>
  <si>
    <t>Se ha anunciado en el Congreso de que se está haciendo ya la citación, incluso existe un calendario al respecto y sobre el calendario se señala que los secretarios, las secretarias del Gobierno del Estado de Hidalgo tienen que presentar sus resultados de este cuarto año de gobierno. Al respecto, Andrés Velásquez Vázquez, presidente de la Junta de Gobierno del Congreso del Estado de Hidalgo, dijo que el primer integrante del gabinete en presentarse entre las y los legisladores será Guillermo Olivares Reina, titulada Secretaria de Gobierno, encargado de la política interna en el Estado de Hidalgo el próximo 12 de octubre y ese mismo día, pero más tarde comparecerá la Secretaria de Cultura, Neyda Naranjo Baltazar. El líder del Congreso expuso que se realizará con el mismo formato del año pasado, con preguntas y respuestas y se dará mayor cobertura a las exposiciones en materia digital para que puedan demostrar sus avances. Durante estos actos se resguardará el orden para evitar que se repita el escenario del año pasado.</t>
  </si>
  <si>
    <t>Daniel Martínez: Y a mí me parece, insisto, que hay un asunto interesante en ello este, Izza. No están satanizando la prueba, ¡qué bueno! Este, y no soy matraquero no se me da la matraca la verdad. Qué bueno que este... en lugar de decir "¡Ay, la prueba! ¡Que quién sabe qué! ¡Que este... no responde a las necesidades de las niñas y de los niños!". Que más bien Natividad Castrejón en este sentido diga: "Sí tenemos broncas o podemos tener broncas, vamos a analizar para ver cuáles son las áreas de oportunidad o cuáles son los problemas que tenemos que solucionar", sobre todo en lo que tiene que ver con la comprensión de la lectura y con la resolución de problemas matemáticos, que son las dos principales circunstancias que tiene la prueba PISA, Izza. **Izza Hernández: Es correcto, Daniel, y sobre todo también estamos hablando de una medición que por parte de la SEPH Hidalgo les parece bastante interesante pues en cuestión de conocimientos y entre otras cosas, ¿no? Y medir también por región, por zonas urbanas, o sea, son muchos detalles, muchas cosas que, digo, realmente sí estarían sirviendo sobre todo pues para seguir retroalimentando finalmente la educación y que no se quede nada más en una evaluación de "pues si hicimos una evaluación y salió así", sino que realmente se hagan eh... pues de alguna forma las mejoras al respecto y estamos hablando sobre todo, Daniel, pues de del futuro, ¿no? **Daniel Martínez: ** O sea, no me amachen, no digan que si la prueba neoliberal y no sé qué rollo. O sea, finalmente las matemáticas y la comprensión de la lectura no sabe de tendencias este... políticas, es una cuestión de aprendizaje y de comprender las cosas que están a tu alrededor.</t>
  </si>
  <si>
    <t>PISA</t>
  </si>
  <si>
    <t>En lo que va del año en Hidalgo suman siete carpetas de investigación por el delito de aborto, pese a que en la entidad esa práctica fue despenalizada hace cinco años, por ello activistas exigieron a las autoridades estatales garantizar que ninguna mujer sea criminalizada por ejercer su derecho a decidir. Además, pidieron fortalecer la difusión de los servicios en unidades de salud pública y el abasto de medicamentos para la interrupción del embarazo en el marco del 28 de septiembre que es el Día de Acción Global por el Acceso al Aborto Legal y Seguro. Integrantes de Aquelarre Cihuacóatl, Pachuca Morada, y Red de Acompañantes, entre otras colectivas, realizaron distintas actividades para exigir que en Hidalgo exista realmente el acceso legal, libre y gratuito al aborto, ya que aún persisten barreras para acceder al servicio. “Nos llama la atención que en lo que vamos de 2026, hay siete carpetas abiertas por aborto en todo el estado, pero una de las cosas que no están disponibles a datos abiertos es por qué están abiertas las carpetas, a quién, qué o cuál es la situación”, comentaron. Detallaron que de las siete carpetas, dos son en Pachuca y el resto en Apan, Huejutla, Jacala, Tula y Tulancingo. Dijeron entender que existe confidencialidad en las investigaciones, sin embargo, consideraron importante que las autoridades revisen qué es lo que está sucediendo. “La razón por las que estas carpetas están abiertas, que tengamos la certeza de que se están aplicando los protocolos, la legislación como debe ser y que no sean carpetas que estén persiguiendo a mujeres que han abortado, ni por acudir a los servicios de salud ante una emergencia obstétrica”, expresaron. También pidieron fortalecer la difusión de los servicios, procedimientos y rutas de acceso, particularmente en las regiones con mayores barreras territoriales; brindar información accesible, cultural y lingüísticamente pertinente para las comunidades indígenas; y garantizar el abasto suficiente y permanente de los medicamentos e insumos necesarios para la atención del aborto.</t>
  </si>
  <si>
    <t>Aborto</t>
  </si>
  <si>
    <t>Tras los resultados de la prueba PISA 2025 la Secretaría de Educación Pública de Hidalgo realiza un análisis profundo para ver el alcance y todo el contexto también de los parámetros eh... que mide la evaluación internacional. Así lo informó el titular Natividad Castrejón Valdez, de hecho, el funcionario estatal adelantó que en octubre próximo estarán iniciando los ejercicios de integración académica en escuelas de nivel básico del estado para poder realizar como tal un diagnóstico en cuestión del conocimiento de los estudiantes en cuatro campos formativos. Recientemente de hecho la Organización para la Cooperación y el Desarrollo Económico dio a conocer los resultados del programa eh... pues para la Evaluación Internacional de Estudiantes PISA eh... por sus siglas en inglés. Además, también en México registró una caída en los puntajes de matemáticas y comprensión lectora en los estudiantes de 15 años y al respecto el titular de la SEPH Hidalgo indicó que, pues es una prueba a nivel global, por lo cual estaría haciendo falta contextualizar a nivel local y regional, además también de ver el contexto social, económico, cultural, geográfico pues de cada región para poder pues considerar, ¿no?, y ponderar también los resultados. En la prueba aplicada en 2025 participaron 305 estudiantes de Hidalgo, estos inscritos en eh... bachillerato. Sin embargo, dijo, la evaluación refleja los resultados de todo el país. Castrejón Valdez sí comentó que estarían buscando accesos a los datos de los jóvenes pues que fueron evaluados en el estado para poder conocer las evaluaciones. De hecho, señaló que desde el año pasado sí realizan en la entidad, obviamente también un censo general al que llaman ejercicios de integración académica que aplicaron en la totalidad también de la matrícula de primaria, secundaria también para poder evaluar estudiantes eh... en cuatro campos formativos. De hecho, creó también que los ejercicios de integradores les permite de alguna forma conocer la zona de desarrollo real de cada alumno para poder socializarla con los maestros eh... para que desde el inicio del ciclo pues tengan la información de cómo va su grupo, cuáles son las fortalezas, sus debilidades, conocimientos consolidados, cuáles están en proceso y cuáles están de manera deficiente. "Ahorita vamos a realizar nuevamente el ejercicio integrador de aprendizajes en octubre para que los maestros, las maestras tengan todo el año para poder trabajar con los alumnos de manera contextual y atendiendo también las necesidades de cada región", fue parte de lo que puntualizó. Finalmente es como estaría analizando SEPH Hidalgo estos resultados de la prueba...</t>
  </si>
  <si>
    <t>Empezando por lo que señala la Secretaría de Educación Pública del estado de Hidalgo, a mí me parece una postura más sana que estar satanizando… o sea, satanizando las pruebas. Me parece más adecuado el asunto de a ver: tienes una prueba, en este caso la PISA, que es una prueba de alcance internacional para definir cómo están aprendiendo y si están aprendiendo los eh chamacos en las aulas de clase, sobre todo cuestiones que tienen que ver con español, comprensión de la lectura, matemáticas, comprensión de las eh estadísticas y cifras y demás, para poder mejorar los procesos educativos.</t>
  </si>
  <si>
    <t>El ayuntamiento de Pachuca aprobó una tercera modificación presupuestal ante el recorte de 38 millones de pesos en participaciones federales que ha enfrentado el municipio durante 2026, informó el presidente municipal Jorge Reyes Hernández, quien señaló que el ajuste busca mantener recursos para infraestructura y servicios. El alcalde explicó que la reducción de este año se realizó en dos partes, una de 14 millones de pesos y otra de 24 millones, para sumar los 38 millones de pesos recortados hasta el momento. Recordó que durante 2025 el municipio también enfrentó una disminución de 14 millones de pesos en las participaciones federales. “Las modificaciones se van a los temas de infraestructura y de servicios, es en lo que más necesitamos o necesita la gente”, declaró Reyes Hernández al explicar el destino de los recursos de la tercera modificación presupuestal. Entre las acciones contempladas se encuentra la atención de instalaciones de Seguridad Pública que presentan deterioro, mediante trabajos de impermeabilización. En Obras Públicas se prevé la adquisición de equipo para pintar rayas y realizar trabajos de señalización de imagen urbana, además de rodillos compactadores y materiales para bacheo. “Ahorita tenemos ya 59 millones”, señaló el presidente municipal al referirse a los recursos con los que cuenta el ayuntamiento para realizar ajustes y atender las necesidades del cierre del ejercicio. En el área de Medio Ambiente, puntualizó que la modificación permitirá adquirir materiales, insumos y equipo para realizar cirugías y esterilizaciones. Mientras que Servicios Municipales contará con recursos para materiales y productos necesarios para ofrecer el servicio integral de embalsamamiento. Para compensar la reducción de las participaciones federales, el ayuntamiento también canceló o pospuso algunos proyectos considerados secundarios. Reyes Hernández mencionó la cancelación del proyecto para construir nichos en el panteón municipal y la compra de vehículos que estaba contemplada en Obras Públicas. “No afectamos el presupuesto en tareas indispensables”, afirmó el alcalde. Reyes Hernández señaló que el recorte de 38 millones de pesos corresponde a lo acumulado durante 2026 y sostuvo que se trata de una reducción en las participaciones federales que también afecta a otros municipios del país. “Es un recorte a nivel nacional”, dijo. El alcalde agregó que todavía falta concluir el último trimestre del año, por lo que el municipio permanecerá atento a posibles modificaciones adicionales en las participaciones federales.</t>
  </si>
  <si>
    <t>Modificación Presupuestal</t>
  </si>
  <si>
    <t>Hasta el primero de octubre tienen como plazo los 84 municipios de Hidalgo para poder enviar al Congreso de Hidalgo sus iniciativas de ley de ingresos para el ejercicio fiscal 2027. Con el fin de ser analizadas y aprobadas también en el pleno, así lo indicó el diputado Miguel Ángel Moreno Zamora y pues el legislador local confió en que los municipios no incurran en cobros excesivos para que no pues vuelvan a ser impugnadas. De hecho, también parte de lo que dijo fue lo siguiente: Sería un tema muy penoso que podamos estar teniendo estas situaciones cuando prácticamente ya van de salida. Fue parte de lo que señaló el legislador local. Recordó también que hicieron una capacitación con todos los municipios, tanto los organismos operadores de agua como también los ayuntamientos para poder traer pues los asuntos relacionados con cuotas y tarifas también del primer caso y leyes también de ingresos en el segundo. El presidente de la Comisión de Hacienda y Presupuesto del Congreso local confió en tener un buen tiempo para poder analizar las 84 leyes de ingresos. Y para que no incurran en cobros excesivos, no se estarían aprobando este tipo de cuestiones. Todo esto luego de que la Suprema Corte de Justicia de la Nación declaró la invalidez también de diversos cobros y tarifas establecidas en las leyes de ingresos de ocho municipios de Hidalgo para el ejercicio fiscal 2026. Tras resolver la acción inconstitucional promovida por la Comisión Nacional de los Derechos Humanos. Hasta el corte del 27 de septiembre, 79 municipios de Hidalgo, faltaban enviar sus proyectos de presupuesto del próximo año y ya que el congreso local solamente tenía registrado Atotonilco, bueno como tal el registro era Atotonilco el Grande, Pisa Flores, Tepetitlán, Tezontepec de Aldama, Yahualica y pues por otra parte el pasado 10 de septiembre concluyó precisamente el plazo para que los 35 órganos operadores de agua municipales, entregarán sus cuotas y también tarifas al Congreso de Hidalgo, también de acuerdo con el diputado, todos cumplieron en tiempo, por lo que la Comisión de Hacienda estaría analizando los documentos.</t>
  </si>
  <si>
    <t>Ayer hubo sesión de la Asamblea Municipal, la décimo octava extraordinaria, donde se presentó la propuesta para la ley de ingresos eventualmente a aplicarse el próximo año, dependiendo si existe aprobación al respecto por parte del Congreso del Estado de Hidalgo. La regidora Dora Luz Guzmán Flores hizo un reconocimiento al gobierno municipal de que cuando estaba haciendo la discusión de las cuotas y tarifas para los mercados municipales, se va a hacer una diferenciación entre el mercado Benito Juárez. Dora Luz Guzmán se refirió específicamente al Mercado Benito Juárez que está en el centro de la ciudad y el Solidaridad que está en la CONEA Guadalupe, señalando que sus locatarios no tienen los mismos niveles de ingresos en el norte de la ciudad que en el centro de la misma y eso fue condicionante para solicitar que se buscara alguna actividad, alguna estrategia, alguna forma de reactivar ese mercado que entiendo que en su momento en los años 90 se creó para descentralizar las actividades comerciales, el comercio popular en este caso de mercados, pero por alguna situación, si bien tuvo un jalón inicial, pues no ha tenido esa consolidación. Reiteró que el llamado fue hecho por la Región de la Luz Guzmán durante la celebración de la XVIII Sesión Extraordinaria Pública de la Asamblea Local, llevada a cabo el día de ayer en el marco de la presentación del proyecto para la ley de ingresos municipal del próximo año. Guzmán Flores reconoció que el gobierno municipal de Tulancingo ha considerado las características específicas del mercado mencionado, así como el Benito Juárez que será en el centro de la ciudad, para establecer la propuesta de cuotas y tarifas para aplicarse el siguiente año de acuerdo Asus características comerciales, de ingresos, etc. Señaló que el mercado solidaridad no tiene los mismos ingresos que el Juárez, por lo cual sus pagos de derechos se deberían considerar en forma parte. Coincidió con su compañero asambleísta Gastón Santos López en la necesidad de establecer una estrategia de posicionamiento del mercado solidaridad que signifique su impulso entre los habitantes de la Cona Guadalupe. La regidora Guzmán Flores destacó que la actualización de las cuotas y tarifas en los dos mercados citados se hizo tras diálogo entre los locatarios y autoridades municipales participaron para decirles cuáles eran sus temas que se tienen que atender. Por su parte, el regidor Santos López recordó que la Colonia Guadalupe es una de las que tiene mayor cantidad de población en el municipio, insistiendo en establecer una estrategia de posicionamiento de su mercado de solidaridad ubicado en esa demarcación. Respecto a las cuotas y tarifas aplicarse en el andador artesanal, también fue un tema que tocó Dora Luz Guzmán, el próximo a funcionar dentro de la zona de museos de Tulancingo. La regidora observó que no fueron incluidos dentro de la ley de ingresos municipal para el próximo año, por lo tanto pidió una explicación al respecto, recordando que los cobros de los locales de este andador estarán a cargo del sistema municipal. La explicación no se la brindaron a la regidora acerca de dónde quedó las cuotas del mercado para el próximo año y al final de cuentas la propuesta que se está haciendo es un ajuste a las tarifas, cuotas y demás del 3.2% respecto a lo que se paga actualmente considerando el porcentaje de inflación que se ha registrado en el transcurso de este 2026. La propuesta fue votada con 21 votos a favor, cero en contra y así como cero obtenciones, es decir, por unanimidad, tras lo cual será enviada al Congreso del Estado de Hidalgo para hacer análisis y eventual Entonces por aquí le vamos platicando para que vaya ajustando el bolsillo y los pagos correspondientes.</t>
  </si>
  <si>
    <t>Vía telefónica el reporte de Bombero y Protección Civil con Abner Yáñez informa de las diversas emergencias reportadas por la ciudadanía y que fueron atendidas.</t>
  </si>
  <si>
    <t>Abner Yáñez</t>
  </si>
  <si>
    <t>Participación</t>
  </si>
  <si>
    <t>Derivado del anuncio que se hizo justamente hace una semana de los ajustes a las tarifas de los taxis, empezando por Pachuca y Mayores de la Reforma y eventualmente ocurrirá en las otras cuatro regiones de las que se dividió el estado de Hidalgo, pues en principio el miércoles ya se publicaron los tarifarios, por lo tanto tendrían que comenzarse a aplicar a partir de ese momento no se han aplicado del todo. El viernes tuvo que salir la Secretaría de Movilidad y Transporte de Hidalgo a decirles con un tono medio pasivo, agresivo, digo oigan, tengan a uno tarifario, están publicados en el periódico oficial del estado de Hidalgo y por lo tanto los tienen que aplicar. Sin embargo, en el caso del Valle de Tulancigo, recordamos que en este espacio compartimos las declaraciones de Apolinar Ávila. González, dirigente de la Confederación de Transportistas Metropolitanos, uno de los grupos que precisamente representa al transporte público de pasajeros, en donde señalaba que esperaban tener una mesa de trabajo con las autoridades estatales para poder revisar el tema de los tarifarios, y en esa conversación también señala que hay rubros que se tienen que revisar, que han incrementado de manera importante, sobre todo el seguro. Para el pasajero seguro del viajero, que en un par de años, entre el 2024, 2025 y lo que va del 2026, ha subido más del 100% al pasar de 5000 a 12000 pesos promedio. El costo de lo que se tiene que pagar por este seguro, que ojalá que sea uno de los temas que consideras de movilidad y transporte de Hidalgo, en cuanto a los gastos que se tienen que realizar al momento de que les permitan hacer el ajuste, de acuerdo a las características demográficas, sociográficas, el estado que tiene en los caminos de las carreteras en la región Tulancingo. Recordamos que esto tiene, viene a colación porque Movilidad y Transporte de Hidalgo señaló que también está haciendo una revisión en las unidades para comprobar, confirmar si estas cuentan con los seguros vigentes para poder prestar el servicio en caso de que se presente algún accidente o alguna situación que se deba de atender. La dependencia estatal ha advertido que las unidades que no cuenten con el seguro podrían tener sanciones hasta llegar incluso a la revocación de la concesión para prestar el servicio. Al respecto, Ávila González señaló aseguró que se cuenta con una relación de las unidades que tienen vigente su seguro para el pasajero, pues conocemos como concesionario es el riesgo de no contar con él en cuanto a la renovación de la concesión correspondiente. El tema de este costo sería incluido dentro de la eventual discusión o mesa de trabajo que se pueda tener para revisar el tema de los tarifarios de los taxistas. El representante transportista confió que los costos de los seguros para pasajeros, así como otros aspectos, se tomen en cuenta para la conformación de los tarifarios para el servicio de taxis. En el contexto, insistió que para la implementación del taxímetro, también planteado por las movilidad de transporte de Hidalgo, se debe considerar el costo de los seguros, así como aspectos operativos, principalmente distancias y estado de los caminos y vialidades.</t>
  </si>
  <si>
    <t>Una de las personas que también tiene o tenía orden de aprehensión, ligado con el tema de presunto desvío de recursos públicos, es la hija de Gerardo Sosa Castelan, el rector de la Universidad Autónoma del Estado de Hidalgo, así como ex presidente del patronato universitario, que es una figura que se creó ahora sí que es profeso para la administración de los recursos de la universidad. Y entonces comienza a circular información acerca de esta detención, concretamente de Ana Carmen Sosa Craviotto, este una de sus hijas, quien fue ubicada y detenida en Argentina por autoridades internacionales. Es lo primero que conocemos. Entonces empezamos a buscar si había alguna este comunicación oficial por parte de la Fiscalía General de la República que a cargo del caso de la Unidad de Inteligencia Financiera. La detención se registró el entiendo que el 27 de agosto es lo que se señala, por parte de agentes de Interpol. Junto con la información empezó a circular una fotografía que ahí entiendo que es una fotografía, digamos que oficial, las que se toman de protocolo al momento en que se detiene una persona, pero sí me brinca que un mes después, que prácticamente un mes después, se comienza a difundir esta información en cuanto a la detención y coordinación con la policía de seguridad aeroportuaria en las instalaciones del Aeropuerto Internacional del Plumerillo en Mendoza, Argentina, cuando se encontraba la hija de Gerardo Sosa en proceso de abordaje de un vuelo a Chile. Esto derivó porque la Fiscalía General de la República en México le había girado una orden de aprehensión a Ana Cristina al ser considerada como socia de las constructoras junto a su padre y además le activó una fecha roja que se mantuvo activa desde el año 2020. Ana Carmen Sosa Carbierto fue trasladada desde el aeropuerto hasta la unidad número 732 del servicio penitenciario en Mendoza, aunque su abogado logró sacarla para que su lugar cumpla prisión domiciliaria mientras espera ser extraditada, es decir, en este momento ya está en prisión domiciliaria. La aprehensión de Sosa Caravioto deriva de la causa penal 263 / 2020 abierta por delincuencia organizada y operaciones con recursos de procedencia ilícita por 58.2 millones de pesos en los que su padre Gerardo Sosa también está involucrado. De acuerdo con el expediente la joven junto a su segunda hermana Adriana Sosa Caravioto tuvieron una presunta participación en la estructura financiera de lavado de dinero en la que fueron aparentemente beneficiarias de transferencias millonarias desde empresas fachada como la llamada contabilidad del Siglo 21 las 7 transferencias detectadas ocurrieron entre los meses de marzo del 2014 y marzo del 2018, siendo un monto total de 806769 pesos. Ana Carmen, quien de profesiones licenciado en negocios, también aparecía vinculada como socia en las empresas constructoras de su padre, entre ellas inmobiliaria constructora y arrendadora yolo, cuya accionista principal es Damián Sosa Castelán, hermano de Gerardo Sosa Castelán, quién logró un sobre seguimiento parcial de la causa penal en su contra</t>
  </si>
  <si>
    <t>UAEH</t>
  </si>
  <si>
    <t>Cuentas UAEH</t>
  </si>
  <si>
    <t>El gobierno municipal de Tulancingo continúa la gestión para la construcción de un distribuidor vial que estaría conectando la zona Huapalcalco con la autopista México Tuxpan, actualmente en trabajos de ampliación en esta región. Al respecto, la alcaldesa Lorena García Cázares señaló que el proyecto vial está de alguna forma en análisis sobre el punto carretero, donde podría establecerse la conexión. “Ya se realizó un análisis para determinar la ubicación más adecuada para este acceso; la siguiente semana vamos a establecer reuniones con las autoridades correspondientes para poder avanzar en la autorización, para que en cuanto lleguen a ese tramo, esto ya sea un hecho”. También se plantea de alguna forma que el distribuidor permita agilizar la circulación vehicular dentro de la Región Tulancingo, así como también evitar accidentes sobre el Corredor Vial San José. Todo esto a partir de que el proyecto de interconexión vial se considera a la altura de la Universidad Politécnica de Tulancingo, una zona donde existe planicie de alguna forma, a diferencia del Corredor Vial San José, donde el acceso hacia la Región pues está embajada. Por lo cual se siguen con las gestiones para poder concretar la construcción de la vialidad de entrada y también de salida del Valle de Tulancingo, antes de que las obras de ampliación lleguen hasta la zona donde se tiene considerada la interconexión. Sobre el costo de esta obra vial, la alcaldesa señaló que aún no existe como una cifra, lo que estaría dependiendo también del análisis del proyecto listo, para ser presentado ante autoridades federales, García Cáceres dijo, pues conocer que las actuales obras de ampliación y modernización también de la autopista México Tuxpan dentro de la región Tulancingo tienen como tal avance adelantado a lo que se ha tenido considerado también las metas. Esta obra está a cargo de la Secretaría de Infraestructura, Comunicaciones y Transportes, con el objetivo de atender la modernización y la ampliación también vial hasta la Sierra Norte de Puebla. La alcaldesa de Tulancingo señaló que tanto las actuales obras como la eventual interconexión hacia el valle pues sería de las más importantes realizadas en el periodo eh de su gobierno municipal.</t>
  </si>
  <si>
    <t>Andrés Torres menciona que Los Hijos del Pueblo han presentado un listado de posibles candidatos a diputaciones federales de Morena en varios distritos. Para el Distrito 1, se mencionan a Alfredo San Román Duval, actual presidente municipal de Huejutla, y Maricarmen Mandujano, subsecretaria de Educación originaria de Huejutla. En el Distrito 2, que pertenece a Ixmiquilpan, están Emanuel Hernández, el alcalde actual, y la diputada Lisset Marcelino. Se señala que Emanuel ha expresado su deseo de ser candidato, pero Lisset representa a un grupo fuerte dentro de Morena, lo que complica las cosas para él. En el Distrito 3, que es Actopan, se manejan como posibles candidatos a Israel Félix y Tatiana Ángeles Moreno, quien ha mostrado interés en ser candidata a la gubernatura. Israel Félix ha estado trabajando con Morena por un tiempo y ya ha realizado varios eventos en este distrito. Para Tulancingo, en el Distrito 4, se mencionan a Damián Sosa Castelán y Dora Luz Castelán, quien es prima de Sosa Castelán y ha sido diputada local y ha buscado la presidencia municipal de Acaxochitlán. El Distrito 5, correspondiente a Tula, podría tener como candidatos a Miguel Ángel Tello, actual Secretario de Planeación, y Tania Porras. El Distrito 6, que pertenece a Pachuca, tiene como posibles candidatos a Rebeca Aladro Echeverría y Jorge Reyes, el actual alcalde, quien se encuentra bien posicionado en las encuestas. Se discute la situación de Rebeca, quien ha tenido dificultades en subir en las encuestas. Para el Distrito 7, que es Tepeapulco, se mencionan a Susana Ángeles y Sinuhé Ramírez, actual alcalde de Zempoala. Se señala que Susana tiene una buena relación con la presidenta Claudia Sheinbaum, mientras que se duda de las posibilidades de Sinuhé, quien ha perdido el peso político que alguna vez tuvo y no aceptó una candidatura en el pasado. Andrés Torres concluye comentando que el ambiente político está caliente, y que pronto se dará a conocer la lista de los coordinadores electorales en los distritos federales de Hidalgo, seguida por los coordinadores municipales y luego los candidatos a diputaciones locales.</t>
  </si>
  <si>
    <t>Carmen Sosa Cravioto fue detenida en el aeropuerto Francisco Gabrielli en Mendoza, Argentina, cuando intentaba viajar hacia Chile. Tenía una ficha roja de la Interpol emitida a petición de la Fiscalía General de la República (FGR) de México por el delito de operaciones con recursos de procedencia ilícita. Un juez argentino le otorgó prisión domiciliaria mientras se tramita su proceso de extradición a México. Andrés Torres explica que se enteró del caso tras ser contactado por una abogada en Argentina para localizar a los abogados de la familia en México.</t>
  </si>
  <si>
    <t>Clausuran túnel y cinco tomas clandestinas para sustracción de hidrocarburo</t>
  </si>
  <si>
    <t>Coordinación entre estados, respuesta clara y contundente para la paz y seguridad: Julio Menchaca</t>
  </si>
  <si>
    <t>Coordinación interestatal</t>
  </si>
  <si>
    <t>El cuerpo sin vida de un hombre, envuelto en plástico, fue localizado en una zona despoblada situada en los límites territoriales entre los municipios de Pachuca y San Agustín Tlaxiaca. De acuerdo con reportes de la policía estatal, el hallazgo se derivó de una llamada de emergencia anónima que alertó a las corporaciones de seguridad sobre la presencia de un bulto con características sospechosas. Tras el aviso, elementos de la policía municipal se trasladaron al lugar de los hechos para corroborar el reporte. Al arribar al lugar, los oficiales localizaron este cuerpo dentro de bolsas de plástico. El lugar fue acordonado para que elementos de la Procuraduría General de Justicia e inicie la carpeta de investigación correspondiente.</t>
  </si>
  <si>
    <t>Hidalgo fortalece al CECYTEH con nuevas carreras y laboratorio STEM en Tizayuca</t>
  </si>
  <si>
    <t>Laboratorio STEM</t>
  </si>
  <si>
    <t>Alumnos del Centro de Estudios de Bachillerato, en Pachuca, fueron desalojados después de la amenaza de que uno de sus alumnos supuestamente portaba un arma. De acuerdo con la Policía estatal, mediante una llamada de emergencia se dio aviso sobre un alumno armado dentro del plantel ubicado en la colonia Juan C. Doria. Al arribar al lugar, los oficiales tomaron contacto con la directora del plantel, Alba Monroy, quien dio a conocer que un estudiante escuchó a su compañero decir que llevaba un arma, por lo que dio aviso a las autoridades educativas. Ante tal situación y para evitar algún incidente, las 18 aulas y los 500 alumnos fueron desalojados de manera preventiva. Asimismo, elementos de la Secretaría de Seguridad Pública de Hidalgo inspeccionaron la zona, sin que se localizara el arma o al estudiante.</t>
  </si>
  <si>
    <t>Alumno Armado</t>
  </si>
  <si>
    <t>La gastronomía y la lucha libre se unirán en el municipio. Emprendedores, parrilleros y restauranteros competirán por conquistar el cinturón que acredita a la mejor hamburguesa de Tulancingo, en un evento familiar que fusionará sabor, lucha libre profesional, música en vivo y exposición comercial. Para esta edición 2026, la evaluación estará a cargo de un jurado calificador de nivel nacional e internacional integrado por tres chefs: el cubano Frank Rodríguez Pino; Javier Roldán, representante de México en eventos gastronómicos internacionales; y Arturo Negrete, creador de contenido originario de Tulancingo quien ha llevado su cocina a países como Canadá y Colombia. Ellos definirán al nuevo campeón de la parrilla. Para esta edición 2026, la evaluación estará a cargo de un jurado calificador de nivel nacional e internacional integrado por tres chefs: el cubano Frank Rodríguez Pino; Javier Roldán, representante de México en eventos gastronómicos internacionales; y Arturo Negrete, creador de contenido originario de Tulancingo quien ha llevado su cocina a países como Canadá y Colombia. Ellos definirán al nuevo campeón de la parrilla.</t>
  </si>
  <si>
    <t>Festival Gastronómico</t>
  </si>
  <si>
    <t>Pues bueno, algo que pues obviamente es parte del trabajo de un gobierno y que debería ser habitual, debería realizarse conforme a lo establecido, pero mire, qué tan mal estamos a nivel nacional, que pues cuando alguien alcanza un cierto porcentaje de cumplimiento, pues se vuelve noticia, imagínese.</t>
  </si>
  <si>
    <t>Hacienda</t>
  </si>
  <si>
    <t>Disciplina financiera</t>
  </si>
  <si>
    <t>Hidalgo se posiciona entre los tres primeros lugares a nivel nacional en calidad de la información</t>
  </si>
  <si>
    <t>Proyectos ferroviarios y metropolitanos, oportunidades de crecimiento para Hidalgo: Miguel Tello.</t>
  </si>
  <si>
    <t>Proyectos Ferroviarios</t>
  </si>
  <si>
    <t>Secretaría de Salud fortalece capacidades de verificación sanitaria mediante programa de acreditación de Cofepris.</t>
  </si>
  <si>
    <t>Capacitación sanitaria</t>
  </si>
  <si>
    <t>Agencia Federal de Empleo de Alemania realiza reclutamiento de personal de enfermería en Hidalgo.</t>
  </si>
  <si>
    <t>En la agenda del día, se tiene previsto el inicio del Encuentro Nacional de Nodos 2026 en las instalaciones de la Universidad Politécnica Metropolitana de Hidalgo, ubicada en el municipio de Tolcayuca. Este evento, enfocado en los nodos de impulso a la economía social y solidaria, contará con la asistencia del gobernador del estado, Julio Menchaca Salazar, a partir de las 10:45 de la mañana.</t>
  </si>
  <si>
    <t>Agenda gobernador</t>
  </si>
  <si>
    <t>Proyectos ferroviarios y metropolitanos, oportunidades de crecimiento para Hidalgo: Miguel Tello</t>
  </si>
  <si>
    <t>El municipio de Huasca de Ocampo conmemorará su 25 aniversario como el primer Pueblo Mágico nombrado oficialmente en México el próximo 5 de octubre. La Secretaría de Turismo de Hidalgo, encabezada por Elizabeth Quintanar Gómez, destacó que el lugar es un referente internacional y que la celebración incluirá actividades culturales, gastronómicas, un tianguis, un videomapping durante octubre y la participación de los otros ocho pueblos mágicos del estado (Huichapan, Mineral del Chico, Mineral del Monte, Tecozautla, Zimapán, Zempoala, Acaxochitlán y Metztitlán). Los eventos tendrán como sedes la hacienda de Santa María Regla, el centro histórico y espacios ecoturísticos, impulsando el consumo local de alfarería y la gastronomía de la región.</t>
  </si>
  <si>
    <t>Entrevista vía telefónica Dr. Donají Jiménez Islas, docente del Instituto Tecnológico Superior de Huichapan - Dio a conocer una investigación en etapa inicial financiada por el Fondo Hidalgo de Ciencia y Tecnología (Sitnova) con un monto de 150,000 pesos en 2026. El proyecto busca aprovechar los residuos del maguey para transferirles el olor y sabor característicos del mixiote, evitando así el robo y la extracción clandestina o ilegal de las pencas que dañan la planta en el estado. Esta iniciativa multidisciplinaria cuenta con la participación de alumnos de gestión empresarial, energías renovables, innovación agrícola y gastronomía, y plantea alternativas sustentables que incluso podrían beneficiar a connacionales en el extranjero.</t>
  </si>
  <si>
    <t>Investigación académica</t>
  </si>
  <si>
    <t>Durante un enlace desde el notimóvil, Rene Aguilar reportó que la obra de ampliación a cuatro carriles del libramiento Pitula hacia San Alejo continúa detenida entre los kilómetros 87 y 90, mientras que los trabajos avanzan a partir del kilómetro 90 en adelante. Ante la situación con los ejidatarios, se dio a conocer que para el día siguiente se tiene programada una reunión en la ciudad de Pachuca, a partir de las 9:00 de la mañana, con autoridades de la Secretaría de Gobernación Federal con el fin de buscar una solución favorable al conflicto.</t>
  </si>
  <si>
    <t>Expropiación</t>
  </si>
  <si>
    <t>Veintidós animales rescatados en Veracruz fueron trasladados al Zoológico de Tulancingo para permanecer bajo resguardo definitivo. Entre los nuevos ejemplares hay un jaguar, un dromedario, monos capuchinos, un ocelote y dos tucanes, informó la dirección del parque. Los ejemplares fueron entregados por la Procuraduría Federal de Protección al Ambiente (Profepa) de Veracruz después de ser retirados de una Unidad de Manejo Ambiental (UMA) donde, según la información difundida por el municipio, no tenían condiciones adecuadas para su bienestar. Algunos llegaron con problemas de salud. Una hembra de jaguar presenta hígado graso, condición que el reporte relaciona con una alimentación inadecuada, mientras que dos tucanes permanecen en cuarentena por bajo peso y deshidratación. Maricruz García Beltethon, directora del Zoológico de Tulancingo, indicó que los animales ocuparán espacios nuevos y áreas que fueron acondicionadas para su estancia. Con estas incorporaciones, el parque cuenta actualmente con 610 animales correspondientes a 72 especies, de acuerdo con cifras proporcionadas por su dirección. En 2021, señaló, había 224 ejemplares.</t>
  </si>
  <si>
    <t>Secretaría de Salud fortalece capacidades de verificación sanitaria mediante programa de acreditación de Cofepris</t>
  </si>
  <si>
    <t>Durante la cobertura desde la sede del Congreso del Estado, se informó sobre la agenda legislativa programada para el día. A las 9:30 de la mañana se llevaría a cabo el informe de actividades del segundo año del ejercicio constitucional de la Sexagésima Sexta Legislatura Local por parte de la Junta de Gobierno, presidida por el diputado Andrés Velázquez Vázquez, en el lobby de la torre legislativa. Posteriormente, al mediodía, se tiene prevista la entrega de las iniciativas de leyes de ingresos de los 84 municipios del estado para el ejercicio fiscal 2027 con el fin de iniciar el proceso de presupuestos municipales. Finalmente, a las 2:00 de la tarde se programó una sesión legislativa para analizar diversas iniciativas enfocadas en movilidad, transporte y una reforma a la Ley de Salud.</t>
  </si>
  <si>
    <t>Informe de actividades</t>
  </si>
  <si>
    <t>Los 18 hospitales de IMSS Bienestar en Hidalgo ya operan el Ecosistema Digital en Salud, herramienta que permite integrar la información clínica de los pacientes en un expediente electrónico y facilitar su seguimiento en consulta externa, urgencias, hospitalización y quirófano. De acuerdo con Mireya Gutiérrez García, jefa del Departamento de Planeación Estratégica, la implementación de la Plataforma de Hospitalización del Ecosistema Digital en Salud (PHEDS) y del Módulo de Consulta Externa (MoCE) permite disponer de información más ordenada, legible y oportuna para el personal médico, además de reducir el uso de registros manuales. En el ámbito hospitalario, PHEDS facilita procesos como la clasificación mediante Triage, asignación de camas, monitoreo de tiempos de atención y seguimiento de eventos quirúrgicos, con lo que se busca mejorar la organización de los servicios y optimizar la ocupación hospitalaria. Por su parte, el MoCE permite consultar el historial médico, integrar notas de atención y dar seguimiento a las citas antes y después de una hospitalización, favoreciendo la continuidad en la atención de pacientes que requieren consultas recurrentes.</t>
  </si>
  <si>
    <t>IMSS Bienestar</t>
  </si>
  <si>
    <t>Entrevista vía telefónica con la licenciada Maricela Marín Jonguitud, titular de la Notaría Pública número 1 en Tulancingo, compartió detalles en torno al "Mes del Testamento". La especialista aclaró que esta campaña especial se extiende no solo durante septiembre, sino también abarca el mes de octubre en el estado de Hidalgo. Entre las dudas más recurrentes de la ciudadanía, la notaria explicó que otorgar un testamento no significa ceder ni regalar los bienes en vida, ya que el testador conserva la propiedad y la facultad de disponer de ellos o modificarlos cuantas veces lo requiera. Asimismo, subrayó que los notarios están sujetos a una estricta confidencialidad, por lo que el testador no tiene obligación de revelar la existencia del documento a sus familiares hasta el momento de su fallecimiento, previniendo así conflictos o tensiones innecesarias. Para realizar este trámite, se requiere presentar identificación oficial (como credencial de elector o pasaporte), actas de nacimiento y matrimonio, así como las escrituras de los inmuebles para garantizar la precisión jurídica en los nombres y evitar confusiones en los repartos. Finalmente, se dieron a conocer los costos preferenciales vigentes: 1,100 pesos (con IVA incluido) para adultos mayores, 2,900 pesos (con IVA) para menores de 60 años, y una tarifa especial de 580 pesos (con IVA) dirigida a elementos de seguridad pública y cuerpos de emergencia. La Notaría Pública número 1 se ubica en el Pasaje Cuauhtémoc número 3, en el centro de Tulancingo.</t>
  </si>
  <si>
    <t>Testamento</t>
  </si>
  <si>
    <t>Respecto al ingreso masivo registrado en un evento de la Feria de San Francisco Pachuca 2026, el gobernador Julio Menchaca calificó el hecho como desafortunado y llamó a los asistentes a mantener la prudencia. Explicó que los artistas de alta convocatoria generan gran afluencia, especialmente cuando los boletos para el domo de las estrellas son gratuitos. Ante la llegada de próximos espectáculos con alta concentración de personas, solicitó reforzar las medidas de seguridad para prevenir riesgos, reportando saldo blanco sin personas lesionadas en el incidente. Asimismo, reiteró que la tarifa de los taxis previamente aprobada y publicada no sufrirá modificaciones.</t>
  </si>
  <si>
    <t>Palenque Feria Pachuca</t>
  </si>
  <si>
    <t>Durante una reunión interestatal de seguridad, el gobernador Julio Menchaca informó sobre la propuesta de crear una policía metropolitana con la participación de la Guardia Nacional y corporaciones estatales. El objetivo es fortalecer la coordinación entre entidades que comparten zonas metropolitanas y cuyas vialidades cruzan distintas jurisdicciones. Hidalgo participará en este esquema de seguridad junto con Puebla, Tlaxcala, Ciudad de México, Estado de México, Guerrero y Morelos. La propuesta será analizada en los próximos meses para evaluarse en la siguiente reunión interestatal programada para noviembre en el estado de Guerrero.</t>
  </si>
  <si>
    <t>Policía Metropolitana</t>
  </si>
  <si>
    <t>El gobernador de Hidalgo, Julio Menchaca, descartó modificar nuevamente la tarifa del transporte público individual tras las protestas de un grupo de taxistas que exigían un incremento mayor a los 50 pesos (anteriormente en 45 pesos). La nueva tarifa fue establecida en el Periódico Oficial del Estado el pasado 22 de septiembre como resultado de un análisis para equilibrar las necesidades económicas de los operadores y la capacidad de pago de los usuarios. El mandatario señaló que, aunque los concesionarios buscan mayores ingresos, la ciudadanía también enfrenta limitaciones económicas, por lo que no se dará marcha atrás al ajuste. Asimismo, indicó que el grupo de taxistas inconformes no representa a la totalidad de los operadores en el estado.</t>
  </si>
  <si>
    <t>Como resultado de las acciones implementadas en materia de seguridad durante la última quincena, elementos de la Policía Municipal de Tulancingo recuperaron tres motocicletas con reporte de robo vigente y un vehículo con orden de aseguramiento. Los hechos se registraron en cuatro acciones distintas, como parte de los recorridos y labores de prevención y vigilancia realizados por los agentes municipales. Tras verificar el estatus de las unidades en las plataformas correspondientes, se confirmó que las tres motocicletas contaban con reporte de robo vigente, por lo que fueron aseguradas y quedaron a disposición de la Procuraduría General de Justicia del Estado de Hidalgo (PGJEH), autoridad encargada de realizar las investigaciones y diligencias correspondientes. En tanto, el vehículo fue asegurado debido a que contaba con una orden ministerial de aseguramiento, por lo que también quedó a disposición de la autoridad competente para continuar con el procedimiento legal correspondiente. La Secretaría de Seguridad Ciudadana de Tulancingo reiteró que estas acciones forman parte de las labores permanentes para prevenir y combatir el robo de vehículos y motocicletas en el municipio. En caso de que alguna persona reconozca como de su propiedad alguna de las motocicletas recuperadas, deberá acudir ante la Procuraduría General de Justicia del Estado de Hidalgo (PGJEH) para acreditar la propiedad y realizar las diligencias necesarias para su posible recuperación. Las autoridades exhortaron a la ciudadanía a reportar cualquier situación relacionada con el robo de vehículos y motocicletas, así como a proporcionar información que pueda contribuir al desarrollo de las investigaciones correspondientes.</t>
  </si>
  <si>
    <t>Recuperación De Vehículos Robados</t>
  </si>
  <si>
    <t>Con el objetivo de fortalecer la profesionalización, innovación y competitividad del sector turístico, en Tulancingo inició la capacitación “Inteligencia Artificial aplicada a Restaurantes”, la número 16 promovida por el gobierno municipal para prestadores de servicios turísticos. El curso tendrá una duración de 15 horas, es gratuito y contempla la entrega de constancia. Durante las sesiones se abordarán herramientas de Inteligencia Artificial que pueden utilizarse en la promoción, difusión y posicionamiento de establecimientos gastronómicos. La capacitación forma parte del Programa de Excelencia Turística, iniciado en 2025, mediante el cual se han desarrollado cursos sobre primeros auxilios, atención al cliente, calidad en el servicio y marketing digital, entre otros temas. Para los últimos meses del año se prevén dos capacitaciones más, una de ellas enfocada en el desarrollo de productos turísticos accesibles.</t>
  </si>
  <si>
    <t>Capacitación</t>
  </si>
  <si>
    <t>Cuautepec de Hinojosa realizará este domingo 4 de octubre una jornada de senderismo hacia Los Ermitaños, con un recorrido de cinco kilómetros que partirá a las 8:00 de la mañana desde las letras de Cuautepec, ubicadas en el jardín Felipe Ángeles. La actividad es organizada por la Dirección General de Desarrollo Social y Humano y el Consejo Municipal del Deporte con el objetivo de fomentar la activación física y la convivencia, además de acercar a la población a los espacios naturales del municipio. Para participar se recomienda llevar ropa y calzado adecuados para la caminata, así como dos litros de agua, mochila, bastón de senderismo y snacks. Los organizadores también dispondrán de transporte gratuito para facilitar la participación de las familias. El recorrido contará con el acompañamiento de Protección Civil para brindar apoyo durante la jornada. El presidente municipal, Jorge Hernández Araus, señaló que este tipo de actividades buscan generar espacios para la convivencia y el bienestar de las familias, además de promover el conocimiento y disfrute de los paisajes naturales que forman parte de Cuautepec.</t>
  </si>
  <si>
    <t>SSPH mantiene firme combate contra el narcomenudeo</t>
  </si>
  <si>
    <t>Combate Al Narcomenudeo</t>
  </si>
  <si>
    <t>Durante la mañana de este miércoles, una adulta mayor resultó lesionada tras ser atropellada por una unidad de transporte público colectivo ("las amarillas") en el centro de Pachuca. El accidente ocurrió cerca de las 8:00 de la mañana en el cruce de Julián Villagrán y Vicente Guerrero, cuando el operador perdió el control de la unidad con placas A-58705K y subió a la banqueta. Elementos de seguridad pública, tránsito, vialidad, bomberos y la Cruz Roja acudieron al sitio para brindar los primeros auxilios y trasladar a la afectada a la clínica 1 del IMSS. El Sistema de Transporte Convencional de Hidalgo confirmó que tanto el vehículo como el conductor contaban con su documentación en regla, mientras las autoridades realizan las investigaciones para esclarecer los hechos.</t>
  </si>
  <si>
    <t>Atropellamiento</t>
  </si>
  <si>
    <t>«Donde también les llovió fuerte y también pegó una un fuerte viento ayer fue en Actopan, en Actopan, pero usted seguramente vio algunos videos que circularon en las redes sociales, donde incluso algunas láminas, algunos objetos salían volando, pero afortunadamente pues no pasó a mayores. Le comparto con información de El Universal, que pese a las afectaciones registradas en la central de abastos de Actopan, donde las rachas de viento y la lluvia ocasionaron el desprendimiento de láminas y diversos daños materiales, el tradicional tianguis se instaló con normalidad este miércoles. A través de un comunicado emitido ayer martes 29 de septiembre, la mesa directiva confirmó saldo blanco, sin personas lesionadas. Locatarios informaron que iniciaron labores de reparación y levantamiento de daños en la infraestructura afectada para garantizar la seguridad. Asimismo, solicitaron a clientes y visitantes transitar con precaución por las ocho secciones que conforman el recinto y reafirmaron el compromiso de los comerciantes de mantener el abasto el abasto local. Esto después de que, eh pues les digo, ayer pegaron fuerte, una fuerte lluvia acompañada de viento, incluso con algunas eh pues afectaciones sobre todo en esta zona del tianguis, donde eh se formó un pequeño remolino también y para no pasó a mayores, no pasó a mayores más que las láminas que se volaron, algunos objetos, cajas que también por ahí también se volaron, en fin, y pues no pasó a mayores este tema allá en Actopan».</t>
  </si>
  <si>
    <t>Afectaciones Por Lluvias</t>
  </si>
  <si>
    <t>Hidalgo supera los 3.2 millones de habitantes: Encuesta Intercensal 2025</t>
  </si>
  <si>
    <t>Hidalgo fortalece economía social con Encuentro Nacional de Nodess 2026</t>
  </si>
  <si>
    <t>Economía social</t>
  </si>
  <si>
    <t>Hidalgo se posiciona entre los tres primeros lugares a nivel nacional en calidad de la información financiera</t>
  </si>
  <si>
    <t>Transparencia</t>
  </si>
  <si>
    <t>Las obras de la autopista México-Tuxpan se encuentran detenidas desde principios de semana debido a una protesta por parte de los ejidatarios del ejido Mimila, quienes exigen una resolución definitiva al decreto de expropiación de sus predios afectados por la vialidad. Como parte de sus acciones, este miércoles una comitiva de ejidatarios se trasladará a la Secretaría de Gobernación Federal en la capital hidalguense para sostener una reunión con las autoridades correspondientes. Los manifestantes han advertido que, de no obtener una respuesta favorable a sus demandas, procederán a bloquear la circulación en dicha vía de comunicación.</t>
  </si>
  <si>
    <t>Promueve Sebiso Festival Internacional de la Barbacoa y el Ximbo en California</t>
  </si>
  <si>
    <t>Apoyo A Migrantes</t>
  </si>
  <si>
    <t>Segundo Festival de Piano María Teresa Rodríguez reunirá en Pachuca a tres concertistas nacionales</t>
  </si>
  <si>
    <t>Festival Cultural</t>
  </si>
  <si>
    <t>Y finalmente, Jesús, recibimos invitación para estar presentes el día de hoy en la presentación de este evento, que es uno de los más importantes a nivel nacional, en Xantolo, en Huautla de Reyes, la celebración de Día de Muertos más profunda de la Huasteca hidalguense. Sus rituales se inician a finales de septiembre y desde luego van marcando el camino simbólico de retorno para los fieles difuntos. Estaremos presentes y daremos continuidad también a esta y otras noticias, así lo informó David cárdenas durante su colaboración matutina.</t>
  </si>
  <si>
    <t>Xantolo</t>
  </si>
  <si>
    <t>Y bueno, aquí recalcar la disposición de las familias que ante una pérdida, una lamentable pérdida de un ser querido, bueno, pues tengan la precisión en el momento para entender la importancia que tiene la donación de órganos y y bueno, pues llevar a cabo este procedimiento que, de acuerdo a lo que nos han explicado las autoridades, por supuesto, trata de ser lo más amable y profesional para que las familias pues tengan las menores molestias posibles, entendiendo el momento difícil por el que atraviesan ante la pérdida de un ser querido, pero que se puedan aprovechar los órganos de la persona para dar nuevas posibilidades de vida y de bienestar a otras personas, comentó locutor Juan Carlos Santamaría.</t>
  </si>
  <si>
    <t>Trasplante de órganos</t>
  </si>
  <si>
    <t>Gobierno de Hidalgo logra nuevo operativo de procuración y traslado aéreo de un corazón</t>
  </si>
  <si>
    <t>La Comisión de Agua y Alcantarillado de Sistemas Intermunicipales (Caasim) informó que, debido a una afectación registrada en la mina San Juan y a los trabajos que realiza personal especializado de la compañía Real del Monte para restablecer su operación, las labores de mantenimiento emergente en la mina Paraíso se extenderán hasta el próximo viernes 2 de octubre, modificando el periodo anunciado previamente del 21 al 25 de septiembre.</t>
  </si>
  <si>
    <t>Infraestructura Hidráulica</t>
  </si>
  <si>
    <t>La Universidad Intercultural del Estado de Hidalgo (UICEH) celebra su décimo cuarto aniversario con un festival internacional que incluye muestras culturales, gastronómicas y deportivas. El rector de la institución, Lorenzo Arroyo Márquez, destacó en entrevista que la matrícula ha crecido notablemente, pasando de 400 a casi 1,000 alumnos en los últimos dos años, además de contar con una oferta educativa de nueve carreras, entre ellas medicina y enfermería. Las actividades conmemorativas, totalmente gratuitas y abiertas al público, se llevan a cabo en las instalaciones de la universidad en Tenango de Doria e incluyen la participación de países como China, Nepal, Alemania, Sudáfrica y España, así como la presentación de talentos locales y nacionales.</t>
  </si>
  <si>
    <t>Transmisión Especial</t>
  </si>
  <si>
    <t>Radioescucha dice: Buenas tardes, por medio de la presente solicitamos respetuosamente su apoyo para dar la difusión a una situación que está preocupando a numerosos padres y madres de familia de los alumnos de nuevo ingreso de la Preparatoria Número 1 de la Universidad Autónoma del Estado de Hidalgo en Avenida Juárez. Durante la semana pasada, varios alumnos de nuevo ingreso fueron dados de baja. De acuerdo con la información que hemos... que hemos recibido, aparentemente el motivo estaría relacionado con las fechas que aparecen los certificados de secundaria, los cuales no coincidirían... no coincidirían con las fechas solicitadas por la Preparatoria Número 1. Al parecer, esta situación podría estar relacionada con los certificados expedidos por la Secundaria General Número 1 y Número 2 de Pachuca, debido a que algunos documentos presentaban fechas correspondientes al mes de agosto..</t>
  </si>
  <si>
    <t>Como ya le comentaba al inicio de este espacio, una fuerte tormenta registrada ayer martes en Actopan causó daños en la Central de Abastos. Los intensos vientos vencieron las estructuras de varios techados y desprendieron algunas láminas. Este punto fue uno de los más afectados por las condiciones climáticas, pero aun así los comerciantes dijeron que hoy se trabaja, hoy miércoles. Recuerde, está la instalación del tianguis tradicional en la zona centro y también el tianguis de ganado y el tianguis de autos en la comunidad de La Estancia, que es donde se causó el mayor daño por las condiciones climáticas de ayer martes.</t>
  </si>
  <si>
    <t>Radioescucha dice: Licenciado Larrieta, que por favor vengan a arreglar esta coladera en la lateral saliendo de Pitahayas. Se la encargo, por favor</t>
  </si>
  <si>
    <t>Alcantarillado</t>
  </si>
  <si>
    <t>Vamos a la capital del estado, alrededor de 500 estudiantes fueron desalojados esta mañana del Centro de Estudios de Bachillerato en Juan C. Doria, Pachuca, tras una llamada de emergencia que alertó sobre un supuesto alumno armado. Policías estatales inspeccionaron el plantel, pero no encontraron armas ni localizaron al estudiante señalado."</t>
  </si>
  <si>
    <t>Hay un tema. Está lloviendo demasiado a nivel nacional y Ixmiquilpan no es la excepción. Ahorita tenemos reportes de casas que se están inundando por la gran cantidad de agua que está bajando de la zona del Nith, de Capula, de la zona de San Nicolás hacia el centro de Ixmiquilpan. El barrio de San Antonio y algunas calles del centro se han estado complicando. Entonces, el favor que les pido es que podamos apoyar, seguir las indicaciones de Protección Civil. La lluvia va a continuar estos días. Ha sido algo fuera de serie, fuera de lo normal, la gran cantidad de agua que está llegando. No tenemos las coladeras colapsadas de basura, sin embargo, como es tanta agua la que está bajando, pues obviamente está rebasando el drenaje y las calles. Sí es importante que mantengamos las coladeras limpias, que mañana o hoy en la tarde nos puedan ayudar a desazolvar un poquito con la basura que haya, el lodo que haya bajado, la tierra que haya bajado. Seguir las indicaciones de Protección Civil. Estamos ahorita trabajando con Seguridad Pública, con Protección Civil y también ser conscientes de la Comisión Federal de Electricidad que a marchas forzadas también está dándole atención a varias comunidades en que las cuchillas se han bajado, se han botado por el mismo tema de la gran cantidad de rayos que están cayendo. Agradecerles mucho y bueno, esperemos que puedan seguir este mensaje, por favor.”</t>
  </si>
  <si>
    <t>Atención Afectaciones Por Lluvias</t>
  </si>
  <si>
    <t>DIF Pachuca recibirá hasta este 30 de septiembre la documentación para participar en la Beca Municipal a la Excelencia Académica 2026</t>
  </si>
  <si>
    <t>Becas</t>
  </si>
  <si>
    <t>SSPH mantiene firme combate contra el narcomenudeo.</t>
  </si>
  <si>
    <t>El gobernador de Hidalgo, Julio Menchaca Salazar, informó que en la séptima reunión de coordinación interestatal de Paz y Seguridad se planteó crear una Policía Metropolitana con participación de la Guardia Nacional y corporaciones de los estados. ¿Qué busca esta propuesta? Intercambiar información, coordinar operativos en zonas limítrofes como la México-Pachuca, como la México-Querétaro, como también lo que es municipios como Huichapan, Tequisquiapan, San Juan del Río, donde los grupos delictivos pueden desplazarse entre entidades. Menchaca señaló que el planteamiento aún será analizado.</t>
  </si>
  <si>
    <t>Enfoque Regional Meridiano</t>
  </si>
  <si>
    <t>Con la convicción de fortalecer la economía social y solidaria en México, el gobernador Julio Menchaca Salazar encabezó el Encuentro Nacional de NODESS 2026, espacio en el que refrendó su compromiso de seguir impulsando la vinculación entre la academia, el sector social y el gobierno estatal para fomentar el desarrollo productivo en todas las regiones de Hidalgo.</t>
  </si>
  <si>
    <t>Jesús González</t>
  </si>
  <si>
    <t>"En otra información, Hidalgo fue sede del Encuentro Nacional de NODES 2026, donde se reunieron representantes de la academia, el sector social y el gobierno para impulsar proyectos productivos y fortalecer la economía social. El gobernador Julio Menchaca llamó a trabajar también en la comercialización de los productos para generar ingresos en las comunidades, conservar sus tradiciones y reducir la migración. "Es fundamental que, además de consolidar proyectos, estos tengan lo más complicado: la comercialización.</t>
  </si>
  <si>
    <t>Radioescucha dice: «Señor Larrieta, buen día. Le comento que el día de ayer acudí a la feria y se me hizo muy caro el estacionamiento, cobran 120 pesos, ojalá pudieran reconsiderar». ¡Cobraban 150! El fin de semana cobraban 150 y reconsideraron las autoridades para bajarlo a 120 pesos, pero cobraban 150. En verdad, ¿qué le digo?</t>
  </si>
  <si>
    <t>El gobernador del estado de Hidalgo está poniendo mucho hincapié en el tema del robo de hidrocarburo. Como usted sabe, esta semana ha sido una semana donde se ha hablado de seguridad; ha estado en reuniones a nivel regional con gobernadoras de otros estados del país, y el gobernador señala que el reto en materia de seguridad del gobierno del estado de Hidalgo es el robo de hidrocarburo, el huachicol. Así lo reconoció el gobernador Julio Menchaca Salazar, quien señaló que existe una lucha frontal contra este delito, lo que ha dado como resultado, entre otras acciones, la inhabilitación de 19 "huachitúneles".</t>
  </si>
  <si>
    <t>Huachitúnel</t>
  </si>
  <si>
    <t>Durante el segundo año de ejercicio constitucional, el Congreso del Estado de Hidalgo fortaleció sus procesos legislativos, administrativos, jurídicos y de fiscalización, además de ampliar sus mecanismos de transparencia, capacitación, vinculación municipal y participación ciudadana. Al presentar los principales resultados del periodo comprendido entre septiembre de 2025 y agosto de 2026, el presidente de la Junta de Gobierno, el diputado Andrés Velázquez Vázquez, destacó el trabajo realizado bajo los principios de diálogo, transparencia, pluralidad y cercanía con la ciudadanía, con énfasis en la construcción de consensos entre las distintas fuerzas políticas y la coordinación con los otros poderes y los 84 municipios del estado. Durante el periodo informado, la Junta de Gobierno celebró 28 sesiones y atendió cerca de 100 asuntos, además de expedir 26 instrumentos entre acuerdos, convocatorias, lineamientos, manuales, planes y convenios. La unidad de apoyo técnico respaldó 114 sesiones, de las cuales 102 fueron ordinarias, 10 de diputación permanente y 2 solemnes. Asimismo, la secretaría elaboró y tramitó 371 decretos e integró aproximadamente 500 expedientes. Durante el año, también fueron aprobadas 23 minutas federales y estatales con el seguimiento correspondiente para su adecuación al marco jurídico estatal y su posterior discusión en el pleno. Uno de los avances institucionales fue la formalización de un acuerdo entre el Congreso del Estado, la Auditoría Superior del Estado de Hidalgo y el Archivo General del Estado para fortalecer la organización, conservación, consulta y transferencia de la documentación institucional.</t>
  </si>
  <si>
    <t>Informe Legislativo</t>
  </si>
  <si>
    <t>El presidente municipal de Pachuca, Jorge Reyes, entregó al Congreso del Estado de Hidalgo la Iniciativa de Ley de Ingresos Municipal para el ejercicio fiscal 2027, que contempla recursos por mil 603 millones de pesos.La propuesta fue presentada ante el Poder Legislativo estatal como parte del procedimiento para su análisis y, en su caso, aprobación, conforme a la legislación vigente.Durante la entrega, Jorge Reyes señaló que desde el inicio de su administración se estableció como prioridad fortalecer el orden financiero, la transparencia y el manejo responsable de los recursos públicos.Destacó que la planeación de los ingresos permitirá al Ayuntamiento contar con mayor certeza para definir las acciones y servicios que se proyectan para el próximo ejercicio fiscal, con el propósito de atender las necesidades de la población.</t>
  </si>
  <si>
    <t>Durante esta entrevista con medios de comunicación, el gobernador Julio Menchaca dio a conocer que, derivado de la reunión que sostuvo en días recientes con sus homólogas de la Ciudad y el Estado de México, así como de Morelos y Guerrero, la jefa de Gobierno de la Ciudad de México, Clara Brugada, propuso la creación de una policía metropolitana que permita una mayor coordinación en materia de seguridad.</t>
  </si>
  <si>
    <t>Policia metropolitana</t>
  </si>
  <si>
    <t>La señora Edda Vite Ramos, presidenta del Sistema DIF Hidalgo, acudió a los municipios de Atotonilco de Tula y Tezontepec de Aldama a la instalación de la Procuraduría Municipal de Niñas, Niños y Adolescentes en cada localidad.</t>
  </si>
  <si>
    <t>DIFH</t>
  </si>
  <si>
    <t>Procuraduría municipal del menor</t>
  </si>
  <si>
    <t>Tenemos también noticias importantes que se han suscitado en Hidalgo. Inversión pública y conectividad ponen a Hidalgo. En el escenario nacional, la región de Tula concentra proyectos, infraestructura, sanamiento y movilidad. El titular de la Unidad de Planeación y Prospectiva de Hidalgo, Miguel Ángel Tello Vargas, desacoge las condiciones de inversión, conectividad y desarrollo que actualmente presenta la entidad. Han permitido que Hidalgo forme parte ya del escenario nacional durante el encuentro transversa unidos por el desarrollo empresarial celebrado este martes en Tula.</t>
  </si>
  <si>
    <t>Proyectos Federales</t>
  </si>
  <si>
    <t>Conductor Eulalio Larrieta comenta: : Hay un conductor que es muy agresivo, se pasa... se para a la mitad de la calle a levantar y a dejar pasaje. Y aparte se... se pone muy retador con los demás conductores cuando le tocan el claxon para que se orille</t>
  </si>
  <si>
    <t>Queja transporte público</t>
  </si>
  <si>
    <t>Conductor Eulalio Larrieta, hace un comentario sobre el mal manejo por parte de choferes de unidades del transporte publico : “ Señores del transporte público, de las colectivas, por favor, manejen con precaución, respeten. Cuando hagan sus paradas, háganlas orillándose correctamente, porque por eso se ocasionan accidentes también, ¿sí?</t>
  </si>
  <si>
    <t>Durante esta entrevista, se lo adelanté ayer, el gobernador Julio Menchaca habló sobre la petición de un grupo de taxistas de aumentar la tarifa a 50 pesos, a lo que el gobernador dijo lo siguiente: " Querían 55, estaba en 38, subió a 45. Es un tema muy complicado"</t>
  </si>
  <si>
    <t>Radioescucha Sr. Fidel diice : Licenciado, muy buenos días. Nosotros los taxistas andamos como los soldados que los mandan a la guerra sin armas, así andamos, sin tarifa».</t>
  </si>
  <si>
    <t>Descarta el gobernador Julio Menchaca que haya nuevos ajustes a la tarifa de taxis; se respetará el banderazo de 45 pesos</t>
  </si>
  <si>
    <t>Desde Hidalgo fue trasladado vía aérea un corazón donado por un joven de 16 años para ser trasplantado en Ciudad de México. Voy contigo, Jackie. El Gobierno de Hidalgo, a través de la Secretaría de Salud, participó en un nuevo operativo aéreo para la procuración y traslado de un corazón</t>
  </si>
  <si>
    <t>Vía telefónica Milton Cortés informa que los primeros días Feria Pachuca San Francisco, han estado bastantes movidos. Señaló que ha notado que el orden en las actividades por las tardes es bueno. En la mañana, los temas culturales y artísticos han satisfecho a los visitantes. También hay un gran interés en las artesanías este año, lo que ha atraído a más personas. Los primeros días de la Feria Pachuca San Francisco 2026 han transcurrido positivamente, y aún hay tiempo para que más gente asista. Además, se menciona que mañana inician las celebraciones de la Feria Patronal en el centro de Pachuca, manteniendo una dinámica similar a la feria. Estas celebraciones comienzan el día de mañana jueves a las 6 de la tarde en el exconvento de San Francisco y la plaza Aniceto Ortega.</t>
  </si>
  <si>
    <t>Milton Cortés</t>
  </si>
  <si>
    <t>Pedro Estrada dice: regresan las lluvias, nuestro libramiento de Tepatepec sigue destrozándose, un llamado a infraestructura estatal en el municipio de Francisco I. Madero. Muy buenos días.</t>
  </si>
  <si>
    <t>Vialidad En Mal Estado</t>
  </si>
  <si>
    <t>Polaris ha presentado nuevas encuestas sobre los posibles candidatos a la presidencia municipal de Pachuca. Se realizaron 400 encuestas directas y los resultados indican que Miguel Tello Vargas es el candidato más apoyado por Morena, con un 33%. Benjamín Rico Moreno, del Partido Verde, tiene un 27%, y Ricardo Crespo, como candidato independiente, cuenta con un 18.5%. En el PRI, Bernardo Arista tiene un 12%, y Guillermo Peredo Montes de Movimiento Ciudadano un 9.5%. Andrés Torres menciona que ha invitado a Peredo a dar una entrevista, pero aún no ha respondido. Además, se realizó una encuesta con nombres de mujeres. Liliana Mera Curiel de Morena lidera con un 31.5%. Lidia García Anaya, del Partido del Trabajo, tiene un 26.3%, mientras que Geraldina García Gordillo del PRI cuenta con un 18.3%. Fátima Michelle Melo Arteaga del Partido Verde tiene un 14.5%, y Carla Stefany Mota Olaje de Movimiento Ciudadano un 9.5%. Estos datos reflejan el interés por las candidaturas femeninas en Pachuca. También se presentaron encuestas para el municipio de Huejutla. En la categoría masculina, José Alfredo San Román Duval encabeza con un 39.5%, seguido de Jaime Redondo Salinas con un 25.8%. Raúl Badillo, independiente, tiene un 24.5% y Antonio Mandujano Cerrilla sigue con un puntaje cercano. En el apartado femenino, Briseyda Torres Martínez como candidata de Morena está en primer lugar, mientras que Mayra Orte Hernández del Partido Verde sigue de cerca. Mari Carmen Mandujano, que es hermana de Antonio Mandujano, ocupa el tercer lugar entre las mujeres con un 23.5%. Las encuestas en ambas ciudades se realizaron recientemente, reflejando las preferencias actuales de los votantes. Aldo Falcón critica otras encuestas que se han presentado, alegando que están basadas en datos antiguos y no reflejan la situación actual. Expresó que seguirá informando sobre los resultados y que, a medida que Morena clarifique sus liderazgos regionales y municipales, las encuestas seguirán siendo un tema importante.</t>
  </si>
  <si>
    <t>Sucesión alcaldía</t>
  </si>
  <si>
    <t>Andrés Torres: Bueno, yo también le diría agregaría a este informe que pues sí la Secretaría de Hacienda y Crédito Público a nivel federal nos está reconociendo como uno de los primeros tres estados en el país en calidad de información financiera, esto quiere decir que también nuestro sistema de recaudación es eficiente, es eficaz y pues lo que estamos reportando pues es cuánto dinero que estamos generando en cantidad de primero de recaudación y número dos, cómo nos gastamos y en qué nos gastamos los dineros que se nos dan por parte de la Federación, ¿no? Un reconocimiento al gobierno del estado de Hidalgo con 98.71% no, puntos pues, en el Índice de Calidad de Información, el ICI.</t>
  </si>
  <si>
    <t>Está fuera del a re la estación de Jacala, debido a problemas técnicos, en los que se trabaja ya.</t>
  </si>
  <si>
    <t>Radiodifusoras</t>
  </si>
  <si>
    <t>Daniel Martínez: No está nada padre esa medallita que tenemos en este momento, de ser el Estado de la República que más registros de fallecimientos está teniendo de este padecimiento (Covid 19) y los fallecimientos que está teniendo por complicaciones.</t>
  </si>
  <si>
    <t>Hidalgo registra un repunte en los casos de COVID-19 y en las notificaciones de enfermedades respiratorias, de acuerdo con datos de vigilancia epidemiológica correspondientes a septiembre del 2026. Durante la semana epidemiológica 37, del 13 al 19 de septiembre, se contabilizaron 183 casos de COVID-19 en la entidad, cuatro más que la semana anterior cuando se reportaron 179. De hecho, pues el acumulado directamente de defunciones asociadas al virus asciende a 16 en Hidalgo durante este año, y pues estos datos forman parte del sistema... o sistemas oficiales de vigilancia epidemiológica de la Secretaría de Salud Federal, que actualiza de manera semanal la información sobre COVID-19 y otros virus respiratorios. El comportamiento también se observa en las infecciones respiratorias agudas e... y agudas graves. De hecho, por ejemplo, en la semana 37 se registraron 4,065 notificaciones, frente a 4,001 que fue en la semana previa, y pues un incremento de 64 reportes, por cierto. Ante el aumento de estos casos, de estos padecimientos, las autoridades sanitarias recomiendan reforzar medidas básicas de prevención, como lavarse las manos con frecuencia, cubrirse la... ahora sí que al toser o estornudar, y mantener ventilados los espacios cerrados. También se recomienda que las personas que presenten síntomas respiratorios reduzcan el impacto con adultos mayores, por ejemplo... el contacto, perdón, con adultos mayores, menores de edad y personas con enfermedades crónicas. En caso de presentar algún signo... esta parte es muy importante, algún signo de alarma, se debe solicitar atención médica. Y pues sí, el incremento de los registros ocurre además también durante el cambio hacia la temporada de mayor presencia de padecimientos respiratorios, por lo que el seguimiento de los indicadores epidemiológicos pues estará permitiendo conocer su evolución en pues las próximas semanas. Hasta el momento, los datos disponibles muestran un aumento semanal tanto en los casos de COVID-19 como en las notificaciones de infecciones respiratorias.</t>
  </si>
  <si>
    <t>Daniel Martínez comenta que los concesionarios y operadores de transporte de pasajeros están pidiendo que se revise el costo del seguro, que ha aumentado más del 100% en dos años, y solicitan una mesa de trabajo para discutirlo. Sin embargo, Martínez considera que es poco probable que se realice esta mesa antes de que se publiquen las tarifas para otras regiones del Estado de Hidalgo. Además, señala que los taxistas de Pachuca y Mineral de la Reforma inicialmente pidieron un aumento de 55 pesos en la tarifa base, pero decidieron dejarlo en 50 pesos. Izza Hernández confirma que 55 pesos es correcto, y Martínez recalca que este aumento es significativo al multiplicarlo por el número de viajes diarios. Finalmente, menciona que el Gobernador ha dicho que ya se realizaron estudios y que la tarifa se mantendrá, lo que refuerza su visión de que no habrá discusiones sobre el ajuste de tarifas.</t>
  </si>
  <si>
    <t>Localizan 19 huachitúneles en Hidalgo, durante actual periodo de gobierno estatal. Durante el actual periodo del Gobierno del Estado de Hidalgo, corporaciones de seguridad pública han localizado e inhabilitado 19 túneles clandestinos, usados para el robo de hidrocarburo. Lo anterior fue informado por el Gobernador Julio Menchaca Salazar, durante Durante la séptima Reunión Interestatal de Coordinación por la Paz y Seguridad, en la que participaron autoridades de los estados de México, Tlaxcala, Querétaro, Hidalgo, Puebla, Guerrero y la Ciudad de México. El titular del Poder Ejecutivo del Estado de Hidalgo señaló que en su periodo de gobierno se han asegurado más de 7 millones de litros de hidrocarburo, los cuales fueron recuperados y entregados a la Federación. “Eso es histórico. En toda la historia del estado, en estos más de 900 kilómetros y en 22 municipios que atraviesan los ductos, no se había hecho una acción similar. Esto es una lucha frontal contra el robo de combustible”. Agregó que de las 65 personas detenidas en Hidalgo por este ilícito, al menos 40 serían generadores de violencia y objetivos prioritarios del gobierno federal, además de que pertenecerían a redes criminales dedicadas a la extorsión. Acusó de apatía e incluso de posibles actos de complicidad a autoridades de los distintos niveles de gobierno en relación con la vigilancia de los ductos, al señalar que se han localizado túneles clandestinos debajo de espacios públicos y privados. “Hemos descubierto túneles en donde sobre el ducto hay una bodega, entonces ha habido una apatía o una complicidad incluso de autoridades estatales, municipales y federales”. Respecto a las presidencias municipales, Menchaca Salazar señaló que una de las medidas para evitar posibles complicidades relacionadas con la autorización de construcciones es hacer efectivos los planes de desarrollo urbano. Así como identificar las zonas consideradas de riesgo ya que podrían contar con mayor control sobre las áreas donde atraviesan los ductos. Durante estas reuniones en materia de seguridad pública, se revisa el avance de los compromisos previamente establecidos y se plantean nuevos acuerdos.</t>
  </si>
  <si>
    <t>Entrega Natividad Castrejón equipamiento educativo por más de 2.4 mdp en Huejutla El secretario de Educación Pública de Hidalgo, Natividad Castrejón Valdez, realizó una gira de trabajo por la Huasteca hidalguense, donde entregó equipamiento educativo por más de 2.4 millones de pesos y encabezó un encuentro con madres y padres de familia para dialogar sobre su papel en la formación de niñas, niños y adolescentes. En el Colegio de Estudios Científicos y Tecnológicos del Estado de Hidalgo (CECyTEH), plantel Huejutla, el titular de la SEPH entregó equipamiento para la carrera de Gericultura, en beneficio de los planteles de Acaxochitlán, Atlapexco, Chapulhuacán, Huejutla y Poxindeje. Ante estudiantes y personal educativo, Natividad Castrejón destacó que las y los jóvenes cuentan con el respaldo de la administración encabezada por el gobernador Julio Menchaca Salazar, al tiempo que reconoció sus capacidades y aspiraciones. “No están solas ni solos; su educación importa. Esta administración cree en ustedes, en sus talentos, en su capacidad de soñar y en su tenacidad para cumplir sus sueños”, expresó. Señaló que Hidalgo avanza hacia un sistema de enseñanza que atiende las necesidades particulares de sus diferentes regiones, con la convicción de que la educación es una herramienta para abrir caminos, superar barreras y generar nuevas oportunidades. El secretario de Educación Pública estatal acudió a la escuela Secundaria General 2 de Huejutla, donde impartió la conferencia magistral “El papel de las madres y los padres en la formación de sus hijas e hijos”, ante madres y padres de familia, directivos y representantes de las figuras de participación escolar. Durante su intervención, destacó que la familia constituye el primer entorno de aprendizaje, convivencia y formación de hábitos, por lo que su participación es fundamental para el desarrollo integral de niñas, niños y adolescentes. Asimismo, reconoció a las familias como aliadas de la escuela, cuya participación contribuye a fortalecer los procesos formativos, en coordinación con docentes y autoridades educativas. En esta gira de trabajo estuvieron presentes el presidente municipal de Huejutla de Reyes, José Alfredo San Román Duval; la subsecretaria de Administración y Finanzas, Maricarmen Margarita Mandujano Cerrilla; el director general de Fortalecimiento Educativo, Martín Pérez Sierra; la directora general de Servicios Regionales, Josefina Serrano Bautista; y el director general del CECyTE Hidalgo, José Edmundo Ramírez Martínez, entre otras autoridades educativas y municipales.</t>
  </si>
  <si>
    <t>Entrega De Equipo Escolar</t>
  </si>
  <si>
    <t>Cierre del ciclo agrícola deja afectaciones en cultivos de temporal escrita por Daniel Martínez 29/09/2026 La falta de precipitaciones suficientes durante el presente ciclo agrícola generó afectaciones en los cultivos de temporal de Tulancingo, principalmente en el maíz, informó la Secretaría del Campo, tras los recorridos de supervisión realizados en diferentes núcleos agrarios del municipio. La valoración comprende zonas como La Lagunilla, Ejido Huapalcalco, Santa María Asunción y Ojo de Agua, donde se constató que, aunque se registraron lluvias de manera esporádica, el nivel de humedad no fue suficiente para alcanzar los rendimientos esperados. Al inicio del ciclo se estimaba un 80 por ciento de éxito en la superficie sembrada, que en Tulancingo supera las 7 mil hectáreas de temporal; sin embargo, las condiciones climáticas modificaron este escenario y redujeron las expectativas de cosecha. Ante esta situación, parte del maíz y otros cultivos afectados serán destinados a forraje para el ganado, como una alternativa para aprovechar la producción obtenida y reducir, en la medida de lo posible, las pérdidas para las familias productoras. En contraste, se observaron resultados favorables en cultivos de maíz híbrido de doble propósito, así como en diferentes variedades de forraje, entre ellas alfalfa y pradera mixta, que presentaron mejores condiciones para su aprovechamiento pecuario. En esta recta final del año, los productores comenzarán con el retiro del forraje obtenido, mientras mantienen la expectativa de que el próximo ciclo agrícola esté acompañado de mejores condiciones de lluvia. Como parte de la búsqueda de alternativas productivas, durante esta temporada la Secretaría del Campo también dio seguimiento a módulos demostrativos de cempasúchil, cultivo que representa una opción para generar ingresos adicionales en comunidades como Santa Ana Hueytlalpan, Santa María Asunción, Ojo de Agua y Laguna del Cerrito. Concluido el ciclo de temporal, Tulancingo mantendrá la producción mediante agricultura protegida, donde se cultivan diferentes variedades de hortalizas y destaca el jitomate como uno de los principales productos. La Secretaría del Campo, a cargo del ingeniero Hugo Flores Jiménez, permanecerá atenta a las disposiciones de la Secretaría de Agricultura y Desarrollo Rural del Gobierno de Hidalgo respecto al seguro catastrófico, con el propósito de coadyuvar con los productores en las acciones que permitan mitigar las afectaciones registradas en sus cultivos.</t>
  </si>
  <si>
    <t>Afectación de cultivo</t>
  </si>
  <si>
    <t>Trasladan de Pachuca a CDMX corazón donado por joven de 16 años para trasplante. Un operativo aéreo permitió trasladar de Pachuca a la Ciudad de México un corazón destinado a un paciente de 55 años, luego de que el órgano fuera procurado en el Hospital General de Zona No. 36 del IMSS. La intervención se realizó este martes en la capital hidalguense, donde también fueron obtenidos dos riñones que serán trasladados por carretera para continuar con los procesos de trasplante correspondientes. El corazón fue llevado desde el Aeropuerto Nacional Ingeniero Juan Guillermo Villasana hasta el Centro Médico Nacional La Raza, en la Ciudad de México, con el objetivo de reducir el tiempo entre la procuración y su llegada al hospital receptor. El órgano pertenecía a un joven de 16 años cuya familia decidió realizar la donación. El procedimiento fue coordinado por la Secretaría de Salud de Hidalgo, a través del Centro Estatal de Trasplantes de Hidalgo (Ceetra), junto con las instituciones médicas participantes. Carlos Ávila Zúñiga, titular del Ceetra, informó que en lo que va de 2026 se han concretado 29 donaciones en Hidalgo. De ellas, 10 fueron clasificadas como multiorgánicas. A partir de estas donaciones se han procurado 66 órganos y tejidos, mientras que cinco de los traslados realizados durante el año han requerido operaciones por vía aérea debido a las características de los órganos y los tiempos necesarios para su conservación.</t>
  </si>
  <si>
    <t>Inversión pública y conectividad ponen a Hidalgo en el escenario nacional</t>
  </si>
  <si>
    <t>Todavía, señala Bardales Ramírez, todavía hay cerca de 100 casos que están en estudio en este momento de los 1,000 que detectaron en diferentes gobiernos municipales de doble salario. El contralor estatal explicó que la mayoría de los expedientes involucra a personas que además de desempeñarse en algún Ayuntamiento laboraban en los sectores de educación o de salud. Como parte de la revisión, la dependencia cita a comparecer a las personas involucradas en la sala de audiencias públicas adscrita a la Contraloría donde se analiza cada expediente. Bardales Ramírez recordó que la investigación comenzó con 699 plazas correspondientes a las... a trabajadores de la Secretaría de Educación Pública del Estado de Hidalgo que, de manera simultánea, recibían pagos de algún Ayuntamiento. Conforme avanzaron las revisiones, el número de casos aumentó hasta acercarse a 1,000. De ese universo, más de 900 personas solicitaron licencia en alguno de sus dos empleos, principalmente en los Ayuntamientos. En el caso de quienes integraban alguna asamblea, las licencias se tramitaron sin goce de sueldo ante las secretarías en las que estaban adscritos. También alrededor de 50 personas tuvieron que reembolsar los recursos recibidos a la secretaría correspondiente, mientras que las demás cumplieron con solicitar sus respectivas licencias en tiempo y forma. Sin embargo, el cumplimiento de este trámite no significó el cierre de todos los expedientes; el contralor señaló que algunos casos continúan bajo investigación porque además de la situación relacionada con el doble pago de recursos públicos, la dependencia detectó otros hechos que requieren revisión, entre ellos posibles renuncias y por eso son este centenar de casos que todavía están bajo revisión en varios municipios del estado de Hidalgo.</t>
  </si>
  <si>
    <t>Contraloría</t>
  </si>
  <si>
    <t>Doble Plaza</t>
  </si>
  <si>
    <t>Concretan los 84 municipios de Hidalgo, la entrega de sus respectivos proyectos de Leyes de Ingresos 2027 Los 84 municipios del Estado de Hidalgo cumplieron con la entrega ante el Congreso del Estado de Hidalgo de sus respectivas propuestas de Ley de Ingresos locales para el próximo año 2027. Lo anterior durante un acto protocolario donde participaron autoridades municipales, y por supuesto, integrantes del Congreso local. El presidente de la Junta de Gobierno del Congreso de Hidalgo destacó la entrega de las propuestas para el cobro de cuotas, tarifas y servicios para las 84 demarcaciones de la entidad. De acuerdo con el plazo establecido, los 84 ayuntamientos tienen hasta el 1 de octubre de 2026 para presentar ante el Poder Legislativo estatal sus iniciativas de Ley de Ingresos correspondientes al próximo ejercicio fiscal. Previamente, el diputado Miguel Ángel Moreno Zamora confió en que los municipios no incurran en cobros excesivos para que no vuelvan a ser impugnadas. Recordó que hicieron una capacitación con todos los municipios, tanto los organismos operadores de agua, como los ayuntamientos para tratar los asuntos relacionados con cuotas y tarifas en el primer caso, y leyes de ingresos en el segundo. Lo anterior, luego que la Suprema Corte de Justicia de la Nación declaró la invalidez de diversos cobros y tarifas establecidos en las leyes de ingresos de 8 municipios de Hidalgo para el ejercicio fiscal 2026, tras resolver la acción de inconstitucionalidad promovida por la Comisión Nacional de los Derechos Humanos. Como parte de la ceremonia, los alcaldes realizaron una entrega simbólica de las propuestas correspondientes a los siete distritos electorales: Huejutla de Reyes, Ixmiquilpan, Actopan, Tulancingo de Bravo, Tula de Allende, Pachuca de Soto y Tepeapulco. Cabe recordar que el pasado 10 de septiembre concluyó el plazo para que los 35 organismos operadores de agua municipales entregaran sus cuotas y tarifas al Congreso de Hidalgo. En este caso, se informó que todos los organismos operadores cumplieron en tiempo con la entrega de las propuestas, por lo que la Comisión de Hacienda analizará los documentos.</t>
  </si>
  <si>
    <t>Legisladoras, legisladores del Congreso del Estado de Hidalgo, así como la Auditoría Superior del Estado de Hidalgo están haciendo un llamado a los actuales gobiernos municipales para que pues dejen la casa en orden. Al entrar entonces pues a la recta final de su gestión, el Congreso de Hidalgo y la Auditoría Superior del Estado llamaron a presidentes municipales que organicen las finanzas de sus administraciones, eviten contratar obra onerosa, no dejen pagos inconclusos y que garanticen una entrega-recepción pulcra. Lo que señala el presidente de la Junta de Gobierno del Congreso del Estado, Andrés Velázquez Vázquez, es que es necesario que en su último año se manejen con pulcritud en cuanto al manejo de los recursos, que dejen sus camionetas... sí, textual lo dicho por Velázquez Vázquez, "que dejen sus camionetas onerosas o sus guaruras por otro lado y se conduzcan como cualquier otro ciudadano". Y cito textual a Andrés Velázquez Vázquez: "Vamos a dejar de ser funcionarios, entonces por salud emocional, mental y hasta espiritual, dejemos las cosas claritas y se los digo para aquellos que tienen también proyectos políticos a futuro, no pueden traer arrastrando una auditoría pendiente o recursos pendientes si quieren ser candidatos". Jorge Valverde Islas, titular de la Auditoría Superior del Estado de Hidalgo, recordó que el organismo ya emitió los lineamientos para la entrega-recepción y mencionó que en enero inicia la cuenta regresiva de la entrega de sus administraciones. Al respecto el auditor superior del Estado dijo: "Ayúdenme elaborando una entrega-recepción pulcra, que no comprometan recursos, no comprometan obras que no pueden pagar, luego hay pagos inconclusos de obras, dejan pagos inconclusos de contratos y la verdad es que llega la nueva administración y ya no tienen para pagar". Detalló que de las leyes de ingresos 2027 los actuales presidentes municipales solo van a ejercer los recursos de los próximos ocho meses y a la nueva administración le tocará gastar, invertir, utilizar los cuatro meses restantes. Y al respecto Valverde Islas señaló: "Me gustaría que estas administraciones no sean como las pasadas que dejaron mucho que desear en muchos municipios, tienen la oportunidad en este momento de salir bien en sus cuentas públicas de sus administraciones".</t>
  </si>
  <si>
    <t>Fiscalización</t>
  </si>
  <si>
    <t>Ayer hubo un accidente que se registró sobre la carretera Pachuca-Tulancingo donde, pues bueno, con todo y la manera tan fuerte en que se ocurrió este accidente en una unidad adscrita a la Dirección de Obras Públicas del gobierno municipal de Acatlán, presentan lesiones que, afortunadamente pues salvan su vida con todo y las lesiones que tuvieron, Eduardo Hernández Vera, Lucía Torres Galloso, quienes son funcionarios precisamente de la administración municipal de Acatlán. Aquí lo que se conoce es de que el día de ayer por la tarde, en este accidente reiterativo en la Pachuca-Tulancingo y que deja estas dos personas lesionadas, lo que ocurrió es que habría chocado el vehículo contra un objeto fijo, y volcó precisamente en el tramo dentro del municipio de Singuilucan. De acuerdo con información de la Guardia Nacional, el accidente ocurrió a la altura precisamente de la localidad de Matías Rodríguez, donde el conductor de la unidad impactó contra un objeto fijo, lo que provocó esta volcadura. Gracias precisamente a la atención de los cuerpos de atención de emergencias es de que se logró atender de manera oportuna a las personas implicadas en el accidente y fueron canalizadas a instituciones médicas para la atención correspondiente.</t>
  </si>
  <si>
    <t>En cabina José de la Rosa y otros integrantes del comité vecinal de la Privada Plan de Ayala, en la región de Medias Tierras, Tulancingo, hablan de las problemáticas respecto a una obra pública recién concluida en su calle. Aseguran que la obra conectó el drenaje de su privada al drenaje principal en contraflujo (a contracorriente), lo que provoca que el agua y los desechos se regresen hacia la calle privada y el interior de las viviendas en lugar de desfogarse. lo anterior ha provocado que, tras las recientes lluvias intensas, el agua contaminada con residuos e heces ha brotado inundando patios y banquetas, obligando a los vecinos a cargar a sus hijos o dificultando el traslado de personas con enfermedades graves (como traslados en ambulancia). Aunque los vecinos y el comité de revisión hicieron observaciones durante la construcción para corregir la conexión, los ingenieros a cargo (mencionan a la arquitecta Jessica y al ingeniero Milton) no hicieron las correcciones y concluyeron la pavimentación. Asimismo, dijeron que Las autoridades les informaron que no se realizarán modificaciones porque el presupuesto asignado (mencionado en alrededor de 1 millón de pesos) ya se agotó, a pesar de que la obra no contempló a todas las viviendas de la calle ni se revisaron los registros de las casas del fondo. Además, indican que apenas terminados los trabajos y la pavimentación, se registran fugas de agua limpia en la vía pública. Finalmente los vecinos señalan que el comité vecinal no firmará la recepción formal de la obra y emprenderán una demanda legal en contra de las autoridades responsables.</t>
  </si>
  <si>
    <t>Deficiencias en obra</t>
  </si>
  <si>
    <t>Un hombre de 82 años de edad fue encontrado sobre bulevar Emiliano Zapata, dentro del municipio de Tulancingo; al ser revisado por paramédicos que acudieron a prestarle auxilio, confirmaron que estaba con lesiones dérmicas en gran parte de su cuerpo. Fue el pasado domingo 27 de septiembre cuando personas que circulaban por la zona, cerca del monumento conocido como “el caballito”, cuando se percataron que el hombre estaba tirado sobre la vía pública. Personal de Cruz Roja local acudió a atender el reporte, y al confirmar en la revisión que tenía llagas en gran parte de su abdomen, espalda y piernas, se determinó trasladarlo al Hospital General IMSS Bienestar de Tulancingo. El hombre fue identificado con el nombre de Cayetano Hernández González, y además, presenta problemas de audición. Refirió ser originario del Estado de Oaxaca, y tener hijos en la Ciudad de México; hasta el momento, no se conoce cómo llegó a la ciudad de Tulancingo, ni la situación por la que fue localizado sobre el bulevar Emiliano Zapata. Actualmente se encuentra bajo atención médica por parte de personal del nosocomio, a la vez que se está en la búsqueda de sus familiares. Por lo que en caso de que alguien tenga datos para localizar a dichos familiares, se puede poner en contacto con el área de Trabajo Social del Servicio de Urgencias del mismo Hospital General IMSS Bienestar de Tulancingo. En tanto, el personal de dicho nosocomio está al pendiente en la evolución en el estado de salud del hombre adulto mayor, así como en la atención para que pueda tener recuperación al respecto. Se reiteró la urgencia de ubicar a los familiares del hombre localizado el pasado fin de semana.</t>
  </si>
  <si>
    <t>Cuestiones salariales, principal situación para abandonar cuerpo de Protección Civil en Tulantepec Mientras que al inicio de la actual administración municipal de Santiago Tulantepec se contaba con 20 integrantes del cuerpo de Bomberos y Protección Civil local, actualmente están dados de alta 17. Al respecto, Edmundo Hernández Chimal, titular de la corporación, atribuyó la disminución de elementos en el cuerpo de atención y prevención a emergencias, a cuestiones salariales, pues a nivel regional es la corporación con sueldos más bajos. Sin embargo, señaló que para este año el gobierno municipal autorizó un aumento de 500 pesos quincenales, por lo que con este incremento un bombero gana cuatro mil 700 pesos a la quincena. Confió en que para el próximo año se otorgue otro incremento al salario de los bomberos de Santiago Tulantepec, por lo menos igual al del presente ejercicio fiscal. Ello podría ser un atractivo para que existan más personas interesadas en formar parte del cuerpo de Bomberos y Protección Civil, y con ello fortalecer las acciones de atención y prevención de emergencias y accidentes. Hernández Chimal consideró que les lleva un año aproximadamente preparar al personal de nuevo ingreso para que puedan subir a una ambulancia y prestar la atención hospitalaria; mientras que la capacitación para los bomberos dura no menos de seis meses. Puntualizó que la dirección a su cargo atiende tanto cuestiones prehospitalarias como incendios, rescates y el tema preventivo que deriva de la protección civil. La estadística señala que cada mes se atiende en promedio alrededor de 50 servicios distintos, de los cuales, alrededor del 80 por ciento corresponde a atención prehospitalaria. El resto de los servicios atendidos corresponden a anegamientos y otras cuestiones derivadas de fenómenos naturales, accidentes diversos, principalmente. El mando invitó a los interesados a formar parte de la corporación local de Bomberos y Protección Civil, a acercarse para conocer las labores que se realicen, y con ello eventualmente se convenzan en prestar sus servicios a la población.</t>
  </si>
  <si>
    <t>Bajos salarios</t>
  </si>
  <si>
    <t>Menchaca descarta nuevo aumento a la tarifa de taxis; banderazo seguirá en 45 pesos El gobernador de Hidalgo, Julio Menchaca Salazar, descartó que vaya a realizarse un nuevo ajuste a la tarifa de taxis en Pachuca y Mineral de la Reforma, por lo que el banderazo se mantendrá en 45 pesos. La declaración se dio luego de que taxistas independientes solicitaran elevar la tarifa mínima a 50 pesos, al argumentar que el monto actual no cubre los gastos de operación de las unidades. Durante una entrevista en Tolcayuca, Menchaca señaló que la tarifa vigente fue definida después de un proceso de análisis y diálogo con representantes del sector, en el que también se planteó establecer un cobro inicial de 55 pesos. El mandatario explicó que esa propuesta no fue considerada viable y finalmente se determinó incrementar el banderazo de 38 a 45 pesos, lo que representa un aumento cercano al 20 por ciento. Los operadores que pidieron una nueva modificación señalaron que enfrentan mayores gastos por combustible, mantenimiento y las cuentas diarias que deben cubrir, las cuales, según sus propios cálculos, oscilan entre 400 y 500 pesos. Ante estas peticiones, el gobernador sostuvo que la definición de las tarifas busca mantener un equilibrio entre los ingresos de los conductores y la capacidad de pago de los usuarios. Menchaca Salazar indicó que, por ahora, no está contemplado reabrir la discusión sobre el monto aprobado, al considerar que la actualización fue resultado de un proceso previo de negociación encabezado por la Secretaría de Movilidad y Transporte. La tarifa de 45 pesos continuará vigente como banderazo inicial para el servicio de taxi en Pachuca y Mineral de la Reforma.</t>
  </si>
  <si>
    <t>Incrementa cantidad de basura recolectada…y también pago por su tratamiento y disposición final Derivado en el incremento de toneladas de basura recolectadas en Tulancingo, se ha incrementado el monto económico destinado al pago de los servicios para su disposición y tratamiento final, en un relleno sanitario a cargo de la empresa particular Veolia, ubicado en el municipio de Santiago Tulantepec. Así lo refirió Alberto Santuario Elías, titular de la Secretaría de Servicios Municipales, señalando que el incremento económico en dicho servicio ha sido por casi 1.5 millones de pesos en el comparativo de los años 2024 y 2025. Durante todo el año 2024, en Tulancingo se recolectaron y dispusieron en tratamiento y depósito final en total 47 mil 96.73 toneladas de basura. Mientras que el año pasado la cantidad fue 50 mil 466.35 toneladas de residuos sólidos, lo que significa un incremento entre ambas anualidades referidas fue de ocho por ciento. Ello significó un pago para su tratamiento y disposición final en el relleno sanitario a cargo de Veolia 13 millones 597 mil 567 pesos con 56 centavos en el año 2024. El año pasado, el pago fue de 15 millones 50 mil 111.53 pesos, lo que representa un incremento por un millón 452 mil 544 pesos entre el 2024 y 2025. Entre enero y septiembre de este año, el gobierno municipal de Tulancingo ha cubierto 12 millones 574 mil 808 pesos con 88 centavos por el servicio de tratamiento y disposición final de 37 mil 962.60 toneladas de residuos sólidos. Los residuos inorgánicos no reciclables, entre ellos papel higiénico, pañales, fibras sintéticas, así como residuos finos, como arena para gatos, son los principales recolectados, siendo un 36.82 por ciento del total. Le siguen los residuos orgánicos, como alimentos y fracciones orgánicas, siendo el 31.18 por ciento de la basura recolectada. Mientras que los residuos inorgánicos reciclables, como plásticos, cartón, vidrio transparente, plástico rígido, PET y papel, representan el 22.98 por ciento de la basura recolectada. En diversos momentos se ha intentado implementar acciones como la recolección de basura separada, programas de reciclaje, creación de composta con residuos orgánicos, entre otros. Ninguna de dichas estrategias ha tenido seguimiento, ni por la población del municipio, ni por las autoridades en el momento de su aplicación.</t>
  </si>
  <si>
    <t>Recolección De Basura</t>
  </si>
  <si>
    <t>Andrés Torres en respuesta a un radioescucha y sobre sobre la detención de una de las hijas de Gerardo Sosa, afirma que no es un ataque a la familia Sosa, sino un tema periodístico. Esta detención estuvo respaldada por una orden de aprehensión emitida por la Fiscalía General de la República y una ficha roja de Interpol, y ha sido reportada en medios de comunicación locales y nacionales. Torres menciona que hacen periodismo al informar sobre estos hechos. Además, Andrés señala que el comisionado político nacional del Partido del Trabajo en Hidalgo, Javier Vázquez Calixto, hizo acusaciones sobre corrupción y “moches” en contratos de obra pública, afirmando que se pide hasta un 20% a las constructoras. Torres se cuestiona la relación entre la detención de la hija de Sosa y las declaraciones de Vázquez, sugiriendo que hay una conexión política entre ambas situaciones. Andrés destaca que el Partido del Trabajo es dominado por la familia Sosa en Hidalgo, y sugiere que las acusaciones de corrupción pueden ser una respuesta política a lo que ellos consideran un ataque. Menciona que son un medio muy escuchado y que dieron a conocer esta información en exclusiva, por lo que sienten que están recibiendo mensajes dirigidos a ellos. Expresa que esto puede convertirse en una guerra de declaraciones, donde ahora se considera malo informar sobre hechos de corrupción, en vez de que lo malo sea el acto de corrupción en sí. Por último, sostiene que no está mal que alguien sea requerido por las autoridades, sino que lo que resulta problemático es informar sobre estas situaciones. Además, asevera que en ningún momento ha hablado mal de la UAEH, sin embargo esta detención, está ligada a temas de la universidad, misma que cuenta con una gran calidad y prestigio y es el alma mater del gobernador Julio Menchca.</t>
  </si>
  <si>
    <t>Vía telefónica Milton Cortés Milton Cortés informa que el presidente municipal de Pachuca, Jorge Alberto Reyes, ha presentado ante el Congreso del Estado de Hidalgo la iniciativa de Ley de Ingresos para el ejercicio fiscal 2027. Aunque parece un acto anticipado, el edil destaca la importancia de mantener un orden y la transparencia financiera en la ciudad. Según el documento entregado a los diputados locales, Pachuca espera un ingreso cercano a los 1,300 millones de pesos. Esta cifra será analizada en las comisiones del Congreso antes de ser sometida a la aprobación del pleno. El presidente municipal señala que estas cifras reflejan el compromiso del municipio por ofrecer una gestión clara, especialmente en temas financieros, lo que contribuirá a una mayor transparencia en el ejercicio municipal. También menciona que al mantener un orden fiscal, serán posibles los recursos necesarios para atender las prioridades y necesidades de la ciudad durante 2027. Reyes enfatiza que este ejercicio transparente ante el Congreso busca asegurar finanzas sanas y un uso responsable de los recursos públicos. Andrés Torres comenta sobre la significativa presencia de Jorge Reyes en el evento del Congreso y menciona que su administración se ha caracterizado por una atención especial a la transparencia y la rendición de cuentas. A pesar de que presentar la Ley de Ingresos tan temprano puede parecer prematuro, considera que es un deber de los 84 municipios cumplir con este proceso a tiempo. Además, resalta el esfuerzo de Reyes en clarificar los presupuestos y el uso de los recursos. Cortés está de acuerdo con la observación de Torres y añade que, aunque este proceso generalmente ocurre en los últimos meses del año, es necesario que se estudien adecuadamente todos los detalles del ejercicio fiscal del 2027. Menciona que el alcalde de Pachuca ha puesto un fuerte énfasis en garantizar la transparencia de las acciones dentro del Ayuntamiento, prestando especial atención a la vigilancia en las operaciones administrativas y financieras. Este acto refleja el compromiso del presidente municipal de mantener claridad en las acciones de su gestión y asegurarse de que las finanzas estén completamente sanas al cierre del año y al comenzar el año fiscal 2027. La transparencia y la correcta rendición de cuentas son pilares fundamentales en la administración de Jorge Alberto Reyes, lo cual se evidencia en la presentación anticipada de la Ley de Ingresos y su deseo de fomentar la confianza en la gestión pública.</t>
  </si>
  <si>
    <t>Hidalgo destaca en información financiera</t>
  </si>
  <si>
    <t>Hidalgo impulsa la economía social con NODESS 2026</t>
  </si>
  <si>
    <t>Cerca de 500 alumnos y personal docente del Centro de Estudios de Bachillerato (CEB) "Prof. Rafael Ramírez", ubicado en la colonia Juan C. Doria, fueron desalojados por la supuesta presencia de un estudiante armado al interior del plantel. De acuerdo con informes de la policía estatal, el reporte se recibió a través de una llamada de auxilio que alertaba sobre un posible riesgo para la comunidad escolar. Al arribar al sitio, los elementos de seguridad se entrevistaron con la directora de la institución, Alba Monroy, quien explicó que la alerta se originó luego de que un estudiante escuchara a un compañero comentar que llevaba un arma, motivo por el cual dio aviso inmediato a las autoridades educativas. Como medida preventiva para salvaguardar la integridad de la comunidad estudiantil, se ordenó el desalojo de las 18 aulas del plantel, evacuando a la totalidad de los alumnos de manera ordenada. Los policías ingresaron e inspeccionaron exhaustivamente las instalaciones y las inmediaciones del centro educativo y tras las labores de revisión, no se localizó ningún arma ni al estudiante señalado, por lo que las autoridades descartaron el riesgo y la situación quedó bajo control.</t>
  </si>
  <si>
    <t>Morena anunciará pronto sus coordinadores para los distritos de Hidalgo. La dirigente estatal, Marisol Ortega, informó que a finales de septiembre se revelarán los nombres de las y los coordinadores electorales para los siete distritos del estado. Se presentó un listado de parejas de coordinadores para cada distrito, resaltando que en el distrito 5 de Tula, los candidatos son Miguel Tello y Tania Porras Vega. Se recibió un mensaje aclarando que Tania Porras es originaria de El Huitel, no de Mangas, y es ex-candidata a la presidencia municipal de Tezontepec. Además, se mencionó que es hija de Pedro Porras, quien está vinculado al Instituto Hidalguense de Educación para Adultos. Tania Porras figura entre los activos de Morena como posible coordinadora electoral para el distrito federal 5 en Tula.</t>
  </si>
  <si>
    <t>Liderazgo político</t>
  </si>
  <si>
    <t>La Conagua lanza una alerta meteorológica para los próximo 5 días, donde se esperan lluvias torrenciales en varios estados; entre ellos Hidalgo.</t>
  </si>
  <si>
    <t>Alerta Meteorológica</t>
  </si>
  <si>
    <t>El presidente municipal de Tasquillo mandó limpiar un terreno en la zona de El Vivero, donde iba a realizar el evento por el Dís del Campesino que se celebra hoy. Sin embargo, a las personas que realizaban estos trabajos prendieron fuego a la hierba y se les salió de control, provocando un incendio forestal que por mucho rato estuvo fuera de control. La lluvia que cayó fue la que ayudó a sofocar el incendio.</t>
  </si>
  <si>
    <t>Incendios forestales</t>
  </si>
  <si>
    <t>Una intensa tormenta registrada en las últimas horas en el municipio de Actopan dejó un saldo preliminar de daños estructurales, caída de árboles y afectaciones en comercios. De acuerdo con las autoridades locales, la emergencia se concentró principalmente en la central de abastos, donde las fuertes rachas de viento y la acumulación de agua provocaron el colapso de las columnas de dos naves comerciales. Asimismo, varios locatarios reportaron desprendimiento de láminas y lonas en diferentes puntos de sus establecimientos, lo que generó momentos de tensión entre los comerciantes de la zona. Durante el paso del fenómeno meteorológico también se registró la caída de un árbol de aproximadamente 4 metros de altura, el cual bloqueó de manera parcial el tránsito en el área afectada. A pesar de la magnitud de los daños materiales en la infraestructura comercial, no se reportan personas lesionadas ni víctimas que lamentar.</t>
  </si>
  <si>
    <t>Lamentablemente ayer se presentó un incidente vial sobre la carretera Pachuca-Actopan a la altura de Las Torres de Rectoría, donde un vehículo particular volcaba dejando dos personas lesionadas. Esto fue con dirección hacia el bulevar Colosio. Elementos de seguridad pública atendieron a estas dos personas, afortunadamente no requirieron traslado médico.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</si>
</sst>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3" tableType="queryTable" totalsRowShown="0">
  <autoFilter ref="A1:M123"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3"/>
  <sheetViews>
    <sheetView tabSelected="1" workbookViewId="0">
      <selection activeCell="E10" sqref="E10"/>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4.42578125" bestFit="1" customWidth="1"/>
    <col min="8" max="8" width="12.42578125"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20</v>
      </c>
      <c r="C1" t="s">
        <v>21</v>
      </c>
      <c r="D1" t="s">
        <v>22</v>
      </c>
      <c r="E1" t="s">
        <v>1</v>
      </c>
      <c r="F1" t="s">
        <v>2</v>
      </c>
      <c r="G1" t="s">
        <v>4</v>
      </c>
      <c r="H1" t="s">
        <v>3</v>
      </c>
      <c r="I1" t="s">
        <v>5</v>
      </c>
      <c r="J1" t="s">
        <v>23</v>
      </c>
      <c r="K1" t="s">
        <v>24</v>
      </c>
      <c r="L1" t="s">
        <v>25</v>
      </c>
      <c r="M1" t="s">
        <v>32</v>
      </c>
    </row>
    <row r="2" spans="1:13" x14ac:dyDescent="0.25">
      <c r="A2" s="2">
        <v>46294</v>
      </c>
      <c r="B2" s="1" t="str">
        <f ca="1">IF(Información1[[#This Row],[Fecha]]='Ajuste de fechas'!$A$2,"Día actual","Día anterior")</f>
        <v>Día anterior</v>
      </c>
      <c r="C2" s="3" t="s">
        <v>80</v>
      </c>
      <c r="D2" t="s">
        <v>81</v>
      </c>
      <c r="E2" s="3" t="s">
        <v>91</v>
      </c>
      <c r="F2" s="3" t="s">
        <v>49</v>
      </c>
      <c r="G2" s="3" t="s">
        <v>92</v>
      </c>
      <c r="H2" s="3" t="s">
        <v>39</v>
      </c>
      <c r="I2" s="3" t="s">
        <v>7</v>
      </c>
      <c r="J2" s="3" t="s">
        <v>26</v>
      </c>
      <c r="K2" s="3" t="s">
        <v>84</v>
      </c>
      <c r="L2" s="3" t="s">
        <v>27</v>
      </c>
      <c r="M2">
        <v>1</v>
      </c>
    </row>
    <row r="3" spans="1:13" x14ac:dyDescent="0.25">
      <c r="A3" s="2">
        <v>46294</v>
      </c>
      <c r="B3" s="1" t="str">
        <f ca="1">IF(Información1[[#This Row],[Fecha]]='Ajuste de fechas'!$A$2,"Día actual","Día anterior")</f>
        <v>Día anterior</v>
      </c>
      <c r="C3" s="3" t="s">
        <v>80</v>
      </c>
      <c r="D3" t="s">
        <v>81</v>
      </c>
      <c r="E3" s="3" t="s">
        <v>93</v>
      </c>
      <c r="F3" s="3" t="s">
        <v>16</v>
      </c>
      <c r="G3" s="3" t="s">
        <v>62</v>
      </c>
      <c r="H3" s="3" t="s">
        <v>39</v>
      </c>
      <c r="I3" s="3" t="s">
        <v>7</v>
      </c>
      <c r="J3" s="3" t="s">
        <v>26</v>
      </c>
      <c r="K3" s="3" t="s">
        <v>84</v>
      </c>
      <c r="L3" s="3" t="s">
        <v>27</v>
      </c>
      <c r="M3">
        <v>1</v>
      </c>
    </row>
    <row r="4" spans="1:13" x14ac:dyDescent="0.25">
      <c r="A4" s="2">
        <v>46294</v>
      </c>
      <c r="B4" s="1" t="str">
        <f ca="1">IF(Información1[[#This Row],[Fecha]]='Ajuste de fechas'!$A$2,"Día actual","Día anterior")</f>
        <v>Día anterior</v>
      </c>
      <c r="C4" s="3" t="s">
        <v>80</v>
      </c>
      <c r="D4" t="s">
        <v>81</v>
      </c>
      <c r="E4" s="3" t="s">
        <v>94</v>
      </c>
      <c r="F4" s="3" t="s">
        <v>12</v>
      </c>
      <c r="G4" s="3" t="s">
        <v>79</v>
      </c>
      <c r="H4" s="3" t="s">
        <v>39</v>
      </c>
      <c r="I4" s="3" t="s">
        <v>7</v>
      </c>
      <c r="J4" s="3" t="s">
        <v>26</v>
      </c>
      <c r="K4" s="3" t="s">
        <v>82</v>
      </c>
      <c r="L4" s="3" t="s">
        <v>27</v>
      </c>
      <c r="M4">
        <v>1</v>
      </c>
    </row>
    <row r="5" spans="1:13" x14ac:dyDescent="0.25">
      <c r="A5" s="2">
        <v>46294</v>
      </c>
      <c r="B5" s="1" t="str">
        <f ca="1">IF(Información1[[#This Row],[Fecha]]='Ajuste de fechas'!$A$2,"Día actual","Día anterior")</f>
        <v>Día anterior</v>
      </c>
      <c r="C5" s="3" t="s">
        <v>80</v>
      </c>
      <c r="D5" t="s">
        <v>81</v>
      </c>
      <c r="E5" s="3" t="s">
        <v>95</v>
      </c>
      <c r="F5" s="3" t="s">
        <v>47</v>
      </c>
      <c r="G5" s="3" t="s">
        <v>56</v>
      </c>
      <c r="H5" s="3" t="s">
        <v>39</v>
      </c>
      <c r="I5" s="3" t="s">
        <v>7</v>
      </c>
      <c r="J5" s="3" t="s">
        <v>26</v>
      </c>
      <c r="K5" s="3" t="s">
        <v>84</v>
      </c>
      <c r="L5" s="3" t="s">
        <v>27</v>
      </c>
      <c r="M5">
        <v>1</v>
      </c>
    </row>
    <row r="6" spans="1:13" x14ac:dyDescent="0.25">
      <c r="A6" s="2">
        <v>46294</v>
      </c>
      <c r="B6" s="1" t="str">
        <f ca="1">IF(Información1[[#This Row],[Fecha]]='Ajuste de fechas'!$A$2,"Día actual","Día anterior")</f>
        <v>Día anterior</v>
      </c>
      <c r="C6" s="3" t="s">
        <v>80</v>
      </c>
      <c r="D6" t="s">
        <v>81</v>
      </c>
      <c r="E6" s="3" t="s">
        <v>96</v>
      </c>
      <c r="F6" s="3" t="s">
        <v>13</v>
      </c>
      <c r="G6" s="3" t="s">
        <v>55</v>
      </c>
      <c r="H6" s="3" t="s">
        <v>39</v>
      </c>
      <c r="I6" s="3" t="s">
        <v>7</v>
      </c>
      <c r="J6" s="3" t="s">
        <v>30</v>
      </c>
      <c r="K6" s="3" t="s">
        <v>82</v>
      </c>
      <c r="L6" s="3" t="s">
        <v>27</v>
      </c>
      <c r="M6">
        <v>1</v>
      </c>
    </row>
    <row r="7" spans="1:13" x14ac:dyDescent="0.25">
      <c r="A7" s="2">
        <v>46294</v>
      </c>
      <c r="B7" s="1" t="str">
        <f ca="1">IF(Información1[[#This Row],[Fecha]]='Ajuste de fechas'!$A$2,"Día actual","Día anterior")</f>
        <v>Día anterior</v>
      </c>
      <c r="C7" s="3" t="s">
        <v>80</v>
      </c>
      <c r="D7" t="s">
        <v>81</v>
      </c>
      <c r="E7" s="3" t="s">
        <v>97</v>
      </c>
      <c r="F7" s="3" t="s">
        <v>19</v>
      </c>
      <c r="G7" s="3" t="s">
        <v>98</v>
      </c>
      <c r="H7" s="3" t="s">
        <v>39</v>
      </c>
      <c r="I7" s="3" t="s">
        <v>7</v>
      </c>
      <c r="J7" s="3" t="s">
        <v>26</v>
      </c>
      <c r="K7" s="3" t="s">
        <v>84</v>
      </c>
      <c r="L7" s="3" t="s">
        <v>27</v>
      </c>
      <c r="M7">
        <v>1</v>
      </c>
    </row>
    <row r="8" spans="1:13" x14ac:dyDescent="0.25">
      <c r="A8" s="2">
        <v>46294</v>
      </c>
      <c r="B8" s="1" t="str">
        <f ca="1">IF(Información1[[#This Row],[Fecha]]='Ajuste de fechas'!$A$2,"Día actual","Día anterior")</f>
        <v>Día anterior</v>
      </c>
      <c r="C8" s="3" t="s">
        <v>80</v>
      </c>
      <c r="D8" t="s">
        <v>81</v>
      </c>
      <c r="E8" s="3" t="s">
        <v>99</v>
      </c>
      <c r="F8" s="3" t="s">
        <v>13</v>
      </c>
      <c r="G8" s="3" t="s">
        <v>90</v>
      </c>
      <c r="H8" s="3" t="s">
        <v>39</v>
      </c>
      <c r="I8" s="3" t="s">
        <v>7</v>
      </c>
      <c r="J8" s="3" t="s">
        <v>30</v>
      </c>
      <c r="K8" s="3" t="s">
        <v>84</v>
      </c>
      <c r="L8" s="3" t="s">
        <v>27</v>
      </c>
      <c r="M8">
        <v>1</v>
      </c>
    </row>
    <row r="9" spans="1:13" x14ac:dyDescent="0.25">
      <c r="A9" s="2">
        <v>46294</v>
      </c>
      <c r="B9" s="1" t="str">
        <f ca="1">IF(Información1[[#This Row],[Fecha]]='Ajuste de fechas'!$A$2,"Día actual","Día anterior")</f>
        <v>Día anterior</v>
      </c>
      <c r="C9" s="3" t="s">
        <v>80</v>
      </c>
      <c r="D9" t="s">
        <v>81</v>
      </c>
      <c r="E9" s="3" t="s">
        <v>100</v>
      </c>
      <c r="F9" s="3" t="s">
        <v>35</v>
      </c>
      <c r="G9" s="3" t="s">
        <v>57</v>
      </c>
      <c r="H9" s="3" t="s">
        <v>39</v>
      </c>
      <c r="I9" s="3" t="s">
        <v>7</v>
      </c>
      <c r="J9" s="3" t="s">
        <v>17</v>
      </c>
      <c r="K9" s="3" t="s">
        <v>82</v>
      </c>
      <c r="L9" s="3" t="s">
        <v>27</v>
      </c>
      <c r="M9">
        <v>1</v>
      </c>
    </row>
    <row r="10" spans="1:13" x14ac:dyDescent="0.25">
      <c r="A10" s="2">
        <v>46294</v>
      </c>
      <c r="B10" s="1" t="str">
        <f ca="1">IF(Información1[[#This Row],[Fecha]]='Ajuste de fechas'!$A$2,"Día actual","Día anterior")</f>
        <v>Día anterior</v>
      </c>
      <c r="C10" s="3" t="s">
        <v>80</v>
      </c>
      <c r="D10" t="s">
        <v>81</v>
      </c>
      <c r="E10" s="3" t="s">
        <v>101</v>
      </c>
      <c r="F10" s="3" t="s">
        <v>14</v>
      </c>
      <c r="G10" s="3" t="s">
        <v>102</v>
      </c>
      <c r="H10" s="3" t="s">
        <v>39</v>
      </c>
      <c r="I10" s="3" t="s">
        <v>10</v>
      </c>
      <c r="J10" s="3" t="s">
        <v>26</v>
      </c>
      <c r="K10" s="3" t="s">
        <v>82</v>
      </c>
      <c r="L10" s="3" t="s">
        <v>28</v>
      </c>
      <c r="M10">
        <v>1</v>
      </c>
    </row>
    <row r="11" spans="1:13" x14ac:dyDescent="0.25">
      <c r="A11" s="2">
        <v>46294</v>
      </c>
      <c r="B11" s="1" t="str">
        <f ca="1">IF(Información1[[#This Row],[Fecha]]='Ajuste de fechas'!$A$2,"Día actual","Día anterior")</f>
        <v>Día anterior</v>
      </c>
      <c r="C11" s="3" t="s">
        <v>80</v>
      </c>
      <c r="D11" t="s">
        <v>81</v>
      </c>
      <c r="E11" s="3" t="s">
        <v>103</v>
      </c>
      <c r="F11" s="3" t="s">
        <v>47</v>
      </c>
      <c r="G11" s="3" t="s">
        <v>104</v>
      </c>
      <c r="H11" s="3" t="s">
        <v>39</v>
      </c>
      <c r="I11" s="3" t="s">
        <v>7</v>
      </c>
      <c r="J11" s="3" t="s">
        <v>26</v>
      </c>
      <c r="K11" s="3" t="s">
        <v>82</v>
      </c>
      <c r="L11" s="3" t="s">
        <v>27</v>
      </c>
      <c r="M11">
        <v>1</v>
      </c>
    </row>
    <row r="12" spans="1:13" x14ac:dyDescent="0.25">
      <c r="A12" s="2">
        <v>46294</v>
      </c>
      <c r="B12" s="1" t="str">
        <f ca="1">IF(Información1[[#This Row],[Fecha]]='Ajuste de fechas'!$A$2,"Día actual","Día anterior")</f>
        <v>Día anterior</v>
      </c>
      <c r="C12" s="3" t="s">
        <v>80</v>
      </c>
      <c r="D12" t="s">
        <v>81</v>
      </c>
      <c r="E12" s="3" t="s">
        <v>105</v>
      </c>
      <c r="F12" s="3" t="s">
        <v>14</v>
      </c>
      <c r="G12" s="3" t="s">
        <v>102</v>
      </c>
      <c r="H12" s="3" t="s">
        <v>39</v>
      </c>
      <c r="I12" s="3" t="s">
        <v>7</v>
      </c>
      <c r="J12" s="3" t="s">
        <v>26</v>
      </c>
      <c r="K12" s="3" t="s">
        <v>84</v>
      </c>
      <c r="L12" s="3" t="s">
        <v>27</v>
      </c>
      <c r="M12">
        <v>1</v>
      </c>
    </row>
    <row r="13" spans="1:13" x14ac:dyDescent="0.25">
      <c r="A13" s="2">
        <v>46294</v>
      </c>
      <c r="B13" s="1" t="str">
        <f ca="1">IF(Información1[[#This Row],[Fecha]]='Ajuste de fechas'!$A$2,"Día actual","Día anterior")</f>
        <v>Día anterior</v>
      </c>
      <c r="C13" s="3" t="s">
        <v>80</v>
      </c>
      <c r="D13" t="s">
        <v>81</v>
      </c>
      <c r="E13" s="3" t="s">
        <v>106</v>
      </c>
      <c r="F13" s="3" t="s">
        <v>14</v>
      </c>
      <c r="G13" s="3" t="s">
        <v>102</v>
      </c>
      <c r="H13" s="3" t="s">
        <v>39</v>
      </c>
      <c r="I13" s="3" t="s">
        <v>10</v>
      </c>
      <c r="J13" s="3" t="s">
        <v>26</v>
      </c>
      <c r="K13" s="3" t="s">
        <v>82</v>
      </c>
      <c r="L13" s="3" t="s">
        <v>28</v>
      </c>
      <c r="M13">
        <v>1</v>
      </c>
    </row>
    <row r="14" spans="1:13" x14ac:dyDescent="0.25">
      <c r="A14" s="2">
        <v>46294</v>
      </c>
      <c r="B14" s="1" t="str">
        <f ca="1">IF(Información1[[#This Row],[Fecha]]='Ajuste de fechas'!$A$2,"Día actual","Día anterior")</f>
        <v>Día anterior</v>
      </c>
      <c r="C14" s="3" t="s">
        <v>80</v>
      </c>
      <c r="D14" t="s">
        <v>81</v>
      </c>
      <c r="E14" s="3" t="s">
        <v>107</v>
      </c>
      <c r="F14" s="3" t="s">
        <v>13</v>
      </c>
      <c r="G14" s="3" t="s">
        <v>108</v>
      </c>
      <c r="H14" s="3" t="s">
        <v>39</v>
      </c>
      <c r="I14" s="3" t="s">
        <v>7</v>
      </c>
      <c r="J14" s="3" t="s">
        <v>30</v>
      </c>
      <c r="K14" s="3" t="s">
        <v>84</v>
      </c>
      <c r="L14" s="3" t="s">
        <v>27</v>
      </c>
      <c r="M14">
        <v>1</v>
      </c>
    </row>
    <row r="15" spans="1:13" x14ac:dyDescent="0.25">
      <c r="A15" s="2">
        <v>46294</v>
      </c>
      <c r="B15" s="1" t="str">
        <f ca="1">IF(Información1[[#This Row],[Fecha]]='Ajuste de fechas'!$A$2,"Día actual","Día anterior")</f>
        <v>Día anterior</v>
      </c>
      <c r="C15" s="3" t="s">
        <v>80</v>
      </c>
      <c r="D15" t="s">
        <v>81</v>
      </c>
      <c r="E15" s="3" t="s">
        <v>109</v>
      </c>
      <c r="F15" s="3" t="s">
        <v>35</v>
      </c>
      <c r="G15" s="3" t="s">
        <v>66</v>
      </c>
      <c r="H15" s="3" t="s">
        <v>39</v>
      </c>
      <c r="I15" s="3" t="s">
        <v>7</v>
      </c>
      <c r="J15" s="3" t="s">
        <v>17</v>
      </c>
      <c r="K15" s="3" t="s">
        <v>84</v>
      </c>
      <c r="L15" s="3" t="s">
        <v>27</v>
      </c>
      <c r="M15">
        <v>1</v>
      </c>
    </row>
    <row r="16" spans="1:13" x14ac:dyDescent="0.25">
      <c r="A16" s="2">
        <v>46294</v>
      </c>
      <c r="B16" s="1" t="str">
        <f ca="1">IF(Información1[[#This Row],[Fecha]]='Ajuste de fechas'!$A$2,"Día actual","Día anterior")</f>
        <v>Día anterior</v>
      </c>
      <c r="C16" s="3" t="s">
        <v>80</v>
      </c>
      <c r="D16" t="s">
        <v>81</v>
      </c>
      <c r="E16" s="3" t="s">
        <v>110</v>
      </c>
      <c r="F16" s="3" t="s">
        <v>13</v>
      </c>
      <c r="G16" s="3" t="s">
        <v>66</v>
      </c>
      <c r="H16" s="3" t="s">
        <v>39</v>
      </c>
      <c r="I16" s="3" t="s">
        <v>7</v>
      </c>
      <c r="J16" s="3" t="s">
        <v>30</v>
      </c>
      <c r="K16" s="3" t="s">
        <v>82</v>
      </c>
      <c r="L16" s="3" t="s">
        <v>27</v>
      </c>
      <c r="M16">
        <v>1</v>
      </c>
    </row>
    <row r="17" spans="1:13" x14ac:dyDescent="0.25">
      <c r="A17" s="2">
        <v>46294</v>
      </c>
      <c r="B17" s="1" t="str">
        <f ca="1">IF(Información1[[#This Row],[Fecha]]='Ajuste de fechas'!$A$2,"Día actual","Día anterior")</f>
        <v>Día anterior</v>
      </c>
      <c r="C17" s="3" t="s">
        <v>80</v>
      </c>
      <c r="D17" t="s">
        <v>81</v>
      </c>
      <c r="E17" s="3" t="s">
        <v>111</v>
      </c>
      <c r="F17" s="3" t="s">
        <v>13</v>
      </c>
      <c r="G17" s="3" t="s">
        <v>83</v>
      </c>
      <c r="H17" s="3" t="s">
        <v>39</v>
      </c>
      <c r="I17" s="3" t="s">
        <v>7</v>
      </c>
      <c r="J17" s="3" t="s">
        <v>30</v>
      </c>
      <c r="K17" s="3" t="s">
        <v>112</v>
      </c>
      <c r="L17" s="3" t="s">
        <v>113</v>
      </c>
      <c r="M17">
        <v>1</v>
      </c>
    </row>
    <row r="18" spans="1:13" x14ac:dyDescent="0.25">
      <c r="A18" s="2">
        <v>46294</v>
      </c>
      <c r="B18" s="1" t="str">
        <f ca="1">IF(Información1[[#This Row],[Fecha]]='Ajuste de fechas'!$A$2,"Día actual","Día anterior")</f>
        <v>Día anterior</v>
      </c>
      <c r="C18" s="3" t="s">
        <v>80</v>
      </c>
      <c r="D18" t="s">
        <v>81</v>
      </c>
      <c r="E18" s="3" t="s">
        <v>114</v>
      </c>
      <c r="F18" s="3" t="s">
        <v>12</v>
      </c>
      <c r="G18" s="3" t="s">
        <v>77</v>
      </c>
      <c r="H18" s="3" t="s">
        <v>39</v>
      </c>
      <c r="I18" s="3" t="s">
        <v>7</v>
      </c>
      <c r="J18" s="3" t="s">
        <v>26</v>
      </c>
      <c r="K18" s="3" t="s">
        <v>82</v>
      </c>
      <c r="L18" s="3" t="s">
        <v>27</v>
      </c>
      <c r="M18">
        <v>1</v>
      </c>
    </row>
    <row r="19" spans="1:13" x14ac:dyDescent="0.25">
      <c r="A19" s="2">
        <v>46294</v>
      </c>
      <c r="B19" s="1" t="str">
        <f ca="1">IF(Información1[[#This Row],[Fecha]]='Ajuste de fechas'!$A$2,"Día actual","Día anterior")</f>
        <v>Día anterior</v>
      </c>
      <c r="C19" s="3" t="s">
        <v>80</v>
      </c>
      <c r="D19" t="s">
        <v>81</v>
      </c>
      <c r="E19" s="3" t="s">
        <v>73</v>
      </c>
      <c r="F19" s="3" t="s">
        <v>14</v>
      </c>
      <c r="G19" s="3" t="s">
        <v>74</v>
      </c>
      <c r="H19" s="3" t="s">
        <v>39</v>
      </c>
      <c r="I19" s="3" t="s">
        <v>7</v>
      </c>
      <c r="J19" s="3" t="s">
        <v>26</v>
      </c>
      <c r="K19" s="3" t="s">
        <v>84</v>
      </c>
      <c r="L19" s="3" t="s">
        <v>29</v>
      </c>
      <c r="M19">
        <v>1</v>
      </c>
    </row>
    <row r="20" spans="1:13" x14ac:dyDescent="0.25">
      <c r="A20" s="2">
        <v>46294</v>
      </c>
      <c r="B20" s="1" t="str">
        <f ca="1">IF(Información1[[#This Row],[Fecha]]='Ajuste de fechas'!$A$2,"Día actual","Día anterior")</f>
        <v>Día anterior</v>
      </c>
      <c r="C20" s="3" t="s">
        <v>80</v>
      </c>
      <c r="D20" t="s">
        <v>81</v>
      </c>
      <c r="E20" s="3" t="s">
        <v>115</v>
      </c>
      <c r="F20" s="3" t="s">
        <v>116</v>
      </c>
      <c r="G20" s="3" t="s">
        <v>117</v>
      </c>
      <c r="H20" s="3" t="s">
        <v>39</v>
      </c>
      <c r="I20" s="3" t="s">
        <v>7</v>
      </c>
      <c r="J20" s="3" t="s">
        <v>17</v>
      </c>
      <c r="K20" s="3" t="s">
        <v>82</v>
      </c>
      <c r="L20" s="3" t="s">
        <v>27</v>
      </c>
      <c r="M20">
        <v>1</v>
      </c>
    </row>
    <row r="21" spans="1:13" x14ac:dyDescent="0.25">
      <c r="A21" s="2">
        <v>46294</v>
      </c>
      <c r="B21" s="1" t="str">
        <f ca="1">IF(Información1[[#This Row],[Fecha]]='Ajuste de fechas'!$A$2,"Día actual","Día anterior")</f>
        <v>Día anterior</v>
      </c>
      <c r="C21" s="3" t="s">
        <v>80</v>
      </c>
      <c r="D21" t="s">
        <v>81</v>
      </c>
      <c r="E21" s="3" t="s">
        <v>118</v>
      </c>
      <c r="F21" s="3" t="s">
        <v>13</v>
      </c>
      <c r="G21" s="3" t="s">
        <v>85</v>
      </c>
      <c r="H21" s="3" t="s">
        <v>39</v>
      </c>
      <c r="I21" s="3" t="s">
        <v>7</v>
      </c>
      <c r="J21" s="3" t="s">
        <v>30</v>
      </c>
      <c r="K21" s="3" t="s">
        <v>84</v>
      </c>
      <c r="L21" s="3" t="s">
        <v>27</v>
      </c>
      <c r="M21">
        <v>1</v>
      </c>
    </row>
    <row r="22" spans="1:13" x14ac:dyDescent="0.25">
      <c r="A22" s="2">
        <v>46294</v>
      </c>
      <c r="B22" s="1" t="str">
        <f ca="1">IF(Información1[[#This Row],[Fecha]]='Ajuste de fechas'!$A$2,"Día actual","Día anterior")</f>
        <v>Día anterior</v>
      </c>
      <c r="C22" s="3" t="s">
        <v>68</v>
      </c>
      <c r="D22" t="s">
        <v>69</v>
      </c>
      <c r="E22" s="3" t="s">
        <v>119</v>
      </c>
      <c r="F22" s="3" t="s">
        <v>70</v>
      </c>
      <c r="G22" s="3" t="s">
        <v>78</v>
      </c>
      <c r="H22" s="3" t="s">
        <v>71</v>
      </c>
      <c r="I22" s="3" t="s">
        <v>7</v>
      </c>
      <c r="J22" s="3" t="s">
        <v>72</v>
      </c>
      <c r="K22" s="3" t="s">
        <v>76</v>
      </c>
      <c r="L22" s="3" t="s">
        <v>27</v>
      </c>
      <c r="M22">
        <v>1</v>
      </c>
    </row>
    <row r="23" spans="1:13" x14ac:dyDescent="0.25">
      <c r="A23" s="2">
        <v>46294</v>
      </c>
      <c r="B23" s="1" t="str">
        <f ca="1">IF(Información1[[#This Row],[Fecha]]='Ajuste de fechas'!$A$2,"Día actual","Día anterior")</f>
        <v>Día anterior</v>
      </c>
      <c r="C23" s="3" t="s">
        <v>68</v>
      </c>
      <c r="D23" t="s">
        <v>69</v>
      </c>
      <c r="E23" s="3" t="s">
        <v>120</v>
      </c>
      <c r="F23" s="3" t="s">
        <v>116</v>
      </c>
      <c r="G23" s="3" t="s">
        <v>117</v>
      </c>
      <c r="H23" s="3" t="s">
        <v>71</v>
      </c>
      <c r="I23" s="3" t="s">
        <v>7</v>
      </c>
      <c r="J23" s="3" t="s">
        <v>17</v>
      </c>
      <c r="K23" s="3" t="s">
        <v>76</v>
      </c>
      <c r="L23" s="3" t="s">
        <v>27</v>
      </c>
      <c r="M23">
        <v>1</v>
      </c>
    </row>
    <row r="24" spans="1:13" x14ac:dyDescent="0.25">
      <c r="A24" s="2">
        <v>46294</v>
      </c>
      <c r="B24" s="1" t="str">
        <f ca="1">IF(Información1[[#This Row],[Fecha]]='Ajuste de fechas'!$A$2,"Día actual","Día anterior")</f>
        <v>Día anterior</v>
      </c>
      <c r="C24" s="3" t="s">
        <v>68</v>
      </c>
      <c r="D24" t="s">
        <v>69</v>
      </c>
      <c r="E24" s="3" t="s">
        <v>121</v>
      </c>
      <c r="F24" s="3" t="s">
        <v>19</v>
      </c>
      <c r="G24" s="3" t="s">
        <v>98</v>
      </c>
      <c r="H24" s="3" t="s">
        <v>71</v>
      </c>
      <c r="I24" s="3" t="s">
        <v>7</v>
      </c>
      <c r="J24" s="3" t="s">
        <v>26</v>
      </c>
      <c r="K24" s="3" t="s">
        <v>76</v>
      </c>
      <c r="L24" s="3" t="s">
        <v>29</v>
      </c>
      <c r="M24">
        <v>1</v>
      </c>
    </row>
    <row r="25" spans="1:13" x14ac:dyDescent="0.25">
      <c r="A25" s="2">
        <v>46294</v>
      </c>
      <c r="B25" s="1" t="str">
        <f ca="1">IF(Información1[[#This Row],[Fecha]]='Ajuste de fechas'!$A$2,"Día actual","Día anterior")</f>
        <v>Día anterior</v>
      </c>
      <c r="C25" s="3" t="s">
        <v>68</v>
      </c>
      <c r="D25" t="s">
        <v>69</v>
      </c>
      <c r="E25" s="3" t="s">
        <v>122</v>
      </c>
      <c r="F25" s="3" t="s">
        <v>19</v>
      </c>
      <c r="G25" s="3" t="s">
        <v>123</v>
      </c>
      <c r="H25" s="3" t="s">
        <v>71</v>
      </c>
      <c r="I25" s="3" t="s">
        <v>7</v>
      </c>
      <c r="J25" s="3" t="s">
        <v>26</v>
      </c>
      <c r="K25" s="3" t="s">
        <v>76</v>
      </c>
      <c r="L25" s="3" t="s">
        <v>29</v>
      </c>
      <c r="M25">
        <v>1</v>
      </c>
    </row>
    <row r="26" spans="1:13" x14ac:dyDescent="0.25">
      <c r="A26" s="2">
        <v>46294</v>
      </c>
      <c r="B26" s="1" t="str">
        <f ca="1">IF(Información1[[#This Row],[Fecha]]='Ajuste de fechas'!$A$2,"Día actual","Día anterior")</f>
        <v>Día anterior</v>
      </c>
      <c r="C26" s="3" t="s">
        <v>68</v>
      </c>
      <c r="D26" t="s">
        <v>69</v>
      </c>
      <c r="E26" s="3" t="s">
        <v>124</v>
      </c>
      <c r="F26" s="3" t="s">
        <v>47</v>
      </c>
      <c r="G26" s="3" t="s">
        <v>56</v>
      </c>
      <c r="H26" s="3" t="s">
        <v>71</v>
      </c>
      <c r="I26" s="3" t="s">
        <v>7</v>
      </c>
      <c r="J26" s="3" t="s">
        <v>26</v>
      </c>
      <c r="K26" s="3" t="s">
        <v>76</v>
      </c>
      <c r="L26" s="3" t="s">
        <v>27</v>
      </c>
      <c r="M26">
        <v>1</v>
      </c>
    </row>
    <row r="27" spans="1:13" x14ac:dyDescent="0.25">
      <c r="A27" s="2">
        <v>46294</v>
      </c>
      <c r="B27" s="1" t="str">
        <f ca="1">IF(Información1[[#This Row],[Fecha]]='Ajuste de fechas'!$A$2,"Día actual","Día anterior")</f>
        <v>Día anterior</v>
      </c>
      <c r="C27" s="3" t="s">
        <v>40</v>
      </c>
      <c r="D27" t="s">
        <v>48</v>
      </c>
      <c r="E27" s="3" t="s">
        <v>125</v>
      </c>
      <c r="F27" s="3" t="s">
        <v>14</v>
      </c>
      <c r="G27" s="3" t="s">
        <v>126</v>
      </c>
      <c r="H27" s="3" t="s">
        <v>39</v>
      </c>
      <c r="I27" s="3" t="s">
        <v>7</v>
      </c>
      <c r="J27" s="3" t="s">
        <v>26</v>
      </c>
      <c r="K27" s="3" t="s">
        <v>42</v>
      </c>
      <c r="L27" s="3" t="s">
        <v>29</v>
      </c>
      <c r="M27">
        <v>1</v>
      </c>
    </row>
    <row r="28" spans="1:13" x14ac:dyDescent="0.25">
      <c r="A28" s="2">
        <v>46294</v>
      </c>
      <c r="B28" s="1" t="str">
        <f ca="1">IF(Información1[[#This Row],[Fecha]]='Ajuste de fechas'!$A$2,"Día actual","Día anterior")</f>
        <v>Día anterior</v>
      </c>
      <c r="C28" s="3" t="s">
        <v>40</v>
      </c>
      <c r="D28" t="s">
        <v>48</v>
      </c>
      <c r="E28" s="3" t="s">
        <v>127</v>
      </c>
      <c r="F28" s="3" t="s">
        <v>16</v>
      </c>
      <c r="G28" s="3" t="s">
        <v>128</v>
      </c>
      <c r="H28" s="3" t="s">
        <v>39</v>
      </c>
      <c r="I28" s="3" t="s">
        <v>7</v>
      </c>
      <c r="J28" s="3" t="s">
        <v>26</v>
      </c>
      <c r="K28" s="3" t="s">
        <v>42</v>
      </c>
      <c r="L28" s="3" t="s">
        <v>27</v>
      </c>
      <c r="M28">
        <v>1</v>
      </c>
    </row>
    <row r="29" spans="1:13" x14ac:dyDescent="0.25">
      <c r="A29" s="2">
        <v>46294</v>
      </c>
      <c r="B29" s="1" t="str">
        <f ca="1">IF(Información1[[#This Row],[Fecha]]='Ajuste de fechas'!$A$2,"Día actual","Día anterior")</f>
        <v>Día anterior</v>
      </c>
      <c r="C29" s="3" t="s">
        <v>40</v>
      </c>
      <c r="D29" t="s">
        <v>48</v>
      </c>
      <c r="E29" s="3" t="s">
        <v>129</v>
      </c>
      <c r="F29" s="3" t="s">
        <v>13</v>
      </c>
      <c r="G29" s="3" t="s">
        <v>130</v>
      </c>
      <c r="H29" s="3" t="s">
        <v>39</v>
      </c>
      <c r="I29" s="3" t="s">
        <v>7</v>
      </c>
      <c r="J29" s="3" t="s">
        <v>30</v>
      </c>
      <c r="K29" s="3" t="s">
        <v>42</v>
      </c>
      <c r="L29" s="3" t="s">
        <v>27</v>
      </c>
      <c r="M29">
        <v>1</v>
      </c>
    </row>
    <row r="30" spans="1:13" x14ac:dyDescent="0.25">
      <c r="A30" s="2">
        <v>46294</v>
      </c>
      <c r="B30" s="1" t="str">
        <f ca="1">IF(Información1[[#This Row],[Fecha]]='Ajuste de fechas'!$A$2,"Día actual","Día anterior")</f>
        <v>Día anterior</v>
      </c>
      <c r="C30" s="3" t="s">
        <v>40</v>
      </c>
      <c r="D30" t="s">
        <v>48</v>
      </c>
      <c r="E30" s="3" t="s">
        <v>131</v>
      </c>
      <c r="F30" s="3" t="s">
        <v>132</v>
      </c>
      <c r="G30" s="3" t="s">
        <v>133</v>
      </c>
      <c r="H30" s="3" t="s">
        <v>39</v>
      </c>
      <c r="I30" s="3" t="s">
        <v>18</v>
      </c>
      <c r="J30" s="3" t="s">
        <v>26</v>
      </c>
      <c r="K30" s="3" t="s">
        <v>42</v>
      </c>
      <c r="L30" s="3" t="s">
        <v>28</v>
      </c>
      <c r="M30">
        <v>1</v>
      </c>
    </row>
    <row r="31" spans="1:13" x14ac:dyDescent="0.25">
      <c r="A31" s="2">
        <v>46294</v>
      </c>
      <c r="B31" s="1" t="str">
        <f ca="1">IF(Información1[[#This Row],[Fecha]]='Ajuste de fechas'!$A$2,"Día actual","Día anterior")</f>
        <v>Día anterior</v>
      </c>
      <c r="C31" s="3" t="s">
        <v>40</v>
      </c>
      <c r="D31" t="s">
        <v>48</v>
      </c>
      <c r="E31" s="3" t="s">
        <v>134</v>
      </c>
      <c r="F31" s="3" t="s">
        <v>132</v>
      </c>
      <c r="G31" s="3" t="s">
        <v>133</v>
      </c>
      <c r="H31" s="3" t="s">
        <v>39</v>
      </c>
      <c r="I31" s="3" t="s">
        <v>7</v>
      </c>
      <c r="J31" s="3" t="s">
        <v>26</v>
      </c>
      <c r="K31" s="3" t="s">
        <v>42</v>
      </c>
      <c r="L31" s="3" t="s">
        <v>29</v>
      </c>
      <c r="M31">
        <v>1</v>
      </c>
    </row>
    <row r="32" spans="1:13" x14ac:dyDescent="0.25">
      <c r="A32" s="2">
        <v>46294</v>
      </c>
      <c r="B32" s="1" t="str">
        <f ca="1">IF(Información1[[#This Row],[Fecha]]='Ajuste de fechas'!$A$2,"Día actual","Día anterior")</f>
        <v>Día anterior</v>
      </c>
      <c r="C32" s="3" t="s">
        <v>58</v>
      </c>
      <c r="D32" t="s">
        <v>59</v>
      </c>
      <c r="E32" s="3" t="s">
        <v>122</v>
      </c>
      <c r="F32" s="3" t="s">
        <v>19</v>
      </c>
      <c r="G32" s="3" t="s">
        <v>123</v>
      </c>
      <c r="H32" s="3" t="s">
        <v>39</v>
      </c>
      <c r="I32" s="3" t="s">
        <v>7</v>
      </c>
      <c r="J32" s="3" t="s">
        <v>26</v>
      </c>
      <c r="K32" s="3" t="s">
        <v>61</v>
      </c>
      <c r="L32" s="3" t="s">
        <v>29</v>
      </c>
      <c r="M32">
        <v>1</v>
      </c>
    </row>
    <row r="33" spans="1:13" x14ac:dyDescent="0.25">
      <c r="A33" s="2">
        <v>46294</v>
      </c>
      <c r="B33" s="1" t="str">
        <f ca="1">IF(Información1[[#This Row],[Fecha]]='Ajuste de fechas'!$A$2,"Día actual","Día anterior")</f>
        <v>Día anterior</v>
      </c>
      <c r="C33" s="3" t="s">
        <v>58</v>
      </c>
      <c r="D33" t="s">
        <v>59</v>
      </c>
      <c r="E33" s="3" t="s">
        <v>135</v>
      </c>
      <c r="F33" s="3" t="s">
        <v>53</v>
      </c>
      <c r="G33" s="3" t="s">
        <v>136</v>
      </c>
      <c r="H33" s="3" t="s">
        <v>39</v>
      </c>
      <c r="I33" s="3" t="s">
        <v>7</v>
      </c>
      <c r="J33" s="3" t="s">
        <v>26</v>
      </c>
      <c r="K33" s="3" t="s">
        <v>61</v>
      </c>
      <c r="L33" s="3" t="s">
        <v>29</v>
      </c>
      <c r="M33">
        <v>1</v>
      </c>
    </row>
    <row r="34" spans="1:13" x14ac:dyDescent="0.25">
      <c r="A34" s="2">
        <v>46294</v>
      </c>
      <c r="B34" s="1" t="str">
        <f ca="1">IF(Información1[[#This Row],[Fecha]]='Ajuste de fechas'!$A$2,"Día actual","Día anterior")</f>
        <v>Día anterior</v>
      </c>
      <c r="C34" s="3" t="s">
        <v>58</v>
      </c>
      <c r="D34" t="s">
        <v>59</v>
      </c>
      <c r="E34" s="3" t="s">
        <v>137</v>
      </c>
      <c r="F34" s="3" t="s">
        <v>38</v>
      </c>
      <c r="G34" s="3" t="s">
        <v>138</v>
      </c>
      <c r="H34" s="3" t="s">
        <v>39</v>
      </c>
      <c r="I34" s="3" t="s">
        <v>7</v>
      </c>
      <c r="J34" s="3" t="s">
        <v>26</v>
      </c>
      <c r="K34" s="3" t="s">
        <v>61</v>
      </c>
      <c r="L34" s="3" t="s">
        <v>29</v>
      </c>
      <c r="M34">
        <v>1</v>
      </c>
    </row>
    <row r="35" spans="1:13" x14ac:dyDescent="0.25">
      <c r="A35" s="2">
        <v>46294</v>
      </c>
      <c r="B35" s="1" t="str">
        <f ca="1">IF(Información1[[#This Row],[Fecha]]='Ajuste de fechas'!$A$2,"Día actual","Día anterior")</f>
        <v>Día anterior</v>
      </c>
      <c r="C35" s="3" t="s">
        <v>58</v>
      </c>
      <c r="D35" t="s">
        <v>59</v>
      </c>
      <c r="E35" s="3" t="s">
        <v>139</v>
      </c>
      <c r="F35" s="3" t="s">
        <v>63</v>
      </c>
      <c r="G35" s="3" t="s">
        <v>64</v>
      </c>
      <c r="H35" s="3" t="s">
        <v>39</v>
      </c>
      <c r="I35" s="3" t="s">
        <v>7</v>
      </c>
      <c r="J35" s="3" t="s">
        <v>26</v>
      </c>
      <c r="K35" s="3" t="s">
        <v>61</v>
      </c>
      <c r="L35" s="3" t="s">
        <v>29</v>
      </c>
      <c r="M35">
        <v>1</v>
      </c>
    </row>
    <row r="36" spans="1:13" x14ac:dyDescent="0.25">
      <c r="A36" s="2">
        <v>46294</v>
      </c>
      <c r="B36" s="1" t="str">
        <f ca="1">IF(Información1[[#This Row],[Fecha]]='Ajuste de fechas'!$A$2,"Día actual","Día anterior")</f>
        <v>Día anterior</v>
      </c>
      <c r="C36" s="3" t="s">
        <v>40</v>
      </c>
      <c r="D36" t="s">
        <v>41</v>
      </c>
      <c r="E36" s="3" t="s">
        <v>140</v>
      </c>
      <c r="F36" s="3" t="s">
        <v>19</v>
      </c>
      <c r="G36" s="3" t="s">
        <v>141</v>
      </c>
      <c r="H36" s="3" t="s">
        <v>39</v>
      </c>
      <c r="I36" s="3" t="s">
        <v>7</v>
      </c>
      <c r="J36" s="3" t="s">
        <v>26</v>
      </c>
      <c r="K36" s="3" t="s">
        <v>43</v>
      </c>
      <c r="L36" s="3" t="s">
        <v>27</v>
      </c>
      <c r="M36">
        <v>1</v>
      </c>
    </row>
    <row r="37" spans="1:13" x14ac:dyDescent="0.25">
      <c r="A37" s="2">
        <v>46294</v>
      </c>
      <c r="B37" s="1" t="str">
        <f ca="1">IF(Información1[[#This Row],[Fecha]]='Ajuste de fechas'!$A$2,"Día actual","Día anterior")</f>
        <v>Día anterior</v>
      </c>
      <c r="C37" s="3" t="s">
        <v>40</v>
      </c>
      <c r="D37" t="s">
        <v>41</v>
      </c>
      <c r="E37" s="3" t="s">
        <v>142</v>
      </c>
      <c r="F37" s="3" t="s">
        <v>53</v>
      </c>
      <c r="G37" s="3" t="s">
        <v>136</v>
      </c>
      <c r="H37" s="3" t="s">
        <v>39</v>
      </c>
      <c r="I37" s="3" t="s">
        <v>7</v>
      </c>
      <c r="J37" s="3" t="s">
        <v>26</v>
      </c>
      <c r="K37" s="3" t="s">
        <v>43</v>
      </c>
      <c r="L37" s="3" t="s">
        <v>29</v>
      </c>
      <c r="M37">
        <v>1</v>
      </c>
    </row>
    <row r="38" spans="1:13" x14ac:dyDescent="0.25">
      <c r="A38" s="2">
        <v>46294</v>
      </c>
      <c r="B38" s="1" t="str">
        <f ca="1">IF(Información1[[#This Row],[Fecha]]='Ajuste de fechas'!$A$2,"Día actual","Día anterior")</f>
        <v>Día anterior</v>
      </c>
      <c r="C38" s="3" t="s">
        <v>40</v>
      </c>
      <c r="D38" t="s">
        <v>41</v>
      </c>
      <c r="E38" s="3" t="s">
        <v>143</v>
      </c>
      <c r="F38" s="3" t="s">
        <v>49</v>
      </c>
      <c r="G38" s="3" t="s">
        <v>92</v>
      </c>
      <c r="H38" s="3" t="s">
        <v>39</v>
      </c>
      <c r="I38" s="3" t="s">
        <v>7</v>
      </c>
      <c r="J38" s="3" t="s">
        <v>26</v>
      </c>
      <c r="K38" s="3" t="s">
        <v>42</v>
      </c>
      <c r="L38" s="3" t="s">
        <v>27</v>
      </c>
      <c r="M38">
        <v>1</v>
      </c>
    </row>
    <row r="39" spans="1:13" x14ac:dyDescent="0.25">
      <c r="A39" s="2">
        <v>46294</v>
      </c>
      <c r="B39" s="1" t="str">
        <f ca="1">IF(Información1[[#This Row],[Fecha]]='Ajuste de fechas'!$A$2,"Día actual","Día anterior")</f>
        <v>Día anterior</v>
      </c>
      <c r="C39" s="3" t="s">
        <v>40</v>
      </c>
      <c r="D39" t="s">
        <v>41</v>
      </c>
      <c r="E39" s="3" t="s">
        <v>144</v>
      </c>
      <c r="F39" s="3" t="s">
        <v>14</v>
      </c>
      <c r="G39" s="3" t="s">
        <v>145</v>
      </c>
      <c r="H39" s="3" t="s">
        <v>39</v>
      </c>
      <c r="I39" s="3" t="s">
        <v>10</v>
      </c>
      <c r="J39" s="3" t="s">
        <v>26</v>
      </c>
      <c r="K39" s="3" t="s">
        <v>43</v>
      </c>
      <c r="L39" s="3" t="s">
        <v>36</v>
      </c>
      <c r="M39">
        <v>1</v>
      </c>
    </row>
    <row r="40" spans="1:13" x14ac:dyDescent="0.25">
      <c r="A40" s="2">
        <v>46294</v>
      </c>
      <c r="B40" s="1" t="str">
        <f ca="1">IF(Información1[[#This Row],[Fecha]]='Ajuste de fechas'!$A$2,"Día actual","Día anterior")</f>
        <v>Día anterior</v>
      </c>
      <c r="C40" s="3" t="s">
        <v>40</v>
      </c>
      <c r="D40" t="s">
        <v>41</v>
      </c>
      <c r="E40" s="3" t="s">
        <v>146</v>
      </c>
      <c r="F40" s="3" t="s">
        <v>15</v>
      </c>
      <c r="G40" s="3" t="s">
        <v>147</v>
      </c>
      <c r="H40" s="3" t="s">
        <v>39</v>
      </c>
      <c r="I40" s="3" t="s">
        <v>7</v>
      </c>
      <c r="J40" s="3" t="s">
        <v>31</v>
      </c>
      <c r="K40" s="3" t="s">
        <v>42</v>
      </c>
      <c r="L40" s="3" t="s">
        <v>27</v>
      </c>
      <c r="M40">
        <v>1</v>
      </c>
    </row>
    <row r="41" spans="1:13" x14ac:dyDescent="0.25">
      <c r="A41" s="2">
        <v>46294</v>
      </c>
      <c r="B41" s="1" t="str">
        <f ca="1">IF(Información1[[#This Row],[Fecha]]='Ajuste de fechas'!$A$2,"Día actual","Día anterior")</f>
        <v>Día anterior</v>
      </c>
      <c r="C41" s="3" t="s">
        <v>40</v>
      </c>
      <c r="D41" t="s">
        <v>41</v>
      </c>
      <c r="E41" s="3" t="s">
        <v>148</v>
      </c>
      <c r="F41" s="3" t="s">
        <v>13</v>
      </c>
      <c r="G41" s="3" t="s">
        <v>86</v>
      </c>
      <c r="H41" s="3" t="s">
        <v>39</v>
      </c>
      <c r="I41" s="3" t="s">
        <v>7</v>
      </c>
      <c r="J41" s="3" t="s">
        <v>30</v>
      </c>
      <c r="K41" s="3" t="s">
        <v>42</v>
      </c>
      <c r="L41" s="3" t="s">
        <v>27</v>
      </c>
      <c r="M41">
        <v>1</v>
      </c>
    </row>
    <row r="42" spans="1:13" x14ac:dyDescent="0.25">
      <c r="A42" s="2">
        <v>46294</v>
      </c>
      <c r="B42" s="1" t="str">
        <f ca="1">IF(Información1[[#This Row],[Fecha]]='Ajuste de fechas'!$A$2,"Día actual","Día anterior")</f>
        <v>Día anterior</v>
      </c>
      <c r="C42" s="3" t="s">
        <v>40</v>
      </c>
      <c r="D42" t="s">
        <v>41</v>
      </c>
      <c r="E42" s="3" t="s">
        <v>149</v>
      </c>
      <c r="F42" s="3" t="s">
        <v>38</v>
      </c>
      <c r="G42" s="3" t="s">
        <v>138</v>
      </c>
      <c r="H42" s="3" t="s">
        <v>39</v>
      </c>
      <c r="I42" s="3" t="s">
        <v>7</v>
      </c>
      <c r="J42" s="3" t="s">
        <v>26</v>
      </c>
      <c r="K42" s="3" t="s">
        <v>43</v>
      </c>
      <c r="L42" s="3" t="s">
        <v>29</v>
      </c>
      <c r="M42">
        <v>1</v>
      </c>
    </row>
    <row r="43" spans="1:13" x14ac:dyDescent="0.25">
      <c r="A43" s="2">
        <v>46294</v>
      </c>
      <c r="B43" s="1" t="str">
        <f ca="1">IF(Información1[[#This Row],[Fecha]]='Ajuste de fechas'!$A$2,"Día actual","Día anterior")</f>
        <v>Día anterior</v>
      </c>
      <c r="C43" s="3" t="s">
        <v>40</v>
      </c>
      <c r="D43" t="s">
        <v>41</v>
      </c>
      <c r="E43" s="3" t="s">
        <v>150</v>
      </c>
      <c r="F43" s="3" t="s">
        <v>35</v>
      </c>
      <c r="G43" s="3" t="s">
        <v>151</v>
      </c>
      <c r="H43" s="3" t="s">
        <v>39</v>
      </c>
      <c r="I43" s="3" t="s">
        <v>7</v>
      </c>
      <c r="J43" s="3" t="s">
        <v>17</v>
      </c>
      <c r="K43" s="3" t="s">
        <v>43</v>
      </c>
      <c r="L43" s="3" t="s">
        <v>27</v>
      </c>
      <c r="M43">
        <v>1</v>
      </c>
    </row>
    <row r="44" spans="1:13" x14ac:dyDescent="0.25">
      <c r="A44" s="2">
        <v>46294</v>
      </c>
      <c r="B44" s="1" t="str">
        <f ca="1">IF(Información1[[#This Row],[Fecha]]='Ajuste de fechas'!$A$2,"Día actual","Día anterior")</f>
        <v>Día anterior</v>
      </c>
      <c r="C44" s="3" t="s">
        <v>40</v>
      </c>
      <c r="D44" t="s">
        <v>41</v>
      </c>
      <c r="E44" s="3" t="s">
        <v>152</v>
      </c>
      <c r="F44" s="3" t="s">
        <v>15</v>
      </c>
      <c r="G44" s="3" t="s">
        <v>153</v>
      </c>
      <c r="H44" s="3" t="s">
        <v>39</v>
      </c>
      <c r="I44" s="3" t="s">
        <v>7</v>
      </c>
      <c r="J44" s="3" t="s">
        <v>31</v>
      </c>
      <c r="K44" s="3" t="s">
        <v>43</v>
      </c>
      <c r="L44" s="3" t="s">
        <v>27</v>
      </c>
      <c r="M44">
        <v>1</v>
      </c>
    </row>
    <row r="45" spans="1:13" x14ac:dyDescent="0.25">
      <c r="A45" s="2">
        <v>46294</v>
      </c>
      <c r="B45" s="1" t="str">
        <f ca="1">IF(Información1[[#This Row],[Fecha]]='Ajuste de fechas'!$A$2,"Día actual","Día anterior")</f>
        <v>Día anterior</v>
      </c>
      <c r="C45" s="3" t="s">
        <v>40</v>
      </c>
      <c r="D45" t="s">
        <v>41</v>
      </c>
      <c r="E45" s="3" t="s">
        <v>154</v>
      </c>
      <c r="F45" s="3" t="s">
        <v>17</v>
      </c>
      <c r="G45" s="3" t="s">
        <v>155</v>
      </c>
      <c r="H45" s="3" t="s">
        <v>39</v>
      </c>
      <c r="I45" s="3" t="s">
        <v>7</v>
      </c>
      <c r="J45" s="3" t="s">
        <v>17</v>
      </c>
      <c r="K45" s="3" t="s">
        <v>42</v>
      </c>
      <c r="L45" s="3" t="s">
        <v>36</v>
      </c>
      <c r="M45">
        <v>1</v>
      </c>
    </row>
    <row r="46" spans="1:13" x14ac:dyDescent="0.25">
      <c r="A46" s="2">
        <v>46295</v>
      </c>
      <c r="B46" s="1" t="str">
        <f ca="1">IF(Información1[[#This Row],[Fecha]]='Ajuste de fechas'!$A$2,"Día actual","Día anterior")</f>
        <v>Día actual</v>
      </c>
      <c r="C46" s="3" t="s">
        <v>40</v>
      </c>
      <c r="D46" t="s">
        <v>48</v>
      </c>
      <c r="E46" s="3" t="s">
        <v>156</v>
      </c>
      <c r="F46" s="3" t="s">
        <v>19</v>
      </c>
      <c r="G46" s="3" t="s">
        <v>157</v>
      </c>
      <c r="H46" s="3" t="s">
        <v>39</v>
      </c>
      <c r="I46" s="3" t="s">
        <v>7</v>
      </c>
      <c r="J46" s="3" t="s">
        <v>26</v>
      </c>
      <c r="K46" s="3" t="s">
        <v>42</v>
      </c>
      <c r="L46" s="3" t="s">
        <v>27</v>
      </c>
      <c r="M46">
        <v>1</v>
      </c>
    </row>
    <row r="47" spans="1:13" x14ac:dyDescent="0.25">
      <c r="A47" s="2">
        <v>46295</v>
      </c>
      <c r="B47" s="1" t="str">
        <f ca="1">IF(Información1[[#This Row],[Fecha]]='Ajuste de fechas'!$A$2,"Día actual","Día anterior")</f>
        <v>Día actual</v>
      </c>
      <c r="C47" s="3" t="s">
        <v>40</v>
      </c>
      <c r="D47" t="s">
        <v>48</v>
      </c>
      <c r="E47" s="3" t="s">
        <v>158</v>
      </c>
      <c r="F47" s="3" t="s">
        <v>19</v>
      </c>
      <c r="G47" s="3" t="s">
        <v>159</v>
      </c>
      <c r="H47" s="3" t="s">
        <v>39</v>
      </c>
      <c r="I47" s="3" t="s">
        <v>7</v>
      </c>
      <c r="J47" s="3" t="s">
        <v>26</v>
      </c>
      <c r="K47" s="3" t="s">
        <v>42</v>
      </c>
      <c r="L47" s="3" t="s">
        <v>27</v>
      </c>
      <c r="M47">
        <v>1</v>
      </c>
    </row>
    <row r="48" spans="1:13" x14ac:dyDescent="0.25">
      <c r="A48" s="2">
        <v>46295</v>
      </c>
      <c r="B48" s="1" t="str">
        <f ca="1">IF(Información1[[#This Row],[Fecha]]='Ajuste de fechas'!$A$2,"Día actual","Día anterior")</f>
        <v>Día actual</v>
      </c>
      <c r="C48" s="3" t="s">
        <v>40</v>
      </c>
      <c r="D48" t="s">
        <v>48</v>
      </c>
      <c r="E48" s="3" t="s">
        <v>160</v>
      </c>
      <c r="F48" s="3" t="s">
        <v>19</v>
      </c>
      <c r="G48" s="3" t="s">
        <v>54</v>
      </c>
      <c r="H48" s="3" t="s">
        <v>39</v>
      </c>
      <c r="I48" s="3" t="s">
        <v>7</v>
      </c>
      <c r="J48" s="3" t="s">
        <v>26</v>
      </c>
      <c r="K48" s="3" t="s">
        <v>42</v>
      </c>
      <c r="L48" s="3" t="s">
        <v>27</v>
      </c>
      <c r="M48">
        <v>1</v>
      </c>
    </row>
    <row r="49" spans="1:13" x14ac:dyDescent="0.25">
      <c r="A49" s="2">
        <v>46295</v>
      </c>
      <c r="B49" s="1" t="str">
        <f ca="1">IF(Información1[[#This Row],[Fecha]]='Ajuste de fechas'!$A$2,"Día actual","Día anterior")</f>
        <v>Día actual</v>
      </c>
      <c r="C49" s="3" t="s">
        <v>40</v>
      </c>
      <c r="D49" t="s">
        <v>48</v>
      </c>
      <c r="E49" s="3" t="s">
        <v>161</v>
      </c>
      <c r="F49" s="3" t="s">
        <v>13</v>
      </c>
      <c r="G49" s="3" t="s">
        <v>162</v>
      </c>
      <c r="H49" s="3" t="s">
        <v>39</v>
      </c>
      <c r="I49" s="3" t="s">
        <v>7</v>
      </c>
      <c r="J49" s="3" t="s">
        <v>30</v>
      </c>
      <c r="K49" s="3" t="s">
        <v>42</v>
      </c>
      <c r="L49" s="3" t="s">
        <v>27</v>
      </c>
      <c r="M49">
        <v>1</v>
      </c>
    </row>
    <row r="50" spans="1:13" x14ac:dyDescent="0.25">
      <c r="A50" s="2">
        <v>46295</v>
      </c>
      <c r="B50" s="1" t="str">
        <f ca="1">IF(Información1[[#This Row],[Fecha]]='Ajuste de fechas'!$A$2,"Día actual","Día anterior")</f>
        <v>Día actual</v>
      </c>
      <c r="C50" s="3" t="s">
        <v>40</v>
      </c>
      <c r="D50" t="s">
        <v>48</v>
      </c>
      <c r="E50" s="3" t="s">
        <v>163</v>
      </c>
      <c r="F50" s="3" t="s">
        <v>13</v>
      </c>
      <c r="G50" s="3" t="s">
        <v>164</v>
      </c>
      <c r="H50" s="3" t="s">
        <v>39</v>
      </c>
      <c r="I50" s="3" t="s">
        <v>7</v>
      </c>
      <c r="J50" s="3" t="s">
        <v>30</v>
      </c>
      <c r="K50" s="3" t="s">
        <v>42</v>
      </c>
      <c r="L50" s="3" t="s">
        <v>27</v>
      </c>
      <c r="M50">
        <v>1</v>
      </c>
    </row>
    <row r="51" spans="1:13" x14ac:dyDescent="0.25">
      <c r="A51" s="2">
        <v>46295</v>
      </c>
      <c r="B51" s="1" t="str">
        <f ca="1">IF(Información1[[#This Row],[Fecha]]='Ajuste de fechas'!$A$2,"Día actual","Día anterior")</f>
        <v>Día actual</v>
      </c>
      <c r="C51" s="3" t="s">
        <v>40</v>
      </c>
      <c r="D51" t="s">
        <v>48</v>
      </c>
      <c r="E51" s="3" t="s">
        <v>165</v>
      </c>
      <c r="F51" s="3" t="s">
        <v>13</v>
      </c>
      <c r="G51" s="3"/>
      <c r="H51" s="3" t="s">
        <v>39</v>
      </c>
      <c r="I51" s="3" t="s">
        <v>7</v>
      </c>
      <c r="J51" s="3" t="s">
        <v>30</v>
      </c>
      <c r="K51" s="3" t="s">
        <v>42</v>
      </c>
      <c r="L51" s="3" t="s">
        <v>27</v>
      </c>
      <c r="M51">
        <v>1</v>
      </c>
    </row>
    <row r="52" spans="1:13" x14ac:dyDescent="0.25">
      <c r="A52" s="2">
        <v>46295</v>
      </c>
      <c r="B52" s="1" t="str">
        <f ca="1">IF(Información1[[#This Row],[Fecha]]='Ajuste de fechas'!$A$2,"Día actual","Día anterior")</f>
        <v>Día actual</v>
      </c>
      <c r="C52" s="3" t="s">
        <v>40</v>
      </c>
      <c r="D52" t="s">
        <v>48</v>
      </c>
      <c r="E52" s="3" t="s">
        <v>166</v>
      </c>
      <c r="F52" s="3" t="s">
        <v>16</v>
      </c>
      <c r="G52" s="3" t="s">
        <v>167</v>
      </c>
      <c r="H52" s="3" t="s">
        <v>39</v>
      </c>
      <c r="I52" s="3" t="s">
        <v>7</v>
      </c>
      <c r="J52" s="3" t="s">
        <v>26</v>
      </c>
      <c r="K52" s="3" t="s">
        <v>42</v>
      </c>
      <c r="L52" s="3" t="s">
        <v>29</v>
      </c>
      <c r="M52">
        <v>1</v>
      </c>
    </row>
    <row r="53" spans="1:13" x14ac:dyDescent="0.25">
      <c r="A53" s="2">
        <v>46295</v>
      </c>
      <c r="B53" s="1" t="str">
        <f ca="1">IF(Información1[[#This Row],[Fecha]]='Ajuste de fechas'!$A$2,"Día actual","Día anterior")</f>
        <v>Día actual</v>
      </c>
      <c r="C53" s="3" t="s">
        <v>40</v>
      </c>
      <c r="D53" t="s">
        <v>48</v>
      </c>
      <c r="E53" s="3" t="s">
        <v>168</v>
      </c>
      <c r="F53" s="3" t="s">
        <v>12</v>
      </c>
      <c r="G53" s="3" t="s">
        <v>169</v>
      </c>
      <c r="H53" s="3" t="s">
        <v>39</v>
      </c>
      <c r="I53" s="3" t="s">
        <v>7</v>
      </c>
      <c r="J53" s="3" t="s">
        <v>26</v>
      </c>
      <c r="K53" s="3" t="s">
        <v>42</v>
      </c>
      <c r="L53" s="3" t="s">
        <v>27</v>
      </c>
      <c r="M53">
        <v>1</v>
      </c>
    </row>
    <row r="54" spans="1:13" x14ac:dyDescent="0.25">
      <c r="A54" s="2">
        <v>46295</v>
      </c>
      <c r="B54" s="1" t="str">
        <f ca="1">IF(Información1[[#This Row],[Fecha]]='Ajuste de fechas'!$A$2,"Día actual","Día anterior")</f>
        <v>Día actual</v>
      </c>
      <c r="C54" s="3" t="s">
        <v>40</v>
      </c>
      <c r="D54" t="s">
        <v>48</v>
      </c>
      <c r="E54" s="3" t="s">
        <v>170</v>
      </c>
      <c r="F54" s="3" t="s">
        <v>13</v>
      </c>
      <c r="G54" s="3" t="s">
        <v>171</v>
      </c>
      <c r="H54" s="3" t="s">
        <v>39</v>
      </c>
      <c r="I54" s="3" t="s">
        <v>7</v>
      </c>
      <c r="J54" s="3" t="s">
        <v>30</v>
      </c>
      <c r="K54" s="3" t="s">
        <v>42</v>
      </c>
      <c r="L54" s="3" t="s">
        <v>27</v>
      </c>
      <c r="M54">
        <v>1</v>
      </c>
    </row>
    <row r="55" spans="1:13" x14ac:dyDescent="0.25">
      <c r="A55" s="2">
        <v>46295</v>
      </c>
      <c r="B55" s="1" t="str">
        <f ca="1">IF(Información1[[#This Row],[Fecha]]='Ajuste de fechas'!$A$2,"Día actual","Día anterior")</f>
        <v>Día actual</v>
      </c>
      <c r="C55" s="3" t="s">
        <v>58</v>
      </c>
      <c r="D55" t="s">
        <v>59</v>
      </c>
      <c r="E55" s="3" t="s">
        <v>172</v>
      </c>
      <c r="F55" s="3" t="s">
        <v>37</v>
      </c>
      <c r="G55" s="3" t="s">
        <v>65</v>
      </c>
      <c r="H55" s="3" t="s">
        <v>39</v>
      </c>
      <c r="I55" s="3" t="s">
        <v>7</v>
      </c>
      <c r="J55" s="3" t="s">
        <v>26</v>
      </c>
      <c r="K55" s="3" t="s">
        <v>61</v>
      </c>
      <c r="L55" s="3" t="s">
        <v>29</v>
      </c>
      <c r="M55">
        <v>1</v>
      </c>
    </row>
    <row r="56" spans="1:13" x14ac:dyDescent="0.25">
      <c r="A56" s="2">
        <v>46295</v>
      </c>
      <c r="B56" s="1" t="str">
        <f ca="1">IF(Información1[[#This Row],[Fecha]]='Ajuste de fechas'!$A$2,"Día actual","Día anterior")</f>
        <v>Día actual</v>
      </c>
      <c r="C56" s="3" t="s">
        <v>58</v>
      </c>
      <c r="D56" t="s">
        <v>59</v>
      </c>
      <c r="E56" s="3" t="s">
        <v>173</v>
      </c>
      <c r="F56" s="3" t="s">
        <v>19</v>
      </c>
      <c r="G56" s="3" t="s">
        <v>174</v>
      </c>
      <c r="H56" s="3" t="s">
        <v>39</v>
      </c>
      <c r="I56" s="3" t="s">
        <v>7</v>
      </c>
      <c r="J56" s="3" t="s">
        <v>26</v>
      </c>
      <c r="K56" s="3" t="s">
        <v>61</v>
      </c>
      <c r="L56" s="3" t="s">
        <v>29</v>
      </c>
      <c r="M56">
        <v>1</v>
      </c>
    </row>
    <row r="57" spans="1:13" x14ac:dyDescent="0.25">
      <c r="A57" s="2">
        <v>46295</v>
      </c>
      <c r="B57" s="1" t="str">
        <f ca="1">IF(Información1[[#This Row],[Fecha]]='Ajuste de fechas'!$A$2,"Día actual","Día anterior")</f>
        <v>Día actual</v>
      </c>
      <c r="C57" s="3" t="s">
        <v>58</v>
      </c>
      <c r="D57" t="s">
        <v>59</v>
      </c>
      <c r="E57" s="3" t="s">
        <v>175</v>
      </c>
      <c r="F57" s="3" t="s">
        <v>132</v>
      </c>
      <c r="G57" s="3" t="s">
        <v>176</v>
      </c>
      <c r="H57" s="3" t="s">
        <v>39</v>
      </c>
      <c r="I57" s="3" t="s">
        <v>10</v>
      </c>
      <c r="J57" s="3" t="s">
        <v>26</v>
      </c>
      <c r="K57" s="3" t="s">
        <v>61</v>
      </c>
      <c r="L57" s="3" t="s">
        <v>29</v>
      </c>
      <c r="M57">
        <v>1</v>
      </c>
    </row>
    <row r="58" spans="1:13" x14ac:dyDescent="0.25">
      <c r="A58" s="2">
        <v>46295</v>
      </c>
      <c r="B58" s="1" t="str">
        <f ca="1">IF(Información1[[#This Row],[Fecha]]='Ajuste de fechas'!$A$2,"Día actual","Día anterior")</f>
        <v>Día actual</v>
      </c>
      <c r="C58" s="3" t="s">
        <v>40</v>
      </c>
      <c r="D58" t="s">
        <v>41</v>
      </c>
      <c r="E58" s="3" t="s">
        <v>177</v>
      </c>
      <c r="F58" s="3" t="s">
        <v>15</v>
      </c>
      <c r="G58" s="3" t="s">
        <v>147</v>
      </c>
      <c r="H58" s="3" t="s">
        <v>39</v>
      </c>
      <c r="I58" s="3" t="s">
        <v>7</v>
      </c>
      <c r="J58" s="3" t="s">
        <v>31</v>
      </c>
      <c r="K58" s="3" t="s">
        <v>42</v>
      </c>
      <c r="L58" s="3" t="s">
        <v>27</v>
      </c>
      <c r="M58">
        <v>1</v>
      </c>
    </row>
    <row r="59" spans="1:13" x14ac:dyDescent="0.25">
      <c r="A59" s="2">
        <v>46295</v>
      </c>
      <c r="B59" s="1" t="str">
        <f ca="1">IF(Información1[[#This Row],[Fecha]]='Ajuste de fechas'!$A$2,"Día actual","Día anterior")</f>
        <v>Día actual</v>
      </c>
      <c r="C59" s="3" t="s">
        <v>40</v>
      </c>
      <c r="D59" t="s">
        <v>41</v>
      </c>
      <c r="E59" s="3" t="s">
        <v>178</v>
      </c>
      <c r="F59" s="3" t="s">
        <v>51</v>
      </c>
      <c r="G59" s="3" t="s">
        <v>179</v>
      </c>
      <c r="H59" s="3" t="s">
        <v>39</v>
      </c>
      <c r="I59" s="3" t="s">
        <v>7</v>
      </c>
      <c r="J59" s="3" t="s">
        <v>26</v>
      </c>
      <c r="K59" s="3" t="s">
        <v>43</v>
      </c>
      <c r="L59" s="3" t="s">
        <v>29</v>
      </c>
      <c r="M59">
        <v>1</v>
      </c>
    </row>
    <row r="60" spans="1:13" x14ac:dyDescent="0.25">
      <c r="A60" s="2">
        <v>46295</v>
      </c>
      <c r="B60" s="1" t="str">
        <f ca="1">IF(Información1[[#This Row],[Fecha]]='Ajuste de fechas'!$A$2,"Día actual","Día anterior")</f>
        <v>Día actual</v>
      </c>
      <c r="C60" s="3" t="s">
        <v>40</v>
      </c>
      <c r="D60" t="s">
        <v>41</v>
      </c>
      <c r="E60" s="3" t="s">
        <v>180</v>
      </c>
      <c r="F60" s="3" t="s">
        <v>60</v>
      </c>
      <c r="G60" s="3" t="s">
        <v>181</v>
      </c>
      <c r="H60" s="3" t="s">
        <v>39</v>
      </c>
      <c r="I60" s="3" t="s">
        <v>7</v>
      </c>
      <c r="J60" s="3" t="s">
        <v>26</v>
      </c>
      <c r="K60" s="3" t="s">
        <v>43</v>
      </c>
      <c r="L60" s="3" t="s">
        <v>29</v>
      </c>
      <c r="M60">
        <v>1</v>
      </c>
    </row>
    <row r="61" spans="1:13" x14ac:dyDescent="0.25">
      <c r="A61" s="2">
        <v>46295</v>
      </c>
      <c r="B61" s="1" t="str">
        <f ca="1">IF(Información1[[#This Row],[Fecha]]='Ajuste de fechas'!$A$2,"Día actual","Día anterior")</f>
        <v>Día actual</v>
      </c>
      <c r="C61" s="3" t="s">
        <v>40</v>
      </c>
      <c r="D61" t="s">
        <v>41</v>
      </c>
      <c r="E61" s="3" t="s">
        <v>175</v>
      </c>
      <c r="F61" s="3" t="s">
        <v>132</v>
      </c>
      <c r="G61" s="3" t="s">
        <v>176</v>
      </c>
      <c r="H61" s="3" t="s">
        <v>39</v>
      </c>
      <c r="I61" s="3" t="s">
        <v>18</v>
      </c>
      <c r="J61" s="3" t="s">
        <v>26</v>
      </c>
      <c r="K61" s="3" t="s">
        <v>43</v>
      </c>
      <c r="L61" s="3" t="s">
        <v>29</v>
      </c>
      <c r="M61">
        <v>1</v>
      </c>
    </row>
    <row r="62" spans="1:13" x14ac:dyDescent="0.25">
      <c r="A62" s="2">
        <v>46295</v>
      </c>
      <c r="B62" s="1" t="str">
        <f ca="1">IF(Información1[[#This Row],[Fecha]]='Ajuste de fechas'!$A$2,"Día actual","Día anterior")</f>
        <v>Día actual</v>
      </c>
      <c r="C62" s="3" t="s">
        <v>40</v>
      </c>
      <c r="D62" t="s">
        <v>41</v>
      </c>
      <c r="E62" s="3" t="s">
        <v>173</v>
      </c>
      <c r="F62" s="3" t="s">
        <v>19</v>
      </c>
      <c r="G62" s="3" t="s">
        <v>174</v>
      </c>
      <c r="H62" s="3" t="s">
        <v>39</v>
      </c>
      <c r="I62" s="3" t="s">
        <v>7</v>
      </c>
      <c r="J62" s="3" t="s">
        <v>26</v>
      </c>
      <c r="K62" s="3" t="s">
        <v>43</v>
      </c>
      <c r="L62" s="3" t="s">
        <v>29</v>
      </c>
      <c r="M62">
        <v>1</v>
      </c>
    </row>
    <row r="63" spans="1:13" x14ac:dyDescent="0.25">
      <c r="A63" s="2">
        <v>46295</v>
      </c>
      <c r="B63" s="1" t="str">
        <f ca="1">IF(Información1[[#This Row],[Fecha]]='Ajuste de fechas'!$A$2,"Día actual","Día anterior")</f>
        <v>Día actual</v>
      </c>
      <c r="C63" s="3" t="s">
        <v>40</v>
      </c>
      <c r="D63" t="s">
        <v>41</v>
      </c>
      <c r="E63" s="3" t="s">
        <v>182</v>
      </c>
      <c r="F63" s="3" t="s">
        <v>60</v>
      </c>
      <c r="G63" s="3" t="s">
        <v>183</v>
      </c>
      <c r="H63" s="3" t="s">
        <v>39</v>
      </c>
      <c r="I63" s="3" t="s">
        <v>10</v>
      </c>
      <c r="J63" s="3" t="s">
        <v>26</v>
      </c>
      <c r="K63" s="3" t="s">
        <v>42</v>
      </c>
      <c r="L63" s="3" t="s">
        <v>27</v>
      </c>
      <c r="M63">
        <v>1</v>
      </c>
    </row>
    <row r="64" spans="1:13" x14ac:dyDescent="0.25">
      <c r="A64" s="2">
        <v>46295</v>
      </c>
      <c r="B64" s="1" t="str">
        <f ca="1">IF(Información1[[#This Row],[Fecha]]='Ajuste de fechas'!$A$2,"Día actual","Día anterior")</f>
        <v>Día actual</v>
      </c>
      <c r="C64" s="3" t="s">
        <v>40</v>
      </c>
      <c r="D64" t="s">
        <v>41</v>
      </c>
      <c r="E64" s="3" t="s">
        <v>184</v>
      </c>
      <c r="F64" s="3" t="s">
        <v>38</v>
      </c>
      <c r="G64" s="3" t="s">
        <v>185</v>
      </c>
      <c r="H64" s="3" t="s">
        <v>39</v>
      </c>
      <c r="I64" s="3" t="s">
        <v>10</v>
      </c>
      <c r="J64" s="3" t="s">
        <v>26</v>
      </c>
      <c r="K64" s="3" t="s">
        <v>43</v>
      </c>
      <c r="L64" s="3" t="s">
        <v>28</v>
      </c>
      <c r="M64">
        <v>1</v>
      </c>
    </row>
    <row r="65" spans="1:13" x14ac:dyDescent="0.25">
      <c r="A65" s="2">
        <v>46295</v>
      </c>
      <c r="B65" s="1" t="str">
        <f ca="1">IF(Información1[[#This Row],[Fecha]]='Ajuste de fechas'!$A$2,"Día actual","Día anterior")</f>
        <v>Día actual</v>
      </c>
      <c r="C65" s="3" t="s">
        <v>40</v>
      </c>
      <c r="D65" t="s">
        <v>41</v>
      </c>
      <c r="E65" s="3" t="s">
        <v>186</v>
      </c>
      <c r="F65" s="3" t="s">
        <v>38</v>
      </c>
      <c r="G65" s="3" t="s">
        <v>185</v>
      </c>
      <c r="H65" s="3" t="s">
        <v>39</v>
      </c>
      <c r="I65" s="3" t="s">
        <v>7</v>
      </c>
      <c r="J65" s="3" t="s">
        <v>26</v>
      </c>
      <c r="K65" s="3" t="s">
        <v>43</v>
      </c>
      <c r="L65" s="3" t="s">
        <v>29</v>
      </c>
      <c r="M65">
        <v>1</v>
      </c>
    </row>
    <row r="66" spans="1:13" x14ac:dyDescent="0.25">
      <c r="A66" s="2">
        <v>46295</v>
      </c>
      <c r="B66" s="1" t="str">
        <f ca="1">IF(Información1[[#This Row],[Fecha]]='Ajuste de fechas'!$A$2,"Día actual","Día anterior")</f>
        <v>Día actual</v>
      </c>
      <c r="C66" s="3" t="s">
        <v>40</v>
      </c>
      <c r="D66" t="s">
        <v>41</v>
      </c>
      <c r="E66" s="3" t="s">
        <v>187</v>
      </c>
      <c r="F66" s="3" t="s">
        <v>6</v>
      </c>
      <c r="G66" s="3" t="s">
        <v>188</v>
      </c>
      <c r="H66" s="3" t="s">
        <v>39</v>
      </c>
      <c r="I66" s="3" t="s">
        <v>7</v>
      </c>
      <c r="J66" s="3" t="s">
        <v>26</v>
      </c>
      <c r="K66" s="3" t="s">
        <v>43</v>
      </c>
      <c r="L66" s="3" t="s">
        <v>27</v>
      </c>
      <c r="M66">
        <v>1</v>
      </c>
    </row>
    <row r="67" spans="1:13" x14ac:dyDescent="0.25">
      <c r="A67" s="2">
        <v>46295</v>
      </c>
      <c r="B67" s="1" t="str">
        <f ca="1">IF(Información1[[#This Row],[Fecha]]='Ajuste de fechas'!$A$2,"Día actual","Día anterior")</f>
        <v>Día actual</v>
      </c>
      <c r="C67" s="3" t="s">
        <v>40</v>
      </c>
      <c r="D67" t="s">
        <v>41</v>
      </c>
      <c r="E67" s="3" t="s">
        <v>189</v>
      </c>
      <c r="F67" s="3" t="s">
        <v>14</v>
      </c>
      <c r="G67" s="3" t="s">
        <v>52</v>
      </c>
      <c r="H67" s="3" t="s">
        <v>39</v>
      </c>
      <c r="I67" s="3" t="s">
        <v>7</v>
      </c>
      <c r="J67" s="3" t="s">
        <v>26</v>
      </c>
      <c r="K67" s="3" t="s">
        <v>42</v>
      </c>
      <c r="L67" s="3" t="s">
        <v>36</v>
      </c>
      <c r="M67">
        <v>1</v>
      </c>
    </row>
    <row r="68" spans="1:13" x14ac:dyDescent="0.25">
      <c r="A68" s="2">
        <v>46295</v>
      </c>
      <c r="B68" s="1" t="str">
        <f ca="1">IF(Información1[[#This Row],[Fecha]]='Ajuste de fechas'!$A$2,"Día actual","Día anterior")</f>
        <v>Día actual</v>
      </c>
      <c r="C68" s="3" t="s">
        <v>8</v>
      </c>
      <c r="D68" t="s">
        <v>190</v>
      </c>
      <c r="E68" s="3" t="s">
        <v>191</v>
      </c>
      <c r="F68" s="3" t="s">
        <v>116</v>
      </c>
      <c r="G68" s="3"/>
      <c r="H68" s="3" t="s">
        <v>39</v>
      </c>
      <c r="I68" s="3" t="s">
        <v>7</v>
      </c>
      <c r="J68" s="3" t="s">
        <v>17</v>
      </c>
      <c r="K68" s="3" t="s">
        <v>50</v>
      </c>
      <c r="L68" s="3" t="s">
        <v>28</v>
      </c>
      <c r="M68">
        <v>1</v>
      </c>
    </row>
    <row r="69" spans="1:13" x14ac:dyDescent="0.25">
      <c r="A69" s="2">
        <v>46295</v>
      </c>
      <c r="B69" s="1" t="str">
        <f ca="1">IF(Información1[[#This Row],[Fecha]]='Ajuste de fechas'!$A$2,"Día actual","Día anterior")</f>
        <v>Día actual</v>
      </c>
      <c r="C69" s="3" t="s">
        <v>44</v>
      </c>
      <c r="D69" t="s">
        <v>45</v>
      </c>
      <c r="E69" s="3" t="s">
        <v>192</v>
      </c>
      <c r="F69" s="3" t="s">
        <v>13</v>
      </c>
      <c r="G69" s="3" t="s">
        <v>171</v>
      </c>
      <c r="H69" s="3" t="s">
        <v>39</v>
      </c>
      <c r="I69" s="3" t="s">
        <v>7</v>
      </c>
      <c r="J69" s="3" t="s">
        <v>30</v>
      </c>
      <c r="K69" s="3" t="s">
        <v>46</v>
      </c>
      <c r="L69" s="3" t="s">
        <v>27</v>
      </c>
      <c r="M69">
        <v>1</v>
      </c>
    </row>
    <row r="70" spans="1:13" x14ac:dyDescent="0.25">
      <c r="A70" s="2">
        <v>46295</v>
      </c>
      <c r="B70" s="1" t="str">
        <f ca="1">IF(Información1[[#This Row],[Fecha]]='Ajuste de fechas'!$A$2,"Día actual","Día anterior")</f>
        <v>Día actual</v>
      </c>
      <c r="C70" s="3" t="s">
        <v>8</v>
      </c>
      <c r="D70" t="s">
        <v>9</v>
      </c>
      <c r="E70" s="3" t="s">
        <v>193</v>
      </c>
      <c r="F70" s="3" t="s">
        <v>6</v>
      </c>
      <c r="G70" s="3" t="s">
        <v>194</v>
      </c>
      <c r="H70" s="3" t="s">
        <v>39</v>
      </c>
      <c r="I70" s="3" t="s">
        <v>18</v>
      </c>
      <c r="J70" s="3" t="s">
        <v>26</v>
      </c>
      <c r="K70" s="3" t="s">
        <v>50</v>
      </c>
      <c r="L70" s="3" t="s">
        <v>28</v>
      </c>
      <c r="M70">
        <v>1</v>
      </c>
    </row>
    <row r="71" spans="1:13" x14ac:dyDescent="0.25">
      <c r="A71" s="2">
        <v>46295</v>
      </c>
      <c r="B71" s="1" t="str">
        <f ca="1">IF(Información1[[#This Row],[Fecha]]='Ajuste de fechas'!$A$2,"Día actual","Día anterior")</f>
        <v>Día actual</v>
      </c>
      <c r="C71" s="3" t="s">
        <v>44</v>
      </c>
      <c r="D71" t="s">
        <v>45</v>
      </c>
      <c r="E71" s="3" t="s">
        <v>195</v>
      </c>
      <c r="F71" s="3" t="s">
        <v>16</v>
      </c>
      <c r="G71" s="3" t="s">
        <v>128</v>
      </c>
      <c r="H71" s="3" t="s">
        <v>39</v>
      </c>
      <c r="I71" s="3" t="s">
        <v>7</v>
      </c>
      <c r="J71" s="3" t="s">
        <v>26</v>
      </c>
      <c r="K71" s="3" t="s">
        <v>46</v>
      </c>
      <c r="L71" s="3" t="s">
        <v>27</v>
      </c>
      <c r="M71">
        <v>1</v>
      </c>
    </row>
    <row r="72" spans="1:13" x14ac:dyDescent="0.25">
      <c r="A72" s="2">
        <v>46295</v>
      </c>
      <c r="B72" s="1" t="str">
        <f ca="1">IF(Información1[[#This Row],[Fecha]]='Ajuste de fechas'!$A$2,"Día actual","Día anterior")</f>
        <v>Día actual</v>
      </c>
      <c r="C72" s="3" t="s">
        <v>44</v>
      </c>
      <c r="D72" t="s">
        <v>45</v>
      </c>
      <c r="E72" s="3" t="s">
        <v>196</v>
      </c>
      <c r="F72" s="3" t="s">
        <v>13</v>
      </c>
      <c r="G72" s="3" t="s">
        <v>197</v>
      </c>
      <c r="H72" s="3" t="s">
        <v>39</v>
      </c>
      <c r="I72" s="3" t="s">
        <v>7</v>
      </c>
      <c r="J72" s="3" t="s">
        <v>30</v>
      </c>
      <c r="K72" s="3" t="s">
        <v>46</v>
      </c>
      <c r="L72" s="3" t="s">
        <v>27</v>
      </c>
      <c r="M72">
        <v>1</v>
      </c>
    </row>
    <row r="73" spans="1:13" x14ac:dyDescent="0.25">
      <c r="A73" s="2">
        <v>46295</v>
      </c>
      <c r="B73" s="1" t="str">
        <f ca="1">IF(Información1[[#This Row],[Fecha]]='Ajuste de fechas'!$A$2,"Día actual","Día anterior")</f>
        <v>Día actual</v>
      </c>
      <c r="C73" s="3" t="s">
        <v>8</v>
      </c>
      <c r="D73" t="s">
        <v>190</v>
      </c>
      <c r="E73" s="3" t="s">
        <v>198</v>
      </c>
      <c r="F73" s="3" t="s">
        <v>13</v>
      </c>
      <c r="G73" s="3" t="s">
        <v>199</v>
      </c>
      <c r="H73" s="3" t="s">
        <v>39</v>
      </c>
      <c r="I73" s="3" t="s">
        <v>7</v>
      </c>
      <c r="J73" s="3" t="s">
        <v>30</v>
      </c>
      <c r="K73" s="3" t="s">
        <v>11</v>
      </c>
      <c r="L73" s="3" t="s">
        <v>27</v>
      </c>
      <c r="M73">
        <v>1</v>
      </c>
    </row>
    <row r="74" spans="1:13" x14ac:dyDescent="0.25">
      <c r="A74" s="2">
        <v>46295</v>
      </c>
      <c r="B74" s="1" t="str">
        <f ca="1">IF(Información1[[#This Row],[Fecha]]='Ajuste de fechas'!$A$2,"Día actual","Día anterior")</f>
        <v>Día actual</v>
      </c>
      <c r="C74" s="3" t="s">
        <v>8</v>
      </c>
      <c r="D74" t="s">
        <v>9</v>
      </c>
      <c r="E74" s="3" t="s">
        <v>200</v>
      </c>
      <c r="F74" s="3" t="s">
        <v>16</v>
      </c>
      <c r="G74" s="3" t="s">
        <v>167</v>
      </c>
      <c r="H74" s="3" t="s">
        <v>39</v>
      </c>
      <c r="I74" s="3" t="s">
        <v>7</v>
      </c>
      <c r="J74" s="3" t="s">
        <v>26</v>
      </c>
      <c r="K74" s="3" t="s">
        <v>11</v>
      </c>
      <c r="L74" s="3" t="s">
        <v>27</v>
      </c>
      <c r="M74">
        <v>1</v>
      </c>
    </row>
    <row r="75" spans="1:13" x14ac:dyDescent="0.25">
      <c r="A75" s="2">
        <v>46295</v>
      </c>
      <c r="B75" s="1" t="str">
        <f ca="1">IF(Información1[[#This Row],[Fecha]]='Ajuste de fechas'!$A$2,"Día actual","Día anterior")</f>
        <v>Día actual</v>
      </c>
      <c r="C75" s="3" t="s">
        <v>44</v>
      </c>
      <c r="D75" t="s">
        <v>45</v>
      </c>
      <c r="E75" s="3" t="s">
        <v>201</v>
      </c>
      <c r="F75" s="3" t="s">
        <v>19</v>
      </c>
      <c r="G75" s="3" t="s">
        <v>123</v>
      </c>
      <c r="H75" s="3" t="s">
        <v>39</v>
      </c>
      <c r="I75" s="3" t="s">
        <v>7</v>
      </c>
      <c r="J75" s="3" t="s">
        <v>26</v>
      </c>
      <c r="K75" s="3" t="s">
        <v>46</v>
      </c>
      <c r="L75" s="3" t="s">
        <v>27</v>
      </c>
      <c r="M75">
        <v>1</v>
      </c>
    </row>
    <row r="76" spans="1:13" x14ac:dyDescent="0.25">
      <c r="A76" s="2">
        <v>46295</v>
      </c>
      <c r="B76" s="1" t="str">
        <f ca="1">IF(Información1[[#This Row],[Fecha]]='Ajuste de fechas'!$A$2,"Día actual","Día anterior")</f>
        <v>Día actual</v>
      </c>
      <c r="C76" s="3" t="s">
        <v>44</v>
      </c>
      <c r="D76" t="s">
        <v>202</v>
      </c>
      <c r="E76" s="3" t="s">
        <v>203</v>
      </c>
      <c r="F76" s="3" t="s">
        <v>19</v>
      </c>
      <c r="G76" s="3" t="s">
        <v>174</v>
      </c>
      <c r="H76" s="3" t="s">
        <v>39</v>
      </c>
      <c r="I76" s="3" t="s">
        <v>7</v>
      </c>
      <c r="J76" s="3" t="s">
        <v>26</v>
      </c>
      <c r="K76" s="3" t="s">
        <v>204</v>
      </c>
      <c r="L76" s="3" t="s">
        <v>27</v>
      </c>
      <c r="M76">
        <v>1</v>
      </c>
    </row>
    <row r="77" spans="1:13" x14ac:dyDescent="0.25">
      <c r="A77" s="2">
        <v>46295</v>
      </c>
      <c r="B77" s="1" t="str">
        <f ca="1">IF(Información1[[#This Row],[Fecha]]='Ajuste de fechas'!$A$2,"Día actual","Día anterior")</f>
        <v>Día actual</v>
      </c>
      <c r="C77" s="3" t="s">
        <v>44</v>
      </c>
      <c r="D77" t="s">
        <v>45</v>
      </c>
      <c r="E77" s="3" t="s">
        <v>205</v>
      </c>
      <c r="F77" s="3" t="s">
        <v>19</v>
      </c>
      <c r="G77" s="3" t="s">
        <v>174</v>
      </c>
      <c r="H77" s="3" t="s">
        <v>39</v>
      </c>
      <c r="I77" s="3" t="s">
        <v>7</v>
      </c>
      <c r="J77" s="3" t="s">
        <v>26</v>
      </c>
      <c r="K77" s="3" t="s">
        <v>46</v>
      </c>
      <c r="L77" s="3" t="s">
        <v>27</v>
      </c>
      <c r="M77">
        <v>1</v>
      </c>
    </row>
    <row r="78" spans="1:13" x14ac:dyDescent="0.25">
      <c r="A78" s="2">
        <v>46295</v>
      </c>
      <c r="B78" s="1" t="str">
        <f ca="1">IF(Información1[[#This Row],[Fecha]]='Ajuste de fechas'!$A$2,"Día actual","Día anterior")</f>
        <v>Día actual</v>
      </c>
      <c r="C78" s="3" t="s">
        <v>8</v>
      </c>
      <c r="D78" t="s">
        <v>9</v>
      </c>
      <c r="E78" s="3" t="s">
        <v>206</v>
      </c>
      <c r="F78" s="3" t="s">
        <v>49</v>
      </c>
      <c r="G78" s="3" t="s">
        <v>55</v>
      </c>
      <c r="H78" s="3" t="s">
        <v>39</v>
      </c>
      <c r="I78" s="3" t="s">
        <v>18</v>
      </c>
      <c r="J78" s="3" t="s">
        <v>26</v>
      </c>
      <c r="K78" s="3" t="s">
        <v>50</v>
      </c>
      <c r="L78" s="3" t="s">
        <v>28</v>
      </c>
      <c r="M78">
        <v>1</v>
      </c>
    </row>
    <row r="79" spans="1:13" x14ac:dyDescent="0.25">
      <c r="A79" s="2">
        <v>46295</v>
      </c>
      <c r="B79" s="1" t="str">
        <f ca="1">IF(Información1[[#This Row],[Fecha]]='Ajuste de fechas'!$A$2,"Día actual","Día anterior")</f>
        <v>Día actual</v>
      </c>
      <c r="C79" s="3" t="s">
        <v>44</v>
      </c>
      <c r="D79" t="s">
        <v>202</v>
      </c>
      <c r="E79" s="3" t="s">
        <v>207</v>
      </c>
      <c r="F79" s="3" t="s">
        <v>19</v>
      </c>
      <c r="G79" s="3" t="s">
        <v>208</v>
      </c>
      <c r="H79" s="3" t="s">
        <v>39</v>
      </c>
      <c r="I79" s="3" t="s">
        <v>7</v>
      </c>
      <c r="J79" s="3" t="s">
        <v>26</v>
      </c>
      <c r="K79" s="3" t="s">
        <v>204</v>
      </c>
      <c r="L79" s="3" t="s">
        <v>27</v>
      </c>
      <c r="M79">
        <v>1</v>
      </c>
    </row>
    <row r="80" spans="1:13" x14ac:dyDescent="0.25">
      <c r="A80" s="2">
        <v>46295</v>
      </c>
      <c r="B80" s="1" t="str">
        <f ca="1">IF(Información1[[#This Row],[Fecha]]='Ajuste de fechas'!$A$2,"Día actual","Día anterior")</f>
        <v>Día actual</v>
      </c>
      <c r="C80" s="3" t="s">
        <v>8</v>
      </c>
      <c r="D80" t="s">
        <v>190</v>
      </c>
      <c r="E80" s="3" t="s">
        <v>209</v>
      </c>
      <c r="F80" s="3" t="s">
        <v>35</v>
      </c>
      <c r="G80" s="3" t="s">
        <v>210</v>
      </c>
      <c r="H80" s="3" t="s">
        <v>39</v>
      </c>
      <c r="I80" s="3" t="s">
        <v>7</v>
      </c>
      <c r="J80" s="3" t="s">
        <v>17</v>
      </c>
      <c r="K80" s="3" t="s">
        <v>11</v>
      </c>
      <c r="L80" s="3" t="s">
        <v>27</v>
      </c>
      <c r="M80">
        <v>1</v>
      </c>
    </row>
    <row r="81" spans="1:13" x14ac:dyDescent="0.25">
      <c r="A81" s="2">
        <v>46295</v>
      </c>
      <c r="B81" s="1" t="str">
        <f ca="1">IF(Información1[[#This Row],[Fecha]]='Ajuste de fechas'!$A$2,"Día actual","Día anterior")</f>
        <v>Día actual</v>
      </c>
      <c r="C81" s="3" t="s">
        <v>8</v>
      </c>
      <c r="D81" t="s">
        <v>190</v>
      </c>
      <c r="E81" s="3" t="s">
        <v>211</v>
      </c>
      <c r="F81" s="3" t="s">
        <v>13</v>
      </c>
      <c r="G81" s="3" t="s">
        <v>66</v>
      </c>
      <c r="H81" s="3" t="s">
        <v>39</v>
      </c>
      <c r="I81" s="3" t="s">
        <v>7</v>
      </c>
      <c r="J81" s="3" t="s">
        <v>30</v>
      </c>
      <c r="K81" s="3" t="s">
        <v>11</v>
      </c>
      <c r="L81" s="3" t="s">
        <v>27</v>
      </c>
      <c r="M81">
        <v>1</v>
      </c>
    </row>
    <row r="82" spans="1:13" x14ac:dyDescent="0.25">
      <c r="A82" s="2">
        <v>46295</v>
      </c>
      <c r="B82" s="1" t="str">
        <f ca="1">IF(Información1[[#This Row],[Fecha]]='Ajuste de fechas'!$A$2,"Día actual","Día anterior")</f>
        <v>Día actual</v>
      </c>
      <c r="C82" s="3" t="s">
        <v>44</v>
      </c>
      <c r="D82" t="s">
        <v>202</v>
      </c>
      <c r="E82" s="3" t="s">
        <v>212</v>
      </c>
      <c r="F82" s="3" t="s">
        <v>19</v>
      </c>
      <c r="G82" s="3" t="s">
        <v>213</v>
      </c>
      <c r="H82" s="3" t="s">
        <v>39</v>
      </c>
      <c r="I82" s="3" t="s">
        <v>7</v>
      </c>
      <c r="J82" s="3" t="s">
        <v>26</v>
      </c>
      <c r="K82" s="3" t="s">
        <v>204</v>
      </c>
      <c r="L82" s="3" t="s">
        <v>27</v>
      </c>
      <c r="M82">
        <v>1</v>
      </c>
    </row>
    <row r="83" spans="1:13" x14ac:dyDescent="0.25">
      <c r="A83" s="2">
        <v>46295</v>
      </c>
      <c r="B83" s="1" t="str">
        <f ca="1">IF(Información1[[#This Row],[Fecha]]='Ajuste de fechas'!$A$2,"Día actual","Día anterior")</f>
        <v>Día actual</v>
      </c>
      <c r="C83" s="3" t="s">
        <v>44</v>
      </c>
      <c r="D83" t="s">
        <v>202</v>
      </c>
      <c r="E83" s="3" t="s">
        <v>214</v>
      </c>
      <c r="F83" s="3" t="s">
        <v>215</v>
      </c>
      <c r="G83" s="3" t="s">
        <v>216</v>
      </c>
      <c r="H83" s="3" t="s">
        <v>39</v>
      </c>
      <c r="I83" s="3" t="s">
        <v>7</v>
      </c>
      <c r="J83" s="3" t="s">
        <v>26</v>
      </c>
      <c r="K83" s="3" t="s">
        <v>204</v>
      </c>
      <c r="L83" s="3" t="s">
        <v>27</v>
      </c>
      <c r="M83">
        <v>1</v>
      </c>
    </row>
    <row r="84" spans="1:13" x14ac:dyDescent="0.25">
      <c r="A84" s="2">
        <v>46295</v>
      </c>
      <c r="B84" s="1" t="str">
        <f ca="1">IF(Información1[[#This Row],[Fecha]]='Ajuste de fechas'!$A$2,"Día actual","Día anterior")</f>
        <v>Día actual</v>
      </c>
      <c r="C84" s="3" t="s">
        <v>87</v>
      </c>
      <c r="D84" t="s">
        <v>88</v>
      </c>
      <c r="E84" s="3" t="s">
        <v>217</v>
      </c>
      <c r="F84" s="3" t="s">
        <v>53</v>
      </c>
      <c r="G84" s="3" t="s">
        <v>218</v>
      </c>
      <c r="H84" s="3" t="s">
        <v>39</v>
      </c>
      <c r="I84" s="3" t="s">
        <v>7</v>
      </c>
      <c r="J84" s="3" t="s">
        <v>26</v>
      </c>
      <c r="K84" s="3" t="s">
        <v>89</v>
      </c>
      <c r="L84" s="3" t="s">
        <v>27</v>
      </c>
      <c r="M84">
        <v>1</v>
      </c>
    </row>
    <row r="85" spans="1:13" x14ac:dyDescent="0.25">
      <c r="A85" s="2">
        <v>46295</v>
      </c>
      <c r="B85" s="1" t="str">
        <f ca="1">IF(Información1[[#This Row],[Fecha]]='Ajuste de fechas'!$A$2,"Día actual","Día anterior")</f>
        <v>Día actual</v>
      </c>
      <c r="C85" s="3" t="s">
        <v>8</v>
      </c>
      <c r="D85" t="s">
        <v>9</v>
      </c>
      <c r="E85" s="3" t="s">
        <v>219</v>
      </c>
      <c r="F85" s="3" t="s">
        <v>12</v>
      </c>
      <c r="G85" s="3" t="s">
        <v>220</v>
      </c>
      <c r="H85" s="3" t="s">
        <v>39</v>
      </c>
      <c r="I85" s="3" t="s">
        <v>18</v>
      </c>
      <c r="J85" s="3" t="s">
        <v>26</v>
      </c>
      <c r="K85" s="3" t="s">
        <v>11</v>
      </c>
      <c r="L85" s="3" t="s">
        <v>28</v>
      </c>
      <c r="M85">
        <v>1</v>
      </c>
    </row>
    <row r="86" spans="1:13" x14ac:dyDescent="0.25">
      <c r="A86" s="2">
        <v>46295</v>
      </c>
      <c r="B86" s="1" t="str">
        <f ca="1">IF(Información1[[#This Row],[Fecha]]='Ajuste de fechas'!$A$2,"Día actual","Día anterior")</f>
        <v>Día actual</v>
      </c>
      <c r="C86" s="3" t="s">
        <v>8</v>
      </c>
      <c r="D86" t="s">
        <v>9</v>
      </c>
      <c r="E86" s="3" t="s">
        <v>221</v>
      </c>
      <c r="F86" s="3" t="s">
        <v>12</v>
      </c>
      <c r="G86" s="3" t="s">
        <v>220</v>
      </c>
      <c r="H86" s="3" t="s">
        <v>39</v>
      </c>
      <c r="I86" s="3" t="s">
        <v>18</v>
      </c>
      <c r="J86" s="3" t="s">
        <v>26</v>
      </c>
      <c r="K86" s="3" t="s">
        <v>11</v>
      </c>
      <c r="L86" s="3" t="s">
        <v>28</v>
      </c>
      <c r="M86">
        <v>1</v>
      </c>
    </row>
    <row r="87" spans="1:13" x14ac:dyDescent="0.25">
      <c r="A87" s="2">
        <v>46295</v>
      </c>
      <c r="B87" s="1" t="str">
        <f ca="1">IF(Información1[[#This Row],[Fecha]]='Ajuste de fechas'!$A$2,"Día actual","Día anterior")</f>
        <v>Día actual</v>
      </c>
      <c r="C87" s="3" t="s">
        <v>44</v>
      </c>
      <c r="D87" t="s">
        <v>202</v>
      </c>
      <c r="E87" s="3" t="s">
        <v>222</v>
      </c>
      <c r="F87" s="3" t="s">
        <v>19</v>
      </c>
      <c r="G87" s="3" t="s">
        <v>54</v>
      </c>
      <c r="H87" s="3" t="s">
        <v>39</v>
      </c>
      <c r="I87" s="3" t="s">
        <v>7</v>
      </c>
      <c r="J87" s="3" t="s">
        <v>26</v>
      </c>
      <c r="K87" s="3" t="s">
        <v>204</v>
      </c>
      <c r="L87" s="3" t="s">
        <v>27</v>
      </c>
      <c r="M87">
        <v>1</v>
      </c>
    </row>
    <row r="88" spans="1:13" x14ac:dyDescent="0.25">
      <c r="A88" s="2">
        <v>46295</v>
      </c>
      <c r="B88" s="1" t="str">
        <f ca="1">IF(Información1[[#This Row],[Fecha]]='Ajuste de fechas'!$A$2,"Día actual","Día anterior")</f>
        <v>Día actual</v>
      </c>
      <c r="C88" s="3" t="s">
        <v>8</v>
      </c>
      <c r="D88" t="s">
        <v>9</v>
      </c>
      <c r="E88" s="3" t="s">
        <v>223</v>
      </c>
      <c r="F88" s="3" t="s">
        <v>12</v>
      </c>
      <c r="G88" s="3" t="s">
        <v>54</v>
      </c>
      <c r="H88" s="3" t="s">
        <v>39</v>
      </c>
      <c r="I88" s="3" t="s">
        <v>18</v>
      </c>
      <c r="J88" s="3" t="s">
        <v>26</v>
      </c>
      <c r="K88" s="3" t="s">
        <v>50</v>
      </c>
      <c r="L88" s="3" t="s">
        <v>28</v>
      </c>
      <c r="M88">
        <v>1</v>
      </c>
    </row>
    <row r="89" spans="1:13" x14ac:dyDescent="0.25">
      <c r="A89" s="2">
        <v>46295</v>
      </c>
      <c r="B89" s="1" t="str">
        <f ca="1">IF(Información1[[#This Row],[Fecha]]='Ajuste de fechas'!$A$2,"Día actual","Día anterior")</f>
        <v>Día actual</v>
      </c>
      <c r="C89" s="3" t="s">
        <v>8</v>
      </c>
      <c r="D89" t="s">
        <v>9</v>
      </c>
      <c r="E89" s="3" t="s">
        <v>224</v>
      </c>
      <c r="F89" s="3" t="s">
        <v>19</v>
      </c>
      <c r="G89" s="3" t="s">
        <v>54</v>
      </c>
      <c r="H89" s="3" t="s">
        <v>39</v>
      </c>
      <c r="I89" s="3" t="s">
        <v>7</v>
      </c>
      <c r="J89" s="3" t="s">
        <v>26</v>
      </c>
      <c r="K89" s="3" t="s">
        <v>11</v>
      </c>
      <c r="L89" s="3" t="s">
        <v>27</v>
      </c>
      <c r="M89">
        <v>1</v>
      </c>
    </row>
    <row r="90" spans="1:13" x14ac:dyDescent="0.25">
      <c r="A90" s="2">
        <v>46295</v>
      </c>
      <c r="B90" s="1" t="str">
        <f ca="1">IF(Información1[[#This Row],[Fecha]]='Ajuste de fechas'!$A$2,"Día actual","Día anterior")</f>
        <v>Día actual</v>
      </c>
      <c r="C90" s="3" t="s">
        <v>8</v>
      </c>
      <c r="D90" t="s">
        <v>190</v>
      </c>
      <c r="E90" s="3" t="s">
        <v>225</v>
      </c>
      <c r="F90" s="3" t="s">
        <v>38</v>
      </c>
      <c r="G90" s="3" t="s">
        <v>185</v>
      </c>
      <c r="H90" s="3" t="s">
        <v>39</v>
      </c>
      <c r="I90" s="3" t="s">
        <v>7</v>
      </c>
      <c r="J90" s="3" t="s">
        <v>26</v>
      </c>
      <c r="K90" s="3" t="s">
        <v>11</v>
      </c>
      <c r="L90" s="3" t="s">
        <v>27</v>
      </c>
      <c r="M90">
        <v>1</v>
      </c>
    </row>
    <row r="91" spans="1:13" x14ac:dyDescent="0.25">
      <c r="A91" s="2">
        <v>46295</v>
      </c>
      <c r="B91" s="1" t="str">
        <f ca="1">IF(Información1[[#This Row],[Fecha]]='Ajuste de fechas'!$A$2,"Día actual","Día anterior")</f>
        <v>Día actual</v>
      </c>
      <c r="C91" s="3" t="s">
        <v>68</v>
      </c>
      <c r="D91" t="s">
        <v>69</v>
      </c>
      <c r="E91" s="3" t="s">
        <v>226</v>
      </c>
      <c r="F91" s="3" t="s">
        <v>49</v>
      </c>
      <c r="G91" s="3" t="s">
        <v>55</v>
      </c>
      <c r="H91" s="3" t="s">
        <v>71</v>
      </c>
      <c r="I91" s="3" t="s">
        <v>10</v>
      </c>
      <c r="J91" s="3" t="s">
        <v>26</v>
      </c>
      <c r="K91" s="3" t="s">
        <v>227</v>
      </c>
      <c r="L91" s="3" t="s">
        <v>28</v>
      </c>
      <c r="M91">
        <v>1</v>
      </c>
    </row>
    <row r="92" spans="1:13" x14ac:dyDescent="0.25">
      <c r="A92" s="2">
        <v>46295</v>
      </c>
      <c r="B92" s="1" t="str">
        <f ca="1">IF(Información1[[#This Row],[Fecha]]='Ajuste de fechas'!$A$2,"Día actual","Día anterior")</f>
        <v>Día actual</v>
      </c>
      <c r="C92" s="3" t="s">
        <v>68</v>
      </c>
      <c r="D92" t="s">
        <v>69</v>
      </c>
      <c r="E92" s="3" t="s">
        <v>228</v>
      </c>
      <c r="F92" s="3" t="s">
        <v>6</v>
      </c>
      <c r="G92" s="3" t="s">
        <v>229</v>
      </c>
      <c r="H92" s="3" t="s">
        <v>71</v>
      </c>
      <c r="I92" s="3" t="s">
        <v>7</v>
      </c>
      <c r="J92" s="3" t="s">
        <v>26</v>
      </c>
      <c r="K92" s="3" t="s">
        <v>50</v>
      </c>
      <c r="L92" s="3" t="s">
        <v>28</v>
      </c>
      <c r="M92">
        <v>1</v>
      </c>
    </row>
    <row r="93" spans="1:13" x14ac:dyDescent="0.25">
      <c r="A93" s="2">
        <v>46295</v>
      </c>
      <c r="B93" s="1" t="str">
        <f ca="1">IF(Información1[[#This Row],[Fecha]]='Ajuste de fechas'!$A$2,"Día actual","Día anterior")</f>
        <v>Día actual</v>
      </c>
      <c r="C93" s="3" t="s">
        <v>68</v>
      </c>
      <c r="D93" t="s">
        <v>69</v>
      </c>
      <c r="E93" s="3" t="s">
        <v>230</v>
      </c>
      <c r="F93" s="3" t="s">
        <v>53</v>
      </c>
      <c r="G93" s="3" t="s">
        <v>231</v>
      </c>
      <c r="H93" s="3" t="s">
        <v>71</v>
      </c>
      <c r="I93" s="3" t="s">
        <v>7</v>
      </c>
      <c r="J93" s="3" t="s">
        <v>26</v>
      </c>
      <c r="K93" s="3" t="s">
        <v>76</v>
      </c>
      <c r="L93" s="3" t="s">
        <v>27</v>
      </c>
      <c r="M93">
        <v>1</v>
      </c>
    </row>
    <row r="94" spans="1:13" x14ac:dyDescent="0.25">
      <c r="A94" s="2">
        <v>46295</v>
      </c>
      <c r="B94" s="1" t="str">
        <f ca="1">IF(Información1[[#This Row],[Fecha]]='Ajuste de fechas'!$A$2,"Día actual","Día anterior")</f>
        <v>Día actual</v>
      </c>
      <c r="C94" s="3" t="s">
        <v>68</v>
      </c>
      <c r="D94" t="s">
        <v>69</v>
      </c>
      <c r="E94" s="3" t="s">
        <v>232</v>
      </c>
      <c r="F94" s="3" t="s">
        <v>132</v>
      </c>
      <c r="G94" s="3" t="s">
        <v>176</v>
      </c>
      <c r="H94" s="3" t="s">
        <v>71</v>
      </c>
      <c r="I94" s="3" t="s">
        <v>10</v>
      </c>
      <c r="J94" s="3" t="s">
        <v>26</v>
      </c>
      <c r="K94" s="3" t="s">
        <v>76</v>
      </c>
      <c r="L94" s="3" t="s">
        <v>28</v>
      </c>
      <c r="M94">
        <v>1</v>
      </c>
    </row>
    <row r="95" spans="1:13" x14ac:dyDescent="0.25">
      <c r="A95" s="2">
        <v>46295</v>
      </c>
      <c r="B95" s="1" t="str">
        <f ca="1">IF(Información1[[#This Row],[Fecha]]='Ajuste de fechas'!$A$2,"Día actual","Día anterior")</f>
        <v>Día actual</v>
      </c>
      <c r="C95" s="3" t="s">
        <v>68</v>
      </c>
      <c r="D95" t="s">
        <v>69</v>
      </c>
      <c r="E95" s="3" t="s">
        <v>233</v>
      </c>
      <c r="F95" s="3" t="s">
        <v>37</v>
      </c>
      <c r="G95" s="3" t="s">
        <v>234</v>
      </c>
      <c r="H95" s="3" t="s">
        <v>71</v>
      </c>
      <c r="I95" s="3" t="s">
        <v>7</v>
      </c>
      <c r="J95" s="3" t="s">
        <v>26</v>
      </c>
      <c r="K95" s="3" t="s">
        <v>76</v>
      </c>
      <c r="L95" s="3" t="s">
        <v>27</v>
      </c>
      <c r="M95">
        <v>1</v>
      </c>
    </row>
    <row r="96" spans="1:13" x14ac:dyDescent="0.25">
      <c r="A96" s="2">
        <v>46295</v>
      </c>
      <c r="B96" s="1" t="str">
        <f ca="1">IF(Información1[[#This Row],[Fecha]]='Ajuste de fechas'!$A$2,"Día actual","Día anterior")</f>
        <v>Día actual</v>
      </c>
      <c r="C96" s="3" t="s">
        <v>80</v>
      </c>
      <c r="D96" t="s">
        <v>81</v>
      </c>
      <c r="E96" s="3" t="s">
        <v>235</v>
      </c>
      <c r="F96" s="3" t="s">
        <v>38</v>
      </c>
      <c r="G96" s="3" t="s">
        <v>67</v>
      </c>
      <c r="H96" s="3" t="s">
        <v>39</v>
      </c>
      <c r="I96" s="3" t="s">
        <v>18</v>
      </c>
      <c r="J96" s="3" t="s">
        <v>26</v>
      </c>
      <c r="K96" s="3" t="s">
        <v>82</v>
      </c>
      <c r="L96" s="3" t="s">
        <v>28</v>
      </c>
      <c r="M96">
        <v>1</v>
      </c>
    </row>
    <row r="97" spans="1:13" x14ac:dyDescent="0.25">
      <c r="A97" s="2">
        <v>46295</v>
      </c>
      <c r="B97" s="1" t="str">
        <f ca="1">IF(Información1[[#This Row],[Fecha]]='Ajuste de fechas'!$A$2,"Día actual","Día anterior")</f>
        <v>Día actual</v>
      </c>
      <c r="C97" s="3" t="s">
        <v>80</v>
      </c>
      <c r="D97" t="s">
        <v>81</v>
      </c>
      <c r="E97" s="3" t="s">
        <v>236</v>
      </c>
      <c r="F97" s="3" t="s">
        <v>38</v>
      </c>
      <c r="G97" s="3" t="s">
        <v>67</v>
      </c>
      <c r="H97" s="3" t="s">
        <v>39</v>
      </c>
      <c r="I97" s="3" t="s">
        <v>7</v>
      </c>
      <c r="J97" s="3" t="s">
        <v>26</v>
      </c>
      <c r="K97" s="3" t="s">
        <v>84</v>
      </c>
      <c r="L97" s="3" t="s">
        <v>27</v>
      </c>
      <c r="M97">
        <v>1</v>
      </c>
    </row>
    <row r="98" spans="1:13" x14ac:dyDescent="0.25">
      <c r="A98" s="2">
        <v>46295</v>
      </c>
      <c r="B98" s="1" t="str">
        <f ca="1">IF(Información1[[#This Row],[Fecha]]='Ajuste de fechas'!$A$2,"Día actual","Día anterior")</f>
        <v>Día actual</v>
      </c>
      <c r="C98" s="3" t="s">
        <v>80</v>
      </c>
      <c r="D98" t="s">
        <v>81</v>
      </c>
      <c r="E98" s="3" t="s">
        <v>237</v>
      </c>
      <c r="F98" s="3" t="s">
        <v>19</v>
      </c>
      <c r="G98" s="3" t="s">
        <v>77</v>
      </c>
      <c r="H98" s="3" t="s">
        <v>39</v>
      </c>
      <c r="I98" s="3" t="s">
        <v>7</v>
      </c>
      <c r="J98" s="3" t="s">
        <v>26</v>
      </c>
      <c r="K98" s="3" t="s">
        <v>82</v>
      </c>
      <c r="L98" s="3" t="s">
        <v>28</v>
      </c>
      <c r="M98">
        <v>1</v>
      </c>
    </row>
    <row r="99" spans="1:13" x14ac:dyDescent="0.25">
      <c r="A99" s="2">
        <v>46295</v>
      </c>
      <c r="B99" s="1" t="str">
        <f ca="1">IF(Información1[[#This Row],[Fecha]]='Ajuste de fechas'!$A$2,"Día actual","Día anterior")</f>
        <v>Día actual</v>
      </c>
      <c r="C99" s="3" t="s">
        <v>80</v>
      </c>
      <c r="D99" t="s">
        <v>81</v>
      </c>
      <c r="E99" s="3" t="s">
        <v>238</v>
      </c>
      <c r="F99" s="3" t="s">
        <v>19</v>
      </c>
      <c r="G99" s="3" t="s">
        <v>123</v>
      </c>
      <c r="H99" s="3" t="s">
        <v>39</v>
      </c>
      <c r="I99" s="3" t="s">
        <v>7</v>
      </c>
      <c r="J99" s="3" t="s">
        <v>26</v>
      </c>
      <c r="K99" s="3" t="s">
        <v>84</v>
      </c>
      <c r="L99" s="3" t="s">
        <v>27</v>
      </c>
      <c r="M99">
        <v>1</v>
      </c>
    </row>
    <row r="100" spans="1:13" x14ac:dyDescent="0.25">
      <c r="A100" s="2">
        <v>46295</v>
      </c>
      <c r="B100" s="1" t="str">
        <f ca="1">IF(Información1[[#This Row],[Fecha]]='Ajuste de fechas'!$A$2,"Día actual","Día anterior")</f>
        <v>Día actual</v>
      </c>
      <c r="C100" s="3" t="s">
        <v>80</v>
      </c>
      <c r="D100" t="s">
        <v>81</v>
      </c>
      <c r="E100" s="3" t="s">
        <v>239</v>
      </c>
      <c r="F100" s="3" t="s">
        <v>14</v>
      </c>
      <c r="G100" s="3" t="s">
        <v>240</v>
      </c>
      <c r="H100" s="3" t="s">
        <v>39</v>
      </c>
      <c r="I100" s="3" t="s">
        <v>7</v>
      </c>
      <c r="J100" s="3" t="s">
        <v>26</v>
      </c>
      <c r="K100" s="3" t="s">
        <v>82</v>
      </c>
      <c r="L100" s="3" t="s">
        <v>29</v>
      </c>
      <c r="M100">
        <v>1</v>
      </c>
    </row>
    <row r="101" spans="1:13" x14ac:dyDescent="0.25">
      <c r="A101" s="2">
        <v>46295</v>
      </c>
      <c r="B101" s="1" t="str">
        <f ca="1">IF(Información1[[#This Row],[Fecha]]='Ajuste de fechas'!$A$2,"Día actual","Día anterior")</f>
        <v>Día actual</v>
      </c>
      <c r="C101" s="3" t="s">
        <v>80</v>
      </c>
      <c r="D101" t="s">
        <v>81</v>
      </c>
      <c r="E101" s="3" t="s">
        <v>241</v>
      </c>
      <c r="F101" s="3" t="s">
        <v>13</v>
      </c>
      <c r="G101" s="3" t="s">
        <v>242</v>
      </c>
      <c r="H101" s="3" t="s">
        <v>39</v>
      </c>
      <c r="I101" s="3" t="s">
        <v>18</v>
      </c>
      <c r="J101" s="3" t="s">
        <v>30</v>
      </c>
      <c r="K101" s="3" t="s">
        <v>84</v>
      </c>
      <c r="L101" s="3" t="s">
        <v>27</v>
      </c>
      <c r="M101">
        <v>1</v>
      </c>
    </row>
    <row r="102" spans="1:13" x14ac:dyDescent="0.25">
      <c r="A102" s="2">
        <v>46295</v>
      </c>
      <c r="B102" s="1" t="str">
        <f ca="1">IF(Información1[[#This Row],[Fecha]]='Ajuste de fechas'!$A$2,"Día actual","Día anterior")</f>
        <v>Día actual</v>
      </c>
      <c r="C102" s="3" t="s">
        <v>80</v>
      </c>
      <c r="D102" t="s">
        <v>81</v>
      </c>
      <c r="E102" s="3" t="s">
        <v>243</v>
      </c>
      <c r="F102" s="3" t="s">
        <v>38</v>
      </c>
      <c r="G102" s="3" t="s">
        <v>185</v>
      </c>
      <c r="H102" s="3" t="s">
        <v>39</v>
      </c>
      <c r="I102" s="3" t="s">
        <v>7</v>
      </c>
      <c r="J102" s="3" t="s">
        <v>26</v>
      </c>
      <c r="K102" s="3" t="s">
        <v>82</v>
      </c>
      <c r="L102" s="3" t="s">
        <v>27</v>
      </c>
      <c r="M102">
        <v>1</v>
      </c>
    </row>
    <row r="103" spans="1:13" x14ac:dyDescent="0.25">
      <c r="A103" s="2">
        <v>46295</v>
      </c>
      <c r="B103" s="1" t="str">
        <f ca="1">IF(Información1[[#This Row],[Fecha]]='Ajuste de fechas'!$A$2,"Día actual","Día anterior")</f>
        <v>Día actual</v>
      </c>
      <c r="C103" s="3" t="s">
        <v>80</v>
      </c>
      <c r="D103" t="s">
        <v>81</v>
      </c>
      <c r="E103" s="3" t="s">
        <v>244</v>
      </c>
      <c r="F103" s="3" t="s">
        <v>53</v>
      </c>
      <c r="G103" s="3" t="s">
        <v>218</v>
      </c>
      <c r="H103" s="3" t="s">
        <v>39</v>
      </c>
      <c r="I103" s="3" t="s">
        <v>7</v>
      </c>
      <c r="J103" s="3" t="s">
        <v>26</v>
      </c>
      <c r="K103" s="3" t="s">
        <v>84</v>
      </c>
      <c r="L103" s="3" t="s">
        <v>29</v>
      </c>
      <c r="M103">
        <v>1</v>
      </c>
    </row>
    <row r="104" spans="1:13" x14ac:dyDescent="0.25">
      <c r="A104" s="2">
        <v>46295</v>
      </c>
      <c r="B104" s="1" t="str">
        <f ca="1">IF(Información1[[#This Row],[Fecha]]='Ajuste de fechas'!$A$2,"Día actual","Día anterior")</f>
        <v>Día actual</v>
      </c>
      <c r="C104" s="3" t="s">
        <v>80</v>
      </c>
      <c r="D104" t="s">
        <v>81</v>
      </c>
      <c r="E104" s="3" t="s">
        <v>245</v>
      </c>
      <c r="F104" s="3" t="s">
        <v>246</v>
      </c>
      <c r="G104" s="3" t="s">
        <v>247</v>
      </c>
      <c r="H104" s="3" t="s">
        <v>39</v>
      </c>
      <c r="I104" s="3" t="s">
        <v>7</v>
      </c>
      <c r="J104" s="3" t="s">
        <v>26</v>
      </c>
      <c r="K104" s="3" t="s">
        <v>82</v>
      </c>
      <c r="L104" s="3" t="s">
        <v>27</v>
      </c>
      <c r="M104">
        <v>1</v>
      </c>
    </row>
    <row r="105" spans="1:13" x14ac:dyDescent="0.25">
      <c r="A105" s="2">
        <v>46295</v>
      </c>
      <c r="B105" s="1" t="str">
        <f ca="1">IF(Información1[[#This Row],[Fecha]]='Ajuste de fechas'!$A$2,"Día actual","Día anterior")</f>
        <v>Día actual</v>
      </c>
      <c r="C105" s="3" t="s">
        <v>80</v>
      </c>
      <c r="D105" t="s">
        <v>81</v>
      </c>
      <c r="E105" s="3" t="s">
        <v>248</v>
      </c>
      <c r="F105" s="3" t="s">
        <v>35</v>
      </c>
      <c r="G105" s="3" t="s">
        <v>66</v>
      </c>
      <c r="H105" s="3" t="s">
        <v>39</v>
      </c>
      <c r="I105" s="3" t="s">
        <v>7</v>
      </c>
      <c r="J105" s="3" t="s">
        <v>17</v>
      </c>
      <c r="K105" s="3" t="s">
        <v>84</v>
      </c>
      <c r="L105" s="3" t="s">
        <v>27</v>
      </c>
      <c r="M105">
        <v>1</v>
      </c>
    </row>
    <row r="106" spans="1:13" x14ac:dyDescent="0.25">
      <c r="A106" s="2">
        <v>46295</v>
      </c>
      <c r="B106" s="1" t="str">
        <f ca="1">IF(Información1[[#This Row],[Fecha]]='Ajuste de fechas'!$A$2,"Día actual","Día anterior")</f>
        <v>Día actual</v>
      </c>
      <c r="C106" s="3" t="s">
        <v>80</v>
      </c>
      <c r="D106" t="s">
        <v>81</v>
      </c>
      <c r="E106" s="3" t="s">
        <v>249</v>
      </c>
      <c r="F106" s="3" t="s">
        <v>35</v>
      </c>
      <c r="G106" s="3" t="s">
        <v>250</v>
      </c>
      <c r="H106" s="3" t="s">
        <v>39</v>
      </c>
      <c r="I106" s="3" t="s">
        <v>7</v>
      </c>
      <c r="J106" s="3" t="s">
        <v>17</v>
      </c>
      <c r="K106" s="3" t="s">
        <v>82</v>
      </c>
      <c r="L106" s="3" t="s">
        <v>27</v>
      </c>
      <c r="M106">
        <v>1</v>
      </c>
    </row>
    <row r="107" spans="1:13" x14ac:dyDescent="0.25">
      <c r="A107" s="2">
        <v>46295</v>
      </c>
      <c r="B107" s="1" t="str">
        <f ca="1">IF(Información1[[#This Row],[Fecha]]='Ajuste de fechas'!$A$2,"Día actual","Día anterior")</f>
        <v>Día actual</v>
      </c>
      <c r="C107" s="3" t="s">
        <v>80</v>
      </c>
      <c r="D107" t="s">
        <v>81</v>
      </c>
      <c r="E107" s="3" t="s">
        <v>251</v>
      </c>
      <c r="F107" s="3" t="s">
        <v>13</v>
      </c>
      <c r="G107" s="3" t="s">
        <v>79</v>
      </c>
      <c r="H107" s="3" t="s">
        <v>39</v>
      </c>
      <c r="I107" s="3" t="s">
        <v>7</v>
      </c>
      <c r="J107" s="3" t="s">
        <v>30</v>
      </c>
      <c r="K107" s="3" t="s">
        <v>82</v>
      </c>
      <c r="L107" s="3" t="s">
        <v>27</v>
      </c>
      <c r="M107">
        <v>1</v>
      </c>
    </row>
    <row r="108" spans="1:13" x14ac:dyDescent="0.25">
      <c r="A108" s="2">
        <v>46295</v>
      </c>
      <c r="B108" s="1" t="str">
        <f ca="1">IF(Información1[[#This Row],[Fecha]]='Ajuste de fechas'!$A$2,"Día actual","Día anterior")</f>
        <v>Día actual</v>
      </c>
      <c r="C108" s="3" t="s">
        <v>80</v>
      </c>
      <c r="D108" t="s">
        <v>81</v>
      </c>
      <c r="E108" s="3" t="s">
        <v>252</v>
      </c>
      <c r="F108" s="3" t="s">
        <v>13</v>
      </c>
      <c r="G108" s="3" t="s">
        <v>253</v>
      </c>
      <c r="H108" s="3" t="s">
        <v>39</v>
      </c>
      <c r="I108" s="3" t="s">
        <v>18</v>
      </c>
      <c r="J108" s="3" t="s">
        <v>30</v>
      </c>
      <c r="K108" s="3" t="s">
        <v>82</v>
      </c>
      <c r="L108" s="3" t="s">
        <v>36</v>
      </c>
      <c r="M108">
        <v>1</v>
      </c>
    </row>
    <row r="109" spans="1:13" x14ac:dyDescent="0.25">
      <c r="A109" s="2">
        <v>46295</v>
      </c>
      <c r="B109" s="1" t="str">
        <f ca="1">IF(Información1[[#This Row],[Fecha]]='Ajuste de fechas'!$A$2,"Día actual","Día anterior")</f>
        <v>Día actual</v>
      </c>
      <c r="C109" s="3" t="s">
        <v>80</v>
      </c>
      <c r="D109" t="s">
        <v>81</v>
      </c>
      <c r="E109" s="3" t="s">
        <v>254</v>
      </c>
      <c r="F109" s="3" t="s">
        <v>13</v>
      </c>
      <c r="G109" s="3" t="s">
        <v>83</v>
      </c>
      <c r="H109" s="3" t="s">
        <v>39</v>
      </c>
      <c r="I109" s="3" t="s">
        <v>7</v>
      </c>
      <c r="J109" s="3" t="s">
        <v>30</v>
      </c>
      <c r="K109" s="3" t="s">
        <v>84</v>
      </c>
      <c r="L109" s="3" t="s">
        <v>27</v>
      </c>
      <c r="M109">
        <v>1</v>
      </c>
    </row>
    <row r="110" spans="1:13" x14ac:dyDescent="0.25">
      <c r="A110" s="2">
        <v>46295</v>
      </c>
      <c r="B110" s="1" t="str">
        <f ca="1">IF(Información1[[#This Row],[Fecha]]='Ajuste de fechas'!$A$2,"Día actual","Día anterior")</f>
        <v>Día actual</v>
      </c>
      <c r="C110" s="3" t="s">
        <v>80</v>
      </c>
      <c r="D110" t="s">
        <v>81</v>
      </c>
      <c r="E110" s="3" t="s">
        <v>255</v>
      </c>
      <c r="F110" s="3" t="s">
        <v>13</v>
      </c>
      <c r="G110" s="3" t="s">
        <v>256</v>
      </c>
      <c r="H110" s="3" t="s">
        <v>39</v>
      </c>
      <c r="I110" s="3" t="s">
        <v>18</v>
      </c>
      <c r="J110" s="3" t="s">
        <v>30</v>
      </c>
      <c r="K110" s="3" t="s">
        <v>82</v>
      </c>
      <c r="L110" s="3" t="s">
        <v>27</v>
      </c>
      <c r="M110">
        <v>1</v>
      </c>
    </row>
    <row r="111" spans="1:13" x14ac:dyDescent="0.25">
      <c r="A111" s="2">
        <v>46295</v>
      </c>
      <c r="B111" s="1" t="str">
        <f ca="1">IF(Información1[[#This Row],[Fecha]]='Ajuste de fechas'!$A$2,"Día actual","Día anterior")</f>
        <v>Día actual</v>
      </c>
      <c r="C111" s="3" t="s">
        <v>80</v>
      </c>
      <c r="D111" t="s">
        <v>81</v>
      </c>
      <c r="E111" s="3" t="s">
        <v>257</v>
      </c>
      <c r="F111" s="3" t="s">
        <v>19</v>
      </c>
      <c r="G111" s="3" t="s">
        <v>77</v>
      </c>
      <c r="H111" s="3" t="s">
        <v>39</v>
      </c>
      <c r="I111" s="3" t="s">
        <v>7</v>
      </c>
      <c r="J111" s="3" t="s">
        <v>26</v>
      </c>
      <c r="K111" s="3" t="s">
        <v>84</v>
      </c>
      <c r="L111" s="3" t="s">
        <v>27</v>
      </c>
      <c r="M111">
        <v>1</v>
      </c>
    </row>
    <row r="112" spans="1:13" x14ac:dyDescent="0.25">
      <c r="A112" s="2">
        <v>46295</v>
      </c>
      <c r="B112" s="1" t="str">
        <f ca="1">IF(Información1[[#This Row],[Fecha]]='Ajuste de fechas'!$A$2,"Día actual","Día anterior")</f>
        <v>Día actual</v>
      </c>
      <c r="C112" s="3" t="s">
        <v>80</v>
      </c>
      <c r="D112" t="s">
        <v>81</v>
      </c>
      <c r="E112" s="3" t="s">
        <v>258</v>
      </c>
      <c r="F112" s="3" t="s">
        <v>13</v>
      </c>
      <c r="G112" s="3" t="s">
        <v>259</v>
      </c>
      <c r="H112" s="3" t="s">
        <v>39</v>
      </c>
      <c r="I112" s="3" t="s">
        <v>7</v>
      </c>
      <c r="J112" s="3" t="s">
        <v>30</v>
      </c>
      <c r="K112" s="3" t="s">
        <v>82</v>
      </c>
      <c r="L112" s="3" t="s">
        <v>27</v>
      </c>
      <c r="M112">
        <v>1</v>
      </c>
    </row>
    <row r="113" spans="1:13" x14ac:dyDescent="0.25">
      <c r="A113" s="2">
        <v>46295</v>
      </c>
      <c r="B113" s="1" t="str">
        <f ca="1">IF(Información1[[#This Row],[Fecha]]='Ajuste de fechas'!$A$2,"Día actual","Día anterior")</f>
        <v>Día actual</v>
      </c>
      <c r="C113" s="3" t="s">
        <v>68</v>
      </c>
      <c r="D113" t="s">
        <v>69</v>
      </c>
      <c r="E113" s="3" t="s">
        <v>260</v>
      </c>
      <c r="F113" s="3" t="s">
        <v>116</v>
      </c>
      <c r="G113" s="3" t="s">
        <v>117</v>
      </c>
      <c r="H113" s="3" t="s">
        <v>71</v>
      </c>
      <c r="I113" s="3" t="s">
        <v>7</v>
      </c>
      <c r="J113" s="3" t="s">
        <v>17</v>
      </c>
      <c r="K113" s="3" t="s">
        <v>76</v>
      </c>
      <c r="L113" s="3" t="s">
        <v>28</v>
      </c>
      <c r="M113">
        <v>1</v>
      </c>
    </row>
    <row r="114" spans="1:13" x14ac:dyDescent="0.25">
      <c r="A114" s="2">
        <v>46295</v>
      </c>
      <c r="B114" s="1" t="str">
        <f ca="1">IF(Información1[[#This Row],[Fecha]]='Ajuste de fechas'!$A$2,"Día actual","Día anterior")</f>
        <v>Día actual</v>
      </c>
      <c r="C114" s="3" t="s">
        <v>68</v>
      </c>
      <c r="D114" t="s">
        <v>69</v>
      </c>
      <c r="E114" s="3" t="s">
        <v>261</v>
      </c>
      <c r="F114" s="3" t="s">
        <v>13</v>
      </c>
      <c r="G114" s="3" t="s">
        <v>66</v>
      </c>
      <c r="H114" s="3" t="s">
        <v>71</v>
      </c>
      <c r="I114" s="3" t="s">
        <v>10</v>
      </c>
      <c r="J114" s="3" t="s">
        <v>30</v>
      </c>
      <c r="K114" s="3" t="s">
        <v>227</v>
      </c>
      <c r="L114" s="3" t="s">
        <v>113</v>
      </c>
      <c r="M114">
        <v>1</v>
      </c>
    </row>
    <row r="115" spans="1:13" x14ac:dyDescent="0.25">
      <c r="A115" s="2">
        <v>46295</v>
      </c>
      <c r="B115" s="1" t="str">
        <f ca="1">IF(Información1[[#This Row],[Fecha]]='Ajuste de fechas'!$A$2,"Día actual","Día anterior")</f>
        <v>Día actual</v>
      </c>
      <c r="C115" s="3" t="s">
        <v>68</v>
      </c>
      <c r="D115" t="s">
        <v>69</v>
      </c>
      <c r="E115" s="3" t="s">
        <v>230</v>
      </c>
      <c r="F115" s="3" t="s">
        <v>70</v>
      </c>
      <c r="G115" s="3" t="s">
        <v>231</v>
      </c>
      <c r="H115" s="3" t="s">
        <v>71</v>
      </c>
      <c r="I115" s="3" t="s">
        <v>7</v>
      </c>
      <c r="J115" s="3" t="s">
        <v>72</v>
      </c>
      <c r="K115" s="3" t="s">
        <v>76</v>
      </c>
      <c r="L115" s="3" t="s">
        <v>27</v>
      </c>
      <c r="M115">
        <v>1</v>
      </c>
    </row>
    <row r="116" spans="1:13" x14ac:dyDescent="0.25">
      <c r="A116" s="2">
        <v>46295</v>
      </c>
      <c r="B116" s="1" t="str">
        <f ca="1">IF(Información1[[#This Row],[Fecha]]='Ajuste de fechas'!$A$2,"Día actual","Día anterior")</f>
        <v>Día actual</v>
      </c>
      <c r="C116" s="3" t="s">
        <v>68</v>
      </c>
      <c r="D116" t="s">
        <v>69</v>
      </c>
      <c r="E116" s="3" t="s">
        <v>262</v>
      </c>
      <c r="F116" s="3" t="s">
        <v>132</v>
      </c>
      <c r="G116" s="3" t="s">
        <v>176</v>
      </c>
      <c r="H116" s="3" t="s">
        <v>71</v>
      </c>
      <c r="I116" s="3" t="s">
        <v>7</v>
      </c>
      <c r="J116" s="3" t="s">
        <v>26</v>
      </c>
      <c r="K116" s="3" t="s">
        <v>76</v>
      </c>
      <c r="L116" s="3" t="s">
        <v>29</v>
      </c>
      <c r="M116">
        <v>1</v>
      </c>
    </row>
    <row r="117" spans="1:13" x14ac:dyDescent="0.25">
      <c r="A117" s="2">
        <v>46295</v>
      </c>
      <c r="B117" s="1" t="str">
        <f ca="1">IF(Información1[[#This Row],[Fecha]]='Ajuste de fechas'!$A$2,"Día actual","Día anterior")</f>
        <v>Día actual</v>
      </c>
      <c r="C117" s="3" t="s">
        <v>68</v>
      </c>
      <c r="D117" t="s">
        <v>69</v>
      </c>
      <c r="E117" s="3" t="s">
        <v>263</v>
      </c>
      <c r="F117" s="3" t="s">
        <v>19</v>
      </c>
      <c r="G117" s="3" t="s">
        <v>174</v>
      </c>
      <c r="H117" s="3" t="s">
        <v>71</v>
      </c>
      <c r="I117" s="3" t="s">
        <v>7</v>
      </c>
      <c r="J117" s="3" t="s">
        <v>26</v>
      </c>
      <c r="K117" s="3" t="s">
        <v>76</v>
      </c>
      <c r="L117" s="3" t="s">
        <v>29</v>
      </c>
      <c r="M117">
        <v>1</v>
      </c>
    </row>
    <row r="118" spans="1:13" x14ac:dyDescent="0.25">
      <c r="A118" s="2">
        <v>46295</v>
      </c>
      <c r="B118" s="1" t="str">
        <f ca="1">IF(Información1[[#This Row],[Fecha]]='Ajuste de fechas'!$A$2,"Día actual","Día anterior")</f>
        <v>Día actual</v>
      </c>
      <c r="C118" s="3" t="s">
        <v>68</v>
      </c>
      <c r="D118" t="s">
        <v>69</v>
      </c>
      <c r="E118" s="3" t="s">
        <v>264</v>
      </c>
      <c r="F118" s="3" t="s">
        <v>16</v>
      </c>
      <c r="G118" s="3" t="s">
        <v>128</v>
      </c>
      <c r="H118" s="3" t="s">
        <v>71</v>
      </c>
      <c r="I118" s="3" t="s">
        <v>7</v>
      </c>
      <c r="J118" s="3" t="s">
        <v>26</v>
      </c>
      <c r="K118" s="3" t="s">
        <v>76</v>
      </c>
      <c r="L118" s="3" t="s">
        <v>27</v>
      </c>
      <c r="M118">
        <v>1</v>
      </c>
    </row>
    <row r="119" spans="1:13" x14ac:dyDescent="0.25">
      <c r="A119" s="2">
        <v>46295</v>
      </c>
      <c r="B119" s="1" t="str">
        <f ca="1">IF(Información1[[#This Row],[Fecha]]='Ajuste de fechas'!$A$2,"Día actual","Día anterior")</f>
        <v>Día actual</v>
      </c>
      <c r="C119" s="3" t="s">
        <v>68</v>
      </c>
      <c r="D119" t="s">
        <v>69</v>
      </c>
      <c r="E119" s="3" t="s">
        <v>265</v>
      </c>
      <c r="F119" s="3" t="s">
        <v>70</v>
      </c>
      <c r="G119" s="3" t="s">
        <v>266</v>
      </c>
      <c r="H119" s="3" t="s">
        <v>71</v>
      </c>
      <c r="I119" s="3" t="s">
        <v>7</v>
      </c>
      <c r="J119" s="3" t="s">
        <v>72</v>
      </c>
      <c r="K119" s="3" t="s">
        <v>76</v>
      </c>
      <c r="L119" s="3" t="s">
        <v>27</v>
      </c>
      <c r="M119">
        <v>1</v>
      </c>
    </row>
    <row r="120" spans="1:13" x14ac:dyDescent="0.25">
      <c r="A120" s="2">
        <v>46295</v>
      </c>
      <c r="B120" s="1" t="str">
        <f ca="1">IF(Información1[[#This Row],[Fecha]]='Ajuste de fechas'!$A$2,"Día actual","Día anterior")</f>
        <v>Día actual</v>
      </c>
      <c r="C120" s="3" t="s">
        <v>68</v>
      </c>
      <c r="D120" t="s">
        <v>69</v>
      </c>
      <c r="E120" s="3" t="s">
        <v>267</v>
      </c>
      <c r="F120" s="3" t="s">
        <v>15</v>
      </c>
      <c r="G120" s="3" t="s">
        <v>268</v>
      </c>
      <c r="H120" s="3" t="s">
        <v>71</v>
      </c>
      <c r="I120" s="3" t="s">
        <v>7</v>
      </c>
      <c r="J120" s="3" t="s">
        <v>31</v>
      </c>
      <c r="K120" s="3" t="s">
        <v>76</v>
      </c>
      <c r="L120" s="3" t="s">
        <v>27</v>
      </c>
      <c r="M120">
        <v>1</v>
      </c>
    </row>
    <row r="121" spans="1:13" x14ac:dyDescent="0.25">
      <c r="A121" s="2">
        <v>46295</v>
      </c>
      <c r="B121" s="1" t="str">
        <f ca="1">IF(Información1[[#This Row],[Fecha]]='Ajuste de fechas'!$A$2,"Día actual","Día anterior")</f>
        <v>Día actual</v>
      </c>
      <c r="C121" s="3" t="s">
        <v>68</v>
      </c>
      <c r="D121" t="s">
        <v>69</v>
      </c>
      <c r="E121" s="3" t="s">
        <v>269</v>
      </c>
      <c r="F121" s="3" t="s">
        <v>13</v>
      </c>
      <c r="G121" s="3" t="s">
        <v>270</v>
      </c>
      <c r="H121" s="3" t="s">
        <v>71</v>
      </c>
      <c r="I121" s="3" t="s">
        <v>18</v>
      </c>
      <c r="J121" s="3" t="s">
        <v>30</v>
      </c>
      <c r="K121" s="3" t="s">
        <v>76</v>
      </c>
      <c r="L121" s="3" t="s">
        <v>27</v>
      </c>
      <c r="M121">
        <v>1</v>
      </c>
    </row>
    <row r="122" spans="1:13" x14ac:dyDescent="0.25">
      <c r="A122" s="2">
        <v>46295</v>
      </c>
      <c r="B122" s="1" t="str">
        <f ca="1">IF(Información1[[#This Row],[Fecha]]='Ajuste de fechas'!$A$2,"Día actual","Día anterior")</f>
        <v>Día actual</v>
      </c>
      <c r="C122" s="3" t="s">
        <v>68</v>
      </c>
      <c r="D122" t="s">
        <v>69</v>
      </c>
      <c r="E122" s="3" t="s">
        <v>271</v>
      </c>
      <c r="F122" s="3" t="s">
        <v>13</v>
      </c>
      <c r="G122" s="3" t="s">
        <v>171</v>
      </c>
      <c r="H122" s="3" t="s">
        <v>71</v>
      </c>
      <c r="I122" s="3" t="s">
        <v>7</v>
      </c>
      <c r="J122" s="3" t="s">
        <v>30</v>
      </c>
      <c r="K122" s="3" t="s">
        <v>76</v>
      </c>
      <c r="L122" s="3" t="s">
        <v>27</v>
      </c>
      <c r="M122">
        <v>1</v>
      </c>
    </row>
    <row r="123" spans="1:13" x14ac:dyDescent="0.25">
      <c r="A123" s="2">
        <v>46295</v>
      </c>
      <c r="B123" s="1" t="str">
        <f ca="1">IF(Información1[[#This Row],[Fecha]]='Ajuste de fechas'!$A$2,"Día actual","Día anterior")</f>
        <v>Día actual</v>
      </c>
      <c r="C123" s="3" t="s">
        <v>68</v>
      </c>
      <c r="D123" t="s">
        <v>69</v>
      </c>
      <c r="E123" s="3" t="s">
        <v>272</v>
      </c>
      <c r="F123" s="3" t="s">
        <v>13</v>
      </c>
      <c r="G123" s="3" t="s">
        <v>83</v>
      </c>
      <c r="H123" s="3" t="s">
        <v>71</v>
      </c>
      <c r="I123" s="3" t="s">
        <v>7</v>
      </c>
      <c r="J123" s="3" t="s">
        <v>30</v>
      </c>
      <c r="K123" s="3" t="s">
        <v>75</v>
      </c>
      <c r="L123" s="3" t="s">
        <v>27</v>
      </c>
      <c r="M123">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33</v>
      </c>
      <c r="B1" t="s">
        <v>34</v>
      </c>
    </row>
    <row r="2" spans="1:2" x14ac:dyDescent="0.25">
      <c r="A2" s="2">
        <f ca="1">TODAY()</f>
        <v>46295</v>
      </c>
      <c r="B2" s="2">
        <f ca="1">A2-1</f>
        <v>46294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2026-09-30T23:11:55Z</dcterms:modified>
</cp:coreProperties>
</file>