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1AD875D0-49C9-4893-AC4D-A7587DC0203F}"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59" i="2"/>
  <c r="B93" i="2"/>
  <c r="B96" i="2"/>
  <c r="B99" i="2"/>
  <c r="B102" i="2"/>
  <c r="B106" i="2"/>
  <c r="B109" i="2"/>
  <c r="B112" i="2"/>
  <c r="B115" i="2"/>
  <c r="B118"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60" i="2"/>
  <c r="B94" i="2"/>
  <c r="B97" i="2"/>
  <c r="B100" i="2"/>
  <c r="B103" i="2"/>
  <c r="B105" i="2"/>
  <c r="B108" i="2"/>
  <c r="B111" i="2"/>
  <c r="B114" i="2"/>
  <c r="B117"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5" i="2"/>
  <c r="B98" i="2"/>
  <c r="B101" i="2"/>
  <c r="B104" i="2"/>
  <c r="B107" i="2"/>
  <c r="B110" i="2"/>
  <c r="B113" i="2"/>
  <c r="B116" i="2"/>
  <c r="B11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<sst xmlns="http://schemas.openxmlformats.org/spreadsheetml/2006/main" count="1195" uniqueCount="233">
  <si>
    <t>Fecha</t>
  </si>
  <si>
    <t>Titular</t>
  </si>
  <si>
    <t>Dependencia</t>
  </si>
  <si>
    <t>Canal</t>
  </si>
  <si>
    <t>Tema</t>
  </si>
  <si>
    <t>Estatus</t>
  </si>
  <si>
    <t>Sipdus</t>
  </si>
  <si>
    <t>Informativa</t>
  </si>
  <si>
    <t>Acir 92.5 FM</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</si>
  <si>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</si>
  <si>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</si>
  <si>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</si>
  <si>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</si>
  <si>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</si>
  <si>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</si>
  <si>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</si>
  <si>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</si>
  <si>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</si>
  <si>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</si>
  <si>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</si>
  <si>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</si>
  <si>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</si>
  <si>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</si>
  <si>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</si>
  <si>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</si>
  <si>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</si>
  <si>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</si>
  <si>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</si>
  <si>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</si>
  <si>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</si>
  <si>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</si>
  <si>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</si>
  <si>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</si>
  <si>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</si>
  <si>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</si>
  <si>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</si>
  <si>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</si>
  <si>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</si>
  <si>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</si>
  <si>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</si>
  <si>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</si>
  <si>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</si>
  <si>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</si>
  <si>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</si>
  <si>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</si>
  <si>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</si>
  <si>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</si>
  <si>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</si>
  <si>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</si>
  <si>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</si>
  <si>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</si>
  <si>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</si>
  <si>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</si>
  <si>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</si>
  <si>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</si>
  <si>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</si>
  <si>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</si>
  <si>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Reforma Electoral</t>
  </si>
  <si>
    <t>Grito De Independencia</t>
  </si>
  <si>
    <t>Fuga De Agua</t>
  </si>
  <si>
    <t>Cultura</t>
  </si>
  <si>
    <t>Iniciativa</t>
  </si>
  <si>
    <t>OCSAD</t>
  </si>
  <si>
    <t>Oficialía Mayor</t>
  </si>
  <si>
    <t>Fiestas Patrias</t>
  </si>
  <si>
    <t>La Poderosa Tuxpan 93.1 FM</t>
  </si>
  <si>
    <t>Nn Nuestras Noticias Zona Norte</t>
  </si>
  <si>
    <t>Liz Argüelles</t>
  </si>
  <si>
    <t>El Mexe</t>
  </si>
  <si>
    <t>Gobierno</t>
  </si>
  <si>
    <t>DIFH</t>
  </si>
  <si>
    <t>Ke Buena 106.7 FM</t>
  </si>
  <si>
    <t>Noticias 106.7</t>
  </si>
  <si>
    <t>David Cárdenas</t>
  </si>
  <si>
    <t>Eulalio Larrieta agradece Paola García y Lic. Sarahi Pineda, por estar atentas a los mensajes de la ciudadanía y por atenderlos.</t>
  </si>
  <si>
    <t>Modernización Tuzobús</t>
  </si>
  <si>
    <t>Arena de la 11 de Julio recibirá conferencia sobre la lucha libre como patrimonio cultura</t>
  </si>
  <si>
    <t>Conservación del Patrimonio Cultural</t>
  </si>
  <si>
    <t>Docente de la UTSH participa en seminario internacional en China</t>
  </si>
  <si>
    <t>Encuentro internacional</t>
  </si>
  <si>
    <t>Con información de El Universal, la Procuraduría General de Justicia del Estado de Hidalgo confirmó el hallazgo sin vida del sacerdote Román de la Cruz Hernández, cuyo cuerpo fue localizado el martes 15 de septiembre en el tramo carretero Tolago Tetlapaya, en el municipio de Lolotla. La víctima, originaria de la comunidad de Mazahuacán y párroco en Huejutla, presentaba un mensaje en una cartulina sobre la espalda. Francisco Fernández Hasbun, titular de la dependencia, señaló que las investigaciones están en curso y por secrecía se reservaron los detalles sobre el contenido del mensaje, mientras peritos realizan las diligencias correspondientes en la zona.</t>
  </si>
  <si>
    <t>Homicidio de Sacerdote</t>
  </si>
  <si>
    <t>Conalep Hidalgo, finalista nacional del premio escuelas sostenibles 2026</t>
  </si>
  <si>
    <t>Investigación académica</t>
  </si>
  <si>
    <t>Fortalece SEPH la identidad cultural en Ixmiquilpan a través de “Cazadores de Saberes”</t>
  </si>
  <si>
    <t>Preservación Lenguas Maternas</t>
  </si>
  <si>
    <t>UPH desarrolla lentes asistidos para mejorar la movilidad de personas con discapacidad visual</t>
  </si>
  <si>
    <t>Durante la conferencia mañanera del 17 de septiembre de 2026, la presidenta Claudia Sheinbaum Pardo y la coordinadora nacional de Protección Civil, Laura Velázquez Alzúa, presentaron de manera oficial los pormenores del Segundo Simulacro Nacional 2026. Se llevará a cabo el sábado 19 de septiembre de 2026 a las 12:00 horas (tiempo del centro de México). Por primera vez, se realizará en sábado con el propósito de facilitar que un mayor número de personas participe junto a sus familias desde sus hogares, comercios o espacios comunitarios.</t>
  </si>
  <si>
    <t>Simulacro Sismo</t>
  </si>
  <si>
    <t>Con el propósito de fortalecer la participación de los pueblos y comunidades indígenas y contribuir a que sus derechos político-electorales sean reconocidos, respetados y plenamente garantizados, el próximo viernes 18 de septiembre, a las 9:00 horas, se realizará en el Auditorio Benito Juárez de la Presidencia Municipal el Foro Regional de Diálogo en Materia Indígena. El encuentro es organizado de manera conjunta por el Instituto Estatal Electoral de Hidalgo (IEEH), a través de la Unidad Técnica de Derechos Político-Electorales para Pueblos y Comunidades Indígenas, y el Gobierno Municipal de Tulancingo. En este ejercicio de diálogo participarán representantes de los municipios de Metepec, Acaxochitlán y Tulancingo, como municipio anfitrión. La jornada contempla una capacitación impartida por personal del Instituto Electoral del Estado y, posteriormente, el desarrollo del foro, donde se abordarán de manera detallada los derechos político-electorales de los pueblos y comunidades indígenas, así como los mecanismos necesarios para hacerlos efectivos. La realización de estos trabajos cobra especial relevancia ante el proceso electoral 2026-2027, en el que se renovarán los ayuntamientos de los 84 municipios y el Congreso del Estado de Hidalgo. En este contexto, los foros regionales representan un espacio fundamental para escuchar directamente a las comunidades, recoger sus planteamientos y construir, mediante el diálogo y la participación, las bases para reglas de postulación de candidaturas que garanticen una representación indígena efectiva, incluyente y apegada a sus derechos. Como parte del acompañamiento del Gobierno Municipal, la Dirección de Atención a Pueblos, Comunidades y Población Indígena, dependiente de la Secretaría de Desarrollo Humano y Social, ya colocó la convocatoria para esta etapa de diálogo regional, además de que coadyuvará en las acciones de difusión.</t>
  </si>
  <si>
    <t>Consulta Indígena</t>
  </si>
  <si>
    <t>En el municipio de Tulancingo se llevó a cabo una noche de fiesta, tradición y convivencia familiar para conmemorar el 216 aniversario del inicio de la independencia de México. El Jardín La Floresta fue el punto de encuentro para cientos de habitantes y visitantes, quienes disfrutaron de la verbena popular, la gastronomía mexicana y diversas expresiones artísticas en un ambiente de tranquilidad y saldo blanco. Desde el kiosco, la presidenta municipal, Lorena García Cázares, encabezó la ceremonia del Grito de Independencia; tras la lectura del acta, recibió la bandera nacional de manos de la escolta del Heroico Cuerpo de Bomberos de Tulancingo y dio el tradicional Grito, siendo correspondida por las familias reunidas, para posteriormente entonar el Himno Nacional Mexicano. Las festividades también incluyeron la edición número 39 de la carrera atlética de independencia con la participación de 300 corredores, así como presentaciones musicales y folclóricas a cargo de los cadetes de Linares, el Mariachi Platino de México, el ballet folclórico Padre de la Patria y otros artistas invitados, logrando una celebración que reunió a la comunidad en un ambiente de paz.</t>
  </si>
  <si>
    <t>En la agenda gubernamental, el gobernador del estado, Julio Menchaca, tiene previsto presidir a las 10:45 a.m. el abanderamiento de la delegación hidalguense en la Ciudad Deportiva de Alto Rendimiento (al sur de la capital hidalguense) con motivo de su participación rumbo a la Paralimpiada Nacional Conade 2026. Este acontecimiento y el desempeño de los deportistas serán abordados posteriormente en la sección deportiva.</t>
  </si>
  <si>
    <t>Agenda gobernador</t>
  </si>
  <si>
    <t>Huichapan proyecta su historia y riqueza turística con videomapping</t>
  </si>
  <si>
    <t>Video Mapping</t>
  </si>
  <si>
    <t>Repuve acerca registro vehicular gratuito a todas las regiones</t>
  </si>
  <si>
    <t>Registro vehicular</t>
  </si>
  <si>
    <t>Hidalgo concluye festejos patrios con desfile cívico-militar</t>
  </si>
  <si>
    <t>Desfile cívico</t>
  </si>
  <si>
    <t>Conmemora Julio Menchaca, junto con el pueblo de Hidalgo, el 216 aniversario del inicio de la Independencia de México</t>
  </si>
  <si>
    <t>Reafirma gobernador valores de libertad y justicia</t>
  </si>
  <si>
    <t>Gustavo Rosales se invitó a la audiencia al "Guto Festival 2026", un importante evento de deportes extremos programado del 23 al 25 de octubre en Huichapan, Hidalgo, el cual incluirá disciplinas como highline con alturas de hasta 100 metros, escalada deportiva y carreras a campo traviesa, esperando una afluencia de más de 200 competidores.</t>
  </si>
  <si>
    <t>Turismo Deportivo</t>
  </si>
  <si>
    <t>Jesús Riveros retoma los puntos clave sobre el segundo Simulacro Nacional programado para el sábado 19 de septiembre a las 12:00 horas, anunciado previamente por la coordinadora nacional de Protección Civil, Laura Velázquez. Se destaca que este ejercicio incluirá la activación de la alerta sísmica a través de 23,000 altavoces en diversas entidades y, por primera vez, el envío de una alerta masiva a más de 80 millones de teléfonos celulares en todo el país. Se hace un llamado a la ciudadanía para mantenerse al pendiente, participar activamente y conocer los protocolos de actuación ante desastres naturales como los sismos.</t>
  </si>
  <si>
    <t>En su colaboración matutina, David Cárdenas comparte información desde Palacio Nacional, dio a conocer los detalles del segundo Simulacro Nacional anunciado para el sábado 19 de septiembre a las 12:00 horas, el cual por primera vez se realizará en fin de semana e incluirá a las 32 entidades federativas. Las actividades iniciarán a las 07:19 horas con el izamiento de bandera encabezado por la Presidenta de México y diversos funcionarios federales y locales en memoria de los sismos de 1985 y 2017. Posteriormente, se instalará el Comité Nacional de Emergencias dirigido por el secretario de seguridad Omar García Harfuch, y se activará por primera vez una alerta masiva en más de 80 millones de teléfonos celulares en todo el país, además de la red de 23,000 altavoces en los estados del centro y hacia el Pacífico, con el fin de medir la capacidad de respuesta ciudadana y fomentar los planes familiares de protección civil.</t>
  </si>
  <si>
    <t>Mañanera del pueblo</t>
  </si>
  <si>
    <t>En las últimas 24 horas, el área de Bomberos y Protección Civil atendió diversos servicios, entre los que destacan cinco incendios de pasto y basura, el rescate de un perro en un registro, una fuga de gas L.P. en un tanque estacionario de 1000 litros en la colonia San José, atención a personas enfermas y lesionadas (incluyendo un derrape de motocicleta de una joven de 17 años en San Nicolás y un choque de moto en Rojo Gómez con apoyo de Bomberos Santiago), además del retiro de enjambres, captura de serpientes y un derrame de aceite en La Morena. Respecto a los festejos patrios y al operativo del Grito, se reportó saldo blanco sin novedad. En cuanto al pronóstico del tiempo, se esperan lluvias moderadas a fuertes durante la tarde debido a canales de baja presión y humedad, con una temperatura máxima de 20 °C y una mínima de 12 °C para el día siguiente, lo anterior, con información de Abner Yáñez.</t>
  </si>
  <si>
    <t>Atención a la ciudadanía</t>
  </si>
  <si>
    <t>Con saldo blanco concluyó el operativo de seguridad implementado durante las actividades conmemorativas del 15 y 16 de septiembre en Pachuca, informó la Secretaría de Seguridad Pública, Tránsito y Vialidad, en coordinación con la Dirección General de Protección Civil, Bomberos y Gestión de Riesgos. Para garantizar el orden y la integridad de la ciudadanía, la Secretaría de Seguridad Pública desplegó un estado de fuerza de 158 elementos, entre ellos cuatro directores, cuatro jefes de servicio y 150 oficiales, además de 40 patrullas, 30 motopatrullas, dos grúas y dos unidades de Auxilio Vial. Las labores de vigilancia y prevención también incluyeron seis binomios K9 y tres drones para reforzar el monitoreo aéreo en las zonas de mayor concentración de personas.</t>
  </si>
  <si>
    <t>Radioescucha dice : Una petición a la Secretaría de Movilidad: se ha estado difundiendo que se va a recuperar la infraestructura del Tuzobús y a la fecha no se ha hecho nada por recuperar el paradero de la estación del Bioparque, que fue quitada por afectación a una fachada de una concesionaria de autos que se abrió en ese sitio».</t>
  </si>
  <si>
    <t>Radioescucha 42 79 dice: «Muy buenos días, licenciado. Una sugerencia: comentar con el gobierno que por qué no se cuenta con un arquitecto urbanista para darle fluidez a la ciudad, o especialistas que ayudarían mucho, porque todas las obras son un caos y no hay quien supervise ni verifique»</t>
  </si>
  <si>
    <t>Via telefónica Hilda Miranda diputada del Congreso del Estado de Hidalgo informó que por parte del Congreso traen una agenda muy completa, una agenda que seguirá cambiando la vida de las y los hidalguenses. En el caso específico de la diputada Hilda Miranda, se ha planteado para este tercer periodo ordinario una agenda que tiene que ver con el fortalecimiento también los municipios con la municipalización. Tambien con la recepción de los fraccionamientos, más de 20 iniciativas, se realizarán modificaciones, homologar e incluso actualizar también algunas leyes que tienen que ver con la Ley de Coordinación para el Desarrollo Metropolitano, con la Ley de Planeación y Prospectiva, con la Ley Orgánica Municipal del Estado de Hidalgo, con la Ley de eh Planeación, así como la Ley de Vivienda y algunos otros temas</t>
  </si>
  <si>
    <t>Radioescucha un favor, ¿podrían pasar mi reporte? Ya tenemos una semana sin agua en La Alcantarilla, ya no tenemos ni gota»</t>
  </si>
  <si>
    <t>Radioescucha 10 04 dice: «Muy buenos días, Lalo. Tenemos más de una semana que no cae agua en Río de la Soledad.</t>
  </si>
  <si>
    <t>Radioescucha en la colonia Rojo Gómez no nos cae agua desde hace 15 días, en particular en la calle Tierra y Libertad. ¿Qué está pasando, sabrán ustedes algo al respecto?».</t>
  </si>
  <si>
    <t>Radioescucha Pau Jack, terminación 2684. Dice: «Muy buenos días, saludos. En la colonia Rojo Gómez, Delegación Agraria, sigue sin caer agua desde hace...» Dice: «Antes mandaban pipas, pero van de a tres semanas que no las mandan».</t>
  </si>
  <si>
    <t>Radioescucha dice: En la colonia Parque Urbano San Antonio llevamos cuatro días sin agua y no nos avisaron de que se suspendería. ¿Sabrá algo por qué?». No... no no lo sé, pero con mucho gusto ahorita lo pasamos con...</t>
  </si>
  <si>
    <t>Radioescucha Dice: «Yo vivo en la colonia Javier Rojo Gómez, aquí en la calle Delegación Agraria donde no tenemos nada de agua. Ya es casi un mes sin agua, licenciado». Nos... primero nos decían dos semanas, luego dice: «Licenciado, no son dos...» Ah, dice: «No son dos semanas, ya es casi un mes sin agua en la colonia Javier Rojo Gómez, en Reforma Agraria. Por favor, ni pipas nos apoyan</t>
  </si>
  <si>
    <t>Radioescucha ¿podría comentar con las personas de la Caasim...?». Así nos pusieron, "de la Casin", es la Caasim con M al final, nada más que lo pusieron con N. «...que tenemos 15 días sin agua en la colonia Rojo Gómez. Gracias por su atención. María Elena».</t>
  </si>
  <si>
    <t>Radioescucha reporta : Ya tenemos dos semanas sin agua en la colonia Rojo Gómez, y si Caasim nos puede hacer el apoyo. No hemos recibido el vital líquido. Con mucho gusto lo pasamos en estos momentos.</t>
  </si>
  <si>
    <t>Radioescucha 61 15,dice: «Buenos días, tenemos dos semanas sin que nos caiga agua en la delegación agraria de la colonia Rojo Gómez. ¿Hasta cuándo vamos a tener así?» Señora Espinosa, muchas gracias, con mucho gusto lo vamos a pasar. Está con nosotros Paola García, de la Caasim, y nos está apoyando con ello.</t>
  </si>
  <si>
    <t>Pasamos a más información, y durante su segundo informe de gobierno, el alcalde de Jaltocán, Guillermo Amador Lara, dirigió un señalamiento al párroco José Rosario Areva los Cervantes, conocido como el Padre Chayo. El presidente municipal pidió al sacerdote concentrarse en su labor religiosa y evitar involucrarse en situaciones políticas o asuntos que, según afirmó, no le competen.Audio de apoyo 8: Mensaje público del alcalde Guillermo Amador Lara dirigido al sacerdote José Rosario Arévalos.“Le pido aquí públicamente al Padre Chayo que se enfoque en dar su sermón religioso como tal, que no venga a la ciudadanía, que no se meta en situaciones que no le competen. Nosotros no nos metemos con el clero, nosotros somos respetuosos, que no se meta con nuestra política. Se lo digo a nombre del pueblo. Padre Chayo, creo que está escuchando. Muchas gracias.” Es un discurso bastante complejo, porque vivimos en una época de polarización, y un discurso viniendo de un alcalde puede resultar un poco complejo. Ahora cabe aclarar que el Padre Chayo se encuentra al frente de la parroquia de San Juan Bautista en la cabecera municipal de Jaltocán.</t>
  </si>
  <si>
    <t>Amenazas al Clero</t>
  </si>
  <si>
    <t>La Comisión de Derechos Humanos del Estado de Hidalgo detectó carencias en las áreas de detención de al menos diez municipios por lo que emitió recomendaciones para corregir deficiencias y garantizar condiciones dignas y seguras. Los municipios observados son Huasca de Ocampo, Huautla, Huazalingo, Jaltocán, Omitlán, Atotonilco el Grande, Epazoyucan, San Felipe Orizatlán, Tianguistengo y Tasquillo.El Secretario de Seguridad Pública Salvador Cruz Neri reconoció que los penales de Ixmiquilpan y Mixquiahuala tienen un grave problema de hacinamiento.“Ixmiquilpan es inhumano. Mixquiahuala también es otro. En Pachuca estamos avanzando con nuevos módulos pero no es considerable grave como el tema de Ixmiquilpan y Mixquiahuala. Principalmente Ixmiquilpan es un tema muy complicado.”</t>
  </si>
  <si>
    <t>Anomalías Ceresos</t>
  </si>
  <si>
    <t>Comenta conductor Eulalio Larrieta que un vehículo destruyó este postes de alumbrado público, las maceteros, los postes de alumbrado público los pequeñitos, los maceteros y luego una parte de una jardinera. ¿Quién lo hizo? Nadie ha dicho nada al respecto. O sea, tan bonito... Yo les dije: «Es que es bonito construir, pero hay alguien que siempre en cuestión de segundos destruye». No sabemos qué pasó, en lo personal yo todavía no sé qué pasó ahí y nadie ha dicho nada, por eso.</t>
  </si>
  <si>
    <t>Ben Gurión</t>
  </si>
  <si>
    <t>La Comisión de Desarrollo Agropecuario del Ayuntamiento Municipal de Tlahuelilpan que encabeza la regidora Yolanda Cruz Rufino en conjunto con los comisariados ejidales de Munitepec y de Tlahuelilpan solicitaron el apoyo de la Secretaría de Agricultura y Desarrollo Rural del Estado de Hidalgo para que brinde capacitación especializada apoyo técnico y económico para combatir plagas y enfermedades que afectan los cultivos.Audio de apoyo 13: Regidora Yolanda Cruz Rufino detalla los tipos de plagas que afectan la producción agrícola local.“Para la implementación de una capacitación especializada así como apoyo técnico y económico encaminado a la identificación, prevención control y atención de las principales plagas y enfermedades que actualmente están afectando los cultivos de esta región. La presente solicitud surge de la preocupación de los productores agrícolas de nuestro municipio a quienes han manifestado la presencia de diversas plagas, así como en otras zonas representan un riesgo para el adecuado desarrollo de los cultivos y consecuentemente para la producción y economía de las familias que dependen de la actividad agrícola. Entre las principales afectaciones que actualmente se han identificado se encuentra el gusano cegollero, fusiciuro, la gallina ciega y el rollo. Ante esta situación consideramos de suma importancia que se brinde una capacitación directa a los productores. Afecte que puedan identificar correctamente las plagas y enfermedades y conocer los métodos adecuados para su prevención y control.”</t>
  </si>
  <si>
    <t>Control de plagas</t>
  </si>
  <si>
    <t>La Secretaría de Seguridad Pública, Tránsito y Vialidad de Pachuca, abrirá una capacitación gratuita de conducción responsable, dirigida a personas mayores de edad que habiten en el municipio.El programa iniciará el próximo 5 de octubre y contempla una formación integral con contenidos teóricos y prácticos, orientados a brindar a las y los participantes conocimientos y herramientas para conducir de manera segura y responsable.Durante la capacitación se abordarán temas relacionados con educación vial, Reglamento de Tránsito y mecánica básica, con el propósito de reforzar los conocimientos necesarios para una adecuada conducción y favorecer una mayor cultura de prevención en las calles de la ciudad.Las actividades se llevarán a cabo en el estacionamiento del Estadio Hidalgo, en dos horarios: de 8:30 a 12:00 horas y de 13:30 a 17:00 horas.Las inscripciones estarán disponibles a partir del 15 de septiembre, de 8:30 a 16:30 horas, a través del teléfono 771 719 2444, extensión 123.</t>
  </si>
  <si>
    <t>Curso de manejo</t>
  </si>
  <si>
    <t>Tal como se lo informaba al inicio, con saldo Blanco en los ochenta y cuatro municipios concluyeron en Hidalgo los festejos por los doscientos dieciséis aniversarios del inicio de la independencia de México. En Pachuca, el gobernador Julio Menchaca Salazar encabezó el desfile cívico-militar por el Centro Histórico. En la parada participaron más de dos mil setecientos estudiantes, además de elementos de corporaciones policiacas, protección civil, bomberos, Cruz Roja, Guardia Nacional, Ejército Mexicano y organizaciones secuestres</t>
  </si>
  <si>
    <t>Y en más información, tras la manifestación de estudiantes de la normal rural Luis Villarreal, el Mexe, durante el informe de Claudia Sheinbaum en Pachuca, esto el pasado domingo, el Secretario de Educación de Hidalgo, Natividad Castrejón, afirmó que sus demandas seguirán siendo atendidas. Explicó que los alumnos mantienen comunicación con el subsecretario Daniel Fragoso, aunque no han aceptado dialogar con otros funcionarios educativos.</t>
  </si>
  <si>
    <t>Cambiamos rotundamente de tema, y es que a la que no le fue nada bien durante el grito de independencia fue a la alcaldesa de Tepeji del Río, Tania Valdés Cuellar. En una plaza con poca asistencia, los ciudadanos iniciaron una rechifla y su equipo de trabajo cortó el audio para que no se escucharan los gritos, pero lo que no se escuchó fue el grito de independencia. ¡Viva Hidalgo! ¡Qué indignante este grito de independencia! ¡Viva las heroínas y los heroínes! Cuando sabemos que previo se puede preparar el grito de independencia, por si no tiene fresca la información, una pequeña estudiadita a nuestra historia de México para darle a los ciudadanos el grito de independencia que se merecen.</t>
  </si>
  <si>
    <t>Siete de la mañana con siete minutos pasamos a más información. Le comparto que con creatividad, identidad y orgullo por México, niñas y niños del preescolar indígena de la comunidad de Apilol, en Huejutla, participaron en un desfile con motivo de las celebraciones patrias. Acompañados por docentes y familias, llevaron a las calles una emotiva representación que destacó el valor de las tradiciones mexicanas. Habitantes reconocieron especialmente al maestro Alfredo Hernández por su gran creatividad y vocación para impulsar actividades cívicas entre la niñez. Estas expresiones contribuyeron a mantener vivas las costumbres de las comunidades del lago azteca hidalguense. El desfile fue único porque no contaron con los recursos económicos, pero les sobraba la imaginación. Los niños y el profesor del preescolar indígena desfilaron con su tanque de guerra y aviones de cartón.</t>
  </si>
  <si>
    <t>Y continuando en esta línea, el secretario de Seguridad Pública, Salvador Cruz Neri, informó que durante los gritos de independencia en diferentes plazas y los desfiles fue saldo blanco.Salvador Cruz Neri reporta saldo blanco en festejos patrios y ambiente familiar.“La verdad es que hay que reconocer que toda la población se portó de maravilla en esos gritos que tuvimos saldo blanco hasta el día de hoy. Sí, quiero comentarles que en todas las plazas fue una convivencia familiar, con muchas niñas y niños a estos festejos, ¿no? Y para nosotros es satisfactorio que esta convivencia sea familiar y que cada día vayan, o sea, que cada año vayan más niñas y niños. Y no tenemos visto algún incidente, que es lo importante.”</t>
  </si>
  <si>
    <t>Con todo y el clima de violencia, cientos de familias hidalguenses salieron a celebrar las fiestas patrias. La información con mi compañera Claudia Alcántara.A pesar del clima de violencia que se registra en distintas regiones del país, cientos de familias hidalguenses salieron a plazas públicas para celebrar el aniversario del inicio de la independencia de México, además del desfile tradicional. Niñas, niños, jóvenes y adultos participaron en las actividades organizadas por los ayuntamientos. En un ambiente familiar, la población recordó a los héroes de la patria y refrendó el orgullo de ser mexicano.“Con la familia, con los amigos, en grande. Es muy importante porque nos distingue como mexicanos, nos dio nuestra independencia, entonces es algo que tenemos que festejar. Inculcarles esos valores, esos respetos y, sobre todo, todo lo que nos distingue como mexicanos.”“Tengo hijos y a mí sí me gustaría transmitirle todos esos valores porque, al final de cuentas, vivimos en un México independiente, en un Hidalgo independiente y yo creo que es una pasión y es un orgullo.”Considero que es una parte de recordar nuestra historia y, sobre todo, la importancia que tuvo o la repercusión que tuvo este hecho para nuestra libertad. Pero pareciera ser que mexicanos nada más es el 15 de septiembre. No, deberíamos de ser todo el año, ¿no?” Para Enfoque Regional informó Claudia Alcántara</t>
  </si>
  <si>
    <t>Reportaje</t>
  </si>
  <si>
    <t>Fíjese que concluyó con saldo blanco las celebraciones del 216 aniversario de la Independencia de México.</t>
  </si>
  <si>
    <t>Escucharemos un poco de lo que se vivió en ese momento con el gobernador constitucional del Estado de Hidalgo, ¿les parece? Escuchamos.¡Hidalguenses! ¡Vivan los héroes que nos dieron patria y libertad!</t>
  </si>
  <si>
    <t>Le comento que el gobernador Julio Menchaca encabezó la guardia de honor con motivo del 216 aniversario del inicio de la Independencia de México</t>
  </si>
  <si>
    <t>Resulta complejo esta situación que está sucediendo porque no es el primer caso que sucede. El índice de violencia en nuestro país también ha pegado a las autoridades eclesiásticas en el norte del país, pero también consterna mucho a la población hidalguense que un caso así se presente en nuestro estado. Estaremos siguiendo de cerca toda esta información que es ya un tema a nivel nacional. Por supuesto, lo invitamos a permanecer en la frecuencia de Super Estéreo 100.5 con los avances con cada emisión de enfoque regional vamos a darle seguimiento a este caso.</t>
  </si>
  <si>
    <t>Homicidio de sacerdote</t>
  </si>
  <si>
    <t>La Procuraduría General de Justicia del estado de Hidalgo abrió una carpeta de investigación por homicidio. Hasta la tarde de ayer, la dependencia no había informado sobre personas detenidas ni sobre el posible móvil del crimen.“Les comento que es una situación que tenemos, un proceso de investigación, no puedo dar más información en unas horas con todo gusto. ¿Se encontró un mensaje en el cuerpo? Efectivamente, se encontró un mensaje, repito, se lo está procesando el área, desde el día de ayer, en cuanto tengamos más información.</t>
  </si>
  <si>
    <t>Y continuando en esta línea, resulta muy complejo compartir esta información que ha sido nota nacional. Los principales medios de comunicación de nuestro país lo han estado abordando. Y aquí en Enfoque Regional Primera Emisión le compartimos que el sacerdote Román de la Cruz Hernández fue asesinado a balazos y abandonado a un costado de la carretera, esto en los límites en los municipios de Tlanchinol y Lolotla, aquí en el estado de Hidalgo.</t>
  </si>
  <si>
    <t>Tan solo en la primera quincena de septiembre se han reportado cuatro homicidios dolosos en territorio hidalguense que se suman a los 150 registrados por autoridades federales en lo que va de 2026. El caso del martes sería el segundo ocurrido en Lolotla este año, el caso del sacerdote que le compartimos hace unos minutos. Y aquí hay un tema muy importante que nos compete a esta región y es que Tula y Tezotepec de Aldama son los municipios con más asesinatos al contabilizar 20 y 23 carpetas de investigación respectivamente, esto según el último reporte del Secretariado Ejecutivo del Sistema Nacional de Seguridad Pública. Otro dato muy importante que vamos a estar revisando es este censo que hace el INEGI de cómo percibe cada ciudadano la seguridad en el municipio donde vive. Entonces vamos a estarle dando seguimiento a estos datos que son muy importantes y por supuesto se los vamos a compartir aquí en enfoque regional.</t>
  </si>
  <si>
    <t>Homicidios</t>
  </si>
  <si>
    <t>La diputada Johana Montcerrat Hernández Pérez (PRI) detalló la iniciativa que reforma la Ley de los Trabajadores al Servicio de los Gobiernos Estatal y Municipales, así como de los Organismos Descentralizados del Estado de Hidalgo, con el propósito de reconocer las incapacidades temporales derivadas de trastornos de salud mental dentro de las enfermedades no profesionales, garantizando que las personas trabajadoras puedan acceder a la licencia correspondiente y conservar su relación laboral y los derechos derivados de ésta durante el periodo de incapacidad.</t>
  </si>
  <si>
    <t>El diputado local Marco Antonio Mendoza Bustamante, del PRI, presentó ante el Congreso del Estado dos iniciativas relacionadas con la prevención de riesgos por fenómenos hidrometeorológicos y el fortalecimiento de las sociedades cooperativas en Hidalgo.La primera propuesta plantea reformar la Ley de Mitigación y Adaptación ante los Efectos del Cambio Climático para el Estado de Hidalgo, con el objetivo de incorporar el concepto de “sistemas de alerta temprana”.De acuerdo con la iniciativa, estos sistemas serían entendidos como el conjunto de instrumentos de medición y monitoreo terrestre, marino, aéreo y espacial que, coordinados con el Sistema Nacional de Protección Civil, permitan advertir de manera expedita a la población sobre situaciones de vulnerabilidad y riesgo ante fenómenos hidrometeorológicos extremos.</t>
  </si>
  <si>
    <t>Radioescucha Sr. Castillo Dice: «Buenos días, licenciado, a todo el equipo de Panorama Informativo. Si me pudiera brindar apoyo en difundir y canalizar al área correspondiente de la situación, por favor. Aproximadamente hace 6 meses fui a las oficinas de la Secretaría de Seguridad Pública del Estado de Hidalgo a levantar una denuncia, pero fui víctima de maltrato por parte del secretario particular del comisario Salvador Cruz Neri. Debido a esta situación fui al Gobierno estatal para solicitar audiencia con el secretario de Gobierno, pero llevo 6 meses sin que nadie me atienda ni me haga caso con mi denuncia. Le agradezco mucho».Okay, pues con mucho gusto lo lo checamos y vemos vemos quién nos puede apoyar en ello, con mucho gusto, ¿de acuerdo?Dice: «De hecho ustedes me hicieron el favor de difundir en en su momento que ninguna autoridad me había recibido. Atentamente, señor Castillo». Perfecto, vamos a checar de qué es</t>
  </si>
  <si>
    <t>Mala atención</t>
  </si>
  <si>
    <t>Y octubre será el mes en donde comenzará la rehabilitación de las estaciones del sistema de transporte metropolitano de Hidalgo, así lo informó el oficial mayor Orlando Ángeles, quien explicó cómo se va a desarrollar el proyecto que contempla el mantenimiento de los 34 paraderos del sistema.</t>
  </si>
  <si>
    <t>Nos pasamos a materia de seguridad, y es que el secretario de Seguridad Pública Estatal, Salvador Cruz Neri, descartó que en el Estado se hayan identificado falsos retenes. No obstante, aseguró que la dependencia trabaja en coordinación con la Guardia Nacional para mantener la seguridad. Audio de apoyo 7: Salvador Cruz Neri aclara situación sobre vigilancia y falsos retenes en Hidalgo.“En Hidalgo no nos hemos identificado falsos retenes, lo que comentaba usted en el Estado de México que se vio en las redes sociales. En Hidalgo no lo hemos identificado como tal, estamos atentos, no tenemos una conexión con la Guardia Nacional, principalmente carteles federales. La verdad es que tenemos patrullajes con ellos, no hemos identificado retenes falsos.”</t>
  </si>
  <si>
    <t>Noticias falsas</t>
  </si>
  <si>
    <t>Le comparto que el sector salud hizo un llamado a madres y padres de familia a no adquirir ni permitir que niñas y niños manipulen cohetes para las fiestas patrias. Advirtió que seis de cada diez personas lesionadas por el uso de pirotecnia sufren quemaduras principalmente en manos, rostro y extremidades. Y aquí va un dato muy importante. Los menores de entre 10 y 14 años son los más afectados. Las autoridades señalaron que además de quemaduras, los cohetes pueden provocar lesiones graves, incendios y daños auditivos, por lo que recomendaron celebrar sin poner en riesgo la integridad de las familias. Audio de apoyo 6: Recomendación del sector salud a padres de familia sobre prevención de quemaduras por pirotecnia.“Este mensaje voy a dirigir a los papás, porque ellos son los que hacen que los niños tengan en las manos la pirotecnia. Pirotecnia que es muy delicada, que lo manejen niños que no tienen las precauciones necesarias para poderla utilizar. Puede haber quemaduras, quemaduras que van a veces de primero hasta segundo grado y a veces hasta mutilación de las partes de las manos. Entonces sí es importante que los papás tomen conciencia de no comprar pirotecnia a los niños.”</t>
  </si>
  <si>
    <t>Prohibición de pirotecnia</t>
  </si>
  <si>
    <t>La Secretaría de Gobierno de Hidalgo amplió la atención del Registro Público Vehicular, el REPUVE, con una unidad móvil que va a recorrer los municipios que no cuentan con un módulo fijo. El trámite para colocar o actualizar el chip de identificación vehicular es presencial, gratuito, y se realiza en aproximadamente 15 minutos. Las personas interesadas deben presentar el vehículo y la documentación original correspondiente. La unidad también participará en las mesas de acercamiento de bienestar y paz para acercar este servicio a las comunidades. La inscripción brinda certeza jurídica sobre la propiedad y ayuda a prevenir delitos, así como a localizar vehículos con reporte de robo. Para más información, le brindo el número que es el 771-717-800 y las extensiones son 2189 y el 2193.</t>
  </si>
  <si>
    <t>Radioescucha reporta que no funciona semafóro en la 11 de Julio, ya pasaron reporte anteriormente y no hacen nada la respecto</t>
  </si>
  <si>
    <t>Semaforización</t>
  </si>
  <si>
    <t>Le comento que recuerde que este sábado 19 de septiembre Hidalgo se sumará al Simulacro Nacional de Sismo. Así que si usted está entrando a un centro comercial, a algún lugar donde se esté llevando a cabo, participe, no hay de otra.</t>
  </si>
  <si>
    <t>Ordenamiento vial</t>
  </si>
  <si>
    <t>Productividad legislativa</t>
  </si>
  <si>
    <t>Rehabilitación estaciones Tuzobús</t>
  </si>
  <si>
    <t>Este domingo 20 arranca la Semana Nacional de Vacunación Antirrábica para perros y gatos en Tulancingo, con un horario de 09:30 a 14:00 horas. El arranque dominical contempla módulos en diversas localidades y colonias como Centro (Velaria), La Cañada, Napateco (Parque de la U), Jaltepec (auditorio), Vicente Guerrero, Guadalupe, Rojo Gómez, Adolfo López Mateos (capilla de San Judas), Francisco I. Madero (Club de Leones) y Metilatla. Asimismo, para el día lunes las actividades continuarán en las colonias Caltengo, Argentina, Huapalcalco, Nuevo Tulancingo, Los Pinos, Lomas de Napateco, Sultepec, Sototlán, San Vidal y La Morena. Esta campaña tiene como</t>
  </si>
  <si>
    <t>Vacunación Antirrábica</t>
  </si>
  <si>
    <t>Durante la madrugada de este viernes en Santiago Tulantepec, se registró una fuga de hidrocarburo en un poliducto de Petróleos Mexicanos originada por una toma clandestina. El chorro de combustible alcanzó una altura de hasta cuatro metros. Cuerpos de emergencia, encabezados por Protección Civil y bomberos locales, acudieron al lugar tras recibir el reporte a las 02:59 horas y arribar al sitio a las 03:13 horas. Se implementó un operativo coordinado con la Policía Estatal y personal de logística y seguridad física de Pemex. Las acciones incluyeron el cierre temporal de válvulas para disminuir la presión, permitiendo realizar labores de soldadura y el sellado definitivo de la toma clandestina. La fuga quedó controlada alrededor de las 05:30 horas y el personal operativo se retiró del lugar a las 05:35 horas sin que se registraran personas lesionadas.</t>
  </si>
  <si>
    <t>Fuga de hidrocarburo</t>
  </si>
  <si>
    <t>Estudiantes de la UPE donan manuales especializados</t>
  </si>
  <si>
    <t>Donación académica</t>
  </si>
  <si>
    <t>Durante la primera quincena de septiembre, el estado de Hidalgo registró 12 nuevos casos de dengue, lo que representa un incremento del 120% en comparación con los 10 padecimientos acumulados durante los ocho meses previos. Según datos de la Dirección General de Epidemiología dependiente de la Secretaría de Salud Federal, del 1 de enero al 14 de septiembre se acumularon 22 casos en la entidad (15 no graves y 7 con signos de alarma, sin decesos reportados). Los casos fueron transmitidos por el mosquito Aedes aegypti y se concentraron en cinco municipios. Huejutla encabeza la lista con 16 casos, seguido por Huautla con tres, mientras que Huautla de Jiménez/Wasancingo, Jaltocán/Yahuahuolica y San Felipe Orizatlán reportan un caso cada uno. A nivel nacional se contabilizaron 5,450 padecimientos en 29 estados con 26 defunciones.</t>
  </si>
  <si>
    <t>Dengue</t>
  </si>
  <si>
    <t>Ante el incremento de muertes por COVID-19 en el estado, la Secretaría de Salud de Hidalgo anunció el reforzamiento de campañas de concientización para promover la vacunación y la atención médica oportuna. Vanessa Escalante Arroyo, titular del organismo, señaló que la mayoría de los decesos corresponden a personas con enfermedades crónico-degenerativas que no se habían vacunado o cuya última dosis fue hace varios años. Con un registro de 15 defunciones y 179 casos acumulados según el corte al 17 de septiembre, Hidalgo se ubica entre las entidades con mayor afectación en el país. Las autoridades sanitarias recordaron que los padecimientos crónicos aumentan el riesgo de complicaciones graves ante el virus, por lo que insistieron en la necesidad de mantener el control médico y actualizar las vacunas vigentes.</t>
  </si>
  <si>
    <t>Covid 19</t>
  </si>
  <si>
    <t>Dif Hidalgo fortalece accesibilidad para personas con discapacidad</t>
  </si>
  <si>
    <t>Movilidad incluyente</t>
  </si>
  <si>
    <t>Julio Menchaca abandera a paratletas rumbo a la Conade 2026</t>
  </si>
  <si>
    <t>Paranacionales Conade</t>
  </si>
  <si>
    <t>Docente de la UTVM realiza estancia académica en Estados Unidos</t>
  </si>
  <si>
    <t>Movilidad Académica</t>
  </si>
  <si>
    <t>Reapertura de carretera Tenango de Doria-Metepec</t>
  </si>
  <si>
    <t>Atención Afectaciones Por Lluvias</t>
  </si>
  <si>
    <t>Las autoridades informaron sobre la actualización de las condiciones viales tras las recientes lluvias, destacando la reapertura de la carretera estatal Tenango de Doria-Tulancingo. Aunque el paso vehicular ya ha sido restablecido —luego de haber permanecido cerrado la noche anterior a la altura del arco de bienvenida en la zona de "La Placa" debido a un deslave—, se exhorta a los automovilistas a circular con precaución debido a la persistencia de humedad, el escurrimiento de aguas pluviales y el riesgo latente de nuevos deslaves en la zona.</t>
  </si>
  <si>
    <t>Las fuertes lluvias registradas recientemente en la región otomí-tepehua provocaron afectaciones importantes, particularmente el cierre temporal del tramo carretero Arco de Bienvenida–La Placa en Tenango de Doria, debido a la caída de material rocoso y deslaves que bloquearon el paso hacia Tulancingo y Metepec. Afortunadamente, las autoridades de Protección Civil y los cuerpos de emergencia trabajaron en la zona para retirar el escombro y la circulación ya ha sido restablecida en su totalidad.</t>
  </si>
  <si>
    <t>Afectaciones Por Lluvias</t>
  </si>
  <si>
    <t>Durante la presentación de su segundo informe de gobierno, la presidenta municipal de Tulancingo, Lorena García Cázarez, dio a conocer los resultados obtenidos en su segundo año de gestión ante representantes de los poderes estatal y diversos sectores sociales. Entre los logros destacados se encuentran la gestión para ampliar a cuatro carriles el entronque Pitula-San Alejo, obras de pavimentación, bacheo, caminos rurales y ampliación de redes de agua potable y drenaje sanitario. En materia hídrica resaltó la inversión superior a 14 millones de pesos y el avance en la planta tratadora de Ahuahuetla. En seguridad se reportaron detenciones, recuperación de vehículos y nuevas cámaras de vigilancia, mientras que en el ámbito social se brindaron miles de atenciones en salud, asesoría legal y psicológica a mujeres y personas con discapacidad, reiterando su compromiso de fortalecer la coordinación institucional en la recta final de su administración.</t>
  </si>
  <si>
    <t>Informe De Gobierno</t>
  </si>
  <si>
    <t>Durante la emisión deportiva, el especialista Gustavo Rosales destacó el papel de Hidalgo como potencia en el deporte adaptado. Se informó sobre el abanderamiento de la delegación hidalguense rumbo a los Paranacionales CONADE 2026, ceremonia encabezada por el secretario de Educación Pública, Natividad Castrejón Valdez, en la Ciudad Deportiva de Alto Rendimiento. Dicha competencia reunirá a 72 paraatletas del estado del 20 de septiembre al 10 de octubre en Guadalajara y Zapopan, Jalisco. Asimismo, se resaltó el respaldo del gobernador Julio Menchaca Salazar hacia los deportistas, con la expectativa de cosechar buenos resultados y aspirar a futuras plazas para los Juegos Paralímpicos de Los Ángeles 2028.</t>
  </si>
  <si>
    <t>Durante la conferencia matutina realizada en Irapuato, Guanajuato, la presidenta de México, Claudia Sheinbaum Pardo, destacó una excelente coordinación interinstitucional y política con la gobernadora de la entidad, Libia Dennise García Muñoz Ledo, a pesar de provenir de distintas fuerzas políticas. Como resultado de esta estrategia conjunta en seguridad —en la que también participan el gabinete federal, la Fiscalía estatal y la fiscalía general de la República—, se informó una reducción del 73% en los homicidios dolosos, pasando de un promedio diario de 12.7 casos en febrero de 2025 a 4 casos diarios como cifra preliminar para 2026. Asimismo, se abordaron temas prioritarios como la disminución de delitos de alto impacto y el seguimiento a un aseguramiento histórico de cerca de 60 millones de litros de combustible en la región. Colaboración de David Cárdenas.</t>
  </si>
  <si>
    <t>En las últimas 24 horas, los servicios de emergencia de Tulancingo, atendieron diversos reportes que incluyeron un incendio de pasto en un terreno baldío, el rescate de un gatito, cuatro personas enfermas, tres lesionados, un enjambre de avispas y la captura de una víbora. Abner Yáñez, elemento de bomberos y protección civil, señaló que en las semanas recientes se ha vuelto común la captura de serpientes, debido a que salen de sus hábitats naturales para ingresar a casas habitación o vías públicas, siendo posteriormente liberadas en zonas despobladas y alejadas de la ciudad. Por otro lado, en cuanto al pronóstico del clima para el fin de semana, se prevé la presencia de canales de baja presión en el territorio nacional, con temperaturas máximas de entre 21 y 23 °C, mínimas de 10 a 11 °C, y probabilidad de lluvias ligeras a moderadas principalmente durante las tardes.</t>
  </si>
  <si>
    <t>Radio Lobo 96.7 FM</t>
  </si>
  <si>
    <t>Enlace Noticias</t>
  </si>
  <si>
    <t>El Desarrollo Integral para la Familia en Hidalgo fortalece la accesibilidad para personas con discapacidad. Los nuevos vehículos contribuirán a facilitar los traslados y fortalecer la atención que brinda el Desarrollo Integral para la Familia en Hidalgo. La presidenta del patronato del Sistema del Desarrollo Integral para la Familia en Hidalgo, Edda Vite Ramos, recibió del Sistema Nacional del DIF tres camionetas adaptadas que fortalecerán el servicio del transporte especializado para personas con discapacidad y movilidad reducida en la entidad.</t>
  </si>
  <si>
    <t>Gina Lorenzo</t>
  </si>
  <si>
    <t>La presidenta del patronato del DIF Hidalgo, Edda Vite Ramos, recibió en el Sistema Nacional DIF tres camionetas adaptadas que fortalecerán el servicio de transporte especializado para personas con discapacidad y movilidad reducida en la entidad.</t>
  </si>
  <si>
    <t>El Gobierno del Estado, encabezado por Julio Menchaca Salazar, a través de la Secretaría de Salud de Hidalgo, impulsa acciones preventivas en planteles educativos para identificar factores de riesgo, fortalecer redes de apoyo y acercar servicios de salud mental a los adolescentes y jóvenes. “Hablar de la salud mental, jóvenes, es un tema muy importante, porque ustedes como jóvenes, hoy que están en una etapa muy difícil de la vida, sobre qué voy a hacer, a qué me voy a dedicar, eh tengo el apoyo de mi familia, no tengo el apoyo de mi familia; yo creo que es muy importante que cuando ustedes tienen algún problema sepan con quién dirigirse, a qué línea pueden acudir, a qué personal pueden acudir y que sepan que siempre hay una solución</t>
  </si>
  <si>
    <t>Salud Mental</t>
  </si>
  <si>
    <t>El gobernador Julio Menchaca Salazar, abandera a paratletas rumbo a la Conade 2026. Hidalgo será, será representado por 72 paradeportistas en la justa nacional. Julio Menchaca Salazar (Gobernador de Hidalgo): Por ello les deseo todo el éxito. Disfruten muchísimo su participación.</t>
  </si>
  <si>
    <t>"El que vino a Hidalgo fue Alejandro Moreno, ¡mi querido "Alito" para los cuates!, presidente del PRI, y aseguró que su partido: ¡es inmortal! [Efecto de sonido: Es inmortal] ¡Mire usted, qué alivio!, porque aunque cambien las dirigencias, las siglas y hasta los resultados electorales, el PRI, según Alito, ¡ni con agua bendita se acaba! ¡Que Dios te perdone, mi Alito!""Las candidaturas, los espacios los deciden los hidalguenses, nosotros nos coordinamos. Que si ah, este, lo dice Alito porque nos quiere presumir, ¡no!, el PRI, el PRI es inmortal"."Pero el gobernador Julio Menchaca pareció no intimidarse y soltó la pregunta del millón: ¿Quién es Alito?""¿Quién es Alito Moreno?""No vale la pena, la verdad yo me ocupo en mejores opiniones"."Así que el PRI será inmortal... [Efecto de sonido: Es inmortal] Pero su dirigente, por lo visto, todavía anda buscando quien lo reconozca".</t>
  </si>
  <si>
    <t>Enfrentamiento Político</t>
  </si>
  <si>
    <t>Vaya puntada que se aventaron en el Valle del Mezquital! Y es que antes de que Emanuel Hernández, ¡mi querido "Chino"!, presidente de Ixmiquilpan, saliera a conmemorar el Grito de Independencia, el secretario municipal, en busca de protagonismo, salió a dar un fluido me... un fluido mensaje al pueblo de Ixmiquilpan. Pues es tampoco... ¿es mu- mucho es este el este el este el tiempo, no? Desafortunadamente, pocos le entendieron. ..principio en Iguala, prosiguió y llegó a Alatabu, arrollando obstáculos casi insuperables. Restituida, pues, esta parte del septentrión al ejercicio de cuantos derechos le concedió el autor de la naturaleza, y reconocen por inenarrables e inalienables y sagrados las naciones cultas de la Tierra... ¡Ni mi abuelito Crisóstomo lo pudo decir! Pero... ¡qué...! (risas) ¡Dígame qué...! Hasta aquí con "Tantas Puntadas". ¡No se enoje, porque el que se enoja, pierde!</t>
  </si>
  <si>
    <t>Y si de gastos curiosos hablamos, en Metztitlán el presupuesto municipal anda haciendo dieta, ¡pero de transparencia! La alcaldesa Susana Rivera Cano fue señalada en sesión de cabildo por presuntamente cargar al erario compras de productos para el control de peso y el cuidado de la piel. El presupuesto se va para el bienestar, ¡pero de la presidenta! Mientras a muchos ciudadanos se les dice que no hay recursos, hoy puedo ver que para pagar medicamentos de control de peso y productos dermatológicos sí hay. Disposición de efectivo para reembolso de gastos médicos de la ciudadana presidenta municipal constitucional de Metztitlán perteneciente a este ayuntamiento de Metztitlán. Pero ahora la báscula de la rendición de cuentas sigue marcando: ¡cero transparencia!</t>
  </si>
  <si>
    <t>Irregularidades alcalde</t>
  </si>
  <si>
    <t>¡Es viernes! ¡Sí!, y ya sabe usted que todos los viernes llega "El Sastrerito". Las puntadas de la semana, aquí se cose y descose la información. En Pachuca... En Pachuca la cosa se puso caliente en el cabildo. La regidora Lorena Camacho no se guardó nada y exhibió en vivo al alcalde de Epazoyucan, Carlos Montaño. A ver, aquí ya no somos partidos, usted se debe a la gente, usted es el presidente municipal de Epazoyucan, así que le hago la cordial invitación que haga valer sus funciones y haga su trabajo como debe de, de verdad, ya estoy cansada de que siempre lo mismo. Estoy cansado, jefe...Mientras el edil asegura que no hay presupuesto, sí hay dinero para sus eventos de lucimiento personal. Ahí el dinero brota de la nada. En Epazoyucan se les está olvidando lo que dijo el líder de Macuspana: "Por el bien de todos, primero los pobres". Es que se están pasando...</t>
  </si>
  <si>
    <t>Informe Alcalde</t>
  </si>
  <si>
    <t>La Secretaría de Salud de Hidalgo realizó una jornada de salud mental en el COBAEH de San Agustín Tlaxiaca para identificar factores de riesgo, fortalecer redes de apoyo y acercar servicios a adolescentes y jóvenes. La Secretaría de Salud, eh a cargo de Vanessa Escalante Arroyo, pues ha hecho un llamado a alumnos a mantenerse alejados de las adicciones y a escuchar sin juzgar a quienes atraviesan problemas emocionales. Durante el evento se destacó que la ansiedad, la depresión y las conductas suicidas representan algunos de los principales riesgos para la población joven.</t>
  </si>
  <si>
    <t>Prevención De Adicciones</t>
  </si>
  <si>
    <t>Bueno, ¿qué sucede en la Huasteca?, ¿qué sucede en la Sierra? Y es que ayer le presentamos la información sobre la muerte de Román N., sacerdote de la comunidad de Santa Cruz, municipio de Huejutla de Reyes. Ya la Procuraduría General de Justicia del Estado de Hidalgo informó que desde el pasado 15 de septiembre, momento en que se tuvo conocimiento del hecho, se iniciaron las investigaciones correspondientes</t>
  </si>
  <si>
    <t>Y en otra información, durante la conferencia matutina del ingeniero Julio Agustín Cruz Tovar, presidente municipal de Alfajayucan, dio a conocer que ya salió en el Periódico Oficial la nueva reforma electoral donde se reduce el número de regidurías. En la renovación de los ayuntamientos para el proceso electoral de 2027, donde cabe señalar que en base a las nuevas reformas que establece el Código Electoral y también la Constitución Política del Estado de Hidalgo, en donde establece que para municipios menores de 20,000 habitantes tendrán únicamente eh la posibilidad de participar con cuatro candidaturas a regidurías. Aquí en Alfajayucan eran cinco más la síndica y el presidente, en total la planilla la conformaban siete propietarios y siete suplentes. Ahora con la reforma y en base al número de habitantes que tenemos, Alfajayucan en este próximo proceso electoral estaría participando con una planilla de seis, candidato a presidente o presidenta, la candidata a síndica o síndico, el primero, segundo, tercero y cuarto regidor o regidora, entonces por lo tanto sería una planilla de seis. Y también en municipios que funcionaban con un síndico hacendario y un síndico jurídico, como es el caso de Ixmiquilpan, Pachuca, Tulancingo, Tula, Tepeji, que tenían dos síndicos, ahora también con la nueva reforma únicamente se tendrá un solo síndico para poder participar. Y en relación a la asignación de las regidurías de representación proporcional o los pluris o los que llegan por la votación que obtuvo obtuvieron los partidos que alcanzaron el 3% de la votación en el municipio, únicamente se asignarán tres regidurías. Anteriormente eran cuatro, también se ve reducido el municipio, ya nada más se van a asignar tres regidurías en el próximo proceso electoral, eh con lo cual el municipio tenía un cabildo de 11 elementos, pero con la nueva reforma el próximo ayuntamiento de Alfajayucan funcionaría con nueve: presidente o presidenta, síndico o síndica y regidoras y regidores serían únicamente siete. Entonces también decirles que en la nueva reforma los candidatos o candidatas a presidentes municipales ya no podrán acceder al cargo de regidoras o regidores como fue en el proceso electoral de 2020 y de 2024 en donde quienes participábamos como candidatos y obteníamos una buena votación, entonces esta nueva reforma pues establece que los candidatos o candidatas ya no podrán ocupar el cargo de regidores. Ahora ¿quiénes los van a ocupar? Pues estos cargos los van a ocupar quienes vengan en la lista de regidores.</t>
  </si>
  <si>
    <t>Y atentos porque si usted eh viaja mañana a la Ciudad de México, la zona metropolitana o el Valle de México, pues mucha atención porque la coordinadora de Protección Civil, Laura Velázquez, confirmó que el día de mañana sábado, mañana sábado 19 de septiembre a las 12 horas, se llevará a cabo el segundo simulacro a nivel nacional, ejercicio ciudadano con la hipótesis de sismo que permite, sin duda, a las autoridades medir toda su capacidad de respuesta ante una emergencia. Por primera vez en esta ocasión, si usted no viaja a la Ciudad de México o el Valle de México, también tiene que estar atento, ¿por qué? Por primera ocasión sonará la alerta en más de 80 millones de celulares. Informo a todos ustedes que el próximo sábado 19 de septiembre a las 12 del día se va a llevar a cabo el segundo simulacro nacional. Es decir, participaremos en las 32 entidades federativas. Hay que ver que va a ser sábado, por primera ocasión va a ser en sábado y esto nos va a permitir a participar a la gran mayoría de mexicanos y mexicanas desde sus hogares, lo cual será un ejercicio muy importante. Un plan familiar para determinar cuál es la responsabilidad de cada uno de los eh integrantes de las familias. Por último, recordar que van a sonar la alerta por vía celular, son más de 80 millones de celulares, el alertamiento por telefonía celular es una realidad en nuestro país. Somos el tercer país del continente americano con este alertamiento por telefonía celular y sonarán, sonarán todos los teléfonos en la República Mexicana a las 12 del día hora centro de México. Sobre todo en la zona metropolitana es donde se hacen ejercicios de eh simulación de evacuaciones, de salir a puntos eh seguros, etcétera, porque es donde pues se presentan más sismos, pero también es importante que si usted que nos está escuchando vive en una zona donde dice "aquí nunca va a temblar, nunca tiembla, nunca tenemos este tipo de situaciones", sí es importante que platique el tema con sus hijos, que les diga qué es un simulacro, qué se va a realizar el día de mañana, la hora, por qué suenan los celulares, hablar unos minutos de el tema porque eh la situación de prevención es muy importante, ¿no? Sabemos cuándo podamos tener una emergencia no por un sismo, sino pues ya lo vimos aquí en Tula, una emergencia como lo que sucedió en la inundación, se desbordó el río Tula y ¿qué teníamos que hacer?, ¿qué podíamos hacer? Es por eso que es importante hablar de estos eh temas de prevención.</t>
  </si>
  <si>
    <t>Durante la conferencia matutina de la presidenta Claudia Sheinbaum se informó la conclusión del tramo Real del Monte-Huasca que incluyó trabajos en túneles y taludes.En Hidalgo, este... es parte del eje que va desde Pachuca hasta Tampico. Nos toca la conclusión de Real del Monte-Huasca, nos tocó la conclusión de algunos túneles, algunos taludes, y eh... aquí la reducción de tiempo es de 40 minutos. Eh... como decía, esto es importante como eje desde Pachuca hasta Tampico. Eh... se terminó en marzo de 2025, inició en 2022.Será tardado este proceso. Quien conoce la la sierra, la Huasteca, sabe lo complicado que es la vía, y pues las obras van a tardar van a tardar tiempo. Se habla que hasta 2028 que pudiera ya llegar a la zona de Huejutla en estos trabajos. Veremos también que las condiciones climáticas permitan realizar los trabajos necesarios. Pero también de acuerdo con lo presentado en la conferencia matutina de la Doctora Claudia Sheinbaum Pardo, esta obra permitirá reducir alrededor de 40 minutos los tiempos de traslado y fortalecerá la comunicación tanto entre Pachuca, la Huasteca Hidalguense, San Luis Potosí y Tamaulipas.Iniciamos también ya con Tulancingo-Nuevo Necaxa, la primera etapa. Eh... lo podemos ver del lado derecho. Esto es parte del corredor que tenemos desde la Ciudad de México a Pachuca y todo hacia Tuxpan, Veracruz. Lo que podemos eh... ver es que ya iniciamos con esta primera etapa que va y ampliar una carretera que hoy en día es una A2, es decir, de dos carriles, la vamos a ampliar a cuatro carriles. Y vamos a seguir posteriormente con una segunda etapa para llegar hasta Nuevo Necaxa.</t>
  </si>
  <si>
    <t>Proyectos Federales</t>
  </si>
  <si>
    <t>Durante la conferencia mañanera se le preguntó a la presidenta de México Claudia Sheinbaum Pardo sobre el conflicto que prevalece en la escuela rural Luis Villarreal El Mexe. Dijo que existe una mesa de trabajo coordinada con la SEP para evitar violencia o represión y garantizar educación pública en las normales rurales. Es todo un tema las normales rurales. Hay una mesa de trabajo en ambos casos, coordina la Secretaría de Educación Pública y en la que participa Secretaría de Gobernación con dos objetivos. Uno es garantizar que no haya violencia en todos los sentidos, ni represión, y en el otro, garantizar también la educación pública. Porque también en el caso de las normales rurales lo más importante es garantizar, en efecto, que hay una educación adecuada para formar maestros rurales, que ese es el objetivo. Pero en ambos casos hay una mesa de trabajo.</t>
  </si>
  <si>
    <t>Vamos con otros temas. En cumplimiento a los acuerdos firmados el pasado 9 de septiembre, autoridades estatales iniciaron los trabajos de saneamiento y retiro de residuos sólidos urbanos en el terreno conocido como Siete Mezquites, entre Tezontepec de Aldama y Tula de Allende. Este predio, usted recuerda, estaba contemplado para un relleno sanitario regional.</t>
  </si>
  <si>
    <t>Semarnath</t>
  </si>
  <si>
    <t>Relleno Sanitario</t>
  </si>
  <si>
    <t>El gobernador Julio Menchaca Salazar encabezó el abanderamiento de la delegación hidalguense que participará en la Paralimpiada Nacional Conade 2026 del 24 de septiembre al 11 de octubre. La delegación está integrada por 72 para atletas, a quienes el mandatario deseó éxito y reconoció como triunfadores por su esfuerzo y preparación. “Por ello les deseo todo el éxito, disfruten muchísimo su participación, síganse preparando, que nosotros seguimos trabajando para que Hidalgo sea potencia en marcha en todos los sentidos, pero particularmente en el más importante, que es la calidad de vida de las personas. Ustedes ya siéntanse triunfadores y yo sé que van a tener muy buenos resultados.</t>
  </si>
  <si>
    <t>Radioescucha reporta que no funciona el semáforo que está en el Boulevard El Minero frente a Sorian</t>
  </si>
  <si>
    <t>Radioescucha</t>
  </si>
  <si>
    <t>Radioescucha te pedimos el apoyo para reportar por enésima vez que en la calle de Hacienda de Loreto, frente al 211, en Pitahayas, cuatro meses tenemos así, de inundada la... ¡ay, caray! Y si cada cuatro días en las noches cae agua... ¡Ah, perfecto, Jorge! Gracias, Jorge César. Con mucho gusto lo pasamos nuevamente, a ver a qué hora nos hacen caso con todo ello del agua ahí, el desperdicio que... que pasa en esa zona.</t>
  </si>
  <si>
    <t>Radioescucha 4884 dice: "Muy buenos días, Lalo. Soy la señora Paty. Vivo en Villa Aquiles Serdán, atrás de Soriana Tutelar. Solo nos suministran agua los jueves en la madrugada. Tenemos más de dos semanas que ni este suministro semanal nos cae y nos resuelve el problema".</t>
  </si>
  <si>
    <t>Radioescucha terminación 4259 dice: "Muy buenos días, saludos. ¿Podrían pasar mi reporte? ¿Cuándo va a ser posible que caiga agua en Alcantarilla? Ya tenemos más de una semana y no contamos con nada del vital líquido. Por favor, CAASIM. Muchas gracias".</t>
  </si>
  <si>
    <t>Radioescucha comenta: Muchas gracias porque ayer una flotilla muy buena de servicio de pipas a la colonia Rojo Gómez, ¿no? Gracias a ustedes y gracias a CAASIM. Gracias a a Pao y gracias a Sarahi Pineda, a Paola García y a Sarahi Pineda de CAASIM, muchas gracias»</t>
  </si>
  <si>
    <t>Participación semanal de Mtro. Julio Valera con el tema: la importancia que tiene el 2.º Simulacro Nacional que se llevará a cabo el día de mañana en toda la República Mexicana.</t>
  </si>
  <si>
    <t>Pachuca participó en el Primer Congreso Internacional de Bomberos de Línea de Fuego, realizado en Cartagena, Colombia, donde se convirtió en el único municipio mexicano presente en este encuentro internacional.El congreso reunió durante dos jornadas a especialistas y cuerpos de bomberos de República Dominicana, Estados Unidos, Colombia y México, quienes intercambiaron conocimientos y estrategias en materia de atención de emergencias, combate de incendios y gestión integral de riesgos.Como parte de la delegación pachuqueña, el titular de Protección Civil, Bomberos y Gestión Integral de Riesgos, Enrique Padilla Hernández, impartió las conferencias magistrales “Liderazgo en Incendios Estructurales” y “Gestión Integral en Incidentes Mayores”, en las que compartió experiencias relacionadas con la atención y coordinación de emergencias.</t>
  </si>
  <si>
    <t>Arena de la 11 de Julio recibirá conferencia sobre la lucha libre como patrimonio cultural</t>
  </si>
  <si>
    <t>Repuve acerca registro vehicular gratuito a todas las regiones.</t>
  </si>
  <si>
    <t>La Procuraduría General de Justicia del Estado de Hidalgo mantiene líneas de investigación para esclarecer el homicidio del sacerdote de la comunidad de Santa Cruz en Huejutla</t>
  </si>
  <si>
    <t>El presidente municipal de Mineral de la Reforma, Eduardo Medécigo Rubio, entregó uniformes tácticos y de gala a 261 elementos de la Secretaría de Seguridad Ciudadana (SSC), para lo cual el Ayuntamiento destinó una inversión superior a los 8.1 millones de pesos.De acuerdo con la administración municipal, el equipamiento busca mejorar las condiciones de trabajo del personal operativo, además de fortalecer su identificación e imagen institucional.La entrega estuvo encabezada por Medécigo, acompañado de la presidenta del Patronato del Sistema Municipal DIF, Samantha Esparza Hernández; el secretario de Seguridad Ciudadana, Jorge Alberto Trejo Terrazas; y el regidor Antonio Salim Saldivar, presidente de la Comisión de Seguridad del Cabildo.El gobierno municipal vinculó además estas acciones con los resultados de una medición de Massive Caller correspondiente a agosto-septiembre, en la que Medécigo registra 36 por ciento de aprobación y 22.7 por ciento en el indicador de confianza.</t>
  </si>
  <si>
    <t>Entrega de uniformes</t>
  </si>
  <si>
    <t>Como parte del Compromiso 92 de la Presidenta Claudia Sheinbaum Pardo, que contempla acciones de limpieza, saneamiento y restauración de ríos prioritarios del país, la Comisión Nacional del Agua (Conagua), a través de su Dirección Local Hidalgo, invita a la ciudadanía a participar en la Mega Jornada de Limpieza de Ríos 2026.En Hidalgo, la jornada se realizará en los ríos Tula y Rosas, donde se llevarán a cabo labores de recolección y retiro de residuos. El punto de reunión será en El Chamizal a las 9:00 de la mañana.</t>
  </si>
  <si>
    <t>Restauración Ecológica</t>
  </si>
  <si>
    <t>Desde Hidalgo, reafirma el gobernador valores de libertad y justicia ante el monumento a Miguel Hidalgo en la Plaza Constitución de Pachuca. El gobernador Julio Menchaca Salazar encabezó la guardia de honor con motivo del 216 aniversario del inicio de la Independencia de México, reafirmando los valores de libertad y justicia. Participaron también la presidenta del Tribunal Superior de Justicia de Hidalgo, Rebeca Stella Aladro Echeverría; el titular de la Junta de Gobierno del H. Congreso del Estado, Andrés Velázquez Vázquez; el comandante de la 18ª Zona Militar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</si>
</sst>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19" tableType="queryTable" totalsRowShown="0">
  <autoFilter ref="A1:M11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19"/>
  <sheetViews>
    <sheetView tabSelected="1" workbookViewId="0">
      <selection activeCell="E16" sqref="E16"/>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34.42578125" bestFit="1" customWidth="1"/>
    <col min="8" max="8" width="12.42578125"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v>
      </c>
      <c r="C1" t="s">
        <v>25</v>
      </c>
      <c r="D1" t="s">
        <v>26</v>
      </c>
      <c r="E1" t="s">
        <v>1</v>
      </c>
      <c r="F1" t="s">
        <v>2</v>
      </c>
      <c r="G1" t="s">
        <v>4</v>
      </c>
      <c r="H1" t="s">
        <v>3</v>
      </c>
      <c r="I1" t="s">
        <v>5</v>
      </c>
      <c r="J1" t="s">
        <v>27</v>
      </c>
      <c r="K1" t="s">
        <v>28</v>
      </c>
      <c r="L1" t="s">
        <v>29</v>
      </c>
      <c r="M1" t="s">
        <v>36</v>
      </c>
    </row>
    <row r="2" spans="1:13" x14ac:dyDescent="0.25">
      <c r="A2" s="2">
        <v>46282</v>
      </c>
      <c r="B2" s="1" t="str">
        <f ca="1">IF(Información1[[#This Row],[Fecha]]='Ajuste de fechas'!$A$2,"Día actual","Día anterior")</f>
        <v>Día anterior</v>
      </c>
      <c r="C2" t="s">
        <v>8</v>
      </c>
      <c r="D2" t="s">
        <v>9</v>
      </c>
      <c r="E2" t="s">
        <v>113</v>
      </c>
      <c r="F2" t="s">
        <v>6</v>
      </c>
      <c r="G2" t="s">
        <v>44</v>
      </c>
      <c r="H2" t="s">
        <v>46</v>
      </c>
      <c r="I2" t="s">
        <v>21</v>
      </c>
      <c r="J2" t="s">
        <v>30</v>
      </c>
      <c r="K2" t="s">
        <v>11</v>
      </c>
      <c r="L2" t="s">
        <v>32</v>
      </c>
      <c r="M2">
        <v>1</v>
      </c>
    </row>
    <row r="3" spans="1:13" x14ac:dyDescent="0.25">
      <c r="A3" s="2">
        <v>46282</v>
      </c>
      <c r="B3" s="1" t="str">
        <f ca="1">IF(Información1[[#This Row],[Fecha]]='Ajuste de fechas'!$A$2,"Día actual","Día anterior")</f>
        <v>Día anterior</v>
      </c>
      <c r="C3" t="s">
        <v>8</v>
      </c>
      <c r="D3" t="s">
        <v>9</v>
      </c>
      <c r="E3" t="s">
        <v>114</v>
      </c>
      <c r="F3" t="s">
        <v>6</v>
      </c>
      <c r="G3" t="s">
        <v>44</v>
      </c>
      <c r="H3" t="s">
        <v>46</v>
      </c>
      <c r="I3" t="s">
        <v>21</v>
      </c>
      <c r="J3" t="s">
        <v>30</v>
      </c>
      <c r="K3" t="s">
        <v>11</v>
      </c>
      <c r="L3" t="s">
        <v>32</v>
      </c>
      <c r="M3">
        <v>1</v>
      </c>
    </row>
    <row r="4" spans="1:13" x14ac:dyDescent="0.25">
      <c r="A4" s="2">
        <v>46282</v>
      </c>
      <c r="B4" s="1" t="str">
        <f ca="1">IF(Información1[[#This Row],[Fecha]]='Ajuste de fechas'!$A$2,"Día actual","Día anterior")</f>
        <v>Día anterior</v>
      </c>
      <c r="C4" t="s">
        <v>8</v>
      </c>
      <c r="D4" t="s">
        <v>9</v>
      </c>
      <c r="E4" t="s">
        <v>115</v>
      </c>
      <c r="F4" t="s">
        <v>6</v>
      </c>
      <c r="G4" t="s">
        <v>44</v>
      </c>
      <c r="H4" t="s">
        <v>46</v>
      </c>
      <c r="I4" t="s">
        <v>21</v>
      </c>
      <c r="J4" t="s">
        <v>30</v>
      </c>
      <c r="K4" t="s">
        <v>11</v>
      </c>
      <c r="L4" t="s">
        <v>32</v>
      </c>
      <c r="M4">
        <v>1</v>
      </c>
    </row>
    <row r="5" spans="1:13" x14ac:dyDescent="0.25">
      <c r="A5" s="2">
        <v>46282</v>
      </c>
      <c r="B5" s="1" t="str">
        <f ca="1">IF(Información1[[#This Row],[Fecha]]='Ajuste de fechas'!$A$2,"Día actual","Día anterior")</f>
        <v>Día anterior</v>
      </c>
      <c r="C5" t="s">
        <v>8</v>
      </c>
      <c r="D5" t="s">
        <v>9</v>
      </c>
      <c r="E5" t="s">
        <v>116</v>
      </c>
      <c r="F5" t="s">
        <v>6</v>
      </c>
      <c r="G5" t="s">
        <v>44</v>
      </c>
      <c r="H5" t="s">
        <v>46</v>
      </c>
      <c r="I5" t="s">
        <v>21</v>
      </c>
      <c r="J5" t="s">
        <v>30</v>
      </c>
      <c r="K5" t="s">
        <v>11</v>
      </c>
      <c r="L5" t="s">
        <v>32</v>
      </c>
      <c r="M5">
        <v>1</v>
      </c>
    </row>
    <row r="6" spans="1:13" x14ac:dyDescent="0.25">
      <c r="A6" s="2">
        <v>46282</v>
      </c>
      <c r="B6" s="1" t="str">
        <f ca="1">IF(Información1[[#This Row],[Fecha]]='Ajuste de fechas'!$A$2,"Día actual","Día anterior")</f>
        <v>Día anterior</v>
      </c>
      <c r="C6" t="s">
        <v>8</v>
      </c>
      <c r="D6" t="s">
        <v>9</v>
      </c>
      <c r="E6" t="s">
        <v>117</v>
      </c>
      <c r="F6" t="s">
        <v>6</v>
      </c>
      <c r="G6" t="s">
        <v>44</v>
      </c>
      <c r="H6" t="s">
        <v>46</v>
      </c>
      <c r="I6" t="s">
        <v>21</v>
      </c>
      <c r="J6" t="s">
        <v>30</v>
      </c>
      <c r="K6" t="s">
        <v>11</v>
      </c>
      <c r="L6" t="s">
        <v>32</v>
      </c>
      <c r="M6">
        <v>1</v>
      </c>
    </row>
    <row r="7" spans="1:13" x14ac:dyDescent="0.25">
      <c r="A7" s="2">
        <v>46282</v>
      </c>
      <c r="B7" s="1" t="str">
        <f ca="1">IF(Información1[[#This Row],[Fecha]]='Ajuste de fechas'!$A$2,"Día actual","Día anterior")</f>
        <v>Día anterior</v>
      </c>
      <c r="C7" t="s">
        <v>8</v>
      </c>
      <c r="D7" t="s">
        <v>9</v>
      </c>
      <c r="E7" t="s">
        <v>118</v>
      </c>
      <c r="F7" t="s">
        <v>6</v>
      </c>
      <c r="G7" t="s">
        <v>44</v>
      </c>
      <c r="H7" t="s">
        <v>46</v>
      </c>
      <c r="I7" t="s">
        <v>21</v>
      </c>
      <c r="J7" t="s">
        <v>30</v>
      </c>
      <c r="K7" t="s">
        <v>11</v>
      </c>
      <c r="L7" t="s">
        <v>32</v>
      </c>
      <c r="M7">
        <v>1</v>
      </c>
    </row>
    <row r="8" spans="1:13" x14ac:dyDescent="0.25">
      <c r="A8" s="2">
        <v>46282</v>
      </c>
      <c r="B8" s="1" t="str">
        <f ca="1">IF(Información1[[#This Row],[Fecha]]='Ajuste de fechas'!$A$2,"Día actual","Día anterior")</f>
        <v>Día anterior</v>
      </c>
      <c r="C8" t="s">
        <v>8</v>
      </c>
      <c r="D8" t="s">
        <v>9</v>
      </c>
      <c r="E8" t="s">
        <v>119</v>
      </c>
      <c r="F8" t="s">
        <v>6</v>
      </c>
      <c r="G8" t="s">
        <v>44</v>
      </c>
      <c r="H8" t="s">
        <v>46</v>
      </c>
      <c r="I8" t="s">
        <v>21</v>
      </c>
      <c r="J8" t="s">
        <v>30</v>
      </c>
      <c r="K8" t="s">
        <v>11</v>
      </c>
      <c r="L8" t="s">
        <v>32</v>
      </c>
      <c r="M8">
        <v>1</v>
      </c>
    </row>
    <row r="9" spans="1:13" x14ac:dyDescent="0.25">
      <c r="A9" s="2">
        <v>46282</v>
      </c>
      <c r="B9" s="1" t="str">
        <f ca="1">IF(Información1[[#This Row],[Fecha]]='Ajuste de fechas'!$A$2,"Día actual","Día anterior")</f>
        <v>Día anterior</v>
      </c>
      <c r="C9" t="s">
        <v>8</v>
      </c>
      <c r="D9" t="s">
        <v>9</v>
      </c>
      <c r="E9" t="s">
        <v>120</v>
      </c>
      <c r="F9" t="s">
        <v>6</v>
      </c>
      <c r="G9" t="s">
        <v>44</v>
      </c>
      <c r="H9" t="s">
        <v>46</v>
      </c>
      <c r="I9" t="s">
        <v>21</v>
      </c>
      <c r="J9" t="s">
        <v>30</v>
      </c>
      <c r="K9" t="s">
        <v>11</v>
      </c>
      <c r="L9" t="s">
        <v>32</v>
      </c>
      <c r="M9">
        <v>1</v>
      </c>
    </row>
    <row r="10" spans="1:13" x14ac:dyDescent="0.25">
      <c r="A10" s="2">
        <v>46282</v>
      </c>
      <c r="B10" s="1" t="str">
        <f ca="1">IF(Información1[[#This Row],[Fecha]]='Ajuste de fechas'!$A$2,"Día actual","Día anterior")</f>
        <v>Día anterior</v>
      </c>
      <c r="C10" t="s">
        <v>8</v>
      </c>
      <c r="D10" t="s">
        <v>9</v>
      </c>
      <c r="E10" t="s">
        <v>121</v>
      </c>
      <c r="F10" t="s">
        <v>6</v>
      </c>
      <c r="G10" t="s">
        <v>44</v>
      </c>
      <c r="H10" t="s">
        <v>46</v>
      </c>
      <c r="I10" t="s">
        <v>21</v>
      </c>
      <c r="J10" t="s">
        <v>30</v>
      </c>
      <c r="K10" t="s">
        <v>11</v>
      </c>
      <c r="L10" t="s">
        <v>32</v>
      </c>
      <c r="M10">
        <v>1</v>
      </c>
    </row>
    <row r="11" spans="1:13" x14ac:dyDescent="0.25">
      <c r="A11" s="2">
        <v>46282</v>
      </c>
      <c r="B11" s="1" t="str">
        <f ca="1">IF(Información1[[#This Row],[Fecha]]='Ajuste de fechas'!$A$2,"Día actual","Día anterior")</f>
        <v>Día anterior</v>
      </c>
      <c r="C11" t="s">
        <v>47</v>
      </c>
      <c r="D11" t="s">
        <v>48</v>
      </c>
      <c r="E11" t="s">
        <v>92</v>
      </c>
      <c r="F11" t="s">
        <v>22</v>
      </c>
      <c r="G11" t="s">
        <v>93</v>
      </c>
      <c r="H11" t="s">
        <v>46</v>
      </c>
      <c r="I11" t="s">
        <v>7</v>
      </c>
      <c r="J11" t="s">
        <v>30</v>
      </c>
      <c r="K11" t="s">
        <v>50</v>
      </c>
      <c r="L11" t="s">
        <v>31</v>
      </c>
      <c r="M11">
        <v>1</v>
      </c>
    </row>
    <row r="12" spans="1:13" x14ac:dyDescent="0.25">
      <c r="A12" s="2">
        <v>46282</v>
      </c>
      <c r="B12" s="1" t="str">
        <f ca="1">IF(Información1[[#This Row],[Fecha]]='Ajuste de fechas'!$A$2,"Día actual","Día anterior")</f>
        <v>Día anterior</v>
      </c>
      <c r="C12" t="s">
        <v>51</v>
      </c>
      <c r="D12" t="s">
        <v>52</v>
      </c>
      <c r="E12" t="s">
        <v>122</v>
      </c>
      <c r="F12" t="s">
        <v>15</v>
      </c>
      <c r="G12" t="s">
        <v>123</v>
      </c>
      <c r="H12" t="s">
        <v>46</v>
      </c>
      <c r="I12" t="s">
        <v>7</v>
      </c>
      <c r="J12" t="s">
        <v>34</v>
      </c>
      <c r="K12" t="s">
        <v>53</v>
      </c>
      <c r="L12" t="s">
        <v>31</v>
      </c>
      <c r="M12">
        <v>1</v>
      </c>
    </row>
    <row r="13" spans="1:13" x14ac:dyDescent="0.25">
      <c r="A13" s="2">
        <v>46282</v>
      </c>
      <c r="B13" s="1" t="str">
        <f ca="1">IF(Información1[[#This Row],[Fecha]]='Ajuste de fechas'!$A$2,"Día actual","Día anterior")</f>
        <v>Día anterior</v>
      </c>
      <c r="C13" t="s">
        <v>51</v>
      </c>
      <c r="D13" t="s">
        <v>52</v>
      </c>
      <c r="E13" t="s">
        <v>124</v>
      </c>
      <c r="F13" t="s">
        <v>19</v>
      </c>
      <c r="G13" t="s">
        <v>125</v>
      </c>
      <c r="H13" t="s">
        <v>46</v>
      </c>
      <c r="I13" t="s">
        <v>7</v>
      </c>
      <c r="J13" t="s">
        <v>30</v>
      </c>
      <c r="K13" t="s">
        <v>53</v>
      </c>
      <c r="L13" t="s">
        <v>31</v>
      </c>
      <c r="M13">
        <v>1</v>
      </c>
    </row>
    <row r="14" spans="1:13" x14ac:dyDescent="0.25">
      <c r="A14" s="2">
        <v>46282</v>
      </c>
      <c r="B14" s="1" t="str">
        <f ca="1">IF(Información1[[#This Row],[Fecha]]='Ajuste de fechas'!$A$2,"Día actual","Día anterior")</f>
        <v>Día anterior</v>
      </c>
      <c r="C14" t="s">
        <v>47</v>
      </c>
      <c r="D14" t="s">
        <v>48</v>
      </c>
      <c r="E14" t="s">
        <v>107</v>
      </c>
      <c r="F14" t="s">
        <v>15</v>
      </c>
      <c r="G14" t="s">
        <v>108</v>
      </c>
      <c r="H14" t="s">
        <v>46</v>
      </c>
      <c r="I14" t="s">
        <v>7</v>
      </c>
      <c r="J14" t="s">
        <v>34</v>
      </c>
      <c r="K14" t="s">
        <v>49</v>
      </c>
      <c r="L14" t="s">
        <v>31</v>
      </c>
      <c r="M14">
        <v>1</v>
      </c>
    </row>
    <row r="15" spans="1:13" x14ac:dyDescent="0.25">
      <c r="A15" s="2">
        <v>46282</v>
      </c>
      <c r="B15" s="1" t="str">
        <f ca="1">IF(Información1[[#This Row],[Fecha]]='Ajuste de fechas'!$A$2,"Día actual","Día anterior")</f>
        <v>Día anterior</v>
      </c>
      <c r="C15" t="s">
        <v>8</v>
      </c>
      <c r="D15" t="s">
        <v>9</v>
      </c>
      <c r="E15" t="s">
        <v>16</v>
      </c>
      <c r="F15" t="s">
        <v>15</v>
      </c>
      <c r="G15" t="s">
        <v>23</v>
      </c>
      <c r="H15" t="s">
        <v>46</v>
      </c>
      <c r="I15" t="s">
        <v>10</v>
      </c>
      <c r="J15" t="s">
        <v>34</v>
      </c>
      <c r="K15" t="s">
        <v>11</v>
      </c>
      <c r="L15" t="s">
        <v>32</v>
      </c>
      <c r="M15">
        <v>1</v>
      </c>
    </row>
    <row r="16" spans="1:13" x14ac:dyDescent="0.25">
      <c r="A16" s="2">
        <v>46282</v>
      </c>
      <c r="B16" s="1" t="str">
        <f ca="1">IF(Información1[[#This Row],[Fecha]]='Ajuste de fechas'!$A$2,"Día actual","Día anterior")</f>
        <v>Día anterior</v>
      </c>
      <c r="C16" t="s">
        <v>8</v>
      </c>
      <c r="D16" t="s">
        <v>9</v>
      </c>
      <c r="E16" t="s">
        <v>14</v>
      </c>
      <c r="F16" t="s">
        <v>15</v>
      </c>
      <c r="G16" t="s">
        <v>23</v>
      </c>
      <c r="H16" t="s">
        <v>46</v>
      </c>
      <c r="I16" t="s">
        <v>10</v>
      </c>
      <c r="J16" t="s">
        <v>34</v>
      </c>
      <c r="K16" t="s">
        <v>11</v>
      </c>
      <c r="L16" t="s">
        <v>32</v>
      </c>
      <c r="M16">
        <v>1</v>
      </c>
    </row>
    <row r="17" spans="1:13" x14ac:dyDescent="0.25">
      <c r="A17" s="2">
        <v>46282</v>
      </c>
      <c r="B17" s="1" t="str">
        <f ca="1">IF(Información1[[#This Row],[Fecha]]='Ajuste de fechas'!$A$2,"Día actual","Día anterior")</f>
        <v>Día anterior</v>
      </c>
      <c r="C17" t="s">
        <v>8</v>
      </c>
      <c r="D17" t="s">
        <v>9</v>
      </c>
      <c r="E17" t="s">
        <v>41</v>
      </c>
      <c r="F17" t="s">
        <v>39</v>
      </c>
      <c r="G17" t="s">
        <v>23</v>
      </c>
      <c r="H17" t="s">
        <v>46</v>
      </c>
      <c r="I17" t="s">
        <v>10</v>
      </c>
      <c r="J17" t="s">
        <v>20</v>
      </c>
      <c r="K17" t="s">
        <v>11</v>
      </c>
      <c r="L17" t="s">
        <v>32</v>
      </c>
      <c r="M17">
        <v>1</v>
      </c>
    </row>
    <row r="18" spans="1:13" x14ac:dyDescent="0.25">
      <c r="A18" s="2">
        <v>46282</v>
      </c>
      <c r="B18" s="1" t="str">
        <f ca="1">IF(Información1[[#This Row],[Fecha]]='Ajuste de fechas'!$A$2,"Día actual","Día anterior")</f>
        <v>Día anterior</v>
      </c>
      <c r="C18" t="s">
        <v>8</v>
      </c>
      <c r="D18" t="s">
        <v>9</v>
      </c>
      <c r="E18" t="s">
        <v>43</v>
      </c>
      <c r="F18" t="s">
        <v>42</v>
      </c>
      <c r="G18" t="s">
        <v>23</v>
      </c>
      <c r="H18" t="s">
        <v>46</v>
      </c>
      <c r="I18" t="s">
        <v>10</v>
      </c>
      <c r="J18" t="s">
        <v>30</v>
      </c>
      <c r="K18" t="s">
        <v>11</v>
      </c>
      <c r="L18" t="s">
        <v>32</v>
      </c>
      <c r="M18">
        <v>1</v>
      </c>
    </row>
    <row r="19" spans="1:13" x14ac:dyDescent="0.25">
      <c r="A19" s="2">
        <v>46282</v>
      </c>
      <c r="B19" s="1" t="str">
        <f ca="1">IF(Información1[[#This Row],[Fecha]]='Ajuste de fechas'!$A$2,"Día actual","Día anterior")</f>
        <v>Día anterior</v>
      </c>
      <c r="C19" t="s">
        <v>8</v>
      </c>
      <c r="D19" t="s">
        <v>9</v>
      </c>
      <c r="E19" t="s">
        <v>12</v>
      </c>
      <c r="F19" t="s">
        <v>13</v>
      </c>
      <c r="G19" t="s">
        <v>23</v>
      </c>
      <c r="H19" t="s">
        <v>46</v>
      </c>
      <c r="I19" t="s">
        <v>10</v>
      </c>
      <c r="J19" t="s">
        <v>30</v>
      </c>
      <c r="K19" t="s">
        <v>11</v>
      </c>
      <c r="L19" t="s">
        <v>32</v>
      </c>
      <c r="M19">
        <v>1</v>
      </c>
    </row>
    <row r="20" spans="1:13" x14ac:dyDescent="0.25">
      <c r="A20" s="2">
        <v>46282</v>
      </c>
      <c r="B20" s="1" t="str">
        <f ca="1">IF(Información1[[#This Row],[Fecha]]='Ajuste de fechas'!$A$2,"Día actual","Día anterior")</f>
        <v>Día anterior</v>
      </c>
      <c r="C20" t="s">
        <v>8</v>
      </c>
      <c r="D20" t="s">
        <v>9</v>
      </c>
      <c r="E20" t="s">
        <v>74</v>
      </c>
      <c r="F20" t="s">
        <v>6</v>
      </c>
      <c r="G20" t="s">
        <v>23</v>
      </c>
      <c r="H20" t="s">
        <v>46</v>
      </c>
      <c r="I20" t="s">
        <v>10</v>
      </c>
      <c r="J20" t="s">
        <v>30</v>
      </c>
      <c r="K20" t="s">
        <v>11</v>
      </c>
      <c r="L20" t="s">
        <v>32</v>
      </c>
      <c r="M20">
        <v>1</v>
      </c>
    </row>
    <row r="21" spans="1:13" x14ac:dyDescent="0.25">
      <c r="A21" s="2">
        <v>46282</v>
      </c>
      <c r="B21" s="1" t="str">
        <f ca="1">IF(Información1[[#This Row],[Fecha]]='Ajuste de fechas'!$A$2,"Día actual","Día anterior")</f>
        <v>Día anterior</v>
      </c>
      <c r="C21" t="s">
        <v>8</v>
      </c>
      <c r="D21" t="s">
        <v>9</v>
      </c>
      <c r="E21" t="s">
        <v>126</v>
      </c>
      <c r="F21" t="s">
        <v>63</v>
      </c>
      <c r="G21" t="s">
        <v>127</v>
      </c>
      <c r="H21" t="s">
        <v>46</v>
      </c>
      <c r="I21" t="s">
        <v>7</v>
      </c>
      <c r="J21" t="s">
        <v>30</v>
      </c>
      <c r="K21" t="s">
        <v>11</v>
      </c>
      <c r="L21" t="s">
        <v>31</v>
      </c>
      <c r="M21">
        <v>1</v>
      </c>
    </row>
    <row r="22" spans="1:13" x14ac:dyDescent="0.25">
      <c r="A22" s="2">
        <v>46282</v>
      </c>
      <c r="B22" s="1" t="str">
        <f ca="1">IF(Información1[[#This Row],[Fecha]]='Ajuste de fechas'!$A$2,"Día actual","Día anterior")</f>
        <v>Día anterior</v>
      </c>
      <c r="C22" t="s">
        <v>47</v>
      </c>
      <c r="D22" t="s">
        <v>55</v>
      </c>
      <c r="E22" t="s">
        <v>76</v>
      </c>
      <c r="F22" t="s">
        <v>60</v>
      </c>
      <c r="G22" t="s">
        <v>77</v>
      </c>
      <c r="H22" t="s">
        <v>46</v>
      </c>
      <c r="I22" t="s">
        <v>7</v>
      </c>
      <c r="J22" t="s">
        <v>30</v>
      </c>
      <c r="K22" t="s">
        <v>49</v>
      </c>
      <c r="L22" t="s">
        <v>33</v>
      </c>
      <c r="M22">
        <v>1</v>
      </c>
    </row>
    <row r="23" spans="1:13" x14ac:dyDescent="0.25">
      <c r="A23" s="2">
        <v>46282</v>
      </c>
      <c r="B23" s="1" t="str">
        <f ca="1">IF(Información1[[#This Row],[Fecha]]='Ajuste de fechas'!$A$2,"Día actual","Día anterior")</f>
        <v>Día anterior</v>
      </c>
      <c r="C23" t="s">
        <v>47</v>
      </c>
      <c r="D23" t="s">
        <v>55</v>
      </c>
      <c r="E23" t="s">
        <v>89</v>
      </c>
      <c r="F23" t="s">
        <v>15</v>
      </c>
      <c r="G23" t="s">
        <v>90</v>
      </c>
      <c r="H23" t="s">
        <v>46</v>
      </c>
      <c r="I23" t="s">
        <v>7</v>
      </c>
      <c r="J23" t="s">
        <v>34</v>
      </c>
      <c r="K23" t="s">
        <v>49</v>
      </c>
      <c r="L23" t="s">
        <v>31</v>
      </c>
      <c r="M23">
        <v>1</v>
      </c>
    </row>
    <row r="24" spans="1:13" x14ac:dyDescent="0.25">
      <c r="A24" s="2">
        <v>46282</v>
      </c>
      <c r="B24" s="1" t="str">
        <f ca="1">IF(Información1[[#This Row],[Fecha]]='Ajuste de fechas'!$A$2,"Día actual","Día anterior")</f>
        <v>Día anterior</v>
      </c>
      <c r="C24" t="s">
        <v>51</v>
      </c>
      <c r="D24" t="s">
        <v>52</v>
      </c>
      <c r="E24" t="s">
        <v>128</v>
      </c>
      <c r="F24" t="s">
        <v>15</v>
      </c>
      <c r="G24" t="s">
        <v>129</v>
      </c>
      <c r="H24" t="s">
        <v>46</v>
      </c>
      <c r="I24" t="s">
        <v>7</v>
      </c>
      <c r="J24" t="s">
        <v>34</v>
      </c>
      <c r="K24" t="s">
        <v>53</v>
      </c>
      <c r="L24" t="s">
        <v>31</v>
      </c>
      <c r="M24">
        <v>1</v>
      </c>
    </row>
    <row r="25" spans="1:13" x14ac:dyDescent="0.25">
      <c r="A25" s="2">
        <v>46282</v>
      </c>
      <c r="B25" s="1" t="str">
        <f ca="1">IF(Información1[[#This Row],[Fecha]]='Ajuste de fechas'!$A$2,"Día actual","Día anterior")</f>
        <v>Día anterior</v>
      </c>
      <c r="C25" t="s">
        <v>8</v>
      </c>
      <c r="D25" t="s">
        <v>9</v>
      </c>
      <c r="E25" t="s">
        <v>130</v>
      </c>
      <c r="F25" t="s">
        <v>15</v>
      </c>
      <c r="G25" t="s">
        <v>131</v>
      </c>
      <c r="H25" t="s">
        <v>46</v>
      </c>
      <c r="I25" t="s">
        <v>7</v>
      </c>
      <c r="J25" t="s">
        <v>34</v>
      </c>
      <c r="K25" t="s">
        <v>11</v>
      </c>
      <c r="L25" t="s">
        <v>31</v>
      </c>
      <c r="M25">
        <v>1</v>
      </c>
    </row>
    <row r="26" spans="1:13" x14ac:dyDescent="0.25">
      <c r="A26" s="2">
        <v>46282</v>
      </c>
      <c r="B26" s="1" t="str">
        <f ca="1">IF(Información1[[#This Row],[Fecha]]='Ajuste de fechas'!$A$2,"Día actual","Día anterior")</f>
        <v>Día anterior</v>
      </c>
      <c r="C26" t="s">
        <v>47</v>
      </c>
      <c r="D26" t="s">
        <v>48</v>
      </c>
      <c r="E26" t="s">
        <v>98</v>
      </c>
      <c r="F26" t="s">
        <v>22</v>
      </c>
      <c r="G26" t="s">
        <v>99</v>
      </c>
      <c r="H26" t="s">
        <v>46</v>
      </c>
      <c r="I26" t="s">
        <v>7</v>
      </c>
      <c r="J26" t="s">
        <v>30</v>
      </c>
      <c r="K26" t="s">
        <v>50</v>
      </c>
      <c r="L26" t="s">
        <v>33</v>
      </c>
      <c r="M26">
        <v>1</v>
      </c>
    </row>
    <row r="27" spans="1:13" x14ac:dyDescent="0.25">
      <c r="A27" s="2">
        <v>46282</v>
      </c>
      <c r="B27" s="1" t="str">
        <f ca="1">IF(Información1[[#This Row],[Fecha]]='Ajuste de fechas'!$A$2,"Día actual","Día anterior")</f>
        <v>Día anterior</v>
      </c>
      <c r="C27" t="s">
        <v>51</v>
      </c>
      <c r="D27" t="s">
        <v>52</v>
      </c>
      <c r="E27" t="s">
        <v>132</v>
      </c>
      <c r="F27" t="s">
        <v>62</v>
      </c>
      <c r="G27" t="s">
        <v>99</v>
      </c>
      <c r="H27" t="s">
        <v>46</v>
      </c>
      <c r="I27" t="s">
        <v>7</v>
      </c>
      <c r="J27" t="s">
        <v>30</v>
      </c>
      <c r="K27" t="s">
        <v>53</v>
      </c>
      <c r="L27" t="s">
        <v>31</v>
      </c>
      <c r="M27">
        <v>1</v>
      </c>
    </row>
    <row r="28" spans="1:13" x14ac:dyDescent="0.25">
      <c r="A28" s="2">
        <v>46282</v>
      </c>
      <c r="B28" s="1" t="str">
        <f ca="1">IF(Información1[[#This Row],[Fecha]]='Ajuste de fechas'!$A$2,"Día actual","Día anterior")</f>
        <v>Día anterior</v>
      </c>
      <c r="C28" t="s">
        <v>51</v>
      </c>
      <c r="D28" t="s">
        <v>52</v>
      </c>
      <c r="E28" t="s">
        <v>133</v>
      </c>
      <c r="F28" t="s">
        <v>17</v>
      </c>
      <c r="G28" t="s">
        <v>68</v>
      </c>
      <c r="H28" t="s">
        <v>46</v>
      </c>
      <c r="I28" t="s">
        <v>7</v>
      </c>
      <c r="J28" t="s">
        <v>30</v>
      </c>
      <c r="K28" t="s">
        <v>53</v>
      </c>
      <c r="L28" t="s">
        <v>31</v>
      </c>
      <c r="M28">
        <v>1</v>
      </c>
    </row>
    <row r="29" spans="1:13" x14ac:dyDescent="0.25">
      <c r="A29" s="2">
        <v>46282</v>
      </c>
      <c r="B29" s="1" t="str">
        <f ca="1">IF(Información1[[#This Row],[Fecha]]='Ajuste de fechas'!$A$2,"Día actual","Día anterior")</f>
        <v>Día anterior</v>
      </c>
      <c r="C29" t="s">
        <v>47</v>
      </c>
      <c r="D29" t="s">
        <v>55</v>
      </c>
      <c r="E29" t="s">
        <v>78</v>
      </c>
      <c r="F29" t="s">
        <v>17</v>
      </c>
      <c r="G29" t="s">
        <v>79</v>
      </c>
      <c r="H29" t="s">
        <v>46</v>
      </c>
      <c r="I29" t="s">
        <v>7</v>
      </c>
      <c r="J29" t="s">
        <v>30</v>
      </c>
      <c r="K29" t="s">
        <v>49</v>
      </c>
      <c r="L29" t="s">
        <v>33</v>
      </c>
      <c r="M29">
        <v>1</v>
      </c>
    </row>
    <row r="30" spans="1:13" x14ac:dyDescent="0.25">
      <c r="A30" s="2">
        <v>46282</v>
      </c>
      <c r="B30" s="1" t="str">
        <f ca="1">IF(Información1[[#This Row],[Fecha]]='Ajuste de fechas'!$A$2,"Día actual","Día anterior")</f>
        <v>Día anterior</v>
      </c>
      <c r="C30" t="s">
        <v>47</v>
      </c>
      <c r="D30" t="s">
        <v>48</v>
      </c>
      <c r="E30" t="s">
        <v>101</v>
      </c>
      <c r="F30" t="s">
        <v>22</v>
      </c>
      <c r="G30" t="s">
        <v>64</v>
      </c>
      <c r="H30" t="s">
        <v>46</v>
      </c>
      <c r="I30" t="s">
        <v>7</v>
      </c>
      <c r="J30" t="s">
        <v>30</v>
      </c>
      <c r="K30" t="s">
        <v>50</v>
      </c>
      <c r="L30" t="s">
        <v>33</v>
      </c>
      <c r="M30">
        <v>1</v>
      </c>
    </row>
    <row r="31" spans="1:13" x14ac:dyDescent="0.25">
      <c r="A31" s="2">
        <v>46282</v>
      </c>
      <c r="B31" s="1" t="str">
        <f ca="1">IF(Información1[[#This Row],[Fecha]]='Ajuste de fechas'!$A$2,"Día actual","Día anterior")</f>
        <v>Día anterior</v>
      </c>
      <c r="C31" t="s">
        <v>47</v>
      </c>
      <c r="D31" t="s">
        <v>48</v>
      </c>
      <c r="E31" t="s">
        <v>109</v>
      </c>
      <c r="F31" t="s">
        <v>15</v>
      </c>
      <c r="G31" t="s">
        <v>64</v>
      </c>
      <c r="H31" t="s">
        <v>46</v>
      </c>
      <c r="I31" t="s">
        <v>7</v>
      </c>
      <c r="J31" t="s">
        <v>34</v>
      </c>
      <c r="K31" t="s">
        <v>49</v>
      </c>
      <c r="L31" t="s">
        <v>31</v>
      </c>
      <c r="M31">
        <v>1</v>
      </c>
    </row>
    <row r="32" spans="1:13" x14ac:dyDescent="0.25">
      <c r="A32" s="2">
        <v>46282</v>
      </c>
      <c r="B32" s="1" t="str">
        <f ca="1">IF(Información1[[#This Row],[Fecha]]='Ajuste de fechas'!$A$2,"Día actual","Día anterior")</f>
        <v>Día anterior</v>
      </c>
      <c r="C32" t="s">
        <v>51</v>
      </c>
      <c r="D32" t="s">
        <v>52</v>
      </c>
      <c r="E32" t="s">
        <v>134</v>
      </c>
      <c r="F32" t="s">
        <v>15</v>
      </c>
      <c r="G32" t="s">
        <v>64</v>
      </c>
      <c r="H32" t="s">
        <v>46</v>
      </c>
      <c r="I32" t="s">
        <v>7</v>
      </c>
      <c r="J32" t="s">
        <v>34</v>
      </c>
      <c r="K32" t="s">
        <v>53</v>
      </c>
      <c r="L32" t="s">
        <v>31</v>
      </c>
      <c r="M32">
        <v>1</v>
      </c>
    </row>
    <row r="33" spans="1:13" x14ac:dyDescent="0.25">
      <c r="A33" s="2">
        <v>46282</v>
      </c>
      <c r="B33" s="1" t="str">
        <f ca="1">IF(Información1[[#This Row],[Fecha]]='Ajuste de fechas'!$A$2,"Día actual","Día anterior")</f>
        <v>Día anterior</v>
      </c>
      <c r="C33" t="s">
        <v>51</v>
      </c>
      <c r="D33" t="s">
        <v>52</v>
      </c>
      <c r="E33" t="s">
        <v>135</v>
      </c>
      <c r="F33" t="s">
        <v>17</v>
      </c>
      <c r="G33" t="s">
        <v>64</v>
      </c>
      <c r="H33" t="s">
        <v>46</v>
      </c>
      <c r="I33" t="s">
        <v>7</v>
      </c>
      <c r="J33" t="s">
        <v>30</v>
      </c>
      <c r="K33" t="s">
        <v>53</v>
      </c>
      <c r="L33" t="s">
        <v>32</v>
      </c>
      <c r="M33">
        <v>1</v>
      </c>
    </row>
    <row r="34" spans="1:13" x14ac:dyDescent="0.25">
      <c r="A34" s="2">
        <v>46282</v>
      </c>
      <c r="B34" s="1" t="str">
        <f ca="1">IF(Información1[[#This Row],[Fecha]]='Ajuste de fechas'!$A$2,"Día actual","Día anterior")</f>
        <v>Día anterior</v>
      </c>
      <c r="C34" t="s">
        <v>51</v>
      </c>
      <c r="D34" t="s">
        <v>52</v>
      </c>
      <c r="E34" t="s">
        <v>137</v>
      </c>
      <c r="F34" t="s">
        <v>20</v>
      </c>
      <c r="G34" t="s">
        <v>64</v>
      </c>
      <c r="H34" t="s">
        <v>46</v>
      </c>
      <c r="I34" t="s">
        <v>7</v>
      </c>
      <c r="J34" t="s">
        <v>20</v>
      </c>
      <c r="K34" t="s">
        <v>53</v>
      </c>
      <c r="L34" t="s">
        <v>138</v>
      </c>
      <c r="M34">
        <v>1</v>
      </c>
    </row>
    <row r="35" spans="1:13" x14ac:dyDescent="0.25">
      <c r="A35" s="2">
        <v>46282</v>
      </c>
      <c r="B35" s="1" t="str">
        <f ca="1">IF(Información1[[#This Row],[Fecha]]='Ajuste de fechas'!$A$2,"Día actual","Día anterior")</f>
        <v>Día anterior</v>
      </c>
      <c r="C35" t="s">
        <v>51</v>
      </c>
      <c r="D35" t="s">
        <v>52</v>
      </c>
      <c r="E35" t="s">
        <v>136</v>
      </c>
      <c r="F35" t="s">
        <v>19</v>
      </c>
      <c r="G35" t="s">
        <v>64</v>
      </c>
      <c r="H35" t="s">
        <v>46</v>
      </c>
      <c r="I35" t="s">
        <v>7</v>
      </c>
      <c r="J35" t="s">
        <v>30</v>
      </c>
      <c r="K35" t="s">
        <v>53</v>
      </c>
      <c r="L35" t="s">
        <v>31</v>
      </c>
      <c r="M35">
        <v>1</v>
      </c>
    </row>
    <row r="36" spans="1:13" x14ac:dyDescent="0.25">
      <c r="A36" s="2">
        <v>46282</v>
      </c>
      <c r="B36" s="1" t="str">
        <f ca="1">IF(Información1[[#This Row],[Fecha]]='Ajuste de fechas'!$A$2,"Día actual","Día anterior")</f>
        <v>Día anterior</v>
      </c>
      <c r="C36" t="s">
        <v>8</v>
      </c>
      <c r="D36" t="s">
        <v>9</v>
      </c>
      <c r="E36" t="s">
        <v>140</v>
      </c>
      <c r="F36" t="s">
        <v>22</v>
      </c>
      <c r="G36" t="s">
        <v>64</v>
      </c>
      <c r="H36" t="s">
        <v>46</v>
      </c>
      <c r="I36" t="s">
        <v>7</v>
      </c>
      <c r="J36" t="s">
        <v>30</v>
      </c>
      <c r="K36" t="s">
        <v>11</v>
      </c>
      <c r="L36" t="s">
        <v>31</v>
      </c>
      <c r="M36">
        <v>1</v>
      </c>
    </row>
    <row r="37" spans="1:13" x14ac:dyDescent="0.25">
      <c r="A37" s="2">
        <v>46282</v>
      </c>
      <c r="B37" s="1" t="str">
        <f ca="1">IF(Información1[[#This Row],[Fecha]]='Ajuste de fechas'!$A$2,"Día actual","Día anterior")</f>
        <v>Día anterior</v>
      </c>
      <c r="C37" t="s">
        <v>8</v>
      </c>
      <c r="D37" t="s">
        <v>9</v>
      </c>
      <c r="E37" t="s">
        <v>139</v>
      </c>
      <c r="F37" t="s">
        <v>19</v>
      </c>
      <c r="G37" t="s">
        <v>64</v>
      </c>
      <c r="H37" t="s">
        <v>46</v>
      </c>
      <c r="I37" t="s">
        <v>7</v>
      </c>
      <c r="J37" t="s">
        <v>30</v>
      </c>
      <c r="K37" t="s">
        <v>11</v>
      </c>
      <c r="L37" t="s">
        <v>31</v>
      </c>
      <c r="M37">
        <v>1</v>
      </c>
    </row>
    <row r="38" spans="1:13" x14ac:dyDescent="0.25">
      <c r="A38" s="2">
        <v>46282</v>
      </c>
      <c r="B38" s="1" t="str">
        <f ca="1">IF(Información1[[#This Row],[Fecha]]='Ajuste de fechas'!$A$2,"Día actual","Día anterior")</f>
        <v>Día anterior</v>
      </c>
      <c r="C38" t="s">
        <v>8</v>
      </c>
      <c r="D38" t="s">
        <v>9</v>
      </c>
      <c r="E38" t="s">
        <v>141</v>
      </c>
      <c r="F38" t="s">
        <v>62</v>
      </c>
      <c r="G38" t="s">
        <v>64</v>
      </c>
      <c r="H38" t="s">
        <v>46</v>
      </c>
      <c r="I38" t="s">
        <v>7</v>
      </c>
      <c r="J38" t="s">
        <v>30</v>
      </c>
      <c r="K38" t="s">
        <v>11</v>
      </c>
      <c r="L38" t="s">
        <v>33</v>
      </c>
      <c r="M38">
        <v>1</v>
      </c>
    </row>
    <row r="39" spans="1:13" x14ac:dyDescent="0.25">
      <c r="A39" s="2">
        <v>46282</v>
      </c>
      <c r="B39" s="1" t="str">
        <f ca="1">IF(Información1[[#This Row],[Fecha]]='Ajuste de fechas'!$A$2,"Día actual","Día anterior")</f>
        <v>Día anterior</v>
      </c>
      <c r="C39" t="s">
        <v>47</v>
      </c>
      <c r="D39" t="s">
        <v>48</v>
      </c>
      <c r="E39" t="s">
        <v>91</v>
      </c>
      <c r="F39" t="s">
        <v>15</v>
      </c>
      <c r="G39" t="s">
        <v>58</v>
      </c>
      <c r="H39" t="s">
        <v>46</v>
      </c>
      <c r="I39" t="s">
        <v>7</v>
      </c>
      <c r="J39" t="s">
        <v>34</v>
      </c>
      <c r="K39" t="s">
        <v>49</v>
      </c>
      <c r="L39" t="s">
        <v>31</v>
      </c>
      <c r="M39">
        <v>1</v>
      </c>
    </row>
    <row r="40" spans="1:13" x14ac:dyDescent="0.25">
      <c r="A40" s="2">
        <v>46282</v>
      </c>
      <c r="B40" s="1" t="str">
        <f ca="1">IF(Información1[[#This Row],[Fecha]]='Ajuste de fechas'!$A$2,"Día actual","Día anterior")</f>
        <v>Día anterior</v>
      </c>
      <c r="C40" t="s">
        <v>47</v>
      </c>
      <c r="D40" t="s">
        <v>48</v>
      </c>
      <c r="E40" t="s">
        <v>100</v>
      </c>
      <c r="F40" t="s">
        <v>22</v>
      </c>
      <c r="G40" t="s">
        <v>58</v>
      </c>
      <c r="H40" t="s">
        <v>46</v>
      </c>
      <c r="I40" t="s">
        <v>7</v>
      </c>
      <c r="J40" t="s">
        <v>30</v>
      </c>
      <c r="K40" t="s">
        <v>50</v>
      </c>
      <c r="L40" t="s">
        <v>33</v>
      </c>
      <c r="M40">
        <v>1</v>
      </c>
    </row>
    <row r="41" spans="1:13" x14ac:dyDescent="0.25">
      <c r="A41" s="2">
        <v>46282</v>
      </c>
      <c r="B41" s="1" t="str">
        <f ca="1">IF(Información1[[#This Row],[Fecha]]='Ajuste de fechas'!$A$2,"Día actual","Día anterior")</f>
        <v>Día anterior</v>
      </c>
      <c r="C41" t="s">
        <v>47</v>
      </c>
      <c r="D41" t="s">
        <v>55</v>
      </c>
      <c r="E41" t="s">
        <v>80</v>
      </c>
      <c r="F41" t="s">
        <v>54</v>
      </c>
      <c r="G41" t="s">
        <v>81</v>
      </c>
      <c r="H41" t="s">
        <v>46</v>
      </c>
      <c r="I41" t="s">
        <v>7</v>
      </c>
      <c r="J41" t="s">
        <v>30</v>
      </c>
      <c r="K41" t="s">
        <v>49</v>
      </c>
      <c r="L41" t="s">
        <v>31</v>
      </c>
      <c r="M41">
        <v>1</v>
      </c>
    </row>
    <row r="42" spans="1:13" x14ac:dyDescent="0.25">
      <c r="A42" s="2">
        <v>46282</v>
      </c>
      <c r="B42" s="1" t="str">
        <f ca="1">IF(Información1[[#This Row],[Fecha]]='Ajuste de fechas'!$A$2,"Día actual","Día anterior")</f>
        <v>Día anterior</v>
      </c>
      <c r="C42" t="s">
        <v>51</v>
      </c>
      <c r="D42" t="s">
        <v>52</v>
      </c>
      <c r="E42" t="s">
        <v>142</v>
      </c>
      <c r="F42" t="s">
        <v>54</v>
      </c>
      <c r="G42" t="s">
        <v>143</v>
      </c>
      <c r="H42" t="s">
        <v>46</v>
      </c>
      <c r="I42" t="s">
        <v>21</v>
      </c>
      <c r="J42" t="s">
        <v>30</v>
      </c>
      <c r="K42" t="s">
        <v>53</v>
      </c>
      <c r="L42" t="s">
        <v>32</v>
      </c>
      <c r="M42">
        <v>1</v>
      </c>
    </row>
    <row r="43" spans="1:13" x14ac:dyDescent="0.25">
      <c r="A43" s="2">
        <v>46282</v>
      </c>
      <c r="B43" s="1" t="str">
        <f ca="1">IF(Información1[[#This Row],[Fecha]]='Ajuste de fechas'!$A$2,"Día actual","Día anterior")</f>
        <v>Día anterior</v>
      </c>
      <c r="C43" t="s">
        <v>51</v>
      </c>
      <c r="D43" t="s">
        <v>52</v>
      </c>
      <c r="E43" t="s">
        <v>144</v>
      </c>
      <c r="F43" t="s">
        <v>54</v>
      </c>
      <c r="G43" t="s">
        <v>143</v>
      </c>
      <c r="H43" t="s">
        <v>46</v>
      </c>
      <c r="I43" t="s">
        <v>7</v>
      </c>
      <c r="J43" t="s">
        <v>30</v>
      </c>
      <c r="K43" t="s">
        <v>53</v>
      </c>
      <c r="L43" t="s">
        <v>31</v>
      </c>
      <c r="M43">
        <v>1</v>
      </c>
    </row>
    <row r="44" spans="1:13" x14ac:dyDescent="0.25">
      <c r="A44" s="2">
        <v>46282</v>
      </c>
      <c r="B44" s="1" t="str">
        <f ca="1">IF(Información1[[#This Row],[Fecha]]='Ajuste de fechas'!$A$2,"Día actual","Día anterior")</f>
        <v>Día anterior</v>
      </c>
      <c r="C44" t="s">
        <v>51</v>
      </c>
      <c r="D44" t="s">
        <v>52</v>
      </c>
      <c r="E44" t="s">
        <v>145</v>
      </c>
      <c r="F44" t="s">
        <v>54</v>
      </c>
      <c r="G44" t="s">
        <v>143</v>
      </c>
      <c r="H44" t="s">
        <v>46</v>
      </c>
      <c r="I44" t="s">
        <v>7</v>
      </c>
      <c r="J44" t="s">
        <v>30</v>
      </c>
      <c r="K44" t="s">
        <v>53</v>
      </c>
      <c r="L44" t="s">
        <v>31</v>
      </c>
      <c r="M44">
        <v>1</v>
      </c>
    </row>
    <row r="45" spans="1:13" x14ac:dyDescent="0.25">
      <c r="A45" s="2">
        <v>46282</v>
      </c>
      <c r="B45" s="1" t="str">
        <f ca="1">IF(Información1[[#This Row],[Fecha]]='Ajuste de fechas'!$A$2,"Día actual","Día anterior")</f>
        <v>Día anterior</v>
      </c>
      <c r="C45" t="s">
        <v>51</v>
      </c>
      <c r="D45" t="s">
        <v>52</v>
      </c>
      <c r="E45" t="s">
        <v>146</v>
      </c>
      <c r="F45" t="s">
        <v>54</v>
      </c>
      <c r="G45" t="s">
        <v>147</v>
      </c>
      <c r="H45" t="s">
        <v>46</v>
      </c>
      <c r="I45" t="s">
        <v>21</v>
      </c>
      <c r="J45" t="s">
        <v>30</v>
      </c>
      <c r="K45" t="s">
        <v>53</v>
      </c>
      <c r="L45" t="s">
        <v>31</v>
      </c>
      <c r="M45">
        <v>1</v>
      </c>
    </row>
    <row r="46" spans="1:13" x14ac:dyDescent="0.25">
      <c r="A46" s="2">
        <v>46282</v>
      </c>
      <c r="B46" s="1" t="str">
        <f ca="1">IF(Información1[[#This Row],[Fecha]]='Ajuste de fechas'!$A$2,"Día actual","Día anterior")</f>
        <v>Día anterior</v>
      </c>
      <c r="C46" t="s">
        <v>8</v>
      </c>
      <c r="D46" t="s">
        <v>9</v>
      </c>
      <c r="E46" t="s">
        <v>148</v>
      </c>
      <c r="F46" t="s">
        <v>39</v>
      </c>
      <c r="G46" t="s">
        <v>61</v>
      </c>
      <c r="H46" t="s">
        <v>46</v>
      </c>
      <c r="I46" t="s">
        <v>7</v>
      </c>
      <c r="J46" t="s">
        <v>20</v>
      </c>
      <c r="K46" t="s">
        <v>11</v>
      </c>
      <c r="L46" t="s">
        <v>31</v>
      </c>
      <c r="M46">
        <v>1</v>
      </c>
    </row>
    <row r="47" spans="1:13" x14ac:dyDescent="0.25">
      <c r="A47" s="2">
        <v>46282</v>
      </c>
      <c r="B47" s="1" t="str">
        <f ca="1">IF(Información1[[#This Row],[Fecha]]='Ajuste de fechas'!$A$2,"Día actual","Día anterior")</f>
        <v>Día anterior</v>
      </c>
      <c r="C47" t="s">
        <v>8</v>
      </c>
      <c r="D47" t="s">
        <v>9</v>
      </c>
      <c r="E47" t="s">
        <v>149</v>
      </c>
      <c r="F47" t="s">
        <v>39</v>
      </c>
      <c r="G47" t="s">
        <v>61</v>
      </c>
      <c r="H47" t="s">
        <v>46</v>
      </c>
      <c r="I47" t="s">
        <v>7</v>
      </c>
      <c r="J47" t="s">
        <v>20</v>
      </c>
      <c r="K47" t="s">
        <v>11</v>
      </c>
      <c r="L47" t="s">
        <v>31</v>
      </c>
      <c r="M47">
        <v>1</v>
      </c>
    </row>
    <row r="48" spans="1:13" x14ac:dyDescent="0.25">
      <c r="A48" s="2">
        <v>46282</v>
      </c>
      <c r="B48" s="1" t="str">
        <f ca="1">IF(Información1[[#This Row],[Fecha]]='Ajuste de fechas'!$A$2,"Día actual","Día anterior")</f>
        <v>Día anterior</v>
      </c>
      <c r="C48" t="s">
        <v>47</v>
      </c>
      <c r="D48" t="s">
        <v>55</v>
      </c>
      <c r="E48" t="s">
        <v>82</v>
      </c>
      <c r="F48" t="s">
        <v>17</v>
      </c>
      <c r="G48" t="s">
        <v>83</v>
      </c>
      <c r="H48" t="s">
        <v>46</v>
      </c>
      <c r="I48" t="s">
        <v>7</v>
      </c>
      <c r="J48" t="s">
        <v>30</v>
      </c>
      <c r="K48" t="s">
        <v>49</v>
      </c>
      <c r="L48" t="s">
        <v>33</v>
      </c>
      <c r="M48">
        <v>1</v>
      </c>
    </row>
    <row r="49" spans="1:13" x14ac:dyDescent="0.25">
      <c r="A49" s="2">
        <v>46282</v>
      </c>
      <c r="B49" s="1" t="str">
        <f ca="1">IF(Información1[[#This Row],[Fecha]]='Ajuste de fechas'!$A$2,"Día actual","Día anterior")</f>
        <v>Día anterior</v>
      </c>
      <c r="C49" t="s">
        <v>47</v>
      </c>
      <c r="D49" t="s">
        <v>55</v>
      </c>
      <c r="E49" t="s">
        <v>86</v>
      </c>
      <c r="F49" t="s">
        <v>17</v>
      </c>
      <c r="G49" t="s">
        <v>83</v>
      </c>
      <c r="H49" t="s">
        <v>46</v>
      </c>
      <c r="I49" t="s">
        <v>7</v>
      </c>
      <c r="J49" t="s">
        <v>30</v>
      </c>
      <c r="K49" t="s">
        <v>49</v>
      </c>
      <c r="L49" t="s">
        <v>33</v>
      </c>
      <c r="M49">
        <v>1</v>
      </c>
    </row>
    <row r="50" spans="1:13" x14ac:dyDescent="0.25">
      <c r="A50" s="2">
        <v>46282</v>
      </c>
      <c r="B50" s="1" t="str">
        <f ca="1">IF(Información1[[#This Row],[Fecha]]='Ajuste de fechas'!$A$2,"Día actual","Día anterior")</f>
        <v>Día anterior</v>
      </c>
      <c r="C50" t="s">
        <v>8</v>
      </c>
      <c r="D50" t="s">
        <v>9</v>
      </c>
      <c r="E50" t="s">
        <v>150</v>
      </c>
      <c r="F50" t="s">
        <v>42</v>
      </c>
      <c r="G50" t="s">
        <v>151</v>
      </c>
      <c r="H50" t="s">
        <v>46</v>
      </c>
      <c r="I50" t="s">
        <v>21</v>
      </c>
      <c r="J50" t="s">
        <v>30</v>
      </c>
      <c r="K50" t="s">
        <v>11</v>
      </c>
      <c r="L50" t="s">
        <v>32</v>
      </c>
      <c r="M50">
        <v>1</v>
      </c>
    </row>
    <row r="51" spans="1:13" x14ac:dyDescent="0.25">
      <c r="A51" s="2">
        <v>46282</v>
      </c>
      <c r="B51" s="1" t="str">
        <f ca="1">IF(Información1[[#This Row],[Fecha]]='Ajuste de fechas'!$A$2,"Día actual","Día anterior")</f>
        <v>Día anterior</v>
      </c>
      <c r="C51" t="s">
        <v>8</v>
      </c>
      <c r="D51" t="s">
        <v>9</v>
      </c>
      <c r="E51" t="s">
        <v>150</v>
      </c>
      <c r="F51" t="s">
        <v>19</v>
      </c>
      <c r="G51" t="s">
        <v>151</v>
      </c>
      <c r="H51" t="s">
        <v>46</v>
      </c>
      <c r="I51" t="s">
        <v>21</v>
      </c>
      <c r="J51" t="s">
        <v>30</v>
      </c>
      <c r="K51" t="s">
        <v>11</v>
      </c>
      <c r="L51" t="s">
        <v>32</v>
      </c>
      <c r="M51">
        <v>1</v>
      </c>
    </row>
    <row r="52" spans="1:13" x14ac:dyDescent="0.25">
      <c r="A52" s="2">
        <v>46282</v>
      </c>
      <c r="B52" s="1" t="str">
        <f ca="1">IF(Información1[[#This Row],[Fecha]]='Ajuste de fechas'!$A$2,"Día actual","Día anterior")</f>
        <v>Día anterior</v>
      </c>
      <c r="C52" t="s">
        <v>47</v>
      </c>
      <c r="D52" t="s">
        <v>48</v>
      </c>
      <c r="E52" t="s">
        <v>105</v>
      </c>
      <c r="F52" t="s">
        <v>18</v>
      </c>
      <c r="G52" t="s">
        <v>106</v>
      </c>
      <c r="H52" t="s">
        <v>46</v>
      </c>
      <c r="I52" t="s">
        <v>7</v>
      </c>
      <c r="J52" t="s">
        <v>35</v>
      </c>
      <c r="K52" t="s">
        <v>49</v>
      </c>
      <c r="L52" t="s">
        <v>31</v>
      </c>
      <c r="M52">
        <v>1</v>
      </c>
    </row>
    <row r="53" spans="1:13" x14ac:dyDescent="0.25">
      <c r="A53" s="2">
        <v>46282</v>
      </c>
      <c r="B53" s="1" t="str">
        <f ca="1">IF(Información1[[#This Row],[Fecha]]='Ajuste de fechas'!$A$2,"Día actual","Día anterior")</f>
        <v>Día anterior</v>
      </c>
      <c r="C53" t="s">
        <v>51</v>
      </c>
      <c r="D53" t="s">
        <v>52</v>
      </c>
      <c r="E53" t="s">
        <v>152</v>
      </c>
      <c r="F53" t="s">
        <v>63</v>
      </c>
      <c r="G53" t="s">
        <v>75</v>
      </c>
      <c r="H53" t="s">
        <v>46</v>
      </c>
      <c r="I53" t="s">
        <v>7</v>
      </c>
      <c r="J53" t="s">
        <v>30</v>
      </c>
      <c r="K53" t="s">
        <v>53</v>
      </c>
      <c r="L53" t="s">
        <v>31</v>
      </c>
      <c r="M53">
        <v>1</v>
      </c>
    </row>
    <row r="54" spans="1:13" x14ac:dyDescent="0.25">
      <c r="A54" s="2">
        <v>46282</v>
      </c>
      <c r="B54" s="1" t="str">
        <f ca="1">IF(Información1[[#This Row],[Fecha]]='Ajuste de fechas'!$A$2,"Día actual","Día anterior")</f>
        <v>Día anterior</v>
      </c>
      <c r="C54" t="s">
        <v>51</v>
      </c>
      <c r="D54" t="s">
        <v>52</v>
      </c>
      <c r="E54" t="s">
        <v>153</v>
      </c>
      <c r="F54" t="s">
        <v>19</v>
      </c>
      <c r="G54" t="s">
        <v>154</v>
      </c>
      <c r="H54" t="s">
        <v>46</v>
      </c>
      <c r="I54" t="s">
        <v>7</v>
      </c>
      <c r="J54" t="s">
        <v>30</v>
      </c>
      <c r="K54" t="s">
        <v>53</v>
      </c>
      <c r="L54" t="s">
        <v>31</v>
      </c>
      <c r="M54">
        <v>1</v>
      </c>
    </row>
    <row r="55" spans="1:13" x14ac:dyDescent="0.25">
      <c r="A55" s="2">
        <v>46282</v>
      </c>
      <c r="B55" s="1" t="str">
        <f ca="1">IF(Información1[[#This Row],[Fecha]]='Ajuste de fechas'!$A$2,"Día actual","Día anterior")</f>
        <v>Día anterior</v>
      </c>
      <c r="C55" t="s">
        <v>8</v>
      </c>
      <c r="D55" t="s">
        <v>9</v>
      </c>
      <c r="E55" t="s">
        <v>111</v>
      </c>
      <c r="F55" t="s">
        <v>69</v>
      </c>
      <c r="G55" t="s">
        <v>161</v>
      </c>
      <c r="H55" t="s">
        <v>46</v>
      </c>
      <c r="I55" t="s">
        <v>21</v>
      </c>
      <c r="J55" t="s">
        <v>30</v>
      </c>
      <c r="K55" t="s">
        <v>11</v>
      </c>
      <c r="L55" t="s">
        <v>32</v>
      </c>
      <c r="M55">
        <v>1</v>
      </c>
    </row>
    <row r="56" spans="1:13" x14ac:dyDescent="0.25">
      <c r="A56" s="2">
        <v>46282</v>
      </c>
      <c r="B56" s="1" t="str">
        <f ca="1">IF(Información1[[#This Row],[Fecha]]='Ajuste de fechas'!$A$2,"Día actual","Día anterior")</f>
        <v>Día anterior</v>
      </c>
      <c r="C56" t="s">
        <v>47</v>
      </c>
      <c r="D56" t="s">
        <v>55</v>
      </c>
      <c r="E56" t="s">
        <v>84</v>
      </c>
      <c r="F56" t="s">
        <v>17</v>
      </c>
      <c r="G56" t="s">
        <v>85</v>
      </c>
      <c r="H56" t="s">
        <v>46</v>
      </c>
      <c r="I56" t="s">
        <v>7</v>
      </c>
      <c r="J56" t="s">
        <v>30</v>
      </c>
      <c r="K56" t="s">
        <v>49</v>
      </c>
      <c r="L56" t="s">
        <v>33</v>
      </c>
      <c r="M56">
        <v>1</v>
      </c>
    </row>
    <row r="57" spans="1:13" x14ac:dyDescent="0.25">
      <c r="A57" s="2">
        <v>46282</v>
      </c>
      <c r="B57" s="1" t="str">
        <f ca="1">IF(Información1[[#This Row],[Fecha]]='Ajuste de fechas'!$A$2,"Día actual","Día anterior")</f>
        <v>Día anterior</v>
      </c>
      <c r="C57" t="s">
        <v>8</v>
      </c>
      <c r="D57" t="s">
        <v>9</v>
      </c>
      <c r="E57" t="s">
        <v>112</v>
      </c>
      <c r="F57" t="s">
        <v>39</v>
      </c>
      <c r="G57" t="s">
        <v>162</v>
      </c>
      <c r="H57" t="s">
        <v>46</v>
      </c>
      <c r="I57" t="s">
        <v>10</v>
      </c>
      <c r="J57" t="s">
        <v>20</v>
      </c>
      <c r="K57" t="s">
        <v>11</v>
      </c>
      <c r="L57" t="s">
        <v>40</v>
      </c>
      <c r="M57">
        <v>1</v>
      </c>
    </row>
    <row r="58" spans="1:13" x14ac:dyDescent="0.25">
      <c r="A58" s="2">
        <v>46282</v>
      </c>
      <c r="B58" s="1" t="str">
        <f ca="1">IF(Información1[[#This Row],[Fecha]]='Ajuste de fechas'!$A$2,"Día actual","Día anterior")</f>
        <v>Día anterior</v>
      </c>
      <c r="C58" t="s">
        <v>51</v>
      </c>
      <c r="D58" t="s">
        <v>52</v>
      </c>
      <c r="E58" t="s">
        <v>155</v>
      </c>
      <c r="F58" t="s">
        <v>45</v>
      </c>
      <c r="G58" t="s">
        <v>156</v>
      </c>
      <c r="H58" t="s">
        <v>46</v>
      </c>
      <c r="I58" t="s">
        <v>7</v>
      </c>
      <c r="J58" t="s">
        <v>30</v>
      </c>
      <c r="K58" t="s">
        <v>53</v>
      </c>
      <c r="L58" t="s">
        <v>31</v>
      </c>
      <c r="M58">
        <v>1</v>
      </c>
    </row>
    <row r="59" spans="1:13" x14ac:dyDescent="0.25">
      <c r="A59" s="2">
        <v>46282</v>
      </c>
      <c r="B59" s="1" t="str">
        <f ca="1">IF(Información1[[#This Row],[Fecha]]='Ajuste de fechas'!$A$2,"Día actual","Día anterior")</f>
        <v>Día anterior</v>
      </c>
      <c r="C59" t="s">
        <v>47</v>
      </c>
      <c r="D59" t="s">
        <v>48</v>
      </c>
      <c r="E59" t="s">
        <v>96</v>
      </c>
      <c r="F59" t="s">
        <v>42</v>
      </c>
      <c r="G59" t="s">
        <v>97</v>
      </c>
      <c r="H59" t="s">
        <v>46</v>
      </c>
      <c r="I59" t="s">
        <v>7</v>
      </c>
      <c r="J59" t="s">
        <v>30</v>
      </c>
      <c r="K59" t="s">
        <v>50</v>
      </c>
      <c r="L59" t="s">
        <v>33</v>
      </c>
      <c r="M59">
        <v>1</v>
      </c>
    </row>
    <row r="60" spans="1:13" x14ac:dyDescent="0.25">
      <c r="A60" s="2">
        <v>46282</v>
      </c>
      <c r="B60" s="1" t="str">
        <f ca="1">IF(Información1[[#This Row],[Fecha]]='Ajuste de fechas'!$A$2,"Día actual","Día anterior")</f>
        <v>Día anterior</v>
      </c>
      <c r="C60" t="s">
        <v>51</v>
      </c>
      <c r="D60" t="s">
        <v>52</v>
      </c>
      <c r="E60" t="s">
        <v>157</v>
      </c>
      <c r="F60" t="s">
        <v>42</v>
      </c>
      <c r="G60" t="s">
        <v>97</v>
      </c>
      <c r="H60" t="s">
        <v>46</v>
      </c>
      <c r="I60" t="s">
        <v>7</v>
      </c>
      <c r="J60" t="s">
        <v>30</v>
      </c>
      <c r="K60" t="s">
        <v>53</v>
      </c>
      <c r="L60" t="s">
        <v>31</v>
      </c>
      <c r="M60">
        <v>1</v>
      </c>
    </row>
    <row r="61" spans="1:13" x14ac:dyDescent="0.25">
      <c r="A61" s="2">
        <v>46282</v>
      </c>
      <c r="B61" s="1" t="str">
        <f ca="1">IF(Información1[[#This Row],[Fecha]]='Ajuste de fechas'!$A$2,"Día actual","Día anterior")</f>
        <v>Día anterior</v>
      </c>
      <c r="C61" t="s">
        <v>8</v>
      </c>
      <c r="D61" t="s">
        <v>9</v>
      </c>
      <c r="E61" t="s">
        <v>110</v>
      </c>
      <c r="F61" t="s">
        <v>13</v>
      </c>
      <c r="G61" t="s">
        <v>163</v>
      </c>
      <c r="H61" t="s">
        <v>46</v>
      </c>
      <c r="I61" t="s">
        <v>21</v>
      </c>
      <c r="J61" t="s">
        <v>30</v>
      </c>
      <c r="K61" t="s">
        <v>11</v>
      </c>
      <c r="L61" t="s">
        <v>32</v>
      </c>
      <c r="M61">
        <v>1</v>
      </c>
    </row>
    <row r="62" spans="1:13" x14ac:dyDescent="0.25">
      <c r="A62" s="2">
        <v>46282</v>
      </c>
      <c r="B62" s="1" t="str">
        <f ca="1">IF(Información1[[#This Row],[Fecha]]='Ajuste de fechas'!$A$2,"Día actual","Día anterior")</f>
        <v>Día anterior</v>
      </c>
      <c r="C62" t="s">
        <v>8</v>
      </c>
      <c r="D62" t="s">
        <v>9</v>
      </c>
      <c r="E62" t="s">
        <v>158</v>
      </c>
      <c r="F62" t="s">
        <v>15</v>
      </c>
      <c r="G62" t="s">
        <v>159</v>
      </c>
      <c r="H62" t="s">
        <v>46</v>
      </c>
      <c r="I62" t="s">
        <v>21</v>
      </c>
      <c r="J62" t="s">
        <v>34</v>
      </c>
      <c r="K62" t="s">
        <v>11</v>
      </c>
      <c r="L62" t="s">
        <v>32</v>
      </c>
      <c r="M62">
        <v>1</v>
      </c>
    </row>
    <row r="63" spans="1:13" x14ac:dyDescent="0.25">
      <c r="A63" s="2">
        <v>46282</v>
      </c>
      <c r="B63" s="1" t="str">
        <f ca="1">IF(Información1[[#This Row],[Fecha]]='Ajuste de fechas'!$A$2,"Día actual","Día anterior")</f>
        <v>Día anterior</v>
      </c>
      <c r="C63" t="s">
        <v>47</v>
      </c>
      <c r="D63" t="s">
        <v>55</v>
      </c>
      <c r="E63" t="s">
        <v>87</v>
      </c>
      <c r="F63" t="s">
        <v>18</v>
      </c>
      <c r="G63" t="s">
        <v>88</v>
      </c>
      <c r="H63" t="s">
        <v>46</v>
      </c>
      <c r="I63" t="s">
        <v>7</v>
      </c>
      <c r="J63" t="s">
        <v>35</v>
      </c>
      <c r="K63" t="s">
        <v>49</v>
      </c>
      <c r="L63" t="s">
        <v>31</v>
      </c>
      <c r="M63">
        <v>1</v>
      </c>
    </row>
    <row r="64" spans="1:13" x14ac:dyDescent="0.25">
      <c r="A64" s="2">
        <v>46282</v>
      </c>
      <c r="B64" s="1" t="str">
        <f ca="1">IF(Información1[[#This Row],[Fecha]]='Ajuste de fechas'!$A$2,"Día actual","Día anterior")</f>
        <v>Día anterior</v>
      </c>
      <c r="C64" t="s">
        <v>47</v>
      </c>
      <c r="D64" t="s">
        <v>48</v>
      </c>
      <c r="E64" t="s">
        <v>104</v>
      </c>
      <c r="F64" t="s">
        <v>18</v>
      </c>
      <c r="G64" t="s">
        <v>88</v>
      </c>
      <c r="H64" t="s">
        <v>46</v>
      </c>
      <c r="I64" t="s">
        <v>7</v>
      </c>
      <c r="J64" t="s">
        <v>35</v>
      </c>
      <c r="K64" t="s">
        <v>49</v>
      </c>
      <c r="L64" t="s">
        <v>31</v>
      </c>
      <c r="M64">
        <v>1</v>
      </c>
    </row>
    <row r="65" spans="1:13" x14ac:dyDescent="0.25">
      <c r="A65" s="2">
        <v>46282</v>
      </c>
      <c r="B65" s="1" t="str">
        <f ca="1">IF(Información1[[#This Row],[Fecha]]='Ajuste de fechas'!$A$2,"Día actual","Día anterior")</f>
        <v>Día anterior</v>
      </c>
      <c r="C65" t="s">
        <v>8</v>
      </c>
      <c r="D65" t="s">
        <v>9</v>
      </c>
      <c r="E65" t="s">
        <v>160</v>
      </c>
      <c r="F65" t="s">
        <v>42</v>
      </c>
      <c r="G65" t="s">
        <v>88</v>
      </c>
      <c r="H65" t="s">
        <v>46</v>
      </c>
      <c r="I65" t="s">
        <v>7</v>
      </c>
      <c r="J65" t="s">
        <v>30</v>
      </c>
      <c r="K65" t="s">
        <v>11</v>
      </c>
      <c r="L65" t="s">
        <v>31</v>
      </c>
      <c r="M65">
        <v>1</v>
      </c>
    </row>
    <row r="66" spans="1:13" x14ac:dyDescent="0.25">
      <c r="A66" s="2">
        <v>46282</v>
      </c>
      <c r="B66" s="1" t="str">
        <f ca="1">IF(Información1[[#This Row],[Fecha]]='Ajuste de fechas'!$A$2,"Día actual","Día anterior")</f>
        <v>Día anterior</v>
      </c>
      <c r="C66" t="s">
        <v>47</v>
      </c>
      <c r="D66" t="s">
        <v>48</v>
      </c>
      <c r="E66" t="s">
        <v>102</v>
      </c>
      <c r="F66" t="s">
        <v>15</v>
      </c>
      <c r="G66" t="s">
        <v>103</v>
      </c>
      <c r="H66" t="s">
        <v>46</v>
      </c>
      <c r="I66" t="s">
        <v>7</v>
      </c>
      <c r="J66" t="s">
        <v>34</v>
      </c>
      <c r="K66" t="s">
        <v>50</v>
      </c>
      <c r="L66" t="s">
        <v>31</v>
      </c>
      <c r="M66">
        <v>1</v>
      </c>
    </row>
    <row r="67" spans="1:13" x14ac:dyDescent="0.25">
      <c r="A67" s="2">
        <v>46282</v>
      </c>
      <c r="B67" s="1" t="str">
        <f ca="1">IF(Información1[[#This Row],[Fecha]]='Ajuste de fechas'!$A$2,"Día actual","Día anterior")</f>
        <v>Día anterior</v>
      </c>
      <c r="C67" t="s">
        <v>47</v>
      </c>
      <c r="D67" t="s">
        <v>48</v>
      </c>
      <c r="E67" t="s">
        <v>94</v>
      </c>
      <c r="F67" t="s">
        <v>56</v>
      </c>
      <c r="G67" t="s">
        <v>95</v>
      </c>
      <c r="H67" t="s">
        <v>46</v>
      </c>
      <c r="I67" t="s">
        <v>7</v>
      </c>
      <c r="J67" t="s">
        <v>30</v>
      </c>
      <c r="K67" t="s">
        <v>50</v>
      </c>
      <c r="L67" t="s">
        <v>33</v>
      </c>
      <c r="M67">
        <v>1</v>
      </c>
    </row>
    <row r="68" spans="1:13" x14ac:dyDescent="0.25">
      <c r="A68" s="2">
        <v>46283</v>
      </c>
      <c r="B68" s="1" t="str">
        <f ca="1">IF(Información1[[#This Row],[Fecha]]='Ajuste de fechas'!$A$2,"Día actual","Día anterior")</f>
        <v>Día actual</v>
      </c>
      <c r="C68" t="s">
        <v>47</v>
      </c>
      <c r="D68" t="s">
        <v>55</v>
      </c>
      <c r="E68" t="s">
        <v>164</v>
      </c>
      <c r="F68" t="s">
        <v>15</v>
      </c>
      <c r="G68" t="s">
        <v>165</v>
      </c>
      <c r="H68" t="s">
        <v>46</v>
      </c>
      <c r="I68" t="s">
        <v>7</v>
      </c>
      <c r="J68" t="s">
        <v>34</v>
      </c>
      <c r="K68" t="s">
        <v>49</v>
      </c>
      <c r="L68" t="s">
        <v>31</v>
      </c>
      <c r="M68">
        <v>1</v>
      </c>
    </row>
    <row r="69" spans="1:13" x14ac:dyDescent="0.25">
      <c r="A69" s="2">
        <v>46283</v>
      </c>
      <c r="B69" s="1" t="str">
        <f ca="1">IF(Información1[[#This Row],[Fecha]]='Ajuste de fechas'!$A$2,"Día actual","Día anterior")</f>
        <v>Día actual</v>
      </c>
      <c r="C69" t="s">
        <v>47</v>
      </c>
      <c r="D69" t="s">
        <v>55</v>
      </c>
      <c r="E69" t="s">
        <v>166</v>
      </c>
      <c r="F69" t="s">
        <v>15</v>
      </c>
      <c r="G69" t="s">
        <v>167</v>
      </c>
      <c r="H69" t="s">
        <v>46</v>
      </c>
      <c r="I69" t="s">
        <v>7</v>
      </c>
      <c r="J69" t="s">
        <v>34</v>
      </c>
      <c r="K69" t="s">
        <v>49</v>
      </c>
      <c r="L69" t="s">
        <v>31</v>
      </c>
      <c r="M69">
        <v>1</v>
      </c>
    </row>
    <row r="70" spans="1:13" x14ac:dyDescent="0.25">
      <c r="A70" s="2">
        <v>46283</v>
      </c>
      <c r="B70" s="1" t="str">
        <f ca="1">IF(Información1[[#This Row],[Fecha]]='Ajuste de fechas'!$A$2,"Día actual","Día anterior")</f>
        <v>Día actual</v>
      </c>
      <c r="C70" t="s">
        <v>47</v>
      </c>
      <c r="D70" t="s">
        <v>55</v>
      </c>
      <c r="E70" t="s">
        <v>168</v>
      </c>
      <c r="F70" t="s">
        <v>17</v>
      </c>
      <c r="G70" t="s">
        <v>169</v>
      </c>
      <c r="H70" t="s">
        <v>46</v>
      </c>
      <c r="I70" t="s">
        <v>7</v>
      </c>
      <c r="J70" t="s">
        <v>30</v>
      </c>
      <c r="K70" t="s">
        <v>49</v>
      </c>
      <c r="L70" t="s">
        <v>33</v>
      </c>
      <c r="M70">
        <v>1</v>
      </c>
    </row>
    <row r="71" spans="1:13" x14ac:dyDescent="0.25">
      <c r="A71" s="2">
        <v>46283</v>
      </c>
      <c r="B71" s="1" t="str">
        <f ca="1">IF(Información1[[#This Row],[Fecha]]='Ajuste de fechas'!$A$2,"Día actual","Día anterior")</f>
        <v>Día actual</v>
      </c>
      <c r="C71" t="s">
        <v>47</v>
      </c>
      <c r="D71" t="s">
        <v>55</v>
      </c>
      <c r="E71" t="s">
        <v>170</v>
      </c>
      <c r="F71" t="s">
        <v>45</v>
      </c>
      <c r="G71" t="s">
        <v>171</v>
      </c>
      <c r="H71" t="s">
        <v>46</v>
      </c>
      <c r="I71" t="s">
        <v>7</v>
      </c>
      <c r="J71" t="s">
        <v>30</v>
      </c>
      <c r="K71" t="s">
        <v>49</v>
      </c>
      <c r="L71" t="s">
        <v>31</v>
      </c>
      <c r="M71">
        <v>1</v>
      </c>
    </row>
    <row r="72" spans="1:13" x14ac:dyDescent="0.25">
      <c r="A72" s="2">
        <v>46283</v>
      </c>
      <c r="B72" s="1" t="str">
        <f ca="1">IF(Información1[[#This Row],[Fecha]]='Ajuste de fechas'!$A$2,"Día actual","Día anterior")</f>
        <v>Día actual</v>
      </c>
      <c r="C72" t="s">
        <v>71</v>
      </c>
      <c r="D72" t="s">
        <v>72</v>
      </c>
      <c r="E72" t="s">
        <v>172</v>
      </c>
      <c r="F72" t="s">
        <v>45</v>
      </c>
      <c r="G72" t="s">
        <v>173</v>
      </c>
      <c r="H72" t="s">
        <v>46</v>
      </c>
      <c r="I72" t="s">
        <v>7</v>
      </c>
      <c r="J72" t="s">
        <v>30</v>
      </c>
      <c r="K72" t="s">
        <v>73</v>
      </c>
      <c r="L72" t="s">
        <v>31</v>
      </c>
      <c r="M72">
        <v>1</v>
      </c>
    </row>
    <row r="73" spans="1:13" x14ac:dyDescent="0.25">
      <c r="A73" s="2">
        <v>46283</v>
      </c>
      <c r="B73" s="1" t="str">
        <f ca="1">IF(Información1[[#This Row],[Fecha]]='Ajuste de fechas'!$A$2,"Día actual","Día anterior")</f>
        <v>Día actual</v>
      </c>
      <c r="C73" t="s">
        <v>71</v>
      </c>
      <c r="D73" t="s">
        <v>72</v>
      </c>
      <c r="E73" t="s">
        <v>174</v>
      </c>
      <c r="F73" t="s">
        <v>70</v>
      </c>
      <c r="G73" t="s">
        <v>175</v>
      </c>
      <c r="H73" t="s">
        <v>46</v>
      </c>
      <c r="I73" t="s">
        <v>7</v>
      </c>
      <c r="J73" t="s">
        <v>30</v>
      </c>
      <c r="K73" t="s">
        <v>73</v>
      </c>
      <c r="L73" t="s">
        <v>33</v>
      </c>
      <c r="M73">
        <v>1</v>
      </c>
    </row>
    <row r="74" spans="1:13" x14ac:dyDescent="0.25">
      <c r="A74" s="2">
        <v>46283</v>
      </c>
      <c r="B74" s="1" t="str">
        <f ca="1">IF(Información1[[#This Row],[Fecha]]='Ajuste de fechas'!$A$2,"Día actual","Día anterior")</f>
        <v>Día actual</v>
      </c>
      <c r="C74" t="s">
        <v>71</v>
      </c>
      <c r="D74" t="s">
        <v>72</v>
      </c>
      <c r="E74" t="s">
        <v>176</v>
      </c>
      <c r="F74" t="s">
        <v>22</v>
      </c>
      <c r="G74" t="s">
        <v>177</v>
      </c>
      <c r="H74" t="s">
        <v>46</v>
      </c>
      <c r="I74" t="s">
        <v>7</v>
      </c>
      <c r="J74" t="s">
        <v>30</v>
      </c>
      <c r="K74" t="s">
        <v>73</v>
      </c>
      <c r="L74" t="s">
        <v>33</v>
      </c>
      <c r="M74">
        <v>1</v>
      </c>
    </row>
    <row r="75" spans="1:13" x14ac:dyDescent="0.25">
      <c r="A75" s="2">
        <v>46283</v>
      </c>
      <c r="B75" s="1" t="str">
        <f ca="1">IF(Información1[[#This Row],[Fecha]]='Ajuste de fechas'!$A$2,"Día actual","Día anterior")</f>
        <v>Día actual</v>
      </c>
      <c r="C75" t="s">
        <v>47</v>
      </c>
      <c r="D75" t="s">
        <v>48</v>
      </c>
      <c r="E75" t="s">
        <v>178</v>
      </c>
      <c r="F75" t="s">
        <v>17</v>
      </c>
      <c r="G75" t="s">
        <v>179</v>
      </c>
      <c r="H75" t="s">
        <v>46</v>
      </c>
      <c r="I75" t="s">
        <v>7</v>
      </c>
      <c r="J75" t="s">
        <v>30</v>
      </c>
      <c r="K75" t="s">
        <v>49</v>
      </c>
      <c r="L75" t="s">
        <v>33</v>
      </c>
      <c r="M75">
        <v>1</v>
      </c>
    </row>
    <row r="76" spans="1:13" x14ac:dyDescent="0.25">
      <c r="A76" s="2">
        <v>46283</v>
      </c>
      <c r="B76" s="1" t="str">
        <f ca="1">IF(Información1[[#This Row],[Fecha]]='Ajuste de fechas'!$A$2,"Día actual","Día anterior")</f>
        <v>Día actual</v>
      </c>
      <c r="C76" t="s">
        <v>47</v>
      </c>
      <c r="D76" t="s">
        <v>48</v>
      </c>
      <c r="E76" t="s">
        <v>180</v>
      </c>
      <c r="F76" t="s">
        <v>42</v>
      </c>
      <c r="G76" t="s">
        <v>181</v>
      </c>
      <c r="H76" t="s">
        <v>46</v>
      </c>
      <c r="I76" t="s">
        <v>7</v>
      </c>
      <c r="J76" t="s">
        <v>30</v>
      </c>
      <c r="K76" t="s">
        <v>49</v>
      </c>
      <c r="L76" t="s">
        <v>33</v>
      </c>
      <c r="M76">
        <v>1</v>
      </c>
    </row>
    <row r="77" spans="1:13" x14ac:dyDescent="0.25">
      <c r="A77" s="2">
        <v>46283</v>
      </c>
      <c r="B77" s="1" t="str">
        <f ca="1">IF(Información1[[#This Row],[Fecha]]='Ajuste de fechas'!$A$2,"Día actual","Día anterior")</f>
        <v>Día actual</v>
      </c>
      <c r="C77" t="s">
        <v>47</v>
      </c>
      <c r="D77" t="s">
        <v>48</v>
      </c>
      <c r="E77" t="s">
        <v>182</v>
      </c>
      <c r="F77" t="s">
        <v>15</v>
      </c>
      <c r="G77" t="s">
        <v>181</v>
      </c>
      <c r="H77" t="s">
        <v>46</v>
      </c>
      <c r="I77" t="s">
        <v>7</v>
      </c>
      <c r="J77" t="s">
        <v>34</v>
      </c>
      <c r="K77" t="s">
        <v>49</v>
      </c>
      <c r="L77" t="s">
        <v>31</v>
      </c>
      <c r="M77">
        <v>1</v>
      </c>
    </row>
    <row r="78" spans="1:13" x14ac:dyDescent="0.25">
      <c r="A78" s="2">
        <v>46283</v>
      </c>
      <c r="B78" s="1" t="str">
        <f ca="1">IF(Información1[[#This Row],[Fecha]]='Ajuste de fechas'!$A$2,"Día actual","Día anterior")</f>
        <v>Día actual</v>
      </c>
      <c r="C78" t="s">
        <v>47</v>
      </c>
      <c r="D78" t="s">
        <v>48</v>
      </c>
      <c r="E78" t="s">
        <v>183</v>
      </c>
      <c r="F78" t="s">
        <v>15</v>
      </c>
      <c r="G78" t="s">
        <v>184</v>
      </c>
      <c r="H78" t="s">
        <v>46</v>
      </c>
      <c r="I78" t="s">
        <v>7</v>
      </c>
      <c r="J78" t="s">
        <v>34</v>
      </c>
      <c r="K78" t="s">
        <v>49</v>
      </c>
      <c r="L78" t="s">
        <v>31</v>
      </c>
      <c r="M78">
        <v>1</v>
      </c>
    </row>
    <row r="79" spans="1:13" x14ac:dyDescent="0.25">
      <c r="A79" s="2">
        <v>46283</v>
      </c>
      <c r="B79" s="1" t="str">
        <f ca="1">IF(Información1[[#This Row],[Fecha]]='Ajuste de fechas'!$A$2,"Día actual","Día anterior")</f>
        <v>Día actual</v>
      </c>
      <c r="C79" t="s">
        <v>47</v>
      </c>
      <c r="D79" t="s">
        <v>48</v>
      </c>
      <c r="E79" t="s">
        <v>185</v>
      </c>
      <c r="F79" t="s">
        <v>54</v>
      </c>
      <c r="G79" t="s">
        <v>81</v>
      </c>
      <c r="H79" t="s">
        <v>46</v>
      </c>
      <c r="I79" t="s">
        <v>7</v>
      </c>
      <c r="J79" t="s">
        <v>30</v>
      </c>
      <c r="K79" t="s">
        <v>49</v>
      </c>
      <c r="L79" t="s">
        <v>31</v>
      </c>
      <c r="M79">
        <v>1</v>
      </c>
    </row>
    <row r="80" spans="1:13" x14ac:dyDescent="0.25">
      <c r="A80" s="2">
        <v>46283</v>
      </c>
      <c r="B80" s="1" t="str">
        <f ca="1">IF(Información1[[#This Row],[Fecha]]='Ajuste de fechas'!$A$2,"Día actual","Día anterior")</f>
        <v>Día actual</v>
      </c>
      <c r="C80" t="s">
        <v>47</v>
      </c>
      <c r="D80" t="s">
        <v>48</v>
      </c>
      <c r="E80" t="s">
        <v>185</v>
      </c>
      <c r="F80" t="s">
        <v>15</v>
      </c>
      <c r="G80" t="s">
        <v>186</v>
      </c>
      <c r="H80" t="s">
        <v>46</v>
      </c>
      <c r="I80" t="s">
        <v>7</v>
      </c>
      <c r="J80" t="s">
        <v>34</v>
      </c>
      <c r="K80" t="s">
        <v>49</v>
      </c>
      <c r="L80" t="s">
        <v>31</v>
      </c>
      <c r="M80">
        <v>1</v>
      </c>
    </row>
    <row r="81" spans="1:13" x14ac:dyDescent="0.25">
      <c r="A81" s="2">
        <v>46283</v>
      </c>
      <c r="B81" s="1" t="str">
        <f ca="1">IF(Información1[[#This Row],[Fecha]]='Ajuste de fechas'!$A$2,"Día actual","Día anterior")</f>
        <v>Día actual</v>
      </c>
      <c r="C81" t="s">
        <v>47</v>
      </c>
      <c r="D81" t="s">
        <v>48</v>
      </c>
      <c r="E81" t="s">
        <v>187</v>
      </c>
      <c r="F81" t="s">
        <v>22</v>
      </c>
      <c r="G81" t="s">
        <v>177</v>
      </c>
      <c r="H81" t="s">
        <v>46</v>
      </c>
      <c r="I81" t="s">
        <v>10</v>
      </c>
      <c r="J81" t="s">
        <v>30</v>
      </c>
      <c r="K81" t="s">
        <v>50</v>
      </c>
      <c r="L81" t="s">
        <v>31</v>
      </c>
      <c r="M81">
        <v>1</v>
      </c>
    </row>
    <row r="82" spans="1:13" x14ac:dyDescent="0.25">
      <c r="A82" s="2">
        <v>46283</v>
      </c>
      <c r="B82" s="1" t="str">
        <f ca="1">IF(Información1[[#This Row],[Fecha]]='Ajuste de fechas'!$A$2,"Día actual","Día anterior")</f>
        <v>Día actual</v>
      </c>
      <c r="C82" t="s">
        <v>47</v>
      </c>
      <c r="D82" t="s">
        <v>48</v>
      </c>
      <c r="E82" t="s">
        <v>187</v>
      </c>
      <c r="F82" t="s">
        <v>17</v>
      </c>
      <c r="G82" t="s">
        <v>177</v>
      </c>
      <c r="H82" t="s">
        <v>46</v>
      </c>
      <c r="I82" t="s">
        <v>10</v>
      </c>
      <c r="J82" t="s">
        <v>30</v>
      </c>
      <c r="K82" t="s">
        <v>50</v>
      </c>
      <c r="L82" t="s">
        <v>31</v>
      </c>
      <c r="M82">
        <v>1</v>
      </c>
    </row>
    <row r="83" spans="1:13" x14ac:dyDescent="0.25">
      <c r="A83" s="2">
        <v>46283</v>
      </c>
      <c r="B83" s="1" t="str">
        <f ca="1">IF(Información1[[#This Row],[Fecha]]='Ajuste de fechas'!$A$2,"Día actual","Día anterior")</f>
        <v>Día actual</v>
      </c>
      <c r="C83" t="s">
        <v>47</v>
      </c>
      <c r="D83" t="s">
        <v>48</v>
      </c>
      <c r="E83" t="s">
        <v>188</v>
      </c>
      <c r="F83" t="s">
        <v>18</v>
      </c>
      <c r="G83" t="s">
        <v>106</v>
      </c>
      <c r="H83" t="s">
        <v>46</v>
      </c>
      <c r="I83" t="s">
        <v>7</v>
      </c>
      <c r="J83" t="s">
        <v>35</v>
      </c>
      <c r="K83" t="s">
        <v>49</v>
      </c>
      <c r="L83" t="s">
        <v>31</v>
      </c>
      <c r="M83">
        <v>1</v>
      </c>
    </row>
    <row r="84" spans="1:13" x14ac:dyDescent="0.25">
      <c r="A84" s="2">
        <v>46283</v>
      </c>
      <c r="B84" s="1" t="str">
        <f ca="1">IF(Información1[[#This Row],[Fecha]]='Ajuste de fechas'!$A$2,"Día actual","Día anterior")</f>
        <v>Día actual</v>
      </c>
      <c r="C84" t="s">
        <v>47</v>
      </c>
      <c r="D84" t="s">
        <v>48</v>
      </c>
      <c r="E84" t="s">
        <v>189</v>
      </c>
      <c r="F84" t="s">
        <v>15</v>
      </c>
      <c r="G84" t="s">
        <v>108</v>
      </c>
      <c r="H84" t="s">
        <v>46</v>
      </c>
      <c r="I84" t="s">
        <v>7</v>
      </c>
      <c r="J84" t="s">
        <v>34</v>
      </c>
      <c r="K84" t="s">
        <v>49</v>
      </c>
      <c r="L84" t="s">
        <v>31</v>
      </c>
      <c r="M84">
        <v>1</v>
      </c>
    </row>
    <row r="85" spans="1:13" x14ac:dyDescent="0.25">
      <c r="A85" s="2">
        <v>46283</v>
      </c>
      <c r="B85" s="1" t="str">
        <f ca="1">IF(Información1[[#This Row],[Fecha]]='Ajuste de fechas'!$A$2,"Día actual","Día anterior")</f>
        <v>Día actual</v>
      </c>
      <c r="C85" t="s">
        <v>190</v>
      </c>
      <c r="D85" t="s">
        <v>191</v>
      </c>
      <c r="E85" t="s">
        <v>192</v>
      </c>
      <c r="F85" t="s">
        <v>70</v>
      </c>
      <c r="G85" t="s">
        <v>175</v>
      </c>
      <c r="H85" t="s">
        <v>46</v>
      </c>
      <c r="I85" t="s">
        <v>7</v>
      </c>
      <c r="J85" t="s">
        <v>30</v>
      </c>
      <c r="K85" t="s">
        <v>193</v>
      </c>
      <c r="L85" t="s">
        <v>31</v>
      </c>
      <c r="M85">
        <v>1</v>
      </c>
    </row>
    <row r="86" spans="1:13" x14ac:dyDescent="0.25">
      <c r="A86" s="2">
        <v>46283</v>
      </c>
      <c r="B86" s="1" t="str">
        <f ca="1">IF(Información1[[#This Row],[Fecha]]='Ajuste de fechas'!$A$2,"Día actual","Día anterior")</f>
        <v>Día actual</v>
      </c>
      <c r="C86" t="s">
        <v>65</v>
      </c>
      <c r="D86" t="s">
        <v>66</v>
      </c>
      <c r="E86" t="s">
        <v>194</v>
      </c>
      <c r="F86" t="s">
        <v>70</v>
      </c>
      <c r="G86" t="s">
        <v>175</v>
      </c>
      <c r="H86" t="s">
        <v>46</v>
      </c>
      <c r="I86" t="s">
        <v>7</v>
      </c>
      <c r="J86" t="s">
        <v>30</v>
      </c>
      <c r="K86" t="s">
        <v>67</v>
      </c>
      <c r="L86" t="s">
        <v>33</v>
      </c>
      <c r="M86">
        <v>1</v>
      </c>
    </row>
    <row r="87" spans="1:13" x14ac:dyDescent="0.25">
      <c r="A87" s="2">
        <v>46283</v>
      </c>
      <c r="B87" s="1" t="str">
        <f ca="1">IF(Información1[[#This Row],[Fecha]]='Ajuste de fechas'!$A$2,"Día actual","Día anterior")</f>
        <v>Día actual</v>
      </c>
      <c r="C87" t="s">
        <v>65</v>
      </c>
      <c r="D87" t="s">
        <v>66</v>
      </c>
      <c r="E87" t="s">
        <v>195</v>
      </c>
      <c r="F87" t="s">
        <v>45</v>
      </c>
      <c r="G87" t="s">
        <v>196</v>
      </c>
      <c r="H87" t="s">
        <v>46</v>
      </c>
      <c r="I87" t="s">
        <v>7</v>
      </c>
      <c r="J87" t="s">
        <v>30</v>
      </c>
      <c r="K87" t="s">
        <v>67</v>
      </c>
      <c r="L87" t="s">
        <v>31</v>
      </c>
      <c r="M87">
        <v>1</v>
      </c>
    </row>
    <row r="88" spans="1:13" x14ac:dyDescent="0.25">
      <c r="A88" s="2">
        <v>46283</v>
      </c>
      <c r="B88" s="1" t="str">
        <f ca="1">IF(Información1[[#This Row],[Fecha]]='Ajuste de fechas'!$A$2,"Día actual","Día anterior")</f>
        <v>Día actual</v>
      </c>
      <c r="C88" t="s">
        <v>65</v>
      </c>
      <c r="D88" t="s">
        <v>66</v>
      </c>
      <c r="E88" t="s">
        <v>197</v>
      </c>
      <c r="F88" t="s">
        <v>22</v>
      </c>
      <c r="G88" t="s">
        <v>177</v>
      </c>
      <c r="H88" t="s">
        <v>46</v>
      </c>
      <c r="I88" t="s">
        <v>7</v>
      </c>
      <c r="J88" t="s">
        <v>30</v>
      </c>
      <c r="K88" t="s">
        <v>67</v>
      </c>
      <c r="L88" t="s">
        <v>31</v>
      </c>
      <c r="M88">
        <v>1</v>
      </c>
    </row>
    <row r="89" spans="1:13" x14ac:dyDescent="0.25">
      <c r="A89" s="2">
        <v>46283</v>
      </c>
      <c r="B89" s="1" t="str">
        <f ca="1">IF(Información1[[#This Row],[Fecha]]='Ajuste de fechas'!$A$2,"Día actual","Día anterior")</f>
        <v>Día actual</v>
      </c>
      <c r="C89" t="s">
        <v>51</v>
      </c>
      <c r="D89" t="s">
        <v>52</v>
      </c>
      <c r="E89" t="s">
        <v>198</v>
      </c>
      <c r="F89" t="s">
        <v>20</v>
      </c>
      <c r="G89" t="s">
        <v>199</v>
      </c>
      <c r="H89" t="s">
        <v>46</v>
      </c>
      <c r="I89" t="s">
        <v>21</v>
      </c>
      <c r="J89" t="s">
        <v>20</v>
      </c>
      <c r="K89" t="s">
        <v>53</v>
      </c>
      <c r="L89" t="s">
        <v>32</v>
      </c>
      <c r="M89">
        <v>1</v>
      </c>
    </row>
    <row r="90" spans="1:13" x14ac:dyDescent="0.25">
      <c r="A90" s="2">
        <v>46283</v>
      </c>
      <c r="B90" s="1" t="str">
        <f ca="1">IF(Información1[[#This Row],[Fecha]]='Ajuste de fechas'!$A$2,"Día actual","Día anterior")</f>
        <v>Día actual</v>
      </c>
      <c r="C90" t="s">
        <v>51</v>
      </c>
      <c r="D90" t="s">
        <v>52</v>
      </c>
      <c r="E90" t="s">
        <v>200</v>
      </c>
      <c r="F90" t="s">
        <v>15</v>
      </c>
      <c r="G90" t="s">
        <v>64</v>
      </c>
      <c r="H90" t="s">
        <v>46</v>
      </c>
      <c r="I90" t="s">
        <v>21</v>
      </c>
      <c r="J90" t="s">
        <v>34</v>
      </c>
      <c r="K90" t="s">
        <v>53</v>
      </c>
      <c r="L90" t="s">
        <v>32</v>
      </c>
      <c r="M90">
        <v>1</v>
      </c>
    </row>
    <row r="91" spans="1:13" x14ac:dyDescent="0.25">
      <c r="A91" s="2">
        <v>46283</v>
      </c>
      <c r="B91" s="1" t="str">
        <f ca="1">IF(Información1[[#This Row],[Fecha]]='Ajuste de fechas'!$A$2,"Día actual","Día anterior")</f>
        <v>Día actual</v>
      </c>
      <c r="C91" t="s">
        <v>51</v>
      </c>
      <c r="D91" t="s">
        <v>52</v>
      </c>
      <c r="E91" t="s">
        <v>201</v>
      </c>
      <c r="F91" t="s">
        <v>15</v>
      </c>
      <c r="G91" t="s">
        <v>202</v>
      </c>
      <c r="H91" t="s">
        <v>46</v>
      </c>
      <c r="I91" t="s">
        <v>21</v>
      </c>
      <c r="J91" t="s">
        <v>34</v>
      </c>
      <c r="K91" t="s">
        <v>53</v>
      </c>
      <c r="L91" t="s">
        <v>32</v>
      </c>
      <c r="M91">
        <v>1</v>
      </c>
    </row>
    <row r="92" spans="1:13" x14ac:dyDescent="0.25">
      <c r="A92" s="2">
        <v>46283</v>
      </c>
      <c r="B92" s="1" t="str">
        <f ca="1">IF(Información1[[#This Row],[Fecha]]='Ajuste de fechas'!$A$2,"Día actual","Día anterior")</f>
        <v>Día actual</v>
      </c>
      <c r="C92" t="s">
        <v>51</v>
      </c>
      <c r="D92" t="s">
        <v>52</v>
      </c>
      <c r="E92" t="s">
        <v>203</v>
      </c>
      <c r="F92" t="s">
        <v>15</v>
      </c>
      <c r="G92" t="s">
        <v>204</v>
      </c>
      <c r="H92" t="s">
        <v>46</v>
      </c>
      <c r="I92" t="s">
        <v>21</v>
      </c>
      <c r="J92" t="s">
        <v>34</v>
      </c>
      <c r="K92" t="s">
        <v>53</v>
      </c>
      <c r="L92" t="s">
        <v>32</v>
      </c>
      <c r="M92">
        <v>1</v>
      </c>
    </row>
    <row r="93" spans="1:13" x14ac:dyDescent="0.25">
      <c r="A93" s="2">
        <v>46283</v>
      </c>
      <c r="B93" s="1" t="str">
        <f ca="1">IF(Información1[[#This Row],[Fecha]]='Ajuste de fechas'!$A$2,"Día actual","Día anterior")</f>
        <v>Día actual</v>
      </c>
      <c r="C93" t="s">
        <v>51</v>
      </c>
      <c r="D93" t="s">
        <v>52</v>
      </c>
      <c r="E93" t="s">
        <v>205</v>
      </c>
      <c r="F93" t="s">
        <v>45</v>
      </c>
      <c r="G93" t="s">
        <v>206</v>
      </c>
      <c r="H93" t="s">
        <v>46</v>
      </c>
      <c r="I93" t="s">
        <v>7</v>
      </c>
      <c r="J93" t="s">
        <v>30</v>
      </c>
      <c r="K93" t="s">
        <v>53</v>
      </c>
      <c r="L93" t="s">
        <v>31</v>
      </c>
      <c r="M93">
        <v>1</v>
      </c>
    </row>
    <row r="94" spans="1:13" x14ac:dyDescent="0.25">
      <c r="A94" s="2">
        <v>46283</v>
      </c>
      <c r="B94" s="1" t="str">
        <f ca="1">IF(Información1[[#This Row],[Fecha]]='Ajuste de fechas'!$A$2,"Día actual","Día anterior")</f>
        <v>Día actual</v>
      </c>
      <c r="C94" t="s">
        <v>51</v>
      </c>
      <c r="D94" t="s">
        <v>52</v>
      </c>
      <c r="E94" t="s">
        <v>207</v>
      </c>
      <c r="F94" t="s">
        <v>54</v>
      </c>
      <c r="G94" t="s">
        <v>143</v>
      </c>
      <c r="H94" t="s">
        <v>46</v>
      </c>
      <c r="I94" t="s">
        <v>7</v>
      </c>
      <c r="J94" t="s">
        <v>30</v>
      </c>
      <c r="K94" t="s">
        <v>53</v>
      </c>
      <c r="L94" t="s">
        <v>31</v>
      </c>
      <c r="M94">
        <v>1</v>
      </c>
    </row>
    <row r="95" spans="1:13" x14ac:dyDescent="0.25">
      <c r="A95" s="2">
        <v>46283</v>
      </c>
      <c r="B95" s="1" t="str">
        <f ca="1">IF(Información1[[#This Row],[Fecha]]='Ajuste de fechas'!$A$2,"Día actual","Día anterior")</f>
        <v>Día actual</v>
      </c>
      <c r="C95" t="s">
        <v>51</v>
      </c>
      <c r="D95" t="s">
        <v>52</v>
      </c>
      <c r="E95" t="s">
        <v>208</v>
      </c>
      <c r="F95" t="s">
        <v>15</v>
      </c>
      <c r="G95" t="s">
        <v>57</v>
      </c>
      <c r="H95" t="s">
        <v>46</v>
      </c>
      <c r="I95" t="s">
        <v>7</v>
      </c>
      <c r="J95" t="s">
        <v>34</v>
      </c>
      <c r="K95" t="s">
        <v>53</v>
      </c>
      <c r="L95" t="s">
        <v>31</v>
      </c>
      <c r="M95">
        <v>1</v>
      </c>
    </row>
    <row r="96" spans="1:13" x14ac:dyDescent="0.25">
      <c r="A96" s="2">
        <v>46283</v>
      </c>
      <c r="B96" s="1" t="str">
        <f ca="1">IF(Información1[[#This Row],[Fecha]]='Ajuste de fechas'!$A$2,"Día actual","Día anterior")</f>
        <v>Día actual</v>
      </c>
      <c r="C96" t="s">
        <v>51</v>
      </c>
      <c r="D96" t="s">
        <v>52</v>
      </c>
      <c r="E96" t="s">
        <v>209</v>
      </c>
      <c r="F96" t="s">
        <v>18</v>
      </c>
      <c r="G96" t="s">
        <v>88</v>
      </c>
      <c r="H96" t="s">
        <v>46</v>
      </c>
      <c r="I96" t="s">
        <v>7</v>
      </c>
      <c r="J96" t="s">
        <v>35</v>
      </c>
      <c r="K96" t="s">
        <v>53</v>
      </c>
      <c r="L96" t="s">
        <v>31</v>
      </c>
      <c r="M96">
        <v>1</v>
      </c>
    </row>
    <row r="97" spans="1:13" x14ac:dyDescent="0.25">
      <c r="A97" s="2">
        <v>46283</v>
      </c>
      <c r="B97" s="1" t="str">
        <f ca="1">IF(Información1[[#This Row],[Fecha]]='Ajuste de fechas'!$A$2,"Día actual","Día anterior")</f>
        <v>Día actual</v>
      </c>
      <c r="C97" t="s">
        <v>51</v>
      </c>
      <c r="D97" t="s">
        <v>52</v>
      </c>
      <c r="E97" t="s">
        <v>210</v>
      </c>
      <c r="F97" t="s">
        <v>18</v>
      </c>
      <c r="G97" t="s">
        <v>211</v>
      </c>
      <c r="H97" t="s">
        <v>46</v>
      </c>
      <c r="I97" t="s">
        <v>7</v>
      </c>
      <c r="J97" t="s">
        <v>35</v>
      </c>
      <c r="K97" t="s">
        <v>53</v>
      </c>
      <c r="L97" t="s">
        <v>31</v>
      </c>
      <c r="M97">
        <v>1</v>
      </c>
    </row>
    <row r="98" spans="1:13" x14ac:dyDescent="0.25">
      <c r="A98" s="2">
        <v>46283</v>
      </c>
      <c r="B98" s="1" t="str">
        <f ca="1">IF(Información1[[#This Row],[Fecha]]='Ajuste de fechas'!$A$2,"Día actual","Día anterior")</f>
        <v>Día actual</v>
      </c>
      <c r="C98" t="s">
        <v>51</v>
      </c>
      <c r="D98" t="s">
        <v>52</v>
      </c>
      <c r="E98" t="s">
        <v>212</v>
      </c>
      <c r="F98" t="s">
        <v>18</v>
      </c>
      <c r="G98" t="s">
        <v>68</v>
      </c>
      <c r="H98" t="s">
        <v>46</v>
      </c>
      <c r="I98" t="s">
        <v>7</v>
      </c>
      <c r="J98" t="s">
        <v>35</v>
      </c>
      <c r="K98" t="s">
        <v>53</v>
      </c>
      <c r="L98" t="s">
        <v>31</v>
      </c>
      <c r="M98">
        <v>1</v>
      </c>
    </row>
    <row r="99" spans="1:13" x14ac:dyDescent="0.25">
      <c r="A99" s="2">
        <v>46283</v>
      </c>
      <c r="B99" s="1" t="str">
        <f ca="1">IF(Información1[[#This Row],[Fecha]]='Ajuste de fechas'!$A$2,"Día actual","Día anterior")</f>
        <v>Día actual</v>
      </c>
      <c r="C99" t="s">
        <v>51</v>
      </c>
      <c r="D99" t="s">
        <v>52</v>
      </c>
      <c r="E99" t="s">
        <v>213</v>
      </c>
      <c r="F99" t="s">
        <v>214</v>
      </c>
      <c r="G99" t="s">
        <v>215</v>
      </c>
      <c r="H99" t="s">
        <v>46</v>
      </c>
      <c r="I99" t="s">
        <v>7</v>
      </c>
      <c r="J99" t="s">
        <v>30</v>
      </c>
      <c r="K99" t="s">
        <v>53</v>
      </c>
      <c r="L99" t="s">
        <v>31</v>
      </c>
      <c r="M99">
        <v>1</v>
      </c>
    </row>
    <row r="100" spans="1:13" x14ac:dyDescent="0.25">
      <c r="A100" s="2">
        <v>46283</v>
      </c>
      <c r="B100" s="1" t="str">
        <f ca="1">IF(Información1[[#This Row],[Fecha]]='Ajuste de fechas'!$A$2,"Día actual","Día anterior")</f>
        <v>Día actual</v>
      </c>
      <c r="C100" t="s">
        <v>51</v>
      </c>
      <c r="D100" t="s">
        <v>52</v>
      </c>
      <c r="E100" t="s">
        <v>216</v>
      </c>
      <c r="F100" t="s">
        <v>22</v>
      </c>
      <c r="G100" t="s">
        <v>177</v>
      </c>
      <c r="H100" t="s">
        <v>46</v>
      </c>
      <c r="I100" t="s">
        <v>7</v>
      </c>
      <c r="J100" t="s">
        <v>30</v>
      </c>
      <c r="K100" t="s">
        <v>53</v>
      </c>
      <c r="L100" t="s">
        <v>31</v>
      </c>
      <c r="M100">
        <v>1</v>
      </c>
    </row>
    <row r="101" spans="1:13" x14ac:dyDescent="0.25">
      <c r="A101" s="2">
        <v>46283</v>
      </c>
      <c r="B101" s="1" t="str">
        <f ca="1">IF(Información1[[#This Row],[Fecha]]='Ajuste de fechas'!$A$2,"Día actual","Día anterior")</f>
        <v>Día actual</v>
      </c>
      <c r="C101" t="s">
        <v>8</v>
      </c>
      <c r="D101" t="s">
        <v>9</v>
      </c>
      <c r="E101" t="s">
        <v>217</v>
      </c>
      <c r="F101" t="s">
        <v>15</v>
      </c>
      <c r="G101" t="s">
        <v>159</v>
      </c>
      <c r="H101" t="s">
        <v>46</v>
      </c>
      <c r="I101" t="s">
        <v>21</v>
      </c>
      <c r="J101" t="s">
        <v>34</v>
      </c>
      <c r="K101" t="s">
        <v>218</v>
      </c>
      <c r="L101" t="s">
        <v>32</v>
      </c>
      <c r="M101">
        <v>1</v>
      </c>
    </row>
    <row r="102" spans="1:13" x14ac:dyDescent="0.25">
      <c r="A102" s="2">
        <v>46283</v>
      </c>
      <c r="B102" s="1" t="str">
        <f ca="1">IF(Información1[[#This Row],[Fecha]]='Ajuste de fechas'!$A$2,"Día actual","Día anterior")</f>
        <v>Día actual</v>
      </c>
      <c r="C102" t="s">
        <v>8</v>
      </c>
      <c r="D102" t="s">
        <v>9</v>
      </c>
      <c r="E102" t="s">
        <v>219</v>
      </c>
      <c r="F102" t="s">
        <v>6</v>
      </c>
      <c r="G102" t="s">
        <v>59</v>
      </c>
      <c r="H102" t="s">
        <v>46</v>
      </c>
      <c r="I102" t="s">
        <v>21</v>
      </c>
      <c r="J102" t="s">
        <v>30</v>
      </c>
      <c r="K102" t="s">
        <v>218</v>
      </c>
      <c r="L102" t="s">
        <v>32</v>
      </c>
      <c r="M102">
        <v>1</v>
      </c>
    </row>
    <row r="103" spans="1:13" x14ac:dyDescent="0.25">
      <c r="A103" s="2">
        <v>46283</v>
      </c>
      <c r="B103" s="1" t="str">
        <f ca="1">IF(Información1[[#This Row],[Fecha]]='Ajuste de fechas'!$A$2,"Día actual","Día anterior")</f>
        <v>Día actual</v>
      </c>
      <c r="C103" t="s">
        <v>8</v>
      </c>
      <c r="D103" t="s">
        <v>9</v>
      </c>
      <c r="E103" t="s">
        <v>220</v>
      </c>
      <c r="F103" t="s">
        <v>6</v>
      </c>
      <c r="G103" t="s">
        <v>44</v>
      </c>
      <c r="H103" t="s">
        <v>46</v>
      </c>
      <c r="I103" t="s">
        <v>21</v>
      </c>
      <c r="J103" t="s">
        <v>30</v>
      </c>
      <c r="K103" t="s">
        <v>218</v>
      </c>
      <c r="L103" t="s">
        <v>32</v>
      </c>
      <c r="M103">
        <v>1</v>
      </c>
    </row>
    <row r="104" spans="1:13" x14ac:dyDescent="0.25">
      <c r="A104" s="2">
        <v>46283</v>
      </c>
      <c r="B104" s="1" t="str">
        <f ca="1">IF(Información1[[#This Row],[Fecha]]='Ajuste de fechas'!$A$2,"Día actual","Día anterior")</f>
        <v>Día actual</v>
      </c>
      <c r="C104" t="s">
        <v>8</v>
      </c>
      <c r="D104" t="s">
        <v>9</v>
      </c>
      <c r="E104" t="s">
        <v>221</v>
      </c>
      <c r="F104" t="s">
        <v>6</v>
      </c>
      <c r="G104" t="s">
        <v>44</v>
      </c>
      <c r="H104" t="s">
        <v>46</v>
      </c>
      <c r="I104" t="s">
        <v>21</v>
      </c>
      <c r="J104" t="s">
        <v>30</v>
      </c>
      <c r="K104" t="s">
        <v>218</v>
      </c>
      <c r="L104" t="s">
        <v>32</v>
      </c>
      <c r="M104">
        <v>1</v>
      </c>
    </row>
    <row r="105" spans="1:13" x14ac:dyDescent="0.25">
      <c r="A105" s="2">
        <v>46283</v>
      </c>
      <c r="B105" s="1" t="str">
        <f ca="1">IF(Información1[[#This Row],[Fecha]]='Ajuste de fechas'!$A$2,"Día actual","Día anterior")</f>
        <v>Día actual</v>
      </c>
      <c r="C105" t="s">
        <v>8</v>
      </c>
      <c r="D105" t="s">
        <v>9</v>
      </c>
      <c r="E105" t="s">
        <v>222</v>
      </c>
      <c r="F105" t="s">
        <v>6</v>
      </c>
      <c r="G105" t="s">
        <v>44</v>
      </c>
      <c r="H105" t="s">
        <v>46</v>
      </c>
      <c r="I105" t="s">
        <v>10</v>
      </c>
      <c r="J105" t="s">
        <v>30</v>
      </c>
      <c r="K105" t="s">
        <v>218</v>
      </c>
      <c r="L105" t="s">
        <v>32</v>
      </c>
      <c r="M105">
        <v>1</v>
      </c>
    </row>
    <row r="106" spans="1:13" x14ac:dyDescent="0.25">
      <c r="A106" s="2">
        <v>46283</v>
      </c>
      <c r="B106" s="1" t="str">
        <f ca="1">IF(Información1[[#This Row],[Fecha]]='Ajuste de fechas'!$A$2,"Día actual","Día anterior")</f>
        <v>Día actual</v>
      </c>
      <c r="C106" t="s">
        <v>8</v>
      </c>
      <c r="D106" t="s">
        <v>9</v>
      </c>
      <c r="E106" t="s">
        <v>223</v>
      </c>
      <c r="F106" t="s">
        <v>18</v>
      </c>
      <c r="G106" t="s">
        <v>88</v>
      </c>
      <c r="H106" t="s">
        <v>46</v>
      </c>
      <c r="I106" t="s">
        <v>7</v>
      </c>
      <c r="J106" t="s">
        <v>35</v>
      </c>
      <c r="K106" t="s">
        <v>11</v>
      </c>
      <c r="L106" t="s">
        <v>32</v>
      </c>
      <c r="M106">
        <v>1</v>
      </c>
    </row>
    <row r="107" spans="1:13" x14ac:dyDescent="0.25">
      <c r="A107" s="2">
        <v>46283</v>
      </c>
      <c r="B107" s="1" t="str">
        <f ca="1">IF(Información1[[#This Row],[Fecha]]='Ajuste de fechas'!$A$2,"Día actual","Día anterior")</f>
        <v>Día actual</v>
      </c>
      <c r="C107" t="s">
        <v>8</v>
      </c>
      <c r="D107" t="s">
        <v>9</v>
      </c>
      <c r="E107" t="s">
        <v>224</v>
      </c>
      <c r="F107" t="s">
        <v>15</v>
      </c>
      <c r="G107" t="s">
        <v>79</v>
      </c>
      <c r="H107" t="s">
        <v>46</v>
      </c>
      <c r="I107" t="s">
        <v>7</v>
      </c>
      <c r="J107" t="s">
        <v>34</v>
      </c>
      <c r="K107" t="s">
        <v>11</v>
      </c>
      <c r="L107" t="s">
        <v>31</v>
      </c>
      <c r="M107">
        <v>1</v>
      </c>
    </row>
    <row r="108" spans="1:13" x14ac:dyDescent="0.25">
      <c r="A108" s="2">
        <v>46283</v>
      </c>
      <c r="B108" s="1" t="str">
        <f ca="1">IF(Información1[[#This Row],[Fecha]]='Ajuste de fechas'!$A$2,"Día actual","Día anterior")</f>
        <v>Día actual</v>
      </c>
      <c r="C108" t="s">
        <v>8</v>
      </c>
      <c r="D108" t="s">
        <v>9</v>
      </c>
      <c r="E108" t="s">
        <v>225</v>
      </c>
      <c r="F108" t="s">
        <v>60</v>
      </c>
      <c r="G108" t="s">
        <v>77</v>
      </c>
      <c r="H108" t="s">
        <v>46</v>
      </c>
      <c r="I108" t="s">
        <v>7</v>
      </c>
      <c r="J108" t="s">
        <v>30</v>
      </c>
      <c r="K108" t="s">
        <v>11</v>
      </c>
      <c r="L108" t="s">
        <v>33</v>
      </c>
      <c r="M108">
        <v>1</v>
      </c>
    </row>
    <row r="109" spans="1:13" x14ac:dyDescent="0.25">
      <c r="A109" s="2">
        <v>46283</v>
      </c>
      <c r="B109" s="1" t="str">
        <f ca="1">IF(Información1[[#This Row],[Fecha]]='Ajuste de fechas'!$A$2,"Día actual","Día anterior")</f>
        <v>Día actual</v>
      </c>
      <c r="C109" t="s">
        <v>8</v>
      </c>
      <c r="D109" t="s">
        <v>9</v>
      </c>
      <c r="E109" t="s">
        <v>226</v>
      </c>
      <c r="F109" t="s">
        <v>42</v>
      </c>
      <c r="G109" t="s">
        <v>97</v>
      </c>
      <c r="H109" t="s">
        <v>46</v>
      </c>
      <c r="I109" t="s">
        <v>7</v>
      </c>
      <c r="J109" t="s">
        <v>30</v>
      </c>
      <c r="K109" t="s">
        <v>11</v>
      </c>
      <c r="L109" t="s">
        <v>33</v>
      </c>
      <c r="M109">
        <v>1</v>
      </c>
    </row>
    <row r="110" spans="1:13" x14ac:dyDescent="0.25">
      <c r="A110" s="2">
        <v>46283</v>
      </c>
      <c r="B110" s="1" t="str">
        <f ca="1">IF(Información1[[#This Row],[Fecha]]='Ajuste de fechas'!$A$2,"Día actual","Día anterior")</f>
        <v>Día actual</v>
      </c>
      <c r="C110" t="s">
        <v>8</v>
      </c>
      <c r="D110" t="s">
        <v>9</v>
      </c>
      <c r="E110" t="s">
        <v>227</v>
      </c>
      <c r="F110" t="s">
        <v>54</v>
      </c>
      <c r="G110" t="s">
        <v>143</v>
      </c>
      <c r="H110" t="s">
        <v>46</v>
      </c>
      <c r="I110" t="s">
        <v>7</v>
      </c>
      <c r="J110" t="s">
        <v>30</v>
      </c>
      <c r="K110" t="s">
        <v>11</v>
      </c>
      <c r="L110" t="s">
        <v>31</v>
      </c>
      <c r="M110">
        <v>1</v>
      </c>
    </row>
    <row r="111" spans="1:13" x14ac:dyDescent="0.25">
      <c r="A111" s="2">
        <v>46283</v>
      </c>
      <c r="B111" s="1" t="str">
        <f ca="1">IF(Información1[[#This Row],[Fecha]]='Ajuste de fechas'!$A$2,"Día actual","Día anterior")</f>
        <v>Día actual</v>
      </c>
      <c r="C111" t="s">
        <v>8</v>
      </c>
      <c r="D111" t="s">
        <v>9</v>
      </c>
      <c r="E111" t="s">
        <v>228</v>
      </c>
      <c r="F111" t="s">
        <v>15</v>
      </c>
      <c r="G111" t="s">
        <v>229</v>
      </c>
      <c r="H111" t="s">
        <v>46</v>
      </c>
      <c r="I111" t="s">
        <v>7</v>
      </c>
      <c r="J111" t="s">
        <v>34</v>
      </c>
      <c r="K111" t="s">
        <v>11</v>
      </c>
      <c r="L111" t="s">
        <v>31</v>
      </c>
      <c r="M111">
        <v>1</v>
      </c>
    </row>
    <row r="112" spans="1:13" x14ac:dyDescent="0.25">
      <c r="A112" s="2">
        <v>46283</v>
      </c>
      <c r="B112" s="1" t="str">
        <f ca="1">IF(Información1[[#This Row],[Fecha]]='Ajuste de fechas'!$A$2,"Día actual","Día anterior")</f>
        <v>Día actual</v>
      </c>
      <c r="C112" t="s">
        <v>8</v>
      </c>
      <c r="D112" t="s">
        <v>9</v>
      </c>
      <c r="E112" t="s">
        <v>230</v>
      </c>
      <c r="F112" t="s">
        <v>18</v>
      </c>
      <c r="G112" t="s">
        <v>231</v>
      </c>
      <c r="H112" t="s">
        <v>46</v>
      </c>
      <c r="I112" t="s">
        <v>7</v>
      </c>
      <c r="J112" t="s">
        <v>35</v>
      </c>
      <c r="K112" t="s">
        <v>11</v>
      </c>
      <c r="L112" t="s">
        <v>31</v>
      </c>
      <c r="M112">
        <v>1</v>
      </c>
    </row>
    <row r="113" spans="1:13" x14ac:dyDescent="0.25">
      <c r="A113" s="2">
        <v>46283</v>
      </c>
      <c r="B113" s="1" t="str">
        <f ca="1">IF(Información1[[#This Row],[Fecha]]='Ajuste de fechas'!$A$2,"Día actual","Día anterior")</f>
        <v>Día actual</v>
      </c>
      <c r="C113" t="s">
        <v>8</v>
      </c>
      <c r="D113" t="s">
        <v>9</v>
      </c>
      <c r="E113" t="s">
        <v>16</v>
      </c>
      <c r="F113" t="s">
        <v>15</v>
      </c>
      <c r="G113" t="s">
        <v>23</v>
      </c>
      <c r="H113" t="s">
        <v>46</v>
      </c>
      <c r="I113" t="s">
        <v>7</v>
      </c>
      <c r="J113" t="s">
        <v>34</v>
      </c>
      <c r="K113" t="s">
        <v>11</v>
      </c>
      <c r="L113" t="s">
        <v>32</v>
      </c>
      <c r="M113">
        <v>1</v>
      </c>
    </row>
    <row r="114" spans="1:13" x14ac:dyDescent="0.25">
      <c r="A114" s="2">
        <v>46283</v>
      </c>
      <c r="B114" s="1" t="str">
        <f ca="1">IF(Información1[[#This Row],[Fecha]]='Ajuste de fechas'!$A$2,"Día actual","Día anterior")</f>
        <v>Día actual</v>
      </c>
      <c r="C114" t="s">
        <v>8</v>
      </c>
      <c r="D114" t="s">
        <v>9</v>
      </c>
      <c r="E114" t="s">
        <v>14</v>
      </c>
      <c r="F114" t="s">
        <v>15</v>
      </c>
      <c r="G114" t="s">
        <v>23</v>
      </c>
      <c r="H114" t="s">
        <v>46</v>
      </c>
      <c r="I114" t="s">
        <v>7</v>
      </c>
      <c r="J114" t="s">
        <v>34</v>
      </c>
      <c r="K114" t="s">
        <v>11</v>
      </c>
      <c r="L114" t="s">
        <v>32</v>
      </c>
      <c r="M114">
        <v>1</v>
      </c>
    </row>
    <row r="115" spans="1:13" x14ac:dyDescent="0.25">
      <c r="A115" s="2">
        <v>46283</v>
      </c>
      <c r="B115" s="1" t="str">
        <f ca="1">IF(Información1[[#This Row],[Fecha]]='Ajuste de fechas'!$A$2,"Día actual","Día anterior")</f>
        <v>Día actual</v>
      </c>
      <c r="C115" t="s">
        <v>8</v>
      </c>
      <c r="D115" t="s">
        <v>9</v>
      </c>
      <c r="E115" t="s">
        <v>41</v>
      </c>
      <c r="F115" t="s">
        <v>39</v>
      </c>
      <c r="G115" t="s">
        <v>23</v>
      </c>
      <c r="H115" t="s">
        <v>46</v>
      </c>
      <c r="I115" t="s">
        <v>7</v>
      </c>
      <c r="J115" t="s">
        <v>20</v>
      </c>
      <c r="K115" t="s">
        <v>11</v>
      </c>
      <c r="L115" t="s">
        <v>32</v>
      </c>
      <c r="M115">
        <v>1</v>
      </c>
    </row>
    <row r="116" spans="1:13" x14ac:dyDescent="0.25">
      <c r="A116" s="2">
        <v>46283</v>
      </c>
      <c r="B116" s="1" t="str">
        <f ca="1">IF(Información1[[#This Row],[Fecha]]='Ajuste de fechas'!$A$2,"Día actual","Día anterior")</f>
        <v>Día actual</v>
      </c>
      <c r="C116" t="s">
        <v>8</v>
      </c>
      <c r="D116" t="s">
        <v>9</v>
      </c>
      <c r="E116" t="s">
        <v>43</v>
      </c>
      <c r="F116" t="s">
        <v>42</v>
      </c>
      <c r="G116" t="s">
        <v>23</v>
      </c>
      <c r="H116" t="s">
        <v>46</v>
      </c>
      <c r="I116" t="s">
        <v>7</v>
      </c>
      <c r="J116" t="s">
        <v>30</v>
      </c>
      <c r="K116" t="s">
        <v>11</v>
      </c>
      <c r="L116" t="s">
        <v>32</v>
      </c>
      <c r="M116">
        <v>1</v>
      </c>
    </row>
    <row r="117" spans="1:13" x14ac:dyDescent="0.25">
      <c r="A117" s="2">
        <v>46283</v>
      </c>
      <c r="B117" s="1" t="str">
        <f ca="1">IF(Información1[[#This Row],[Fecha]]='Ajuste de fechas'!$A$2,"Día actual","Día anterior")</f>
        <v>Día actual</v>
      </c>
      <c r="C117" t="s">
        <v>8</v>
      </c>
      <c r="D117" t="s">
        <v>9</v>
      </c>
      <c r="E117" t="s">
        <v>12</v>
      </c>
      <c r="F117" t="s">
        <v>13</v>
      </c>
      <c r="G117" t="s">
        <v>23</v>
      </c>
      <c r="H117" t="s">
        <v>46</v>
      </c>
      <c r="I117" t="s">
        <v>7</v>
      </c>
      <c r="J117" t="s">
        <v>30</v>
      </c>
      <c r="K117" t="s">
        <v>11</v>
      </c>
      <c r="L117" t="s">
        <v>32</v>
      </c>
      <c r="M117">
        <v>1</v>
      </c>
    </row>
    <row r="118" spans="1:13" x14ac:dyDescent="0.25">
      <c r="A118" s="2">
        <v>46283</v>
      </c>
      <c r="B118" s="1" t="str">
        <f ca="1">IF(Información1[[#This Row],[Fecha]]='Ajuste de fechas'!$A$2,"Día actual","Día anterior")</f>
        <v>Día actual</v>
      </c>
      <c r="C118" t="s">
        <v>8</v>
      </c>
      <c r="D118" t="s">
        <v>9</v>
      </c>
      <c r="E118" t="s">
        <v>74</v>
      </c>
      <c r="F118" t="s">
        <v>6</v>
      </c>
      <c r="G118" t="s">
        <v>23</v>
      </c>
      <c r="H118" t="s">
        <v>46</v>
      </c>
      <c r="I118" t="s">
        <v>7</v>
      </c>
      <c r="J118" t="s">
        <v>30</v>
      </c>
      <c r="K118" t="s">
        <v>11</v>
      </c>
      <c r="L118" t="s">
        <v>32</v>
      </c>
      <c r="M118">
        <v>1</v>
      </c>
    </row>
    <row r="119" spans="1:13" x14ac:dyDescent="0.25">
      <c r="A119" s="2">
        <v>46282</v>
      </c>
      <c r="B119" s="1" t="str">
        <f ca="1">IF(Información1[[#This Row],[Fecha]]='Ajuste de fechas'!$A$2,"Día actual","Día anterior")</f>
        <v>Día anterior</v>
      </c>
      <c r="C119" t="s">
        <v>190</v>
      </c>
      <c r="D119" t="s">
        <v>191</v>
      </c>
      <c r="E119" t="s">
        <v>232</v>
      </c>
      <c r="F119" t="s">
        <v>22</v>
      </c>
      <c r="G119" t="s">
        <v>64</v>
      </c>
      <c r="H119" t="s">
        <v>46</v>
      </c>
      <c r="I119" t="s">
        <v>7</v>
      </c>
      <c r="J119" t="s">
        <v>30</v>
      </c>
      <c r="K119" t="s">
        <v>193</v>
      </c>
      <c r="L119" t="s">
        <v>31</v>
      </c>
      <c r="M11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37</v>
      </c>
      <c r="B1" t="s">
        <v>38</v>
      </c>
    </row>
    <row r="2" spans="1:2" x14ac:dyDescent="0.25">
      <c r="A2" s="2">
        <f ca="1">TODAY()</f>
        <v>46283</v>
      </c>
      <c r="B2" s="2">
        <f ca="1">A2-1</f>
        <v>46282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2026-09-18T22:53:15Z</dcterms:modified>
</cp:coreProperties>
</file>