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56BE6F2E-C60A-4BDE-BFC3-46FF7B5D017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75" i="2"/>
  <c r="B115" i="2"/>
  <c r="B118" i="2"/>
  <c r="B121" i="2"/>
  <c r="B124" i="2"/>
  <c r="B126" i="2"/>
  <c r="B129" i="2"/>
  <c r="B131" i="2"/>
  <c r="B134" i="2"/>
  <c r="B137" i="2"/>
  <c r="B140" i="2"/>
  <c r="B143" i="2"/>
  <c r="B145" i="2"/>
  <c r="B14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116" i="2"/>
  <c r="B119" i="2"/>
  <c r="B123" i="2"/>
  <c r="B127" i="2"/>
  <c r="B132" i="2"/>
  <c r="B135" i="2"/>
  <c r="B138" i="2"/>
  <c r="B141" i="2"/>
  <c r="B147"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7" i="2"/>
  <c r="B120" i="2"/>
  <c r="B122" i="2"/>
  <c r="B125" i="2"/>
  <c r="B128" i="2"/>
  <c r="B130" i="2"/>
  <c r="B133" i="2"/>
  <c r="B136" i="2"/>
  <c r="B139" i="2"/>
  <c r="B142" i="2"/>
  <c r="B144" i="2"/>
  <c r="B146" i="2"/>
  <c r="B14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<sst xmlns="http://schemas.openxmlformats.org/spreadsheetml/2006/main" count="1495" uniqueCount="294">
  <si>
    <t>Fecha</t>
  </si>
  <si>
    <t>Titular</t>
  </si>
  <si>
    <t>Dependencia</t>
  </si>
  <si>
    <t>Canal</t>
  </si>
  <si>
    <t>Tema</t>
  </si>
  <si>
    <t>Estatus</t>
  </si>
  <si>
    <t>Sipdus</t>
  </si>
  <si>
    <t>Informativa</t>
  </si>
  <si>
    <t>Acir 92.5 FM</t>
  </si>
  <si>
    <t>Positiva</t>
  </si>
  <si>
    <t>Eulalio Larrieta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</si>
  <si>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</si>
  <si>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</si>
  <si>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</si>
  <si>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</si>
  <si>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</si>
  <si>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</si>
  <si>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</si>
  <si>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</si>
  <si>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</si>
  <si>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</si>
  <si>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</si>
  <si>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</si>
  <si>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</si>
  <si>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</si>
  <si>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</si>
  <si>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</si>
  <si>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</si>
  <si>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</si>
  <si>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</si>
  <si>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</si>
  <si>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</si>
  <si>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</si>
  <si>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</si>
  <si>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</si>
  <si>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</si>
  <si>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</si>
  <si>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</si>
  <si>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</si>
  <si>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</si>
  <si>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</si>
  <si>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</si>
  <si>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</si>
  <si>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TV LOCAL</t>
  </si>
  <si>
    <t>Aldo Falcón</t>
  </si>
  <si>
    <t>Andrés Torres</t>
  </si>
  <si>
    <t>Ultra 102.9 FM</t>
  </si>
  <si>
    <t>Ultra Noticias1</t>
  </si>
  <si>
    <t>Daniel Martínez</t>
  </si>
  <si>
    <t>Abasto de agua</t>
  </si>
  <si>
    <t>Atención Ciudadana</t>
  </si>
  <si>
    <t>Eulalio Larrieta agradece Paola García y Lic. Sarahi Pineda, por estar atentas a los mensajes de la ciudadanía y por atenderlos.</t>
  </si>
  <si>
    <t>Localización de cuerpo</t>
  </si>
  <si>
    <t>SSPH</t>
  </si>
  <si>
    <t>Súper Stéreo 100.5 FM</t>
  </si>
  <si>
    <t>Eulalio Larrieta agradece a Cristian Yahir Castañeda supervisor de la región Pachuca quien nos va atender los reportes que correspondan a la SEMOT</t>
  </si>
  <si>
    <t>Radiodifusoras</t>
  </si>
  <si>
    <t>Comparecencias</t>
  </si>
  <si>
    <t>Cultura</t>
  </si>
  <si>
    <t>Contraloría</t>
  </si>
  <si>
    <t>Eulalio Larrieta agradece a Jair Martínez de la SEGOBH, porque esta al pendiente de lo que se necesite y los reportes.</t>
  </si>
  <si>
    <t>Saderh</t>
  </si>
  <si>
    <t>Planeación</t>
  </si>
  <si>
    <t>Enfoque Regional Matutino</t>
  </si>
  <si>
    <t>Christian García</t>
  </si>
  <si>
    <t>Vacunación</t>
  </si>
  <si>
    <t>Izza Hernández</t>
  </si>
  <si>
    <t>Mesas de acercamiento</t>
  </si>
  <si>
    <t>Fuga De Agua</t>
  </si>
  <si>
    <t>Panorama Informativo</t>
  </si>
  <si>
    <t>Jessenia Romero</t>
  </si>
  <si>
    <t>Muy negativo</t>
  </si>
  <si>
    <t>Ayuntamiento</t>
  </si>
  <si>
    <t>Alcaldías</t>
  </si>
  <si>
    <t>Otros</t>
  </si>
  <si>
    <t>Congreso</t>
  </si>
  <si>
    <t>Delegación</t>
  </si>
  <si>
    <t>Vía telefónica el reporte de Bombero y Protección Civil con Abner Yáñez informa de las diversas emergencias reportadas por la ciudadanía y que fueron atendidas.</t>
  </si>
  <si>
    <t>Auxilio a la ciudadanía</t>
  </si>
  <si>
    <t>Abner Yáñez</t>
  </si>
  <si>
    <t>Participación</t>
  </si>
  <si>
    <t>Presidencia</t>
  </si>
  <si>
    <t>Deficiencias hospitalarias</t>
  </si>
  <si>
    <t>Presidencia de la República</t>
  </si>
  <si>
    <t>Morena</t>
  </si>
  <si>
    <t>Partidos</t>
  </si>
  <si>
    <t>DIFH</t>
  </si>
  <si>
    <t>Informe DIFH</t>
  </si>
  <si>
    <t>Gobernador</t>
  </si>
  <si>
    <t>Protesta sindical</t>
  </si>
  <si>
    <t>Irving Sánchez</t>
  </si>
  <si>
    <t>TSJEH</t>
  </si>
  <si>
    <t>Proceso Por Feminicidio</t>
  </si>
  <si>
    <t>Eulalio Larrieta informa que Jorge Hernández del ayuntamiento de Pachuca, esta al pendiente de todos los reportes de la ciudadania del Municipio de Pachuca</t>
  </si>
  <si>
    <t>Eulalio Larrieta agradece a Carlos Gamiño por estar al pendiente de temas.</t>
  </si>
  <si>
    <t>Durante la séptima sesión extraordinaria de la Junta de Gobierno de la Comisión de Agua y Alcantarillado de Tulancingo (CAAMT), celebrada un jueves, se aprobó la designación de Rubén San Juan Galindo como nuevo encargado de la Dirección General del organismo. La toma de protesta estuvo a cargo del secretario general municipal, Edmundo Aguilar Aranda, en representación de la presidenta municipal Lorena García Cázares. San Juan Galindo cuenta con una trayectoria en la CAAMT desde 1997, habiéndose desempeñado en diversos puestos técnicos y directivos a lo largo de su carrera.</t>
  </si>
  <si>
    <t>Nombramientos</t>
  </si>
  <si>
    <t>La presidenta Claudia Sheinbaum Pardo hizo un llamado a la población a mantenerse atenta a las indicaciones de Protección Civil por el huracán Trudy, que podría alcanzar la categoría 4 y se acercará a 65 kilómetros de las costas de Colima y Jalisco durante este fin de semana. Desde Palacio Nacional, en su conferencia de prensa matutina, la jefa del Ejecutivo, también previno a la población ante el frente frío número 2 en el Golfo de México, el cual provocará lluvias intensas en Michoacán, Oaxaca, Guerrero, San Luis Potosí, Querétaro, Puebla, Hidalgo, Veracruz, Tabasco, Quintana Roo y Yucatán.</t>
  </si>
  <si>
    <t>Alerta Meteorológica</t>
  </si>
  <si>
    <t>Durante su comparecencia ante el Congreso del Estado en el marco del análisis del cuarto informe de gobierno, el titular de la Secretaría de Agricultura y Desarrollo Rural (SADERH), Napoleón González Pérez, destacó una inversión histórica de 721 millones de pesos destinada al campo durante 2026, beneficiando a más de 487,900 familias rurales. El funcionario subrayó los avances en programas de acompañamiento técnico, mecanización con la adquisición de tractores, certificación de 123 unidades de producción en inocuidad por el Senasica, y la atención fitosanitaria frente a problemáticas como el gusano barrenador. Asimismo, resaltó la asignación de más de 403.8 millones de pesos en infraestructura hidroagrícola para optimizar el aprovechamiento del agua en el estado.</t>
  </si>
  <si>
    <t>Durante la presentación de su cuarto informe de actividades, la presidenta del Patronato del Sistema DIF Hidalgo, Edda Vite Ramos, destacó las acciones implementadas tras la suspensión del ejercicio anterior debido a la vaguada monzónica. Entre los logros resaltados se encuentran la entrega de despensas y cobijos mediante puentes aéreos, la incorporación del modelo Nacional Pilares con 113 centros activos, la entrega de becas a 2,968 usuarios con una inversión de 6,015,000 pesos, y la restitución del derecho a vivir en familia a 61 niñas, niños y adolescentes mediante adopciones agilizadas en coordinación con el Poder Judicial del Estado. Asimismo, subrayó el trabajo coordinado con el Congreso del Estado para la creación de Procuradurías Municipales de protección a la infancia.</t>
  </si>
  <si>
    <t>Continuamos en la información en este inicio de fin de semana Edda Vite Ramos, presidenta del Patronato del Sistema DIF Hidalgo, presentó su cuarto informe de actividades. El acto contó con la presencia de Edda Vite Ramos, titular del Sistema Nacional DIF; el gobernador Julio Menchaca Salazar, a quienes Edda Vite agradeció su respaldo y colaboración. Este ejercicio de transparencia se ha realizado luego de que fue interrumpido en 2025 debido a las labores de apoyo brindadas por el organismo ante la emergencia ocasionada por la vaguada monzónica. Rosa María tiene la información. Durante su cuarto informe de actividades, la presidenta del Patronato del DIF Hidalgo, Edda Vite Ramos, informó sobre los proyectos que llevarán a cabo para el cierre de la actual administración, en donde destacó la rehabilitación y creación de nuevos espacios. Detalló que este año entrará en funcionamiento la nueva Casa Cuna, en donde fue rehabilitado el primer piso, se construyó el segundo piso y se invirtió en equipamiento; asimismo, fue remodelada totalmente la Casa del Niño y del Adolescente. Antes de concluir esta administración, precisó que se construirá el nuevo taller de órtesis y prótesis, así como tres bodegas. De igual manera, se ampliarán diferentes áreas del Centro de Rehabilitación Regional de Ixmiquilpan. Se construirán dos centros de atención infantil, uno en la colonia Matilde y otro en San Bartolo, en el municipio de Pachuca. Además, se construirá un edificio para incrementar los ingresos para seguir apoyando la asistencia social, aunque no brindó detalles de este proyecto. Por otra parte, subrayó que identificaron la necesidad de reformar la Ley de Asistencia Social con el fin de que niños, niñas y adolescentes se vieran protegidos, por lo que presentó al Congreso la reforma de la ley en octubre de 2025, que permite que las unidades de primer contacto de 51 municipios transiten a Procuraduría Municipal para atender la niñez y la adolescencia cuando sus derechos hayan sido violentados.</t>
  </si>
  <si>
    <t>SEPH reúne 5 mil 932 ejemplares en la cuarta edición del Kilómetro del Libro</t>
  </si>
  <si>
    <t>Fomento A La Lectura</t>
  </si>
  <si>
    <t>La Comisión Nacional del Agua (Conagua), a través del Servicio Meteorológico Nacional (SMN), advirtió sobre un escenario de lluvias intensas en distintas regiones de México ante la evolución del huracán Trudy y los efectos del frente frío número 2. El pronóstico contempla precipitaciones torrenciales, rachas de viento y oleaje elevado, principalmente en las costas del Pacífico y la región de la Huasteca.</t>
  </si>
  <si>
    <t>La notaria número uno de Tulancingo, Maricela Marín Conquit, destacó en entrevista la importancia de elaborar un testamento, recordando que este trámite no es exclusivo de personas de la tercera edad, sino de cualquier adulto que posea bienes o dependientes económicos. Explicó que el testamento es personalísimo y se realiza ante un notario público, quedando registrado a nivel nacional. Asimismo, detalló las diferencias entre herederos universales y legatarios, las funciones de un albacea y la importancia de nombrar tutores en caso de tener hijos menores, señalando que las asesorías continúan abiertas más allá del "Mes del Testamento".</t>
  </si>
  <si>
    <t>Testamento</t>
  </si>
  <si>
    <t>La fiscalía general de la República (FGR), a través de la Fiscalía Especializada de Control Regional en Hidalgo, ejecutó una técnica de cateo en un inmueble localizado en la localidad de Segundas Lajas, municipio de Singuilucan. El operativo derivó de una denuncia por delitos contra la salud en la modalidad de posesión con fines de comercio. Como resultado, las autoridades aseguraron diversos narcóticos —incluyendo cápsulas y tabletas de psicotrópicos, metilfenidato y cocaína—, además de dinero, una báscula, teléfonos celulares, y detuvieron a tres personas que fueron puestas a disposición de la representación social federal.</t>
  </si>
  <si>
    <t>Justa Deportiva</t>
  </si>
  <si>
    <t>Combate Al Narcomenudeo</t>
  </si>
  <si>
    <t>Mediante enlace telefónico a través del notimóvil, Rene Aguilar informó sobre un conductor que sufrió una salida de carretera alrededor de las 4:00 de la mañana en la vía Pachuca-Tulancingo, a la altura de El Sabino con dirección a Tulancingo, tras quedarse dormido al volante. Aunque elementos de la Policía Municipal de Singuilucan y de la Cruz Roja acudieron a valorarlo descartando lesiones graves, el vehículo permaneció varado por horas a la espera de la Guardia Nacional para el peritaje y uso de grúa, debido a que quedó atascado sobre piedras de gran tamaño. Por otra parte, se reportó que ejidatarios de Memila continúan sin llegar a un acuerdo con autoridades federales respecto a la ampliación de la carretera en el tramo del kilómetro 87 al 90.</t>
  </si>
  <si>
    <t>Accidente Carretero</t>
  </si>
  <si>
    <t>Destaca Saderh inversión histórica de 721 mdp para el campo hidalguense</t>
  </si>
  <si>
    <t>SSPH fortalece la seguridad en Hidalgo: más de 26 mil personas detenidas y 7 millones de litros de hidrocarburo incautados</t>
  </si>
  <si>
    <t>Trabajadores del Instituto Mexicano del Seguro Social (IMSS) mantienen protestas y bloqueos en vialidades como la carretera México-Pachuca —a la altura del Hospital Regional número 200 en Tecámac, Estado de México— tras rechazar el incremento salarial de 6.8% ofrecido por la institución y exigir un aumento del 10%. Los inconformes reclaman además mejoras laborales, la destitución del secretario general del sindicato, Rafael Olivos, y solución al desabasto de medicamentos, anunciando nuevas movilizaciones y una marcha nacional para el próximo 21 de octubre. Por su parte, la presidenta Claudia Sheinbaum indicó que el director del IMSS, Zoé Robledo, deberá abrir una mesa de negociación para atender las demandas salariales y laborales de los trabajadores.</t>
  </si>
  <si>
    <t>Miled 97.1 FM</t>
  </si>
  <si>
    <t>Línea En Alta Tensión</t>
  </si>
  <si>
    <t>Vía telefónica notario Pedro Luis Noble Monterrubio, presidente del Colegio de Notarios del Estado de Hidalgo con el tema: Octubre, igual que septiembre, mes del testamento</t>
  </si>
  <si>
    <t>OCSAD</t>
  </si>
  <si>
    <t>María Antonieta Islas</t>
  </si>
  <si>
    <t>Entrevista pautada</t>
  </si>
  <si>
    <t>La Secretaría de Educación Pública de Hidalgo que reunió 5,932 libros durante la cuarta edición del Kilómetro del Libro. Los ejemplares fortalecerán bibliotecas de escuelas públicas de educación básica principalmente en comunidades alejadas y vulnerables. De los libros recaudados, 3,000 fueron donados por la Fundación Elena Poniatowska Amor y 2,932 por personal de distintas áreas de la dependencia. La iniciativa busca acercar la lectura a niñas, niños y jóvenes y apoyar el desarrollo de habilidades como la comprensión lectora y el pensamiento crítico que tanta falta hace hoy en día.</t>
  </si>
  <si>
    <t>La Secretaría de Educación Pública coordina una campaña de vacunación contra la influenza y COVID-19 en escuelas de educación básica de Hidalgo, esto en colaboración con instituciones del sector salud. Los módulos se instalarán en las entradas de los planteles y funcionarán del 12 de octubre al 2 de abril de 2027. La meta es alcanzar el 70% de cobertura al cierre de este año y llegar al 100% al concluir la campaña. En la estrategia participan el ISSSTE, el IMSS-Bienestar, el IMSS-Ordinario, Pemex y los Servicios de Salud de Hidalgo.</t>
  </si>
  <si>
    <t>El cuerpo de una persona fue localizado en una obra en construcción ubicada entre tierras de cultivo en el municipio de Zapotlán de Juárez. De acuerdo con los reportes, estaba entre bloques de concreto y presentaba avanzado estado de descomposición. La identidad de la persona y las causas de su muerte no han sido confirmadas. Como señas de vestimenta, se informó que portaba tenis blancos, pantalón de mezclilla y una sudadera gris. Las autoridades realizarán las investigaciones correspondientes.</t>
  </si>
  <si>
    <t>Estamos ya casi casi terminando, pero déjeme platicarles que la persecución de un tractocamión presuntamente relacionado con el robo de carga terminó con una persona detenida y el aseguramiento de la unidad, así como de dos semirremolques, esto lo informó la Secretaría de Seguridad Pública de Hidalgo.E</t>
  </si>
  <si>
    <t>Combate a la delincuencia</t>
  </si>
  <si>
    <t>Personal de la Unidad de Medicina Familiar número 9 del Instituto Mexicano del Seguro Social en Cruz Azul y del Hospital General de Tula, perteneciente al sistema IMSS-Bienestar, informaron que trabajan bajo protesta debido a diversas inconformidades laborales y carencias en los servicios de salud. En la unidad médica de Cruz Azul fue colocada una lona para informar sobre la protesta, mientras que en el Hospital General de Tula se instalaron pancartas con las demandas de los trabajadores. Siete de la mañana ya con veintiocho minutos.</t>
  </si>
  <si>
    <t>Trabajo bajo protesta</t>
  </si>
  <si>
    <t>Le informamos que la doctora Concepción Carmona Ramos, jefa de Servicios de Atención a la Salud del IMSS-Bienestar Hidalgo, aclaró la situación del abasto de medicamentos e insumos anestésicos en los dieciocho hospitales con los que cuenta Hidalgo.Como todos sabemos hoy, todas las instituciones del sector salud somos ministradas o bien distribuidas por los mismos a través de la Secretaría de Salud Federal y que las compras se hacen justo a través de esta dependencia y en ese sentido, la que corresponde a entrega al estado de Hidalgo para el mes de octubre, justo se nos informó que el próximo viernes estaría generándose esa dotación. Pero reitero, el próximo viernes al estado de Hidalgo estará arribando la distribución, según el informe que nos da nuestro nivel central, de la totalidad de 80.000 dosis correspondientes al mes de octubre, lo cual se le instruirá a hacer esta distribución. El próximo viernes está arribando el insumo al estado de Hidalgo, ya se han salido, que corresponde a todos los dieciocho hospitales del estado y la siguiente semana se estarán entregando a todos los dieciocho hospitales lo que corresponde, como las luchas de urgencia. Pero justo fue uno de los temas que se trató el pasado viernes en donde la presidenta visitara a la entidad y afortunadamente a este corte los hospitales están operando de un abasto promedio del 75 al 80%. Hay hospitales que tienen un abasto mayor, hay hospitales que quizás entre un 70 pero el promedio está en 75 al 80%.</t>
  </si>
  <si>
    <t>Abasto De Medicamentos</t>
  </si>
  <si>
    <t>El secretario de la Contraloría de Hidalgo, Álvaro Bardales Ramírez, confirmó ante el Congreso del Estado que se han detenido a diez presidentes municipales que estaban en funciones por delitos vinculados a hechos de corrupción.Hoy Hidalgo es el primer lugar, desafortunadamente, en denuncias penales por hechos de corrupción. Presentamos cerca de cien denuncias contra quienes, con tolerancia, complicidad, desviaron recursos destinados a obras públicas y servicios esenciales. Se logró la detención de 25 personas, entre ellas un exsecretario, un exoficial mayor y diez presidentes municipales, diez alcaldes que se encontraban en funciones y fue a mitad de su periodo que por hechos de corrupción tuvieron que dejar el cargo que tenían.</t>
  </si>
  <si>
    <t>Y mire, pasando a otra información, la audiencia para definir las sanciones y la reparación del daño por el asesinato de tres mujeres en Santiago Tulantepec, fue reprogramada para el próximo miércoles 21 de octubre. La sesión del 14 de octubre se definió luego de que uno de los sentenciados cambiara de abogado. El nuevo defensor solicitó tiempo para revisar el expediente, incluidas las carpetas de investigación y las grabaciones de 35 audiencias.Familiares y allegados de las víctimas se manifestaron pacíficamente afuera de los juzgados. Exigieron la pena máxima y que los homicidios de Jocelyn y Daniela sean reclasificados como feminicidio, pues el tribunal determinó que no se acreditaron razones de género. En el caso de Guadalupe, hermana de Jocelyn, sí se acreditó feminicidio y aborto forzado.¡Buenas amigas! Y que se haga justicia, no sólo por ella, por todas las mujeres. ¡Que se haga justicia! ¡Que no se aplique esto así! ¡Ni una más! ¡Ni una más!</t>
  </si>
  <si>
    <t>Si su tarjeta del Banco del Bienestar venció, los depósitos de su apoyo continúan, informó el delegado Abraham Mendoza Centeno. En Hidalgo sigue la entrega de tarjetas renovadas. Las personas adultas mayores pueden acudir a su centro integrador para recibir orientación. Mediante un mensaje de texto se les indicará el día, la hora y el lugar para recoger su nuevo plástico.Antes de que se les venza o ya cuando están en el mes o en el segundo mes de vencimiento, estamos entregando precisamente estos medios de cobro. Es importante decirles lo siguiente, no porque las tarjetas estén vencidas, las personas dejan de cobrar. Se les sigue depositando porque es una cuenta de ahorro, sólo que la tarjeta pues está vencida. ¿Cómo pueden cobrar? Con su talón de pago o incluso con su tarjeta vencida y una identificación oficial, les pagan pero en ventanilla. Entonces, ahí hay un poquito más de fila, por así decirlo, y no con la comodidad del cajero automático. Entonces, por eso estamos entregando medios de cobro. En el caso del Estado de Hidalgo, el total será de más de cuatro mil cuatrocientas. En esta semana, antier que empezamos con poquitas, al próximo sábado.</t>
  </si>
  <si>
    <t>Programas Del Bienestar</t>
  </si>
  <si>
    <t>El pasado 14 de octubre fue el Día Mundial de la Donación de Órganos, Tejidos y Transplantes, una jornada para fomentar la donación y salvar vidas. Toda la información con nuestra compañera Claudia Alcántara.Para nadie es desconocido que una donación de órganos permite que una persona beneficiaria, además de aumentar su supervivencia, también tenga una mejor calidad de vida. De ahí que el trasplante de células, tejidos y órganos humanos sea cada día más una práctica común a nivel mundial. Cabe mencionar que en nuestro país la donación de órganos, tejidos y células se practica desde 1963. En el marco de la conmemoración del Día Mundial de la Donación de Órganos, Tejidos y Transplantes, instituida por la Organización Mundial de la Salud, cada 14 de octubre, tiene una intención de fortalecer la cultura de la donación y una actitud de generosidad de las personas ante situaciones complicadas de salud. En la entidad crece la procuración de órganos y tejidos, brindando con ello una esperanza a las más de 20.000 personas que se encuentran a la espera de un trasplante en el país. ¿Usted está a favor de la donación de órganos? Yo digo que está bien, porque así le dan oportunidad de vivir a las personas que lo necesitan. Sabemos que hay muchas personas que requieren de un riñón, de un corazón, de los ojos, de muchas cosas. A mí sí me parece bien, porque así le da más oportunidad de vivir a otras personas. Está muy bien, porque salva muchas vidas a las personas. Está muy bien para apoyar a todos los necesitados, por ejemplo, muchos que en accidentes pueden donar esos órganos. Sumarnos a esta, pues para dar esperanza de que los órganos, que una persona que tiene una muerte cerebral pueda donar sus órganos a un ser vivo que sí los pueda utilizar. Fortalezcamos la cultura de la donación de órganos. Para Enfoque Regional informó Claudia Alcántara.</t>
  </si>
  <si>
    <t>Donación De Órganos</t>
  </si>
  <si>
    <t>Un total de 128 regidores y síndicos de 46 municipios de Hidalgo se reunieron en Pachuca para rechazar la reforma al artículo 141 constitucional la cual busca eliminar la facultad del cabildo para autorizar la firma de contratos municipales. Regidoras, regidores, síndicas y síndicos de Hidalgo participaron en una reunión plural donde también fijaron posturas sobre la reforma aprobada para modernizar la gestión administrativa municipal.Para el funcionamiento de los municipios, reconocemos que los gobiernos municipales deben actuar con eficiencia y responder oportunamente a las necesidades de la población. Pero debemos formular una pregunta fundamental, ¿cómo lograr una administración más ágil sin debilitar los mecanismos de autorización, vigilancia y rendición de cuentas? Nuestra preocupación es que, al retirar determinadas decisiones del ámbito de autorización del cabildo se reduzcan los espacios de deliberación y contrapesos internos. En inquietud se suman los posicionamientos que han surgido por modificaciones previas a la Ley Orgánica Municipal, particularmente en relación con mayorías requeridas para aprobar decisiones presupuestarias y otros asuntos que anteriormente exigían mayores consensos. Es indispensable revisar conjuntamente el alcance de estas modificaciones, porque los requisitos de votación no son simples formalidades, pueden constituir mecanismos para promover acuerdos y evitar decisiones unilaterales.Son ya las 7 de la mañana con 12 minutos, que no se le haga tarde, maneje con muchísima precaución y por supuesto amanezca bien informado con nosotros y también con el reporte vial que le presentamos aquí a través de Super Stereo.</t>
  </si>
  <si>
    <t>Reforma a contrataciones municipales</t>
  </si>
  <si>
    <t>La presidenta del Patronato del DIF Hidalgo, Edda Vite Ramos, presentó su cuarto informe de actividades con resultados en salud, alimentación, educación y atención cercana a grupos prioritarios. Entre las acciones destacó la puesta en marcha del Centro de Salud Mental Pilares con una inversión superior a 12 millones de pesos y el apoyo a más de 300 familias con integrantes con discapacidad para impulsar proyectos productivos.</t>
  </si>
  <si>
    <t>La Contraloría de Hidalgo, Transparencia para el Pueblo y los súper agentes de la legalidad, ofrecen pláticas y talleres gratuitos para prevenir riesgos digitales entre niñas, niños y adolescentes. Las actividades están dirigidas a estudiantes, docentes y familias y además brindan herramientas para proteger datos personales, reconocer situaciones de ciberacoso o violencia digital y promover un uso responsable de Internet. También busca fortalecer el acompañamiento para detectar y atender a tiempo posibles riesgos en línea. Las comunidades escolares interesadas pueden solicitar estas actividades con las instituciones participantes.</t>
  </si>
  <si>
    <t>Entornos digitales seguridad</t>
  </si>
  <si>
    <t>El secretario de Seguridad Pública, Salvador Cruz Neri, habló sobre la fosa clandestina localizada en los límites de Hidalgo y Estado de México. La Fosa, la Comisión de Búsqueda de Personas del Estado de Hidalgo, todos los días hace, camina y hace acciones en busca de personas desaparecidas, ¿no? En coordinación con la Procuraduría del Estado. La información que yo tengo es que en un lugar denominado Texas, en la comunidad muy pegado en los límites con Estado de México, encontraron cinco cuerpos</t>
  </si>
  <si>
    <t>Francisco Fernández Hasbun, jefe de despacho encargado de la Procuraduría General de Justicia, informó sobre la detención de Pedro N en el municipio de Tula. Hoy por la mañana, muy temprano, se detuvo una persona al nombre de Pedro N. Esa persona lo teníamos considerado en el escalón de la operatividad que llevaba el delincuente El H, ustedes recuerdan que fue detenido en Hidalgo, en un segundo plano. Creemos que con esta detención vamos a lograr tener mucho más tranquilidad en la zona de Tula-Tepeji y vamos a seguir deteniendo a cualquier criminal que haga daño o mueva la estructura en realidad.</t>
  </si>
  <si>
    <t>Detención</t>
  </si>
  <si>
    <t>Como resultado de acciones a cargo de la Agencia de Investigación Criminal de la Procuraduría General de Justicia del Estado de Hidalgo, fue detenido un hombre de iniciales P. A. A., objetivo prioritario en la entidad. La detención de quien es ubicado como el brazo derecho de "El H", detenido anteriormente por la Procuraduría General de Justicia de Hidalgo, ocurrió en la localidad de Xochitlán de las Flores, municipio de Tula de Allende</t>
  </si>
  <si>
    <t>Radioescucha 7723. Dice: «Muy buenos días, Lalo. Antes de todo, saludos cordiales. Por primera vez que te escribo solicitando tu valioso apoyo: hace tres meses CAASIM vino a revisar unas tomas de agua en el bulevar Paseos de Chavarria, en la segunda glorieta entrando por Sahagún, dejando inconcluso».</t>
  </si>
  <si>
    <t>Obra inconclusa</t>
  </si>
  <si>
    <t>Radioescucha 6024. Dice: «Muy buenos días, licenciado. Soy el señor Badillo. Aquí en la colonia Real de Oriente no tenemos agua desde hace una semana».</t>
  </si>
  <si>
    <t>Abandono de obra</t>
  </si>
  <si>
    <t>Radioescucha dice: «Lalo, un favor, reporto aquí que en la colonia CTM no cae agua desde hace cuatro días»</t>
  </si>
  <si>
    <t>Radioescucha dice: Muy buenos días, señor Larrieta. Para saludar, Pedro Nieto. Solamente para solicitar el apoyo de CAASIM para ver si hay solución, porque no nos dan... no nos ha caído agua desde hace tres días en el barrio de San Clemente</t>
  </si>
  <si>
    <t>Trabajadores del IMSS bloquean de manera intermitente la carretera México-Pachuca en Tecámac</t>
  </si>
  <si>
    <t>El Comité de Emergencias de Mineral de la Reforma, encabezado por el alcalde Eduardo Medécigo Rubio, presentó un plan de acción para atender contingencias provocadas por fenómenos hidrometeorológicos. El plan incluye la participación de instancias de los tres órdenes de gobierno y de las dependencias que integran la presidencia municipal. Ante los integrantes del comité, el alcalde señaló que estas condiciones meteorológicas son un asunto de alta prioridad para toda la población del municipio, por lo que las labores se enfocan en su protección.</t>
  </si>
  <si>
    <t>Comité de emergencias</t>
  </si>
  <si>
    <t>La Fiscalía General de la República (FGR), a través de la Fiscalía Especializada de Control Regional (FECOR) en su representación en el estado de Hidalgo, ejecutó un cateo en el que se aseguró un inmueble, ubicado en la localidad de Segundas Lajas, perteneciente al municipio de Singuilucan, por un delito contra la salud en la modalidad de posesión de narcóticos con fines comercio en su hipótesis de venta.La diligencia de cateo derivó de una denuncia interpuesta en la que se informó sobre un local comercial donde se realiza la venta de narcótico.Por lo que el Ministerio Público de la Federación, en coordinación con elementos de la Policía Federal Ministerial (PFM) ingresaron al inmueble y aseguraron 153 cápsulas y 26 tabletas de psicotrópico denominado clobenzorex, 177 tabletas de metilfenidato y 2.5 gramos de clorhidrato de cocaína, numerario, una báscula y tres teléfonos celulares.En la diligencia también detuvieron a tres personas, las cuales junto con el inmueble y lo asegurado quedaron a disposición de la Fiscalía General de la Republica.</t>
  </si>
  <si>
    <t>Como resultado de acciones a cargo de la Agencia de Investigación Criminal de la Procuraduría General de Justicia del Estado de Hidalgo, fue detenido un hombre de iniciales P. A. A., objetivo prioritario en la entidad.La detención de quien es ubicado como el brazo derecho de “El H”, detenido anteriormente por la PGJEH, ocurrió en la localidad de Xochitlán de las Flores, municipio de Tula de Allende</t>
  </si>
  <si>
    <t>En su comparecencia en el Congreso del Estado de Hidalgo, Salvador Cruz Neri, secretario de seguridad pública de Hidalgo, fue cuestionado por la diputada Karla Perales, sobre el reclutamiento de menores de edad en Hidalgo.</t>
  </si>
  <si>
    <t>Con acciones de combate a la delincuencia, prevención y atención ciudadana, la Secretaría de Seguridad Pública de Hidalgo (SSPH) presentó los resultados de cuatro años de trabajo durante la comparecencia de su titular, Salvador Cruz Neri, ante el Congreso del Estado</t>
  </si>
  <si>
    <t>En esta agenda, en esta agenda 2026 de comparecencias ante el Congreso del Estado en la glosa del cuarto informe del gobernador Julio Menchaca tenemos por primera vez la comparecencia del oficial mayor, don Orlando Ángeles que, bueno pues, para algunos fue polémico, no yo lo vi en redes sociales, ahí hubo cierto borlote por decirlo así pero lo cierto es que se va a llevar una sorpresa porque si hay alguien que es de verdad meticuloso, metódico Que trae las cosas así De cuenta que usted le dice Orlando tal tema Parece que su cabeza Aquí está Van a ver ustedes Lo que va a ser esa comparecencia Esa primera comparecencia De un oficial mayor Ojalá que vayan bien preparados Los diputados porque lo que va a sobrar Es información y datos Ya lo verán ustedes Ojalá que los diputados Vayan bien preparados y puedan obtener y puedan generarnos información, porque eso es lo que sobra en la Oficialía Mayor de Información. Ya lo verán ustedes.</t>
  </si>
  <si>
    <t>Oficialía Mayor</t>
  </si>
  <si>
    <t>En respuesta a Lety Romero quien pregunta sobre la reforma de la Constitución que busca que los presidentes no usen a los regidores para aprobar contratos y sobre el papel de los regidores. Andrés Torres menciona que recientemente tuvieron una reunión y que Don Miguel Moreno, un diputado local, explicó la reforma al artículo 141 de la ley. La reforma no busca quitarles poder a los regidores, sino motivarlos a comprometerse más en su trabajo en los cabildos y en la gestión de proyectos. Se enfatiza que no se les dará libertad total a los alcaldes para manejar obras y créditos sin control. Señala que se requiere que los regidores participen activamente y que estudien para aportar de manera efectiva a los proyectos en sus municipios. Se menciona que es necesario disminuir el número de regidores, ya que muchos solo aparecían para inauguraciones y no realizaban un trabajo sustancial. Se destaca que algunos se benefician de la obra sin esfuerzo real. La reforma también busca prevenir la corrupción, ya que muchos proyectos se han detenido debido a decisiones de un par de regidores, muchas veces motivadas por intereses personales o falta de colaboración.</t>
  </si>
  <si>
    <t>Ayer fue muy polémico la comparecencia del secretario de seguridad pública, este porque bueno, los conocedores del tema de seguridad, pues dijeron, "No cuadran las cifras." Un ejemplo, ayer Don Salvador Cruz Neri dijo que eh solamente 80 de 84 municipios estaban dentro de este programa que se llama Mando Coordinado. De acuerdo a las cifras oficiales, pues están los 84 municipios dentro del Mando Coordinado. Entonces, esa es una de las contradicciones que existieron, pero ningún diputado se dio cuenta. Afortunadamente estaba yo y le preguntó, ¿no? ¿Lo escuchó usted aquí en las Vocales? A ver si no hay represalias luego porque dice que es muy enojón el secretario, ¿no?</t>
  </si>
  <si>
    <t>Andrés Torres en respuesta a Ana Lara que dice: "Qué semana de comparecencias, entre confesiones y sordera, las preguntas de familiares incómodos a las y los secretarios". Por ejemplo, Tania Meza, diputada local le preguntó a la secretaria de Cultura que ahí hay un, yo le diría, que ahí hay un conflicto de interés, porque doña Tania Meza también ha sido titular de Cultura, ¿no? Y este, le preguntó por el lazo sanguíneo que existe entre la titular de Cultura y su secretario particular y su particular, que son parientes, ¿no? Y este, obviamente le dijo, bueno, tiene un salario de 23,000 pesos, más una compensación de 30,000, pero pues en todo momento, a pesar de la insistencia de Tania Meza en la comparecencia, en todo momento la titular de Cultura evadió, evadió, evadió y nunca respondió.</t>
  </si>
  <si>
    <t>Nepotismo</t>
  </si>
  <si>
    <t>Está muy muy muy ahorita en en el ambiente de los medios de comunicación las comparecencias, ¿no? Se han se han puesto interesantes. Yo hice una columna hace unos días sobre desde mi perspectiva la urgente necesidad de modificar ya el formato de las comparecencias, ya me parece que no cumple con el propósito de ir a detalle en temas muy interesantes que podrían resultar este yo le diría pues hasta cruciales, ¿no? En un en el en el trabajo de una de la secretaria que usted me diga, este y además pues no ayuda a muchos los diputados, ¿no? La actitud de los diputados, como voy a parafrasear a mis compañeros de criterio, pues les falta, luego hasta les falta su suelo, no solo les falta suelo, sino les falta subsuelo, ¿no? O sea, no son preguntas, son lisonjas, ¿no? Entonces, preguntas como el de la transversalidad, ¿no? Tratando nomás de lucirse, de quedar bien, de este como diciendo "Ahí le encargo mi asunto", ¿no? Ya nada más les falta a algunos diputados o algunos directores generales que yo conozco muy bien, decirle a los secretarios, es que que no hacen entrevistas, no hacen preguntas, sino dicen "Ahí le encargo mi asunto, ¿no? Ahí le encargo mi plaza, ahí le encargo a mi pri, a mi familiar, ¿no?" Y, híjole, entonces es necesario modificar, es necesario, creo yo, salvo la mejor opinión de los especialistas, este modificar el formato de las comparecencias, porque se está volviendo muchas cosas, menos una comparecencia. Exacto, de hecho nos escribe igual Ana Lara y dice: "Qué semana de comparecencias, entre confesiones y sordera, las preguntas de familiares incómodos a las y los secretarios". Por ejemplo, Tania Meza, diputada local le preguntó a la secretaria de Cultura que ahí hay un un yo le diría que ahí hay un conflicto de interés, porque doña Tania Meza también ha sido titular de Cultura, ¿no? Y este, le preguntó por el el el lazo sanguíneo que existe entre la titular de Cultura y su secretario particular y su particular, que son parientes, ¿no? Y este, obviamente le dijo, bueno, tiene un salario de 23,000 pesos, más una compensación de 30,000, pero pues en todo momento, a pesar de la insistencia de Tania Meza en la comparecencia, en todo momento la titular de Cultura evadió, evadió, evadió y nunca respondió. Ayer fue muy polémico la comparecencia del secretario de seguridad pública, este porque bueno, los conocedores del tema de seguridad, pues dijeron, "No cuadran las cifras." Un ejemplo, ayer Don Salvador Cruz Neri dijo que eh solamente 80 de 84 municipios estaban dentro de este programa que se llama Mando Coordinado. De acuerdo a las cifras oficiales, pues están los 84 municipios dentro del Mando Coordinado. Entonces, esa es una de las contradicciones que existieron, pero ningún diputado se dio cuenta. Afortunadamente estaba yo y le preguntó, ¿no? ¿Lo escuchó usted aquí en las Vocales? A ver si no hay represalias luego porque dice que es muy enojón el secretario, ¿no? Pero bueno, a ver, Aldo Falcón.</t>
  </si>
  <si>
    <t>Ana Lara, muy buenos días, dice: "La señora Edavite ha trabajado bastante bien, debieron tomar el ejemplo las y los del gabinete", nos comenta.</t>
  </si>
  <si>
    <t>Sobre el Informe de Edda Vite, titular DIFH comenta que el reconocimiento al trabajo del DIF fue a nivel nacional y recibió elogios de muchos ayuntamientos y del Sistema DIF Nacional. El informe de Edda Vite Ramos fue considerado muy completo, ya que antes el DIFH se enfocaba solo en cuestiones asistenciales. Actualmente, se involucra en temas más activos, como la salud, la educación, asuntos legales y la adopción, mostrando un enfoque más amplio y proactivo. Antes, los sistemas DIF eran vistos como meros apoyos asistenciales, pero ahora tienen una participación activa en la ayuda a los sectores más vulnerables. Un ejemplo destacado es la presidenta estatal del DIF, quien organizó ayuda y albergues durante emergencias, como las inundaciones en Metzitlán y Tulancingo. En el pasado, las estancias del DIF eran sólo figuras decorativas, pero hoy su papel es significativo y comparable al de una secretaría. Estas transformaciones en el DIFH marcan un cambio importante en su misión, posicionándose como una entidad que actúa y responde de manera más efectiva a las necesidades de la comunidad.</t>
  </si>
  <si>
    <t>Un torso al parecer humano, fue localizado flotando sobre las aguas de la presa Endho, dentro del municipio de Tula de Allende. El reporte fue emitido por trabajadores que se encontraban en labores de retiro de lirio acuático dentro del cuerpo de agua; al percatarse de la presencia de los aparentes restos humanos, dieron aviso de inmediato a las autoridades. Tras ello, al sitio del hallazgo acudieron elementos de la Policía Municipal y de la Secretaría de Seguridad Pública de Hidalgo, quienes resguardaron el perímetro y solicitaron la intervención de la Procuraduría General de Justicia del Estado de Hidalgo. Personal pericial y agentes de investigación adscritos a la región se hicieron cargo de las maniobras para el rescate y recuperación del cuerpo, el cual fue trasladado por el Servicio Médico Forense para llevar a cabo los estudios que permitan determinar la causa de muerte e identificar a la víctima. En otros hechos, restos de una osamenta humana fueron localizados la mañana de este jueves en un predio del municipio de Zapotlán de Juárez, luego de que vecinos de la zona reportaran el hallazgo. Los restos se encontraban a un costado de un camino de terracería que conduce al municipio de Villa de Tezontepec. De manera preliminar, se presume que corresponderían a un hombre, aparentemente en situación de calle, cuyos restos habrían sido consumidos parcialmente por la fauna. El hallazgo fue reportado al Ministerio Público correspondiente, que tomó conocimiento de los hechos y se encargó de los protocolos para el levantamiento de los restos humanos, así como de las investigaciones encaminadas a establecer su identidad y determinar la causa de muerte.</t>
  </si>
  <si>
    <t>Localización De Restos</t>
  </si>
  <si>
    <t>Tres de los cinco cuerpos localizados en una fosa clandestina en Atotonilco de Tula ya fueron identificados por la División Científica de la Procuraduría General de Justicia de Hidalgo, de los cuales, dos fueron entregados a sus familiares, informó Francisco Fernández Hasbún, encargado de la dependencia. El funcionario precisó que las víctimas entregadas corresponden a un hombre y una mujer; mientras que continúan los trabajos para identificar los dos cadáveres restantes. Las cinco víctimas son mayores de edad y tenían fichas de búsqueda vigentes en la entidad. Fernández Hasbun agregó que la Comisión de Búsqueda de Personas del Estado de Hidalgo solicitó la intervención del Ministerio Público y del área de Servicios Periciales para efectuar los levantamientos y las pruebas genéticas. Sobre las investigaciones, aseguró que existen indicios importantes pero que se reservaría la información para no comprometer las indagatorias. Hasta ahora, no hay personas detenidas por estos hechos. No obstante, aseguró que, una vez concluido el procesamiento del sitio y las actividades periciales, proporcionaría más información sobre las condiciones en que fueron localizadas las víctimas y el tiempo que llevaban sin ser localizadas.</t>
  </si>
  <si>
    <t>Fosa clandestina</t>
  </si>
  <si>
    <t>Radioescucha]: en la colonia La Loma en Cuautepec, llevamos más de 20 días sin agua. La delegada se niega a dar información y dice que vayamos con los jefes de calle. Tenemos que comprar pipas de agua de hasta 800 pesos.</t>
  </si>
  <si>
    <t>Daniel Martínez: Ojalá que también esa homologación llegue a los comunicados porque luego le digo un lenguaje oficialñol, que es darle vueltas a las cosas para decir concretamente de lo que se trata es la simplificación de los trámites para que no sea un laberinto burocrático, que tengas que acudir a realizar un trámite para pedir un servicio, abrir un negocio, solicitar alguna jornada de atención social, etc.</t>
  </si>
  <si>
    <t>Comunicación gubernamental</t>
  </si>
  <si>
    <t>Con la presencia de chefs y expertos en gastronomía provenientes de diversas naciones de América Latina, se llevará a cabo el Festival Gastronómico Internacional 2026, en Tulancingo, estos próximos sábado 17 y domingo 18 de octubre. En conferencia de prensa, Minerva Rosales Gayosso, titular de la Secretaría municipal de Fomento Económico, dio a conocer que la sede principal del evento será la Zona Cultural del Ferrocarril, así como diez restaurantes. Estos últimos recibirán a los chefs, quienes ofrecerán a los comensales sus creaciones, y por lo tanto, estarán disponibles para la degustación por parte del público en general. En el caso de la zona del ferrocarril, estará dividido en varias zonas, donde los visitantes podrán disfrutar de las creaciones culinarias que ahí se ofrecerán. Además, se ofrecerán talleres y otras actividades dirigidas a estudiantes y profesionales de gastronomía, quienes a su vez tendrán la oportunidad de realizar convenios e intercambios de servicios y conocimientos. También habrá stands donde productores de diversos alimentos elaborados en forma tradicional podrán ofrecerlos para su venta al público que asista al evento. El evento también contará con la presentación de diversos eventos culturales y artísticos, así como la proyección de la película francesa “Delicioso”, que narra el origen de los restaurantes, así como el filme mexicano “Como agua para chocolate”, ya considerado como un clásico. Ambas proyecciones se realizarán los mismos sábado 17 y domingo 18 de octubre en las instalaciones de la Cineteca Tulancingo, ubicado en la misma zona del ferrocarril. Rosales Gayosso destacó que gracias a la colaboración entre el gobierno municipal con diversas instancias y negocios, las actividades se realizan sin costo para los visitantes. Sólo será pagado en el caso del ofrecimiento de los alimentos artesanales que se ofrezcan, así como los platillos que se ofrezcan en los restaurantes participantes. Durante los dos días del evento se prevé la asistencia de unas 16 mil personas, generando una importante derrama económica que beneficie a la población del municipio.</t>
  </si>
  <si>
    <t>Festival Gastronómico</t>
  </si>
  <si>
    <t>Más de 200 convenios de conciliación ha realizado el Gobierno Municipal para resolver conflictos entre vecinos y particulares mediante el diálogo, informó Guillermo Ramos Sánchez, conciliador municipal. Entre los casos más recurrentes están las molestias por música a alto volumen, ruido por reparaciones domésticas, agresiones de mascotas, disposición irregular de basura y obstrucción de banquetas, accesos y servidumbres de paso. También se atienden diferencias por humedades que afectan propiedades, ramas de árboles que invaden predios, incumplimiento de deudas, pagos de renta y servicios. Ramos Sánchez explicó que la conciliación busca evitar que las diferencias escalen a situaciones de violencia y ofrecer alternativas de solución sin recurrir a procedimientos legales, cuando la naturaleza del asunto lo permite. La dependencia trabaja bajo principios de imparcialidad, neutralidad y rapidez, con el propósito de que las partes involucradas alcancen acuerdos que favorezcan la convivencia comunitaria. Además, expide actas por baja vehicular, dependencia económica, abandono de hogar, extravío de documentos y ratificación de firmas, así como constancias de ingresos, no ingresos y ocupación. Entre los convenios que tramita también figuran los de mutuo respeto, reconocimiento de deuda, pensión alimenticia y régimen de convivencia. El funcionario señaló que estos mecanismos representan una alternativa para las familias de Tulancingo, al reducir el tiempo y los gastos que puede implicar un procedimiento legal, además de contribuir a la resolución pacífica de las diferencias.</t>
  </si>
  <si>
    <t>Justicia alternativa</t>
  </si>
  <si>
    <t>La vaguada monzónica del año pasado afectó casi 27 mil hectáreas agrícolas en Hidalgo, para las cuales el gobierno del estado destinó 80 millones de pesos extraordinarios para atender exclusivamente a los 28 municipios con afectaciones, informó el titular de Saderh, Napoléon González Pérez.Consultar atlas El titular de la Secretaría de Agricultura y Desarrollo Rural de Hidalgo (Saderh) detalló que en total suman 140 millones de pesos, de los cuales 60 millones corresponden al fondo anual para atención de daños agropecuarios y 80 son los recursos extras por el fenómeno meteorológico. Durante su comparecencia ante el Congreso local indicó que con los recursos extraordinarios y los del fondo lograron apoyar casi 28 mil hectáreas, donde entregaron 5 mil pesos a productores con una hectárea, y menor cantidad a quienes tienen menos superficie, además de entregas de 4 mil pesos a productores pecuarios. “Se otorgaron más de 17 mil apoyos económicos directos para la recuperación agrícola y pecuaria, maquinaria pesada, lanchas, motores y equipo para facilitar las labores de rehabilitación y rescate, además de la apertura de ventanillas regionales”, recordó. También, dijo, en los demás programas y apoyos como Mujer Rural, Semillas, Fortalecimiento a la ganadería con los vientres ovinos, porcinos, sementales, terneras, dieron prioridad a los productores afectados por la vaguada en los 28 municipios, quienes cumplieron con las reglas de operación. En otro tema, dio a conocer que Hidalgo sumó mil 475 casos de gusano barrenador en ganado, de los cuales hasta el 14 de octubre 76 se mantienen activos; además mencionó que Saderh ha colaborado en la revisión de más de 47 mil animales. Agregó que participaron en la capacitación de más de 5 mil 100 productoras y productores, y más de 9 mil movilizaciones de ganado inspeccionados.</t>
  </si>
  <si>
    <t>Ocho servidores públicos de Hidalgo continúan cobrando dos sueldos, uno como docentes y otro por cargos en municipios, debido a que promovieron juicios de amparo o medios de impugnación contra los dictámenes de compatibilidad laboral que les impidieron mantener ambos empleos. Álvaro Bardales Ramírez, contralor estatal, informó que inicialmente detectaron alrededor de mil casos de personas con doble plaza en distintas dependencias y municipios, principalmente en los sectores educativo y de salud. De estos, cerca de 900 renunciaron a uno de sus puestos, mientras que permanecen vigentes 112 investigaciones. Claudia Guadalupe López Torres, directora general de Responsabilidades Administrativas de la Secretaría de Contraloría, explicó que los ocho inconformes argumentaron una presunta vulneración de sus derechos. Sin embargo, mediante visitas a centros educativos y revisiones de constancias laborales, la Contraloría determinó que no cumplían las condiciones de horarios y distancias para obtener un dictamen favorable que les permitiera conservar ambos empleos. Precisó que algunos obtuvieron suspensiones provisionales, por lo que la Contraloría está impedida para continuar las investigaciones hasta que se resuelva el fondo de los amparos. En otro caso, tras una resolución judicial, emitieron un nuevo dictamen negativo. Ninguno de estos ocho casos corresponde a personas que perciban más que el gobernador, aunque sí se detectaron 13 casos de remuneraciones superiores a la del titular del Ejecutivo estatal. Respecto a las sanciones, señaló que la Contraloría no tiene facultades para intervenir directamente en los municipios. En el ámbito estatal, indicó que corresponde a las secretarías involucradas revisar las dobles plazas y determinar las bajas, así como las responsabilidades de quienes autorizan los pagos de nómina. En otro tema, el contralor Álvaro Bardales informó que hay cuatro municipios con 487 millones de pesos por justificar, recurso que corresponde a la federación. Tepehuacán de Guerrero es el de mayor monto con 210 millones de pesos; le sigue Huichapan con 168 millones de pesos; Tepetitlán, 58 millones de pesos y Huehuetla, 51 millones de pesos.</t>
  </si>
  <si>
    <t>El aseguramiento de aproximadamente 7 millones de litros de hidrocarburo extraído de manera ilegal de ductos de Petróleos Mexicanos, forma parte de resultados de seguridad presentados por el titular de la Secretaría de Seguridad Pública en Hidalgo, Salvador Cruz Neri. Esto durante la comparecencia ante el Congreso estatal. De hecho, el funcionario detalló que como parte de las acciones contra el robo de combustible durante los primeros 4 años de la actual administración, también fueron decomisados 1,588 vehículos relacionados con esta actividad; de hecho, fueron también 18 autotanques y más de 41,000 metros de manguera de alta presión. Y pues estas acciones se sumó también el desmantelamiento de 11 túneles localizados en distintos municipios, presuntamente utilizados para actividades vinculadas con la extracción ilegal de hidrocarburo. Además, 391 personas que fueron detenidas en flagrancia eh pues por hechos relacionados con este delito. En materia de combate de extorsión, Cruz Neri reportó también una disminución de 60.67% hecho esto en la incidencia de este delito y de acuerdo con las cifras expuestas ante los legisladores. Y respecto también a las atenciones realizadas por corporaciones estatales, informó que 26,536 personas fueron aseguradas por distintas faltas o posibles delitos. De ellas, 20,591 quedaron a disposición de un juez conciliador y 5,945 fueron presentadas ante el Ministerio Público; además también de 974 que ingresaron a un centro de reinserción social. Pero bien, el secretario también señaló que las quejas contra elementos policiales por presuntas violaciones a derechos humanos disminuyeron 23% y que 13 agentes fueron separados de sus cargos tras acreditarse como irregularidades. Y pues en cuanto a la infraestructura de vigilancia, informó sobre el proyecto de instalación de 5,100 cámaras conectadas al Centro de Comando, Control, Comunicaciones, Cómputo, Coordinación e Inteligencia, hablamos del C5i. Eh, asimismo también mencionó la adquisición de 18,000 cámaras con apoyo del sector empresarial pues que se estarían integrando al sistema una vez conectadas. Y pues finalmente Cruz Neri sostuvo que la percepción de inseguridad en Hidalgo se ubicó en 61.5%, todo esto por debajo del promedio nacional de 74%. De hecho también señaló que 80 de los 84 municipios del estado operaban bajo el esquema del mando coordinado. Entonces, pues es un todo, Daniel, y de alguna forma, sí, importante mencionar que lo que más destacó fue el reporte del decomiso de 7 millones de litros de huachicol.</t>
  </si>
  <si>
    <t>Gobierno de Hidalgo avanza en la homologación y simplificación de trámites y servicios</t>
  </si>
  <si>
    <t>Simplificación de trámites</t>
  </si>
  <si>
    <t>En el estado de Hidalgo, algunos asambleístas municipales están en desacuerdo con una nueva iniciativa aprobada por el Congreso local. Esta iniciativa modifica el artículo 141, eliminando la necesidad de que los ayuntamientos consulten a la asamblea municipal antes de que el presidente o presidenta municipal pueda celebrar contratos sobre asuntos de interés público. Esto significa que ahora el alcalde o alcaldesa podrá decidir sin la aprobación directa de la asamblea. El presidente municipal de Pachuca, Jorge Reyes Hernández, defiende que esta medida agiliza los procesos administrativos de contratación, no solo de servicios, sino de cualquier tipo de acuerdo. Sin embargo, muchos asambleístas creen que esto debilita el papel de los regidores. Algunas personas ven a los asambleístas simplemente como quienes levantan la mano para aprobar decisiones sin discusiones, aunque hay destaca excepciones de quienes sí proponen y buscan información. Asambleístas de 46 municipios se reunieron para expresar su rechazo a esta modificación, argumentando que controlar las cuentas públicas y cuestionar decisiones municipales no significa oponerse al desarrollo, sino asegurar claridad en el manejo del dinero público. Su mayor preocupación es que al retirar ciertas decisiones de la autorización del Cabildo, se reducen las oportunidades de discusión y los contrapesos en el gobierno municipal. Alfajayucan la rechazó. Ahora se espera la decisión de los otros 82 municipios en las próximas semanas.</t>
  </si>
  <si>
    <t>Daniel Martínez sobre el informe de la presidenta del DIFH, Edda Vite destaca la importancia de brindar alimentación, refugio y protección a la población vulnerable, especialmente a niñas, niños y adolescentes. Sin embargo, destaca que la administración de Edda Vite Ramos en el DIF Hidalgo se ha enfocado en proteger los derechos e integridad de este grupo. Se han anunciado mejoras en los espacios de resguardo y se ha trabajado en la creación de procuradurías municipales para atender a niñas, niños y adolescentes. Estas procuradurías tienen como objetivo hacer la atención más rápida y directa. Izza Hernández coincide con Martínez en que este es un objetivo fundamental y subraya la importancia de estar atentos al proceso de atención a este sector de la población.</t>
  </si>
  <si>
    <t>Este mismo año iniciará operaciones la nueva Casa Cuna a cargo del Sistema DIF Hidalgo, tras la rehabilitación del primer piso, la construcción del segundo nivel y su equipamiento. Lo anterior fue anunciado por Edda Vite Ramos, presidenta del organismo asistencial estatal, durante la presentación de su Cuarto Informe de Actividades. Agregó que se realizará la remodelación integral del Centro de Atención al Niño y al Adolescente, para que tenga condiciones para la atención digna de la población que lo requiere. También se construirá un nuevo taller de ortesis y prótesis, así como tres bodegas, dos de ellas en Pachuca, destinadas al archivo de concentración del sistema. Mientras que en Ixmiquilpan se construirá una más para resguardar en condiciones óptimas los insumos alimentarios destinados a 22 municipios de las regiones del Valle del Mezquital y la Sierra Gorda. Estas obras deberán estar listas antes de concluir la actual administración, incluyendo la ampliación de distintas áreas del Centro de Rehabilitación Regional de Ixmiquilpan. Además, se construirán dos centros de atención infantil, ubicados en la colonia Matilde y en San Bartolo, en Pachuca. También anunció la construcción de un edificio que dijo, permitirá incrementar los ingresos para continuar con las acciones de asistencia social. Vite Ramos señaló que se ampliará la cobertura del programa de alimentación que actualmente atiende a 150 mil estudiantes, con el objetivo de beneficiar a más de 190 mil priorizando a niñas y niños detectados con desnutrición, sobrepeso u obesidad. Se informó que durante la vaguada monzónica que afectó a 28 municipios, el DIFH coordinó la recepción, clasificación y distribución de apoyos alimentarios, ropa, cobijas y otros materiales, en colaboración con voluntarios de los distintos niveles de gobierno, la sociedad civil y la iniciativa privada. Desde diversos centros de acopio se organizó la distribución de 266 mil despensas para las comunidades afectadas y se recibió a 215 personas trasladadas a través de vuelos de rescate. De ellas, 49 eran niñas, niños y adolescentes, quienes recibieron atención, y se realizaron tres cirugías en el Hospital del Niño DIFH. A ello se suma la entrega de 94 mil 96 despensas destinadas a municipios afectados por la vaguada monzónica y a localidades con grados de marginación alta y muy alta.</t>
  </si>
  <si>
    <t>Durante la Séptima Sesión Extraordinaria de la Junta de Gobierno de la Comisión de Agua y Alcantarillado del Municipio de Tulancingo de Bravo (CAAMT), celebrada este jueves, se aprobó la designación de Rubén Sanjuan Galindo como encargado de la Dirección General del Organismo. En representación de la Presidenta Municipal, Lorena García Cázares, el Secretario General Municipal, Edmundo Aguilar Aranda, tomó protesta al servidor público para el desempeño de esta responsabilidad. Con trayectoria en la CAAMT desde 1997, Sanjuan Galindo ingresó como auxiliar del Departamento de Alcantarillado Sanitario. A lo largo de su carrera, también se ha desempeñado como encargado del Departamento de Estudios y Proyectos, Técnico Especialista en Evaluación y Seguimiento de la Dirección General y Director Técnico en tres ocasiones, en distintos periodos. Tras la aprobación del poder general por parte de la Junta de Gobierno, asumió las funciones correspondientes y manifestó su compromiso de conducirse con honestidad, profesionalismo y eficiencia, en apego a las disposiciones y normativas legales aplicables.</t>
  </si>
  <si>
    <t>Los seis comedores municipales de Tulancingo distribuyen entre mil y mil 300 porciones de alimentos a la semana, como parte del programa dirigido a facilitar el acceso a comida preparada a bajo costo, informó Alberto Campillo, secretario de Desarrollo Humano y Social del ayuntamiento. Los espacios se ubican en las colonias La Cruz, Guadalupe, Paraíso, La Cañada, Huapalcalco y Rojo Gómez, donde ofrecen servicio de lunes a viernes, de acuerdo con la información proporcionada por el funcionario. El costo de recuperación por ración es de 24 pesos e incluye sopa, guisado y frijoles. Para quienes consumen sus alimentos dentro de las instalaciones, también se proporciona agua y tortillas. Campillo explicó que cualquier persona puede acceder al servicio, para lo cual únicamente debe presentar una copia de su Clave Única de Registro de Población (CURP). El horario de atención informado es de 8:30 a 16:00 horas. En cuanto a la preparación de los alimentos, detalló que los menús se elaboran en las oficinas correspondientes y posteriormente son revisados y aprobados por un nutriólogo, quien determina su valor nutricional. El funcionario señaló que los comedores de Paraíso, La Cruz y Huapalcalco registran la mayor afluencia de usuarios. Entre los principales beneficiarios mencionó a madres solteras, personas adultas mayores y trabajadores. Asimismo, indicó que durantee 2026 se ha observado una mayor demanda del servicio en comparación con el año anterior, situación que atribuyó a la calidad de la atención y al sabor de los alimentos que se preparan en estos espacios. Respecto a la ampliación del programa, adelantó que se contempla habilitar un nuevo comedor en el Centro de Desarrollo Comunitario de Jaltepec. Además, refirió que existen solicitudes ciudadanas para llevar este servicio a Napateco, Santa Ana y La Lagunilla, aunque no precisó fechas para la posible apertura de estos espacios. Finalmente, Campillo invitó a las personas que requieran este apoyo a acercarse a cualquiera de los seis comedores municipales o acudir a la Secretaría de Desarrollo Humano y Social, ubicada en el segundo piso de la Presidencia Municipal, para solicitar información.</t>
  </si>
  <si>
    <t>Comedores municipales</t>
  </si>
  <si>
    <t>Daniel Martínez: ...porque por ahí decía, por ejemplo, la presidenta de México, Claudia Sheinbaum: "Vean, están saliendo a protestar muy pocos". No se trata de pocos o muchos, se trata de las demandas laborales y sale, sabe por qué la cantidad que salió en un mar de personas el fin de semana, por cierto, ¿eh? Porque están trabajando, porque siguen laborando, porque siguen pendientes y siguen responsables de lo que tienen que hacer en sus unidades de trabajo.</t>
  </si>
  <si>
    <t>De acuerdo a las cifras que se conocieron en un proceso que fue muy muy muy muy vigilado por las autoridades laborales y por el propio este por los propios trabajadores del IMSS, eh el 91.22% de estos en el en el caso del Estado de Hidalgo rechazaron la propuesta salarial presentada del 2.9% de aumento a su salario directo, eh que sumaría 6.8% junto con los derechos laborales o beneficios laborales al respecto. En Hidalgo se contabilizaron en total 6,229 votos en las 13 unidades electorales instaladas en la entidad, de un padrón aproximado de 8,000 trabajadores de base, es decir, hubo habría una participación de eh alrededor del 66-67% del total de las y los trabajadores y colaboradoras colaboradores del IMSS. De acuerdo con los resultados, 5,686 trabajadores votaron por el no a la propuesta salarial, mientras que 528 lo hicieron a favor y 15 emitieron votos nulos. La participación registrada representa eh este, corrijan, 77.9% de los trabajadores, es decir, se dieron a votar prácticamente ocho de cada 10 de las colaboradoras y colaboradores del IMSS con este no. Ayer se instaló y iniciaron renegociaciones entre la entre el IMSS, este y el sindicato representado en este caso por Rafael Olivos Hernández, que después de varios días de silencio pues salió con un videíto desde el miércoles por la tarde-noche, este señalando que los resultados son claros, la mayoría de quienes participaron decidió no aprobar la propuesta salarial. Lo que se me hace, por decirlo muy suavecito, curioso de todo este caso, es de que el IMSS, la Dirección General del IMSS, está eh negociando con Rafael Olivos Hernández, secretario general del Sindicato Nacional de Trabajadores del Seguro Social, representantes sindical que están desconociendo los propios trabajadores del IMSS. Ya señalaron eh ayer en una entrevista con Enrique Hernández Alcázar para W Radio, señalaba uno de los representantes de los trabajadores que siguen desconociendo a Olivos Hernández y que en caso de que este no se retire y de que sus demandas no sean eh atendidas adecuadamente, seguirán las protestas y manifestaciones cada semana con paros programados, sin dejar de atender a las y los usuarios de</t>
  </si>
  <si>
    <t>La audiencia para iniciar la etapa de individualización de sanciones y reparación del daño por los delitos de feminicidio, aborto forzado y homicidio doloso ocurridos en julio del 2024 en Santiago Tulantepec, fue diferida el día miércoles 14 de octubre debido al cambio de representación legal de uno de los sentenciados. Tras un retraso de 3 horas, el Tribunal de Enjuiciamiento informó que la sesión tenía como objetivo comenzar con la presentación de pruebas para determinar las sanciones correspondientes y la reparación del daño mediante dos testimonios propuestos por el Ministerio Público. Sin embargo, luego de que uno de los sentenciados revocara a su representante legal y designara a un nuevo abogado, este último solicitó el diferimiento al señalar que no contaba con la información necesaria para ejercer una defensa adecuada. Ante la petición y sin oposición de los asesores jurídicos ni de las víctimas indirectas, el Tribunal Colegiado determinó reprogramar la audiencia para garantizar el derecho a una defensa apropiada. Como parte del acuerdo, se estableció que la nueva defensa deberá recibir las carpetas de investigación, el registro de la causa penal y las grabaciones de las sesiones celebradas hasta el momento, a fin de contar con los elementos necesarios para la defensa. El tribunal también advirtió que en caso de incumplimiento en la entrega de los requisitos, falta de copias para la defensa o inasistencia injustificada de los representantes legales y asesores jurídicos, podrán imponerse multas equivalentes a 20 unidades de medida y actualización (UMA). La audiencia quedó reprogramada para el próximo miércoles 21 de octubre, cuando se prevé la presentación presencial de tres testigos como parte de la etapa de individualización de sanciones y reparación del daño.</t>
  </si>
  <si>
    <t>Una mujer de Cuautepec obtuvo una resolución judicial favorable en un caso de violencia vicaria, luego de que se dictara la primera sentencia condenatoria por este delito en Hidalgo, informó la Secretaría de Gobierno estatal. El caso llegó a las autoridades a través de las Mesas de Acercamiento de Bienestar y Paz, espacios en los que la víctima expuso su situación. A partir de ello, se dio seguimiento con las instancias correspondientes para avanzar en la atención del caso y el proceso de justicia. La violencia vicaria ocurre cuando una persona busca perjudicar a una mujer mediante sus hijas o hijos, utilizándolos como medio para ejercer daño o control. La sentencia constituye un antecedente judicial en Hidalgo para la atención de esta forma de violencia familiar. El Frente Nacional Contra Violencia Vicaria también intervino en el acompañamiento del caso y reconoció la actuación de la representación del Ministerio Público y del juez que participaron en el procedimiento. La organización subrayó la importancia de incorporar la perspectiva de género en la impartición de justicia. Por su parte, la Secretaría de Gobierno indicó que mantendrá las Mesas de Acercamiento como una vía para recibir planteamientos ciudadanos y canalizarlos ante las dependencias responsables de brindar atención.</t>
  </si>
  <si>
    <t>Daniel Martínez: Entiendo que por cuestiones legales, así lo entendería, tú servidoras, este comunicado, este boletín oficial con el que se da a conocer esta sentencia no trae mayores datos, y lo entiendo perfectamente, acerca de la víctima y también de la persona que fue sentenciada, pero tampoco hay mayor información acerca de cuál es la sentencia que se está otorgando en cuanto a si se trata de, ahora sí que de sanción física, prisión o si hay una sanción o si hay alguna multa.</t>
  </si>
  <si>
    <t>Hoy desde las 5:00 de la mañana, ha estado lloviendo mucho en la Sierra Otomí-Tepehua, lo que ha afectado las carreteras de la región en el Estado de Hidalgo. Ayer por la tarde, la Subsecretaría de Protección Civil ya había advertido sobre lluvias importantes, incluso torrenciales, especialmente en el norte del Estado. Esta región es un punto de conexión para la Huasteca hidalguense. Debido a estas condiciones, se han cerrado caminos en los municipios de Tenango de Doria, Huehuetla y San Bartolo Tutotepec. Metepec también ha sufrido algunos problemas, pero todavía se considera parte de la red vial. El nivel de los ríos en Huehuetla y San Bartolo Tutotepec ha aumentado significativamente. Además, se han suspendido las clases en las escuelas de Huehuetla, y se está monitoreando la situación en San Bartolo Tutotepec.</t>
  </si>
  <si>
    <t>Prevención De Riesgos</t>
  </si>
  <si>
    <t>comparecencia</t>
  </si>
  <si>
    <t>El día de hoy también tenemos comparecencia en un minuto más la Secretaría de Salud, Vanesa Escalante, a las 10 de la mañana y horas más tarde, a las 16 horas, el licenciado Oscar Javier González de la Secretaría del Trabajo.</t>
  </si>
  <si>
    <t>STPSH</t>
  </si>
  <si>
    <t>Al comparecer ante los integrantes de la 66 Legislatura del Congreso del Estado, el titular de la Secretaría de Agricultura y Desarrollo Rural, Napoleón González Pérez, rindió un informe sobre el estado que guarda la administración pública en el sector primario, donde resaltó en ese sector primario donde resaltó que la gestión del gobernador Julio Menchaca pues ha sido fundamental para destinar una inversión al campo hidalguense que superó los 229 millones de pesos del 2022 a un techo histórico de 721 millones de pesos en el actual 2026, lo cual pues impactó de manera directa en beneficio o a beneficio de 487,900 familias rurales. Dice Don Napoleón que se destinó un importante rubro de 229 en ese rubro 229 millones de pesos, eh repito, del 2022 era lo que había para agricultura y en este 2026 pues ya se aplicaron 721 millones de pesos y, bueno, pues un importante eh beneficio para el sector agrícola en nuestro estado. Una de las comparecencias que fueron, me parece, más este participativas y bueno pues el tema de la agricultura sí creo que es algo que todos celebramos, ¿no?</t>
  </si>
  <si>
    <t>José Isidro Villeda, dice: "Muy buenos días, por este medio expreso mi descontento por el actuar del personal directivo y administrativo de la clínica del hospital ISSSTE en Ixmiquilpan, ya que se han vuelto insensibles y no empáticos con los derechohabientes. Lo anterior debido a que se apropiaron del estacionamiento que existe fuera de dicho lugar para uso exclusivo del personal y no permiten el acceso ni siquiera a las personas adultas mayores o que se desplazan en silla de ruedas. El único lugar disponible cercano es una base del servicio público, por el cual tampoco es posible estacionarse. Solicito el apoyo de las autoridades para que tomen conciencia lo difícil de la movilidad cuando se traslada a un enfermo y nos apropien de los lugares destinados para los derechohabientes."</t>
  </si>
  <si>
    <t>Apropiación de espacios públicos</t>
  </si>
  <si>
    <t>Por su parte, el gobernador Julio Menchaca comenta: "Felicito al equipo del DIF Hidalgo por su cuarto informe de actividades y, sobre todo, por el trabajo que realiza cada día por las familias hidalguenses, mi reconocimiento".</t>
  </si>
  <si>
    <t>Edda Vite presenta resultados de cuatro años de trabajo al frente del DIF Hidalgo</t>
  </si>
  <si>
    <t>Andrés Torres menciona que han estado un mes fuera del aire en la estación de radio 91.1 FM (Jacala). Asegura que han hecho su parte en la producción de programas, pero los responsables de mantener las estaciones en funcionamiento no lo han logrado. Esto resulta en no cumplir las metas de transmisión. También destaca que han estado fuera del aire en varios lugares, como Huejutla y Jacala y esto se debe a la falta de esfuerzo de algunos trabajadores, quienes encuentran excusas para no trabajar, como la distancia, el clima o la falta de transporte y viáticos. A pesar de estos obstáculos, Andrés subraya que ellos producen más de 110 programas originales, en lugar de simplemente repetir contenido como ocurre en la televisión y en donde solo producen 2 programas. Critica a quienes falsifican firmas o cambian fechas, diciendo que no están engañando a nadie, y que al final la verdad siempre sale a la luz. Refiere que la falta de compromiso y seriedad en el trabajo diario es un gran obstáculo. Andrés también menciona que hay personas que hacen ruido y amenazan, lo que contribuye a un mal ambiente laboral. A pesar de estos desafíos, él y su equipo continúan esforzándose por hacer un buen trabajo. " Como esto que les estoy contando, pero bueno, pues con eso tenemos que luchar todos los días, todos los días, este la transversalidad es el principal este obstáculo de el trabajo, ¿no? Las ocurrencias, las locuras, las estridencias, ¿no? De un de un tipejo, ¿no? Que dice que sabe, pero lo único que hace es gritar y amenazar, lo cual también, pues por supuesto, este significa una falta en el tema laboral, pero bueno, así es, hay quien lo soporte, ¿no? A ver quién lo aguanta."</t>
  </si>
  <si>
    <t>Mal Desempeño</t>
  </si>
  <si>
    <t>Hay que estar muy atentos en la región de Tula Tepeji. La Comisión Nacional del Agua, el Sistema Estatal de Protección Civil y las autoridades municipales están monitoreando de manera constante la presa Endhó y otros embalses en esta área. Existen varios lagos, incluyendo un lago artificial y lagos naturales. Las zonas residenciales importantes en Tepeji están siendo vigiladas, especialmente la presa Requena, para prevenir cualquier riesgo para la población.</t>
  </si>
  <si>
    <t>Monitoreo De Presas</t>
  </si>
  <si>
    <t>Este fin de semana termina la feria San Francisco Pachuca 2026, con un gran cierre. Si planea asistir a los eventos en el Teatro del Pueblo o en el palenque, recuerde llevar paraguas y un suéter, ya que es posible que llueva. Sin embargo, esto no detendrá los eventos. El lunes se dará un informe sobre el saldo final de la feria, pero ya se sabe que se van a romper algunos récords de asistencia, lo que indica que ha sido un evento muy exitoso.</t>
  </si>
  <si>
    <t>Turismo</t>
  </si>
  <si>
    <t>Feria Pachuca</t>
  </si>
  <si>
    <t>La Subsecretaría de Protección Civil del Estado de Hidalgo ha comunicado un pronóstico de lluvias fuertes debido al frente número 2 y su masa de aire polar. Estas lluvias se esperan del 15 al 18 de octubre, afectando principalmente durante el fin de semana. El viernes 16 de octubre se anticipan lluvias torrenciales que podrían alcanzar los 150 a 250 mm, lo que puede provocar inundaciones en áreas bajas, crecidas de ríos y arroyos, deslizamientos de tierra y desprendimiento de rocas. Andrés Torres hace un llamado a la población para que esté atenta a la información que se transmitirá por Radio y Televisión de Hidalgo y a las directrices que se compartirán en caso de alguna emergencia. Además, se recomienda que la ciudadanía esté informada a través de los gobiernos municipales sobre albergues y rutas de evacuación que se establecerán si es necesario. Indicó que durante el periodo de lluvias torrenciales, se aconseja a la población evitar acercarse a ríos y arroyos, ya que el nivel del agua puede aumentar rápidamente y sin previo aviso. La gente debe estar en comunicación con sus familias y seguir las recomendaciones de Protección Civil, que incluyen mantenerse informado por fuentes oficiales y evitar cruzar zonas inundadas. Advierte a quienes planean viajar a la Huasteca y la Sierra que reprogramen sus planes si es posible, ya que las condiciones climáticas serán peligrosas. La recomendación general es cuidarse y extremar precauciones, especialmente en la carretera.</t>
  </si>
  <si>
    <t>Andrés Torres: desafortunadamente ya tenemos un mes fuera del aire, allá en Zacualpan de Ledesma con nuestra estación 91.1 de frecuencia modulada. Tenemos problemas técnicos y bueno pues el área administrativa de Radio y Televisión de Hidalgo, ahí está pues tratando de resolver. Tenemos ya un mes esperando respuesta, también el área técnica pues está involucrada en este asunto. Mientras tanto, pues en redes sociales llegamos a la Sierra Gorda de nuestro estado.</t>
  </si>
  <si>
    <t>El Gobierno Municipal de Tulancingo, por medio de la Jefatura de Museos y la Secretaría de Cultura, Educación, Deporte y Juventud, llevó a cabo una revisión conjunta con la delegación en Hidalgo del Instituto Nacional de Antropología e Historia (INAH) para actualizar el inventario del patrimonio arqueológico resguardado en el Museo de Datos Históricos Gabriel Mancera. La última revisión de este tipo databa del año 2021. Durante el proceso se examinaron más de un centenar de piezas catalogadas —destacando estilos como guajomulco y huapalcalco, además de comodatos del INAH y donaciones particulares— y se acordó avanzar en el registro oficial de otras 50 piezas pendientes, cuya conclusión se proyecta para finales de 2027 o principios de 2028. Asimismo, se informó que el museo, inaugurado en el año 2000, alberga indumentaria tradicional de Santa Ana Hueytlalpan y una línea del tiempo histórica, y fungirá como sede de la próxima edición de la Noche de Museos enfocada en los usos y costumbres de la población indígena.</t>
  </si>
  <si>
    <t>Conservación del patrimonio</t>
  </si>
  <si>
    <t>Con la participación de alrededor de mil supervisores, docentes y padres de familia, el secretario de Educación Pública de Hidalgo, Natividad Castrejón Valdez, impartió la conferencia magistral "El papel de las madres, padres y personas tutoras en la formación de los hijos". Durante el evento, enmarcado en las acciones de la administración del gobernador Julio Menchaca Salazar, se destacó la creación de la Dirección General de Acompañamiento Socioemocional y Educativo para brindar herramientas a las familias. Asimismo, se enfatizó la importancia del afecto, la escucha activa y la colaboración entre el hogar y las escuelas para garantizar el desarrollo integral de la niñez hidalguense.</t>
  </si>
  <si>
    <t>Conferencia magistral</t>
  </si>
  <si>
    <t>Tras el trágico suceso ocurrido la mañana del lunes en el exterior de las oficinas de Servicios Regionales de la SEP en Tulancingo, donde un trabajador perdió la vida a causa de disparos de arma de fuego, la Secretaría de Educación Pública de Hidalgo emitió un comunicado oficial. En el documento, la dependencia expresó sus condolencias a los familiares y compañeros de la víctima, y reiteró su disposición para colaborar plenamente con las autoridades ministeriales encargadas de las investigaciones correspondientes.</t>
  </si>
  <si>
    <t>Homicidios</t>
  </si>
  <si>
    <t>Realiza SEPH Jornada Pedagógica Estatal de Educación Física</t>
  </si>
  <si>
    <t>Formación continua</t>
  </si>
  <si>
    <t>Guitarras distorsionadas, baterías potentes y la pasión del talento local tomarán las calles del municipio. Del 23 al 25 de octubre, Tulancingo vivirá la segunda edición del Todo Rock Festival, una plataforma que evoluciona en grande para ofrecer tres días continuos de música en vivo, abarcando géneros desde el rock and roll tradicional, punk y metal, hasta el rock pesado. Tras el rotundo éxito de su primera edición en 2023 —que duró solo un día—, el festival triplica su oferta gracias al respaldo de la administración municipal que encabeza la alcaldesa Lorena García Cázares, a través de la Secretaría de Cultura, Educación, Deporte y Juventud y la Dirección de Cultura.</t>
  </si>
  <si>
    <t>Concierto</t>
  </si>
  <si>
    <t>Durante la sesión en el Congreso del Estado de Hidalgo, el diputado Avelino Tovar Iglesias (Partido Verde Ecologista de México) presentó una iniciativa orientada a dignificar los centros de rehabilitación de adicciones, estableciendo protocolos de atención a crisis, rutas médicas claras y la regulación de espacios para menores de edad. Ante esto, la secretaria de Salud, Vanessa Escalante Arroyo, respondió de manera positiva a la propuesta de colaboración interinstitucional, reconociendo la atención en municipios como San Agustín Tlaxiaca y destacando la importancia del trabajo coordinado con los ayuntamientos y diversas secretarías para salvaguardar el bienestar y los derechos humanos de la juventud hidalguense.</t>
  </si>
  <si>
    <t>Iniciativa</t>
  </si>
  <si>
    <t>Durante su comparecencia ante el Congreso del Estado de Hidalgo en el marco de la glosa del cuarto informe de gobierno, la secretaria de Salud, Vanessa Escalante Arroyo, destacó los avances en materia de infraestructura médica y prevención. Entre los proyectos principales, resaltó la construcción y equipamiento del nuevo Hospital General de Actopan —con una inversión superior a los 861 millones de pesos—, obra destinada a saldar una deuda histórica y beneficiar a 132,000 habitantes del Valle del Mezquital ampliando su capacidad a 60 camas y cuatro quirófanos. Asimismo, informó sobre inversiones en centros especializados como el CAPASITS y el centro contra adicciones en Tulancingo, bajo los principios de universalidad, transparencia y combate a la corrupción.</t>
  </si>
  <si>
    <t>COMP</t>
  </si>
  <si>
    <t>Durante la continuación de las comparecencias de la tarde, el locutor introdujo la intervención del titular de la Secretaría del Trabajo, destacando la importancia de la rendición de cuentas como un diálogo fundamental que enriquece la vida democrática y fortalece al Estado de Hidalgo.</t>
  </si>
  <si>
    <t>Durante una sesión ordinaria del Congreso del Estado Libre y Soberano de Hidalgo, el diputado Andrés Velázquez Vázquez, en su carácter de presidente de la Junta de Gobierno, dio la bienvenida al secretario del Trabajo y Previsión Social, Óscar Javier González Hernández. Durante su intervención institucional en el marco de la glosa del cuarto informe del gobernador Julio Menchaca Salazar, el legislador destacó la importancia del trabajo digno para el sustento de los hogares hidalguenses.</t>
  </si>
  <si>
    <t>Se dio a conocer el inicio de la segunda semana de comparecencias de las y los secretarios del gabinete del gobierno del estado de Hidalgo, correspondientes a las actividades de glosa en el marco del cuarto informe de gobierno presentado por el mandatario estatal Julio Menchaca Salazar.</t>
  </si>
  <si>
    <t>Gobierno</t>
  </si>
  <si>
    <t>Mediante enlace desde el notimóvil desde la colonia Media Sierra, frente a las oficinas de los Servicios Regionales de la SEP, René Aguilar informó sobre una agresión armada perpetrada en el exterior del inmueble. Los primeros reportes preliminares indicaban la presencia de una persona sin vida en el lugar. Debido a los protocolos de seguridad, la zona fue cercada por elementos policiales y autoridades estatales a la espera de la policía ministerial para realizar las diligencias e investigaciones correspondientes.</t>
  </si>
  <si>
    <t>Durante la transmisión en directo desde la Sala del Pueblo del Ejecutivo estatal, el titular de comunicación, Edmundo Pineda, destacó la conmemoración del Día Mundial Contra el Cáncer de Mama este 19 de octubre. Asimismo, presentó materiales en video sobre las condiciones climáticas provocadas por las lluvias en la entidad, sirviendo de enlace entre las intervenciones del director del Sistema DIF Hidalgo, Ricardo Alvizo, y el subsecretario de Protección Civil y Gestión de Riesgos, Román Bernal Díaz.</t>
  </si>
  <si>
    <t>Atención Afectaciones Por Lluvias</t>
  </si>
  <si>
    <t>Mañanera de Hidalgo</t>
  </si>
  <si>
    <t>El ingeniero Saúl Flores Urrutia, representante del Instituto Nacional Electoral (INE) en el Distrito 4 de Tulancingo, informó sobre las rutas y los módulos móviles de atención ciudadana programados para la semana del 19 al 23 de octubre de 2026. Los módulos brindarán servicios de inscripción, actualización de datos, reposición y renovación de credenciales en municipios como Santiago Tulantepec, Acaxochitlán, Tenango de Doria, Metepec y Agua Blanca de Iturbide, en un horario de 9:00 a.m. a 4:00 p.m. Asimismo, recordó a los jóvenes que cumplirán 18 años antes del 6 de junio de 2027 que pueden realizar su inscripción anticipada hasta el 25 de enero de 2027. Finalmente, recordó que continúan abiertas las convocatorias para observadores electorales y consejerías distritales.</t>
  </si>
  <si>
    <t>Credencialización</t>
  </si>
  <si>
    <t>Durante su participación en la conferencia matutina del gobierno estatal, Ricardo Alvizo Contreras, director del sistema DIF Hidalgo, detalló los avances informados previamente por la presidenta del patronato, Edda Vite Ramos. Alvizo Contreras destacó alianzas estratégicas como la realizada con la fundación Michou y Mau para el traslado gratuito de niños con quemaduras graves a Galveston, Texas, así como la atención a pacientes oncológicos mediante más de 68,000 quimioterapias y 46,000 atenciones de urgencia. Asimismo, resaltó que en los centros de rehabilitación integral se han brindado más de un millón de atenciones a personas con discapacidad, invirtiendo más de 60 millones de pesos en su remodelación y adquiriendo equipo tecnológico especializado como el robot LOCOMAT. En el eje alimentario, indicó que se han entregado más de 91 millones de desayunos a 150,000 niños diarios en los 84 municipios, con el objetivo de combatir la desnutrición, el sobrepeso y la obesidad mediante un presupuesto 100% estatal.</t>
  </si>
  <si>
    <t>Durante su intervención en la conferencia matutina del Gobierno del Estado de Hidalgo, el doctor Carlos Francisco Ávila Zúñiga informó que en el estado de Hidalgo existen 35 personas a la espera de un trasplante de órgano, mientras que más de 300 hidalguenses se encuentran en la lista de espera a nivel nacional, la cual supera las 18,000 personas en todo el país. Ante esta situación, destacó el compromiso de las autoridades de salud estatales por fortalecer la cultura de donación, reconocer a las familias de los donadores y garantizar que los procesos médicos para los trasplantes se realicen de manera segura para salvaguardar la vida de los pacientes.</t>
  </si>
  <si>
    <t>Trasplante de órganos</t>
  </si>
  <si>
    <t>Jesús Riveros da salida a comentario de radioescucha realizado por el señor Roberto Ortiz respecto a las deplorables condiciones de la clínica número dos del IMSS en Tulancingo. El Radioescucha reportó la falta de higiene, medicamentos y la presencia de hongos en las instalaciones, señalando además que al exponer su queja ante la dirección y la delegación, las autoridades se negaron a dar sus nombres y le sugirieron cambiar a su paciente de clínica. Ante esta situación, se cuestionó la falta de atención institucional y se recordó que la revisión de los nosocomios es una tarea prioritaria a nivel federal.</t>
  </si>
  <si>
    <t>El Instituto Estatal Electoral de Hidalgo (IEEH) aprobó el acuerdo IEE/CG/038/2026, mediante el cual se eliminó la reserva exclusiva de municipios para candidaturas femeninas de cara al proceso electoral 2026-2027. A diferencia de 2024 —año en el que se reservaron 27 municipios para mujeres—, las nuevas reglas obligan a los partidos a encabezar al menos el 50% de sus planillas con mujeres distribuidas en tres bloques de competitividad (alta, media y baja). Pese a que legisladores locales buscaron elevar a rango legal la reserva de 42 municipios, la reforma aprobada por el Congreso del Estado (Decreto 723/LXVI) no incluyó dicha propuesta. La consejera Ariadna González Morales emitió un voto concurrente tras cuestionar si los bloques de competitividad serán suficientes para mantener la representación femenina alcanzada en los comicios anteriores.</t>
  </si>
  <si>
    <t>IEEH</t>
  </si>
  <si>
    <t>Acción afirmativa</t>
  </si>
  <si>
    <t>Durante la conferencia matutina semanal del gobierno del estado, encabezada en la introducción por el titular de comunicación Edmundo Pineda López, se presentaron los avances en materia de salud, protección civil y del sistema DIF Hidalgo. Entre los anuncios principales, se destacó la remodelación del Aeropuerto Nacional Juan Guillermo Villasana en Pachuca, obra que no había recibido mantenimiento en más de 30 años y que ahora fortalecerá la capacidad de respuesta ante emergencias mediante traslados aéreos y de órganos. Asimismo, el doctor Carlos Francisco Ávila Zúñiga intervino para resaltar los logros del estado en materia de donación y trasplante de órganos, posicionando a Hidalgo por encima de la media nacional gracias al altruismo de los donantes y al respaldo de las autoridades de salud.</t>
  </si>
  <si>
    <t>Durante su colaboración semanal, el maestro José Luis Lima Morales reflexionó acerca de las discusiones recientes en la Cámara de Diputados y los ayuntamientos sobre las reformas constitucionales y la propuesta de otorgar facultades a los presidentes municipales para celebrar contratos sin la intervención de la asamblea municipal. El ponente señaló que, si bien la agilización administrativa puede ser legítima, es fundamental equilibrarla con la transparencia, la rendición de cuentas y la división de poderes. Asimismo, reconoció la postura respetuosa del gobernador estatal hacia el Poder Legislativo e hizo un llamado a las y los regidores municipales para fundamentar con rigor jurídico sus intervenciones y votaciones, priorizando siempre el interés público y el fortalecimiento institucional.</t>
  </si>
  <si>
    <t>José Luis Lima</t>
  </si>
  <si>
    <t>Durante la emisión de *Las Vocales Radio* como todos los lunes, Andrés Torres y Alberto Gonzpalez abordaron el tema de la reforma impulsada por el diputado local Miguel Moreno al artículo 141, fracción XV, de la Constitución del Estado, la cual busca modificar la relación y el nivel de compromiso de los regidores dentro de los cabildos. El propósito principal de la normativa no es quitarles facultades a los regidores, sino obligarlos a involucrarse activamente en temas presupuestales, de planeación y en la aprobación de obras y proyectos dentro de los municipios. Con esta modificación se pretende evitar que los alcaldes tengan un "cheque en blanco" en la asignación de obras o solicitud de créditos, manteniendo candados estrictos donde se requiere la aprobación de las dos terceras partes del cabildo.</t>
  </si>
  <si>
    <t>Andrés Torres Y Alberto Gonzálezz</t>
  </si>
  <si>
    <t>Durante la emisión de *Las Vocales Radio* como todos los lunes, Andrés Torres y Alberto Gonzpalez analizaron el formato actual de las comparecencias de los secretarios del gabinete estatal ante el Congreso del Estado, señalando que este se encuentra superado y ya no cumple con el propósito de profundizar en los asuntos de interés público. Se discutió el caso específico de la Secretaría de Movilidad y Transporte, cuyo funcionamiento fue duramente cuestionado, comparando su gestión con deficiencias en la rendición de cuentas a los usuarios. Se planteó la necesidad de buscar un esquema mucho más ágil y riguroso para las comparecencias que permita abordar tanto los temas torales del estado como las responsabilidades de los funcionarios en temas lo que hizo Eduardo Iturbe en un inicio de esta administración en Comunicación Social, los múltiples cambios que ha habido, así como las quejas que hay, por ejemplo, con el subejercicio de cinco años seguidos en Radio y Televisión de Hidalgo, Donde este año han estado presupuestadas 14 millones de pesos para dos estaciones, una en AM en Pachuca y otra en FM en Tenango de Doria, Dinero que nadie sabe dónde está y que debe responder a esto Carlos Barra. En este sentido, también señaló que la estación "La Voz de la Sierra Gorda" en Jacala lleva un mes fuera del aire debido a la negligencia de las autoridades de Radio y Televisión de Hidalgo, las cuales supuestamente priorizan la autopromoción sobre la solución técnica y operativa de los medios públicos. Finalmente destaca que en estas comparecencias ahora se esté incluyendo al Oficial Mayor. También se abordó la reforma impulsada por el diputado local Miguel Moreno al artículo 141, fracción XV, de la Constitución del Estado, la cual busca modificar la relación y el nivel de compromiso de los regidores dentro de los cabildos. El propósito principal de la normativa no es quitarles facultades a los regidores, sino obligarlos a involucrarse activamente en temas presupuestales, de planeación y en la aprobación de obras y proyectos dentro de los municipios. Con esta modificación se pretende evitar que los alcaldes tengan un "cheque en blanco" en la asignación de obras o solicitud de créditos, manteniendo candados estrictos donde se requiere la aprobación de las dos terceras partes del cabildo.</t>
  </si>
  <si>
    <t>Hoy continúan las comparecencias en el Congreso del Estado en la 66 legislatura. Hoy tenemos la comparecencia del Secretario de Infraestructura y posteriormente la de Medio Ambiente.</t>
  </si>
  <si>
    <t>Semarnath</t>
  </si>
  <si>
    <t>Andés Torres comenta: lamento muchísimo darles esta noticia, pero ya tenemos un mes fuera del aire allá en 91.1 de frecuencia modulada, "La Voz de la Sierra Gorda" allá en Jacala. Pues este, nosotros ya hicimos las solicitudes correspondientes, ya sabe, ¿no?, la negligencia, el nepotismo, esta eh pues necedad y desconocimiento, ¿no?, de nuestras autoridades de Radio y Televisión de Hidalgo, que pues están más preocupadas en promoverse a sí mismo, en salvar su pellejo, en agarrar el siguiente hueso, que en ponerse a trabajar, en conocer algo, hacer algo, ¿no?, por Radio y Televisión de Hidalgo, pues dicen que no, que no es importante arreglar la estación y que ahí se puede quedar sin señal. Bueno, pues ese es este cada quien su responsabilidad. Hablé con Alejandro Velázquez hace un par de días y hablábamos precisamente de esta situación anómala, de esta eh pues situación que es, pues evidentemente una situación de corrupción, ¿no?, de desconocimiento y, por supuesto, pues es una infamia que alguien esté utilizando recursos públicos para autopromoverse en lugar de trabajar y cumplir con su responsabilidad. Pero bueno, pues ya cada quien, ¿no?</t>
  </si>
  <si>
    <t>Un túnel presuntamente usado para realizar robo de hidrocarburo fue localizado a partir de, que trabajadores de Petróleos Mexicanos notaron tierra removida en un predio. Agentes adscritos a al área de inteligencia operativa y seguridad física de Pemex se encontraban realizando recorridos de vigilancia a lo largo del poliducto Tula-Azcapotzalco A la altura del kilómetro 4+000 en la localidad Zacamulpa, donde detectaron una situación que les llamó la atención. Al verificar con mayor detalle, los agentes descubrieron el túnel; al ingresar, descubrieron que estaba equipado con manguera de alta presión de dos pulgadas de diámetro y que al final estaba conectada al ducto referido. Se confirmó que el túnel tenía una extensión de aproximadamente 90 metros, partiendo desde el interior de un predio particular ubicado en la localidad Zacamulpa; además de que tenía unos 50 centímetros de alto por otros 50 en su ancho. La construcción conducía hasta el interior de un predio particular, sitio hasta donde presuntamente llegaba hidrocarburo que era extraído de manera ilegal desde los ductos, para luego vaciarlo en contenedores y finalmente distribuirlo en Atotonilco de Tula y otros municipios cercanos y partes del estado de Hidalgo. El túnel fue cancelado; la Fiscalía General de la República inició la investigación para establecer las responsabilidades legales a quien corresponda.</t>
  </si>
  <si>
    <t>Huachitúnel</t>
  </si>
  <si>
    <t>Daniel Martínez en respuesta a un radioescucha que pregunta que qué pasó por servicios regionales. Ah, le comento, este, desafortunadamente, bueno, el primer reporte que tenemos es de que habían atacado este, a balazos a una persona y ya lo que nos comenta bomberos y Protección Civil que acudieron a ofrecer el servicio, es de que es una persona que, desafortunadamente, falleció precisamente por este ataque con arma de fuego. No se conocen mayores datos eh la identidad de la persona. De los atacantes, entiendo que hay un operativo en este momento para poder ubicarlos y, obviamente, eventualmente detenerlos.</t>
  </si>
  <si>
    <t>Radioescucha se queja de que en el Hospital General de Tulancingo no hay tomografías.</t>
  </si>
  <si>
    <t>Radioescucha: en la clínica 34 del IMSS no hay medicamento. Me traen vuelta y vuelta y nada de que llega.</t>
  </si>
  <si>
    <t>Radioescucha: El ISSSTE de Tulancingo, ¿cómo es posible que no tengan ni una sola cama de hospitalización y tampoco un quirófano, con una población de 250,000 habitantes y que muchos eh maestros también eh vienen de otros municipios y también solo tres consultorios y ninguna especialidad? Es responsabilidad d el gobernador en turno de solicitar el mejoramiento del ISSSTE Tula, Ixmiquilpan tienen todo lo antes mencionado, ¿cómo es posible?</t>
  </si>
  <si>
    <t>En el marco de la Feria Gastronómica Internacional Tulancingo Entre Sabores 2026, el gobierno municipal firmó convenio de colaboración con la Asociación Gremial de Chefs Autónomos de Chile. El objetivo del convenio es impulsar el intercambio de conocimientos para el desarrollo del sector gastronómico. Al respecto, la alcaldesa Lorena García Cázares señaló que las actividades gastronómicas impulsan otras actividades, como el turismo, lo que significa derrama económica para la población de Tulancingo. Destacó que el evento se pudo realizar a partir de la colaboración entre el Gobierno Municipal de Tulancingo con diversos sectores de la iniciativa privada. La Feria Gastronómica Internacional en Tulancingo, se llevó a cabo el sábado 17 y domingo 18 de octubre, en el Corredor Cultural del Ferrocarril, así como en varios restaurantes participantes. Estos últimos albergaron a chefs, quienes ofrecieron sus creaciones a los comensales que acudieron a dichas sedes durante las fechas de celebración del evento gastronómico. En el evento se ofrecieron productos y alimentos artesanales, tanto de la región, como de otros puntos del Estado de Hidalgo, para ser adquiridos por los visitantes, así como por especialistas en gastronomía. Además, se ofrecieron degustaciones de los alimentos preparados por los chefs, así como cocineras y cocineros tradicionales. Chefs, así como cocineras y cocineros tradicionales de naciones como Chile, Cuba, Guatemala, Ecuador, Argentina, Bolivia, Perú, Honduras y Estados Unidos, participan en el evento, ofreciendo clases magistrales, cursos, talleres y prácticas diversas. En entrevista, la titular de la Secretaría de Turismo en Hidalgo, Elizabeth Gómez Quintanar, dijo que se trata del evento en su tipo más importante realizado en fechas recientes dentro de la entidad. Celebró el esquema de colaboración establecido para llevar a cabo las actividades, señalando que con ello existen resultados adecuados, tanto para el desarrollo del evento, como para sus resultados. La funcionaria estatal consideró importante darle continuidad a este evento, tanto por las muestras y actividades que se desarrollan, como por la derrama económica que representan en este caso, para Tulancingo. Podría interesa</t>
  </si>
  <si>
    <t>Firma De Convenio</t>
  </si>
  <si>
    <t>Daniel Martínez: están reportando que hace unos momentos ocurrió un ataque armado al interior de las oficinas de Servicios Regionales de Educación en la zona de Media Sierras. De hecho, en este momento me están actualizando información de que hay movimiento policíaco, hay atención médica, aparentemente habrían baleado, habrían atacado con arma de fuego a una persona al interior de las oficinas de servicios regionales de educación y por eso la movilización que se está observando en este momento. Conforme vaya evolucionando la información, en conforme se vaya dando más información al respecto, este pues por acá le irán platicando qué es lo que está ocurriendo, ¿sale? ...pues vamos a ver si hay personas detenidas y sobre todo qué pasó, qué pasó, por qué del ataque.</t>
  </si>
  <si>
    <t>En los cuatro años que lleva la actual administración del Gobierno del Estado de Hidalgo, Junta Local de Conciliación y Arbitraje ha resuelto 2 mil 590 expedientes, que representan el 50 por ciento de avance. Consultar atlas. Lo anterior fue informado por el titular de la Secretaría del Trabajo y Previsión Social del Estado de Hidalgo, Óscar Javier González Hernández, durante su comparecencia ante el Congreso del Estado de Hidalgo, este viernes 16 de octubre. Señaló que en el año más reciente, se resolvieron 466 expedientes en beneficio de 138 trabajadores que esperaban la conclusión de sus demandas laborales. Mientras que el Tribunal de Conciliación y Arbitraje ha celebrado, en cuatro años, 6 mil 886 convenios en beneficio de 6 mil 889 trabajadores del sector público, lo que representa un monto total de 191 millones 58 mil 875 pesos mediante el diálogo. El funcionario destacó que en dicho tribunal se concluyeron mil expedientes laborales en beneficio de 934 trabajadores, los cuales se encontraban pendientes de resolver. Puntualizó que en cuatro años, se han dictado 705 laudos en beneficio de 992 personas que han concluido sus asuntos laborales. Destacó que, en el último año, se dictaron 327 laudos a favor de 501 trabajadores. Además, en cuatro años se han solicitado 23 mil 180 audiencias de conciliación, de las cuales 16 mil 535 controversias se resolvieron de forma satisfactoria y se emitieron 6 mil 645 constancias de no conciliación. Con ello, y gracias al trabajo del personal de la dependencia, Hidalgo se coloca en primer lugar nacional en tiempo de conciliación de los procesos conciliatorios, con un promedio de 21 días, de los 45 que se establecen en la ley. Desde el inicio de la administración, se han realizado cerca de 11 mil asesorías y en el último año, se han brindado 3 mil 121 asesorías a trabajadores y sindicatos ante posibles conflictos entre trabajadores y empleadores. Ello ha significado la celebración de mil 608 convenios por un monto de 49.5 millones de pesos; además, en cuatro años, se ingresaron 2 mil 371 demandas y, en el último año, van 732. Mientras que, en materia de juicios políticos, se han resuelto 2 mil 478 juicios, de los cuales mil 547 resultaron a favor de las y los trabajadores, con un monto equivalente a 59 millones 510 mil 952 pesos.</t>
  </si>
  <si>
    <t>El Hospital General de Actopan quedará concluido en diciembre de este mismo año, previendo que el de Tlaxcoapan entre en operación antes de finalizar el 2026, declaró la secretaria de Salud de Hidalgo (SSH), Vanessa Escalante Arroyo. Durante su comparecencia ante el Congreso del Estado de Hidalgo, realizada este viernes 16 de octubre, recordó que el primer nosocomio citado será administrado por el sistema IMSS Bienestar, y en el segundo caso, por el IMSS ordinario. En la construcción del Hospital General de Actopan se invierten 503 millones 24 mil 612 pesos, sumado a 355 millones de pesos para su equipamiento. El objetivo es brindar atención médica especializada a 132 mil habitantes de siete municipios del Valle del Mezquital, incrementando la capacidad hospitalaria de 30 a 60 camas, además de contar con cuatro quirófanos. Escalante Arroyo señaló que la plantilla laboral y los recursos necesarios, como medicamentos e insumos para su operación están contemplados por el Gobierno federal, a través del IMSS-Bienestar. En cuanto a los hospitales generales de Pachuca y Tula de Allende, informó que se invirtieron 7.9 millones de pesos en adecuaciones para poner en funcionamiento sus tomógrafos, luego de que ambos nosocomios permanecieran nueve meses y dos años, respectivamente, sin estos equipos. “Esto permitirá agilizar los diagnósticos, reducir la espera y evitar que las y los pacientes paguen estos estudios fuera del hospital”, expresó. Escalante Arroyo informó a su vez que en reunión reciente con la presidenta de México, Claudia Sheinbaum Pardo, con directoras y directores de hospitales transferidos al IMSS-Bienestar, se planteó revisar y resolver el tema de los precarios salarios que recibe el personal médico adscrito al sector oficial. A su vez, se propuso la contratación de más profesionales de la salud, entre ellos especialistas, enfermeras, enfermeros y médicos generales. También se expuso la falta de ambulancias en Hidalgo, las necesidades de insumos de consumo y medicamentos en las unidades médicas; de acuerdo a Escalante Arroyo, la Federación se comprometió a dar seguimiento a estos planteamientos.</t>
  </si>
  <si>
    <t>Daniel Martínez: ...Y me queda claro que es un escenario, no sé si con cucarachas o sin cucarachas, pero un escenario muy semejante el que deben de estarse encontrando en las 270 y pico de clínicas y hospitales que están en revisión en el IMSS. Pues ¿no que no pasaba nada? Ya ni hagan mediciones con Dinamarca, con Colombia, con la Conchinchina, con quien sea. Hay que resolver lo que está urgente en este momento y Tepeji, Tepeji es un botón de muestra al respecto.</t>
  </si>
  <si>
    <t>Denuncia médico plaga de cucarachas en hospital del IMSS Con una larga lista de carencias, propuestas y peticiones, un médico internista en el Hospital General de Zona en Tepeji del Río, Hidalgo, terminó su intervención con la súplica de que se combata el nido de cucarachas donde se colocan los expedientes de los pacientes. Esperó al final de su intervención para hacer la última petición en una lista de dos páginas que preparó para el encuentro con los directivos del hospital, dentro de la estrategia Piso por Piso, que ordenó la Presidenta Claudia Sheinbaum para conocer de primera mano las necesidades del IMSS. “Ahí sí lo dejo hasta el final, porque es muy personal y me agobia bastante. Tenemos un mueble de madera en la oficina de medicina interna, no sé desde qué año, porque, yo no he estado aquí tanto, pero contemplo que debe llevar al menos más de 10 años, y el único día que viene a cubrir en la noche, ahí es una fiesta de cucarachas. “Es un mueble para los expedientes y, pues, no lo sé, no considero que eso sea pertinente en un hospital”, alertó el médico residente que se atrevió a denunciar todo lo que falta en sus turnos de trabajo. El médico hizo todo un diagnóstico de lo que le falta al “paciente IMSS” para combatir su enfermedad y regresarle la salud a la institución, si es que se quiere remediar la falta de insumos, medicamentos y de personal. De nombre Miguel Acuña, el médico internista en el Hospital General de Zona y Clínica Familiar número 6 resaltó que tienen gran demanda de los municipios cercanos, con pacientes renales, cardiópatas, neumófatas y en estado crítico, y aunque no tienen terapia intensiva, a éstos últimos se les recibe todos los días. Sobre los pacientes respiratorios, expuso, llevan meses pidiendo que les doten de puntas nasales, con las que se suministra oxígeno directo en las fosas nasales, porque no hay regularmente. Tampoco hay personal de inhaloterapia, alguien que pueda estar checando y vigilando directamente el ventilador, sobre todo cuando hay pacientes con infecciones respiratorias. Indicó que no hay trampas de aspiración bronquial ni aparatos para nebulizar un paciente intubado ni equipo para la adaptación de los ventiladores, que son antiguos. En cuanto a los pacientes cardiópatas, no hay monitores para esta condición y los cinco monitores que hay en existencia, no sirven para esos enfermos, por lo que los tienen conectados a un desfibrilador. Reportó que no hay parches para marcapasos temporales ni hay vasopresores, solamente tienen, a veces, norepinefrina y nunca hay vasopresina. En relación a los pacientes geriátricos, cuando caen en paro respiratorio es imposible tener una atención con un “barrote”, la cabecera, que no se puede quitar, dijo. El médico residente resaltó que también hay escasez de bombas de infusión, por ejemplo, hay cinco en un piso donde tienen hasta tres pacientes críticos. “Es un absurdo. Las bombas de infusión también van destinadas a analgésicos”, comentó sobre la necesidad de este material. En cuanto a medicamentos resaltó que suelen faltar los que tratan el dolor, como buprenorfina y tramadol, que suele no haber, como tampoco el paracetamol intravenoso. Los antimicrobianos con frecuencia les dicen que no hay en existencia. Para los pacientes renales, el médico del IMSS dijo que no hay bolsas de Baxter manuales, que se usan para las diálisis. [19/10/2026 12:34 p. m.] Emmanuel: En la descripción precisa de lo que falta, refirió que no hay material en bacteriología, para hacer análisis de secreciones ni hemocultivos, aunque hay pacientes en hemodiálisis, ni para líquido peritoneal. “Estamos gastando recursos con ceftazidima y vancomicina, (antibióticos), es como disparar al aire. Para peritonitis, que ni siquiera sabemos para qué dio positivo”, refirió sobre la falta de material para hacer estudios de laboratorio. Reportó que los laringoscopios están viejitos, porque si bien hay en existencia, dijo, hay varios equipos ya cumplieron su vida útil. “Un médico internista que no puede pedir unos anticuerpos antinucleares de mínimo, es como querer entrar con una velita a una bodega”, sostuvo. Planteó fortalecer el área de laboratorio, porque no se le puede pedir a los pacientes que vayan a Pachuca a hacerse estudios o a donar sangre, porque son dos o tres horas de camino. Otro trabajador se quejó de que el IMSS ya no dota de uniformes al personal y aún así los presionan para que acudan al trabajo con una vestimenta. “Nos quieren dar buenas condiciones de trabajo, aquí en Tepeji, no existe, la verdad, con todo respeto”, reclamó.</t>
  </si>
  <si>
    <t>Por medio de un comunicado oficial, se dio a conocer que el titular de la Secretaría de la Contraloría en el Estado de Hidalgo, Álvaro Bardales Ramírez, respaldó la eliminación de autorizaciones duplicadas para las contrataciones municipales. Lo anterior, luego de que un grupo de asambleístas de varios municipios de la entidad se han manifestado públicamente respecto a la de reforma al artículo 141 de la Constitución Política del Estado de Hidalgo. La reforma establece la autorización para que establezcan acuerdos y contratos sin la obligación de ser autorizados por los integrantes de la Asamblea Municipal respectiva. Los asambleístas que se oponen a la reforma, señalan que con esta se les resta facultades a los integrantes de los cuerpos edilicios. Al respecto, Bardales Ramírez señaló que los recursos públicos no pueden quedar sujetos a disputas políticas, intereses personales o incapacidad para construir acuerdos. Señaló que, cuando el presupuesto ya fue aprobado y se cumplen los requisitos legales para contratar, exigir nuevamente el aval del Cabildo puede detener las mismas obras y acciones que el ayuntamiento autorizó. El funcionario estatal señala que revisar el gasto constituye una obligación, pero utilizar una autorización pendiente para obtener plazas, contratos o beneficios personales representa una conducta que debe investigarse cuando existan elementos. La Contraloría recibe constantemente quejas de presidentes municipales, contralores internos y tesoreros porque las autorizaciones se detienen y el presupuesto no se ejecuta. Se señala que las consecuencias recaen en las comunidades: obras que no comienzan, servicios que se retrasan y necesidades que siguen sin respuesta. Frente al argumento de que la reforma debilita la vigilancia, Bardales sostuvo que la contratación pública tiene obligaciones que deben cumplirse: procedimientos de obra y adquisiciones, suficiencia presupuestaria, integración de expedientes, comprobación de pagos y fiscalización. También intervienen los órganos internos de control y la ciudadanía organizada en comités de Contraloría Social. “La preocupación por preservar los contrapesos es legítima; también lo es exigir que esos controles funcionen y permitan atender a la población. Ninguna facultad pública debe convertirse en un coto de poder ni en una oportunidad para negociar beneficios particulares”, señala el comunicado. “El señalamiento alcanza también a las presidencias municipales: agilizar los procedimientos no justifica contrataciones arbitrarias, proveedores favorecidos ni obras deficientes. Quien ejerce el presupuesto debe acreditar cada decisión y responder por cualquier irregularidad”. A ello se agrega que “existen recursos federales sujetos a plazos cuyo incumplimiento puede generar la obligación de devolverlos. Una confrontación política puede terminar costándole a una comunidad el agua, el drenaje o la calle que esperaba.</t>
  </si>
  <si>
    <t>En el presente periodo de gobierno municipal en Tulancingo, se instaló y está en funcionamiento un circuito cerrado para vigilancia del panteón central “San Miguel”, ubicado en la colonia Zapotlán de Allende. Juan Alberto Santuario Elías, titular de la Secretaría de Servicios Públicos Municipales, señaló que con dicho sistema y otras medidas de seguridad preventiva, se ha abatido el saqueo de tumbas e infraestructura entre 50 a 60 por ciento. Señaló que al inicio del actual periodo de gobierno municipal, registraron varios reportes de robo y saqueo dentro de dichas instalaciones. Candelabros, cancelería, parte de monumentos mortuorios, fue parte de la infraestructura robada, saqueada o vandalizada; fue por ello que se determinó la instalación del sistema de circuito cerrado. Además, se ha reforzado la infraestructura, como la rehabilitación de una de las bardas perimetrales para evitar el ingreso al camposanto. Junto con ello los rondines por parte de cuerpos de seguridad pública se han intensificado en la zona para evitar el ingreso de ladrones, vándalos, o cualquier persona que pretenda ingresar de forma ilegal o por lo menos inadecuada al panteón. Respecto al estado físico en general de las instalaciones en este momento, Santuario Elías señaló que se establecieron convenios de trabajo con dependencias como Parques y Jardines, y Limpias, para mantener el panteón en buenas condiciones. Trabajadores de la primera dependencia municipal citada, realizan constante mantenimiento al arbolado al interior, así como el retiro de ramas y maleza. n tanto, el personal de Limpias realiza el retiro cotidiano de la basura y residuos sólidos, para evitar que la acumulación pueda generar problemas de contaminación, fauna nociva y mal aspecto físico. El funcionario municipal agregó que con el apoyo de la dirección municipal de Mercados y Centros de Abasto, se ha trabajado en la regulación del comercio que opera en los alrededores del panteón. Aseguró que las labores y vigilancia se realizan de forma cotidiana, tanto para facilitar la visita al camposanto, como para dignificar este espacio.</t>
  </si>
  <si>
    <t>Panteón Municipal</t>
  </si>
  <si>
    <t>Gobierno de Hidalgo amplía oportunidades de venta para emprendedores con discapacidad</t>
  </si>
  <si>
    <t>Una patrulla adscrita a la dirección municipal de Tránsito y Movilidad de Tulancingo, chocó por la parte trasera de una camioneta, en el cruce de avenida 21 de marzo y la calle Nicolás Bravo, en el centro de la ciudad. El incidente se registró durante la madrugada del domingo 18 de octubre; en un video que circula en redes sociales, se observa que el conductor de la camioneta maniobra en la esquina señalada, intentando incorporarse, al parecer, a avenida 21 de marzo. En ese momento, la patrulla se impacta en la parte trasera de la camioneta, chocando este último vehículo mencionado contra unos tubos de protección que fueron derribados, y de inmediato, el conductor se va del lugar a gran velocidad. Los oficiales policiacos que estaban a bordo de la patrulla accidentada, se reportan sin lesiones de consideración. Se desconoce el estado físico y de salud de los ocupantes de la camioneta, pues ya no pudo ser localizada. Presuntamente, el accidente se derivó de una persecución que realizaban los elementos de Tránsito y Movilidad hacia los ocupantes de la camioneta; en este momento se desarrolla una investigación interna para establecer los detalles alrededor del incidente.</t>
  </si>
  <si>
    <t>Accidente de patrulla</t>
  </si>
  <si>
    <t>El sábado un joven de 22 años de edad muere en las inmediaciones del jardín La Foresta. al lugar acudieron los cuerpos de auxilio, que ya nada pudieron hacer. Se dice que fue a causa de una enfermedad crónica.</t>
  </si>
  <si>
    <t>Las lluvias registradas este fin de semana en el Estado de Hidalgo, han generado afectaciones, incluso cierre a la circulación en diversas vialidades. En Tenango de Doria, en la región Otomí-Tepehua, fue cerrada la vialidad a la altura de la localidad de Cerro Chiquito, en dirección a San José del Valle. Ello debido al incremento en los niveles de aguas en el río ubicado en la zona, además que se reportaron derrumbes que bloquearon carreteras. Debido a estas condiciones, no hay paso por esta vía, por lo que poblados ubicados en esta parte del municipio permanecen momentáneamente incomunicados. Además, se reportaron derrumbes que bloquearon carreteras. La posibilidad de habilitar el paso de manera restringida permanece en evaluación, en espera de que descienda el nivel del río y las condiciones permitan transitar de forma segura. Una de las afectaciones más importantes se reportó en la carretera San Mateo–San Bartolo Tutotepec, que permanece completamente cerrada debido a un derrumbe que cubrió la vía. La ruta alterna tampoco puede utilizarse, ya que está obstruida por material de construcción. Además, que un árbol cayó sobre la vía Metepec–Tenango de Doria. Protección Civil pidió no intentar cruzar por estos puntos, ante la posibilidad de nuevos deslaves y desprendimientos ocasionados por la humedad del terreno. En la carretera Pachuca–Tampico, personal y maquinaria de la Secretaría de Infraestructura Comunicaciones y Transportes (SICT) Hidalgo realizaron labores para retirar rocas y durante los trabajos, la circulación permaneció habilitada por solo un carril. En Xochiatipan el aumento del nivel del río Garcés obligó a interrumpir el tránsito vehicular hacia el municipio de Xochiatipan, luego de que el agua rebasara el vado provisional. Mientras que en el tramo carretero Nicolás Flores–Cardonal se reporta la caída de piedras, lo que se ha limitado la circulación en dicha vialidad, para evitar el registro de alguna emergencia. La Subsecretaría de Protección Civil y Gestión de Riesgos del Gobierno de Hidalgo exhortó a la población a mantener y reforzar las medidas preventivas, señalando que está activo el semáforo amarillo, que establece medidas de vigilancia y prevención. Se advirtió que la disminución o suspensión temporal de las lluvias no significa que el peligro haya desaparecido, ya que la saturación del terreno puede ocasionar movimientos de tierra incluso cuando no se registran precipitaciones. Como parte de las medidas preventivas, la dependencia exhortó a la población a evitar cruzar ríos, arroyos, vados y caminos inundados, tanto a pie como en vehículo, así como mantenerse alejada de cauces, barrancas y laderas inestables. También pidió extremar precauciones al transitar por carreteras y caminos rurales, respetar los cierres y señalamientos viales.</t>
  </si>
  <si>
    <t>La Secretaría de Salud del Estado de Hidalgo informó que, en el marco del Día Mundial de la Lucha contra el Cáncer de Mama, en Hidalgo se detectaron 186 casos en lo que va de 2026, al corte del 3 de octubre, con una tasa de 13.5 por cada 100 mil mujeres del mismo grupo de edad. La dependencia detalló que se realizaron 8 mil 718 exploraciones clínicas de mama y 5 mil 30 mastografías de tamizaje mediante una unidad móvil. Mientras que, en 2025, se registraron 355 casos de cáncer de mama en Hidalgo, con una tasa de 33.7 por cada 100 mil mujeres de 25 años y más. Eduardo Padilla González, encargado de la Subdirección de Atención en las Etapas de la Vida, de la Subsecretaría de Salud Pública, asumió que identificar la enfermedad en etapas tempranas es fundamental para mejorar el pronóstico y las posibilidades de tratamiento. De acuerdo con el funcionario, la estrategia incluyó la detección, valoración y confirmación diagnóstica. No obstante, se instó a las mujeres a conocer el aspecto y la consistencia habituales de sus mamas para reconocer posibles alteraciones, como bolitas, cambios en la piel, modificaciones en el pezón o secreciones inusuales. La SSH recomendó solicitar orientación del personal sanitario sobre los estudios de detección adecuados, de acuerdo con la edad y los antecedentes personales, así como consultar los resultados y realizar las pruebas complementarias cuando estén indicadas.</t>
  </si>
  <si>
    <t>Cáncer De Mama</t>
  </si>
  <si>
    <t>Daniel Martínez: ...justamente en ese mismo mes de junio, cuando estuvo de visita de trabajo en la región Tulancingo, Napoleón González Pérez, a pregunta expresa de compañeras, compañeros de medios de comunicación de la región, le preguntaron que qué iban a hacer, ¿no?, con estas denuncias a lo que dijo: "Voy a pedir de inmediato, voy a pedir de inmediato una revisión. Apenas eh la semana pasada, a mediados de la semana pasada, González Pérez dijo que apenas iba a pedir la revisión y Vanessa Escalante en el en el TCC de Rauche le dice: 'Pues en otro ya empezamos a revisar, nada más que les vamos a dar a conocer los resultados en cuanto terminemos la revisión de las muestras que hemos tomado, ¿eh? Izza Hernández: Sí, incluso mencionan, no necesitan pedirnos, ya nosotros estamos tomando cartas en el asunto, estamos pues revisando el tema.</t>
  </si>
  <si>
    <t>Huachileche</t>
  </si>
  <si>
    <t>La Secretaría de Salud en Hidalgo (SSH) ya realiza desde hace meses revisión de muestreos de la leche que se ofrece en Tulancingo a cuatro pesos por litro. Lo anterior fue informado por la titular de la dependencia estatal, Vanessa Escalante Arroyo, durante su comparecencia realizada este viernes 16 de octubre ante integrantes del Congreso del Estado de Hidalgo. Previamente, el titular de la Secretaría de Agricultura y Desarrollo Rural de Hidalgo (Saderh), Napoleón González Pérez, durante su respectiva comparecencia, anunció ante los legisladores locales que solicitaría ante la SSH que se realizaran inspecciones a la leche que se ofrece en el Valle de Tulancingo. En junio de este mismo año, en visita de trabajo al Valle de Tulancingo, había asegurado que tuvo conversación con la SSH para que por medio de la Comisión estatal para la Prevención de Riegos Sanitarios (Copriseh) se revisara la calidad y sanidad de la leche que llega sobre todo del Bajío mexicano. “No es necesario que nuestro compañero secretario nos lo solicite; nosotros ya iniciamos desde hace tiempo”, declaró Escalante Arroyo durante la comparecencia a su cargo. Justamente durante el mes de junio de este año, productores lecheros del Valle de Tulancingo denunciaron que a la región estaban ingresando unidades con lácteo supuestamente proveniente de la región Bajío, ofreciendo el litro a cuatro pesos. Además de representar competencia desleal, los productores locales señalaron que dicho precio causa sospecha respecto a la calidad, y por tanto, si es adecuado para consumo humano. La titular de la SSH señaló que a través de la Copriseh, ya se tienen programados nuevos muestreos para los próximos meses. “Esto no deberíamos decirlo porque ponemos en alerta a la comunidad, pero vamos a estar nosotros supervisando este tipo de circunstancias, porque entendemos también la competencia desleal que se está dando a los productores en el estado de Hidalgo”, enfatizó ante los legisladores del Congreso del Estado de Hidalgo.</t>
  </si>
  <si>
    <t>En unos instantes agenda igual en unos minutos más el gobernador Julio Menchaca Salazar encabezará la inauguración de las áreas administrativas de Innovación Gubernamental, Centro de datos e inteligencia artificial del Estado de Hidalgo, se realizará a las 11:00 en el estacionamiento del aeropuerto Juan Guillermo Villasana.</t>
  </si>
  <si>
    <t>Con el objetivo firme de garantizar la salud pública y asegurar el cuidado integral de los animales de compañía en la capital hidalguense, el presidente municipal Jorge Reyes impulsa la Campaña de Vacunación Antirrábica Gratuita para Perros y Gatos, la cual desplegará módulos de atención directa en distintos sectores de la ciudad del lunes 19 al viernes 23 de octubre. Esta estrategia, coordinada por la Secretaría de Medio Ambiente y Desarrollo Sustentable en conjunto con la Secretaría de Salud y el Centro de Atención Integral Veterinario Municipal, busca acercar servicios preventivos de calidad a las familias pachuqueñas. Jorge Reyes destacó que estas acciones forman parte de un compromiso permanente para promover la tenencia responsable y construir una comunidad más segura y limpia para todas y todos. Las brigadas itinerantes brindarán atención sin costo en un horario de diez de la mañana a dos de la tarde. El recorrido comenzará el lunes 19 de octubre en la cancha de la colonia Plutarco Elías Calles, continuará el martes 20 en la zona de juegos del fraccionamiento Renacimiento y se traslada el miércoles 21 a la cancha del fraccionamiento Haciendas de Hidalgo. Posteriormente, el jueves 22 el módulo se ubicará en el parque de Geovillas, concluyendo las actividades de la semana el viernes 23 en el parque de la colonia Morelos. Las autoridades informaron que esta dosis se puede aplicar a felinos y caninos a partir del primer mes de nacidos. Asimismo, recomendaron a la ciudadanía acudir con sus mascotas debidamente aseguradas, usando correa en el caso de los perros y transportadora o bolsa de resguardo adecuada para los gatos, a fin de garantizar una jornada ordenada y ágil en beneficio de la comunidad.</t>
  </si>
  <si>
    <t>Vacunación Antirrábica</t>
  </si>
  <si>
    <t>Samperio Ortiz, muy buenos días, Andrés y Aldo, después de un tiempo de no estar en contacto con ustedes, hoy los saludo. Hay una fuga de agua aquí en San Antonio el Desmonte, en la calle de Capricornio, ya tienen mucho tiempo y las autoridades no hacen caso.</t>
  </si>
  <si>
    <t>Ayer se cerraron los registros para aquellos que desean ser coordinadores municipales electorales de Morena en Hidalgo, es decir, quienes aspiran a ser candidatos a la Presidencia Municipal. El proceso de registro tuvo requisitos claros, entre ellos, que las personas con cargos públicos debían renunciar o pedir licencia. Aunque se sabe poco sobre quiénes se inscribieron, se confirmaron múltiples registros, ya que muchos compartieron su inscripción en redes sociales como Facebook. El Comité Nacional de Elecciones será el encargado de determinar cuántas personas se registraron y quiénes cumplen con los requisitos para participar en la selección. El cierre del registro es parte de un proceso más amplio. Hace dos semanas, también se cerró el registro para aspirantes a coordinadores distritales que desean postularse como diputados federales. Se espera que en unos días, posiblemente este fin de semana o a más tardar entre semana, se abra la convocatoria para el registro de coordinadores distritales locales, que incluye candidatos a diputados federales y locales por Morena. Este proceso se resolverá rápidamente, según las declaraciones de Citlalli Hernández, presidenta nacional del partido Morena.</t>
  </si>
  <si>
    <t>Candidaturas</t>
  </si>
  <si>
    <t>Hidalgo fortalece la participación ciudadana en la Consulta Pública del POZMVM</t>
  </si>
  <si>
    <t>ZMVM</t>
  </si>
  <si>
    <t>Hidalgo mantiene política de cero tolerancia a la corrupción y garantiza el respeto a los derechos humanos</t>
  </si>
  <si>
    <t>Persecución política</t>
  </si>
  <si>
    <t>En Ciudad Sahagún una mujer resultó lesionada durante un evento de unos arrancones, la mujer se ve que en estos videos que circulan a través de redes sociales cómo es impactada por el vehículo el cual está participando en este evento. Hasta el momento por parte de las autoridades del Ayuntamiento no ha emitido un comunicado oficial, pero sí se dio a conocer este video donde la mujer resulta lesionada en este evento de arrancones.</t>
  </si>
  <si>
    <t>Arrancones</t>
  </si>
  <si>
    <t>Ayer se llevó a cabo el clásico poli-universidad, el clásico del fútbol americano nacional. La Universidad venció al Politécnico, pero en este evento se hizo un homenaje al hidalguense, al hidalguense, al jugador y entrenador Manuel Nery, originario de Acaxochitlán. Sus deudos, su familia, estuvieron presente ayer en el Estadio Olímpico Universitario, pues este sus cenizas de Don Manuel Nery fueron, dieron la vuelta olímpica allá en el tartán de la Ciudad Universitaria del Olímpico Universitario, previo al juego al clásico poli-universidad. La exdiputada local, Dora Luz Castelan, fue la que eh hizo la dio las palabras de agradecimiento y, bueno, se hizo este homenaje al hidalguense, el gran deportista que en sus tiempos fuera jugador y después entrenador Manuel Nery.</t>
  </si>
  <si>
    <t>Homenaje póstumo</t>
  </si>
  <si>
    <t>La Subsecretaría de Protección Civil y Gestión de Riesgos del Gobierno del Estado de Hidalgo emitió una alerta con días de anticipación y envió personal a monitorear el clima en diferentes zonas afectadas. En Xochiatipan, un vado se derrumbó, dejando incomunicadas 35 comunidades sin electricidad y telefonía. En Tenango de Doria, el río creció y se tomó la precaución de resguardar el área para evitar el paso peatonal. Desde el viernes, se reportaron intensas lluvias en San Bartolo Tutotepec y Tenango de Doria, ocasionando la caída de árboles y materiales en la carretera. A pesar de que hubo cierre de la vía, las brigadas locales lograron retirar los obstáculos, y ahora la carretera está transitable. Sin embargo, las lluvias pueden seguir causando problemas, y se advierte sobre el riesgo del crecimiento del vado mencionado. Se compartieron videos en redes sociales de inundaciones en Soteapan, donde se reportó que una persona pudo ser arrastrada por la corriente y se encuentra desaparecida. También hubo fuertes lluvias en Huejutla, causando inundaciones en varias colonias, pero hasta ahora no se han reportado incidentes graves en las carreteras, aunque sí la caída de algunos árboles. La alerta se mantiene activa y la Subsecretaría de Protección Civil y la Secretaría de Gobierno continúan supervisando las áreas afectadas. Se recomienda que la población esté atenta a la señal de Radio y Televisión de Hidalgo para recibir actualizaciones sobre el clima y acciones a seguir en caso de una contingencia.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</si>
</sst>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9" tableType="queryTable" totalsRowShown="0">
  <autoFilter ref="A1:M14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9"/>
  <sheetViews>
    <sheetView tabSelected="1" topLeftCell="A114" workbookViewId="0">
      <selection activeCell="A149" sqref="A149"/>
    </sheetView>
  </sheetViews>
  <sheetFormatPr baseColWidth="10" defaultRowHeight="15" x14ac:dyDescent="0.25"/>
  <cols>
    <col min="1" max="1" width="8.5703125" bestFit="1" customWidth="1"/>
    <col min="2" max="2" width="11.42578125" bestFit="1" customWidth="1"/>
    <col min="3" max="3" width="20" bestFit="1" customWidth="1"/>
    <col min="4" max="4" width="24.85546875" bestFit="1" customWidth="1"/>
    <col min="5" max="5" width="81.140625" bestFit="1" customWidth="1"/>
    <col min="6" max="6" width="15.28515625" bestFit="1" customWidth="1"/>
    <col min="7" max="7" width="35.7109375" bestFit="1" customWidth="1"/>
    <col min="8" max="9" width="12.42578125" bestFit="1" customWidth="1"/>
    <col min="10" max="10" width="25.7109375" bestFit="1" customWidth="1"/>
    <col min="11" max="11" width="31"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14</v>
      </c>
      <c r="C1" t="s">
        <v>15</v>
      </c>
      <c r="D1" t="s">
        <v>16</v>
      </c>
      <c r="E1" t="s">
        <v>1</v>
      </c>
      <c r="F1" t="s">
        <v>2</v>
      </c>
      <c r="G1" t="s">
        <v>4</v>
      </c>
      <c r="H1" t="s">
        <v>3</v>
      </c>
      <c r="I1" t="s">
        <v>5</v>
      </c>
      <c r="J1" t="s">
        <v>17</v>
      </c>
      <c r="K1" t="s">
        <v>18</v>
      </c>
      <c r="L1" t="s">
        <v>19</v>
      </c>
      <c r="M1" t="s">
        <v>24</v>
      </c>
    </row>
    <row r="2" spans="1:13" x14ac:dyDescent="0.25">
      <c r="A2" s="2">
        <v>46311</v>
      </c>
      <c r="B2" s="1" t="str">
        <f ca="1">IF(Información1[[#This Row],[Fecha]]='Ajuste de fechas'!$A$2,"Día actual","Día anterior")</f>
        <v>Día anterior</v>
      </c>
      <c r="C2" s="3" t="s">
        <v>31</v>
      </c>
      <c r="D2" t="s">
        <v>36</v>
      </c>
      <c r="E2" s="3" t="s">
        <v>95</v>
      </c>
      <c r="F2" s="3" t="s">
        <v>72</v>
      </c>
      <c r="G2" s="3" t="s">
        <v>96</v>
      </c>
      <c r="H2" s="3" t="s">
        <v>30</v>
      </c>
      <c r="I2" s="3" t="s">
        <v>7</v>
      </c>
      <c r="J2" s="3" t="s">
        <v>73</v>
      </c>
      <c r="K2" s="3" t="s">
        <v>33</v>
      </c>
      <c r="L2" s="3" t="s">
        <v>21</v>
      </c>
      <c r="M2">
        <v>1</v>
      </c>
    </row>
    <row r="3" spans="1:13" x14ac:dyDescent="0.25">
      <c r="A3" s="2">
        <v>46311</v>
      </c>
      <c r="B3" s="1" t="str">
        <f ca="1">IF(Información1[[#This Row],[Fecha]]='Ajuste de fechas'!$A$2,"Día actual","Día anterior")</f>
        <v>Día anterior</v>
      </c>
      <c r="C3" s="3" t="s">
        <v>31</v>
      </c>
      <c r="D3" t="s">
        <v>36</v>
      </c>
      <c r="E3" s="3" t="s">
        <v>97</v>
      </c>
      <c r="F3" s="3" t="s">
        <v>81</v>
      </c>
      <c r="G3" s="3" t="s">
        <v>98</v>
      </c>
      <c r="H3" s="3" t="s">
        <v>30</v>
      </c>
      <c r="I3" s="3" t="s">
        <v>7</v>
      </c>
      <c r="J3" s="3" t="s">
        <v>83</v>
      </c>
      <c r="K3" s="3" t="s">
        <v>90</v>
      </c>
      <c r="L3" s="3" t="s">
        <v>21</v>
      </c>
      <c r="M3">
        <v>1</v>
      </c>
    </row>
    <row r="4" spans="1:13" x14ac:dyDescent="0.25">
      <c r="A4" s="2">
        <v>46311</v>
      </c>
      <c r="B4" s="1" t="str">
        <f ca="1">IF(Información1[[#This Row],[Fecha]]='Ajuste de fechas'!$A$2,"Día actual","Día anterior")</f>
        <v>Día anterior</v>
      </c>
      <c r="C4" s="3" t="s">
        <v>38</v>
      </c>
      <c r="D4" t="s">
        <v>39</v>
      </c>
      <c r="E4" s="3" t="s">
        <v>99</v>
      </c>
      <c r="F4" s="3" t="s">
        <v>61</v>
      </c>
      <c r="G4" s="3" t="s">
        <v>57</v>
      </c>
      <c r="H4" s="3" t="s">
        <v>30</v>
      </c>
      <c r="I4" s="3" t="s">
        <v>9</v>
      </c>
      <c r="J4" s="3" t="s">
        <v>20</v>
      </c>
      <c r="K4" s="3" t="s">
        <v>40</v>
      </c>
      <c r="L4" s="3" t="s">
        <v>21</v>
      </c>
      <c r="M4">
        <v>1</v>
      </c>
    </row>
    <row r="5" spans="1:13" x14ac:dyDescent="0.25">
      <c r="A5" s="2">
        <v>46311</v>
      </c>
      <c r="B5" s="1" t="str">
        <f ca="1">IF(Información1[[#This Row],[Fecha]]='Ajuste de fechas'!$A$2,"Día actual","Día anterior")</f>
        <v>Día anterior</v>
      </c>
      <c r="C5" s="3" t="s">
        <v>38</v>
      </c>
      <c r="D5" t="s">
        <v>39</v>
      </c>
      <c r="E5" s="3" t="s">
        <v>100</v>
      </c>
      <c r="F5" s="3" t="s">
        <v>86</v>
      </c>
      <c r="G5" s="3" t="s">
        <v>87</v>
      </c>
      <c r="H5" s="3" t="s">
        <v>30</v>
      </c>
      <c r="I5" s="3" t="s">
        <v>9</v>
      </c>
      <c r="J5" s="3" t="s">
        <v>20</v>
      </c>
      <c r="K5" s="3" t="s">
        <v>40</v>
      </c>
      <c r="L5" s="3" t="s">
        <v>21</v>
      </c>
      <c r="M5">
        <v>1</v>
      </c>
    </row>
    <row r="6" spans="1:13" x14ac:dyDescent="0.25">
      <c r="A6" s="2">
        <v>46311</v>
      </c>
      <c r="B6" s="1" t="str">
        <f ca="1">IF(Información1[[#This Row],[Fecha]]='Ajuste de fechas'!$A$2,"Día actual","Día anterior")</f>
        <v>Día anterior</v>
      </c>
      <c r="C6" s="3" t="s">
        <v>38</v>
      </c>
      <c r="D6" t="s">
        <v>39</v>
      </c>
      <c r="E6" s="3" t="s">
        <v>101</v>
      </c>
      <c r="F6" s="3" t="s">
        <v>86</v>
      </c>
      <c r="G6" s="3" t="s">
        <v>87</v>
      </c>
      <c r="H6" s="3" t="s">
        <v>30</v>
      </c>
      <c r="I6" s="3" t="s">
        <v>9</v>
      </c>
      <c r="J6" s="3" t="s">
        <v>20</v>
      </c>
      <c r="K6" s="3" t="s">
        <v>40</v>
      </c>
      <c r="L6" s="3" t="s">
        <v>21</v>
      </c>
      <c r="M6">
        <v>1</v>
      </c>
    </row>
    <row r="7" spans="1:13" x14ac:dyDescent="0.25">
      <c r="A7" s="2">
        <v>46311</v>
      </c>
      <c r="B7" s="1" t="str">
        <f ca="1">IF(Información1[[#This Row],[Fecha]]='Ajuste de fechas'!$A$2,"Día actual","Día anterior")</f>
        <v>Día anterior</v>
      </c>
      <c r="C7" s="3" t="s">
        <v>38</v>
      </c>
      <c r="D7" t="s">
        <v>39</v>
      </c>
      <c r="E7" s="3" t="s">
        <v>102</v>
      </c>
      <c r="F7" s="3" t="s">
        <v>12</v>
      </c>
      <c r="G7" s="3" t="s">
        <v>103</v>
      </c>
      <c r="H7" s="3" t="s">
        <v>30</v>
      </c>
      <c r="I7" s="3" t="s">
        <v>7</v>
      </c>
      <c r="J7" s="3" t="s">
        <v>20</v>
      </c>
      <c r="K7" s="3" t="s">
        <v>40</v>
      </c>
      <c r="L7" s="3" t="s">
        <v>23</v>
      </c>
      <c r="M7">
        <v>1</v>
      </c>
    </row>
    <row r="8" spans="1:13" x14ac:dyDescent="0.25">
      <c r="A8" s="2">
        <v>46311</v>
      </c>
      <c r="B8" s="1" t="str">
        <f ca="1">IF(Información1[[#This Row],[Fecha]]='Ajuste de fechas'!$A$2,"Día actual","Día anterior")</f>
        <v>Día anterior</v>
      </c>
      <c r="C8" s="3" t="s">
        <v>38</v>
      </c>
      <c r="D8" t="s">
        <v>39</v>
      </c>
      <c r="E8" s="3" t="s">
        <v>104</v>
      </c>
      <c r="F8" s="3" t="s">
        <v>81</v>
      </c>
      <c r="G8" s="3" t="s">
        <v>98</v>
      </c>
      <c r="H8" s="3" t="s">
        <v>30</v>
      </c>
      <c r="I8" s="3" t="s">
        <v>7</v>
      </c>
      <c r="J8" s="3" t="s">
        <v>83</v>
      </c>
      <c r="K8" s="3" t="s">
        <v>40</v>
      </c>
      <c r="L8" s="3" t="s">
        <v>21</v>
      </c>
      <c r="M8">
        <v>1</v>
      </c>
    </row>
    <row r="9" spans="1:13" x14ac:dyDescent="0.25">
      <c r="A9" s="2">
        <v>46311</v>
      </c>
      <c r="B9" s="1" t="str">
        <f ca="1">IF(Información1[[#This Row],[Fecha]]='Ajuste de fechas'!$A$2,"Día actual","Día anterior")</f>
        <v>Día anterior</v>
      </c>
      <c r="C9" s="3" t="s">
        <v>31</v>
      </c>
      <c r="D9" t="s">
        <v>32</v>
      </c>
      <c r="E9" s="3" t="s">
        <v>105</v>
      </c>
      <c r="F9" s="3" t="s">
        <v>74</v>
      </c>
      <c r="G9" s="3" t="s">
        <v>106</v>
      </c>
      <c r="H9" s="3" t="s">
        <v>30</v>
      </c>
      <c r="I9" s="3" t="s">
        <v>7</v>
      </c>
      <c r="J9" s="3" t="s">
        <v>74</v>
      </c>
      <c r="K9" s="3" t="s">
        <v>33</v>
      </c>
      <c r="L9" s="3" t="s">
        <v>27</v>
      </c>
      <c r="M9">
        <v>1</v>
      </c>
    </row>
    <row r="10" spans="1:13" x14ac:dyDescent="0.25">
      <c r="A10" s="2">
        <v>46311</v>
      </c>
      <c r="B10" s="1" t="str">
        <f ca="1">IF(Información1[[#This Row],[Fecha]]='Ajuste de fechas'!$A$2,"Día actual","Día anterior")</f>
        <v>Día anterior</v>
      </c>
      <c r="C10" s="3" t="s">
        <v>31</v>
      </c>
      <c r="D10" t="s">
        <v>32</v>
      </c>
      <c r="E10" s="3" t="s">
        <v>107</v>
      </c>
      <c r="F10" s="3" t="s">
        <v>74</v>
      </c>
      <c r="G10" s="3" t="s">
        <v>108</v>
      </c>
      <c r="H10" s="3" t="s">
        <v>30</v>
      </c>
      <c r="I10" s="3" t="s">
        <v>9</v>
      </c>
      <c r="J10" s="3" t="s">
        <v>74</v>
      </c>
      <c r="K10" s="3" t="s">
        <v>34</v>
      </c>
      <c r="L10" s="3" t="s">
        <v>27</v>
      </c>
      <c r="M10">
        <v>1</v>
      </c>
    </row>
    <row r="11" spans="1:13" x14ac:dyDescent="0.25">
      <c r="A11" s="2">
        <v>46311</v>
      </c>
      <c r="B11" s="1" t="str">
        <f ca="1">IF(Información1[[#This Row],[Fecha]]='Ajuste de fechas'!$A$2,"Día actual","Día anterior")</f>
        <v>Día anterior</v>
      </c>
      <c r="C11" s="3" t="s">
        <v>31</v>
      </c>
      <c r="D11" t="s">
        <v>32</v>
      </c>
      <c r="E11" s="3" t="s">
        <v>107</v>
      </c>
      <c r="F11" s="3" t="s">
        <v>81</v>
      </c>
      <c r="G11" s="3" t="s">
        <v>109</v>
      </c>
      <c r="H11" s="3" t="s">
        <v>30</v>
      </c>
      <c r="I11" s="3" t="s">
        <v>7</v>
      </c>
      <c r="J11" s="3" t="s">
        <v>83</v>
      </c>
      <c r="K11" s="3" t="s">
        <v>33</v>
      </c>
      <c r="L11" s="3" t="s">
        <v>21</v>
      </c>
      <c r="M11">
        <v>1</v>
      </c>
    </row>
    <row r="12" spans="1:13" x14ac:dyDescent="0.25">
      <c r="A12" s="2">
        <v>46311</v>
      </c>
      <c r="B12" s="1" t="str">
        <f ca="1">IF(Información1[[#This Row],[Fecha]]='Ajuste de fechas'!$A$2,"Día actual","Día anterior")</f>
        <v>Día anterior</v>
      </c>
      <c r="C12" s="3" t="s">
        <v>31</v>
      </c>
      <c r="D12" t="s">
        <v>32</v>
      </c>
      <c r="E12" s="3" t="s">
        <v>110</v>
      </c>
      <c r="F12" s="3" t="s">
        <v>81</v>
      </c>
      <c r="G12" s="3" t="s">
        <v>111</v>
      </c>
      <c r="H12" s="3" t="s">
        <v>30</v>
      </c>
      <c r="I12" s="3" t="s">
        <v>13</v>
      </c>
      <c r="J12" s="3" t="s">
        <v>83</v>
      </c>
      <c r="K12" s="3" t="s">
        <v>33</v>
      </c>
      <c r="L12" s="3" t="s">
        <v>21</v>
      </c>
      <c r="M12">
        <v>1</v>
      </c>
    </row>
    <row r="13" spans="1:13" x14ac:dyDescent="0.25">
      <c r="A13" s="2">
        <v>46311</v>
      </c>
      <c r="B13" s="1" t="str">
        <f ca="1">IF(Información1[[#This Row],[Fecha]]='Ajuste de fechas'!$A$2,"Día actual","Día anterior")</f>
        <v>Día anterior</v>
      </c>
      <c r="C13" s="3" t="s">
        <v>31</v>
      </c>
      <c r="D13" t="s">
        <v>32</v>
      </c>
      <c r="E13" s="3" t="s">
        <v>112</v>
      </c>
      <c r="F13" s="3" t="s">
        <v>61</v>
      </c>
      <c r="G13" s="3" t="s">
        <v>57</v>
      </c>
      <c r="H13" s="3" t="s">
        <v>30</v>
      </c>
      <c r="I13" s="3" t="s">
        <v>7</v>
      </c>
      <c r="J13" s="3" t="s">
        <v>20</v>
      </c>
      <c r="K13" s="3" t="s">
        <v>34</v>
      </c>
      <c r="L13" s="3" t="s">
        <v>23</v>
      </c>
      <c r="M13">
        <v>1</v>
      </c>
    </row>
    <row r="14" spans="1:13" x14ac:dyDescent="0.25">
      <c r="A14" s="2">
        <v>46311</v>
      </c>
      <c r="B14" s="1" t="str">
        <f ca="1">IF(Información1[[#This Row],[Fecha]]='Ajuste de fechas'!$A$2,"Día actual","Día anterior")</f>
        <v>Día anterior</v>
      </c>
      <c r="C14" s="3" t="s">
        <v>31</v>
      </c>
      <c r="D14" t="s">
        <v>32</v>
      </c>
      <c r="E14" s="3" t="s">
        <v>113</v>
      </c>
      <c r="F14" s="3" t="s">
        <v>53</v>
      </c>
      <c r="G14" s="3" t="s">
        <v>57</v>
      </c>
      <c r="H14" s="3" t="s">
        <v>30</v>
      </c>
      <c r="I14" s="3" t="s">
        <v>7</v>
      </c>
      <c r="J14" s="3" t="s">
        <v>20</v>
      </c>
      <c r="K14" s="3" t="s">
        <v>34</v>
      </c>
      <c r="L14" s="3" t="s">
        <v>23</v>
      </c>
      <c r="M14">
        <v>1</v>
      </c>
    </row>
    <row r="15" spans="1:13" x14ac:dyDescent="0.25">
      <c r="A15" s="2">
        <v>46311</v>
      </c>
      <c r="B15" s="1" t="str">
        <f ca="1">IF(Información1[[#This Row],[Fecha]]='Ajuste de fechas'!$A$2,"Día actual","Día anterior")</f>
        <v>Día anterior</v>
      </c>
      <c r="C15" s="3" t="s">
        <v>31</v>
      </c>
      <c r="D15" t="s">
        <v>32</v>
      </c>
      <c r="E15" s="3" t="s">
        <v>114</v>
      </c>
      <c r="F15" s="3" t="s">
        <v>81</v>
      </c>
      <c r="G15" s="3" t="s">
        <v>89</v>
      </c>
      <c r="H15" s="3" t="s">
        <v>30</v>
      </c>
      <c r="I15" s="3" t="s">
        <v>13</v>
      </c>
      <c r="J15" s="3" t="s">
        <v>83</v>
      </c>
      <c r="K15" s="3" t="s">
        <v>33</v>
      </c>
      <c r="L15" s="3" t="s">
        <v>21</v>
      </c>
      <c r="M15">
        <v>1</v>
      </c>
    </row>
    <row r="16" spans="1:13" x14ac:dyDescent="0.25">
      <c r="A16" s="2">
        <v>46311</v>
      </c>
      <c r="B16" s="1" t="str">
        <f ca="1">IF(Información1[[#This Row],[Fecha]]='Ajuste de fechas'!$A$2,"Día actual","Día anterior")</f>
        <v>Día anterior</v>
      </c>
      <c r="C16" s="3" t="s">
        <v>115</v>
      </c>
      <c r="D16" t="s">
        <v>116</v>
      </c>
      <c r="E16" s="3" t="s">
        <v>117</v>
      </c>
      <c r="F16" s="3" t="s">
        <v>118</v>
      </c>
      <c r="G16" s="3" t="s">
        <v>106</v>
      </c>
      <c r="H16" s="3" t="s">
        <v>30</v>
      </c>
      <c r="I16" s="3" t="s">
        <v>9</v>
      </c>
      <c r="J16" s="3" t="s">
        <v>20</v>
      </c>
      <c r="K16" s="3" t="s">
        <v>119</v>
      </c>
      <c r="L16" s="3" t="s">
        <v>120</v>
      </c>
      <c r="M16">
        <v>1</v>
      </c>
    </row>
    <row r="17" spans="1:13" x14ac:dyDescent="0.25">
      <c r="A17" s="2">
        <v>46311</v>
      </c>
      <c r="B17" s="1" t="str">
        <f ca="1">IF(Información1[[#This Row],[Fecha]]='Ajuste de fechas'!$A$2,"Día actual","Día anterior")</f>
        <v>Día anterior</v>
      </c>
      <c r="C17" s="3" t="s">
        <v>54</v>
      </c>
      <c r="D17" t="s">
        <v>63</v>
      </c>
      <c r="E17" s="3" t="s">
        <v>121</v>
      </c>
      <c r="F17" s="3" t="s">
        <v>12</v>
      </c>
      <c r="G17" s="3" t="s">
        <v>103</v>
      </c>
      <c r="H17" s="3" t="s">
        <v>30</v>
      </c>
      <c r="I17" s="3" t="s">
        <v>7</v>
      </c>
      <c r="J17" s="3" t="s">
        <v>20</v>
      </c>
      <c r="K17" s="3" t="s">
        <v>64</v>
      </c>
      <c r="L17" s="3" t="s">
        <v>21</v>
      </c>
      <c r="M17">
        <v>1</v>
      </c>
    </row>
    <row r="18" spans="1:13" x14ac:dyDescent="0.25">
      <c r="A18" s="2">
        <v>46311</v>
      </c>
      <c r="B18" s="1" t="str">
        <f ca="1">IF(Información1[[#This Row],[Fecha]]='Ajuste de fechas'!$A$2,"Día actual","Día anterior")</f>
        <v>Día anterior</v>
      </c>
      <c r="C18" s="3" t="s">
        <v>54</v>
      </c>
      <c r="D18" t="s">
        <v>63</v>
      </c>
      <c r="E18" s="3" t="s">
        <v>122</v>
      </c>
      <c r="F18" s="3" t="s">
        <v>12</v>
      </c>
      <c r="G18" s="3" t="s">
        <v>65</v>
      </c>
      <c r="H18" s="3" t="s">
        <v>30</v>
      </c>
      <c r="I18" s="3" t="s">
        <v>7</v>
      </c>
      <c r="J18" s="3" t="s">
        <v>20</v>
      </c>
      <c r="K18" s="3" t="s">
        <v>64</v>
      </c>
      <c r="L18" s="3" t="s">
        <v>21</v>
      </c>
      <c r="M18">
        <v>1</v>
      </c>
    </row>
    <row r="19" spans="1:13" x14ac:dyDescent="0.25">
      <c r="A19" s="2">
        <v>46311</v>
      </c>
      <c r="B19" s="1" t="str">
        <f ca="1">IF(Información1[[#This Row],[Fecha]]='Ajuste de fechas'!$A$2,"Día actual","Día anterior")</f>
        <v>Día anterior</v>
      </c>
      <c r="C19" s="3" t="s">
        <v>54</v>
      </c>
      <c r="D19" t="s">
        <v>63</v>
      </c>
      <c r="E19" s="3" t="s">
        <v>123</v>
      </c>
      <c r="F19" s="3" t="s">
        <v>35</v>
      </c>
      <c r="G19" s="3" t="s">
        <v>52</v>
      </c>
      <c r="H19" s="3" t="s">
        <v>30</v>
      </c>
      <c r="I19" s="3" t="s">
        <v>7</v>
      </c>
      <c r="J19" s="3" t="s">
        <v>20</v>
      </c>
      <c r="K19" s="3" t="s">
        <v>64</v>
      </c>
      <c r="L19" s="3" t="s">
        <v>21</v>
      </c>
      <c r="M19">
        <v>1</v>
      </c>
    </row>
    <row r="20" spans="1:13" x14ac:dyDescent="0.25">
      <c r="A20" s="2">
        <v>46311</v>
      </c>
      <c r="B20" s="1" t="str">
        <f ca="1">IF(Información1[[#This Row],[Fecha]]='Ajuste de fechas'!$A$2,"Día actual","Día anterior")</f>
        <v>Día anterior</v>
      </c>
      <c r="C20" s="3" t="s">
        <v>54</v>
      </c>
      <c r="D20" t="s">
        <v>63</v>
      </c>
      <c r="E20" s="3" t="s">
        <v>124</v>
      </c>
      <c r="F20" s="3" t="s">
        <v>53</v>
      </c>
      <c r="G20" s="3" t="s">
        <v>125</v>
      </c>
      <c r="H20" s="3" t="s">
        <v>30</v>
      </c>
      <c r="I20" s="3" t="s">
        <v>7</v>
      </c>
      <c r="J20" s="3" t="s">
        <v>20</v>
      </c>
      <c r="K20" s="3" t="s">
        <v>64</v>
      </c>
      <c r="L20" s="3" t="s">
        <v>21</v>
      </c>
      <c r="M20">
        <v>1</v>
      </c>
    </row>
    <row r="21" spans="1:13" x14ac:dyDescent="0.25">
      <c r="A21" s="2">
        <v>46311</v>
      </c>
      <c r="B21" s="1" t="str">
        <f ca="1">IF(Información1[[#This Row],[Fecha]]='Ajuste de fechas'!$A$2,"Día actual","Día anterior")</f>
        <v>Día anterior</v>
      </c>
      <c r="C21" s="3" t="s">
        <v>54</v>
      </c>
      <c r="D21" t="s">
        <v>63</v>
      </c>
      <c r="E21" s="3" t="s">
        <v>126</v>
      </c>
      <c r="F21" s="3" t="s">
        <v>81</v>
      </c>
      <c r="G21" s="3" t="s">
        <v>127</v>
      </c>
      <c r="H21" s="3" t="s">
        <v>30</v>
      </c>
      <c r="I21" s="3" t="s">
        <v>7</v>
      </c>
      <c r="J21" s="3" t="s">
        <v>83</v>
      </c>
      <c r="K21" s="3" t="s">
        <v>64</v>
      </c>
      <c r="L21" s="3" t="s">
        <v>21</v>
      </c>
      <c r="M21">
        <v>1</v>
      </c>
    </row>
    <row r="22" spans="1:13" x14ac:dyDescent="0.25">
      <c r="A22" s="2">
        <v>46311</v>
      </c>
      <c r="B22" s="1" t="str">
        <f ca="1">IF(Información1[[#This Row],[Fecha]]='Ajuste de fechas'!$A$2,"Día actual","Día anterior")</f>
        <v>Día anterior</v>
      </c>
      <c r="C22" s="3" t="s">
        <v>54</v>
      </c>
      <c r="D22" t="s">
        <v>63</v>
      </c>
      <c r="E22" s="3" t="s">
        <v>128</v>
      </c>
      <c r="F22" s="3" t="s">
        <v>81</v>
      </c>
      <c r="G22" s="3" t="s">
        <v>129</v>
      </c>
      <c r="H22" s="3" t="s">
        <v>30</v>
      </c>
      <c r="I22" s="3" t="s">
        <v>7</v>
      </c>
      <c r="J22" s="3" t="s">
        <v>83</v>
      </c>
      <c r="K22" s="3" t="s">
        <v>64</v>
      </c>
      <c r="L22" s="3" t="s">
        <v>21</v>
      </c>
      <c r="M22">
        <v>1</v>
      </c>
    </row>
    <row r="23" spans="1:13" x14ac:dyDescent="0.25">
      <c r="A23" s="2">
        <v>46311</v>
      </c>
      <c r="B23" s="1" t="str">
        <f ca="1">IF(Información1[[#This Row],[Fecha]]='Ajuste de fechas'!$A$2,"Día actual","Día anterior")</f>
        <v>Día anterior</v>
      </c>
      <c r="C23" s="3" t="s">
        <v>54</v>
      </c>
      <c r="D23" t="s">
        <v>63</v>
      </c>
      <c r="E23" s="3" t="s">
        <v>130</v>
      </c>
      <c r="F23" s="3" t="s">
        <v>59</v>
      </c>
      <c r="G23" s="3" t="s">
        <v>57</v>
      </c>
      <c r="H23" s="3" t="s">
        <v>30</v>
      </c>
      <c r="I23" s="3" t="s">
        <v>7</v>
      </c>
      <c r="J23" s="3" t="s">
        <v>20</v>
      </c>
      <c r="K23" s="3" t="s">
        <v>64</v>
      </c>
      <c r="L23" s="3" t="s">
        <v>21</v>
      </c>
      <c r="M23">
        <v>1</v>
      </c>
    </row>
    <row r="24" spans="1:13" x14ac:dyDescent="0.25">
      <c r="A24" s="2">
        <v>46311</v>
      </c>
      <c r="B24" s="1" t="str">
        <f ca="1">IF(Información1[[#This Row],[Fecha]]='Ajuste de fechas'!$A$2,"Día actual","Día anterior")</f>
        <v>Día anterior</v>
      </c>
      <c r="C24" s="3" t="s">
        <v>54</v>
      </c>
      <c r="D24" t="s">
        <v>63</v>
      </c>
      <c r="E24" s="3" t="s">
        <v>131</v>
      </c>
      <c r="F24" s="3" t="s">
        <v>91</v>
      </c>
      <c r="G24" s="3" t="s">
        <v>92</v>
      </c>
      <c r="H24" s="3" t="s">
        <v>30</v>
      </c>
      <c r="I24" s="3" t="s">
        <v>7</v>
      </c>
      <c r="J24" s="3" t="s">
        <v>74</v>
      </c>
      <c r="K24" s="3" t="s">
        <v>64</v>
      </c>
      <c r="L24" s="3" t="s">
        <v>21</v>
      </c>
      <c r="M24">
        <v>1</v>
      </c>
    </row>
    <row r="25" spans="1:13" x14ac:dyDescent="0.25">
      <c r="A25" s="2">
        <v>46311</v>
      </c>
      <c r="B25" s="1" t="str">
        <f ca="1">IF(Información1[[#This Row],[Fecha]]='Ajuste de fechas'!$A$2,"Día actual","Día anterior")</f>
        <v>Día anterior</v>
      </c>
      <c r="C25" s="3" t="s">
        <v>54</v>
      </c>
      <c r="D25" t="s">
        <v>63</v>
      </c>
      <c r="E25" s="3" t="s">
        <v>132</v>
      </c>
      <c r="F25" s="3" t="s">
        <v>76</v>
      </c>
      <c r="G25" s="3" t="s">
        <v>133</v>
      </c>
      <c r="H25" s="3" t="s">
        <v>30</v>
      </c>
      <c r="I25" s="3" t="s">
        <v>7</v>
      </c>
      <c r="J25" s="3" t="s">
        <v>74</v>
      </c>
      <c r="K25" s="3" t="s">
        <v>64</v>
      </c>
      <c r="L25" s="3" t="s">
        <v>21</v>
      </c>
      <c r="M25">
        <v>1</v>
      </c>
    </row>
    <row r="26" spans="1:13" x14ac:dyDescent="0.25">
      <c r="A26" s="2">
        <v>46311</v>
      </c>
      <c r="B26" s="1" t="str">
        <f ca="1">IF(Información1[[#This Row],[Fecha]]='Ajuste de fechas'!$A$2,"Día actual","Día anterior")</f>
        <v>Día anterior</v>
      </c>
      <c r="C26" s="3" t="s">
        <v>54</v>
      </c>
      <c r="D26" t="s">
        <v>63</v>
      </c>
      <c r="E26" s="3" t="s">
        <v>134</v>
      </c>
      <c r="F26" s="3" t="s">
        <v>74</v>
      </c>
      <c r="G26" s="3" t="s">
        <v>135</v>
      </c>
      <c r="H26" s="3" t="s">
        <v>30</v>
      </c>
      <c r="I26" s="3" t="s">
        <v>7</v>
      </c>
      <c r="J26" s="3" t="s">
        <v>74</v>
      </c>
      <c r="K26" s="3" t="s">
        <v>64</v>
      </c>
      <c r="L26" s="3" t="s">
        <v>21</v>
      </c>
      <c r="M26">
        <v>1</v>
      </c>
    </row>
    <row r="27" spans="1:13" x14ac:dyDescent="0.25">
      <c r="A27" s="2">
        <v>46311</v>
      </c>
      <c r="B27" s="1" t="str">
        <f ca="1">IF(Información1[[#This Row],[Fecha]]='Ajuste de fechas'!$A$2,"Día actual","Día anterior")</f>
        <v>Día anterior</v>
      </c>
      <c r="C27" s="3" t="s">
        <v>54</v>
      </c>
      <c r="D27" t="s">
        <v>63</v>
      </c>
      <c r="E27" s="3" t="s">
        <v>136</v>
      </c>
      <c r="F27" s="3" t="s">
        <v>75</v>
      </c>
      <c r="G27" s="3" t="s">
        <v>137</v>
      </c>
      <c r="H27" s="3" t="s">
        <v>30</v>
      </c>
      <c r="I27" s="3" t="s">
        <v>7</v>
      </c>
      <c r="J27" s="3" t="s">
        <v>74</v>
      </c>
      <c r="K27" s="3" t="s">
        <v>64</v>
      </c>
      <c r="L27" s="3" t="s">
        <v>21</v>
      </c>
      <c r="M27">
        <v>1</v>
      </c>
    </row>
    <row r="28" spans="1:13" x14ac:dyDescent="0.25">
      <c r="A28" s="2">
        <v>46311</v>
      </c>
      <c r="B28" s="1" t="str">
        <f ca="1">IF(Información1[[#This Row],[Fecha]]='Ajuste de fechas'!$A$2,"Día actual","Día anterior")</f>
        <v>Día anterior</v>
      </c>
      <c r="C28" s="3" t="s">
        <v>54</v>
      </c>
      <c r="D28" t="s">
        <v>63</v>
      </c>
      <c r="E28" s="3" t="s">
        <v>138</v>
      </c>
      <c r="F28" s="3" t="s">
        <v>86</v>
      </c>
      <c r="G28" s="3" t="s">
        <v>87</v>
      </c>
      <c r="H28" s="3" t="s">
        <v>30</v>
      </c>
      <c r="I28" s="3" t="s">
        <v>7</v>
      </c>
      <c r="J28" s="3" t="s">
        <v>20</v>
      </c>
      <c r="K28" s="3" t="s">
        <v>64</v>
      </c>
      <c r="L28" s="3" t="s">
        <v>21</v>
      </c>
      <c r="M28">
        <v>1</v>
      </c>
    </row>
    <row r="29" spans="1:13" x14ac:dyDescent="0.25">
      <c r="A29" s="2">
        <v>46311</v>
      </c>
      <c r="B29" s="1" t="str">
        <f ca="1">IF(Información1[[#This Row],[Fecha]]='Ajuste de fechas'!$A$2,"Día actual","Día anterior")</f>
        <v>Día anterior</v>
      </c>
      <c r="C29" s="3" t="s">
        <v>54</v>
      </c>
      <c r="D29" t="s">
        <v>63</v>
      </c>
      <c r="E29" s="3" t="s">
        <v>139</v>
      </c>
      <c r="F29" s="3" t="s">
        <v>59</v>
      </c>
      <c r="G29" s="3" t="s">
        <v>140</v>
      </c>
      <c r="H29" s="3" t="s">
        <v>30</v>
      </c>
      <c r="I29" s="3" t="s">
        <v>7</v>
      </c>
      <c r="J29" s="3" t="s">
        <v>20</v>
      </c>
      <c r="K29" s="3" t="s">
        <v>64</v>
      </c>
      <c r="L29" s="3" t="s">
        <v>21</v>
      </c>
      <c r="M29">
        <v>1</v>
      </c>
    </row>
    <row r="30" spans="1:13" x14ac:dyDescent="0.25">
      <c r="A30" s="2">
        <v>46311</v>
      </c>
      <c r="B30" s="1" t="str">
        <f ca="1">IF(Información1[[#This Row],[Fecha]]='Ajuste de fechas'!$A$2,"Día actual","Día anterior")</f>
        <v>Día anterior</v>
      </c>
      <c r="C30" s="3" t="s">
        <v>54</v>
      </c>
      <c r="D30" t="s">
        <v>63</v>
      </c>
      <c r="E30" s="3" t="s">
        <v>141</v>
      </c>
      <c r="F30" s="3" t="s">
        <v>53</v>
      </c>
      <c r="G30" s="3" t="s">
        <v>57</v>
      </c>
      <c r="H30" s="3" t="s">
        <v>30</v>
      </c>
      <c r="I30" s="3" t="s">
        <v>7</v>
      </c>
      <c r="J30" s="3" t="s">
        <v>20</v>
      </c>
      <c r="K30" s="3" t="s">
        <v>64</v>
      </c>
      <c r="L30" s="3" t="s">
        <v>21</v>
      </c>
      <c r="M30">
        <v>1</v>
      </c>
    </row>
    <row r="31" spans="1:13" x14ac:dyDescent="0.25">
      <c r="A31" s="2">
        <v>46311</v>
      </c>
      <c r="B31" s="1" t="str">
        <f ca="1">IF(Información1[[#This Row],[Fecha]]='Ajuste de fechas'!$A$2,"Día actual","Día anterior")</f>
        <v>Día anterior</v>
      </c>
      <c r="C31" s="3" t="s">
        <v>54</v>
      </c>
      <c r="D31" t="s">
        <v>63</v>
      </c>
      <c r="E31" s="3" t="s">
        <v>142</v>
      </c>
      <c r="F31" s="3" t="s">
        <v>35</v>
      </c>
      <c r="G31" s="3" t="s">
        <v>143</v>
      </c>
      <c r="H31" s="3" t="s">
        <v>30</v>
      </c>
      <c r="I31" s="3" t="s">
        <v>7</v>
      </c>
      <c r="J31" s="3" t="s">
        <v>20</v>
      </c>
      <c r="K31" s="3" t="s">
        <v>64</v>
      </c>
      <c r="L31" s="3" t="s">
        <v>21</v>
      </c>
      <c r="M31">
        <v>1</v>
      </c>
    </row>
    <row r="32" spans="1:13" x14ac:dyDescent="0.25">
      <c r="A32" s="2">
        <v>46311</v>
      </c>
      <c r="B32" s="1" t="str">
        <f ca="1">IF(Información1[[#This Row],[Fecha]]='Ajuste de fechas'!$A$2,"Día actual","Día anterior")</f>
        <v>Día anterior</v>
      </c>
      <c r="C32" s="3" t="s">
        <v>54</v>
      </c>
      <c r="D32" t="s">
        <v>63</v>
      </c>
      <c r="E32" s="3" t="s">
        <v>144</v>
      </c>
      <c r="F32" s="3" t="s">
        <v>35</v>
      </c>
      <c r="G32" s="3" t="s">
        <v>143</v>
      </c>
      <c r="H32" s="3" t="s">
        <v>30</v>
      </c>
      <c r="I32" s="3" t="s">
        <v>7</v>
      </c>
      <c r="J32" s="3" t="s">
        <v>20</v>
      </c>
      <c r="K32" s="3" t="s">
        <v>64</v>
      </c>
      <c r="L32" s="3" t="s">
        <v>21</v>
      </c>
      <c r="M32">
        <v>1</v>
      </c>
    </row>
    <row r="33" spans="1:13" x14ac:dyDescent="0.25">
      <c r="A33" s="2">
        <v>46311</v>
      </c>
      <c r="B33" s="1" t="str">
        <f ca="1">IF(Información1[[#This Row],[Fecha]]='Ajuste de fechas'!$A$2,"Día actual","Día anterior")</f>
        <v>Día anterior</v>
      </c>
      <c r="C33" s="3" t="s">
        <v>8</v>
      </c>
      <c r="D33" t="s">
        <v>69</v>
      </c>
      <c r="E33" s="3" t="s">
        <v>145</v>
      </c>
      <c r="F33" s="3" t="s">
        <v>6</v>
      </c>
      <c r="G33" s="3" t="s">
        <v>146</v>
      </c>
      <c r="H33" s="3" t="s">
        <v>30</v>
      </c>
      <c r="I33" s="3" t="s">
        <v>13</v>
      </c>
      <c r="J33" s="3" t="s">
        <v>20</v>
      </c>
      <c r="K33" s="3" t="s">
        <v>10</v>
      </c>
      <c r="L33" s="3" t="s">
        <v>22</v>
      </c>
      <c r="M33">
        <v>1</v>
      </c>
    </row>
    <row r="34" spans="1:13" x14ac:dyDescent="0.25">
      <c r="A34" s="2">
        <v>46311</v>
      </c>
      <c r="B34" s="1" t="str">
        <f ca="1">IF(Información1[[#This Row],[Fecha]]='Ajuste de fechas'!$A$2,"Día actual","Día anterior")</f>
        <v>Día anterior</v>
      </c>
      <c r="C34" s="3" t="s">
        <v>8</v>
      </c>
      <c r="D34" t="s">
        <v>69</v>
      </c>
      <c r="E34" s="3" t="s">
        <v>147</v>
      </c>
      <c r="F34" s="3" t="s">
        <v>6</v>
      </c>
      <c r="G34" s="3" t="s">
        <v>148</v>
      </c>
      <c r="H34" s="3" t="s">
        <v>30</v>
      </c>
      <c r="I34" s="3" t="s">
        <v>13</v>
      </c>
      <c r="J34" s="3" t="s">
        <v>20</v>
      </c>
      <c r="K34" s="3" t="s">
        <v>10</v>
      </c>
      <c r="L34" s="3" t="s">
        <v>22</v>
      </c>
      <c r="M34">
        <v>1</v>
      </c>
    </row>
    <row r="35" spans="1:13" x14ac:dyDescent="0.25">
      <c r="A35" s="2">
        <v>46311</v>
      </c>
      <c r="B35" s="1" t="str">
        <f ca="1">IF(Información1[[#This Row],[Fecha]]='Ajuste de fechas'!$A$2,"Día actual","Día anterior")</f>
        <v>Día anterior</v>
      </c>
      <c r="C35" s="3" t="s">
        <v>8</v>
      </c>
      <c r="D35" t="s">
        <v>69</v>
      </c>
      <c r="E35" s="3" t="s">
        <v>149</v>
      </c>
      <c r="F35" s="3" t="s">
        <v>6</v>
      </c>
      <c r="G35" s="3" t="s">
        <v>49</v>
      </c>
      <c r="H35" s="3" t="s">
        <v>30</v>
      </c>
      <c r="I35" s="3" t="s">
        <v>13</v>
      </c>
      <c r="J35" s="3" t="s">
        <v>20</v>
      </c>
      <c r="K35" s="3" t="s">
        <v>10</v>
      </c>
      <c r="L35" s="3" t="s">
        <v>22</v>
      </c>
      <c r="M35">
        <v>1</v>
      </c>
    </row>
    <row r="36" spans="1:13" x14ac:dyDescent="0.25">
      <c r="A36" s="2">
        <v>46311</v>
      </c>
      <c r="B36" s="1" t="str">
        <f ca="1">IF(Información1[[#This Row],[Fecha]]='Ajuste de fechas'!$A$2,"Día actual","Día anterior")</f>
        <v>Día anterior</v>
      </c>
      <c r="C36" s="3" t="s">
        <v>8</v>
      </c>
      <c r="D36" t="s">
        <v>69</v>
      </c>
      <c r="E36" s="3" t="s">
        <v>150</v>
      </c>
      <c r="F36" s="3" t="s">
        <v>6</v>
      </c>
      <c r="G36" s="3" t="s">
        <v>49</v>
      </c>
      <c r="H36" s="3" t="s">
        <v>30</v>
      </c>
      <c r="I36" s="3" t="s">
        <v>13</v>
      </c>
      <c r="J36" s="3" t="s">
        <v>20</v>
      </c>
      <c r="K36" s="3" t="s">
        <v>10</v>
      </c>
      <c r="L36" s="3" t="s">
        <v>22</v>
      </c>
      <c r="M36">
        <v>1</v>
      </c>
    </row>
    <row r="37" spans="1:13" x14ac:dyDescent="0.25">
      <c r="A37" s="2">
        <v>46311</v>
      </c>
      <c r="B37" s="1" t="str">
        <f ca="1">IF(Información1[[#This Row],[Fecha]]='Ajuste de fechas'!$A$2,"Día actual","Día anterior")</f>
        <v>Día anterior</v>
      </c>
      <c r="C37" s="3" t="s">
        <v>8</v>
      </c>
      <c r="D37" t="s">
        <v>69</v>
      </c>
      <c r="E37" s="3" t="s">
        <v>151</v>
      </c>
      <c r="F37" s="3" t="s">
        <v>81</v>
      </c>
      <c r="G37" s="3" t="s">
        <v>89</v>
      </c>
      <c r="H37" s="3" t="s">
        <v>30</v>
      </c>
      <c r="I37" s="3" t="s">
        <v>7</v>
      </c>
      <c r="J37" s="3" t="s">
        <v>83</v>
      </c>
      <c r="K37" s="3" t="s">
        <v>10</v>
      </c>
      <c r="L37" s="3" t="s">
        <v>21</v>
      </c>
      <c r="M37">
        <v>1</v>
      </c>
    </row>
    <row r="38" spans="1:13" x14ac:dyDescent="0.25">
      <c r="A38" s="2">
        <v>46311</v>
      </c>
      <c r="B38" s="1" t="str">
        <f ca="1">IF(Información1[[#This Row],[Fecha]]='Ajuste de fechas'!$A$2,"Día actual","Día anterior")</f>
        <v>Día anterior</v>
      </c>
      <c r="C38" s="3" t="s">
        <v>8</v>
      </c>
      <c r="D38" t="s">
        <v>69</v>
      </c>
      <c r="E38" s="3" t="s">
        <v>152</v>
      </c>
      <c r="F38" s="3" t="s">
        <v>72</v>
      </c>
      <c r="G38" s="3" t="s">
        <v>153</v>
      </c>
      <c r="H38" s="3" t="s">
        <v>30</v>
      </c>
      <c r="I38" s="3" t="s">
        <v>7</v>
      </c>
      <c r="J38" s="3" t="s">
        <v>73</v>
      </c>
      <c r="K38" s="3" t="s">
        <v>10</v>
      </c>
      <c r="L38" s="3" t="s">
        <v>21</v>
      </c>
      <c r="M38">
        <v>1</v>
      </c>
    </row>
    <row r="39" spans="1:13" x14ac:dyDescent="0.25">
      <c r="A39" s="2">
        <v>46311</v>
      </c>
      <c r="B39" s="1" t="str">
        <f ca="1">IF(Información1[[#This Row],[Fecha]]='Ajuste de fechas'!$A$2,"Día actual","Día anterior")</f>
        <v>Día anterior</v>
      </c>
      <c r="C39" s="3" t="s">
        <v>8</v>
      </c>
      <c r="D39" t="s">
        <v>69</v>
      </c>
      <c r="E39" s="3" t="s">
        <v>154</v>
      </c>
      <c r="F39" s="3" t="s">
        <v>81</v>
      </c>
      <c r="G39" s="3" t="s">
        <v>109</v>
      </c>
      <c r="H39" s="3" t="s">
        <v>30</v>
      </c>
      <c r="I39" s="3" t="s">
        <v>7</v>
      </c>
      <c r="J39" s="3" t="s">
        <v>83</v>
      </c>
      <c r="K39" s="3" t="s">
        <v>10</v>
      </c>
      <c r="L39" s="3" t="s">
        <v>21</v>
      </c>
      <c r="M39">
        <v>1</v>
      </c>
    </row>
    <row r="40" spans="1:13" x14ac:dyDescent="0.25">
      <c r="A40" s="2">
        <v>46311</v>
      </c>
      <c r="B40" s="1" t="str">
        <f ca="1">IF(Información1[[#This Row],[Fecha]]='Ajuste de fechas'!$A$2,"Día actual","Día anterior")</f>
        <v>Día anterior</v>
      </c>
      <c r="C40" s="3" t="s">
        <v>8</v>
      </c>
      <c r="D40" t="s">
        <v>69</v>
      </c>
      <c r="E40" s="3" t="s">
        <v>155</v>
      </c>
      <c r="F40" s="3" t="s">
        <v>35</v>
      </c>
      <c r="G40" s="3" t="s">
        <v>143</v>
      </c>
      <c r="H40" s="3" t="s">
        <v>30</v>
      </c>
      <c r="I40" s="3" t="s">
        <v>7</v>
      </c>
      <c r="J40" s="3" t="s">
        <v>20</v>
      </c>
      <c r="K40" s="3" t="s">
        <v>10</v>
      </c>
      <c r="L40" s="3" t="s">
        <v>21</v>
      </c>
      <c r="M40">
        <v>1</v>
      </c>
    </row>
    <row r="41" spans="1:13" x14ac:dyDescent="0.25">
      <c r="A41" s="2">
        <v>46311</v>
      </c>
      <c r="B41" s="1" t="str">
        <f ca="1">IF(Información1[[#This Row],[Fecha]]='Ajuste de fechas'!$A$2,"Día actual","Día anterior")</f>
        <v>Día anterior</v>
      </c>
      <c r="C41" s="3" t="s">
        <v>8</v>
      </c>
      <c r="D41" t="s">
        <v>69</v>
      </c>
      <c r="E41" s="3" t="s">
        <v>156</v>
      </c>
      <c r="F41" s="3" t="s">
        <v>53</v>
      </c>
      <c r="G41" s="3" t="s">
        <v>57</v>
      </c>
      <c r="H41" s="3" t="s">
        <v>30</v>
      </c>
      <c r="I41" s="3" t="s">
        <v>7</v>
      </c>
      <c r="J41" s="3" t="s">
        <v>20</v>
      </c>
      <c r="K41" s="3" t="s">
        <v>10</v>
      </c>
      <c r="L41" s="3" t="s">
        <v>21</v>
      </c>
      <c r="M41">
        <v>1</v>
      </c>
    </row>
    <row r="42" spans="1:13" x14ac:dyDescent="0.25">
      <c r="A42" s="2">
        <v>46311</v>
      </c>
      <c r="B42" s="1" t="str">
        <f ca="1">IF(Información1[[#This Row],[Fecha]]='Ajuste de fechas'!$A$2,"Día actual","Día anterior")</f>
        <v>Día anterior</v>
      </c>
      <c r="C42" s="3" t="s">
        <v>8</v>
      </c>
      <c r="D42" t="s">
        <v>69</v>
      </c>
      <c r="E42" s="3" t="s">
        <v>157</v>
      </c>
      <c r="F42" s="3" t="s">
        <v>53</v>
      </c>
      <c r="G42" s="3" t="s">
        <v>57</v>
      </c>
      <c r="H42" s="3" t="s">
        <v>30</v>
      </c>
      <c r="I42" s="3" t="s">
        <v>7</v>
      </c>
      <c r="J42" s="3" t="s">
        <v>20</v>
      </c>
      <c r="K42" s="3" t="s">
        <v>10</v>
      </c>
      <c r="L42" s="3" t="s">
        <v>23</v>
      </c>
      <c r="M42">
        <v>1</v>
      </c>
    </row>
    <row r="43" spans="1:13" x14ac:dyDescent="0.25">
      <c r="A43" s="2">
        <v>46311</v>
      </c>
      <c r="B43" s="1" t="str">
        <f ca="1">IF(Información1[[#This Row],[Fecha]]='Ajuste de fechas'!$A$2,"Día actual","Día anterior")</f>
        <v>Día anterior</v>
      </c>
      <c r="C43" s="3" t="s">
        <v>8</v>
      </c>
      <c r="D43" t="s">
        <v>69</v>
      </c>
      <c r="E43" s="3" t="s">
        <v>93</v>
      </c>
      <c r="F43" s="3" t="s">
        <v>72</v>
      </c>
      <c r="G43" s="3" t="s">
        <v>50</v>
      </c>
      <c r="H43" s="3" t="s">
        <v>30</v>
      </c>
      <c r="I43" s="3" t="s">
        <v>9</v>
      </c>
      <c r="J43" s="3" t="s">
        <v>73</v>
      </c>
      <c r="K43" s="3" t="s">
        <v>10</v>
      </c>
      <c r="L43" s="3" t="s">
        <v>22</v>
      </c>
      <c r="M43">
        <v>1</v>
      </c>
    </row>
    <row r="44" spans="1:13" x14ac:dyDescent="0.25">
      <c r="A44" s="2">
        <v>46311</v>
      </c>
      <c r="B44" s="1" t="str">
        <f ca="1">IF(Información1[[#This Row],[Fecha]]='Ajuste de fechas'!$A$2,"Día actual","Día anterior")</f>
        <v>Día anterior</v>
      </c>
      <c r="C44" s="3" t="s">
        <v>8</v>
      </c>
      <c r="D44" t="s">
        <v>69</v>
      </c>
      <c r="E44" s="3" t="s">
        <v>94</v>
      </c>
      <c r="F44" s="3" t="s">
        <v>75</v>
      </c>
      <c r="G44" s="3" t="s">
        <v>50</v>
      </c>
      <c r="H44" s="3" t="s">
        <v>30</v>
      </c>
      <c r="I44" s="3" t="s">
        <v>9</v>
      </c>
      <c r="J44" s="3" t="s">
        <v>74</v>
      </c>
      <c r="K44" s="3" t="s">
        <v>10</v>
      </c>
      <c r="L44" s="3" t="s">
        <v>22</v>
      </c>
      <c r="M44">
        <v>1</v>
      </c>
    </row>
    <row r="45" spans="1:13" x14ac:dyDescent="0.25">
      <c r="A45" s="2">
        <v>46311</v>
      </c>
      <c r="B45" s="1" t="str">
        <f ca="1">IF(Información1[[#This Row],[Fecha]]='Ajuste de fechas'!$A$2,"Día actual","Día anterior")</f>
        <v>Día anterior</v>
      </c>
      <c r="C45" s="3" t="s">
        <v>8</v>
      </c>
      <c r="D45" t="s">
        <v>69</v>
      </c>
      <c r="E45" s="3" t="s">
        <v>60</v>
      </c>
      <c r="F45" s="3" t="s">
        <v>28</v>
      </c>
      <c r="G45" s="3" t="s">
        <v>50</v>
      </c>
      <c r="H45" s="3" t="s">
        <v>30</v>
      </c>
      <c r="I45" s="3" t="s">
        <v>9</v>
      </c>
      <c r="J45" s="3" t="s">
        <v>20</v>
      </c>
      <c r="K45" s="3" t="s">
        <v>10</v>
      </c>
      <c r="L45" s="3" t="s">
        <v>22</v>
      </c>
      <c r="M45">
        <v>1</v>
      </c>
    </row>
    <row r="46" spans="1:13" x14ac:dyDescent="0.25">
      <c r="A46" s="2">
        <v>46311</v>
      </c>
      <c r="B46" s="1" t="str">
        <f ca="1">IF(Información1[[#This Row],[Fecha]]='Ajuste de fechas'!$A$2,"Día actual","Día anterior")</f>
        <v>Día anterior</v>
      </c>
      <c r="C46" s="3" t="s">
        <v>8</v>
      </c>
      <c r="D46" t="s">
        <v>69</v>
      </c>
      <c r="E46" s="3" t="s">
        <v>55</v>
      </c>
      <c r="F46" s="3" t="s">
        <v>11</v>
      </c>
      <c r="G46" s="3" t="s">
        <v>50</v>
      </c>
      <c r="H46" s="3" t="s">
        <v>30</v>
      </c>
      <c r="I46" s="3" t="s">
        <v>9</v>
      </c>
      <c r="J46" s="3" t="s">
        <v>20</v>
      </c>
      <c r="K46" s="3" t="s">
        <v>10</v>
      </c>
      <c r="L46" s="3" t="s">
        <v>22</v>
      </c>
      <c r="M46">
        <v>1</v>
      </c>
    </row>
    <row r="47" spans="1:13" x14ac:dyDescent="0.25">
      <c r="A47" s="2">
        <v>46311</v>
      </c>
      <c r="B47" s="1" t="str">
        <f ca="1">IF(Información1[[#This Row],[Fecha]]='Ajuste de fechas'!$A$2,"Día actual","Día anterior")</f>
        <v>Día anterior</v>
      </c>
      <c r="C47" s="3" t="s">
        <v>8</v>
      </c>
      <c r="D47" t="s">
        <v>69</v>
      </c>
      <c r="E47" s="3" t="s">
        <v>51</v>
      </c>
      <c r="F47" s="3" t="s">
        <v>6</v>
      </c>
      <c r="G47" s="3" t="s">
        <v>50</v>
      </c>
      <c r="H47" s="3" t="s">
        <v>30</v>
      </c>
      <c r="I47" s="3" t="s">
        <v>9</v>
      </c>
      <c r="J47" s="3" t="s">
        <v>20</v>
      </c>
      <c r="K47" s="3" t="s">
        <v>10</v>
      </c>
      <c r="L47" s="3" t="s">
        <v>22</v>
      </c>
      <c r="M47">
        <v>1</v>
      </c>
    </row>
    <row r="48" spans="1:13" x14ac:dyDescent="0.25">
      <c r="A48" s="2">
        <v>46311</v>
      </c>
      <c r="B48" s="1" t="str">
        <f ca="1">IF(Información1[[#This Row],[Fecha]]='Ajuste de fechas'!$A$2,"Día actual","Día anterior")</f>
        <v>Día anterior</v>
      </c>
      <c r="C48" s="3" t="s">
        <v>41</v>
      </c>
      <c r="D48" t="s">
        <v>42</v>
      </c>
      <c r="E48" s="3" t="s">
        <v>158</v>
      </c>
      <c r="F48" s="3" t="s">
        <v>159</v>
      </c>
      <c r="G48" s="3" t="s">
        <v>57</v>
      </c>
      <c r="H48" s="3" t="s">
        <v>43</v>
      </c>
      <c r="I48" s="3" t="s">
        <v>9</v>
      </c>
      <c r="J48" s="3" t="s">
        <v>20</v>
      </c>
      <c r="K48" s="3" t="s">
        <v>45</v>
      </c>
      <c r="L48" s="3" t="s">
        <v>22</v>
      </c>
      <c r="M48">
        <v>1</v>
      </c>
    </row>
    <row r="49" spans="1:13" x14ac:dyDescent="0.25">
      <c r="A49" s="2">
        <v>46311</v>
      </c>
      <c r="B49" s="1" t="str">
        <f ca="1">IF(Información1[[#This Row],[Fecha]]='Ajuste de fechas'!$A$2,"Día actual","Día anterior")</f>
        <v>Día anterior</v>
      </c>
      <c r="C49" s="3" t="s">
        <v>41</v>
      </c>
      <c r="D49" t="s">
        <v>42</v>
      </c>
      <c r="E49" s="3" t="s">
        <v>160</v>
      </c>
      <c r="F49" s="3" t="s">
        <v>75</v>
      </c>
      <c r="G49" s="3" t="s">
        <v>137</v>
      </c>
      <c r="H49" s="3" t="s">
        <v>43</v>
      </c>
      <c r="I49" s="3" t="s">
        <v>7</v>
      </c>
      <c r="J49" s="3" t="s">
        <v>74</v>
      </c>
      <c r="K49" s="3" t="s">
        <v>45</v>
      </c>
      <c r="L49" s="3" t="s">
        <v>22</v>
      </c>
      <c r="M49">
        <v>1</v>
      </c>
    </row>
    <row r="50" spans="1:13" x14ac:dyDescent="0.25">
      <c r="A50" s="2">
        <v>46311</v>
      </c>
      <c r="B50" s="1" t="str">
        <f ca="1">IF(Información1[[#This Row],[Fecha]]='Ajuste de fechas'!$A$2,"Día actual","Día anterior")</f>
        <v>Día anterior</v>
      </c>
      <c r="C50" s="3" t="s">
        <v>41</v>
      </c>
      <c r="D50" t="s">
        <v>42</v>
      </c>
      <c r="E50" s="3" t="s">
        <v>161</v>
      </c>
      <c r="F50" s="3" t="s">
        <v>53</v>
      </c>
      <c r="G50" s="3" t="s">
        <v>57</v>
      </c>
      <c r="H50" s="3" t="s">
        <v>43</v>
      </c>
      <c r="I50" s="3" t="s">
        <v>71</v>
      </c>
      <c r="J50" s="3" t="s">
        <v>20</v>
      </c>
      <c r="K50" s="3" t="s">
        <v>45</v>
      </c>
      <c r="L50" s="3" t="s">
        <v>22</v>
      </c>
      <c r="M50">
        <v>1</v>
      </c>
    </row>
    <row r="51" spans="1:13" x14ac:dyDescent="0.25">
      <c r="A51" s="2">
        <v>46311</v>
      </c>
      <c r="B51" s="1" t="str">
        <f ca="1">IF(Información1[[#This Row],[Fecha]]='Ajuste de fechas'!$A$2,"Día actual","Día anterior")</f>
        <v>Día anterior</v>
      </c>
      <c r="C51" s="3" t="s">
        <v>41</v>
      </c>
      <c r="D51" t="s">
        <v>42</v>
      </c>
      <c r="E51" s="3" t="s">
        <v>162</v>
      </c>
      <c r="F51" s="3" t="s">
        <v>58</v>
      </c>
      <c r="G51" s="3" t="s">
        <v>163</v>
      </c>
      <c r="H51" s="3" t="s">
        <v>43</v>
      </c>
      <c r="I51" s="3" t="s">
        <v>71</v>
      </c>
      <c r="J51" s="3" t="s">
        <v>20</v>
      </c>
      <c r="K51" s="3" t="s">
        <v>45</v>
      </c>
      <c r="L51" s="3" t="s">
        <v>22</v>
      </c>
      <c r="M51">
        <v>1</v>
      </c>
    </row>
    <row r="52" spans="1:13" x14ac:dyDescent="0.25">
      <c r="A52" s="2">
        <v>46311</v>
      </c>
      <c r="B52" s="1" t="str">
        <f ca="1">IF(Información1[[#This Row],[Fecha]]='Ajuste de fechas'!$A$2,"Día actual","Día anterior")</f>
        <v>Día anterior</v>
      </c>
      <c r="C52" s="3" t="s">
        <v>41</v>
      </c>
      <c r="D52" t="s">
        <v>42</v>
      </c>
      <c r="E52" s="3" t="s">
        <v>164</v>
      </c>
      <c r="F52" s="3" t="s">
        <v>75</v>
      </c>
      <c r="G52" s="3" t="s">
        <v>57</v>
      </c>
      <c r="H52" s="3" t="s">
        <v>43</v>
      </c>
      <c r="I52" s="3" t="s">
        <v>13</v>
      </c>
      <c r="J52" s="3" t="s">
        <v>74</v>
      </c>
      <c r="K52" s="3" t="s">
        <v>45</v>
      </c>
      <c r="L52" s="3" t="s">
        <v>22</v>
      </c>
      <c r="M52">
        <v>1</v>
      </c>
    </row>
    <row r="53" spans="1:13" x14ac:dyDescent="0.25">
      <c r="A53" s="2">
        <v>46311</v>
      </c>
      <c r="B53" s="1" t="str">
        <f ca="1">IF(Información1[[#This Row],[Fecha]]='Ajuste de fechas'!$A$2,"Día actual","Día anterior")</f>
        <v>Día anterior</v>
      </c>
      <c r="C53" s="3" t="s">
        <v>41</v>
      </c>
      <c r="D53" t="s">
        <v>42</v>
      </c>
      <c r="E53" s="3" t="s">
        <v>165</v>
      </c>
      <c r="F53" s="3" t="s">
        <v>86</v>
      </c>
      <c r="G53" s="3" t="s">
        <v>87</v>
      </c>
      <c r="H53" s="3" t="s">
        <v>43</v>
      </c>
      <c r="I53" s="3" t="s">
        <v>9</v>
      </c>
      <c r="J53" s="3" t="s">
        <v>20</v>
      </c>
      <c r="K53" s="3" t="s">
        <v>37</v>
      </c>
      <c r="L53" s="3" t="s">
        <v>22</v>
      </c>
      <c r="M53">
        <v>1</v>
      </c>
    </row>
    <row r="54" spans="1:13" x14ac:dyDescent="0.25">
      <c r="A54" s="2">
        <v>46311</v>
      </c>
      <c r="B54" s="1" t="str">
        <f ca="1">IF(Información1[[#This Row],[Fecha]]='Ajuste de fechas'!$A$2,"Día actual","Día anterior")</f>
        <v>Día anterior</v>
      </c>
      <c r="C54" s="3" t="s">
        <v>41</v>
      </c>
      <c r="D54" t="s">
        <v>42</v>
      </c>
      <c r="E54" s="3" t="s">
        <v>166</v>
      </c>
      <c r="F54" s="3" t="s">
        <v>86</v>
      </c>
      <c r="G54" s="3" t="s">
        <v>87</v>
      </c>
      <c r="H54" s="3" t="s">
        <v>43</v>
      </c>
      <c r="I54" s="3" t="s">
        <v>9</v>
      </c>
      <c r="J54" s="3" t="s">
        <v>20</v>
      </c>
      <c r="K54" s="3" t="s">
        <v>45</v>
      </c>
      <c r="L54" s="3" t="s">
        <v>22</v>
      </c>
      <c r="M54">
        <v>1</v>
      </c>
    </row>
    <row r="55" spans="1:13" x14ac:dyDescent="0.25">
      <c r="A55" s="2">
        <v>46311</v>
      </c>
      <c r="B55" s="1" t="str">
        <f ca="1">IF(Información1[[#This Row],[Fecha]]='Ajuste de fechas'!$A$2,"Día actual","Día anterior")</f>
        <v>Día anterior</v>
      </c>
      <c r="C55" s="3" t="s">
        <v>46</v>
      </c>
      <c r="D55" t="s">
        <v>47</v>
      </c>
      <c r="E55" s="3" t="s">
        <v>167</v>
      </c>
      <c r="F55" s="3" t="s">
        <v>35</v>
      </c>
      <c r="G55" s="3" t="s">
        <v>168</v>
      </c>
      <c r="H55" s="3" t="s">
        <v>30</v>
      </c>
      <c r="I55" s="3" t="s">
        <v>7</v>
      </c>
      <c r="J55" s="3" t="s">
        <v>20</v>
      </c>
      <c r="K55" s="3" t="s">
        <v>66</v>
      </c>
      <c r="L55" s="3" t="s">
        <v>21</v>
      </c>
      <c r="M55">
        <v>1</v>
      </c>
    </row>
    <row r="56" spans="1:13" x14ac:dyDescent="0.25">
      <c r="A56" s="2">
        <v>46311</v>
      </c>
      <c r="B56" s="1" t="str">
        <f ca="1">IF(Información1[[#This Row],[Fecha]]='Ajuste de fechas'!$A$2,"Día actual","Día anterior")</f>
        <v>Día anterior</v>
      </c>
      <c r="C56" s="3" t="s">
        <v>46</v>
      </c>
      <c r="D56" t="s">
        <v>47</v>
      </c>
      <c r="E56" s="3" t="s">
        <v>169</v>
      </c>
      <c r="F56" s="3" t="s">
        <v>35</v>
      </c>
      <c r="G56" s="3" t="s">
        <v>170</v>
      </c>
      <c r="H56" s="3" t="s">
        <v>30</v>
      </c>
      <c r="I56" s="3" t="s">
        <v>7</v>
      </c>
      <c r="J56" s="3" t="s">
        <v>20</v>
      </c>
      <c r="K56" s="3" t="s">
        <v>66</v>
      </c>
      <c r="L56" s="3" t="s">
        <v>21</v>
      </c>
      <c r="M56">
        <v>1</v>
      </c>
    </row>
    <row r="57" spans="1:13" x14ac:dyDescent="0.25">
      <c r="A57" s="2">
        <v>46311</v>
      </c>
      <c r="B57" s="1" t="str">
        <f ca="1">IF(Información1[[#This Row],[Fecha]]='Ajuste de fechas'!$A$2,"Día actual","Día anterior")</f>
        <v>Día anterior</v>
      </c>
      <c r="C57" s="3" t="s">
        <v>46</v>
      </c>
      <c r="D57" t="s">
        <v>47</v>
      </c>
      <c r="E57" s="3" t="s">
        <v>102</v>
      </c>
      <c r="F57" s="3" t="s">
        <v>12</v>
      </c>
      <c r="G57" s="3" t="s">
        <v>103</v>
      </c>
      <c r="H57" s="3" t="s">
        <v>30</v>
      </c>
      <c r="I57" s="3" t="s">
        <v>7</v>
      </c>
      <c r="J57" s="3" t="s">
        <v>20</v>
      </c>
      <c r="K57" s="3" t="s">
        <v>66</v>
      </c>
      <c r="L57" s="3" t="s">
        <v>23</v>
      </c>
      <c r="M57">
        <v>1</v>
      </c>
    </row>
    <row r="58" spans="1:13" x14ac:dyDescent="0.25">
      <c r="A58" s="2">
        <v>46311</v>
      </c>
      <c r="B58" s="1" t="str">
        <f ca="1">IF(Información1[[#This Row],[Fecha]]='Ajuste de fechas'!$A$2,"Día actual","Día anterior")</f>
        <v>Día anterior</v>
      </c>
      <c r="C58" s="3" t="s">
        <v>46</v>
      </c>
      <c r="D58" t="s">
        <v>47</v>
      </c>
      <c r="E58" s="3" t="s">
        <v>171</v>
      </c>
      <c r="F58" s="3" t="s">
        <v>72</v>
      </c>
      <c r="G58" s="3" t="s">
        <v>49</v>
      </c>
      <c r="H58" s="3" t="s">
        <v>30</v>
      </c>
      <c r="I58" s="3" t="s">
        <v>13</v>
      </c>
      <c r="J58" s="3" t="s">
        <v>73</v>
      </c>
      <c r="K58" s="3" t="s">
        <v>37</v>
      </c>
      <c r="L58" s="3" t="s">
        <v>22</v>
      </c>
      <c r="M58">
        <v>1</v>
      </c>
    </row>
    <row r="59" spans="1:13" x14ac:dyDescent="0.25">
      <c r="A59" s="2">
        <v>46311</v>
      </c>
      <c r="B59" s="1" t="str">
        <f ca="1">IF(Información1[[#This Row],[Fecha]]='Ajuste de fechas'!$A$2,"Día actual","Día anterior")</f>
        <v>Día anterior</v>
      </c>
      <c r="C59" s="3" t="s">
        <v>46</v>
      </c>
      <c r="D59" t="s">
        <v>47</v>
      </c>
      <c r="E59" s="3" t="s">
        <v>172</v>
      </c>
      <c r="F59" s="3" t="s">
        <v>62</v>
      </c>
      <c r="G59" s="3" t="s">
        <v>173</v>
      </c>
      <c r="H59" s="3" t="s">
        <v>30</v>
      </c>
      <c r="I59" s="3" t="s">
        <v>13</v>
      </c>
      <c r="J59" s="3" t="s">
        <v>20</v>
      </c>
      <c r="K59" s="3" t="s">
        <v>48</v>
      </c>
      <c r="L59" s="3" t="s">
        <v>22</v>
      </c>
      <c r="M59">
        <v>1</v>
      </c>
    </row>
    <row r="60" spans="1:13" x14ac:dyDescent="0.25">
      <c r="A60" s="2">
        <v>46311</v>
      </c>
      <c r="B60" s="1" t="str">
        <f ca="1">IF(Información1[[#This Row],[Fecha]]='Ajuste de fechas'!$A$2,"Día actual","Día anterior")</f>
        <v>Día anterior</v>
      </c>
      <c r="C60" s="3" t="s">
        <v>46</v>
      </c>
      <c r="D60" t="s">
        <v>47</v>
      </c>
      <c r="E60" s="3" t="s">
        <v>174</v>
      </c>
      <c r="F60" s="3" t="s">
        <v>72</v>
      </c>
      <c r="G60" s="3" t="s">
        <v>175</v>
      </c>
      <c r="H60" s="3" t="s">
        <v>30</v>
      </c>
      <c r="I60" s="3" t="s">
        <v>7</v>
      </c>
      <c r="J60" s="3" t="s">
        <v>73</v>
      </c>
      <c r="K60" s="3" t="s">
        <v>48</v>
      </c>
      <c r="L60" s="3" t="s">
        <v>21</v>
      </c>
      <c r="M60">
        <v>1</v>
      </c>
    </row>
    <row r="61" spans="1:13" x14ac:dyDescent="0.25">
      <c r="A61" s="2">
        <v>46311</v>
      </c>
      <c r="B61" s="1" t="str">
        <f ca="1">IF(Información1[[#This Row],[Fecha]]='Ajuste de fechas'!$A$2,"Día actual","Día anterior")</f>
        <v>Día anterior</v>
      </c>
      <c r="C61" s="3" t="s">
        <v>46</v>
      </c>
      <c r="D61" t="s">
        <v>47</v>
      </c>
      <c r="E61" s="3" t="s">
        <v>176</v>
      </c>
      <c r="F61" s="3" t="s">
        <v>72</v>
      </c>
      <c r="G61" s="3" t="s">
        <v>177</v>
      </c>
      <c r="H61" s="3" t="s">
        <v>30</v>
      </c>
      <c r="I61" s="3" t="s">
        <v>7</v>
      </c>
      <c r="J61" s="3" t="s">
        <v>73</v>
      </c>
      <c r="K61" s="3" t="s">
        <v>48</v>
      </c>
      <c r="L61" s="3" t="s">
        <v>21</v>
      </c>
      <c r="M61">
        <v>1</v>
      </c>
    </row>
    <row r="62" spans="1:13" x14ac:dyDescent="0.25">
      <c r="A62" s="2">
        <v>46311</v>
      </c>
      <c r="B62" s="1" t="str">
        <f ca="1">IF(Información1[[#This Row],[Fecha]]='Ajuste de fechas'!$A$2,"Día actual","Día anterior")</f>
        <v>Día anterior</v>
      </c>
      <c r="C62" s="3" t="s">
        <v>46</v>
      </c>
      <c r="D62" t="s">
        <v>47</v>
      </c>
      <c r="E62" s="3" t="s">
        <v>178</v>
      </c>
      <c r="F62" s="3" t="s">
        <v>61</v>
      </c>
      <c r="G62" s="3" t="s">
        <v>57</v>
      </c>
      <c r="H62" s="3" t="s">
        <v>30</v>
      </c>
      <c r="I62" s="3" t="s">
        <v>7</v>
      </c>
      <c r="J62" s="3" t="s">
        <v>20</v>
      </c>
      <c r="K62" s="3" t="s">
        <v>66</v>
      </c>
      <c r="L62" s="3" t="s">
        <v>21</v>
      </c>
      <c r="M62">
        <v>1</v>
      </c>
    </row>
    <row r="63" spans="1:13" x14ac:dyDescent="0.25">
      <c r="A63" s="2">
        <v>46311</v>
      </c>
      <c r="B63" s="1" t="str">
        <f ca="1">IF(Información1[[#This Row],[Fecha]]='Ajuste de fechas'!$A$2,"Día actual","Día anterior")</f>
        <v>Día anterior</v>
      </c>
      <c r="C63" s="3" t="s">
        <v>46</v>
      </c>
      <c r="D63" t="s">
        <v>47</v>
      </c>
      <c r="E63" s="3" t="s">
        <v>179</v>
      </c>
      <c r="F63" s="3" t="s">
        <v>59</v>
      </c>
      <c r="G63" s="3" t="s">
        <v>57</v>
      </c>
      <c r="H63" s="3" t="s">
        <v>30</v>
      </c>
      <c r="I63" s="3" t="s">
        <v>7</v>
      </c>
      <c r="J63" s="3" t="s">
        <v>20</v>
      </c>
      <c r="K63" s="3" t="s">
        <v>66</v>
      </c>
      <c r="L63" s="3" t="s">
        <v>21</v>
      </c>
      <c r="M63">
        <v>1</v>
      </c>
    </row>
    <row r="64" spans="1:13" x14ac:dyDescent="0.25">
      <c r="A64" s="2">
        <v>46311</v>
      </c>
      <c r="B64" s="1" t="str">
        <f ca="1">IF(Información1[[#This Row],[Fecha]]='Ajuste de fechas'!$A$2,"Día actual","Día anterior")</f>
        <v>Día anterior</v>
      </c>
      <c r="C64" s="3" t="s">
        <v>46</v>
      </c>
      <c r="D64" t="s">
        <v>47</v>
      </c>
      <c r="E64" s="3" t="s">
        <v>180</v>
      </c>
      <c r="F64" s="3" t="s">
        <v>53</v>
      </c>
      <c r="G64" s="3" t="s">
        <v>57</v>
      </c>
      <c r="H64" s="3" t="s">
        <v>30</v>
      </c>
      <c r="I64" s="3" t="s">
        <v>7</v>
      </c>
      <c r="J64" s="3" t="s">
        <v>20</v>
      </c>
      <c r="K64" s="3" t="s">
        <v>66</v>
      </c>
      <c r="L64" s="3" t="s">
        <v>21</v>
      </c>
      <c r="M64">
        <v>1</v>
      </c>
    </row>
    <row r="65" spans="1:13" x14ac:dyDescent="0.25">
      <c r="A65" s="2">
        <v>46311</v>
      </c>
      <c r="B65" s="1" t="str">
        <f ca="1">IF(Información1[[#This Row],[Fecha]]='Ajuste de fechas'!$A$2,"Día actual","Día anterior")</f>
        <v>Día anterior</v>
      </c>
      <c r="C65" s="3" t="s">
        <v>46</v>
      </c>
      <c r="D65" t="s">
        <v>47</v>
      </c>
      <c r="E65" s="3" t="s">
        <v>181</v>
      </c>
      <c r="F65" s="3" t="s">
        <v>62</v>
      </c>
      <c r="G65" s="3" t="s">
        <v>182</v>
      </c>
      <c r="H65" s="3" t="s">
        <v>30</v>
      </c>
      <c r="I65" s="3" t="s">
        <v>7</v>
      </c>
      <c r="J65" s="3" t="s">
        <v>20</v>
      </c>
      <c r="K65" s="3" t="s">
        <v>48</v>
      </c>
      <c r="L65" s="3" t="s">
        <v>23</v>
      </c>
      <c r="M65">
        <v>1</v>
      </c>
    </row>
    <row r="66" spans="1:13" x14ac:dyDescent="0.25">
      <c r="A66" s="2">
        <v>46311</v>
      </c>
      <c r="B66" s="1" t="str">
        <f ca="1">IF(Información1[[#This Row],[Fecha]]='Ajuste de fechas'!$A$2,"Día actual","Día anterior")</f>
        <v>Día anterior</v>
      </c>
      <c r="C66" s="3" t="s">
        <v>46</v>
      </c>
      <c r="D66" t="s">
        <v>47</v>
      </c>
      <c r="E66" s="3" t="s">
        <v>183</v>
      </c>
      <c r="F66" s="3" t="s">
        <v>75</v>
      </c>
      <c r="G66" s="3" t="s">
        <v>137</v>
      </c>
      <c r="H66" s="3" t="s">
        <v>30</v>
      </c>
      <c r="I66" s="3" t="s">
        <v>7</v>
      </c>
      <c r="J66" s="3" t="s">
        <v>74</v>
      </c>
      <c r="K66" s="3" t="s">
        <v>48</v>
      </c>
      <c r="L66" s="3" t="s">
        <v>21</v>
      </c>
      <c r="M66">
        <v>1</v>
      </c>
    </row>
    <row r="67" spans="1:13" x14ac:dyDescent="0.25">
      <c r="A67" s="2">
        <v>46311</v>
      </c>
      <c r="B67" s="1" t="str">
        <f ca="1">IF(Información1[[#This Row],[Fecha]]='Ajuste de fechas'!$A$2,"Día actual","Día anterior")</f>
        <v>Día anterior</v>
      </c>
      <c r="C67" s="3" t="s">
        <v>46</v>
      </c>
      <c r="D67" t="s">
        <v>47</v>
      </c>
      <c r="E67" s="3" t="s">
        <v>184</v>
      </c>
      <c r="F67" s="3" t="s">
        <v>86</v>
      </c>
      <c r="G67" s="3" t="s">
        <v>87</v>
      </c>
      <c r="H67" s="3" t="s">
        <v>30</v>
      </c>
      <c r="I67" s="3" t="s">
        <v>9</v>
      </c>
      <c r="J67" s="3" t="s">
        <v>20</v>
      </c>
      <c r="K67" s="3" t="s">
        <v>48</v>
      </c>
      <c r="L67" s="3" t="s">
        <v>22</v>
      </c>
      <c r="M67">
        <v>1</v>
      </c>
    </row>
    <row r="68" spans="1:13" x14ac:dyDescent="0.25">
      <c r="A68" s="2">
        <v>46311</v>
      </c>
      <c r="B68" s="1" t="str">
        <f ca="1">IF(Información1[[#This Row],[Fecha]]='Ajuste de fechas'!$A$2,"Día actual","Día anterior")</f>
        <v>Día anterior</v>
      </c>
      <c r="C68" s="3" t="s">
        <v>46</v>
      </c>
      <c r="D68" t="s">
        <v>47</v>
      </c>
      <c r="E68" s="3" t="s">
        <v>185</v>
      </c>
      <c r="F68" s="3" t="s">
        <v>86</v>
      </c>
      <c r="G68" s="3" t="s">
        <v>87</v>
      </c>
      <c r="H68" s="3" t="s">
        <v>30</v>
      </c>
      <c r="I68" s="3" t="s">
        <v>7</v>
      </c>
      <c r="J68" s="3" t="s">
        <v>20</v>
      </c>
      <c r="K68" s="3" t="s">
        <v>48</v>
      </c>
      <c r="L68" s="3" t="s">
        <v>21</v>
      </c>
      <c r="M68">
        <v>1</v>
      </c>
    </row>
    <row r="69" spans="1:13" x14ac:dyDescent="0.25">
      <c r="A69" s="2">
        <v>46311</v>
      </c>
      <c r="B69" s="1" t="str">
        <f ca="1">IF(Información1[[#This Row],[Fecha]]='Ajuste de fechas'!$A$2,"Día actual","Día anterior")</f>
        <v>Día anterior</v>
      </c>
      <c r="C69" s="3" t="s">
        <v>46</v>
      </c>
      <c r="D69" t="s">
        <v>47</v>
      </c>
      <c r="E69" s="3" t="s">
        <v>77</v>
      </c>
      <c r="F69" s="3" t="s">
        <v>72</v>
      </c>
      <c r="G69" s="3" t="s">
        <v>78</v>
      </c>
      <c r="H69" s="3" t="s">
        <v>30</v>
      </c>
      <c r="I69" s="3" t="s">
        <v>7</v>
      </c>
      <c r="J69" s="3" t="s">
        <v>73</v>
      </c>
      <c r="K69" s="3" t="s">
        <v>79</v>
      </c>
      <c r="L69" s="3" t="s">
        <v>80</v>
      </c>
      <c r="M69">
        <v>1</v>
      </c>
    </row>
    <row r="70" spans="1:13" x14ac:dyDescent="0.25">
      <c r="A70" s="2">
        <v>46311</v>
      </c>
      <c r="B70" s="1" t="str">
        <f ca="1">IF(Información1[[#This Row],[Fecha]]='Ajuste de fechas'!$A$2,"Día actual","Día anterior")</f>
        <v>Día anterior</v>
      </c>
      <c r="C70" s="3" t="s">
        <v>46</v>
      </c>
      <c r="D70" t="s">
        <v>47</v>
      </c>
      <c r="E70" s="3" t="s">
        <v>186</v>
      </c>
      <c r="F70" s="3" t="s">
        <v>72</v>
      </c>
      <c r="G70" s="3" t="s">
        <v>96</v>
      </c>
      <c r="H70" s="3" t="s">
        <v>30</v>
      </c>
      <c r="I70" s="3" t="s">
        <v>7</v>
      </c>
      <c r="J70" s="3" t="s">
        <v>73</v>
      </c>
      <c r="K70" s="3" t="s">
        <v>48</v>
      </c>
      <c r="L70" s="3" t="s">
        <v>21</v>
      </c>
      <c r="M70">
        <v>1</v>
      </c>
    </row>
    <row r="71" spans="1:13" x14ac:dyDescent="0.25">
      <c r="A71" s="2">
        <v>46311</v>
      </c>
      <c r="B71" s="1" t="str">
        <f ca="1">IF(Información1[[#This Row],[Fecha]]='Ajuste de fechas'!$A$2,"Día actual","Día anterior")</f>
        <v>Día anterior</v>
      </c>
      <c r="C71" s="3" t="s">
        <v>46</v>
      </c>
      <c r="D71" t="s">
        <v>47</v>
      </c>
      <c r="E71" s="3" t="s">
        <v>187</v>
      </c>
      <c r="F71" s="3" t="s">
        <v>72</v>
      </c>
      <c r="G71" s="3" t="s">
        <v>188</v>
      </c>
      <c r="H71" s="3" t="s">
        <v>30</v>
      </c>
      <c r="I71" s="3" t="s">
        <v>7</v>
      </c>
      <c r="J71" s="3" t="s">
        <v>73</v>
      </c>
      <c r="K71" s="3" t="s">
        <v>66</v>
      </c>
      <c r="L71" s="3" t="s">
        <v>21</v>
      </c>
      <c r="M71">
        <v>1</v>
      </c>
    </row>
    <row r="72" spans="1:13" x14ac:dyDescent="0.25">
      <c r="A72" s="2">
        <v>46311</v>
      </c>
      <c r="B72" s="1" t="str">
        <f ca="1">IF(Información1[[#This Row],[Fecha]]='Ajuste de fechas'!$A$2,"Día actual","Día anterior")</f>
        <v>Día anterior</v>
      </c>
      <c r="C72" s="3" t="s">
        <v>46</v>
      </c>
      <c r="D72" t="s">
        <v>47</v>
      </c>
      <c r="E72" s="3" t="s">
        <v>189</v>
      </c>
      <c r="F72" s="3" t="s">
        <v>81</v>
      </c>
      <c r="G72" s="3" t="s">
        <v>89</v>
      </c>
      <c r="H72" s="3" t="s">
        <v>30</v>
      </c>
      <c r="I72" s="3" t="s">
        <v>13</v>
      </c>
      <c r="J72" s="3" t="s">
        <v>83</v>
      </c>
      <c r="K72" s="3" t="s">
        <v>48</v>
      </c>
      <c r="L72" s="3" t="s">
        <v>22</v>
      </c>
      <c r="M72">
        <v>1</v>
      </c>
    </row>
    <row r="73" spans="1:13" x14ac:dyDescent="0.25">
      <c r="A73" s="2">
        <v>46311</v>
      </c>
      <c r="B73" s="1" t="str">
        <f ca="1">IF(Información1[[#This Row],[Fecha]]='Ajuste de fechas'!$A$2,"Día actual","Día anterior")</f>
        <v>Día anterior</v>
      </c>
      <c r="C73" s="3" t="s">
        <v>46</v>
      </c>
      <c r="D73" t="s">
        <v>47</v>
      </c>
      <c r="E73" s="3" t="s">
        <v>190</v>
      </c>
      <c r="F73" s="3" t="s">
        <v>81</v>
      </c>
      <c r="G73" s="3" t="s">
        <v>89</v>
      </c>
      <c r="H73" s="3" t="s">
        <v>30</v>
      </c>
      <c r="I73" s="3" t="s">
        <v>7</v>
      </c>
      <c r="J73" s="3" t="s">
        <v>83</v>
      </c>
      <c r="K73" s="3" t="s">
        <v>66</v>
      </c>
      <c r="L73" s="3" t="s">
        <v>21</v>
      </c>
      <c r="M73">
        <v>1</v>
      </c>
    </row>
    <row r="74" spans="1:13" x14ac:dyDescent="0.25">
      <c r="A74" s="2">
        <v>46311</v>
      </c>
      <c r="B74" s="1" t="str">
        <f ca="1">IF(Información1[[#This Row],[Fecha]]='Ajuste de fechas'!$A$2,"Día actual","Día anterior")</f>
        <v>Día anterior</v>
      </c>
      <c r="C74" s="3" t="s">
        <v>46</v>
      </c>
      <c r="D74" t="s">
        <v>47</v>
      </c>
      <c r="E74" s="3" t="s">
        <v>191</v>
      </c>
      <c r="F74" s="3" t="s">
        <v>91</v>
      </c>
      <c r="G74" s="3" t="s">
        <v>92</v>
      </c>
      <c r="H74" s="3" t="s">
        <v>30</v>
      </c>
      <c r="I74" s="3" t="s">
        <v>7</v>
      </c>
      <c r="J74" s="3" t="s">
        <v>74</v>
      </c>
      <c r="K74" s="3" t="s">
        <v>66</v>
      </c>
      <c r="L74" s="3" t="s">
        <v>21</v>
      </c>
      <c r="M74">
        <v>1</v>
      </c>
    </row>
    <row r="75" spans="1:13" x14ac:dyDescent="0.25">
      <c r="A75" s="2">
        <v>46311</v>
      </c>
      <c r="B75" s="1" t="str">
        <f ca="1">IF(Información1[[#This Row],[Fecha]]='Ajuste de fechas'!$A$2,"Día actual","Día anterior")</f>
        <v>Día anterior</v>
      </c>
      <c r="C75" s="3" t="s">
        <v>46</v>
      </c>
      <c r="D75" t="s">
        <v>47</v>
      </c>
      <c r="E75" s="3" t="s">
        <v>192</v>
      </c>
      <c r="F75" s="3" t="s">
        <v>28</v>
      </c>
      <c r="G75" s="3" t="s">
        <v>67</v>
      </c>
      <c r="H75" s="3" t="s">
        <v>30</v>
      </c>
      <c r="I75" s="3" t="s">
        <v>7</v>
      </c>
      <c r="J75" s="3" t="s">
        <v>20</v>
      </c>
      <c r="K75" s="3" t="s">
        <v>48</v>
      </c>
      <c r="L75" s="3" t="s">
        <v>22</v>
      </c>
      <c r="M75">
        <v>1</v>
      </c>
    </row>
    <row r="76" spans="1:13" x14ac:dyDescent="0.25">
      <c r="A76" s="2">
        <v>46311</v>
      </c>
      <c r="B76" s="1" t="str">
        <f ca="1">IF(Información1[[#This Row],[Fecha]]='Ajuste de fechas'!$A$2,"Día actual","Día anterior")</f>
        <v>Día anterior</v>
      </c>
      <c r="C76" s="3" t="s">
        <v>46</v>
      </c>
      <c r="D76" t="s">
        <v>47</v>
      </c>
      <c r="E76" s="3" t="s">
        <v>193</v>
      </c>
      <c r="F76" s="3" t="s">
        <v>28</v>
      </c>
      <c r="G76" s="3" t="s">
        <v>67</v>
      </c>
      <c r="H76" s="3" t="s">
        <v>30</v>
      </c>
      <c r="I76" s="3" t="s">
        <v>7</v>
      </c>
      <c r="J76" s="3" t="s">
        <v>20</v>
      </c>
      <c r="K76" s="3" t="s">
        <v>48</v>
      </c>
      <c r="L76" s="3" t="s">
        <v>22</v>
      </c>
      <c r="M76">
        <v>1</v>
      </c>
    </row>
    <row r="77" spans="1:13" x14ac:dyDescent="0.25">
      <c r="A77" s="2">
        <v>46311</v>
      </c>
      <c r="B77" s="1" t="str">
        <f ca="1">IF(Información1[[#This Row],[Fecha]]='Ajuste de fechas'!$A$2,"Día actual","Día anterior")</f>
        <v>Día anterior</v>
      </c>
      <c r="C77" s="3" t="s">
        <v>46</v>
      </c>
      <c r="D77" t="s">
        <v>47</v>
      </c>
      <c r="E77" s="3" t="s">
        <v>194</v>
      </c>
      <c r="F77" s="3" t="s">
        <v>28</v>
      </c>
      <c r="G77" s="3" t="s">
        <v>195</v>
      </c>
      <c r="H77" s="3" t="s">
        <v>30</v>
      </c>
      <c r="I77" s="3" t="s">
        <v>7</v>
      </c>
      <c r="J77" s="3" t="s">
        <v>20</v>
      </c>
      <c r="K77" s="3" t="s">
        <v>48</v>
      </c>
      <c r="L77" s="3" t="s">
        <v>21</v>
      </c>
      <c r="M77">
        <v>1</v>
      </c>
    </row>
    <row r="78" spans="1:13" x14ac:dyDescent="0.25">
      <c r="A78" s="2">
        <v>46311</v>
      </c>
      <c r="B78" s="1" t="str">
        <f ca="1">IF(Información1[[#This Row],[Fecha]]='Ajuste de fechas'!$A$2,"Día actual","Día anterior")</f>
        <v>Día anterior</v>
      </c>
      <c r="C78" s="3" t="s">
        <v>41</v>
      </c>
      <c r="D78" t="s">
        <v>42</v>
      </c>
      <c r="E78" s="3" t="s">
        <v>196</v>
      </c>
      <c r="F78" s="3" t="s">
        <v>159</v>
      </c>
      <c r="G78" s="3" t="s">
        <v>57</v>
      </c>
      <c r="H78" s="3" t="s">
        <v>43</v>
      </c>
      <c r="I78" s="3" t="s">
        <v>9</v>
      </c>
      <c r="J78" s="3" t="s">
        <v>20</v>
      </c>
      <c r="K78" s="3" t="s">
        <v>45</v>
      </c>
      <c r="L78" s="3" t="s">
        <v>22</v>
      </c>
      <c r="M78">
        <v>1</v>
      </c>
    </row>
    <row r="79" spans="1:13" x14ac:dyDescent="0.25">
      <c r="A79" s="2">
        <v>46311</v>
      </c>
      <c r="B79" s="1" t="str">
        <f ca="1">IF(Información1[[#This Row],[Fecha]]='Ajuste de fechas'!$A$2,"Día actual","Día anterior")</f>
        <v>Día anterior</v>
      </c>
      <c r="C79" s="3" t="s">
        <v>41</v>
      </c>
      <c r="D79" t="s">
        <v>42</v>
      </c>
      <c r="E79" s="3" t="s">
        <v>197</v>
      </c>
      <c r="F79" s="3" t="s">
        <v>198</v>
      </c>
      <c r="G79" s="3" t="s">
        <v>57</v>
      </c>
      <c r="H79" s="3" t="s">
        <v>43</v>
      </c>
      <c r="I79" s="3" t="s">
        <v>7</v>
      </c>
      <c r="J79" s="3" t="s">
        <v>20</v>
      </c>
      <c r="K79" s="3" t="s">
        <v>44</v>
      </c>
      <c r="L79" s="3" t="s">
        <v>21</v>
      </c>
      <c r="M79">
        <v>1</v>
      </c>
    </row>
    <row r="80" spans="1:13" x14ac:dyDescent="0.25">
      <c r="A80" s="2">
        <v>46311</v>
      </c>
      <c r="B80" s="1" t="str">
        <f ca="1">IF(Información1[[#This Row],[Fecha]]='Ajuste de fechas'!$A$2,"Día actual","Día anterior")</f>
        <v>Día anterior</v>
      </c>
      <c r="C80" s="3" t="s">
        <v>41</v>
      </c>
      <c r="D80" t="s">
        <v>42</v>
      </c>
      <c r="E80" s="3" t="s">
        <v>197</v>
      </c>
      <c r="F80" s="3" t="s">
        <v>29</v>
      </c>
      <c r="G80" s="3" t="s">
        <v>57</v>
      </c>
      <c r="H80" s="3" t="s">
        <v>43</v>
      </c>
      <c r="I80" s="3" t="s">
        <v>7</v>
      </c>
      <c r="J80" s="3" t="s">
        <v>20</v>
      </c>
      <c r="K80" s="3" t="s">
        <v>44</v>
      </c>
      <c r="L80" s="3" t="s">
        <v>21</v>
      </c>
      <c r="M80">
        <v>1</v>
      </c>
    </row>
    <row r="81" spans="1:13" x14ac:dyDescent="0.25">
      <c r="A81" s="2">
        <v>46311</v>
      </c>
      <c r="B81" s="1" t="str">
        <f ca="1">IF(Información1[[#This Row],[Fecha]]='Ajuste de fechas'!$A$2,"Día actual","Día anterior")</f>
        <v>Día anterior</v>
      </c>
      <c r="C81" s="3" t="s">
        <v>41</v>
      </c>
      <c r="D81" t="s">
        <v>42</v>
      </c>
      <c r="E81" s="3" t="s">
        <v>199</v>
      </c>
      <c r="F81" s="3" t="s">
        <v>61</v>
      </c>
      <c r="G81" s="3" t="s">
        <v>57</v>
      </c>
      <c r="H81" s="3" t="s">
        <v>43</v>
      </c>
      <c r="I81" s="3" t="s">
        <v>9</v>
      </c>
      <c r="J81" s="3" t="s">
        <v>20</v>
      </c>
      <c r="K81" s="3" t="s">
        <v>45</v>
      </c>
      <c r="L81" s="3" t="s">
        <v>21</v>
      </c>
      <c r="M81">
        <v>1</v>
      </c>
    </row>
    <row r="82" spans="1:13" x14ac:dyDescent="0.25">
      <c r="A82" s="2">
        <v>46311</v>
      </c>
      <c r="B82" s="1" t="str">
        <f ca="1">IF(Información1[[#This Row],[Fecha]]='Ajuste de fechas'!$A$2,"Día actual","Día anterior")</f>
        <v>Día anterior</v>
      </c>
      <c r="C82" s="3" t="s">
        <v>41</v>
      </c>
      <c r="D82" t="s">
        <v>42</v>
      </c>
      <c r="E82" s="3" t="s">
        <v>200</v>
      </c>
      <c r="F82" s="3" t="s">
        <v>81</v>
      </c>
      <c r="G82" s="3" t="s">
        <v>201</v>
      </c>
      <c r="H82" s="3" t="s">
        <v>43</v>
      </c>
      <c r="I82" s="3" t="s">
        <v>13</v>
      </c>
      <c r="J82" s="3" t="s">
        <v>83</v>
      </c>
      <c r="K82" s="3" t="s">
        <v>37</v>
      </c>
      <c r="L82" s="3" t="s">
        <v>22</v>
      </c>
      <c r="M82">
        <v>1</v>
      </c>
    </row>
    <row r="83" spans="1:13" x14ac:dyDescent="0.25">
      <c r="A83" s="2">
        <v>46311</v>
      </c>
      <c r="B83" s="1" t="str">
        <f ca="1">IF(Información1[[#This Row],[Fecha]]='Ajuste de fechas'!$A$2,"Día actual","Día anterior")</f>
        <v>Día anterior</v>
      </c>
      <c r="C83" s="3" t="s">
        <v>41</v>
      </c>
      <c r="D83" t="s">
        <v>42</v>
      </c>
      <c r="E83" s="3" t="s">
        <v>202</v>
      </c>
      <c r="F83" s="3" t="s">
        <v>88</v>
      </c>
      <c r="G83" s="3" t="s">
        <v>87</v>
      </c>
      <c r="H83" s="3" t="s">
        <v>43</v>
      </c>
      <c r="I83" s="3" t="s">
        <v>7</v>
      </c>
      <c r="J83" s="3" t="s">
        <v>20</v>
      </c>
      <c r="K83" s="3" t="s">
        <v>45</v>
      </c>
      <c r="L83" s="3" t="s">
        <v>21</v>
      </c>
      <c r="M83">
        <v>1</v>
      </c>
    </row>
    <row r="84" spans="1:13" x14ac:dyDescent="0.25">
      <c r="A84" s="2">
        <v>46311</v>
      </c>
      <c r="B84" s="1" t="str">
        <f ca="1">IF(Información1[[#This Row],[Fecha]]='Ajuste de fechas'!$A$2,"Día actual","Día anterior")</f>
        <v>Día anterior</v>
      </c>
      <c r="C84" s="3" t="s">
        <v>41</v>
      </c>
      <c r="D84" t="s">
        <v>42</v>
      </c>
      <c r="E84" s="3" t="s">
        <v>203</v>
      </c>
      <c r="F84" s="3" t="s">
        <v>86</v>
      </c>
      <c r="G84" s="3" t="s">
        <v>87</v>
      </c>
      <c r="H84" s="3" t="s">
        <v>43</v>
      </c>
      <c r="I84" s="3" t="s">
        <v>7</v>
      </c>
      <c r="J84" s="3" t="s">
        <v>20</v>
      </c>
      <c r="K84" s="3" t="s">
        <v>45</v>
      </c>
      <c r="L84" s="3" t="s">
        <v>23</v>
      </c>
      <c r="M84">
        <v>1</v>
      </c>
    </row>
    <row r="85" spans="1:13" x14ac:dyDescent="0.25">
      <c r="A85" s="2">
        <v>46311</v>
      </c>
      <c r="B85" s="1" t="str">
        <f ca="1">IF(Información1[[#This Row],[Fecha]]='Ajuste de fechas'!$A$2,"Día actual","Día anterior")</f>
        <v>Día anterior</v>
      </c>
      <c r="C85" s="3" t="s">
        <v>41</v>
      </c>
      <c r="D85" t="s">
        <v>42</v>
      </c>
      <c r="E85" s="3" t="s">
        <v>204</v>
      </c>
      <c r="F85" s="3" t="s">
        <v>28</v>
      </c>
      <c r="G85" s="3" t="s">
        <v>205</v>
      </c>
      <c r="H85" s="3" t="s">
        <v>43</v>
      </c>
      <c r="I85" s="3" t="s">
        <v>71</v>
      </c>
      <c r="J85" s="3" t="s">
        <v>20</v>
      </c>
      <c r="K85" s="3" t="s">
        <v>45</v>
      </c>
      <c r="L85" s="3" t="s">
        <v>22</v>
      </c>
      <c r="M85">
        <v>1</v>
      </c>
    </row>
    <row r="86" spans="1:13" x14ac:dyDescent="0.25">
      <c r="A86" s="2">
        <v>46311</v>
      </c>
      <c r="B86" s="1" t="str">
        <f ca="1">IF(Información1[[#This Row],[Fecha]]='Ajuste de fechas'!$A$2,"Día actual","Día anterior")</f>
        <v>Día anterior</v>
      </c>
      <c r="C86" s="3" t="s">
        <v>41</v>
      </c>
      <c r="D86" t="s">
        <v>42</v>
      </c>
      <c r="E86" s="3" t="s">
        <v>206</v>
      </c>
      <c r="F86" s="3" t="s">
        <v>28</v>
      </c>
      <c r="G86" s="3" t="s">
        <v>207</v>
      </c>
      <c r="H86" s="3" t="s">
        <v>43</v>
      </c>
      <c r="I86" s="3" t="s">
        <v>7</v>
      </c>
      <c r="J86" s="3" t="s">
        <v>20</v>
      </c>
      <c r="K86" s="3" t="s">
        <v>45</v>
      </c>
      <c r="L86" s="3" t="s">
        <v>21</v>
      </c>
      <c r="M86">
        <v>1</v>
      </c>
    </row>
    <row r="87" spans="1:13" x14ac:dyDescent="0.25">
      <c r="A87" s="2">
        <v>46311</v>
      </c>
      <c r="B87" s="1" t="str">
        <f ca="1">IF(Información1[[#This Row],[Fecha]]='Ajuste de fechas'!$A$2,"Día actual","Día anterior")</f>
        <v>Día anterior</v>
      </c>
      <c r="C87" s="3" t="s">
        <v>41</v>
      </c>
      <c r="D87" t="s">
        <v>42</v>
      </c>
      <c r="E87" s="3" t="s">
        <v>208</v>
      </c>
      <c r="F87" s="3" t="s">
        <v>209</v>
      </c>
      <c r="G87" s="3" t="s">
        <v>210</v>
      </c>
      <c r="H87" s="3" t="s">
        <v>43</v>
      </c>
      <c r="I87" s="3" t="s">
        <v>9</v>
      </c>
      <c r="J87" s="3" t="s">
        <v>20</v>
      </c>
      <c r="K87" s="3" t="s">
        <v>45</v>
      </c>
      <c r="L87" s="3" t="s">
        <v>22</v>
      </c>
      <c r="M87">
        <v>1</v>
      </c>
    </row>
    <row r="88" spans="1:13" x14ac:dyDescent="0.25">
      <c r="A88" s="2">
        <v>46311</v>
      </c>
      <c r="B88" s="1" t="str">
        <f ca="1">IF(Información1[[#This Row],[Fecha]]='Ajuste de fechas'!$A$2,"Día actual","Día anterior")</f>
        <v>Día anterior</v>
      </c>
      <c r="C88" s="3" t="s">
        <v>41</v>
      </c>
      <c r="D88" t="s">
        <v>42</v>
      </c>
      <c r="E88" s="3" t="s">
        <v>211</v>
      </c>
      <c r="F88" s="3" t="s">
        <v>28</v>
      </c>
      <c r="G88" s="3" t="s">
        <v>98</v>
      </c>
      <c r="H88" s="3" t="s">
        <v>43</v>
      </c>
      <c r="I88" s="3" t="s">
        <v>7</v>
      </c>
      <c r="J88" s="3" t="s">
        <v>20</v>
      </c>
      <c r="K88" s="3" t="s">
        <v>45</v>
      </c>
      <c r="L88" s="3" t="s">
        <v>21</v>
      </c>
      <c r="M88">
        <v>1</v>
      </c>
    </row>
    <row r="89" spans="1:13" x14ac:dyDescent="0.25">
      <c r="A89" s="2">
        <v>46311</v>
      </c>
      <c r="B89" s="1" t="str">
        <f ca="1">IF(Información1[[#This Row],[Fecha]]='Ajuste de fechas'!$A$2,"Día actual","Día anterior")</f>
        <v>Día anterior</v>
      </c>
      <c r="C89" s="3" t="s">
        <v>41</v>
      </c>
      <c r="D89" t="s">
        <v>42</v>
      </c>
      <c r="E89" s="3" t="s">
        <v>212</v>
      </c>
      <c r="F89" s="3" t="s">
        <v>28</v>
      </c>
      <c r="G89" s="3" t="s">
        <v>56</v>
      </c>
      <c r="H89" s="3" t="s">
        <v>43</v>
      </c>
      <c r="I89" s="3" t="s">
        <v>7</v>
      </c>
      <c r="J89" s="3" t="s">
        <v>20</v>
      </c>
      <c r="K89" s="3" t="s">
        <v>45</v>
      </c>
      <c r="L89" s="3" t="s">
        <v>21</v>
      </c>
      <c r="M89">
        <v>1</v>
      </c>
    </row>
    <row r="90" spans="1:13" x14ac:dyDescent="0.25">
      <c r="A90" s="2">
        <v>46314</v>
      </c>
      <c r="B90" s="1" t="str">
        <f ca="1">IF(Información1[[#This Row],[Fecha]]='Ajuste de fechas'!$A$2,"Día actual","Día anterior")</f>
        <v>Día actual</v>
      </c>
      <c r="C90" s="3" t="s">
        <v>31</v>
      </c>
      <c r="D90" t="s">
        <v>36</v>
      </c>
      <c r="E90" s="3" t="s">
        <v>213</v>
      </c>
      <c r="F90" s="3" t="s">
        <v>72</v>
      </c>
      <c r="G90" s="3" t="s">
        <v>214</v>
      </c>
      <c r="H90" s="3" t="s">
        <v>30</v>
      </c>
      <c r="I90" s="3" t="s">
        <v>7</v>
      </c>
      <c r="J90" s="3" t="s">
        <v>73</v>
      </c>
      <c r="K90" s="3" t="s">
        <v>33</v>
      </c>
      <c r="L90" s="3" t="s">
        <v>21</v>
      </c>
      <c r="M90">
        <v>1</v>
      </c>
    </row>
    <row r="91" spans="1:13" x14ac:dyDescent="0.25">
      <c r="A91" s="2">
        <v>46314</v>
      </c>
      <c r="B91" s="1" t="str">
        <f ca="1">IF(Información1[[#This Row],[Fecha]]='Ajuste de fechas'!$A$2,"Día actual","Día anterior")</f>
        <v>Día actual</v>
      </c>
      <c r="C91" s="3" t="s">
        <v>31</v>
      </c>
      <c r="D91" t="s">
        <v>36</v>
      </c>
      <c r="E91" s="3" t="s">
        <v>215</v>
      </c>
      <c r="F91" s="3" t="s">
        <v>12</v>
      </c>
      <c r="G91" s="3" t="s">
        <v>216</v>
      </c>
      <c r="H91" s="3" t="s">
        <v>30</v>
      </c>
      <c r="I91" s="3" t="s">
        <v>7</v>
      </c>
      <c r="J91" s="3" t="s">
        <v>20</v>
      </c>
      <c r="K91" s="3" t="s">
        <v>33</v>
      </c>
      <c r="L91" s="3" t="s">
        <v>21</v>
      </c>
      <c r="M91">
        <v>1</v>
      </c>
    </row>
    <row r="92" spans="1:13" x14ac:dyDescent="0.25">
      <c r="A92" s="2">
        <v>46314</v>
      </c>
      <c r="B92" s="1" t="str">
        <f ca="1">IF(Información1[[#This Row],[Fecha]]='Ajuste de fechas'!$A$2,"Día actual","Día anterior")</f>
        <v>Día actual</v>
      </c>
      <c r="C92" s="3" t="s">
        <v>31</v>
      </c>
      <c r="D92" t="s">
        <v>36</v>
      </c>
      <c r="E92" s="3" t="s">
        <v>217</v>
      </c>
      <c r="F92" s="3" t="s">
        <v>12</v>
      </c>
      <c r="G92" s="3" t="s">
        <v>218</v>
      </c>
      <c r="H92" s="3" t="s">
        <v>30</v>
      </c>
      <c r="I92" s="3" t="s">
        <v>7</v>
      </c>
      <c r="J92" s="3" t="s">
        <v>20</v>
      </c>
      <c r="K92" s="3" t="s">
        <v>33</v>
      </c>
      <c r="L92" s="3" t="s">
        <v>21</v>
      </c>
      <c r="M92">
        <v>1</v>
      </c>
    </row>
    <row r="93" spans="1:13" x14ac:dyDescent="0.25">
      <c r="A93" s="2">
        <v>46314</v>
      </c>
      <c r="B93" s="1" t="str">
        <f ca="1">IF(Información1[[#This Row],[Fecha]]='Ajuste de fechas'!$A$2,"Día actual","Día anterior")</f>
        <v>Día actual</v>
      </c>
      <c r="C93" s="3" t="s">
        <v>31</v>
      </c>
      <c r="D93" t="s">
        <v>36</v>
      </c>
      <c r="E93" s="3" t="s">
        <v>219</v>
      </c>
      <c r="F93" s="3" t="s">
        <v>12</v>
      </c>
      <c r="G93" s="3" t="s">
        <v>220</v>
      </c>
      <c r="H93" s="3" t="s">
        <v>30</v>
      </c>
      <c r="I93" s="3" t="s">
        <v>7</v>
      </c>
      <c r="J93" s="3" t="s">
        <v>20</v>
      </c>
      <c r="K93" s="3" t="s">
        <v>90</v>
      </c>
      <c r="L93" s="3" t="s">
        <v>23</v>
      </c>
      <c r="M93">
        <v>1</v>
      </c>
    </row>
    <row r="94" spans="1:13" x14ac:dyDescent="0.25">
      <c r="A94" s="2">
        <v>46314</v>
      </c>
      <c r="B94" s="1" t="str">
        <f ca="1">IF(Información1[[#This Row],[Fecha]]='Ajuste de fechas'!$A$2,"Día actual","Día anterior")</f>
        <v>Día actual</v>
      </c>
      <c r="C94" s="3" t="s">
        <v>31</v>
      </c>
      <c r="D94" t="s">
        <v>36</v>
      </c>
      <c r="E94" s="3" t="s">
        <v>221</v>
      </c>
      <c r="F94" s="3" t="s">
        <v>72</v>
      </c>
      <c r="G94" s="3" t="s">
        <v>222</v>
      </c>
      <c r="H94" s="3" t="s">
        <v>30</v>
      </c>
      <c r="I94" s="3" t="s">
        <v>7</v>
      </c>
      <c r="J94" s="3" t="s">
        <v>73</v>
      </c>
      <c r="K94" s="3" t="s">
        <v>33</v>
      </c>
      <c r="L94" s="3" t="s">
        <v>21</v>
      </c>
      <c r="M94">
        <v>1</v>
      </c>
    </row>
    <row r="95" spans="1:13" x14ac:dyDescent="0.25">
      <c r="A95" s="2">
        <v>46314</v>
      </c>
      <c r="B95" s="1" t="str">
        <f ca="1">IF(Información1[[#This Row],[Fecha]]='Ajuste de fechas'!$A$2,"Día actual","Día anterior")</f>
        <v>Día actual</v>
      </c>
      <c r="C95" s="3" t="s">
        <v>38</v>
      </c>
      <c r="D95" t="s">
        <v>39</v>
      </c>
      <c r="E95" s="3" t="s">
        <v>223</v>
      </c>
      <c r="F95" s="3" t="s">
        <v>75</v>
      </c>
      <c r="G95" s="3" t="s">
        <v>224</v>
      </c>
      <c r="H95" s="3" t="s">
        <v>30</v>
      </c>
      <c r="I95" s="3" t="s">
        <v>7</v>
      </c>
      <c r="J95" s="3" t="s">
        <v>74</v>
      </c>
      <c r="K95" s="3" t="s">
        <v>40</v>
      </c>
      <c r="L95" s="3" t="s">
        <v>21</v>
      </c>
      <c r="M95">
        <v>1</v>
      </c>
    </row>
    <row r="96" spans="1:13" x14ac:dyDescent="0.25">
      <c r="A96" s="2">
        <v>46314</v>
      </c>
      <c r="B96" s="1" t="str">
        <f ca="1">IF(Información1[[#This Row],[Fecha]]='Ajuste de fechas'!$A$2,"Día actual","Día anterior")</f>
        <v>Día actual</v>
      </c>
      <c r="C96" s="3" t="s">
        <v>38</v>
      </c>
      <c r="D96" t="s">
        <v>39</v>
      </c>
      <c r="E96" s="3" t="s">
        <v>223</v>
      </c>
      <c r="F96" s="3" t="s">
        <v>29</v>
      </c>
      <c r="G96" s="3" t="s">
        <v>57</v>
      </c>
      <c r="H96" s="3" t="s">
        <v>30</v>
      </c>
      <c r="I96" s="3" t="s">
        <v>7</v>
      </c>
      <c r="J96" s="3" t="s">
        <v>20</v>
      </c>
      <c r="K96" s="3" t="s">
        <v>40</v>
      </c>
      <c r="L96" s="3" t="s">
        <v>21</v>
      </c>
      <c r="M96">
        <v>1</v>
      </c>
    </row>
    <row r="97" spans="1:13" x14ac:dyDescent="0.25">
      <c r="A97" s="2">
        <v>46314</v>
      </c>
      <c r="B97" s="1" t="str">
        <f ca="1">IF(Información1[[#This Row],[Fecha]]='Ajuste de fechas'!$A$2,"Día actual","Día anterior")</f>
        <v>Día actual</v>
      </c>
      <c r="C97" s="3" t="s">
        <v>38</v>
      </c>
      <c r="D97" t="s">
        <v>39</v>
      </c>
      <c r="E97" s="3" t="s">
        <v>225</v>
      </c>
      <c r="F97" s="3" t="s">
        <v>29</v>
      </c>
      <c r="G97" s="3" t="s">
        <v>226</v>
      </c>
      <c r="H97" s="3" t="s">
        <v>30</v>
      </c>
      <c r="I97" s="3" t="s">
        <v>7</v>
      </c>
      <c r="J97" s="3" t="s">
        <v>20</v>
      </c>
      <c r="K97" s="3" t="s">
        <v>40</v>
      </c>
      <c r="L97" s="3" t="s">
        <v>21</v>
      </c>
      <c r="M97">
        <v>1</v>
      </c>
    </row>
    <row r="98" spans="1:13" x14ac:dyDescent="0.25">
      <c r="A98" s="2">
        <v>46314</v>
      </c>
      <c r="B98" s="1" t="str">
        <f ca="1">IF(Información1[[#This Row],[Fecha]]='Ajuste de fechas'!$A$2,"Día actual","Día anterior")</f>
        <v>Día actual</v>
      </c>
      <c r="C98" s="3" t="s">
        <v>38</v>
      </c>
      <c r="D98" t="s">
        <v>39</v>
      </c>
      <c r="E98" s="3" t="s">
        <v>227</v>
      </c>
      <c r="F98" s="3" t="s">
        <v>198</v>
      </c>
      <c r="G98" s="3" t="s">
        <v>57</v>
      </c>
      <c r="H98" s="3" t="s">
        <v>30</v>
      </c>
      <c r="I98" s="3" t="s">
        <v>7</v>
      </c>
      <c r="J98" s="3" t="s">
        <v>20</v>
      </c>
      <c r="K98" s="3" t="s">
        <v>40</v>
      </c>
      <c r="L98" s="3" t="s">
        <v>21</v>
      </c>
      <c r="M98">
        <v>1</v>
      </c>
    </row>
    <row r="99" spans="1:13" x14ac:dyDescent="0.25">
      <c r="A99" s="2">
        <v>46314</v>
      </c>
      <c r="B99" s="1" t="str">
        <f ca="1">IF(Información1[[#This Row],[Fecha]]='Ajuste de fechas'!$A$2,"Día actual","Día anterior")</f>
        <v>Día actual</v>
      </c>
      <c r="C99" s="3" t="s">
        <v>38</v>
      </c>
      <c r="D99" t="s">
        <v>39</v>
      </c>
      <c r="E99" s="3" t="s">
        <v>228</v>
      </c>
      <c r="F99" s="3" t="s">
        <v>75</v>
      </c>
      <c r="G99" s="3" t="s">
        <v>57</v>
      </c>
      <c r="H99" s="3" t="s">
        <v>30</v>
      </c>
      <c r="I99" s="3" t="s">
        <v>7</v>
      </c>
      <c r="J99" s="3" t="s">
        <v>74</v>
      </c>
      <c r="K99" s="3" t="s">
        <v>40</v>
      </c>
      <c r="L99" s="3" t="s">
        <v>21</v>
      </c>
      <c r="M99">
        <v>1</v>
      </c>
    </row>
    <row r="100" spans="1:13" x14ac:dyDescent="0.25">
      <c r="A100" s="2">
        <v>46314</v>
      </c>
      <c r="B100" s="1" t="str">
        <f ca="1">IF(Información1[[#This Row],[Fecha]]='Ajuste de fechas'!$A$2,"Día actual","Día anterior")</f>
        <v>Día actual</v>
      </c>
      <c r="C100" s="3" t="s">
        <v>38</v>
      </c>
      <c r="D100" t="s">
        <v>39</v>
      </c>
      <c r="E100" s="3" t="s">
        <v>229</v>
      </c>
      <c r="F100" s="3" t="s">
        <v>230</v>
      </c>
      <c r="G100" s="3" t="s">
        <v>57</v>
      </c>
      <c r="H100" s="3" t="s">
        <v>30</v>
      </c>
      <c r="I100" s="3" t="s">
        <v>7</v>
      </c>
      <c r="J100" s="3" t="s">
        <v>20</v>
      </c>
      <c r="K100" s="3" t="s">
        <v>40</v>
      </c>
      <c r="L100" s="3" t="s">
        <v>21</v>
      </c>
      <c r="M100">
        <v>1</v>
      </c>
    </row>
    <row r="101" spans="1:13" x14ac:dyDescent="0.25">
      <c r="A101" s="2">
        <v>46314</v>
      </c>
      <c r="B101" s="1" t="str">
        <f ca="1">IF(Información1[[#This Row],[Fecha]]='Ajuste de fechas'!$A$2,"Día actual","Día anterior")</f>
        <v>Día actual</v>
      </c>
      <c r="C101" s="3" t="s">
        <v>31</v>
      </c>
      <c r="D101" t="s">
        <v>32</v>
      </c>
      <c r="E101" s="3" t="s">
        <v>231</v>
      </c>
      <c r="F101" s="3" t="s">
        <v>35</v>
      </c>
      <c r="G101" s="3" t="s">
        <v>218</v>
      </c>
      <c r="H101" s="3" t="s">
        <v>30</v>
      </c>
      <c r="I101" s="3" t="s">
        <v>7</v>
      </c>
      <c r="J101" s="3" t="s">
        <v>20</v>
      </c>
      <c r="K101" s="3" t="s">
        <v>33</v>
      </c>
      <c r="L101" s="3" t="s">
        <v>21</v>
      </c>
      <c r="M101">
        <v>1</v>
      </c>
    </row>
    <row r="102" spans="1:13" x14ac:dyDescent="0.25">
      <c r="A102" s="2">
        <v>46314</v>
      </c>
      <c r="B102" s="1" t="str">
        <f ca="1">IF(Información1[[#This Row],[Fecha]]='Ajuste de fechas'!$A$2,"Día actual","Día anterior")</f>
        <v>Día actual</v>
      </c>
      <c r="C102" s="3" t="s">
        <v>31</v>
      </c>
      <c r="D102" t="s">
        <v>32</v>
      </c>
      <c r="E102" s="3" t="s">
        <v>232</v>
      </c>
      <c r="F102" s="3" t="s">
        <v>28</v>
      </c>
      <c r="G102" s="3" t="s">
        <v>233</v>
      </c>
      <c r="H102" s="3" t="s">
        <v>30</v>
      </c>
      <c r="I102" s="3" t="s">
        <v>7</v>
      </c>
      <c r="J102" s="3" t="s">
        <v>20</v>
      </c>
      <c r="K102" s="3" t="s">
        <v>34</v>
      </c>
      <c r="L102" s="3" t="s">
        <v>21</v>
      </c>
      <c r="M102">
        <v>1</v>
      </c>
    </row>
    <row r="103" spans="1:13" x14ac:dyDescent="0.25">
      <c r="A103" s="2">
        <v>46314</v>
      </c>
      <c r="B103" s="1" t="str">
        <f ca="1">IF(Información1[[#This Row],[Fecha]]='Ajuste de fechas'!$A$2,"Día actual","Día anterior")</f>
        <v>Día actual</v>
      </c>
      <c r="C103" s="3" t="s">
        <v>31</v>
      </c>
      <c r="D103" t="s">
        <v>32</v>
      </c>
      <c r="E103" s="3" t="s">
        <v>232</v>
      </c>
      <c r="F103" s="3" t="s">
        <v>118</v>
      </c>
      <c r="G103" s="3" t="s">
        <v>234</v>
      </c>
      <c r="H103" s="3" t="s">
        <v>30</v>
      </c>
      <c r="I103" s="3" t="s">
        <v>7</v>
      </c>
      <c r="J103" s="3" t="s">
        <v>20</v>
      </c>
      <c r="K103" s="3" t="s">
        <v>34</v>
      </c>
      <c r="L103" s="3" t="s">
        <v>21</v>
      </c>
      <c r="M103">
        <v>1</v>
      </c>
    </row>
    <row r="104" spans="1:13" x14ac:dyDescent="0.25">
      <c r="A104" s="2">
        <v>46314</v>
      </c>
      <c r="B104" s="1" t="str">
        <f ca="1">IF(Información1[[#This Row],[Fecha]]='Ajuste de fechas'!$A$2,"Día actual","Día anterior")</f>
        <v>Día actual</v>
      </c>
      <c r="C104" s="3" t="s">
        <v>31</v>
      </c>
      <c r="D104" t="s">
        <v>32</v>
      </c>
      <c r="E104" s="3" t="s">
        <v>235</v>
      </c>
      <c r="F104" s="3" t="s">
        <v>74</v>
      </c>
      <c r="G104" s="3" t="s">
        <v>236</v>
      </c>
      <c r="H104" s="3" t="s">
        <v>30</v>
      </c>
      <c r="I104" s="3" t="s">
        <v>7</v>
      </c>
      <c r="J104" s="3" t="s">
        <v>74</v>
      </c>
      <c r="K104" s="3" t="s">
        <v>33</v>
      </c>
      <c r="L104" s="3" t="s">
        <v>27</v>
      </c>
      <c r="M104">
        <v>1</v>
      </c>
    </row>
    <row r="105" spans="1:13" x14ac:dyDescent="0.25">
      <c r="A105" s="2">
        <v>46314</v>
      </c>
      <c r="B105" s="1" t="str">
        <f ca="1">IF(Información1[[#This Row],[Fecha]]='Ajuste de fechas'!$A$2,"Día actual","Día anterior")</f>
        <v>Día actual</v>
      </c>
      <c r="C105" s="3" t="s">
        <v>31</v>
      </c>
      <c r="D105" t="s">
        <v>32</v>
      </c>
      <c r="E105" s="3" t="s">
        <v>237</v>
      </c>
      <c r="F105" s="3" t="s">
        <v>86</v>
      </c>
      <c r="G105" s="3" t="s">
        <v>87</v>
      </c>
      <c r="H105" s="3" t="s">
        <v>30</v>
      </c>
      <c r="I105" s="3" t="s">
        <v>7</v>
      </c>
      <c r="J105" s="3" t="s">
        <v>20</v>
      </c>
      <c r="K105" s="3" t="s">
        <v>34</v>
      </c>
      <c r="L105" s="3" t="s">
        <v>21</v>
      </c>
      <c r="M105">
        <v>1</v>
      </c>
    </row>
    <row r="106" spans="1:13" x14ac:dyDescent="0.25">
      <c r="A106" s="2">
        <v>46314</v>
      </c>
      <c r="B106" s="1" t="str">
        <f ca="1">IF(Información1[[#This Row],[Fecha]]='Ajuste de fechas'!$A$2,"Día actual","Día anterior")</f>
        <v>Día actual</v>
      </c>
      <c r="C106" s="3" t="s">
        <v>31</v>
      </c>
      <c r="D106" t="s">
        <v>32</v>
      </c>
      <c r="E106" s="3" t="s">
        <v>238</v>
      </c>
      <c r="F106" s="3" t="s">
        <v>29</v>
      </c>
      <c r="G106" s="3" t="s">
        <v>239</v>
      </c>
      <c r="H106" s="3" t="s">
        <v>30</v>
      </c>
      <c r="I106" s="3" t="s">
        <v>7</v>
      </c>
      <c r="J106" s="3" t="s">
        <v>20</v>
      </c>
      <c r="K106" s="3" t="s">
        <v>34</v>
      </c>
      <c r="L106" s="3" t="s">
        <v>21</v>
      </c>
      <c r="M106">
        <v>1</v>
      </c>
    </row>
    <row r="107" spans="1:13" x14ac:dyDescent="0.25">
      <c r="A107" s="2">
        <v>46314</v>
      </c>
      <c r="B107" s="1" t="str">
        <f ca="1">IF(Información1[[#This Row],[Fecha]]='Ajuste de fechas'!$A$2,"Día actual","Día anterior")</f>
        <v>Día actual</v>
      </c>
      <c r="C107" s="3" t="s">
        <v>31</v>
      </c>
      <c r="D107" t="s">
        <v>32</v>
      </c>
      <c r="E107" s="3" t="s">
        <v>240</v>
      </c>
      <c r="F107" s="3" t="s">
        <v>81</v>
      </c>
      <c r="G107" s="3" t="s">
        <v>82</v>
      </c>
      <c r="H107" s="3" t="s">
        <v>30</v>
      </c>
      <c r="I107" s="3" t="s">
        <v>71</v>
      </c>
      <c r="J107" s="3" t="s">
        <v>83</v>
      </c>
      <c r="K107" s="3" t="s">
        <v>37</v>
      </c>
      <c r="L107" s="3" t="s">
        <v>22</v>
      </c>
      <c r="M107">
        <v>1</v>
      </c>
    </row>
    <row r="108" spans="1:13" x14ac:dyDescent="0.25">
      <c r="A108" s="2">
        <v>46314</v>
      </c>
      <c r="B108" s="1" t="str">
        <f ca="1">IF(Información1[[#This Row],[Fecha]]='Ajuste de fechas'!$A$2,"Día actual","Día anterior")</f>
        <v>Día actual</v>
      </c>
      <c r="C108" s="3" t="s">
        <v>31</v>
      </c>
      <c r="D108" t="s">
        <v>32</v>
      </c>
      <c r="E108" s="3" t="s">
        <v>241</v>
      </c>
      <c r="F108" s="3" t="s">
        <v>242</v>
      </c>
      <c r="G108" s="3" t="s">
        <v>243</v>
      </c>
      <c r="H108" s="3" t="s">
        <v>30</v>
      </c>
      <c r="I108" s="3" t="s">
        <v>7</v>
      </c>
      <c r="J108" s="3" t="s">
        <v>74</v>
      </c>
      <c r="K108" s="3" t="s">
        <v>33</v>
      </c>
      <c r="L108" s="3" t="s">
        <v>21</v>
      </c>
      <c r="M108">
        <v>1</v>
      </c>
    </row>
    <row r="109" spans="1:13" x14ac:dyDescent="0.25">
      <c r="A109" s="2">
        <v>46314</v>
      </c>
      <c r="B109" s="1" t="str">
        <f ca="1">IF(Información1[[#This Row],[Fecha]]='Ajuste de fechas'!$A$2,"Día actual","Día anterior")</f>
        <v>Día actual</v>
      </c>
      <c r="C109" s="3" t="s">
        <v>31</v>
      </c>
      <c r="D109" t="s">
        <v>32</v>
      </c>
      <c r="E109" s="3" t="s">
        <v>244</v>
      </c>
      <c r="F109" s="3" t="s">
        <v>118</v>
      </c>
      <c r="G109" s="3" t="s">
        <v>234</v>
      </c>
      <c r="H109" s="3" t="s">
        <v>30</v>
      </c>
      <c r="I109" s="3" t="s">
        <v>7</v>
      </c>
      <c r="J109" s="3" t="s">
        <v>20</v>
      </c>
      <c r="K109" s="3" t="s">
        <v>34</v>
      </c>
      <c r="L109" s="3" t="s">
        <v>21</v>
      </c>
      <c r="M109">
        <v>1</v>
      </c>
    </row>
    <row r="110" spans="1:13" x14ac:dyDescent="0.25">
      <c r="A110" s="2">
        <v>46314</v>
      </c>
      <c r="B110" s="1" t="str">
        <f ca="1">IF(Información1[[#This Row],[Fecha]]='Ajuste de fechas'!$A$2,"Día actual","Día anterior")</f>
        <v>Día actual</v>
      </c>
      <c r="C110" s="3" t="s">
        <v>31</v>
      </c>
      <c r="D110" t="s">
        <v>32</v>
      </c>
      <c r="E110" s="3" t="s">
        <v>245</v>
      </c>
      <c r="F110" s="3" t="s">
        <v>75</v>
      </c>
      <c r="G110" s="3" t="s">
        <v>137</v>
      </c>
      <c r="H110" s="3" t="s">
        <v>30</v>
      </c>
      <c r="I110" s="3" t="s">
        <v>7</v>
      </c>
      <c r="J110" s="3" t="s">
        <v>74</v>
      </c>
      <c r="K110" s="3" t="s">
        <v>246</v>
      </c>
      <c r="L110" s="3" t="s">
        <v>22</v>
      </c>
      <c r="M110">
        <v>1</v>
      </c>
    </row>
    <row r="111" spans="1:13" x14ac:dyDescent="0.25">
      <c r="A111" s="2">
        <v>46314</v>
      </c>
      <c r="B111" s="1" t="str">
        <f ca="1">IF(Información1[[#This Row],[Fecha]]='Ajuste de fechas'!$A$2,"Día actual","Día anterior")</f>
        <v>Día actual</v>
      </c>
      <c r="C111" s="3" t="s">
        <v>31</v>
      </c>
      <c r="D111" t="s">
        <v>32</v>
      </c>
      <c r="E111" s="3" t="s">
        <v>245</v>
      </c>
      <c r="F111" s="3" t="s">
        <v>88</v>
      </c>
      <c r="G111" s="3" t="s">
        <v>137</v>
      </c>
      <c r="H111" s="3" t="s">
        <v>30</v>
      </c>
      <c r="I111" s="3" t="s">
        <v>7</v>
      </c>
      <c r="J111" s="3" t="s">
        <v>20</v>
      </c>
      <c r="K111" s="3" t="s">
        <v>246</v>
      </c>
      <c r="L111" s="3" t="s">
        <v>22</v>
      </c>
      <c r="M111">
        <v>1</v>
      </c>
    </row>
    <row r="112" spans="1:13" x14ac:dyDescent="0.25">
      <c r="A112" s="2">
        <v>46314</v>
      </c>
      <c r="B112" s="1" t="str">
        <f ca="1">IF(Información1[[#This Row],[Fecha]]='Ajuste de fechas'!$A$2,"Día actual","Día anterior")</f>
        <v>Día actual</v>
      </c>
      <c r="C112" s="3" t="s">
        <v>41</v>
      </c>
      <c r="D112" t="s">
        <v>42</v>
      </c>
      <c r="E112" s="3" t="s">
        <v>247</v>
      </c>
      <c r="F112" s="3" t="s">
        <v>75</v>
      </c>
      <c r="G112" s="3" t="s">
        <v>137</v>
      </c>
      <c r="H112" s="3" t="s">
        <v>43</v>
      </c>
      <c r="I112" s="3" t="s">
        <v>7</v>
      </c>
      <c r="J112" s="3" t="s">
        <v>74</v>
      </c>
      <c r="K112" s="3" t="s">
        <v>248</v>
      </c>
      <c r="L112" s="3" t="s">
        <v>22</v>
      </c>
      <c r="M112">
        <v>1</v>
      </c>
    </row>
    <row r="113" spans="1:13" x14ac:dyDescent="0.25">
      <c r="A113" s="2">
        <v>46314</v>
      </c>
      <c r="B113" s="1" t="str">
        <f ca="1">IF(Información1[[#This Row],[Fecha]]='Ajuste de fechas'!$A$2,"Día actual","Día anterior")</f>
        <v>Día actual</v>
      </c>
      <c r="C113" s="3" t="s">
        <v>41</v>
      </c>
      <c r="D113" t="s">
        <v>42</v>
      </c>
      <c r="E113" s="3" t="s">
        <v>249</v>
      </c>
      <c r="F113" s="3" t="s">
        <v>28</v>
      </c>
      <c r="G113" s="3" t="s">
        <v>57</v>
      </c>
      <c r="H113" s="3" t="s">
        <v>43</v>
      </c>
      <c r="I113" s="3" t="s">
        <v>13</v>
      </c>
      <c r="J113" s="3" t="s">
        <v>20</v>
      </c>
      <c r="K113" s="3" t="s">
        <v>248</v>
      </c>
      <c r="L113" s="3" t="s">
        <v>22</v>
      </c>
      <c r="M113">
        <v>1</v>
      </c>
    </row>
    <row r="114" spans="1:13" x14ac:dyDescent="0.25">
      <c r="A114" s="2">
        <v>46314</v>
      </c>
      <c r="B114" s="1" t="str">
        <f ca="1">IF(Información1[[#This Row],[Fecha]]='Ajuste de fechas'!$A$2,"Día actual","Día anterior")</f>
        <v>Día actual</v>
      </c>
      <c r="C114" s="3" t="s">
        <v>41</v>
      </c>
      <c r="D114" t="s">
        <v>42</v>
      </c>
      <c r="E114" s="3" t="s">
        <v>249</v>
      </c>
      <c r="F114" s="3" t="s">
        <v>159</v>
      </c>
      <c r="G114" s="3" t="s">
        <v>57</v>
      </c>
      <c r="H114" s="3" t="s">
        <v>43</v>
      </c>
      <c r="I114" s="3" t="s">
        <v>9</v>
      </c>
      <c r="J114" s="3" t="s">
        <v>20</v>
      </c>
      <c r="K114" s="3" t="s">
        <v>248</v>
      </c>
      <c r="L114" s="3" t="s">
        <v>22</v>
      </c>
      <c r="M114">
        <v>1</v>
      </c>
    </row>
    <row r="115" spans="1:13" x14ac:dyDescent="0.25">
      <c r="A115" s="2">
        <v>46314</v>
      </c>
      <c r="B115" s="1" t="str">
        <f ca="1">IF(Información1[[#This Row],[Fecha]]='Ajuste de fechas'!$A$2,"Día actual","Día anterior")</f>
        <v>Día actual</v>
      </c>
      <c r="C115" s="3" t="s">
        <v>41</v>
      </c>
      <c r="D115" t="s">
        <v>42</v>
      </c>
      <c r="E115" s="3" t="s">
        <v>249</v>
      </c>
      <c r="F115" s="3" t="s">
        <v>11</v>
      </c>
      <c r="G115" s="3" t="s">
        <v>57</v>
      </c>
      <c r="H115" s="3" t="s">
        <v>43</v>
      </c>
      <c r="I115" s="3" t="s">
        <v>13</v>
      </c>
      <c r="J115" s="3" t="s">
        <v>20</v>
      </c>
      <c r="K115" s="3" t="s">
        <v>248</v>
      </c>
      <c r="L115" s="3" t="s">
        <v>22</v>
      </c>
      <c r="M115">
        <v>1</v>
      </c>
    </row>
    <row r="116" spans="1:13" x14ac:dyDescent="0.25">
      <c r="A116" s="2">
        <v>46314</v>
      </c>
      <c r="B116" s="1" t="str">
        <f ca="1">IF(Información1[[#This Row],[Fecha]]='Ajuste de fechas'!$A$2,"Día actual","Día anterior")</f>
        <v>Día actual</v>
      </c>
      <c r="C116" s="3" t="s">
        <v>41</v>
      </c>
      <c r="D116" t="s">
        <v>42</v>
      </c>
      <c r="E116" s="3" t="s">
        <v>250</v>
      </c>
      <c r="F116" s="3" t="s">
        <v>251</v>
      </c>
      <c r="G116" s="3" t="s">
        <v>57</v>
      </c>
      <c r="H116" s="3" t="s">
        <v>43</v>
      </c>
      <c r="I116" s="3" t="s">
        <v>7</v>
      </c>
      <c r="J116" s="3" t="s">
        <v>20</v>
      </c>
      <c r="K116" s="3" t="s">
        <v>45</v>
      </c>
      <c r="L116" s="3" t="s">
        <v>21</v>
      </c>
      <c r="M116">
        <v>1</v>
      </c>
    </row>
    <row r="117" spans="1:13" x14ac:dyDescent="0.25">
      <c r="A117" s="2">
        <v>46314</v>
      </c>
      <c r="B117" s="1" t="str">
        <f ca="1">IF(Información1[[#This Row],[Fecha]]='Ajuste de fechas'!$A$2,"Día actual","Día anterior")</f>
        <v>Día actual</v>
      </c>
      <c r="C117" s="3" t="s">
        <v>41</v>
      </c>
      <c r="D117" t="s">
        <v>42</v>
      </c>
      <c r="E117" s="3" t="s">
        <v>252</v>
      </c>
      <c r="F117" s="3" t="s">
        <v>28</v>
      </c>
      <c r="G117" s="3" t="s">
        <v>205</v>
      </c>
      <c r="H117" s="3" t="s">
        <v>43</v>
      </c>
      <c r="I117" s="3" t="s">
        <v>71</v>
      </c>
      <c r="J117" s="3" t="s">
        <v>20</v>
      </c>
      <c r="K117" s="3" t="s">
        <v>45</v>
      </c>
      <c r="L117" s="3" t="s">
        <v>22</v>
      </c>
      <c r="M117">
        <v>1</v>
      </c>
    </row>
    <row r="118" spans="1:13" x14ac:dyDescent="0.25">
      <c r="A118" s="2">
        <v>46314</v>
      </c>
      <c r="B118" s="1" t="str">
        <f ca="1">IF(Información1[[#This Row],[Fecha]]='Ajuste de fechas'!$A$2,"Día actual","Día anterior")</f>
        <v>Día actual</v>
      </c>
      <c r="C118" s="3" t="s">
        <v>46</v>
      </c>
      <c r="D118" t="s">
        <v>47</v>
      </c>
      <c r="E118" s="3" t="s">
        <v>253</v>
      </c>
      <c r="F118" s="3" t="s">
        <v>81</v>
      </c>
      <c r="G118" s="3" t="s">
        <v>254</v>
      </c>
      <c r="H118" s="3" t="s">
        <v>30</v>
      </c>
      <c r="I118" s="3" t="s">
        <v>7</v>
      </c>
      <c r="J118" s="3" t="s">
        <v>83</v>
      </c>
      <c r="K118" s="3" t="s">
        <v>48</v>
      </c>
      <c r="L118" s="3" t="s">
        <v>21</v>
      </c>
      <c r="M118">
        <v>1</v>
      </c>
    </row>
    <row r="119" spans="1:13" x14ac:dyDescent="0.25">
      <c r="A119" s="2">
        <v>46314</v>
      </c>
      <c r="B119" s="1" t="str">
        <f ca="1">IF(Información1[[#This Row],[Fecha]]='Ajuste de fechas'!$A$2,"Día actual","Día anterior")</f>
        <v>Día actual</v>
      </c>
      <c r="C119" s="3" t="s">
        <v>46</v>
      </c>
      <c r="D119" t="s">
        <v>47</v>
      </c>
      <c r="E119" s="3" t="s">
        <v>255</v>
      </c>
      <c r="F119" s="3" t="s">
        <v>72</v>
      </c>
      <c r="G119" s="3" t="s">
        <v>218</v>
      </c>
      <c r="H119" s="3" t="s">
        <v>30</v>
      </c>
      <c r="I119" s="3" t="s">
        <v>7</v>
      </c>
      <c r="J119" s="3" t="s">
        <v>73</v>
      </c>
      <c r="K119" s="3" t="s">
        <v>48</v>
      </c>
      <c r="L119" s="3" t="s">
        <v>21</v>
      </c>
      <c r="M119">
        <v>1</v>
      </c>
    </row>
    <row r="120" spans="1:13" x14ac:dyDescent="0.25">
      <c r="A120" s="2">
        <v>46314</v>
      </c>
      <c r="B120" s="1" t="str">
        <f ca="1">IF(Información1[[#This Row],[Fecha]]='Ajuste de fechas'!$A$2,"Día actual","Día anterior")</f>
        <v>Día actual</v>
      </c>
      <c r="C120" s="3" t="s">
        <v>46</v>
      </c>
      <c r="D120" t="s">
        <v>47</v>
      </c>
      <c r="E120" s="3" t="s">
        <v>256</v>
      </c>
      <c r="F120" s="3" t="s">
        <v>81</v>
      </c>
      <c r="G120" s="3" t="s">
        <v>82</v>
      </c>
      <c r="H120" s="3" t="s">
        <v>30</v>
      </c>
      <c r="I120" s="3" t="s">
        <v>13</v>
      </c>
      <c r="J120" s="3" t="s">
        <v>83</v>
      </c>
      <c r="K120" s="3" t="s">
        <v>37</v>
      </c>
      <c r="L120" s="3" t="s">
        <v>22</v>
      </c>
      <c r="M120">
        <v>1</v>
      </c>
    </row>
    <row r="121" spans="1:13" x14ac:dyDescent="0.25">
      <c r="A121" s="2">
        <v>46314</v>
      </c>
      <c r="B121" s="1" t="str">
        <f ca="1">IF(Información1[[#This Row],[Fecha]]='Ajuste de fechas'!$A$2,"Día actual","Día anterior")</f>
        <v>Día actual</v>
      </c>
      <c r="C121" s="3" t="s">
        <v>46</v>
      </c>
      <c r="D121" t="s">
        <v>47</v>
      </c>
      <c r="E121" s="3" t="s">
        <v>257</v>
      </c>
      <c r="F121" s="3" t="s">
        <v>81</v>
      </c>
      <c r="G121" s="3" t="s">
        <v>129</v>
      </c>
      <c r="H121" s="3" t="s">
        <v>30</v>
      </c>
      <c r="I121" s="3" t="s">
        <v>13</v>
      </c>
      <c r="J121" s="3" t="s">
        <v>83</v>
      </c>
      <c r="K121" s="3" t="s">
        <v>37</v>
      </c>
      <c r="L121" s="3" t="s">
        <v>22</v>
      </c>
      <c r="M121">
        <v>1</v>
      </c>
    </row>
    <row r="122" spans="1:13" x14ac:dyDescent="0.25">
      <c r="A122" s="2">
        <v>46314</v>
      </c>
      <c r="B122" s="1" t="str">
        <f ca="1">IF(Información1[[#This Row],[Fecha]]='Ajuste de fechas'!$A$2,"Día actual","Día anterior")</f>
        <v>Día actual</v>
      </c>
      <c r="C122" s="3" t="s">
        <v>46</v>
      </c>
      <c r="D122" t="s">
        <v>47</v>
      </c>
      <c r="E122" s="3" t="s">
        <v>258</v>
      </c>
      <c r="F122" s="3" t="s">
        <v>88</v>
      </c>
      <c r="G122" s="3" t="s">
        <v>82</v>
      </c>
      <c r="H122" s="3" t="s">
        <v>30</v>
      </c>
      <c r="I122" s="3" t="s">
        <v>13</v>
      </c>
      <c r="J122" s="3" t="s">
        <v>20</v>
      </c>
      <c r="K122" s="3" t="s">
        <v>37</v>
      </c>
      <c r="L122" s="3" t="s">
        <v>22</v>
      </c>
      <c r="M122">
        <v>1</v>
      </c>
    </row>
    <row r="123" spans="1:13" x14ac:dyDescent="0.25">
      <c r="A123" s="2">
        <v>46314</v>
      </c>
      <c r="B123" s="1" t="str">
        <f ca="1">IF(Información1[[#This Row],[Fecha]]='Ajuste de fechas'!$A$2,"Día actual","Día anterior")</f>
        <v>Día actual</v>
      </c>
      <c r="C123" s="3" t="s">
        <v>46</v>
      </c>
      <c r="D123" t="s">
        <v>47</v>
      </c>
      <c r="E123" s="3" t="s">
        <v>259</v>
      </c>
      <c r="F123" s="3" t="s">
        <v>72</v>
      </c>
      <c r="G123" s="3" t="s">
        <v>260</v>
      </c>
      <c r="H123" s="3" t="s">
        <v>30</v>
      </c>
      <c r="I123" s="3" t="s">
        <v>7</v>
      </c>
      <c r="J123" s="3" t="s">
        <v>73</v>
      </c>
      <c r="K123" s="3" t="s">
        <v>48</v>
      </c>
      <c r="L123" s="3" t="s">
        <v>21</v>
      </c>
      <c r="M123">
        <v>1</v>
      </c>
    </row>
    <row r="124" spans="1:13" x14ac:dyDescent="0.25">
      <c r="A124" s="2">
        <v>46314</v>
      </c>
      <c r="B124" s="1" t="str">
        <f ca="1">IF(Información1[[#This Row],[Fecha]]='Ajuste de fechas'!$A$2,"Día actual","Día anterior")</f>
        <v>Día actual</v>
      </c>
      <c r="C124" s="3" t="s">
        <v>46</v>
      </c>
      <c r="D124" t="s">
        <v>47</v>
      </c>
      <c r="E124" s="3" t="s">
        <v>261</v>
      </c>
      <c r="F124" s="3" t="s">
        <v>12</v>
      </c>
      <c r="G124" s="3" t="s">
        <v>218</v>
      </c>
      <c r="H124" s="3" t="s">
        <v>30</v>
      </c>
      <c r="I124" s="3" t="s">
        <v>13</v>
      </c>
      <c r="J124" s="3" t="s">
        <v>20</v>
      </c>
      <c r="K124" s="3" t="s">
        <v>48</v>
      </c>
      <c r="L124" s="3" t="s">
        <v>21</v>
      </c>
      <c r="M124">
        <v>1</v>
      </c>
    </row>
    <row r="125" spans="1:13" x14ac:dyDescent="0.25">
      <c r="A125" s="2">
        <v>46314</v>
      </c>
      <c r="B125" s="1" t="str">
        <f ca="1">IF(Información1[[#This Row],[Fecha]]='Ajuste de fechas'!$A$2,"Día actual","Día anterior")</f>
        <v>Día actual</v>
      </c>
      <c r="C125" s="3" t="s">
        <v>46</v>
      </c>
      <c r="D125" t="s">
        <v>47</v>
      </c>
      <c r="E125" s="3" t="s">
        <v>262</v>
      </c>
      <c r="F125" s="3" t="s">
        <v>198</v>
      </c>
      <c r="G125" s="3" t="s">
        <v>57</v>
      </c>
      <c r="H125" s="3" t="s">
        <v>30</v>
      </c>
      <c r="I125" s="3" t="s">
        <v>7</v>
      </c>
      <c r="J125" s="3" t="s">
        <v>20</v>
      </c>
      <c r="K125" s="3" t="s">
        <v>66</v>
      </c>
      <c r="L125" s="3" t="s">
        <v>21</v>
      </c>
      <c r="M125">
        <v>1</v>
      </c>
    </row>
    <row r="126" spans="1:13" x14ac:dyDescent="0.25">
      <c r="A126" s="2">
        <v>46314</v>
      </c>
      <c r="B126" s="1" t="str">
        <f ca="1">IF(Información1[[#This Row],[Fecha]]='Ajuste de fechas'!$A$2,"Día actual","Día anterior")</f>
        <v>Día actual</v>
      </c>
      <c r="C126" s="3" t="s">
        <v>46</v>
      </c>
      <c r="D126" t="s">
        <v>47</v>
      </c>
      <c r="E126" s="3" t="s">
        <v>263</v>
      </c>
      <c r="F126" s="3" t="s">
        <v>29</v>
      </c>
      <c r="G126" s="3" t="s">
        <v>57</v>
      </c>
      <c r="H126" s="3" t="s">
        <v>30</v>
      </c>
      <c r="I126" s="3" t="s">
        <v>7</v>
      </c>
      <c r="J126" s="3" t="s">
        <v>20</v>
      </c>
      <c r="K126" s="3" t="s">
        <v>70</v>
      </c>
      <c r="L126" s="3" t="s">
        <v>21</v>
      </c>
      <c r="M126">
        <v>1</v>
      </c>
    </row>
    <row r="127" spans="1:13" x14ac:dyDescent="0.25">
      <c r="A127" s="2">
        <v>46314</v>
      </c>
      <c r="B127" s="1" t="str">
        <f ca="1">IF(Información1[[#This Row],[Fecha]]='Ajuste de fechas'!$A$2,"Día actual","Día anterior")</f>
        <v>Día actual</v>
      </c>
      <c r="C127" s="3" t="s">
        <v>46</v>
      </c>
      <c r="D127" t="s">
        <v>47</v>
      </c>
      <c r="E127" s="3" t="s">
        <v>264</v>
      </c>
      <c r="F127" s="3" t="s">
        <v>81</v>
      </c>
      <c r="G127" s="3" t="s">
        <v>82</v>
      </c>
      <c r="H127" s="3" t="s">
        <v>30</v>
      </c>
      <c r="I127" s="3" t="s">
        <v>13</v>
      </c>
      <c r="J127" s="3" t="s">
        <v>83</v>
      </c>
      <c r="K127" s="3" t="s">
        <v>48</v>
      </c>
      <c r="L127" s="3" t="s">
        <v>21</v>
      </c>
      <c r="M127">
        <v>1</v>
      </c>
    </row>
    <row r="128" spans="1:13" x14ac:dyDescent="0.25">
      <c r="A128" s="2">
        <v>46314</v>
      </c>
      <c r="B128" s="1" t="str">
        <f ca="1">IF(Información1[[#This Row],[Fecha]]='Ajuste de fechas'!$A$2,"Día actual","Día anterior")</f>
        <v>Día actual</v>
      </c>
      <c r="C128" s="3" t="s">
        <v>46</v>
      </c>
      <c r="D128" t="s">
        <v>47</v>
      </c>
      <c r="E128" s="3" t="s">
        <v>265</v>
      </c>
      <c r="F128" s="3" t="s">
        <v>81</v>
      </c>
      <c r="G128" s="3" t="s">
        <v>82</v>
      </c>
      <c r="H128" s="3" t="s">
        <v>30</v>
      </c>
      <c r="I128" s="3" t="s">
        <v>71</v>
      </c>
      <c r="J128" s="3" t="s">
        <v>83</v>
      </c>
      <c r="K128" s="3" t="s">
        <v>48</v>
      </c>
      <c r="L128" s="3" t="s">
        <v>21</v>
      </c>
      <c r="M128">
        <v>1</v>
      </c>
    </row>
    <row r="129" spans="1:13" x14ac:dyDescent="0.25">
      <c r="A129" s="2">
        <v>46314</v>
      </c>
      <c r="B129" s="1" t="str">
        <f ca="1">IF(Información1[[#This Row],[Fecha]]='Ajuste de fechas'!$A$2,"Día actual","Día anterior")</f>
        <v>Día actual</v>
      </c>
      <c r="C129" s="3" t="s">
        <v>46</v>
      </c>
      <c r="D129" t="s">
        <v>47</v>
      </c>
      <c r="E129" s="3" t="s">
        <v>266</v>
      </c>
      <c r="F129" s="3" t="s">
        <v>59</v>
      </c>
      <c r="G129" s="3" t="s">
        <v>137</v>
      </c>
      <c r="H129" s="3" t="s">
        <v>30</v>
      </c>
      <c r="I129" s="3" t="s">
        <v>7</v>
      </c>
      <c r="J129" s="3" t="s">
        <v>20</v>
      </c>
      <c r="K129" s="3" t="s">
        <v>48</v>
      </c>
      <c r="L129" s="3" t="s">
        <v>21</v>
      </c>
      <c r="M129">
        <v>1</v>
      </c>
    </row>
    <row r="130" spans="1:13" x14ac:dyDescent="0.25">
      <c r="A130" s="2">
        <v>46314</v>
      </c>
      <c r="B130" s="1" t="str">
        <f ca="1">IF(Información1[[#This Row],[Fecha]]='Ajuste de fechas'!$A$2,"Día actual","Día anterior")</f>
        <v>Día actual</v>
      </c>
      <c r="C130" s="3" t="s">
        <v>46</v>
      </c>
      <c r="D130" t="s">
        <v>47</v>
      </c>
      <c r="E130" s="3" t="s">
        <v>267</v>
      </c>
      <c r="F130" s="3" t="s">
        <v>72</v>
      </c>
      <c r="G130" s="3" t="s">
        <v>268</v>
      </c>
      <c r="H130" s="3" t="s">
        <v>30</v>
      </c>
      <c r="I130" s="3" t="s">
        <v>7</v>
      </c>
      <c r="J130" s="3" t="s">
        <v>73</v>
      </c>
      <c r="K130" s="3" t="s">
        <v>66</v>
      </c>
      <c r="L130" s="3" t="s">
        <v>21</v>
      </c>
      <c r="M130">
        <v>1</v>
      </c>
    </row>
    <row r="131" spans="1:13" x14ac:dyDescent="0.25">
      <c r="A131" s="2">
        <v>46314</v>
      </c>
      <c r="B131" s="1" t="str">
        <f ca="1">IF(Información1[[#This Row],[Fecha]]='Ajuste de fechas'!$A$2,"Día actual","Día anterior")</f>
        <v>Día actual</v>
      </c>
      <c r="C131" s="3" t="s">
        <v>46</v>
      </c>
      <c r="D131" t="s">
        <v>47</v>
      </c>
      <c r="E131" s="3" t="s">
        <v>269</v>
      </c>
      <c r="F131" s="3" t="s">
        <v>118</v>
      </c>
      <c r="G131" s="3" t="s">
        <v>210</v>
      </c>
      <c r="H131" s="3" t="s">
        <v>30</v>
      </c>
      <c r="I131" s="3" t="s">
        <v>7</v>
      </c>
      <c r="J131" s="3" t="s">
        <v>20</v>
      </c>
      <c r="K131" s="3" t="s">
        <v>66</v>
      </c>
      <c r="L131" s="3" t="s">
        <v>23</v>
      </c>
      <c r="M131">
        <v>1</v>
      </c>
    </row>
    <row r="132" spans="1:13" x14ac:dyDescent="0.25">
      <c r="A132" s="2">
        <v>46314</v>
      </c>
      <c r="B132" s="1" t="str">
        <f ca="1">IF(Información1[[#This Row],[Fecha]]='Ajuste de fechas'!$A$2,"Día actual","Día anterior")</f>
        <v>Día actual</v>
      </c>
      <c r="C132" s="3" t="s">
        <v>46</v>
      </c>
      <c r="D132" t="s">
        <v>47</v>
      </c>
      <c r="E132" s="3" t="s">
        <v>77</v>
      </c>
      <c r="F132" s="3" t="s">
        <v>72</v>
      </c>
      <c r="G132" s="3" t="s">
        <v>78</v>
      </c>
      <c r="H132" s="3" t="s">
        <v>30</v>
      </c>
      <c r="I132" s="3" t="s">
        <v>7</v>
      </c>
      <c r="J132" s="3" t="s">
        <v>73</v>
      </c>
      <c r="K132" s="3" t="s">
        <v>79</v>
      </c>
      <c r="L132" s="3" t="s">
        <v>80</v>
      </c>
      <c r="M132">
        <v>1</v>
      </c>
    </row>
    <row r="133" spans="1:13" x14ac:dyDescent="0.25">
      <c r="A133" s="2">
        <v>46314</v>
      </c>
      <c r="B133" s="1" t="str">
        <f ca="1">IF(Información1[[#This Row],[Fecha]]='Ajuste de fechas'!$A$2,"Día actual","Día anterior")</f>
        <v>Día actual</v>
      </c>
      <c r="C133" s="3" t="s">
        <v>46</v>
      </c>
      <c r="D133" t="s">
        <v>47</v>
      </c>
      <c r="E133" s="3" t="s">
        <v>270</v>
      </c>
      <c r="F133" s="3" t="s">
        <v>72</v>
      </c>
      <c r="G133" s="3" t="s">
        <v>271</v>
      </c>
      <c r="H133" s="3" t="s">
        <v>30</v>
      </c>
      <c r="I133" s="3" t="s">
        <v>7</v>
      </c>
      <c r="J133" s="3" t="s">
        <v>73</v>
      </c>
      <c r="K133" s="3" t="s">
        <v>48</v>
      </c>
      <c r="L133" s="3" t="s">
        <v>21</v>
      </c>
      <c r="M133">
        <v>1</v>
      </c>
    </row>
    <row r="134" spans="1:13" x14ac:dyDescent="0.25">
      <c r="A134" s="2">
        <v>46314</v>
      </c>
      <c r="B134" s="1" t="str">
        <f ca="1">IF(Información1[[#This Row],[Fecha]]='Ajuste de fechas'!$A$2,"Día actual","Día anterior")</f>
        <v>Día actual</v>
      </c>
      <c r="C134" s="3" t="s">
        <v>46</v>
      </c>
      <c r="D134" t="s">
        <v>47</v>
      </c>
      <c r="E134" s="3" t="s">
        <v>272</v>
      </c>
      <c r="F134" s="3" t="s">
        <v>72</v>
      </c>
      <c r="G134" s="3" t="s">
        <v>78</v>
      </c>
      <c r="H134" s="3" t="s">
        <v>30</v>
      </c>
      <c r="I134" s="3" t="s">
        <v>7</v>
      </c>
      <c r="J134" s="3" t="s">
        <v>73</v>
      </c>
      <c r="K134" s="3" t="s">
        <v>48</v>
      </c>
      <c r="L134" s="3" t="s">
        <v>21</v>
      </c>
      <c r="M134">
        <v>1</v>
      </c>
    </row>
    <row r="135" spans="1:13" x14ac:dyDescent="0.25">
      <c r="A135" s="2">
        <v>46314</v>
      </c>
      <c r="B135" s="1" t="str">
        <f ca="1">IF(Información1[[#This Row],[Fecha]]='Ajuste de fechas'!$A$2,"Día actual","Día anterior")</f>
        <v>Día actual</v>
      </c>
      <c r="C135" s="3" t="s">
        <v>46</v>
      </c>
      <c r="D135" t="s">
        <v>47</v>
      </c>
      <c r="E135" s="3" t="s">
        <v>273</v>
      </c>
      <c r="F135" s="3" t="s">
        <v>28</v>
      </c>
      <c r="G135" s="3" t="s">
        <v>98</v>
      </c>
      <c r="H135" s="3" t="s">
        <v>30</v>
      </c>
      <c r="I135" s="3" t="s">
        <v>7</v>
      </c>
      <c r="J135" s="3" t="s">
        <v>20</v>
      </c>
      <c r="K135" s="3" t="s">
        <v>48</v>
      </c>
      <c r="L135" s="3" t="s">
        <v>21</v>
      </c>
      <c r="M135">
        <v>1</v>
      </c>
    </row>
    <row r="136" spans="1:13" x14ac:dyDescent="0.25">
      <c r="A136" s="2">
        <v>46314</v>
      </c>
      <c r="B136" s="1" t="str">
        <f ca="1">IF(Información1[[#This Row],[Fecha]]='Ajuste de fechas'!$A$2,"Día actual","Día anterior")</f>
        <v>Día actual</v>
      </c>
      <c r="C136" s="3" t="s">
        <v>46</v>
      </c>
      <c r="D136" t="s">
        <v>47</v>
      </c>
      <c r="E136" s="3" t="s">
        <v>273</v>
      </c>
      <c r="F136" s="3" t="s">
        <v>6</v>
      </c>
      <c r="G136" s="3" t="s">
        <v>233</v>
      </c>
      <c r="H136" s="3" t="s">
        <v>30</v>
      </c>
      <c r="I136" s="3" t="s">
        <v>7</v>
      </c>
      <c r="J136" s="3" t="s">
        <v>20</v>
      </c>
      <c r="K136" s="3" t="s">
        <v>48</v>
      </c>
      <c r="L136" s="3" t="s">
        <v>21</v>
      </c>
      <c r="M136">
        <v>1</v>
      </c>
    </row>
    <row r="137" spans="1:13" x14ac:dyDescent="0.25">
      <c r="A137" s="2">
        <v>46314</v>
      </c>
      <c r="B137" s="1" t="str">
        <f ca="1">IF(Información1[[#This Row],[Fecha]]='Ajuste de fechas'!$A$2,"Día actual","Día anterior")</f>
        <v>Día actual</v>
      </c>
      <c r="C137" s="3" t="s">
        <v>46</v>
      </c>
      <c r="D137" t="s">
        <v>47</v>
      </c>
      <c r="E137" s="3" t="s">
        <v>274</v>
      </c>
      <c r="F137" s="3" t="s">
        <v>29</v>
      </c>
      <c r="G137" s="3" t="s">
        <v>275</v>
      </c>
      <c r="H137" s="3" t="s">
        <v>30</v>
      </c>
      <c r="I137" s="3" t="s">
        <v>7</v>
      </c>
      <c r="J137" s="3" t="s">
        <v>20</v>
      </c>
      <c r="K137" s="3" t="s">
        <v>66</v>
      </c>
      <c r="L137" s="3" t="s">
        <v>21</v>
      </c>
      <c r="M137">
        <v>1</v>
      </c>
    </row>
    <row r="138" spans="1:13" x14ac:dyDescent="0.25">
      <c r="A138" s="2">
        <v>46314</v>
      </c>
      <c r="B138" s="1" t="str">
        <f ca="1">IF(Información1[[#This Row],[Fecha]]='Ajuste de fechas'!$A$2,"Día actual","Día anterior")</f>
        <v>Día actual</v>
      </c>
      <c r="C138" s="3" t="s">
        <v>46</v>
      </c>
      <c r="D138" t="s">
        <v>47</v>
      </c>
      <c r="E138" s="3" t="s">
        <v>276</v>
      </c>
      <c r="F138" s="3" t="s">
        <v>61</v>
      </c>
      <c r="G138" s="3" t="s">
        <v>277</v>
      </c>
      <c r="H138" s="3" t="s">
        <v>30</v>
      </c>
      <c r="I138" s="3" t="s">
        <v>7</v>
      </c>
      <c r="J138" s="3" t="s">
        <v>20</v>
      </c>
      <c r="K138" s="3" t="s">
        <v>48</v>
      </c>
      <c r="L138" s="3" t="s">
        <v>22</v>
      </c>
      <c r="M138">
        <v>1</v>
      </c>
    </row>
    <row r="139" spans="1:13" x14ac:dyDescent="0.25">
      <c r="A139" s="2">
        <v>46314</v>
      </c>
      <c r="B139" s="1" t="str">
        <f ca="1">IF(Información1[[#This Row],[Fecha]]='Ajuste de fechas'!$A$2,"Día actual","Día anterior")</f>
        <v>Día actual</v>
      </c>
      <c r="C139" s="3" t="s">
        <v>46</v>
      </c>
      <c r="D139" t="s">
        <v>47</v>
      </c>
      <c r="E139" s="3" t="s">
        <v>278</v>
      </c>
      <c r="F139" s="3" t="s">
        <v>29</v>
      </c>
      <c r="G139" s="3" t="s">
        <v>277</v>
      </c>
      <c r="H139" s="3" t="s">
        <v>30</v>
      </c>
      <c r="I139" s="3" t="s">
        <v>7</v>
      </c>
      <c r="J139" s="3" t="s">
        <v>20</v>
      </c>
      <c r="K139" s="3" t="s">
        <v>70</v>
      </c>
      <c r="L139" s="3" t="s">
        <v>21</v>
      </c>
      <c r="M139">
        <v>1</v>
      </c>
    </row>
    <row r="140" spans="1:13" x14ac:dyDescent="0.25">
      <c r="A140" s="2">
        <v>46314</v>
      </c>
      <c r="B140" s="1" t="str">
        <f ca="1">IF(Información1[[#This Row],[Fecha]]='Ajuste de fechas'!$A$2,"Día actual","Día anterior")</f>
        <v>Día actual</v>
      </c>
      <c r="C140" s="3" t="s">
        <v>41</v>
      </c>
      <c r="D140" t="s">
        <v>42</v>
      </c>
      <c r="E140" s="3" t="s">
        <v>279</v>
      </c>
      <c r="F140" s="3" t="s">
        <v>88</v>
      </c>
      <c r="G140" s="3" t="s">
        <v>148</v>
      </c>
      <c r="H140" s="3" t="s">
        <v>43</v>
      </c>
      <c r="I140" s="3" t="s">
        <v>7</v>
      </c>
      <c r="J140" s="3" t="s">
        <v>20</v>
      </c>
      <c r="K140" s="3" t="s">
        <v>45</v>
      </c>
      <c r="L140" s="3" t="s">
        <v>21</v>
      </c>
      <c r="M140">
        <v>1</v>
      </c>
    </row>
    <row r="141" spans="1:13" x14ac:dyDescent="0.25">
      <c r="A141" s="2">
        <v>46314</v>
      </c>
      <c r="B141" s="1" t="str">
        <f ca="1">IF(Información1[[#This Row],[Fecha]]='Ajuste de fechas'!$A$2,"Día actual","Día anterior")</f>
        <v>Día actual</v>
      </c>
      <c r="C141" s="3" t="s">
        <v>41</v>
      </c>
      <c r="D141" t="s">
        <v>42</v>
      </c>
      <c r="E141" s="3" t="s">
        <v>280</v>
      </c>
      <c r="F141" s="3" t="s">
        <v>72</v>
      </c>
      <c r="G141" s="3" t="s">
        <v>281</v>
      </c>
      <c r="H141" s="3" t="s">
        <v>43</v>
      </c>
      <c r="I141" s="3" t="s">
        <v>7</v>
      </c>
      <c r="J141" s="3" t="s">
        <v>73</v>
      </c>
      <c r="K141" s="3" t="s">
        <v>45</v>
      </c>
      <c r="L141" s="3" t="s">
        <v>21</v>
      </c>
      <c r="M141">
        <v>1</v>
      </c>
    </row>
    <row r="142" spans="1:13" x14ac:dyDescent="0.25">
      <c r="A142" s="2">
        <v>46314</v>
      </c>
      <c r="B142" s="1" t="str">
        <f ca="1">IF(Información1[[#This Row],[Fecha]]='Ajuste de fechas'!$A$2,"Día actual","Día anterior")</f>
        <v>Día actual</v>
      </c>
      <c r="C142" s="3" t="s">
        <v>41</v>
      </c>
      <c r="D142" t="s">
        <v>42</v>
      </c>
      <c r="E142" s="3" t="s">
        <v>282</v>
      </c>
      <c r="F142" s="3" t="s">
        <v>6</v>
      </c>
      <c r="G142" s="3" t="s">
        <v>68</v>
      </c>
      <c r="H142" s="3" t="s">
        <v>43</v>
      </c>
      <c r="I142" s="3" t="s">
        <v>13</v>
      </c>
      <c r="J142" s="3" t="s">
        <v>20</v>
      </c>
      <c r="K142" s="3" t="s">
        <v>37</v>
      </c>
      <c r="L142" s="3" t="s">
        <v>22</v>
      </c>
      <c r="M142">
        <v>1</v>
      </c>
    </row>
    <row r="143" spans="1:13" x14ac:dyDescent="0.25">
      <c r="A143" s="2">
        <v>46314</v>
      </c>
      <c r="B143" s="1" t="str">
        <f ca="1">IF(Información1[[#This Row],[Fecha]]='Ajuste de fechas'!$A$2,"Día actual","Día anterior")</f>
        <v>Día actual</v>
      </c>
      <c r="C143" s="3" t="s">
        <v>41</v>
      </c>
      <c r="D143" t="s">
        <v>42</v>
      </c>
      <c r="E143" s="3" t="s">
        <v>283</v>
      </c>
      <c r="F143" s="3" t="s">
        <v>84</v>
      </c>
      <c r="G143" s="3" t="s">
        <v>284</v>
      </c>
      <c r="H143" s="3" t="s">
        <v>43</v>
      </c>
      <c r="I143" s="3" t="s">
        <v>7</v>
      </c>
      <c r="J143" s="3" t="s">
        <v>85</v>
      </c>
      <c r="K143" s="3" t="s">
        <v>45</v>
      </c>
      <c r="L143" s="3" t="s">
        <v>21</v>
      </c>
      <c r="M143">
        <v>1</v>
      </c>
    </row>
    <row r="144" spans="1:13" x14ac:dyDescent="0.25">
      <c r="A144" s="2">
        <v>46314</v>
      </c>
      <c r="B144" s="1" t="str">
        <f ca="1">IF(Información1[[#This Row],[Fecha]]='Ajuste de fechas'!$A$2,"Día actual","Día anterior")</f>
        <v>Día actual</v>
      </c>
      <c r="C144" s="3" t="s">
        <v>41</v>
      </c>
      <c r="D144" t="s">
        <v>42</v>
      </c>
      <c r="E144" s="3" t="s">
        <v>250</v>
      </c>
      <c r="F144" s="3" t="s">
        <v>6</v>
      </c>
      <c r="G144" s="3" t="s">
        <v>57</v>
      </c>
      <c r="H144" s="3" t="s">
        <v>43</v>
      </c>
      <c r="I144" s="3" t="s">
        <v>7</v>
      </c>
      <c r="J144" s="3" t="s">
        <v>20</v>
      </c>
      <c r="K144" s="3" t="s">
        <v>45</v>
      </c>
      <c r="L144" s="3" t="s">
        <v>21</v>
      </c>
      <c r="M144">
        <v>1</v>
      </c>
    </row>
    <row r="145" spans="1:13" x14ac:dyDescent="0.25">
      <c r="A145" s="2">
        <v>46314</v>
      </c>
      <c r="B145" s="1" t="str">
        <f ca="1">IF(Información1[[#This Row],[Fecha]]='Ajuste de fechas'!$A$2,"Día actual","Día anterior")</f>
        <v>Día actual</v>
      </c>
      <c r="C145" s="3" t="s">
        <v>41</v>
      </c>
      <c r="D145" t="s">
        <v>42</v>
      </c>
      <c r="E145" s="3" t="s">
        <v>285</v>
      </c>
      <c r="F145" s="3" t="s">
        <v>62</v>
      </c>
      <c r="G145" s="3" t="s">
        <v>286</v>
      </c>
      <c r="H145" s="3" t="s">
        <v>43</v>
      </c>
      <c r="I145" s="3" t="s">
        <v>7</v>
      </c>
      <c r="J145" s="3" t="s">
        <v>20</v>
      </c>
      <c r="K145" s="3" t="s">
        <v>45</v>
      </c>
      <c r="L145" s="3" t="s">
        <v>23</v>
      </c>
      <c r="M145">
        <v>1</v>
      </c>
    </row>
    <row r="146" spans="1:13" x14ac:dyDescent="0.25">
      <c r="A146" s="2">
        <v>46314</v>
      </c>
      <c r="B146" s="1" t="str">
        <f ca="1">IF(Información1[[#This Row],[Fecha]]='Ajuste de fechas'!$A$2,"Día actual","Día anterior")</f>
        <v>Día actual</v>
      </c>
      <c r="C146" s="3" t="s">
        <v>41</v>
      </c>
      <c r="D146" t="s">
        <v>42</v>
      </c>
      <c r="E146" s="3" t="s">
        <v>287</v>
      </c>
      <c r="F146" s="3" t="s">
        <v>28</v>
      </c>
      <c r="G146" s="3" t="s">
        <v>288</v>
      </c>
      <c r="H146" s="3" t="s">
        <v>43</v>
      </c>
      <c r="I146" s="3" t="s">
        <v>7</v>
      </c>
      <c r="J146" s="3" t="s">
        <v>20</v>
      </c>
      <c r="K146" s="3" t="s">
        <v>45</v>
      </c>
      <c r="L146" s="3" t="s">
        <v>23</v>
      </c>
      <c r="M146">
        <v>1</v>
      </c>
    </row>
    <row r="147" spans="1:13" x14ac:dyDescent="0.25">
      <c r="A147" s="2">
        <v>46314</v>
      </c>
      <c r="B147" s="1" t="str">
        <f ca="1">IF(Información1[[#This Row],[Fecha]]='Ajuste de fechas'!$A$2,"Día actual","Día anterior")</f>
        <v>Día actual</v>
      </c>
      <c r="C147" s="3" t="s">
        <v>41</v>
      </c>
      <c r="D147" t="s">
        <v>42</v>
      </c>
      <c r="E147" s="3" t="s">
        <v>289</v>
      </c>
      <c r="F147" s="3" t="s">
        <v>72</v>
      </c>
      <c r="G147" s="3" t="s">
        <v>290</v>
      </c>
      <c r="H147" s="3" t="s">
        <v>43</v>
      </c>
      <c r="I147" s="3" t="s">
        <v>13</v>
      </c>
      <c r="J147" s="3" t="s">
        <v>73</v>
      </c>
      <c r="K147" s="3" t="s">
        <v>44</v>
      </c>
      <c r="L147" s="3" t="s">
        <v>21</v>
      </c>
      <c r="M147">
        <v>1</v>
      </c>
    </row>
    <row r="148" spans="1:13" x14ac:dyDescent="0.25">
      <c r="A148" s="2">
        <v>46314</v>
      </c>
      <c r="B148" s="1" t="str">
        <f ca="1">IF(Información1[[#This Row],[Fecha]]='Ajuste de fechas'!$A$2,"Día actual","Día anterior")</f>
        <v>Día actual</v>
      </c>
      <c r="C148" s="3" t="s">
        <v>41</v>
      </c>
      <c r="D148" t="s">
        <v>42</v>
      </c>
      <c r="E148" s="3" t="s">
        <v>291</v>
      </c>
      <c r="F148" s="3" t="s">
        <v>75</v>
      </c>
      <c r="G148" s="3" t="s">
        <v>292</v>
      </c>
      <c r="H148" s="3" t="s">
        <v>43</v>
      </c>
      <c r="I148" s="3" t="s">
        <v>7</v>
      </c>
      <c r="J148" s="3" t="s">
        <v>74</v>
      </c>
      <c r="K148" s="3" t="s">
        <v>45</v>
      </c>
      <c r="L148" s="3" t="s">
        <v>21</v>
      </c>
      <c r="M148">
        <v>1</v>
      </c>
    </row>
    <row r="149" spans="1:13" x14ac:dyDescent="0.25">
      <c r="A149" s="2">
        <v>46314</v>
      </c>
      <c r="B149" s="1" t="str">
        <f ca="1">IF(Información1[[#This Row],[Fecha]]='Ajuste de fechas'!$A$2,"Día actual","Día anterior")</f>
        <v>Día actual</v>
      </c>
      <c r="C149" s="3" t="s">
        <v>41</v>
      </c>
      <c r="D149" t="s">
        <v>42</v>
      </c>
      <c r="E149" s="3" t="s">
        <v>293</v>
      </c>
      <c r="F149" s="3" t="s">
        <v>28</v>
      </c>
      <c r="G149" s="3" t="s">
        <v>233</v>
      </c>
      <c r="H149" s="3" t="s">
        <v>43</v>
      </c>
      <c r="I149" s="3" t="s">
        <v>7</v>
      </c>
      <c r="J149" s="3" t="s">
        <v>20</v>
      </c>
      <c r="K149" s="3" t="s">
        <v>45</v>
      </c>
      <c r="L149" s="3" t="s">
        <v>21</v>
      </c>
      <c r="M14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25</v>
      </c>
      <c r="B1" t="s">
        <v>26</v>
      </c>
    </row>
    <row r="2" spans="1:2" x14ac:dyDescent="0.25">
      <c r="A2" s="2">
        <f ca="1">TODAY()</f>
        <v>46314</v>
      </c>
      <c r="B2" s="2">
        <f ca="1">A2-1</f>
        <v>46313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2026-10-19T22:52:36Z</dcterms:modified>
</cp:coreProperties>
</file>