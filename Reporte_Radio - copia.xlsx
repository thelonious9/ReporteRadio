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E973EE6B-BDA1-4B0D-A92F-FCB942B8450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36" i="2"/>
  <c r="B71" i="2"/>
  <c r="B10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<sst xmlns="http://schemas.openxmlformats.org/spreadsheetml/2006/main" count="1395" uniqueCount="272">
  <si>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</si>
  <si>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</si>
  <si>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</si>
  <si>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</si>
  <si>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</si>
  <si>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</si>
  <si>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</si>
  <si>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</si>
  <si>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</si>
  <si>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</si>
  <si>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</si>
  <si>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</si>
  <si>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</si>
  <si>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</si>
  <si>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</si>
  <si>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</si>
  <si>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</si>
  <si>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</si>
  <si>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</si>
  <si>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</si>
  <si>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</si>
  <si>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</si>
  <si>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</si>
  <si>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</si>
  <si>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</si>
  <si>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</si>
  <si>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</si>
  <si>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</si>
  <si>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</si>
  <si>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</si>
  <si>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</si>
  <si>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</si>
  <si>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</si>
  <si>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</si>
  <si>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</si>
  <si>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</si>
  <si>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</si>
  <si>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</si>
  <si>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</si>
  <si>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Positiva</t>
  </si>
  <si>
    <t>Acir 92.5 FM</t>
  </si>
  <si>
    <t>Panorama Informativo Pachuca</t>
  </si>
  <si>
    <t>Eulalio Larrieta</t>
  </si>
  <si>
    <t>Eulalio Larrieta agradece Hans Islas del ayuntamiento de Mineral de la Reforma , por su apoyo en pasar los reportes.</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</si>
  <si>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</si>
  <si>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</si>
  <si>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</si>
  <si>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</si>
  <si>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</si>
  <si>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</si>
  <si>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</si>
  <si>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</si>
  <si>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</si>
  <si>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Juan Carlos Santamaria</t>
  </si>
  <si>
    <t>SSH</t>
  </si>
  <si>
    <t>NQ 90.1 FM</t>
  </si>
  <si>
    <t>Enlace Hidalgo2</t>
  </si>
  <si>
    <t>Jesús Riveros</t>
  </si>
  <si>
    <t>Ke Buena 106.7 FM</t>
  </si>
  <si>
    <t>Noticias 106.7</t>
  </si>
  <si>
    <t>David Cárdenas</t>
  </si>
  <si>
    <t>Enlace Hidalgo1</t>
  </si>
  <si>
    <t>Combate Al Narcomenudeo</t>
  </si>
  <si>
    <t>OCSAD</t>
  </si>
  <si>
    <t>Feria Patronal</t>
  </si>
  <si>
    <t>Alerta Meteorológica</t>
  </si>
  <si>
    <t>Turismo</t>
  </si>
  <si>
    <t>Recuperación Del Patrimonio</t>
  </si>
  <si>
    <t>Jesús González</t>
  </si>
  <si>
    <t>La Poderosa Tuxpan 93.1 FM</t>
  </si>
  <si>
    <t>NN Nuestras Noticias Zona Norte</t>
  </si>
  <si>
    <t>Liz Argüelles</t>
  </si>
  <si>
    <t>Fuga De Agua</t>
  </si>
  <si>
    <t>Coordinación interestatal</t>
  </si>
  <si>
    <t>Accidente Tuzobús</t>
  </si>
  <si>
    <t>Canal del Pueblo</t>
  </si>
  <si>
    <t>TV local</t>
  </si>
  <si>
    <t>Localización de cuerpo</t>
  </si>
  <si>
    <t>Búsqueda de personas</t>
  </si>
  <si>
    <t>Partidos</t>
  </si>
  <si>
    <t>Maltrato animal</t>
  </si>
  <si>
    <t>Bienestar</t>
  </si>
  <si>
    <t>Becas Para La Transformación</t>
  </si>
  <si>
    <t>Bando de policía y gobierno</t>
  </si>
  <si>
    <t>Saderh</t>
  </si>
  <si>
    <t>Ficha De Búsqueda</t>
  </si>
  <si>
    <t>Luminarias</t>
  </si>
  <si>
    <t>Oficialía Mayor</t>
  </si>
  <si>
    <t>TSJEH</t>
  </si>
  <si>
    <t>El conductor de un vehículo de carga resultó ileso luego de que la unidad que manejaba volcara la mañana de este martes sobre el libramiento Pitula-San Alejo, a la altura del kilómetro 95 de la autopista México-Tuxpan. De acuerdo con los primeros reportes, el automotor transportaba botes con pintura y loseta cuando salió de la carpeta de rodamiento y terminó volcado fuera de la vialidad, con daños materiales considerables. Elementos de la Guardia Nacional, estación Tulancingo, arribaron al sitio para tomar conocimiento del hecho de tránsito y realizar labores de abanderamiento, con el objetivo de evitar otro accidente mientras se efectuaban las maniobras correspondientes.</t>
  </si>
  <si>
    <t>Accidente Carretero</t>
  </si>
  <si>
    <t>El clima en México registrará cambios drásticos en las próximas horas. La combinación del Monzón Mexicano, la onda tropical número 19 y el desarrollo de un posible ciclón tropical en el Pacífico -que llevaría el nombre de Elida- provocarán un temporal de chubascos, lluvias fuertes a muy fuertes y tormentas eléctricas en la mayor parte del territorio nacional. De acuerdo con el Servicio Meteorológico Nacional (SMN), estas condiciones meteorológicas también traerán la posible caída de granizo en el noroeste y occidente, aunque el ambiente caluroso a muy caluroso persistirá en el norte del país.</t>
  </si>
  <si>
    <t>Locutor Irving Sánchez da lectura a comentario de radioescucha que reporta a un chofer de la ruta azul en Tulancingo, dice, es un chofer joven que la trató mal y que no le hizo válido el descuento para adultos mayores; locutores proporcionan número de teléfono de la Semot para que pueda realizar el reporte.</t>
  </si>
  <si>
    <t>Queja transporte público</t>
  </si>
  <si>
    <t>Regidores del municipio de Cardonal emitieron un pronunciamiento público en el que acusan presuntas irregularidades en el proceso de aprobación del nuevo Bando de Policía y Gobierno, al considerar que se vulneró el procedimiento legal y democrático establecido en la Ley Orgánica Municipal del Estado de Hidalgo. El documento, firmado por los ediles Diana Laura Poblete Acosta, Gabriela Tejamanil Peña, Pascuala Cornejo Cardón, Lucero Ambrocio Cruz, Elsa Lara Pedraza y el regidor Lorenzo del Rello Ángeles, señala que la administración municipal, en coordinación con dos integrantes del cabildo, habría aprobado el proyecto únicamente en la Comisión Permanente de Gobernación, sin que este fuera sometido previamente a discusión y votación del pleno de la asamblea municipal. De acuerdo con el comunicado, el proyecto fue turnado directamente al presidente de la comisión sin ingresar por Oficialía de Partes ni ser presentado inicialmente ante los regidores y demás integrantes de la asamblea. Asimismo, afirmaron que el análisis del documento se realizó el mismo día en que fue entregado a los integrantes de la comisión, lo que, aseguran, impidió una revisión exhaustiva de su contenido. Los inconformes también criticaron que el dictamen fuera presentado el 10 de julio durante un evento organizado por el Gobierno del Estado, denominado "Fortalecimiento de la normatividad municipal 'Publicación de Bandos de Policía y Gobierno'", antes de que el proyecto fuera discutido en sesión de cabildo, situación que calificaron como un "albazo" y una imposición. Por lo anterior sostienen que este procedimiento "carece de legitimidad democrática", al considerar que el Bando de Policía y Gobierno debe ser producto del consenso entre los integrantes del ayuntamiento y de un proceso de consulta con la ciudadanía y las comunidades indígenas del municipio. Por ello, exigieron que el dictamen sea devuelto y turnado formalmente al pleno para su análisis, debate y eventual aprobación conforme a derecho. Además, hicieron un llamado a las autoridades competentes para revisar el procedimiento y garantizar el respeto a la autonomía municipal y a la legalidad. Hasta el momento, el gobierno municipal de Cardonal no ha emitido un posicionamiento público respecto a las acusaciones formuladas por los integrantes de la asamblea.</t>
  </si>
  <si>
    <t>Durante este fin de semana se acumularon tres casos de presunto maltrato animal en municipios de la región. Las situaciones provocaron la indignación de la ciudadanía y el pronunciamiento de organizaciones protectoras de animales, las cuales exigen investigaciones y sanciones conforme a la ley. El primero de los casos ocurrió el viernes 10 de julio en el municipio de Tasquillo. A través de redes sociales se difundieron imágenes de dos asnos que presuntamente fueron arrastrados por una camioneta, ocasionándoles diversas lesiones. Tras la denuncia pública, personal de la Unidad Especializada de Protección a los Animales brindó atención a los ejemplares. La autoridad confirmó que ambos presentan heridas de consideración en distintas partes del cuerpo y actualmente reciben atención veterinaria. Un día después, la asociación Bien Animal denunció un hecho registrado en la ceremonia de clausura de una escuela primaria de la comunidad de El Tephe, en el municipio de Ixmiquilpan. En el plantel se realizó una representación de una pelea de gallos como parte de un baile infantil. La organización cuestionó el uso de fauna y señaló que este tipo de actos promueven la normalización de la violencia, por lo que hizo un llamado a las autoridades educativas para fortalecer la formación en valores de respeto y bienestar animal. A estos casos se sumó el ocurrido este domingo en la comunidad de Jagüey, municipio de Nopala de Villagrán. Usuarios de redes sociales difundieron un video en el que presuntamente un hombre arrastraba a un perro sobre el pavimento desde una motocicleta. El hecho generó la reacción del colectivo La Jauría de Balú, que exigió la intervención de las autoridades municipales y de la Unidad Especializada en Delitos contra los Animales de la Procuraduría General de Justicia del Estado de Hidalgo (PGJEH). La organización protectora señaló que ya existe una denuncia por estos hechos y solicitó formalmente identificar y sancionar al responsable. Las organizaciones reiteraron el llamado a la población para continuar con la denuncia ciudadana de cualquier caso de maltrato animal.</t>
  </si>
  <si>
    <t>Durante la conferencia mañanera de la presidenta Claudia Sheinbaum, la titular del Secretariado Ejecutivo del Sistema Nacional de Seguridad Pública, Marcela Figueroa dio a conocer que el delito de homicidio doloso disminuyó en un 40 por ciento a nivel nacional. El Estado de Hidalgo ha venido también a la baja en estos delitos, la estrategia en el Estado de Hidalgo está funcionando y esto, por su puesto, arroja que todos nos sentiremos mucho más seguros.</t>
  </si>
  <si>
    <t>Estrategia de seguridad</t>
  </si>
  <si>
    <t>Oficialía Mayor recupera y moderniza espacios públicos para brindar mejores servicios a las y los hidalguenses</t>
  </si>
  <si>
    <t>Garantizan educación a pacientes del Hospital del Niño DIFH durante sus tratamientos médicos.(AUDIO EVR)</t>
  </si>
  <si>
    <t>DIFH</t>
  </si>
  <si>
    <t>Sigapren</t>
  </si>
  <si>
    <t>ITESA amplía su oferta educativa con tres ingenierías en línea</t>
  </si>
  <si>
    <t>Oferta educativa</t>
  </si>
  <si>
    <t>Sebiso y Fonart buscan perfeccionar técnicas artesanales</t>
  </si>
  <si>
    <t>Capacitación a artesanos</t>
  </si>
  <si>
    <t>Julio Menchaca enaltece labor de combatientes de incendios forestales. (AUDIO JMS)</t>
  </si>
  <si>
    <t>Combatiente forestal</t>
  </si>
  <si>
    <t>Gabinete de Seguridad de Hidalgo despliega operativo por vacaciones de verano</t>
  </si>
  <si>
    <t>Reunión Gabinete De Seguridad</t>
  </si>
  <si>
    <t>Entrevista vía telefónica Carlos Durán Marmolejo, consejero electoral del IEEH - Habló sobre los partidos políticos, defendiéndoles como instituciones de interés público diseñados para poder canalizar las distintas voces o preferencias políticas de la sociedad, recordando, que en México se ha apostado por un sistema pluralista, en ese sentido, dijo, que a nivel nacional se crearon dos nuevos partidos políticos: Somos México y PAZ, por lo que, el INE redistribuye el recurso entre los ocho partidos políticos existentes, lo mismo, se realiza a nivel local. Informó que estas nuevas fuerzas políticas tendrán derecho a participar en el siguiente proceso electoral, destacando que, al ser partidos de reciente creación, tendrán que participar solos, es decir, sin ninguna coalición, además, tendrán que recibir el tres por ciento de la votación para poder mantener su registro.</t>
  </si>
  <si>
    <t>IEEH</t>
  </si>
  <si>
    <t>Registro partidos</t>
  </si>
  <si>
    <t>En su colaboración matutina, David Cárdenas informó que, durante la conferencia mañanera de la presidenta Claudia Sheinbaum se dio a conocer que el delito de homicidio doloso disminuyó en un 40 por ciento a nivel nacional, lo que es notorio que las estregias están funcionando y destaca lo que ha mencionado el gobernador Julio Menchaca, “No estamos hablando de cifras, estamos hablando de personas que se han salvado”, personas que, a través de las estrategias de seguridad, se va recuperando poco a poco pero de manera consistente y señala como ejemplo Hidalgo, que de manera diaria se informa a la ciudadanía sobre la detención de personas, sobre la contención de narcomenudeo, del huachicol y de todos los delitos que están siendo contenidos por parte de la autoridad.</t>
  </si>
  <si>
    <t>Entrevista en cabina Claudia Ávila Arteaga, responsable de Diseño Instruccional y Karina Ángeles Cruz, responsable se Seguimiento Académico de la UNIDEH: Hablaron sobre los logros que ha obtenido la UNIDEH a lo largo de nueves años de su creación, destacando, el poder llevar la educación a diferentes lugares del Estado alcanzando una cobertura en 64 de 84 municipios, así como en 18 Estados de la república. Destacaron la ampliación de programas educativos, iniciando con tres licenciaturas y una maestría, actualmente, se ofertan dos maestrías y un doctorado de reciente estreno. Hasta el momento, se cuenta con una matrícula de 630 alumnos en los distintos programas educativos, egresando 545 personas. Entre los principales retos, destacaron, un programa traducido completamente en Legua de Señas Mexicana para la comunidad sorda, indicó, que está por concluir la primera generación de dicho programa y para esta nueva convocatoria se abrirá nuevamente ese espacio, con el objetivo de seguir generando espacios educativos con inclusión.</t>
  </si>
  <si>
    <t>Universidad Digital</t>
  </si>
  <si>
    <t>Garantizan educación a pacientes del Hospital del Niño DIFH durante sus tratamientos médicos.</t>
  </si>
  <si>
    <t>Gabinete de Seguridad de Hidalgo despliega operativo por vacaciones de verano.</t>
  </si>
  <si>
    <t>Un tráiler invadió el carril confinado del Sistema de Transporte Metropolitano, lo que provocó un corte de circulación a la unidad de servicio Parador T-05 con número económico 12 mientras ésta circulaba sobre el carril confinado, a la altura de la estación Cuna del Fútbol en sentido norte.</t>
  </si>
  <si>
    <t>Palenque Feria Pachuca</t>
  </si>
  <si>
    <t>Ultra 102.9 FM</t>
  </si>
  <si>
    <t>Ultra Noticias1</t>
  </si>
  <si>
    <t>Daniel Martínez</t>
  </si>
  <si>
    <t>Una empleada de la Secretaría de Educación Pública de Hidalgo (SEPH) perdió la vida la mañana de este lunes en las oficinas centrales de la dependencia, ubicadas en Pachuca, luego de presentar una complicación de salud al inicio de su jornada laboral. El secretario de Educación Pública, Natividad Castrejón Valdez, informó que la trabajadora fue identificada como Leonor García Moreno, de 66 años, quien laboraba como auxiliar administrativa en el área de conmutador de la Dirección General de Recursos Materiales. El funcionario explicó que este era el primer día en que la empleada regresaba a sus actividades, después de permanecer dos meses con incapacidad médica derivada de un padecimiento pulmonar. Poco tiempo después de ingresar a las instalaciones comenzó a sentirse mal, por lo que personal de la dependencia solicitó el apoyo de los cuerpos de emergencia. Paramédicos del Cuerpo de Bomberos acudieron al inmueble para brindarle atención prehospitalaria e intentaron reanimarla; sin embargo, a las 7:50 horas se confirmó su fallecimiento. De acuerdo con la información proporcionada por el titular de la SEPH, la causa probable del deceso fue un infarto agudo al miocardio. Castrejón Valdez expresó sus condolencias a los familiares de la trabajadora y aseguró que la dependencia les brindará el respaldo y acompañamiento institucional correspondiente.</t>
  </si>
  <si>
    <t>Muerte de empleado</t>
  </si>
  <si>
    <t>En cabina Guadalupe Rodríguez Uribe, titular de la Secretaría de Cultura, Educación, Deporte y Juventud de Tulancingo y organizadores de la Feria de Los Angelitos dan a conocer el programa de actividades de esta feria e invitan a la población a asistir.</t>
  </si>
  <si>
    <t>Garantizan educación a pacientes del Hospital del Niño DIFH durante sus tratamientos médicos</t>
  </si>
  <si>
    <t>Sanitarios, regaderas, higiene en el área de albercas y la calidad del agua, son parte de las revisiones que hace la Copriseh durante las visitas de inspección a destinos turísticos como balnearios, antes y durante la temporada vacacional de verano, indicó el titular Luis Alberto Mercado Hernández. El funcionario estatal adelantó que próximamente entregarán distintivos sanitarios a alrededor de 20 espacios con alberca, los cuales previamente fueron inspeccionados y capacitados por parte de la Comisión para la Protección contra Riesgos Sanitarios de Hidalgo (Copriseh). Recordó que desde antes que iniciara el Mundial de Futbol 2026 realizaron actividades de capacitación para prestadores de servicios en los Pueblos Mágicos y en el corredor de balnearios, que son de las rutas más importantes que atraen visitantes al estado. Además, mencionó que en la pasada Semana Santa entregaron 20 reconocimientos a balnearios que cumplieron con los estándares requeridos para otorgarles el distintivo sanitario como establecimientos seguros que cuenten con alberca; y en próximos días darán otro número similar ante las vacaciones de verano. “Se están terminando las actividades de evaluación para entregar a otros establecimientos que cuenten con la alberca, que presten este servicio y las personas puedan disfrutar de vacaciones seguras y en espacios que reúnen las condiciones adecuadas”, refirió.</t>
  </si>
  <si>
    <t>Vigilancia Sanitaria</t>
  </si>
  <si>
    <t>En lo que va del año, la Comisión para la Protección contra Riesgos Sanitarios del Estado de Hidalgo (Copriseh) ha realizado diversas supervisiones sanitarias, derivando en la suspensión temporal de alrededor de 150 establecimientos que presentaban condiciones de riesgo para la salud de los consumidores. Luis Alberto Mercado Hernández, comisionado para la Protección contra Riesgos Sanitarios del Estado, detalló que en los 84 municipios de Hidalgo se llevan a cabo inspecciones de manera coordinada con las áreas municipales de Reglamentos, Comercio y Abasto, para vigilancia sanitaria del agua para consumo humano, así como los procedimientos y establecimientos dedicados a la preparación y venta de alimentos. Compartió que entre las principales acciones realizadas en lo que va del año se encuentra los 16 mil monitoreos de cloro libre residual para verificar la potabilidad del agua, así como 645 muestras bacteriológicas destinadas a confirmar su calidad sanitaria. “En materia de alimentos, la Copriseh efectuó mil 686 visitas de verificación sanitaria a establecimientos donde se elaboran productos de consumo inmediato. Como parte de esas inspecciones se obtuvieron mil 146 muestras de alimentos, además de impartirse 226 capacitaciones dirigidas principalmente a manejadores de alimentos y prestadores de servicios sobre buenas prácticas de higiene y elaboración”. Respecto a los resultados de las muestras analizadas, el comisionado indicó que aproximadamente el 80 por ciento cumple con la normatividad sanitaria, es decir, cerca de 900 muestras se encontraron dentro de los parámetros permitidos. Sin embargo, alrededor del 20 por ciento presentó algún tipo de contaminación, lo que evidencia deficiencias en los procesos de preparación, manejo o conservación de los alimentos.</t>
  </si>
  <si>
    <t>Supervisión sanitaria</t>
  </si>
  <si>
    <t>En lo que va del presente año, se han localizado y cerrado más de 40 entradas irregulares a la autopista Arco Norte, las cuales podrían ser utilizadas para la comisión de delitos en dicha vialidad interestatal. La información fue ofrecida durante la reciente mesa de trabajo interestatal entre autoridades de seguridad pública y representante de la empresa concesionaria de la autopista. Los más recientes hallazgos y cierre de accesos irregulares, se reportan el pasado 8 de julio a la altura del municipio de Villa de Tezontepec, así como en la región Tulancingo. En dichos sitios, se hizo una zanja y se repuso el alambre de púas, además de colocar vigilancia para evitar que se intenten abrir nuevamente accesos irregulares. El director de operaciones del concesionario de la vialidad Santiago Córdova García reconoció que no se sabe con exactitud cuántas entradas irregulares faltan por cerrar. Justificó que es una cifra dinámica, ya que los responsables las abren por horarios o en momentos de descuido de autoridades. Durante la mesa de trabajo interestatal entre autoridades de cinco estados con la concesionaria del Arco Norte, se informó que se han realizado 97 operativos de revisión el último mes a 2 mil 604 vehículos, de los cuales seis fueron recuperados como robados. Se señaló durante la reunión que continuarán las acciones de vigilancia para prevenir y en caso necesario, atender reportes de delitos en la vialidad. Por lo que nuevamente se exhortó a la colaboración entre las autoridades de los cinco estados del país por donde cruza la autopista Arco Norte, así como a la propia concesionaria de la vialidad.</t>
  </si>
  <si>
    <t>La Dirección de Medio Ambiente de Tulancingo ha atendido 117 denuncias por presunto maltrato animal en lo que va de 2026, con corte al 8 de julio. Los reportes han sido recibidos directamente en la dependencia, a través del número de denuncia anónima 089 y mediante canalizaciones realizadas por el Ministerio Público, como parte de la coordinación institucional para la protección y el bienestar de los animales. Las denuncias más recurrentes corresponden a casos de abandono, hacinamiento, animales mantenidos en condiciones insalubres, falta de alimento y agua, exposición permanente a la intemperie y ausencia de un espacio adecuado para su resguardo; incluso, la reproducción irresponsable y permitir que animales con propietario permanezcan sin supervisión en la vía pública. De acuerdo con la Ley de Protección y Trato Digno para los Animales del Estado de Hidalgo y el Reglamento Municipal para la Protección, Posesión y Control de Animales de Compañía, el maltrato animal comprende toda acción u omisión, intencional o por negligencia, que cause dolor, sufrimiento, afecte gravemente la salud o ponga en riesgo la vida de un animal. La Dirección de Medio Ambiente es la instancia competente para atender administrativamente los casos de maltrato animal, mientras que los hechos que constituyen crueldad animal, aquellos en los que existe la intención de causar daño o sufrimiento a un ser sintiente, son competencia del Ministerio Público, al tratarse de conductas tipificadas como delito y que pueden derivar en sanciones como multas, aseguramiento de ejemplares, prisión e inhabilitación profesional, conforme a la legislación vigente.</t>
  </si>
  <si>
    <t>A partir del próximo mes de agosto, el consultorio móvil de Sanidad Municipal incorporará consultas veterinarias con una cuota de recuperación de 30 pesos, se informó por medio de un comunicado oficial. Dicho servicio permitirá detectar oportunamente enfermedades en perros y gatos para ofrecerles las atenciones veterinarias que se requieran en cada caso. También se ofrecerá orientación a cuidadores de animales de compañía; con todos estos servicios el objetivo es facilitar el acceso a atención preventiva en colonias y localidades del municipio. El comunicado informa que el personal de la unidad móvil para bienestar animal realiza jornadas permanentes de vacunación antirrábica y esterilización, que durante el primer semestre de 2026 permitieron aplicar 12 mil 240 vacunas y realizar mil 808 esterilizaciones. Con ello se contribuye a la prevención de enfermedades y al control ético de la población de animales de compañía, con apoyo de sus cuidadores. También se realiza un recuento de la atención a reportes, atendidos por la Unidad de Rescate y Bienestar Animal, con un promedio de 60 casos mensualmente. Las atenciones se realizan con apego al Reglamento de Protección a los Animales de Compañía y bajo protocolos que privilegian el respeto y la protección de los animales.</t>
  </si>
  <si>
    <t>Bienestar Animal</t>
  </si>
  <si>
    <t>Un grupo de madres, padres y demás familiares de personas desaparecidas se manifestaron con una caminata sobre la carretera México-Pachuca, para exigir recursos para las dependencias a cargo del tema, así como apoyos económicos para los propios familiares. La manifestación ocurrió la mañana del lunes 13 de julio, señalando los manifestantes que las instituciones están rebasadas por falta de personal y materiales para realizar las labores de búsqueda de personas. El contingente avanzó sobre la vialidad, a partir de la comunidad de Téllez, dentro del municipio de Zempoala, portando lonas con las imágenes de los desaparecidos, a la vez que lanzaban consignas para fortalecer las acciones para su búsqueda. Al llegar a las instalaciones de la Procuraduría General de Justicia del Estado de Hidalgo (PGJEH), solicitaron ser escuchados por el encargado de despacho de la dependencia, Francisco Fernández Hasbun. Finalmente fueron atendidos por funcionarios de dicha dependencia, a quienes les señalaron que existen deficiencias en las investigaciones y que “cada ministerio tiene a su cargo más de 300 carpetas”, de acuerdo con sus experiencias como familiares de personas desaparecidas. Los manifestantes especificaron que las dependencias que buscan tengan un recurso mayor son la Comisión de Búsqueda de Personas del Estado de Hidalgo, la Subprocuraduría de delitos de género, desaparición de personas e impacto social de la PGJEH y la Comisión Ejecutiva de Atención a Víctimas del Estado de Hidalgo.</t>
  </si>
  <si>
    <t>En siete de cada diez casos, las víctimas de algún delito donde las víctimas son niñas, niños o adolescentes, desisten en seguir adelante con la denuncia, debido sobre todo por el tiempo de espera para ser atendidos por autoridades ministeriales. El dato fue revelado por Lorena Elizabeth Barranco Licona, recién nombrada como titular de la Procuraduría municipal de Protección a Niñas, Niños y Adolescentes en Tulancingo. Enfatizó que el primer objetivo de la nueva dependencia, es precisamente agilizar los procesos de denuncia y con ello evitar la revictimización, tomando en cuenta que en ocasiones las víctimas ni siquiera cuentan con una red de apoyo social, con familiares, amigos o vecinos. “Al acudir al Ministerio Público, los niños y adolescentes, así como las personas que apoyan con la denuncia en ocasiones, se desesperan por el tiempo que se debe esperar; llega a un momento que desisten de seguir adelante con el proceso”. La nueva procuraduría, así como las similares que operarán en los 84 municipios del Estado de Hidalgo, agilizarán la atención al no tener qué triangular la atención que se requiera en cada caso. Barranco Licona señaló que incluso las denuncias se iniciarán e investigarán de oficio; es decir, aunque exista la intención de desistimiento por alguna de las partes involucradas, seguirá adelante para garantizar a las víctimas el acceso a la justicia. Incluso existen casos donde la madrastra o el padrastro de la víctima intenta obstaculizar la denuncia, lo que no será permitido por la nueva Procuraduría municipal de Protección a Niñas, Niños y Adolescentes. La funcionaria municipal señaló que los principales delitos relacionados con niñas, niños y adolescentes que se denuncian en Tulancingo, son la violencia familiar y el abuso sexual. Respecto al personal de atención, Barranco Licona considera que debe existir por lo menos un abogado, una trabajadora social y un sicólogo que apoye las labores de la actual plantilla, conformada por un especialista de cada una de las especialidades citadas. Ello debido al tamaño del municipio, y con ello la cantidad de denuncias y atención adecuada que requieren las víctimas.</t>
  </si>
  <si>
    <t>Protección del menor</t>
  </si>
  <si>
    <t>Vocales Radio</t>
  </si>
  <si>
    <t>El sistema de salud continúa muy pendiente en coordinación con las autoridades de Agricultura cobre el tema del gusano barrenador y desafortunadamente siguen en aumento el número de casos o ganados afectados por este gusano, superando más de mil casos positivos en ganado y personas. Hay brigadas de especalistas recorriendo el estado ante los casos que se reportan y es muy imporante que los dueños de atos ganaderos reportes los casos para que se propague esta plaga y no automedicar al ganado.</t>
  </si>
  <si>
    <t>Gusano barrenador</t>
  </si>
  <si>
    <t>Andrés Torres</t>
  </si>
  <si>
    <t>Octavio Magaña Soto, dirigente del Partido Verde en Hidalgo señala que es un gusto para él y para su partido recibir a un aliado y amigo, José Luis Lima Morales, quien a partir de ayer suma su experiencia y conocimiento como vocero institucional.</t>
  </si>
  <si>
    <t>PVEM</t>
  </si>
  <si>
    <t>Nombramientos</t>
  </si>
  <si>
    <t>Vía telefónica Milton Cortés informó que el adía de ayer se abrieron las taquillas para la compra de boletos ara el Palenque de la Feria de Pachuca Hidalgo San Francisco 2026 y muchas personas acudieron es incluso acamparon. El gobernador Julio Menchuca ha dicho que se vigilará este proceso para evitar que los revendedores cometan abusos. A unos meses de que inicie la feria se realizan trabajos. Asimismo, se pide a la población no caer en fraudes a través de redes sociales con la compra de boletos.</t>
  </si>
  <si>
    <t>Milton Cortés</t>
  </si>
  <si>
    <t>Vía telefónica Milton Corté informa el Ayuntamiento de Pachuca, a través del Instituto Municipal para la Juventud, emitió la convocatoria del Premio Municipal de la Juventud 2026, con la finalidad de reconocer a diez jóvenes que, por su trayectoria, liderazgo, talento, innovación y compromiso social, contribuyen al desarrollo del municipio. La convocatoria está dirigida a personas de entre 12 y 29 años residentes de Pachuca, quienes podrán postularse de manera individual o ser propuestas por instituciones educativas, organizaciones de la sociedad civil, organismos empresariales, colectivos, asociaciones o por la ciudadanía en general.</t>
  </si>
  <si>
    <t>Premio Municipal</t>
  </si>
  <si>
    <t>Radioescucha, Roberto Pérez Serano: Ayer nos visitó la Maestra María Esther Ramírez Vargas, Secretaria de Hacienda y el Maestro Juan Carlos Chávez González, director General de la CEAA para dar seguimiento y supervisión al proyecto de la nueva red de agua potable para 9 comunidades de Tezontepec de Aldama.</t>
  </si>
  <si>
    <t>Infraestructura Hidráulica</t>
  </si>
  <si>
    <t>Hacienda</t>
  </si>
  <si>
    <t>En Día de hoy el gobernador encabezará la firma de convenio con del programa Impulso Nafin Hidalgo 202026-2027 y y se realizará la entrega de créditos Mypimes, esto en la Sala del Pueblo.</t>
  </si>
  <si>
    <t>Impulso Nafin</t>
  </si>
  <si>
    <t>Ayer el gobernador Julio Menchaca Salazar encabezó la Reunión Semanal del Gabinete de Seguridad, junto con los secretarios de Gobierno, Seguridad Pública y el encargado del Despacho. En la reunión Semanal de Seguridad se reportó la atención por lluvias de nueve árboles caídos, un deslave, encharcamientos y anegaciones en en los municipios; además, se localizó a 14 personas que contaban con ficha de búsqueda, entre ellos un niño de tres años quien volvió con su familia. En la carretera México Tuxpan se detuvo a dos personas, se aseguró un arma y una pipa con 2, 800 litros de gas LP.</t>
  </si>
  <si>
    <t>Julio Menchaca enaltece labor de combatientes de incendios forestales</t>
  </si>
  <si>
    <t>Durante la conferencia de prensa de todos lo lunes, se confirmó la muerte de una maestra que se presentó a trabajar después de una licencia médica, así lo dio a conocer el titular de la Secretaría de Educación Pública del Estado de Hidalgo. (SEPH). La muerte ocurrió en instalaciones de la SEPH.</t>
  </si>
  <si>
    <t>Desde hace 3 meses estaos fuera del aire en el 1010 AM El Vocero Huasteco, estamos esperando que se regularice.</t>
  </si>
  <si>
    <t>Radiodifusoras</t>
  </si>
  <si>
    <t>Comenta conductor Eulalio Larrieta que Caasim ya reparo una tapa de brocal del drenaje central</t>
  </si>
  <si>
    <t>Atención a la ciudadanía</t>
  </si>
  <si>
    <t>Radioescucha reporta falta de presión en el agua, ya que no sube a los tinacos en la antigua carretera México-Pachuca.</t>
  </si>
  <si>
    <t>Radioescucha reporta falta de agua en Colonias de Plata</t>
  </si>
  <si>
    <t>Radioescucha reporta falta de agua en la colonia Doctores</t>
  </si>
  <si>
    <t>Radioescucha reporta falta de agua en Javier Rojo Gómez, pero que tal llega el recibo puntual</t>
  </si>
  <si>
    <t>Radioescucha reporta falta de agua en Valle de las Estrellas en Mineral de la Reforma, ya llevamos varias semanas sin agua</t>
  </si>
  <si>
    <t>Menchaca destacó que en los próximos días hará el noveno anuncio de inversiones para Hidalgo: "Vamos a hacer próximamente el noveno anuncio de inversiones, con unos datos que les van a agradar muchísimo. Sobre todo, que se distribuyen en varias zonas del estado, activan la economía, pero además con números, AUDIO APOYO</t>
  </si>
  <si>
    <t>Anuncio de inversiones</t>
  </si>
  <si>
    <t>Menchaca destacó que en los próximos días hará el noveno anuncio de inversiones para Hidalgo: "Vamos a hacer próximamente el noveno anuncio de inversiones, con unos datos que les van a agradar muchísimo. Sobre todo, que se distribuyen en varias zonas del estado, activan la economía, pero además con números. Y como en el compromiso que han hecho las empresarias y los empresarios, va a ser un punto de referencia en la geopolítica. Todo lo que está generando ruido en los mercados, el que existan empresas locales ya con la mira puesta en el estado para poder generar empleos, para generar riqueza para los jóvenes... AUDIO DE APOYO</t>
  </si>
  <si>
    <t>Gobierno de Hidalgo concentra apoyos al campo por más de 7.1 millones de pesos para fortalecer la producción agropecuaria</t>
  </si>
  <si>
    <t>Apoyo Al Agro</t>
  </si>
  <si>
    <t>El secretario de Seguridad y Protección Ciudadana, Omar García Harfuch, destacó durante la conferencia matutina de la presidenta Claudia Sheinbaum la detención de Alberto N., alias "El Virus", realizada el pasado 19 de junio en un balneario de Tulancingo, Hidalgo.El funcionario señaló que el presunto delincuente era considerado un objetivo prioritario para la Fiscalía General de Justicia de la Ciudad de México, al ser identificado como líder de una organización criminal y presunto generador de violencia en diversas alcaldías de la capital del país y municipios del Estado de México.</t>
  </si>
  <si>
    <t>Aprehensión</t>
  </si>
  <si>
    <t>Natividad Castrejón entrega más de mil Becas para la Transformación en la UPFIM</t>
  </si>
  <si>
    <t>Radio Lobo 96.7 FM</t>
  </si>
  <si>
    <t>Enlace Noticias</t>
  </si>
  <si>
    <t>Gina Lorenzo</t>
  </si>
  <si>
    <t>Reconocen y fortalecen saberes de mujeres parteras en la Huasteca</t>
  </si>
  <si>
    <t>Cooperación UNFPA</t>
  </si>
  <si>
    <t>México registra un repunte de covid-19 al inicio del verano: la positividad semanal de las pruebas aumentó de 1.6 a 17.8 por ciento entre las semanas epidemiológicas 20 y 26, mientras la curva de contagios mostró un ascenso sostenido durante junio, de acuerdo con el informe más reciente de la Secretaría de Salud.Hasta la semana epidemiológica 26, que comprende del 28 de junio al 4 de julio, se confirmaron 709 casos y 21 defunciones por covid-19 en lo que va de 2026. Los diagnósticos corresponden exclusivamente a pruebas RT-PCR realizadas mediante la vigilancia centinela en las Unidades de Salud Monitoras de Enfermedad Respiratoria Viral, conocidas como USMER.La Ciudad de México encabeza los contagios con 265 casos, equivalentes a 37.4 por ciento del total nacional. Le siguen el Estado de México, con 73; Hidalgo, con 72; Jalisco, con 40, y Zacatecas, con 37.Estas cinco entidades concentran 487 casos, es decir, 68.7 por ciento de todos los positivos registrados en el país.</t>
  </si>
  <si>
    <t>Covid 19</t>
  </si>
  <si>
    <t>La Secretaría de Seguridad Ciudadana SSC de Tizayuca, informó que una mujer fue detenida mientras circulaba en una motoneta trasladando a dos menores de edad sin casco de protección en el fraccionamiento Los Héroes TizayucaLa Secretaría de Seguridad Ciudadana SSC de Tizayuca, informó que una mujer fue detenida mientras circulaba en una motoneta trasladando a dos menores de edad sin casco de protección en el fraccionamiento Los Héroes Tizayuca.De acuerdo a información otorgada por la corporación municipal, los hechos formaron parte del Operativo Correcaminos, implementado por la Dirección de Tránsito y Vialidad, para fortalecer la seguridad vial, donde indicaron que durante la intervención la conductora se negó a acatar las indicaciones del personal operativo y opuso resistencia, por lo que, con el fin de salvaguardar la integridad de ambas menores, fueron resguardadas de manera preventiva durante el desarrollo de los hechos.</t>
  </si>
  <si>
    <t>Detención</t>
  </si>
  <si>
    <t>Esta tarde fue detenido un individuo que dijo llamarse Jairo “N”, con apoyo de pobladores de la comunidad de El Nith, en Ixmiquilpan.Tras la detención, se localizó un inmueble donde presuntamente eran almacenadas motocicletas robadas. De acuerdo con la información disponible, el detenido reveló el sitio donde ocultaban las unidades, lo que permitió el aseguramiento de varias motocicletas, algunas con alteraciones en el número de serie y una con reporte de robo vigente.Las autoridades exhortaron a la población a que, en caso de reconocer alguna de estas motocicletas como de su propiedad, acudan a presentar la denuncia correspondiente y acrediten la legítima propiedad de la unidad.</t>
  </si>
  <si>
    <t>Aquí abogamos un poco a su solidaridad, ya que familiares solicitan el apoyo de la ciudadanía para localizar a Magdalena Alvarado Hernández, de 79 años de edad, desaparecida en el municipio de Ajacuba. De acuerdo con la información compartida por sus familiares, la señora Magdalena desapareció el 12 de julio y el último registro que tienen corresponde a la calle Narciso Mendoza con dirección hacia el jagüey. Conforme a la ficha emitida por la Comisión de Búsqueda de Personas del Estado de Hidalgo, la mujer tiene 79 años, mide 1.50 metros, es de tez morena clara, cabello cano lacio y ojos color café. Al momento de su desaparición vestía pantalón deportivo negro, blusa color fucsia con una margarita estampada, suéter gris y zapatos negros. Cualquier información, ya lo sabe, se puede comunicar. También está la ficha de búsqueda en redes sociales, así que si usted sabe algo de esta mujer, de favor repórtelo.</t>
  </si>
  <si>
    <t>Continua la busqueda para dar con el paradero de Magdalena Alvarado Hernández, una mujer de 79 años que fue vista por última vez en el municipio de Ajacuba, mujer mexicana que mide 1.50 metros, con complexión delgada y tez morena clara. Además, su cabello es lacio, cano y regular, así como con ojos cafés. La última vez que fue vista, la mujer llevaba un pantalón deportivo color gris, blusa color fiuccha y zapatos de color negro; sin embargo, no se describe alguna seña particular, dan lectura de Ficha de Busqueda ,si tiene alguna información llamar al 771 130 7436</t>
  </si>
  <si>
    <t>Radioescucha reporta que lleva varias semanas una fuga de drenaje en la puerta del Teletón.</t>
  </si>
  <si>
    <t>Persiste el problema del mosco y el lirio acuático en la Presa Endhó, a pesar de los trabajos que se realizan para combatirlo. Aunque las autoridades reportan avances en el saneamiento del embalse, el mosco culex y el lirio acuático continúan afectando a comunidades ribereñas de Tula de Allende y Tepetitlán. De acuerdo con la CONAGUA, la superficie cubierta por lirio acuático se redujo de 903 hectáreas gracias al retiro de más de 105 mil metros cúbicos de esta planta invasora; además, se mantienen campañas de fumigación para disminuir la presencia del mosquito en 27 comunidades cercanas. Sin embargo, habitantes de la zona señalan que la proliferación se mantiene en varios puntos, especialmente durante las noches y tras las lluvias, por lo que solicitan mantener las acciones de limpieza y control para erradicar el problema.Los quejosos señalaron que las máquinas para el retiro de lirio estuvieron paradas, lo que ocasionó que la planta volviera a invadir la presa. AUDIO DE APOYO</t>
  </si>
  <si>
    <t>Fumigación mosco Culex</t>
  </si>
  <si>
    <t>Julio Menchaca consolida el impulso a las mipymes: créditos crecen casi 10 veces en cuatro años</t>
  </si>
  <si>
    <t>Y hablando de inversiones, el gobierno estatal y Nacional Financiera firmaron el convenio Impulso NAFIN más Hidalgo 2026-2027, el cual entregará créditos a pequeñas empresas con una bolsa superior a los 700 millones de pesos para impulsar el crecimiento económico del estado. El gobernador Julio Menchaca Salazar informó que el programa pasó de otorgar 26 créditos en 2022 a 256 en el último año, beneficiando a 764 empresas de 60 municipios y contribuyendo a conservar más de 13 mil empleos: Los financiamientos podrán ser de hasta 5 millones de pesos, con tasa fija máxima de 14.75 por ciento y plazos de hasta 60 meses sin comisión por apertura. El secretario de Desarrollo Económico, Carlos Henkel Escorza, destacó que el aumento de la aportación estatal ha fortalecido este esquema de financiamiento para que más MiPyMEs inviertan, crezcan y generen empleos en Hidalgo. AUDIO DE APOYO</t>
  </si>
  <si>
    <t>Ya se suma un total de 144 incendios forestales en lo que va de este año 2026. Dos de ellos, ocurridos recientemente en Epazoyucan y Pachuca, están siendo investigados formalmente por la Procuraduría General de Justicia del Estado al existir indicios claros de que fueron provocados intencionalmente. En total, los siniestros registrados han afectado alrededor de 3,600 hectáreas de vegetación en el estado hidalguense.</t>
  </si>
  <si>
    <t>Incendios forestales</t>
  </si>
  <si>
    <t>Hidalgo se mantiene entre los estados más seguros del país; esto de acuerdo con cifras oficiales del primer semestre. La entidad registró una disminución del 22.9 por ciento en el promedio diario de homicidios dolosos respecto al año pasado, y se ubica en el lugar 19 a nivel nacional en la incidencia de este delito. Como parte de la estrategia nacional de seguridad, destacan acciones coordinadas con fuerzas federales, entre ellas la detención de Alberto N, alias "El Virus", identificado como líder del cártel Nuevo Imperio. Además, Hidalgo figura entre las entidades con mejores resultados en el combate a laboratorios de drogas sintéticas y la extorsión. El gobierno estatal afirmó que mantendrá la coordinación con la federación para fortalecer la seguridad y preservar la paz.</t>
  </si>
  <si>
    <t>Incidencia Delictiva</t>
  </si>
  <si>
    <t>Fortalece Hidalgo acciones coordinadas para garantizar los derechos de las personas con discapacidad. (AUDIO GOR).</t>
  </si>
  <si>
    <t>Inclusión</t>
  </si>
  <si>
    <t>Radioescucha reporta nuevamente un tráiler de una empresa que pasa por calle Arrayanes en la colonia Piracantos, es una unidad muy pesada, y ya rompió varias tomas de agua. Este mensaje anteriormente comenta que " El chofer dice que el dueño es amigo del gobernador y puede hacer lo que quiera"</t>
  </si>
  <si>
    <t>Influyentismo</t>
  </si>
  <si>
    <t>El gobernador de Hidalgo, Julio Menchaca Salazar, anunció que su cuarto informe de gobierno se realizará el próximo 4 de septiembre en un solo evento público en Pachuca, por lo que este año no habrá informes regionales, AUDIO APOYO</t>
  </si>
  <si>
    <t>Informe De Gobierno</t>
  </si>
  <si>
    <t>El gobernador de Hidalgo, Julio Menchaca Salazar, anunció que su cuarto informe de gobierno se realizará el próximo 4 de septiembre en un solo evento público en Pachuca, por lo que este año no habrá informes regionales: "Se acuerda que el año pasado hubo estos informes regionales en Tula, en el Valle del Mezquital, en la Huasteca, a donde acudí para presentar los resultados y la evaluación del año que había concluido. Además, también he de solicitar al Congreso local ajustar la fecha oficial para que el acto se lleve a cabo en un día hábil. Uno solo va a ser en Pachuca. El calendario oficial marca el 5 de septiembre, pero cae en sábado, entonces me sugieren que sea el 4 de septiembre. Si el Congreso lo aprueba, es el 4 de septiembre. Estamos viendo el lugar para que tenga, para las personas que acudan, las mejores condiciones, por algunas situaciones sobre todo tomando en cuenta el traslado de las personas... Hoy por las circunstancias consideramos que un solo informe... Siempre es abierto… AUDIO DE APOYO</t>
  </si>
  <si>
    <t>El gobernador Julio Menchaca Salazar confirmó que su Cuarto Informe de Gobierno se realizará el próximo 4 de septiembre</t>
  </si>
  <si>
    <t>Un operador de tractocamión logró ponerse a salvo tras un presunto intento de asalto registrado sobre la carretera México-Pachuca a la altura del municipio de Tolcayuca. De acuerdo con los primeros reportes, hombres armados que viajaban en un automóvil Dodge Actitud color gris habrían disparado contra la unidad con la intención de obligar al conductor a detener su marcha.Sin embargo, el operador continuó su recorrido hasta llegar a una gasolinera ubicada en la zona de los Asados San Miguel, donde solicitó apoyo y dio aviso a las autoridades. Tras no lograr su objetivo, los presuntos agresores huyeron con dirección a Pachuca, lo que dio origen a un operativo de búsqueda por parte de las corporaciones de seguridad. Hasta el momento, las autoridades no han informado sobre personas detenidas ni han precisado el estado de salud de este conductor.</t>
  </si>
  <si>
    <t>Inseguridad Carretera</t>
  </si>
  <si>
    <t>En Ixmiquilpan, la tarde de ayer vecinos hicieron justicia por propia mano. Detuvieron y golpearon a un joven a quien descubrieron transitando en una motocicleta con reporte de robo. Tras golpearlo, lo interrogaron y le exigieron que dijera dónde vivía; posteriormente lo llevaron hasta su domicilio, en donde los propios pobladores ingresaron y recuperaron otras cuatro motocicletas con reporte de robo que se encontraban resguardadas en el sitio. Se reportó la retención de personas por presunto robo de motocicletas, mientras que las autoridades de Seguridad Pública locales únicamente se mantuvieron al margen observando las acciones de los pobladores bajo el esquema de usos y costumbres allá en Ixmiquilpan.</t>
  </si>
  <si>
    <t>Justicia Por Propia Mano</t>
  </si>
  <si>
    <t>El dirigente estatal Marco Antonio Mendoza afirmó que se presentará una denuncia penal por presuntas irregularidades en la firma de documentos relacionados con laudos laborales. Además, calificó como ilegal el embargo de prerrogativas ordenado al partido.</t>
  </si>
  <si>
    <t>PRI</t>
  </si>
  <si>
    <t>Laudos Laborales</t>
  </si>
  <si>
    <t>Radioescucha pide al Ayuntamiento limpieza de las áreas verdes en Real de la Plata</t>
  </si>
  <si>
    <t>Limpieza Urbana</t>
  </si>
  <si>
    <t>Vía telefónica secretario de Servicios Públicos Municipales, Gilberto López Islas con el tema limpieza de parques , jardines y camellones.</t>
  </si>
  <si>
    <t>La mañana de este miércoles, autoridades de los tres órdenes de gobierno desplegaron un operativo en la comunidad de San Sebastián Tenochtitlán, municipio de Nopala de Villagrán, tras el hallazgo del cuerpo sin vida de un hombre.En el sitio también fue localizada una lona con un mensaje, la cual fue asegurada por las autoridades ministeriales como parte de los indicios recabados durante el procesamiento de la escena.</t>
  </si>
  <si>
    <t>Radioescucha reporta mala iluminación en Lomas Residencial junto a la iglesia del Espíritu Santo.</t>
  </si>
  <si>
    <t>Y en un caso que duele mucho presentarles, pero es necesario hacerlo visible para que dejen de ocurrir estas agresiones: aquí en Hidalgo hay que recordar que el maltrato y la muerte de animales domésticos son sancionados penalmente. Hemos presentado aquí diversos casos de maltrato animal; sin embargo, a pesar de los esfuerzos de las autoridades por investigar y perseguir a los presuntos delincuentes, los casos siguen apareciendo.Recientemente se difundió un video donde se puede observar a un hombre arrastrando a un perro atado a la parte trasera de su camioneta, imágenes muy crueles. A casi 10 años de la reforma al Código Penal que sanciona el maltrato animal en Hidalgo, activistas señalan que el problema ya no es de las leyes, sino de su aplicación, la denuncia oportuna y la construcción de una mayor conciencia social: AUDIO DE APOYO.</t>
  </si>
  <si>
    <t>El gobernador de Hidalgo, Julio Menchaca Salazar, abordó el tema de los accidentes viales. En encuentro con medios de comunicación, fue cuestionado sobre la posibilidad de implementar en la entidad un esquema similar al de la Ciudad de México para el emplacamiento de bicicletas, motonetas y patines eléctricos, temas en los que dio su postura, aclarando que actualmente el reglamento no abarca la licencia de conducir para vehículos de este tipo de motos o de biciclos con motor: "Vamos a hacer lo que nos corresponde como estado en las políticas públicas, que incluyen también ser más estrictos, pero también es muy importante estar trabajando en la educación vial y en la conciencia</t>
  </si>
  <si>
    <t>Micromovilidad</t>
  </si>
  <si>
    <t>El gobernador de Hidalgo, Julio Menchaca Salazar, señaló que existen “posibilidades legales” para conformar un nuevo municipio, AUDIO APOYO</t>
  </si>
  <si>
    <t>Municipalización</t>
  </si>
  <si>
    <t>El gobernador de Hidalgo, Julio Menchaca Salazar, señaló que existen “posibilidades legales” para conformar un nuevo municipio</t>
  </si>
  <si>
    <t>Diagnóstico oportuno e inclusión educativa, ejes de la atención al TDAH en Hidalgo</t>
  </si>
  <si>
    <t>Neurodiversidad</t>
  </si>
  <si>
    <t>En encuentro con los medios de comunicación Julio Menchaca hablo sobre la reventa de boletos para el palenque de la Feria de San Francisco Pachuca 2026, exhortó a la población a no adquirir entradas mediante revendedores, AUDIO APOYO</t>
  </si>
  <si>
    <t>Recuerde usted que hablamos aquí sobre la polémica que surgió en redes sociales en torno a la venta de boletos en el Palenque de la Feria de San Francisco 2026. Algunos usuarios en redes sociales se quejaron de que estaban vendiendo lugares quienes ya no alcanzaron boletos, de que a unas horas de abrirse la venta ya había revendedores y de que también había páginas falsas que estaban ofertando boletos para el Palenque y estaban siendo estafados, lo cual ocurre generalmente año con año.Ante esta situación, la Operadora de Eventos del Estado de Hidalgo fortalece ya las acciones para garantizar una venta de boletos justa y transparente para el Palenque de la Feria de San Francisco 2026, que inicia en el mes de septiembre. Con el objetivo de frenar la reventa y garantizar una compra más justa de boletos, la Operadora de Eventos se coordinó con la empresa organizadora y la boletera para fortalecer la vigilancia durante la venta. Como parte de las nuevas medidas, cada persona podrá adquirir un máximo de cuatro boletos por evento y solo para tres artistas distintos, con el propósito de evitar el acaparamiento de entradas por revendedores.</t>
  </si>
  <si>
    <t>Radioescucha reporta que en Pachuca están circulando unas patrullas falsas, que presuntamente están asaltando.</t>
  </si>
  <si>
    <t>Patrulla pirata</t>
  </si>
  <si>
    <t>Realiza Edda Vite gira de trabajo por El Arenal y San Agustín Tlaxiaca</t>
  </si>
  <si>
    <t>Procuraduría municipal del menor</t>
  </si>
  <si>
    <t>Sebiso mantiene entrega de tarjetas de programas sociales</t>
  </si>
  <si>
    <t>Programas Del Pueblo</t>
  </si>
  <si>
    <t>Concluyó el programa de refrendo vehicular en nuestro estado con resultados sumamente positivos. Se registró un incremento de 53 millones de pesos respecto al año anterior, según reportó la Secretaría de Hacienda estatal. Estos recursos obtenidos serán destinados al fortalecimiento de programas y obras públicas en beneficio de la gente. AUDIO DE APOYO.</t>
  </si>
  <si>
    <t>Refrendo Vehicular</t>
  </si>
  <si>
    <t>Vía telefónica, Guillermo Huerta Meneses, subsecretario de Ingresos de la Secretaría de Hacienda de Hidalgo: Finalizó los descuentos en el refrendo vehicular. Como bien lo comenté, ya concluimos con este programa, el pasado 30 de junio, en donde más del 54% del padrón vehicular se regularizó durante este plazo y, a partir del primero de julio, concluyeron los beneficios como seguro de responsabilidad civil, los cupones de descuento, este programa asociado a la verificación vehicular del primer semestre y, hoy, la gente tiene que pagar es su refrendo vehicular de forma normal con el impuesto sobre tenencia, si es que su vehículo supera los 200 mil pesos valor factura.</t>
  </si>
  <si>
    <t>En Tula de Allende fue entregada la rehabilitación de la calle Tulipanes en la colonia El Salitre, como parte de las obras destinadas a mejorar la infraestructura urbana del municipio. El alcalde Cristian Martínez informó que la obra abarcó más de 1,350 metros de vialidad con una inversión superior a los 5 millones de pesos de recursos municipales. Además, se instalaron 56 postes de alumbrado público para mejorar la iluminación y seguridad en la zona. El presidente municipal señaló que estas acciones forman parte de una estrategia para mejorar la conectividad y la calidad de vida de las familias, al tiempo que continuarán las obras en distintos puntos del municipio. AUDIO DE APOYO.</t>
  </si>
  <si>
    <t>Rehabilitación Vial</t>
  </si>
  <si>
    <t>"NN Nuestras Noticias ""El Resumen"""</t>
  </si>
  <si>
    <t>Tomás Sosa</t>
  </si>
  <si>
    <t>Huasca será sede del Sexto Campeonato Nacional de Pesca de Trucha Inclusiva</t>
  </si>
  <si>
    <t>Turismo inclusivo</t>
  </si>
  <si>
    <t>A más de un año y medio del accidente ocurrido en un gimnasio de Tlaxcoapan, un juez de control vinculó a proceso a Edgar N., por su probable responsabilidad en el delito de lesiones culposas derivado del desplome de un elevador.La audiencia inicial se llevó a cabo el pasado 9 de julio, cuando el Ministerio Público formuló la imputación. Posteriormente, el 13 de julio, durante la continuación de la audiencia, la autoridad judicial determinó la vinculación a proceso y ordenó como medida cautelar el resguardo domiciliario del imputado mientras se desarrolla el procedimiento penal</t>
  </si>
  <si>
    <t>Vinculación A Proceso</t>
  </si>
  <si>
    <t>Por homicidio doloso calificado, robo y robo calificado, ocurridos en Mineral de la Reforma, un hombre fue vinculado a proceso</t>
  </si>
  <si>
    <t>Elementos del Ejército Mexicano mantienen bajo resguardo un área en la comunidad de Ventoquipa, perteneciente al municipio de Santiago Tulantepec, tras el hallazgo de una presunta toma clandestina de hidrocarburo. El aseguramiento ocurrió a un costado de la carretera local, donde las fuerzas federales detectaron una manguera de alta presión enterrada de manera ilícita. De acuerdo con los reportes preliminares, el tendido de la manguera corría a lo largo del antiguo derecho de vía del ferrocarril hasta perderse en las inmediaciones de una barranca de la zona. Tras el hallazgo, los militares procedieron a acordonar el perímetro para garantizar la seguridad de los pobladores y permitir las labores de investigación correspondientes. Hasta el momento, el operativo no registra personas detenidas, por lo que se espera el arribo de personal especializado para el inicio de las indagatorias.</t>
  </si>
  <si>
    <t>Tomas clandestinas</t>
  </si>
  <si>
    <t>La Secretaría de Seguridad Ciudadana (SSC) de la Ciudad de México informó este viernes la detención en Hidalgo de Alberto “N”, alias “El Virus”, identificado como objetivo prioritario generador de violencia y presunto líder de una célula delictiva con operaciones en la alcaldía Azcapotzalco, a quien las autoridades vinculan con un feminicidio, al menos cinco homicidios y diversos delitos de extorsión. La captura fue dada a conocer por el secretario de Seguridad Ciudadana de la Ciudad de México, Pablo Vázquez Camacho, quien señaló que la acción derivó de labores de investigación y de la coordinación entre distintas instancias del Gabinete de Seguridad. El funcionario destacó la participación de elementos de la Policía de la Ciudad de México, así como el apoyo de autoridades federales y estatales para concretar el operativo. Las labores de vigilancia fija y móvil permitieron establecer que el presunto delincuente se había desplazado al municipio de Tulancingo.</t>
  </si>
  <si>
    <t>La Secretaría de Educación Pública (SEP) publicó en el Diario Oficial de la Federación, el calendario escolar oficial 2026-2027 de 185 días efectivos. El ciclo iniciará el lunes 31 de agosto de 2026 y concluirá el viernes 9 de julio de 2027, aplicable a preescolar, primaria y secundaria en todo el país.</t>
  </si>
  <si>
    <t>Regreso A Clases</t>
  </si>
  <si>
    <t>Con el propósito de brindar mayores oportunidades de aprendizaje, desarrollo personal y bienestar a las familias cuautepequenses, el Sistema DIF Municipal de Cuautepec, encabezado por su presidenta Krystal Butrón, anunció el inicio de una nueva oferta de talleres que se impartirán durante tres meses en el Centro PILARES. La presidenta del DIF destacó que estos cursos buscan fortalecer las habilidades de niñas, niños, jóvenes y personas adultas, promoviendo actividades que favorezcan el autoempleo, la inclusión, la recreación y el desarrollo comunitario. Asimismo, señaló que el organismo trabaja en la renovación de sus instalaciones con el objetivo de ofrecer espacios más dignos, funcionales y seguros, que permitan brindar una mejor atención a las y los cuautepequenses.</t>
  </si>
  <si>
    <t>Curso de verano</t>
  </si>
  <si>
    <t>La mañana de este miércoles, autoridades de los tres órdenes de gobierno desplegaron un operativo en la comunidad de San Sebastián Tenochtitlán, municipio de Nopala de Villagrán, tras el hallazgo del cuerpo sin vida de un hombre. De acuerdo con los primeros reportes, el hombre sin vida en Nopala de Villagrán fue localizado sobre un camino ubicado detrás de la iglesia de la comunidad. La víctima presentaba huellas de violencia y, hasta el momento, permanece en calidad de no identificada. En el sitio también fue localizada una lona con un mensaje, la cual fue asegurada por las autoridades ministeriales como parte de los indicios recabados durante el procesamiento de la escena. Las autoridades no han confirmado el origen, autenticidad o contenido del mensaje, por lo que será integrado a la carpeta de investigación para su análisis. Tras el reporte, elementos de distintas corporaciones de seguridad acordonaron el área para preservar el lugar de los hechos. Posteriormente, personal de la Procuraduría General de Justicia del Estado de Hidalgo (PGJEH) y de Servicios Periciales realizó el procesamiento de la escena, el levantamiento de evidencias y el traslado del cuerpo para la práctica de los estudios correspondientes. Hasta el momento, las autoridades no han confirmado la identidad de la víctima ni han informado sobre personas detenidas en relación con este caso. La PGJEH mantiene abierta la carpeta de investigación para esclarecer las circunstancias en que ocurrieron los hechos, determinar el móvil del crimen e identificar a la persona fallecida.</t>
  </si>
  <si>
    <t>Entrevista vía telefónica Pablo Gómez, delegado Nacional de Movimiento Ciudadano - Habló sobre su reciente nombramiento como delegado Nacional de Movimiento Ciudadano en Hidalgo, cargo por la dirigencia nacional encabezada por Jorge Álvarez Máynez para coordinar y fortalecer la estructura de cara a los procesos electorales locales. Respecto a la relación que mantiene con el gobierno de Julio Menchaca, dijo, es una relación muy buena tanto de ida como de vuelta, con amplía participación, siempre en favor de las y los hidalguenses.</t>
  </si>
  <si>
    <t>MC</t>
  </si>
  <si>
    <t>El Fondo de Población de Naciones Unidas comparte experiencias con parteras de Hidalgo.</t>
  </si>
  <si>
    <t>Las constantes fallas en el suministro de energía eléctrica provocaron presuntos daños en dos equipos de bombeo del sistema de agua potable, situación que afectará el servicio para cientos de familias en la región. La Comisión de Agua Potable, Alcantarillado y Saneamiento de Zimapán (CAPASAZIM) informó que los pozos Centro Expositor y El Detzani sufrieron daños totales a causa de las variaciones de voltaje registradas recientemente. Debido a esta avería, el abastecimiento de agua será intermitente en la cabecera municipal, colonias de la periferia, la comunidad de Detzani y localidades aledañas, mientras se ejecutan las labores de sustitución de la infraestructura afectada. Desde hace semanas, ciudadanos han denunciado a través de redes sociales los apagones constantes. Los habitantes señalan que estas interrupciones han provocado daños en aparatos eléctricos, además de la pérdida de alimentos y medicamentos que requieren refrigeración.</t>
  </si>
  <si>
    <t>El Instituto Mexicano del Seguro Social (IMSS) en Hidalgo invita a la comunidad a participar en los cursos vacacionales de verano 2026, denominados “Verano IMSS imparable”, los cuales están dirigidos a niñas, niños y adolescentes en los Centros de Seguridad Social (CSS) de Pachuca, Ciudad Sahagún y Tepeji del Río. El objetivo de los cursos vacacionales de verano 2026 es brindar espacios de convivencia, aprendizaje, activación física y promoción de hábitos y conductas saludables a los menores durante el periodo vacacional escolar. El jefe de la Oficina de Cultura Física y Deporte de la Jefatura de Salud en el Trabajo, Prestaciones Económicas y Sociales, del IMSS en Hidalgo, Jonathan Meneses Ghenno, destacó que estos espacios que se apertura de manera anual buscan fomentar actividades deportivas, lúdicas que permitan el desarrollo integral de los menores, además de incentivas en ellos conductas saludables, en un ambiente seguro. Los cursos están dirigidos a menores desde los 6 hasta los 15 años, organizados por grupos de edad, para garantizar una atención adecuada y actividades acordes a su desarrollo físico y emocional. Los CSS de Pachuca y Tepeji del Río otorgará cursos para menores de edades de 6 a12 años, mientras que el de Ciudad Sahagún tendrá espacios para niños y adolescentes de 6 a15 años, para lo que padres o tutores deberán acudir a las instalaciones correspondientes para realizar el proceso de inscripción, la cual concluirá el 17 de julio.</t>
  </si>
  <si>
    <t>La Secretaría de Educación Pública (SEP) publicó en el Diario Oficial de la Federación el calendario escolar oficial 2026-2027 de 185 días efectivos. El ciclo iniciará el lunes 31 de agosto de 2026 y concluirá el viernes 9 de julio de 2027, aplicable a preescolar, primaria y secundaria en todo el país.</t>
  </si>
  <si>
    <t>Congreso del Estado Libre y Soberano de Hidalgo recibió del Poder Judicial del Estado de Hidalgo un paquete de iniciativas de reforma a la Ley Orgánica del Poder Judicial del Estado de Hidalgo y a la legislación en materia de mecanismos de solución de controversias, propuestas que responden a las necesidades de fortalecimiento del marco normativo para consolidar un modelo de justicia más eficiente, cercano, accesible y acorde a las transformaciones que vive el país. El diputado Andrés Velázquez Vázquez, presidente de la Junta de Gobierno, celebró la sólida coordinación y colaboración entre los poderes Ejecutivo, Legislativo y Judicial como un hecho sin precedentes orientado al fortalecimiento de las instituciones y bienestar de la población. También reconoció el liderazgo de la magistrada presidenta Rebeca Aladro Echeverría por impulsar la modernización, transparencia y humanización de la impartición de justicia, así como el respaldo del gobernador Julio Menchaca Salazar para consolidar un trabajo conjunto entre los poderes públicos.</t>
  </si>
  <si>
    <t>Iniciativa</t>
  </si>
  <si>
    <t>OEEH fortalece acciones para garantizar una venta de boletos justa y transparente para el Palenque de la Feria de San Francisco 2026</t>
  </si>
  <si>
    <t>Dos personas detenidas, drogas, armas de fuego y cartuchos útiles asegurados durante cateo de la PGJEH en Pachuca.</t>
  </si>
  <si>
    <t>Con trabajo coordinado, Hidalgo se mantiene entre los estados más seguros del país</t>
  </si>
  <si>
    <t>Capacita SSH a personal de enfermería para fortalecer la seguridad de las y los pacientes</t>
  </si>
  <si>
    <t>Capacitación médica</t>
  </si>
  <si>
    <t>Julio Menchaca consolida el impulso a las mipymes: créditos crecen casi 10 veces en cuatro años. (AUDIO JMS).</t>
  </si>
  <si>
    <t>Ayer estuvo circulando en redes sociales la noticia de que fue robado un vehículo por patrullas falsas en la carretera México-Tuxpan a la altura de Huauchinango, se reportaba que un operativo de presuntas patrullas falsas detuvo al automovilista, lo bajaron de su vehículo y después huyeron con su unidad. Este tipo de operativos también se ha reportado en San Alejo, situación que ha preocupado a la ciudadanía, locutor Jesús Riveros señaló, que les han compartido fotografías de patrullas que traen rotulado “Policía Federal Ministerial” en camionetas de último modelo, el punto, dijo, es que ya genera desconfianza el tema de los operativos en la región.</t>
  </si>
  <si>
    <t>Siguen los temas de violencia, de inseguridad, en la carretera, los intentos de asalto, que, cada vez son más comunes en las carreteras de nuestro país, comentó locutor Jesús Riveros, referente al intento de asalto a un tractocamión en Tolcayuca.</t>
  </si>
  <si>
    <t>Entrevista vía telefónica Luis Alberto Mercado, titular de la Comisión para la Protección contra Riesgos Sanitarios del Estado de Hidalgo - Habló sobre las acciones de prevención que realiza la Copriseh en Balnearios y Parque Acuáticos con el objetivo de garantizar las adecuadas condiciones sanitarias durante las vacaciones de verano.</t>
  </si>
  <si>
    <t>Un intento de asalto a tractocamión en Tolcayuca provocó una movilización de corporaciones de seguridad la noche de este martes sobre la carretera federal México-Pachuca, luego de que un operador denunciara haber sido atacado por hombres armados. De acuerdo con los primeros reportes, el conductor circulaba a la altura del municipio de Tolcayuca cuando presuntamente fue interceptado por varios sujetos que viajaban en un automóvil gris, identificado preliminarmente como un Dodge Attitude. Los agresores habrían realizado disparos contra la unidad con la intención de obligarlo a detenerse. Pese a la agresión, el operador continuó la marcha del tractocamión hasta llegar a la gasolinera ubicada en la zona de Los Asados San Miguel, donde solicitó auxilio y dio aviso a las autoridades. Información preliminar señala que la unidad de carga recibió varios impactos de arma de fuego; sin embargo, hasta el momento no se ha informado oficialmente sobre daños mayores al vehículo. Tras el reporte, elementos de corporaciones estatales y municipales implementaron un operativo de búsqueda con apoyo del sistema de videovigilancia del C5i Hidalgo, con el objetivo de ubicar a los presuntos responsables. Las primeras versiones indican que los sospechosos escaparon con dirección a Pachuca a bordo de un automóvil gris. Hasta el momento no se ha confirmado de manera oficial el modelo del vehículo, por lo que esta información permanece sujeta al avance de las investigaciones. Hasta el cierre de esta información, las autoridades no habían reportado personas detenidas en relación con los hechos.</t>
  </si>
  <si>
    <t>La PGJEH vinculó a proceso a un sujeto identificado con las iniciales S.H.J. (o U.H.J.) por los delitos de homicidio doloso calificado y robo de vehículo. El imputado engañó a la víctima para comprarle una camioneta, la asesinó para robarle la unidad y, durante su huida, sustrajo una patrulla de la policía estatal. Los hechos ocurrieron en la localidad de El Saucillo, en el municipio de Mineral de la Reforma. Tras el homicidio, se desató una persecución en la que el sospechoso robó una patrulla de la Secretaría de Seguridad Pública de Hidalgo (SSPH) antes de ser finalmente acorralado y detenido. Aunque en un primer momento el detenido declaró ser menor de edad, las indagatorias ministeriales determinaron que tiene 18 años cumplidos, por lo que será procesado como adulto.</t>
  </si>
  <si>
    <t>Julio Menchaca consolida el impulso a las mipymes: créditos crecen casi 10 veces en cuatro años.</t>
  </si>
  <si>
    <t>Sebiso mantiene entrega de tarjetas de programas sociales.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</si>
</sst>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9" tableType="queryTable" totalsRowShown="0">
  <autoFilter ref="A1:M13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9"/>
  <sheetViews>
    <sheetView tabSelected="1" topLeftCell="A112" workbookViewId="0">
      <selection activeCell="C116" sqref="C116"/>
    </sheetView>
  </sheetViews>
  <sheetFormatPr baseColWidth="10" defaultRowHeight="15" x14ac:dyDescent="0.25"/>
  <cols>
    <col min="1" max="1" width="8.5703125" bestFit="1" customWidth="1"/>
    <col min="2" max="2" width="11.42578125" bestFit="1" customWidth="1"/>
    <col min="3" max="3" width="26" bestFit="1" customWidth="1"/>
    <col min="4" max="4" width="35.5703125" bestFit="1" customWidth="1"/>
    <col min="5" max="5" width="81.140625" bestFit="1" customWidth="1"/>
    <col min="6" max="6" width="15.28515625" bestFit="1" customWidth="1"/>
    <col min="7" max="7" width="32"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46217</v>
      </c>
      <c r="B2" s="1" t="str">
        <f ca="1">IF(Información1[[#This Row],[Fecha]]='Ajuste de fechas'!$A$2,"Día actual","Día anterior")</f>
        <v>Día anterior</v>
      </c>
      <c r="C2" t="s">
        <v>55</v>
      </c>
      <c r="D2" t="s">
        <v>56</v>
      </c>
      <c r="E2" t="s">
        <v>89</v>
      </c>
      <c r="F2" t="s">
        <v>11</v>
      </c>
      <c r="G2" t="s">
        <v>90</v>
      </c>
      <c r="H2" t="s">
        <v>8</v>
      </c>
      <c r="I2" t="s">
        <v>7</v>
      </c>
      <c r="J2" t="s">
        <v>32</v>
      </c>
      <c r="K2" t="s">
        <v>57</v>
      </c>
      <c r="L2" t="s">
        <v>24</v>
      </c>
      <c r="M2">
        <v>1</v>
      </c>
    </row>
    <row r="3" spans="1:13" x14ac:dyDescent="0.25">
      <c r="A3" s="2">
        <v>46217</v>
      </c>
      <c r="B3" s="1" t="str">
        <f ca="1">IF(Información1[[#This Row],[Fecha]]='Ajuste de fechas'!$A$2,"Día actual","Día anterior")</f>
        <v>Día anterior</v>
      </c>
      <c r="C3" t="s">
        <v>55</v>
      </c>
      <c r="D3" t="s">
        <v>56</v>
      </c>
      <c r="E3" t="s">
        <v>91</v>
      </c>
      <c r="F3" t="s">
        <v>11</v>
      </c>
      <c r="G3" t="s">
        <v>65</v>
      </c>
      <c r="H3" t="s">
        <v>8</v>
      </c>
      <c r="I3" t="s">
        <v>7</v>
      </c>
      <c r="J3" t="s">
        <v>32</v>
      </c>
      <c r="K3" t="s">
        <v>57</v>
      </c>
      <c r="L3" t="s">
        <v>24</v>
      </c>
      <c r="M3">
        <v>1</v>
      </c>
    </row>
    <row r="4" spans="1:13" x14ac:dyDescent="0.25">
      <c r="A4" s="2">
        <v>46217</v>
      </c>
      <c r="B4" s="1" t="str">
        <f ca="1">IF(Información1[[#This Row],[Fecha]]='Ajuste de fechas'!$A$2,"Día actual","Día anterior")</f>
        <v>Día anterior</v>
      </c>
      <c r="C4" t="s">
        <v>55</v>
      </c>
      <c r="D4" t="s">
        <v>56</v>
      </c>
      <c r="E4" t="s">
        <v>92</v>
      </c>
      <c r="F4" t="s">
        <v>38</v>
      </c>
      <c r="G4" t="s">
        <v>93</v>
      </c>
      <c r="H4" t="s">
        <v>8</v>
      </c>
      <c r="I4" t="s">
        <v>14</v>
      </c>
      <c r="J4" t="s">
        <v>31</v>
      </c>
      <c r="K4" t="s">
        <v>37</v>
      </c>
      <c r="L4" t="s">
        <v>25</v>
      </c>
      <c r="M4">
        <v>1</v>
      </c>
    </row>
    <row r="5" spans="1:13" x14ac:dyDescent="0.25">
      <c r="A5" s="2">
        <v>46217</v>
      </c>
      <c r="B5" s="1" t="str">
        <f ca="1">IF(Información1[[#This Row],[Fecha]]='Ajuste de fechas'!$A$2,"Día actual","Día anterior")</f>
        <v>Día anterior</v>
      </c>
      <c r="C5" t="s">
        <v>58</v>
      </c>
      <c r="D5" t="s">
        <v>59</v>
      </c>
      <c r="E5" t="s">
        <v>94</v>
      </c>
      <c r="F5" t="s">
        <v>10</v>
      </c>
      <c r="G5" t="s">
        <v>83</v>
      </c>
      <c r="H5" t="s">
        <v>8</v>
      </c>
      <c r="I5" t="s">
        <v>14</v>
      </c>
      <c r="J5" t="s">
        <v>33</v>
      </c>
      <c r="K5" t="s">
        <v>60</v>
      </c>
      <c r="L5" t="s">
        <v>24</v>
      </c>
      <c r="M5">
        <v>1</v>
      </c>
    </row>
    <row r="6" spans="1:13" x14ac:dyDescent="0.25">
      <c r="A6" s="2">
        <v>46217</v>
      </c>
      <c r="B6" s="1" t="str">
        <f ca="1">IF(Información1[[#This Row],[Fecha]]='Ajuste de fechas'!$A$2,"Día actual","Día anterior")</f>
        <v>Día anterior</v>
      </c>
      <c r="C6" t="s">
        <v>58</v>
      </c>
      <c r="D6" t="s">
        <v>59</v>
      </c>
      <c r="E6" t="s">
        <v>95</v>
      </c>
      <c r="F6" t="s">
        <v>34</v>
      </c>
      <c r="G6" t="s">
        <v>80</v>
      </c>
      <c r="H6" t="s">
        <v>8</v>
      </c>
      <c r="I6" t="s">
        <v>14</v>
      </c>
      <c r="J6" t="s">
        <v>31</v>
      </c>
      <c r="K6" t="s">
        <v>60</v>
      </c>
      <c r="L6" t="s">
        <v>24</v>
      </c>
      <c r="M6">
        <v>1</v>
      </c>
    </row>
    <row r="7" spans="1:13" x14ac:dyDescent="0.25">
      <c r="A7" s="2">
        <v>46217</v>
      </c>
      <c r="B7" s="1" t="str">
        <f ca="1">IF(Información1[[#This Row],[Fecha]]='Ajuste de fechas'!$A$2,"Día actual","Día anterior")</f>
        <v>Día anterior</v>
      </c>
      <c r="C7" t="s">
        <v>58</v>
      </c>
      <c r="D7" t="s">
        <v>59</v>
      </c>
      <c r="E7" t="s">
        <v>96</v>
      </c>
      <c r="F7" t="s">
        <v>15</v>
      </c>
      <c r="G7" t="s">
        <v>97</v>
      </c>
      <c r="H7" t="s">
        <v>8</v>
      </c>
      <c r="I7" t="s">
        <v>39</v>
      </c>
      <c r="J7" t="s">
        <v>31</v>
      </c>
      <c r="K7" t="s">
        <v>60</v>
      </c>
      <c r="L7" t="s">
        <v>25</v>
      </c>
      <c r="M7">
        <v>1</v>
      </c>
    </row>
    <row r="8" spans="1:13" x14ac:dyDescent="0.25">
      <c r="A8" s="2">
        <v>46217</v>
      </c>
      <c r="B8" s="1" t="str">
        <f ca="1">IF(Información1[[#This Row],[Fecha]]='Ajuste de fechas'!$A$2,"Día actual","Día anterior")</f>
        <v>Día anterior</v>
      </c>
      <c r="C8" t="s">
        <v>58</v>
      </c>
      <c r="D8" t="s">
        <v>59</v>
      </c>
      <c r="E8" t="s">
        <v>95</v>
      </c>
      <c r="F8" t="s">
        <v>35</v>
      </c>
      <c r="G8" t="s">
        <v>80</v>
      </c>
      <c r="H8" t="s">
        <v>8</v>
      </c>
      <c r="I8" t="s">
        <v>7</v>
      </c>
      <c r="J8" t="s">
        <v>31</v>
      </c>
      <c r="K8" t="s">
        <v>60</v>
      </c>
      <c r="L8" t="s">
        <v>24</v>
      </c>
      <c r="M8">
        <v>1</v>
      </c>
    </row>
    <row r="9" spans="1:13" x14ac:dyDescent="0.25">
      <c r="A9" s="2">
        <v>46217</v>
      </c>
      <c r="B9" s="1" t="str">
        <f ca="1">IF(Información1[[#This Row],[Fecha]]='Ajuste de fechas'!$A$2,"Día actual","Día anterior")</f>
        <v>Día anterior</v>
      </c>
      <c r="C9" t="s">
        <v>58</v>
      </c>
      <c r="D9" t="s">
        <v>59</v>
      </c>
      <c r="E9" t="s">
        <v>98</v>
      </c>
      <c r="F9" t="s">
        <v>87</v>
      </c>
      <c r="G9" t="s">
        <v>67</v>
      </c>
      <c r="H9" t="s">
        <v>8</v>
      </c>
      <c r="I9" t="s">
        <v>7</v>
      </c>
      <c r="J9" t="s">
        <v>31</v>
      </c>
      <c r="K9" t="s">
        <v>60</v>
      </c>
      <c r="L9" t="s">
        <v>26</v>
      </c>
      <c r="M9">
        <v>1</v>
      </c>
    </row>
    <row r="10" spans="1:13" x14ac:dyDescent="0.25">
      <c r="A10" s="2">
        <v>46217</v>
      </c>
      <c r="B10" s="1" t="str">
        <f ca="1">IF(Información1[[#This Row],[Fecha]]='Ajuste de fechas'!$A$2,"Día actual","Día anterior")</f>
        <v>Día anterior</v>
      </c>
      <c r="C10" t="s">
        <v>58</v>
      </c>
      <c r="D10" t="s">
        <v>59</v>
      </c>
      <c r="E10" t="s">
        <v>99</v>
      </c>
      <c r="F10" t="s">
        <v>100</v>
      </c>
      <c r="G10" t="s">
        <v>101</v>
      </c>
      <c r="H10" t="s">
        <v>8</v>
      </c>
      <c r="I10" t="s">
        <v>7</v>
      </c>
      <c r="J10" t="s">
        <v>31</v>
      </c>
      <c r="K10" t="s">
        <v>60</v>
      </c>
      <c r="L10" t="s">
        <v>26</v>
      </c>
      <c r="M10">
        <v>1</v>
      </c>
    </row>
    <row r="11" spans="1:13" x14ac:dyDescent="0.25">
      <c r="A11" s="2">
        <v>46217</v>
      </c>
      <c r="B11" s="1" t="str">
        <f ca="1">IF(Información1[[#This Row],[Fecha]]='Ajuste de fechas'!$A$2,"Día actual","Día anterior")</f>
        <v>Día anterior</v>
      </c>
      <c r="C11" t="s">
        <v>58</v>
      </c>
      <c r="D11" t="s">
        <v>59</v>
      </c>
      <c r="E11" t="s">
        <v>102</v>
      </c>
      <c r="F11" t="s">
        <v>34</v>
      </c>
      <c r="G11" t="s">
        <v>103</v>
      </c>
      <c r="H11" t="s">
        <v>8</v>
      </c>
      <c r="I11" t="s">
        <v>7</v>
      </c>
      <c r="J11" t="s">
        <v>31</v>
      </c>
      <c r="K11" t="s">
        <v>60</v>
      </c>
      <c r="L11" t="s">
        <v>26</v>
      </c>
      <c r="M11">
        <v>1</v>
      </c>
    </row>
    <row r="12" spans="1:13" x14ac:dyDescent="0.25">
      <c r="A12" s="2">
        <v>46217</v>
      </c>
      <c r="B12" s="1" t="str">
        <f ca="1">IF(Información1[[#This Row],[Fecha]]='Ajuste de fechas'!$A$2,"Día actual","Día anterior")</f>
        <v>Día anterior</v>
      </c>
      <c r="C12" t="s">
        <v>58</v>
      </c>
      <c r="D12" t="s">
        <v>59</v>
      </c>
      <c r="E12" t="s">
        <v>104</v>
      </c>
      <c r="F12" t="s">
        <v>81</v>
      </c>
      <c r="G12" t="s">
        <v>105</v>
      </c>
      <c r="H12" t="s">
        <v>8</v>
      </c>
      <c r="I12" t="s">
        <v>7</v>
      </c>
      <c r="J12" t="s">
        <v>31</v>
      </c>
      <c r="K12" t="s">
        <v>60</v>
      </c>
      <c r="L12" t="s">
        <v>26</v>
      </c>
      <c r="M12">
        <v>1</v>
      </c>
    </row>
    <row r="13" spans="1:13" x14ac:dyDescent="0.25">
      <c r="A13" s="2">
        <v>46217</v>
      </c>
      <c r="B13" s="1" t="str">
        <f ca="1">IF(Información1[[#This Row],[Fecha]]='Ajuste de fechas'!$A$2,"Día actual","Día anterior")</f>
        <v>Día anterior</v>
      </c>
      <c r="C13" t="s">
        <v>58</v>
      </c>
      <c r="D13" t="s">
        <v>59</v>
      </c>
      <c r="E13" t="s">
        <v>106</v>
      </c>
      <c r="F13" t="s">
        <v>15</v>
      </c>
      <c r="G13" t="s">
        <v>107</v>
      </c>
      <c r="H13" t="s">
        <v>8</v>
      </c>
      <c r="I13" t="s">
        <v>7</v>
      </c>
      <c r="J13" t="s">
        <v>31</v>
      </c>
      <c r="K13" t="s">
        <v>60</v>
      </c>
      <c r="L13" t="s">
        <v>26</v>
      </c>
      <c r="M13">
        <v>1</v>
      </c>
    </row>
    <row r="14" spans="1:13" x14ac:dyDescent="0.25">
      <c r="A14" s="2">
        <v>46217</v>
      </c>
      <c r="B14" s="1" t="str">
        <f ca="1">IF(Información1[[#This Row],[Fecha]]='Ajuste de fechas'!$A$2,"Día actual","Día anterior")</f>
        <v>Día anterior</v>
      </c>
      <c r="C14" t="s">
        <v>58</v>
      </c>
      <c r="D14" t="s">
        <v>59</v>
      </c>
      <c r="E14" t="s">
        <v>108</v>
      </c>
      <c r="F14" t="s">
        <v>15</v>
      </c>
      <c r="G14" t="s">
        <v>109</v>
      </c>
      <c r="H14" t="s">
        <v>8</v>
      </c>
      <c r="I14" t="s">
        <v>7</v>
      </c>
      <c r="J14" t="s">
        <v>31</v>
      </c>
      <c r="K14" t="s">
        <v>60</v>
      </c>
      <c r="L14" t="s">
        <v>26</v>
      </c>
      <c r="M14">
        <v>1</v>
      </c>
    </row>
    <row r="15" spans="1:13" x14ac:dyDescent="0.25">
      <c r="A15" s="2">
        <v>46217</v>
      </c>
      <c r="B15" s="1" t="str">
        <f ca="1">IF(Información1[[#This Row],[Fecha]]='Ajuste de fechas'!$A$2,"Día actual","Día anterior")</f>
        <v>Día anterior</v>
      </c>
      <c r="C15" t="s">
        <v>55</v>
      </c>
      <c r="D15" t="s">
        <v>61</v>
      </c>
      <c r="E15" t="s">
        <v>110</v>
      </c>
      <c r="F15" t="s">
        <v>111</v>
      </c>
      <c r="G15" t="s">
        <v>112</v>
      </c>
      <c r="H15" t="s">
        <v>8</v>
      </c>
      <c r="I15" t="s">
        <v>7</v>
      </c>
      <c r="J15" t="s">
        <v>13</v>
      </c>
      <c r="K15" t="s">
        <v>57</v>
      </c>
      <c r="L15" t="s">
        <v>36</v>
      </c>
      <c r="M15">
        <v>1</v>
      </c>
    </row>
    <row r="16" spans="1:13" x14ac:dyDescent="0.25">
      <c r="A16" s="2">
        <v>46217</v>
      </c>
      <c r="B16" s="1" t="str">
        <f ca="1">IF(Información1[[#This Row],[Fecha]]='Ajuste de fechas'!$A$2,"Día actual","Día anterior")</f>
        <v>Día anterior</v>
      </c>
      <c r="C16" t="s">
        <v>55</v>
      </c>
      <c r="D16" t="s">
        <v>61</v>
      </c>
      <c r="E16" t="s">
        <v>113</v>
      </c>
      <c r="F16" t="s">
        <v>15</v>
      </c>
      <c r="G16" t="s">
        <v>97</v>
      </c>
      <c r="H16" t="s">
        <v>8</v>
      </c>
      <c r="I16" t="s">
        <v>39</v>
      </c>
      <c r="J16" t="s">
        <v>31</v>
      </c>
      <c r="K16" t="s">
        <v>57</v>
      </c>
      <c r="L16" t="s">
        <v>25</v>
      </c>
      <c r="M16">
        <v>1</v>
      </c>
    </row>
    <row r="17" spans="1:13" x14ac:dyDescent="0.25">
      <c r="A17" s="2">
        <v>46217</v>
      </c>
      <c r="B17" s="1" t="str">
        <f ca="1">IF(Información1[[#This Row],[Fecha]]='Ajuste de fechas'!$A$2,"Día actual","Día anterior")</f>
        <v>Día anterior</v>
      </c>
      <c r="C17" t="s">
        <v>55</v>
      </c>
      <c r="D17" t="s">
        <v>61</v>
      </c>
      <c r="E17" t="s">
        <v>114</v>
      </c>
      <c r="F17" t="s">
        <v>34</v>
      </c>
      <c r="G17" t="s">
        <v>115</v>
      </c>
      <c r="H17" t="s">
        <v>8</v>
      </c>
      <c r="I17" t="s">
        <v>7</v>
      </c>
      <c r="J17" t="s">
        <v>31</v>
      </c>
      <c r="K17" t="s">
        <v>53</v>
      </c>
      <c r="L17" t="s">
        <v>36</v>
      </c>
      <c r="M17">
        <v>1</v>
      </c>
    </row>
    <row r="18" spans="1:13" x14ac:dyDescent="0.25">
      <c r="A18" s="2">
        <v>46217</v>
      </c>
      <c r="B18" s="1" t="str">
        <f ca="1">IF(Información1[[#This Row],[Fecha]]='Ajuste de fechas'!$A$2,"Día actual","Día anterior")</f>
        <v>Día anterior</v>
      </c>
      <c r="C18" t="s">
        <v>55</v>
      </c>
      <c r="D18" t="s">
        <v>61</v>
      </c>
      <c r="E18" t="s">
        <v>116</v>
      </c>
      <c r="F18" t="s">
        <v>100</v>
      </c>
      <c r="G18" t="s">
        <v>101</v>
      </c>
      <c r="H18" t="s">
        <v>8</v>
      </c>
      <c r="I18" t="s">
        <v>7</v>
      </c>
      <c r="J18" t="s">
        <v>31</v>
      </c>
      <c r="K18" t="s">
        <v>53</v>
      </c>
      <c r="L18" t="s">
        <v>26</v>
      </c>
      <c r="M18">
        <v>1</v>
      </c>
    </row>
    <row r="19" spans="1:13" x14ac:dyDescent="0.25">
      <c r="A19" s="2">
        <v>46217</v>
      </c>
      <c r="B19" s="1" t="str">
        <f ca="1">IF(Información1[[#This Row],[Fecha]]='Ajuste de fechas'!$A$2,"Día actual","Día anterior")</f>
        <v>Día anterior</v>
      </c>
      <c r="C19" t="s">
        <v>55</v>
      </c>
      <c r="D19" t="s">
        <v>61</v>
      </c>
      <c r="E19" t="s">
        <v>106</v>
      </c>
      <c r="F19" t="s">
        <v>15</v>
      </c>
      <c r="G19" t="s">
        <v>107</v>
      </c>
      <c r="H19" t="s">
        <v>8</v>
      </c>
      <c r="I19" t="s">
        <v>7</v>
      </c>
      <c r="J19" t="s">
        <v>31</v>
      </c>
      <c r="K19" t="s">
        <v>53</v>
      </c>
      <c r="L19" t="s">
        <v>26</v>
      </c>
      <c r="M19">
        <v>1</v>
      </c>
    </row>
    <row r="20" spans="1:13" x14ac:dyDescent="0.25">
      <c r="A20" s="2">
        <v>46217</v>
      </c>
      <c r="B20" s="1" t="str">
        <f ca="1">IF(Información1[[#This Row],[Fecha]]='Ajuste de fechas'!$A$2,"Día actual","Día anterior")</f>
        <v>Día anterior</v>
      </c>
      <c r="C20" t="s">
        <v>55</v>
      </c>
      <c r="D20" t="s">
        <v>61</v>
      </c>
      <c r="E20" t="s">
        <v>117</v>
      </c>
      <c r="F20" t="s">
        <v>15</v>
      </c>
      <c r="G20" t="s">
        <v>109</v>
      </c>
      <c r="H20" t="s">
        <v>8</v>
      </c>
      <c r="I20" t="s">
        <v>7</v>
      </c>
      <c r="J20" t="s">
        <v>31</v>
      </c>
      <c r="K20" t="s">
        <v>53</v>
      </c>
      <c r="L20" t="s">
        <v>26</v>
      </c>
      <c r="M20">
        <v>1</v>
      </c>
    </row>
    <row r="21" spans="1:13" x14ac:dyDescent="0.25">
      <c r="A21" s="2">
        <v>46217</v>
      </c>
      <c r="B21" s="1" t="str">
        <f ca="1">IF(Información1[[#This Row],[Fecha]]='Ajuste de fechas'!$A$2,"Día actual","Día anterior")</f>
        <v>Día anterior</v>
      </c>
      <c r="C21" t="s">
        <v>55</v>
      </c>
      <c r="D21" t="s">
        <v>61</v>
      </c>
      <c r="E21" t="s">
        <v>118</v>
      </c>
      <c r="F21" t="s">
        <v>38</v>
      </c>
      <c r="G21" t="s">
        <v>74</v>
      </c>
      <c r="H21" t="s">
        <v>8</v>
      </c>
      <c r="I21" t="s">
        <v>7</v>
      </c>
      <c r="J21" t="s">
        <v>31</v>
      </c>
      <c r="K21" t="s">
        <v>53</v>
      </c>
      <c r="L21" t="s">
        <v>26</v>
      </c>
      <c r="M21">
        <v>1</v>
      </c>
    </row>
    <row r="22" spans="1:13" x14ac:dyDescent="0.25">
      <c r="A22" s="2">
        <v>46217</v>
      </c>
      <c r="B22" s="1" t="str">
        <f ca="1">IF(Información1[[#This Row],[Fecha]]='Ajuste de fechas'!$A$2,"Día actual","Día anterior")</f>
        <v>Día anterior</v>
      </c>
      <c r="C22" t="s">
        <v>120</v>
      </c>
      <c r="D22" t="s">
        <v>121</v>
      </c>
      <c r="E22" t="s">
        <v>118</v>
      </c>
      <c r="F22" t="s">
        <v>38</v>
      </c>
      <c r="G22" t="s">
        <v>74</v>
      </c>
      <c r="H22" t="s">
        <v>8</v>
      </c>
      <c r="I22" t="s">
        <v>7</v>
      </c>
      <c r="J22" t="s">
        <v>31</v>
      </c>
      <c r="K22" t="s">
        <v>122</v>
      </c>
      <c r="L22" t="s">
        <v>26</v>
      </c>
      <c r="M22">
        <v>1</v>
      </c>
    </row>
    <row r="23" spans="1:13" x14ac:dyDescent="0.25">
      <c r="A23" s="2">
        <v>46217</v>
      </c>
      <c r="B23" s="1" t="str">
        <f ca="1">IF(Información1[[#This Row],[Fecha]]='Ajuste de fechas'!$A$2,"Día actual","Día anterior")</f>
        <v>Día anterior</v>
      </c>
      <c r="C23" t="s">
        <v>120</v>
      </c>
      <c r="D23" t="s">
        <v>121</v>
      </c>
      <c r="E23" t="s">
        <v>123</v>
      </c>
      <c r="F23" t="s">
        <v>34</v>
      </c>
      <c r="G23" t="s">
        <v>124</v>
      </c>
      <c r="H23" t="s">
        <v>8</v>
      </c>
      <c r="I23" t="s">
        <v>7</v>
      </c>
      <c r="J23" t="s">
        <v>31</v>
      </c>
      <c r="K23" t="s">
        <v>122</v>
      </c>
      <c r="L23" t="s">
        <v>24</v>
      </c>
      <c r="M23">
        <v>1</v>
      </c>
    </row>
    <row r="24" spans="1:13" x14ac:dyDescent="0.25">
      <c r="A24" s="2">
        <v>46217</v>
      </c>
      <c r="B24" s="1" t="str">
        <f ca="1">IF(Información1[[#This Row],[Fecha]]='Ajuste de fechas'!$A$2,"Día actual","Día anterior")</f>
        <v>Día anterior</v>
      </c>
      <c r="C24" t="s">
        <v>120</v>
      </c>
      <c r="D24" t="s">
        <v>121</v>
      </c>
      <c r="E24" t="s">
        <v>125</v>
      </c>
      <c r="F24" t="s">
        <v>10</v>
      </c>
      <c r="G24" t="s">
        <v>64</v>
      </c>
      <c r="H24" t="s">
        <v>8</v>
      </c>
      <c r="I24" t="s">
        <v>7</v>
      </c>
      <c r="J24" t="s">
        <v>33</v>
      </c>
      <c r="K24" t="s">
        <v>122</v>
      </c>
      <c r="L24" t="s">
        <v>36</v>
      </c>
      <c r="M24">
        <v>1</v>
      </c>
    </row>
    <row r="25" spans="1:13" x14ac:dyDescent="0.25">
      <c r="A25" s="2">
        <v>46217</v>
      </c>
      <c r="B25" s="1" t="str">
        <f ca="1">IF(Información1[[#This Row],[Fecha]]='Ajuste de fechas'!$A$2,"Día actual","Día anterior")</f>
        <v>Día anterior</v>
      </c>
      <c r="C25" t="s">
        <v>120</v>
      </c>
      <c r="D25" t="s">
        <v>121</v>
      </c>
      <c r="E25" t="s">
        <v>126</v>
      </c>
      <c r="F25" t="s">
        <v>100</v>
      </c>
      <c r="G25" t="s">
        <v>101</v>
      </c>
      <c r="H25" t="s">
        <v>8</v>
      </c>
      <c r="I25" t="s">
        <v>7</v>
      </c>
      <c r="J25" t="s">
        <v>31</v>
      </c>
      <c r="K25" t="s">
        <v>122</v>
      </c>
      <c r="L25" t="s">
        <v>26</v>
      </c>
      <c r="M25">
        <v>1</v>
      </c>
    </row>
    <row r="26" spans="1:13" x14ac:dyDescent="0.25">
      <c r="A26" s="2">
        <v>46217</v>
      </c>
      <c r="B26" s="1" t="str">
        <f ca="1">IF(Información1[[#This Row],[Fecha]]='Ajuste de fechas'!$A$2,"Día actual","Día anterior")</f>
        <v>Día anterior</v>
      </c>
      <c r="C26" t="s">
        <v>120</v>
      </c>
      <c r="D26" t="s">
        <v>121</v>
      </c>
      <c r="E26" t="s">
        <v>108</v>
      </c>
      <c r="F26" t="s">
        <v>15</v>
      </c>
      <c r="G26" t="s">
        <v>109</v>
      </c>
      <c r="H26" t="s">
        <v>8</v>
      </c>
      <c r="I26" t="s">
        <v>7</v>
      </c>
      <c r="J26" t="s">
        <v>31</v>
      </c>
      <c r="K26" t="s">
        <v>122</v>
      </c>
      <c r="L26" t="s">
        <v>26</v>
      </c>
      <c r="M26">
        <v>1</v>
      </c>
    </row>
    <row r="27" spans="1:13" x14ac:dyDescent="0.25">
      <c r="A27" s="2">
        <v>46217</v>
      </c>
      <c r="B27" s="1" t="str">
        <f ca="1">IF(Información1[[#This Row],[Fecha]]='Ajuste de fechas'!$A$2,"Día actual","Día anterior")</f>
        <v>Día anterior</v>
      </c>
      <c r="C27" t="s">
        <v>120</v>
      </c>
      <c r="D27" t="s">
        <v>121</v>
      </c>
      <c r="E27" t="s">
        <v>127</v>
      </c>
      <c r="F27" t="s">
        <v>54</v>
      </c>
      <c r="G27" t="s">
        <v>128</v>
      </c>
      <c r="H27" t="s">
        <v>8</v>
      </c>
      <c r="I27" t="s">
        <v>7</v>
      </c>
      <c r="J27" t="s">
        <v>31</v>
      </c>
      <c r="K27" t="s">
        <v>122</v>
      </c>
      <c r="L27" t="s">
        <v>24</v>
      </c>
      <c r="M27">
        <v>1</v>
      </c>
    </row>
    <row r="28" spans="1:13" x14ac:dyDescent="0.25">
      <c r="A28" s="2">
        <v>46217</v>
      </c>
      <c r="B28" s="1" t="str">
        <f ca="1">IF(Información1[[#This Row],[Fecha]]='Ajuste de fechas'!$A$2,"Día actual","Día anterior")</f>
        <v>Día anterior</v>
      </c>
      <c r="C28" t="s">
        <v>120</v>
      </c>
      <c r="D28" t="s">
        <v>121</v>
      </c>
      <c r="E28" t="s">
        <v>129</v>
      </c>
      <c r="F28" t="s">
        <v>54</v>
      </c>
      <c r="G28" t="s">
        <v>130</v>
      </c>
      <c r="H28" t="s">
        <v>8</v>
      </c>
      <c r="I28" t="s">
        <v>7</v>
      </c>
      <c r="J28" t="s">
        <v>31</v>
      </c>
      <c r="K28" t="s">
        <v>122</v>
      </c>
      <c r="L28" t="s">
        <v>24</v>
      </c>
      <c r="M28">
        <v>1</v>
      </c>
    </row>
    <row r="29" spans="1:13" x14ac:dyDescent="0.25">
      <c r="A29" s="2">
        <v>46217</v>
      </c>
      <c r="B29" s="1" t="str">
        <f ca="1">IF(Información1[[#This Row],[Fecha]]='Ajuste de fechas'!$A$2,"Día actual","Día anterior")</f>
        <v>Día anterior</v>
      </c>
      <c r="C29" t="s">
        <v>120</v>
      </c>
      <c r="D29" t="s">
        <v>121</v>
      </c>
      <c r="E29" t="s">
        <v>131</v>
      </c>
      <c r="F29" t="s">
        <v>9</v>
      </c>
      <c r="G29" t="s">
        <v>73</v>
      </c>
      <c r="H29" t="s">
        <v>8</v>
      </c>
      <c r="I29" t="s">
        <v>7</v>
      </c>
      <c r="J29" t="s">
        <v>31</v>
      </c>
      <c r="K29" t="s">
        <v>122</v>
      </c>
      <c r="L29" t="s">
        <v>24</v>
      </c>
      <c r="M29">
        <v>1</v>
      </c>
    </row>
    <row r="30" spans="1:13" x14ac:dyDescent="0.25">
      <c r="A30" s="2">
        <v>46217</v>
      </c>
      <c r="B30" s="1" t="str">
        <f ca="1">IF(Información1[[#This Row],[Fecha]]='Ajuste de fechas'!$A$2,"Día actual","Día anterior")</f>
        <v>Día anterior</v>
      </c>
      <c r="C30" t="s">
        <v>120</v>
      </c>
      <c r="D30" t="s">
        <v>121</v>
      </c>
      <c r="E30" t="s">
        <v>132</v>
      </c>
      <c r="F30" t="s">
        <v>10</v>
      </c>
      <c r="G30" t="s">
        <v>80</v>
      </c>
      <c r="H30" t="s">
        <v>8</v>
      </c>
      <c r="I30" t="s">
        <v>7</v>
      </c>
      <c r="J30" t="s">
        <v>33</v>
      </c>
      <c r="K30" t="s">
        <v>122</v>
      </c>
      <c r="L30" t="s">
        <v>24</v>
      </c>
      <c r="M30">
        <v>1</v>
      </c>
    </row>
    <row r="31" spans="1:13" x14ac:dyDescent="0.25">
      <c r="A31" s="2">
        <v>46217</v>
      </c>
      <c r="B31" s="1" t="str">
        <f ca="1">IF(Información1[[#This Row],[Fecha]]='Ajuste de fechas'!$A$2,"Día actual","Día anterior")</f>
        <v>Día anterior</v>
      </c>
      <c r="C31" t="s">
        <v>120</v>
      </c>
      <c r="D31" t="s">
        <v>121</v>
      </c>
      <c r="E31" t="s">
        <v>133</v>
      </c>
      <c r="F31" t="s">
        <v>10</v>
      </c>
      <c r="G31" t="s">
        <v>134</v>
      </c>
      <c r="H31" t="s">
        <v>8</v>
      </c>
      <c r="I31" t="s">
        <v>7</v>
      </c>
      <c r="J31" t="s">
        <v>33</v>
      </c>
      <c r="K31" t="s">
        <v>122</v>
      </c>
      <c r="L31" t="s">
        <v>24</v>
      </c>
      <c r="M31">
        <v>1</v>
      </c>
    </row>
    <row r="32" spans="1:13" x14ac:dyDescent="0.25">
      <c r="A32" s="2">
        <v>46217</v>
      </c>
      <c r="B32" s="1" t="str">
        <f ca="1">IF(Información1[[#This Row],[Fecha]]='Ajuste de fechas'!$A$2,"Día actual","Día anterior")</f>
        <v>Día anterior</v>
      </c>
      <c r="C32" t="s">
        <v>120</v>
      </c>
      <c r="D32" t="s">
        <v>121</v>
      </c>
      <c r="E32" t="s">
        <v>135</v>
      </c>
      <c r="F32" t="s">
        <v>35</v>
      </c>
      <c r="G32" t="s">
        <v>78</v>
      </c>
      <c r="H32" t="s">
        <v>8</v>
      </c>
      <c r="I32" t="s">
        <v>7</v>
      </c>
      <c r="J32" t="s">
        <v>31</v>
      </c>
      <c r="K32" t="s">
        <v>122</v>
      </c>
      <c r="L32" t="s">
        <v>24</v>
      </c>
      <c r="M32">
        <v>1</v>
      </c>
    </row>
    <row r="33" spans="1:13" x14ac:dyDescent="0.25">
      <c r="A33" s="2">
        <v>46217</v>
      </c>
      <c r="B33" s="1" t="str">
        <f ca="1">IF(Información1[[#This Row],[Fecha]]='Ajuste de fechas'!$A$2,"Día actual","Día anterior")</f>
        <v>Día anterior</v>
      </c>
      <c r="C33" t="s">
        <v>120</v>
      </c>
      <c r="D33" t="s">
        <v>121</v>
      </c>
      <c r="E33" t="s">
        <v>136</v>
      </c>
      <c r="F33" t="s">
        <v>10</v>
      </c>
      <c r="G33" t="s">
        <v>137</v>
      </c>
      <c r="H33" t="s">
        <v>8</v>
      </c>
      <c r="I33" t="s">
        <v>7</v>
      </c>
      <c r="J33" t="s">
        <v>33</v>
      </c>
      <c r="K33" t="s">
        <v>122</v>
      </c>
      <c r="L33" t="s">
        <v>24</v>
      </c>
      <c r="M33">
        <v>1</v>
      </c>
    </row>
    <row r="34" spans="1:13" x14ac:dyDescent="0.25">
      <c r="A34" s="2">
        <v>46217</v>
      </c>
      <c r="B34" s="1" t="str">
        <f ca="1">IF(Información1[[#This Row],[Fecha]]='Ajuste de fechas'!$A$2,"Día actual","Día anterior")</f>
        <v>Día anterior</v>
      </c>
      <c r="C34" t="s">
        <v>75</v>
      </c>
      <c r="D34" t="s">
        <v>138</v>
      </c>
      <c r="E34" t="s">
        <v>139</v>
      </c>
      <c r="F34" t="s">
        <v>54</v>
      </c>
      <c r="G34" t="s">
        <v>140</v>
      </c>
      <c r="H34" t="s">
        <v>76</v>
      </c>
      <c r="I34" t="s">
        <v>7</v>
      </c>
      <c r="J34" t="s">
        <v>31</v>
      </c>
      <c r="K34" t="s">
        <v>141</v>
      </c>
      <c r="L34" t="s">
        <v>24</v>
      </c>
      <c r="M34">
        <v>1</v>
      </c>
    </row>
    <row r="35" spans="1:13" x14ac:dyDescent="0.25">
      <c r="A35" s="2">
        <v>46217</v>
      </c>
      <c r="B35" s="1" t="str">
        <f ca="1">IF(Información1[[#This Row],[Fecha]]='Ajuste de fechas'!$A$2,"Día actual","Día anterior")</f>
        <v>Día anterior</v>
      </c>
      <c r="C35" t="s">
        <v>75</v>
      </c>
      <c r="D35" t="s">
        <v>138</v>
      </c>
      <c r="E35" t="s">
        <v>126</v>
      </c>
      <c r="F35" t="s">
        <v>100</v>
      </c>
      <c r="G35" t="s">
        <v>101</v>
      </c>
      <c r="H35" t="s">
        <v>76</v>
      </c>
      <c r="I35" t="s">
        <v>7</v>
      </c>
      <c r="J35" t="s">
        <v>31</v>
      </c>
      <c r="K35" t="s">
        <v>141</v>
      </c>
      <c r="L35" t="s">
        <v>26</v>
      </c>
      <c r="M35">
        <v>1</v>
      </c>
    </row>
    <row r="36" spans="1:13" x14ac:dyDescent="0.25">
      <c r="A36" s="2">
        <v>46217</v>
      </c>
      <c r="B36" s="1" t="str">
        <f ca="1">IF(Información1[[#This Row],[Fecha]]='Ajuste de fechas'!$A$2,"Día actual","Día anterior")</f>
        <v>Día anterior</v>
      </c>
      <c r="C36" t="s">
        <v>75</v>
      </c>
      <c r="D36" t="s">
        <v>138</v>
      </c>
      <c r="E36" t="s">
        <v>142</v>
      </c>
      <c r="F36" t="s">
        <v>143</v>
      </c>
      <c r="G36" t="s">
        <v>144</v>
      </c>
      <c r="H36" t="s">
        <v>76</v>
      </c>
      <c r="I36" t="s">
        <v>7</v>
      </c>
      <c r="J36" t="s">
        <v>79</v>
      </c>
      <c r="K36" t="s">
        <v>141</v>
      </c>
      <c r="L36" t="s">
        <v>24</v>
      </c>
      <c r="M36">
        <v>1</v>
      </c>
    </row>
    <row r="37" spans="1:13" x14ac:dyDescent="0.25">
      <c r="A37" s="2">
        <v>46217</v>
      </c>
      <c r="B37" s="1" t="str">
        <f ca="1">IF(Información1[[#This Row],[Fecha]]='Ajuste de fechas'!$A$2,"Día actual","Día anterior")</f>
        <v>Día anterior</v>
      </c>
      <c r="C37" t="s">
        <v>75</v>
      </c>
      <c r="D37" t="s">
        <v>138</v>
      </c>
      <c r="E37" t="s">
        <v>102</v>
      </c>
      <c r="F37" t="s">
        <v>34</v>
      </c>
      <c r="G37" t="s">
        <v>103</v>
      </c>
      <c r="H37" t="s">
        <v>76</v>
      </c>
      <c r="I37" t="s">
        <v>7</v>
      </c>
      <c r="J37" t="s">
        <v>31</v>
      </c>
      <c r="K37" t="s">
        <v>141</v>
      </c>
      <c r="L37" t="s">
        <v>26</v>
      </c>
      <c r="M37">
        <v>1</v>
      </c>
    </row>
    <row r="38" spans="1:13" x14ac:dyDescent="0.25">
      <c r="A38" s="2">
        <v>46217</v>
      </c>
      <c r="B38" s="1" t="str">
        <f ca="1">IF(Información1[[#This Row],[Fecha]]='Ajuste de fechas'!$A$2,"Día actual","Día anterior")</f>
        <v>Día anterior</v>
      </c>
      <c r="C38" t="s">
        <v>75</v>
      </c>
      <c r="D38" t="s">
        <v>138</v>
      </c>
      <c r="E38" t="s">
        <v>104</v>
      </c>
      <c r="F38" t="s">
        <v>81</v>
      </c>
      <c r="G38" t="s">
        <v>105</v>
      </c>
      <c r="H38" t="s">
        <v>76</v>
      </c>
      <c r="I38" t="s">
        <v>7</v>
      </c>
      <c r="J38" t="s">
        <v>31</v>
      </c>
      <c r="K38" t="s">
        <v>141</v>
      </c>
      <c r="L38" t="s">
        <v>26</v>
      </c>
      <c r="M38">
        <v>1</v>
      </c>
    </row>
    <row r="39" spans="1:13" x14ac:dyDescent="0.25">
      <c r="A39" s="2">
        <v>46217</v>
      </c>
      <c r="B39" s="1" t="str">
        <f ca="1">IF(Información1[[#This Row],[Fecha]]='Ajuste de fechas'!$A$2,"Día actual","Día anterior")</f>
        <v>Día anterior</v>
      </c>
      <c r="C39" t="s">
        <v>75</v>
      </c>
      <c r="D39" t="s">
        <v>138</v>
      </c>
      <c r="E39" t="s">
        <v>145</v>
      </c>
      <c r="F39" t="s">
        <v>15</v>
      </c>
      <c r="G39" t="s">
        <v>119</v>
      </c>
      <c r="H39" t="s">
        <v>76</v>
      </c>
      <c r="I39" t="s">
        <v>7</v>
      </c>
      <c r="J39" t="s">
        <v>31</v>
      </c>
      <c r="K39" t="s">
        <v>146</v>
      </c>
      <c r="L39" t="s">
        <v>24</v>
      </c>
      <c r="M39">
        <v>1</v>
      </c>
    </row>
    <row r="40" spans="1:13" x14ac:dyDescent="0.25">
      <c r="A40" s="2">
        <v>46217</v>
      </c>
      <c r="B40" s="1" t="str">
        <f ca="1">IF(Información1[[#This Row],[Fecha]]='Ajuste de fechas'!$A$2,"Día actual","Día anterior")</f>
        <v>Día anterior</v>
      </c>
      <c r="C40" t="s">
        <v>75</v>
      </c>
      <c r="D40" t="s">
        <v>138</v>
      </c>
      <c r="E40" t="s">
        <v>147</v>
      </c>
      <c r="F40" t="s">
        <v>10</v>
      </c>
      <c r="G40" t="s">
        <v>148</v>
      </c>
      <c r="H40" t="s">
        <v>76</v>
      </c>
      <c r="I40" t="s">
        <v>7</v>
      </c>
      <c r="J40" t="s">
        <v>33</v>
      </c>
      <c r="K40" t="s">
        <v>146</v>
      </c>
      <c r="L40" t="s">
        <v>24</v>
      </c>
      <c r="M40">
        <v>1</v>
      </c>
    </row>
    <row r="41" spans="1:13" x14ac:dyDescent="0.25">
      <c r="A41" s="2">
        <v>46217</v>
      </c>
      <c r="B41" s="1" t="str">
        <f ca="1">IF(Información1[[#This Row],[Fecha]]='Ajuste de fechas'!$A$2,"Día actual","Día anterior")</f>
        <v>Día anterior</v>
      </c>
      <c r="C41" t="s">
        <v>75</v>
      </c>
      <c r="D41" t="s">
        <v>138</v>
      </c>
      <c r="E41" t="s">
        <v>149</v>
      </c>
      <c r="F41" t="s">
        <v>6</v>
      </c>
      <c r="G41" t="s">
        <v>150</v>
      </c>
      <c r="H41" t="s">
        <v>76</v>
      </c>
      <c r="I41" t="s">
        <v>7</v>
      </c>
      <c r="J41" t="s">
        <v>31</v>
      </c>
      <c r="K41" t="s">
        <v>141</v>
      </c>
      <c r="L41" t="s">
        <v>24</v>
      </c>
      <c r="M41">
        <v>1</v>
      </c>
    </row>
    <row r="42" spans="1:13" x14ac:dyDescent="0.25">
      <c r="A42" s="2">
        <v>46217</v>
      </c>
      <c r="B42" s="1" t="str">
        <f ca="1">IF(Información1[[#This Row],[Fecha]]='Ajuste de fechas'!$A$2,"Día actual","Día anterior")</f>
        <v>Día anterior</v>
      </c>
      <c r="C42" t="s">
        <v>75</v>
      </c>
      <c r="D42" t="s">
        <v>138</v>
      </c>
      <c r="E42" t="s">
        <v>149</v>
      </c>
      <c r="F42" t="s">
        <v>151</v>
      </c>
      <c r="G42" t="s">
        <v>150</v>
      </c>
      <c r="H42" t="s">
        <v>76</v>
      </c>
      <c r="I42" t="s">
        <v>7</v>
      </c>
      <c r="J42" t="s">
        <v>31</v>
      </c>
      <c r="K42" t="s">
        <v>141</v>
      </c>
      <c r="L42" t="s">
        <v>24</v>
      </c>
      <c r="M42">
        <v>1</v>
      </c>
    </row>
    <row r="43" spans="1:13" x14ac:dyDescent="0.25">
      <c r="A43" s="2">
        <v>46217</v>
      </c>
      <c r="B43" s="1" t="str">
        <f ca="1">IF(Información1[[#This Row],[Fecha]]='Ajuste de fechas'!$A$2,"Día actual","Día anterior")</f>
        <v>Día anterior</v>
      </c>
      <c r="C43" t="s">
        <v>75</v>
      </c>
      <c r="D43" t="s">
        <v>138</v>
      </c>
      <c r="E43" t="s">
        <v>152</v>
      </c>
      <c r="F43" t="s">
        <v>15</v>
      </c>
      <c r="G43" t="s">
        <v>153</v>
      </c>
      <c r="H43" t="s">
        <v>76</v>
      </c>
      <c r="I43" t="s">
        <v>7</v>
      </c>
      <c r="J43" t="s">
        <v>31</v>
      </c>
      <c r="K43" t="s">
        <v>141</v>
      </c>
      <c r="L43" t="s">
        <v>24</v>
      </c>
      <c r="M43">
        <v>1</v>
      </c>
    </row>
    <row r="44" spans="1:13" x14ac:dyDescent="0.25">
      <c r="A44" s="2">
        <v>46217</v>
      </c>
      <c r="B44" s="1" t="str">
        <f ca="1">IF(Información1[[#This Row],[Fecha]]='Ajuste de fechas'!$A$2,"Día actual","Día anterior")</f>
        <v>Día anterior</v>
      </c>
      <c r="C44" t="s">
        <v>75</v>
      </c>
      <c r="D44" t="s">
        <v>138</v>
      </c>
      <c r="E44" t="s">
        <v>154</v>
      </c>
      <c r="F44" t="s">
        <v>15</v>
      </c>
      <c r="G44" t="s">
        <v>109</v>
      </c>
      <c r="H44" t="s">
        <v>76</v>
      </c>
      <c r="I44" t="s">
        <v>7</v>
      </c>
      <c r="J44" t="s">
        <v>31</v>
      </c>
      <c r="K44" t="s">
        <v>141</v>
      </c>
      <c r="L44" t="s">
        <v>24</v>
      </c>
      <c r="M44">
        <v>1</v>
      </c>
    </row>
    <row r="45" spans="1:13" x14ac:dyDescent="0.25">
      <c r="A45" s="2">
        <v>46217</v>
      </c>
      <c r="B45" s="1" t="str">
        <f ca="1">IF(Información1[[#This Row],[Fecha]]='Ajuste de fechas'!$A$2,"Día actual","Día anterior")</f>
        <v>Día anterior</v>
      </c>
      <c r="C45" t="s">
        <v>75</v>
      </c>
      <c r="D45" t="s">
        <v>138</v>
      </c>
      <c r="E45" t="s">
        <v>155</v>
      </c>
      <c r="F45" t="s">
        <v>15</v>
      </c>
      <c r="G45" t="s">
        <v>107</v>
      </c>
      <c r="H45" t="s">
        <v>76</v>
      </c>
      <c r="I45" t="s">
        <v>7</v>
      </c>
      <c r="J45" t="s">
        <v>31</v>
      </c>
      <c r="K45" t="s">
        <v>141</v>
      </c>
      <c r="L45" t="s">
        <v>26</v>
      </c>
      <c r="M45">
        <v>1</v>
      </c>
    </row>
    <row r="46" spans="1:13" x14ac:dyDescent="0.25">
      <c r="A46" s="2">
        <v>46217</v>
      </c>
      <c r="B46" s="1" t="str">
        <f ca="1">IF(Información1[[#This Row],[Fecha]]='Ajuste de fechas'!$A$2,"Día actual","Día anterior")</f>
        <v>Día anterior</v>
      </c>
      <c r="C46" t="s">
        <v>75</v>
      </c>
      <c r="D46" t="s">
        <v>138</v>
      </c>
      <c r="E46" t="s">
        <v>156</v>
      </c>
      <c r="F46" t="s">
        <v>34</v>
      </c>
      <c r="G46" t="s">
        <v>124</v>
      </c>
      <c r="H46" t="s">
        <v>76</v>
      </c>
      <c r="I46" t="s">
        <v>7</v>
      </c>
      <c r="J46" t="s">
        <v>31</v>
      </c>
      <c r="K46" t="s">
        <v>141</v>
      </c>
      <c r="L46" t="s">
        <v>24</v>
      </c>
      <c r="M46">
        <v>1</v>
      </c>
    </row>
    <row r="47" spans="1:13" x14ac:dyDescent="0.25">
      <c r="A47" s="2">
        <v>46217</v>
      </c>
      <c r="B47" s="1" t="str">
        <f ca="1">IF(Información1[[#This Row],[Fecha]]='Ajuste de fechas'!$A$2,"Día actual","Día anterior")</f>
        <v>Día anterior</v>
      </c>
      <c r="C47" t="s">
        <v>75</v>
      </c>
      <c r="D47" t="s">
        <v>138</v>
      </c>
      <c r="E47" t="s">
        <v>157</v>
      </c>
      <c r="F47" t="s">
        <v>9</v>
      </c>
      <c r="G47" t="s">
        <v>158</v>
      </c>
      <c r="H47" t="s">
        <v>76</v>
      </c>
      <c r="I47" t="s">
        <v>7</v>
      </c>
      <c r="J47" t="s">
        <v>31</v>
      </c>
      <c r="K47" t="s">
        <v>141</v>
      </c>
      <c r="L47" t="s">
        <v>24</v>
      </c>
      <c r="M47">
        <v>1</v>
      </c>
    </row>
    <row r="48" spans="1:13" x14ac:dyDescent="0.25">
      <c r="A48" s="2">
        <v>46217</v>
      </c>
      <c r="B48" s="1" t="str">
        <f ca="1">IF(Información1[[#This Row],[Fecha]]='Ajuste de fechas'!$A$2,"Día actual","Día anterior")</f>
        <v>Día anterior</v>
      </c>
      <c r="C48" t="s">
        <v>75</v>
      </c>
      <c r="D48" t="s">
        <v>138</v>
      </c>
      <c r="E48" t="s">
        <v>118</v>
      </c>
      <c r="F48" t="s">
        <v>38</v>
      </c>
      <c r="G48" t="s">
        <v>74</v>
      </c>
      <c r="H48" t="s">
        <v>76</v>
      </c>
      <c r="I48" t="s">
        <v>7</v>
      </c>
      <c r="J48" t="s">
        <v>31</v>
      </c>
      <c r="K48" t="s">
        <v>141</v>
      </c>
      <c r="L48" t="s">
        <v>26</v>
      </c>
      <c r="M48">
        <v>1</v>
      </c>
    </row>
    <row r="49" spans="1:13" x14ac:dyDescent="0.25">
      <c r="A49" s="2">
        <v>46218</v>
      </c>
      <c r="B49" s="1" t="str">
        <f ca="1">IF(Información1[[#This Row],[Fecha]]='Ajuste de fechas'!$A$2,"Día actual","Día anterior")</f>
        <v>Día actual</v>
      </c>
      <c r="C49" t="s">
        <v>40</v>
      </c>
      <c r="D49" t="s">
        <v>41</v>
      </c>
      <c r="E49" t="s">
        <v>159</v>
      </c>
      <c r="F49" t="s">
        <v>6</v>
      </c>
      <c r="G49" t="s">
        <v>160</v>
      </c>
      <c r="H49" t="s">
        <v>8</v>
      </c>
      <c r="I49" t="s">
        <v>7</v>
      </c>
      <c r="J49" t="s">
        <v>31</v>
      </c>
      <c r="K49" t="s">
        <v>42</v>
      </c>
      <c r="L49" t="s">
        <v>25</v>
      </c>
      <c r="M49">
        <v>1</v>
      </c>
    </row>
    <row r="50" spans="1:13" x14ac:dyDescent="0.25">
      <c r="A50" s="2">
        <v>46218</v>
      </c>
      <c r="B50" s="1" t="str">
        <f ca="1">IF(Información1[[#This Row],[Fecha]]='Ajuste de fechas'!$A$2,"Día actual","Día anterior")</f>
        <v>Día actual</v>
      </c>
      <c r="C50" t="s">
        <v>40</v>
      </c>
      <c r="D50" t="s">
        <v>41</v>
      </c>
      <c r="E50" t="s">
        <v>161</v>
      </c>
      <c r="F50" t="s">
        <v>6</v>
      </c>
      <c r="G50" t="s">
        <v>50</v>
      </c>
      <c r="H50" t="s">
        <v>8</v>
      </c>
      <c r="I50" t="s">
        <v>14</v>
      </c>
      <c r="J50" t="s">
        <v>31</v>
      </c>
      <c r="K50" t="s">
        <v>37</v>
      </c>
      <c r="L50" t="s">
        <v>25</v>
      </c>
      <c r="M50">
        <v>1</v>
      </c>
    </row>
    <row r="51" spans="1:13" x14ac:dyDescent="0.25">
      <c r="A51" s="2">
        <v>46218</v>
      </c>
      <c r="B51" s="1" t="str">
        <f ca="1">IF(Información1[[#This Row],[Fecha]]='Ajuste de fechas'!$A$2,"Día actual","Día anterior")</f>
        <v>Día actual</v>
      </c>
      <c r="C51" t="s">
        <v>40</v>
      </c>
      <c r="D51" t="s">
        <v>41</v>
      </c>
      <c r="E51" t="s">
        <v>162</v>
      </c>
      <c r="F51" t="s">
        <v>6</v>
      </c>
      <c r="G51" t="s">
        <v>50</v>
      </c>
      <c r="H51" t="s">
        <v>8</v>
      </c>
      <c r="I51" t="s">
        <v>14</v>
      </c>
      <c r="J51" t="s">
        <v>31</v>
      </c>
      <c r="K51" t="s">
        <v>37</v>
      </c>
      <c r="L51" t="s">
        <v>25</v>
      </c>
      <c r="M51">
        <v>1</v>
      </c>
    </row>
    <row r="52" spans="1:13" x14ac:dyDescent="0.25">
      <c r="A52" s="2">
        <v>46218</v>
      </c>
      <c r="B52" s="1" t="str">
        <f ca="1">IF(Información1[[#This Row],[Fecha]]='Ajuste de fechas'!$A$2,"Día actual","Día anterior")</f>
        <v>Día actual</v>
      </c>
      <c r="C52" t="s">
        <v>40</v>
      </c>
      <c r="D52" t="s">
        <v>41</v>
      </c>
      <c r="E52" t="s">
        <v>163</v>
      </c>
      <c r="F52" t="s">
        <v>6</v>
      </c>
      <c r="G52" t="s">
        <v>50</v>
      </c>
      <c r="H52" t="s">
        <v>8</v>
      </c>
      <c r="I52" t="s">
        <v>14</v>
      </c>
      <c r="J52" t="s">
        <v>31</v>
      </c>
      <c r="K52" t="s">
        <v>37</v>
      </c>
      <c r="L52" t="s">
        <v>25</v>
      </c>
      <c r="M52">
        <v>1</v>
      </c>
    </row>
    <row r="53" spans="1:13" x14ac:dyDescent="0.25">
      <c r="A53" s="2">
        <v>46218</v>
      </c>
      <c r="B53" s="1" t="str">
        <f ca="1">IF(Información1[[#This Row],[Fecha]]='Ajuste de fechas'!$A$2,"Día actual","Día anterior")</f>
        <v>Día actual</v>
      </c>
      <c r="C53" t="s">
        <v>40</v>
      </c>
      <c r="D53" t="s">
        <v>41</v>
      </c>
      <c r="E53" t="s">
        <v>164</v>
      </c>
      <c r="F53" t="s">
        <v>6</v>
      </c>
      <c r="G53" t="s">
        <v>50</v>
      </c>
      <c r="H53" t="s">
        <v>8</v>
      </c>
      <c r="I53" t="s">
        <v>14</v>
      </c>
      <c r="J53" t="s">
        <v>31</v>
      </c>
      <c r="K53" t="s">
        <v>37</v>
      </c>
      <c r="L53" t="s">
        <v>25</v>
      </c>
      <c r="M53">
        <v>1</v>
      </c>
    </row>
    <row r="54" spans="1:13" x14ac:dyDescent="0.25">
      <c r="A54" s="2">
        <v>46218</v>
      </c>
      <c r="B54" s="1" t="str">
        <f ca="1">IF(Información1[[#This Row],[Fecha]]='Ajuste de fechas'!$A$2,"Día actual","Día anterior")</f>
        <v>Día actual</v>
      </c>
      <c r="C54" t="s">
        <v>40</v>
      </c>
      <c r="D54" t="s">
        <v>41</v>
      </c>
      <c r="E54" t="s">
        <v>165</v>
      </c>
      <c r="F54" t="s">
        <v>6</v>
      </c>
      <c r="G54" t="s">
        <v>50</v>
      </c>
      <c r="H54" t="s">
        <v>8</v>
      </c>
      <c r="I54" t="s">
        <v>14</v>
      </c>
      <c r="J54" t="s">
        <v>31</v>
      </c>
      <c r="K54" t="s">
        <v>37</v>
      </c>
      <c r="L54" t="s">
        <v>25</v>
      </c>
      <c r="M54">
        <v>1</v>
      </c>
    </row>
    <row r="55" spans="1:13" x14ac:dyDescent="0.25">
      <c r="A55" s="2">
        <v>46218</v>
      </c>
      <c r="B55" s="1" t="str">
        <f ca="1">IF(Información1[[#This Row],[Fecha]]='Ajuste de fechas'!$A$2,"Día actual","Día anterior")</f>
        <v>Día actual</v>
      </c>
      <c r="C55" t="s">
        <v>16</v>
      </c>
      <c r="D55" t="s">
        <v>51</v>
      </c>
      <c r="E55" t="s">
        <v>166</v>
      </c>
      <c r="F55" t="s">
        <v>15</v>
      </c>
      <c r="G55" t="s">
        <v>167</v>
      </c>
      <c r="H55" t="s">
        <v>8</v>
      </c>
      <c r="I55" t="s">
        <v>7</v>
      </c>
      <c r="J55" t="s">
        <v>31</v>
      </c>
      <c r="K55" t="s">
        <v>68</v>
      </c>
      <c r="L55" t="s">
        <v>24</v>
      </c>
      <c r="M55">
        <v>1</v>
      </c>
    </row>
    <row r="56" spans="1:13" x14ac:dyDescent="0.25">
      <c r="A56" s="2">
        <v>46218</v>
      </c>
      <c r="B56" s="1" t="str">
        <f ca="1">IF(Información1[[#This Row],[Fecha]]='Ajuste de fechas'!$A$2,"Día actual","Día anterior")</f>
        <v>Día actual</v>
      </c>
      <c r="C56" t="s">
        <v>16</v>
      </c>
      <c r="D56" t="s">
        <v>51</v>
      </c>
      <c r="E56" t="s">
        <v>168</v>
      </c>
      <c r="F56" t="s">
        <v>15</v>
      </c>
      <c r="G56" t="s">
        <v>167</v>
      </c>
      <c r="H56" t="s">
        <v>8</v>
      </c>
      <c r="I56" t="s">
        <v>7</v>
      </c>
      <c r="J56" t="s">
        <v>31</v>
      </c>
      <c r="K56" t="s">
        <v>52</v>
      </c>
      <c r="L56" t="s">
        <v>24</v>
      </c>
      <c r="M56">
        <v>1</v>
      </c>
    </row>
    <row r="57" spans="1:13" x14ac:dyDescent="0.25">
      <c r="A57" s="2">
        <v>46218</v>
      </c>
      <c r="B57" s="1" t="str">
        <f ca="1">IF(Información1[[#This Row],[Fecha]]='Ajuste de fechas'!$A$2,"Día actual","Día anterior")</f>
        <v>Día actual</v>
      </c>
      <c r="C57" t="s">
        <v>69</v>
      </c>
      <c r="D57" t="s">
        <v>70</v>
      </c>
      <c r="E57" t="s">
        <v>169</v>
      </c>
      <c r="F57" t="s">
        <v>84</v>
      </c>
      <c r="G57" t="s">
        <v>170</v>
      </c>
      <c r="H57" t="s">
        <v>8</v>
      </c>
      <c r="I57" t="s">
        <v>7</v>
      </c>
      <c r="J57" t="s">
        <v>31</v>
      </c>
      <c r="K57" t="s">
        <v>71</v>
      </c>
      <c r="L57" t="s">
        <v>26</v>
      </c>
      <c r="M57">
        <v>1</v>
      </c>
    </row>
    <row r="58" spans="1:13" x14ac:dyDescent="0.25">
      <c r="A58" s="2">
        <v>46218</v>
      </c>
      <c r="B58" s="1" t="str">
        <f ca="1">IF(Información1[[#This Row],[Fecha]]='Ajuste de fechas'!$A$2,"Día actual","Día anterior")</f>
        <v>Día actual</v>
      </c>
      <c r="C58" t="s">
        <v>40</v>
      </c>
      <c r="D58" t="s">
        <v>41</v>
      </c>
      <c r="E58" t="s">
        <v>171</v>
      </c>
      <c r="F58" t="s">
        <v>11</v>
      </c>
      <c r="G58" t="s">
        <v>172</v>
      </c>
      <c r="H58" t="s">
        <v>8</v>
      </c>
      <c r="I58" t="s">
        <v>7</v>
      </c>
      <c r="J58" t="s">
        <v>32</v>
      </c>
      <c r="K58" t="s">
        <v>42</v>
      </c>
      <c r="L58" t="s">
        <v>24</v>
      </c>
      <c r="M58">
        <v>1</v>
      </c>
    </row>
    <row r="59" spans="1:13" x14ac:dyDescent="0.25">
      <c r="A59" s="2">
        <v>46218</v>
      </c>
      <c r="B59" s="1" t="str">
        <f ca="1">IF(Información1[[#This Row],[Fecha]]='Ajuste de fechas'!$A$2,"Día actual","Día anterior")</f>
        <v>Día actual</v>
      </c>
      <c r="C59" t="s">
        <v>40</v>
      </c>
      <c r="D59" t="s">
        <v>41</v>
      </c>
      <c r="E59" t="s">
        <v>43</v>
      </c>
      <c r="F59" t="s">
        <v>10</v>
      </c>
      <c r="G59" t="s">
        <v>160</v>
      </c>
      <c r="H59" t="s">
        <v>8</v>
      </c>
      <c r="I59" t="s">
        <v>39</v>
      </c>
      <c r="J59" t="s">
        <v>33</v>
      </c>
      <c r="K59" t="s">
        <v>42</v>
      </c>
      <c r="L59" t="s">
        <v>25</v>
      </c>
      <c r="M59">
        <v>1</v>
      </c>
    </row>
    <row r="60" spans="1:13" x14ac:dyDescent="0.25">
      <c r="A60" s="2">
        <v>46218</v>
      </c>
      <c r="B60" s="1" t="str">
        <f ca="1">IF(Información1[[#This Row],[Fecha]]='Ajuste de fechas'!$A$2,"Día actual","Día anterior")</f>
        <v>Día actual</v>
      </c>
      <c r="C60" t="s">
        <v>40</v>
      </c>
      <c r="D60" t="s">
        <v>41</v>
      </c>
      <c r="E60" t="s">
        <v>44</v>
      </c>
      <c r="F60" t="s">
        <v>10</v>
      </c>
      <c r="G60" t="s">
        <v>160</v>
      </c>
      <c r="H60" t="s">
        <v>8</v>
      </c>
      <c r="I60" t="s">
        <v>39</v>
      </c>
      <c r="J60" t="s">
        <v>33</v>
      </c>
      <c r="K60" t="s">
        <v>42</v>
      </c>
      <c r="L60" t="s">
        <v>25</v>
      </c>
      <c r="M60">
        <v>1</v>
      </c>
    </row>
    <row r="61" spans="1:13" x14ac:dyDescent="0.25">
      <c r="A61" s="2">
        <v>46218</v>
      </c>
      <c r="B61" s="1" t="str">
        <f ca="1">IF(Información1[[#This Row],[Fecha]]='Ajuste de fechas'!$A$2,"Día actual","Día anterior")</f>
        <v>Día actual</v>
      </c>
      <c r="C61" t="s">
        <v>40</v>
      </c>
      <c r="D61" t="s">
        <v>41</v>
      </c>
      <c r="E61" t="s">
        <v>45</v>
      </c>
      <c r="F61" t="s">
        <v>34</v>
      </c>
      <c r="G61" t="s">
        <v>160</v>
      </c>
      <c r="H61" t="s">
        <v>8</v>
      </c>
      <c r="I61" t="s">
        <v>39</v>
      </c>
      <c r="J61" t="s">
        <v>31</v>
      </c>
      <c r="K61" t="s">
        <v>42</v>
      </c>
      <c r="L61" t="s">
        <v>25</v>
      </c>
      <c r="M61">
        <v>1</v>
      </c>
    </row>
    <row r="62" spans="1:13" x14ac:dyDescent="0.25">
      <c r="A62" s="2">
        <v>46218</v>
      </c>
      <c r="B62" s="1" t="str">
        <f ca="1">IF(Información1[[#This Row],[Fecha]]='Ajuste de fechas'!$A$2,"Día actual","Día anterior")</f>
        <v>Día actual</v>
      </c>
      <c r="C62" t="s">
        <v>40</v>
      </c>
      <c r="D62" t="s">
        <v>41</v>
      </c>
      <c r="E62" t="s">
        <v>49</v>
      </c>
      <c r="F62" t="s">
        <v>30</v>
      </c>
      <c r="G62" t="s">
        <v>160</v>
      </c>
      <c r="H62" t="s">
        <v>8</v>
      </c>
      <c r="I62" t="s">
        <v>39</v>
      </c>
      <c r="J62" t="s">
        <v>13</v>
      </c>
      <c r="K62" t="s">
        <v>42</v>
      </c>
      <c r="L62" t="s">
        <v>25</v>
      </c>
      <c r="M62">
        <v>1</v>
      </c>
    </row>
    <row r="63" spans="1:13" x14ac:dyDescent="0.25">
      <c r="A63" s="2">
        <v>46218</v>
      </c>
      <c r="B63" s="1" t="str">
        <f ca="1">IF(Información1[[#This Row],[Fecha]]='Ajuste de fechas'!$A$2,"Día actual","Día anterior")</f>
        <v>Día actual</v>
      </c>
      <c r="C63" t="s">
        <v>40</v>
      </c>
      <c r="D63" t="s">
        <v>41</v>
      </c>
      <c r="E63" t="s">
        <v>46</v>
      </c>
      <c r="F63" t="s">
        <v>9</v>
      </c>
      <c r="G63" t="s">
        <v>160</v>
      </c>
      <c r="H63" t="s">
        <v>8</v>
      </c>
      <c r="I63" t="s">
        <v>39</v>
      </c>
      <c r="J63" t="s">
        <v>31</v>
      </c>
      <c r="K63" t="s">
        <v>42</v>
      </c>
      <c r="L63" t="s">
        <v>25</v>
      </c>
      <c r="M63">
        <v>1</v>
      </c>
    </row>
    <row r="64" spans="1:13" x14ac:dyDescent="0.25">
      <c r="A64" s="2">
        <v>46218</v>
      </c>
      <c r="B64" s="1" t="str">
        <f ca="1">IF(Información1[[#This Row],[Fecha]]='Ajuste de fechas'!$A$2,"Día actual","Día anterior")</f>
        <v>Día actual</v>
      </c>
      <c r="C64" t="s">
        <v>40</v>
      </c>
      <c r="D64" t="s">
        <v>41</v>
      </c>
      <c r="E64" t="s">
        <v>47</v>
      </c>
      <c r="F64" t="s">
        <v>38</v>
      </c>
      <c r="G64" t="s">
        <v>160</v>
      </c>
      <c r="H64" t="s">
        <v>8</v>
      </c>
      <c r="I64" t="s">
        <v>39</v>
      </c>
      <c r="J64" t="s">
        <v>31</v>
      </c>
      <c r="K64" t="s">
        <v>42</v>
      </c>
      <c r="L64" t="s">
        <v>25</v>
      </c>
      <c r="M64">
        <v>1</v>
      </c>
    </row>
    <row r="65" spans="1:13" x14ac:dyDescent="0.25">
      <c r="A65" s="2">
        <v>46218</v>
      </c>
      <c r="B65" s="1" t="str">
        <f ca="1">IF(Información1[[#This Row],[Fecha]]='Ajuste de fechas'!$A$2,"Día actual","Día anterior")</f>
        <v>Día actual</v>
      </c>
      <c r="C65" t="s">
        <v>40</v>
      </c>
      <c r="D65" t="s">
        <v>41</v>
      </c>
      <c r="E65" t="s">
        <v>48</v>
      </c>
      <c r="F65" t="s">
        <v>6</v>
      </c>
      <c r="G65" t="s">
        <v>160</v>
      </c>
      <c r="H65" t="s">
        <v>8</v>
      </c>
      <c r="I65" t="s">
        <v>39</v>
      </c>
      <c r="J65" t="s">
        <v>31</v>
      </c>
      <c r="K65" t="s">
        <v>42</v>
      </c>
      <c r="L65" t="s">
        <v>25</v>
      </c>
      <c r="M65">
        <v>1</v>
      </c>
    </row>
    <row r="66" spans="1:13" x14ac:dyDescent="0.25">
      <c r="A66" s="2">
        <v>46217</v>
      </c>
      <c r="B66" s="1" t="str">
        <f ca="1">IF(Información1[[#This Row],[Fecha]]='Ajuste de fechas'!$A$2,"Día actual","Día anterior")</f>
        <v>Día anterior</v>
      </c>
      <c r="C66" t="s">
        <v>69</v>
      </c>
      <c r="D66" t="s">
        <v>70</v>
      </c>
      <c r="E66" t="s">
        <v>173</v>
      </c>
      <c r="F66" t="s">
        <v>34</v>
      </c>
      <c r="G66" t="s">
        <v>82</v>
      </c>
      <c r="H66" t="s">
        <v>8</v>
      </c>
      <c r="I66" t="s">
        <v>7</v>
      </c>
      <c r="J66" t="s">
        <v>31</v>
      </c>
      <c r="K66" t="s">
        <v>71</v>
      </c>
      <c r="L66" t="s">
        <v>26</v>
      </c>
      <c r="M66">
        <v>1</v>
      </c>
    </row>
    <row r="67" spans="1:13" x14ac:dyDescent="0.25">
      <c r="A67" s="2">
        <v>46217</v>
      </c>
      <c r="B67" s="1" t="str">
        <f ca="1">IF(Información1[[#This Row],[Fecha]]='Ajuste de fechas'!$A$2,"Día actual","Día anterior")</f>
        <v>Día anterior</v>
      </c>
      <c r="C67" t="s">
        <v>174</v>
      </c>
      <c r="D67" t="s">
        <v>175</v>
      </c>
      <c r="E67" t="s">
        <v>106</v>
      </c>
      <c r="F67" t="s">
        <v>15</v>
      </c>
      <c r="G67" t="s">
        <v>107</v>
      </c>
      <c r="H67" t="s">
        <v>8</v>
      </c>
      <c r="I67" t="s">
        <v>7</v>
      </c>
      <c r="J67" t="s">
        <v>31</v>
      </c>
      <c r="K67" t="s">
        <v>176</v>
      </c>
      <c r="L67" t="s">
        <v>26</v>
      </c>
      <c r="M67">
        <v>1</v>
      </c>
    </row>
    <row r="68" spans="1:13" x14ac:dyDescent="0.25">
      <c r="A68" s="2">
        <v>46218</v>
      </c>
      <c r="B68" s="1" t="str">
        <f ca="1">IF(Información1[[#This Row],[Fecha]]='Ajuste de fechas'!$A$2,"Día actual","Día anterior")</f>
        <v>Día actual</v>
      </c>
      <c r="C68" t="s">
        <v>69</v>
      </c>
      <c r="D68" t="s">
        <v>70</v>
      </c>
      <c r="E68" t="s">
        <v>177</v>
      </c>
      <c r="F68" t="s">
        <v>9</v>
      </c>
      <c r="G68" t="s">
        <v>178</v>
      </c>
      <c r="H68" t="s">
        <v>8</v>
      </c>
      <c r="I68" t="s">
        <v>7</v>
      </c>
      <c r="J68" t="s">
        <v>31</v>
      </c>
      <c r="K68" t="s">
        <v>71</v>
      </c>
      <c r="L68" t="s">
        <v>26</v>
      </c>
      <c r="M68">
        <v>1</v>
      </c>
    </row>
    <row r="69" spans="1:13" x14ac:dyDescent="0.25">
      <c r="A69" s="2">
        <v>46218</v>
      </c>
      <c r="B69" s="1" t="str">
        <f ca="1">IF(Información1[[#This Row],[Fecha]]='Ajuste de fechas'!$A$2,"Día actual","Día anterior")</f>
        <v>Día actual</v>
      </c>
      <c r="C69" t="s">
        <v>16</v>
      </c>
      <c r="D69" t="s">
        <v>51</v>
      </c>
      <c r="E69" t="s">
        <v>179</v>
      </c>
      <c r="F69" t="s">
        <v>54</v>
      </c>
      <c r="G69" t="s">
        <v>180</v>
      </c>
      <c r="H69" t="s">
        <v>8</v>
      </c>
      <c r="I69" t="s">
        <v>7</v>
      </c>
      <c r="J69" t="s">
        <v>31</v>
      </c>
      <c r="K69" t="s">
        <v>68</v>
      </c>
      <c r="L69" t="s">
        <v>24</v>
      </c>
      <c r="M69">
        <v>1</v>
      </c>
    </row>
    <row r="70" spans="1:13" x14ac:dyDescent="0.25">
      <c r="A70" s="2">
        <v>46218</v>
      </c>
      <c r="B70" s="1" t="str">
        <f ca="1">IF(Información1[[#This Row],[Fecha]]='Ajuste de fechas'!$A$2,"Día actual","Día anterior")</f>
        <v>Día actual</v>
      </c>
      <c r="C70" t="s">
        <v>16</v>
      </c>
      <c r="D70" t="s">
        <v>51</v>
      </c>
      <c r="E70" t="s">
        <v>181</v>
      </c>
      <c r="F70" t="s">
        <v>10</v>
      </c>
      <c r="G70" t="s">
        <v>182</v>
      </c>
      <c r="H70" t="s">
        <v>8</v>
      </c>
      <c r="I70" t="s">
        <v>7</v>
      </c>
      <c r="J70" t="s">
        <v>33</v>
      </c>
      <c r="K70" t="s">
        <v>68</v>
      </c>
      <c r="L70" t="s">
        <v>24</v>
      </c>
      <c r="M70">
        <v>1</v>
      </c>
    </row>
    <row r="71" spans="1:13" x14ac:dyDescent="0.25">
      <c r="A71" s="2">
        <v>46218</v>
      </c>
      <c r="B71" s="1" t="str">
        <f ca="1">IF(Información1[[#This Row],[Fecha]]='Ajuste de fechas'!$A$2,"Día actual","Día anterior")</f>
        <v>Día actual</v>
      </c>
      <c r="C71" t="s">
        <v>16</v>
      </c>
      <c r="D71" t="s">
        <v>51</v>
      </c>
      <c r="E71" t="s">
        <v>183</v>
      </c>
      <c r="F71" t="s">
        <v>10</v>
      </c>
      <c r="G71" t="s">
        <v>182</v>
      </c>
      <c r="H71" t="s">
        <v>8</v>
      </c>
      <c r="I71" t="s">
        <v>7</v>
      </c>
      <c r="J71" t="s">
        <v>33</v>
      </c>
      <c r="K71" t="s">
        <v>68</v>
      </c>
      <c r="L71" t="s">
        <v>24</v>
      </c>
      <c r="M71">
        <v>1</v>
      </c>
    </row>
    <row r="72" spans="1:13" x14ac:dyDescent="0.25">
      <c r="A72" s="2">
        <v>46218</v>
      </c>
      <c r="B72" s="1" t="str">
        <f ca="1">IF(Información1[[#This Row],[Fecha]]='Ajuste de fechas'!$A$2,"Día actual","Día anterior")</f>
        <v>Día actual</v>
      </c>
      <c r="C72" t="s">
        <v>16</v>
      </c>
      <c r="D72" t="s">
        <v>51</v>
      </c>
      <c r="E72" t="s">
        <v>184</v>
      </c>
      <c r="F72" t="s">
        <v>9</v>
      </c>
      <c r="G72" t="s">
        <v>85</v>
      </c>
      <c r="H72" t="s">
        <v>8</v>
      </c>
      <c r="I72" t="s">
        <v>7</v>
      </c>
      <c r="J72" t="s">
        <v>31</v>
      </c>
      <c r="K72" t="s">
        <v>52</v>
      </c>
      <c r="L72" t="s">
        <v>24</v>
      </c>
      <c r="M72">
        <v>1</v>
      </c>
    </row>
    <row r="73" spans="1:13" x14ac:dyDescent="0.25">
      <c r="A73" s="2">
        <v>46218</v>
      </c>
      <c r="B73" s="1" t="str">
        <f ca="1">IF(Información1[[#This Row],[Fecha]]='Ajuste de fechas'!$A$2,"Día actual","Día anterior")</f>
        <v>Día actual</v>
      </c>
      <c r="C73" t="s">
        <v>40</v>
      </c>
      <c r="D73" t="s">
        <v>41</v>
      </c>
      <c r="E73" t="s">
        <v>185</v>
      </c>
      <c r="F73" t="s">
        <v>9</v>
      </c>
      <c r="G73" t="s">
        <v>85</v>
      </c>
      <c r="H73" t="s">
        <v>8</v>
      </c>
      <c r="I73" t="s">
        <v>7</v>
      </c>
      <c r="J73" t="s">
        <v>31</v>
      </c>
      <c r="K73" t="s">
        <v>42</v>
      </c>
      <c r="L73" t="s">
        <v>24</v>
      </c>
      <c r="M73">
        <v>1</v>
      </c>
    </row>
    <row r="74" spans="1:13" x14ac:dyDescent="0.25">
      <c r="A74" s="2">
        <v>46218</v>
      </c>
      <c r="B74" s="1" t="str">
        <f ca="1">IF(Información1[[#This Row],[Fecha]]='Ajuste de fechas'!$A$2,"Día actual","Día anterior")</f>
        <v>Día actual</v>
      </c>
      <c r="C74" t="s">
        <v>40</v>
      </c>
      <c r="D74" t="s">
        <v>41</v>
      </c>
      <c r="E74" t="s">
        <v>186</v>
      </c>
      <c r="F74" t="s">
        <v>6</v>
      </c>
      <c r="G74" t="s">
        <v>72</v>
      </c>
      <c r="H74" t="s">
        <v>8</v>
      </c>
      <c r="I74" t="s">
        <v>14</v>
      </c>
      <c r="J74" t="s">
        <v>31</v>
      </c>
      <c r="K74" t="s">
        <v>37</v>
      </c>
      <c r="L74" t="s">
        <v>25</v>
      </c>
      <c r="M74">
        <v>1</v>
      </c>
    </row>
    <row r="75" spans="1:13" x14ac:dyDescent="0.25">
      <c r="A75" s="2">
        <v>46218</v>
      </c>
      <c r="B75" s="1" t="str">
        <f ca="1">IF(Información1[[#This Row],[Fecha]]='Ajuste de fechas'!$A$2,"Día actual","Día anterior")</f>
        <v>Día actual</v>
      </c>
      <c r="C75" t="s">
        <v>16</v>
      </c>
      <c r="D75" t="s">
        <v>51</v>
      </c>
      <c r="E75" t="s">
        <v>187</v>
      </c>
      <c r="F75" t="s">
        <v>11</v>
      </c>
      <c r="G75" t="s">
        <v>188</v>
      </c>
      <c r="H75" t="s">
        <v>8</v>
      </c>
      <c r="I75" t="s">
        <v>7</v>
      </c>
      <c r="J75" t="s">
        <v>32</v>
      </c>
      <c r="K75" t="s">
        <v>52</v>
      </c>
      <c r="L75" t="s">
        <v>24</v>
      </c>
      <c r="M75">
        <v>1</v>
      </c>
    </row>
    <row r="76" spans="1:13" x14ac:dyDescent="0.25">
      <c r="A76" s="2">
        <v>46218</v>
      </c>
      <c r="B76" s="1" t="str">
        <f ca="1">IF(Información1[[#This Row],[Fecha]]='Ajuste de fechas'!$A$2,"Día actual","Día anterior")</f>
        <v>Día actual</v>
      </c>
      <c r="C76" t="s">
        <v>69</v>
      </c>
      <c r="D76" t="s">
        <v>70</v>
      </c>
      <c r="E76" t="s">
        <v>189</v>
      </c>
      <c r="F76" t="s">
        <v>15</v>
      </c>
      <c r="G76" t="s">
        <v>153</v>
      </c>
      <c r="H76" t="s">
        <v>8</v>
      </c>
      <c r="I76" t="s">
        <v>7</v>
      </c>
      <c r="J76" t="s">
        <v>31</v>
      </c>
      <c r="K76" t="s">
        <v>71</v>
      </c>
      <c r="L76" t="s">
        <v>26</v>
      </c>
      <c r="M76">
        <v>1</v>
      </c>
    </row>
    <row r="77" spans="1:13" x14ac:dyDescent="0.25">
      <c r="A77" s="2">
        <v>46218</v>
      </c>
      <c r="B77" s="1" t="str">
        <f ca="1">IF(Información1[[#This Row],[Fecha]]='Ajuste de fechas'!$A$2,"Día actual","Día anterior")</f>
        <v>Día actual</v>
      </c>
      <c r="C77" t="s">
        <v>16</v>
      </c>
      <c r="D77" t="s">
        <v>51</v>
      </c>
      <c r="E77" t="s">
        <v>190</v>
      </c>
      <c r="F77" t="s">
        <v>15</v>
      </c>
      <c r="G77" t="s">
        <v>153</v>
      </c>
      <c r="H77" t="s">
        <v>8</v>
      </c>
      <c r="I77" t="s">
        <v>7</v>
      </c>
      <c r="J77" t="s">
        <v>31</v>
      </c>
      <c r="K77" t="s">
        <v>52</v>
      </c>
      <c r="L77" t="s">
        <v>24</v>
      </c>
      <c r="M77">
        <v>1</v>
      </c>
    </row>
    <row r="78" spans="1:13" x14ac:dyDescent="0.25">
      <c r="A78" s="2">
        <v>46218</v>
      </c>
      <c r="B78" s="1" t="str">
        <f ca="1">IF(Información1[[#This Row],[Fecha]]='Ajuste de fechas'!$A$2,"Día actual","Día anterior")</f>
        <v>Día actual</v>
      </c>
      <c r="C78" t="s">
        <v>16</v>
      </c>
      <c r="D78" t="s">
        <v>51</v>
      </c>
      <c r="E78" t="s">
        <v>191</v>
      </c>
      <c r="F78" t="s">
        <v>35</v>
      </c>
      <c r="G78" t="s">
        <v>192</v>
      </c>
      <c r="H78" t="s">
        <v>8</v>
      </c>
      <c r="I78" t="s">
        <v>7</v>
      </c>
      <c r="J78" t="s">
        <v>31</v>
      </c>
      <c r="K78" t="s">
        <v>52</v>
      </c>
      <c r="L78" t="s">
        <v>24</v>
      </c>
      <c r="M78">
        <v>1</v>
      </c>
    </row>
    <row r="79" spans="1:13" x14ac:dyDescent="0.25">
      <c r="A79" s="2">
        <v>46218</v>
      </c>
      <c r="B79" s="1" t="str">
        <f ca="1">IF(Información1[[#This Row],[Fecha]]='Ajuste de fechas'!$A$2,"Día actual","Día anterior")</f>
        <v>Día actual</v>
      </c>
      <c r="C79" t="s">
        <v>16</v>
      </c>
      <c r="D79" t="s">
        <v>51</v>
      </c>
      <c r="E79" t="s">
        <v>193</v>
      </c>
      <c r="F79" t="s">
        <v>12</v>
      </c>
      <c r="G79" t="s">
        <v>194</v>
      </c>
      <c r="H79" t="s">
        <v>8</v>
      </c>
      <c r="I79" t="s">
        <v>7</v>
      </c>
      <c r="J79" t="s">
        <v>31</v>
      </c>
      <c r="K79" t="s">
        <v>52</v>
      </c>
      <c r="L79" t="s">
        <v>24</v>
      </c>
      <c r="M79">
        <v>1</v>
      </c>
    </row>
    <row r="80" spans="1:13" x14ac:dyDescent="0.25">
      <c r="A80" s="2">
        <v>46218</v>
      </c>
      <c r="B80" s="1" t="str">
        <f ca="1">IF(Información1[[#This Row],[Fecha]]='Ajuste de fechas'!$A$2,"Día actual","Día anterior")</f>
        <v>Día actual</v>
      </c>
      <c r="C80" t="s">
        <v>16</v>
      </c>
      <c r="D80" t="s">
        <v>51</v>
      </c>
      <c r="E80" t="s">
        <v>195</v>
      </c>
      <c r="F80" t="s">
        <v>9</v>
      </c>
      <c r="G80" t="s">
        <v>196</v>
      </c>
      <c r="H80" t="s">
        <v>8</v>
      </c>
      <c r="I80" t="s">
        <v>7</v>
      </c>
      <c r="J80" t="s">
        <v>31</v>
      </c>
      <c r="K80" t="s">
        <v>68</v>
      </c>
      <c r="L80" t="s">
        <v>26</v>
      </c>
      <c r="M80">
        <v>1</v>
      </c>
    </row>
    <row r="81" spans="1:13" x14ac:dyDescent="0.25">
      <c r="A81" s="2">
        <v>46218</v>
      </c>
      <c r="B81" s="1" t="str">
        <f ca="1">IF(Información1[[#This Row],[Fecha]]='Ajuste de fechas'!$A$2,"Día actual","Día anterior")</f>
        <v>Día actual</v>
      </c>
      <c r="C81" t="s">
        <v>40</v>
      </c>
      <c r="D81" t="s">
        <v>41</v>
      </c>
      <c r="E81" t="s">
        <v>197</v>
      </c>
      <c r="F81" t="s">
        <v>10</v>
      </c>
      <c r="G81" t="s">
        <v>198</v>
      </c>
      <c r="H81" t="s">
        <v>8</v>
      </c>
      <c r="I81" t="s">
        <v>14</v>
      </c>
      <c r="J81" t="s">
        <v>33</v>
      </c>
      <c r="K81" t="s">
        <v>37</v>
      </c>
      <c r="L81" t="s">
        <v>25</v>
      </c>
      <c r="M81">
        <v>1</v>
      </c>
    </row>
    <row r="82" spans="1:13" x14ac:dyDescent="0.25">
      <c r="A82" s="2">
        <v>46218</v>
      </c>
      <c r="B82" s="1" t="str">
        <f ca="1">IF(Información1[[#This Row],[Fecha]]='Ajuste de fechas'!$A$2,"Día actual","Día anterior")</f>
        <v>Día actual</v>
      </c>
      <c r="C82" t="s">
        <v>16</v>
      </c>
      <c r="D82" t="s">
        <v>51</v>
      </c>
      <c r="E82" t="s">
        <v>199</v>
      </c>
      <c r="F82" t="s">
        <v>15</v>
      </c>
      <c r="G82" t="s">
        <v>200</v>
      </c>
      <c r="H82" t="s">
        <v>8</v>
      </c>
      <c r="I82" t="s">
        <v>7</v>
      </c>
      <c r="J82" t="s">
        <v>31</v>
      </c>
      <c r="K82" t="s">
        <v>68</v>
      </c>
      <c r="L82" t="s">
        <v>24</v>
      </c>
      <c r="M82">
        <v>1</v>
      </c>
    </row>
    <row r="83" spans="1:13" x14ac:dyDescent="0.25">
      <c r="A83" s="2">
        <v>46218</v>
      </c>
      <c r="B83" s="1" t="str">
        <f ca="1">IF(Información1[[#This Row],[Fecha]]='Ajuste de fechas'!$A$2,"Día actual","Día anterior")</f>
        <v>Día actual</v>
      </c>
      <c r="C83" t="s">
        <v>16</v>
      </c>
      <c r="D83" t="s">
        <v>51</v>
      </c>
      <c r="E83" t="s">
        <v>201</v>
      </c>
      <c r="F83" t="s">
        <v>15</v>
      </c>
      <c r="G83" t="s">
        <v>200</v>
      </c>
      <c r="H83" t="s">
        <v>8</v>
      </c>
      <c r="I83" t="s">
        <v>7</v>
      </c>
      <c r="J83" t="s">
        <v>31</v>
      </c>
      <c r="K83" t="s">
        <v>52</v>
      </c>
      <c r="L83" t="s">
        <v>24</v>
      </c>
      <c r="M83">
        <v>1</v>
      </c>
    </row>
    <row r="84" spans="1:13" x14ac:dyDescent="0.25">
      <c r="A84" s="2">
        <v>46218</v>
      </c>
      <c r="B84" s="1" t="str">
        <f ca="1">IF(Información1[[#This Row],[Fecha]]='Ajuste de fechas'!$A$2,"Día actual","Día anterior")</f>
        <v>Día actual</v>
      </c>
      <c r="C84" t="s">
        <v>40</v>
      </c>
      <c r="D84" t="s">
        <v>41</v>
      </c>
      <c r="E84" t="s">
        <v>202</v>
      </c>
      <c r="F84" t="s">
        <v>15</v>
      </c>
      <c r="G84" t="s">
        <v>200</v>
      </c>
      <c r="H84" t="s">
        <v>8</v>
      </c>
      <c r="I84" t="s">
        <v>7</v>
      </c>
      <c r="J84" t="s">
        <v>31</v>
      </c>
      <c r="K84" t="s">
        <v>42</v>
      </c>
      <c r="L84" t="s">
        <v>24</v>
      </c>
      <c r="M84">
        <v>1</v>
      </c>
    </row>
    <row r="85" spans="1:13" x14ac:dyDescent="0.25">
      <c r="A85" s="2">
        <v>46218</v>
      </c>
      <c r="B85" s="1" t="str">
        <f ca="1">IF(Información1[[#This Row],[Fecha]]='Ajuste de fechas'!$A$2,"Día actual","Día anterior")</f>
        <v>Día actual</v>
      </c>
      <c r="C85" t="s">
        <v>16</v>
      </c>
      <c r="D85" t="s">
        <v>51</v>
      </c>
      <c r="E85" t="s">
        <v>203</v>
      </c>
      <c r="F85" t="s">
        <v>11</v>
      </c>
      <c r="G85" t="s">
        <v>204</v>
      </c>
      <c r="H85" t="s">
        <v>8</v>
      </c>
      <c r="I85" t="s">
        <v>7</v>
      </c>
      <c r="J85" t="s">
        <v>32</v>
      </c>
      <c r="K85" t="s">
        <v>68</v>
      </c>
      <c r="L85" t="s">
        <v>24</v>
      </c>
      <c r="M85">
        <v>1</v>
      </c>
    </row>
    <row r="86" spans="1:13" x14ac:dyDescent="0.25">
      <c r="A86" s="2">
        <v>46218</v>
      </c>
      <c r="B86" s="1" t="str">
        <f ca="1">IF(Información1[[#This Row],[Fecha]]='Ajuste de fechas'!$A$2,"Día actual","Día anterior")</f>
        <v>Día actual</v>
      </c>
      <c r="C86" t="s">
        <v>16</v>
      </c>
      <c r="D86" t="s">
        <v>51</v>
      </c>
      <c r="E86" t="s">
        <v>205</v>
      </c>
      <c r="F86" t="s">
        <v>10</v>
      </c>
      <c r="G86" t="s">
        <v>206</v>
      </c>
      <c r="H86" t="s">
        <v>8</v>
      </c>
      <c r="I86" t="s">
        <v>7</v>
      </c>
      <c r="J86" t="s">
        <v>33</v>
      </c>
      <c r="K86" t="s">
        <v>52</v>
      </c>
      <c r="L86" t="s">
        <v>24</v>
      </c>
      <c r="M86">
        <v>1</v>
      </c>
    </row>
    <row r="87" spans="1:13" x14ac:dyDescent="0.25">
      <c r="A87" s="2">
        <v>46218</v>
      </c>
      <c r="B87" s="1" t="str">
        <f ca="1">IF(Información1[[#This Row],[Fecha]]='Ajuste de fechas'!$A$2,"Día actual","Día anterior")</f>
        <v>Día actual</v>
      </c>
      <c r="C87" t="s">
        <v>16</v>
      </c>
      <c r="D87" t="s">
        <v>51</v>
      </c>
      <c r="E87" t="s">
        <v>207</v>
      </c>
      <c r="F87" t="s">
        <v>208</v>
      </c>
      <c r="G87" t="s">
        <v>209</v>
      </c>
      <c r="H87" t="s">
        <v>8</v>
      </c>
      <c r="I87" t="s">
        <v>7</v>
      </c>
      <c r="J87" t="s">
        <v>79</v>
      </c>
      <c r="K87" t="s">
        <v>68</v>
      </c>
      <c r="L87" t="s">
        <v>24</v>
      </c>
      <c r="M87">
        <v>1</v>
      </c>
    </row>
    <row r="88" spans="1:13" x14ac:dyDescent="0.25">
      <c r="A88" s="2">
        <v>46218</v>
      </c>
      <c r="B88" s="1" t="str">
        <f ca="1">IF(Información1[[#This Row],[Fecha]]='Ajuste de fechas'!$A$2,"Día actual","Día anterior")</f>
        <v>Día actual</v>
      </c>
      <c r="C88" t="s">
        <v>40</v>
      </c>
      <c r="D88" t="s">
        <v>41</v>
      </c>
      <c r="E88" t="s">
        <v>210</v>
      </c>
      <c r="F88" t="s">
        <v>10</v>
      </c>
      <c r="G88" t="s">
        <v>211</v>
      </c>
      <c r="H88" t="s">
        <v>8</v>
      </c>
      <c r="I88" t="s">
        <v>7</v>
      </c>
      <c r="J88" t="s">
        <v>33</v>
      </c>
      <c r="K88" t="s">
        <v>37</v>
      </c>
      <c r="L88" t="s">
        <v>25</v>
      </c>
      <c r="M88">
        <v>1</v>
      </c>
    </row>
    <row r="89" spans="1:13" x14ac:dyDescent="0.25">
      <c r="A89" s="2">
        <v>46218</v>
      </c>
      <c r="B89" s="1" t="str">
        <f ca="1">IF(Información1[[#This Row],[Fecha]]='Ajuste de fechas'!$A$2,"Día actual","Día anterior")</f>
        <v>Día actual</v>
      </c>
      <c r="C89" t="s">
        <v>40</v>
      </c>
      <c r="D89" t="s">
        <v>41</v>
      </c>
      <c r="E89" t="s">
        <v>212</v>
      </c>
      <c r="F89" t="s">
        <v>10</v>
      </c>
      <c r="G89" t="s">
        <v>211</v>
      </c>
      <c r="H89" t="s">
        <v>8</v>
      </c>
      <c r="I89" t="s">
        <v>7</v>
      </c>
      <c r="J89" t="s">
        <v>33</v>
      </c>
      <c r="K89" t="s">
        <v>42</v>
      </c>
      <c r="L89" t="s">
        <v>36</v>
      </c>
      <c r="M89">
        <v>1</v>
      </c>
    </row>
    <row r="90" spans="1:13" x14ac:dyDescent="0.25">
      <c r="A90" s="2">
        <v>46218</v>
      </c>
      <c r="B90" s="1" t="str">
        <f ca="1">IF(Información1[[#This Row],[Fecha]]='Ajuste de fechas'!$A$2,"Día actual","Día anterior")</f>
        <v>Día actual</v>
      </c>
      <c r="C90" t="s">
        <v>16</v>
      </c>
      <c r="D90" t="s">
        <v>51</v>
      </c>
      <c r="E90" t="s">
        <v>213</v>
      </c>
      <c r="F90" t="s">
        <v>35</v>
      </c>
      <c r="G90" t="s">
        <v>77</v>
      </c>
      <c r="H90" t="s">
        <v>8</v>
      </c>
      <c r="I90" t="s">
        <v>7</v>
      </c>
      <c r="J90" t="s">
        <v>31</v>
      </c>
      <c r="K90" t="s">
        <v>68</v>
      </c>
      <c r="L90" t="s">
        <v>24</v>
      </c>
      <c r="M90">
        <v>1</v>
      </c>
    </row>
    <row r="91" spans="1:13" x14ac:dyDescent="0.25">
      <c r="A91" s="2">
        <v>46218</v>
      </c>
      <c r="B91" s="1" t="str">
        <f ca="1">IF(Información1[[#This Row],[Fecha]]='Ajuste de fechas'!$A$2,"Día actual","Día anterior")</f>
        <v>Día actual</v>
      </c>
      <c r="C91" t="s">
        <v>40</v>
      </c>
      <c r="D91" t="s">
        <v>41</v>
      </c>
      <c r="E91" t="s">
        <v>214</v>
      </c>
      <c r="F91" t="s">
        <v>10</v>
      </c>
      <c r="G91" t="s">
        <v>86</v>
      </c>
      <c r="H91" t="s">
        <v>8</v>
      </c>
      <c r="I91" t="s">
        <v>14</v>
      </c>
      <c r="J91" t="s">
        <v>33</v>
      </c>
      <c r="K91" t="s">
        <v>37</v>
      </c>
      <c r="L91" t="s">
        <v>25</v>
      </c>
      <c r="M91">
        <v>1</v>
      </c>
    </row>
    <row r="92" spans="1:13" x14ac:dyDescent="0.25">
      <c r="A92" s="2">
        <v>46218</v>
      </c>
      <c r="B92" s="1" t="str">
        <f ca="1">IF(Información1[[#This Row],[Fecha]]='Ajuste de fechas'!$A$2,"Día actual","Día anterior")</f>
        <v>Día actual</v>
      </c>
      <c r="C92" t="s">
        <v>16</v>
      </c>
      <c r="D92" t="s">
        <v>51</v>
      </c>
      <c r="E92" t="s">
        <v>215</v>
      </c>
      <c r="F92" t="s">
        <v>13</v>
      </c>
      <c r="G92" t="s">
        <v>80</v>
      </c>
      <c r="H92" t="s">
        <v>8</v>
      </c>
      <c r="I92" t="s">
        <v>7</v>
      </c>
      <c r="J92" t="s">
        <v>13</v>
      </c>
      <c r="K92" t="s">
        <v>52</v>
      </c>
      <c r="L92" t="s">
        <v>24</v>
      </c>
      <c r="M92">
        <v>1</v>
      </c>
    </row>
    <row r="93" spans="1:13" x14ac:dyDescent="0.25">
      <c r="A93" s="2">
        <v>46218</v>
      </c>
      <c r="B93" s="1" t="str">
        <f ca="1">IF(Información1[[#This Row],[Fecha]]='Ajuste de fechas'!$A$2,"Día actual","Día anterior")</f>
        <v>Día actual</v>
      </c>
      <c r="C93" t="s">
        <v>16</v>
      </c>
      <c r="D93" t="s">
        <v>51</v>
      </c>
      <c r="E93" t="s">
        <v>216</v>
      </c>
      <c r="F93" t="s">
        <v>15</v>
      </c>
      <c r="G93" t="s">
        <v>217</v>
      </c>
      <c r="H93" t="s">
        <v>8</v>
      </c>
      <c r="I93" t="s">
        <v>7</v>
      </c>
      <c r="J93" t="s">
        <v>31</v>
      </c>
      <c r="K93" t="s">
        <v>52</v>
      </c>
      <c r="L93" t="s">
        <v>24</v>
      </c>
      <c r="M93">
        <v>1</v>
      </c>
    </row>
    <row r="94" spans="1:13" x14ac:dyDescent="0.25">
      <c r="A94" s="2">
        <v>46218</v>
      </c>
      <c r="B94" s="1" t="str">
        <f ca="1">IF(Información1[[#This Row],[Fecha]]='Ajuste de fechas'!$A$2,"Día actual","Día anterior")</f>
        <v>Día actual</v>
      </c>
      <c r="C94" t="s">
        <v>16</v>
      </c>
      <c r="D94" t="s">
        <v>51</v>
      </c>
      <c r="E94" t="s">
        <v>218</v>
      </c>
      <c r="F94" t="s">
        <v>15</v>
      </c>
      <c r="G94" t="s">
        <v>219</v>
      </c>
      <c r="H94" t="s">
        <v>8</v>
      </c>
      <c r="I94" t="s">
        <v>7</v>
      </c>
      <c r="J94" t="s">
        <v>31</v>
      </c>
      <c r="K94" t="s">
        <v>68</v>
      </c>
      <c r="L94" t="s">
        <v>24</v>
      </c>
      <c r="M94">
        <v>1</v>
      </c>
    </row>
    <row r="95" spans="1:13" x14ac:dyDescent="0.25">
      <c r="A95" s="2">
        <v>46218</v>
      </c>
      <c r="B95" s="1" t="str">
        <f ca="1">IF(Información1[[#This Row],[Fecha]]='Ajuste de fechas'!$A$2,"Día actual","Día anterior")</f>
        <v>Día actual</v>
      </c>
      <c r="C95" t="s">
        <v>40</v>
      </c>
      <c r="D95" t="s">
        <v>41</v>
      </c>
      <c r="E95" t="s">
        <v>220</v>
      </c>
      <c r="F95" t="s">
        <v>15</v>
      </c>
      <c r="G95" t="s">
        <v>219</v>
      </c>
      <c r="H95" t="s">
        <v>8</v>
      </c>
      <c r="I95" t="s">
        <v>7</v>
      </c>
      <c r="J95" t="s">
        <v>31</v>
      </c>
      <c r="K95" t="s">
        <v>42</v>
      </c>
      <c r="L95" t="s">
        <v>24</v>
      </c>
      <c r="M95">
        <v>1</v>
      </c>
    </row>
    <row r="96" spans="1:13" x14ac:dyDescent="0.25">
      <c r="A96" s="2">
        <v>46217</v>
      </c>
      <c r="B96" s="1" t="str">
        <f ca="1">IF(Información1[[#This Row],[Fecha]]='Ajuste de fechas'!$A$2,"Día actual","Día anterior")</f>
        <v>Día anterior</v>
      </c>
      <c r="C96" t="s">
        <v>69</v>
      </c>
      <c r="D96" t="s">
        <v>70</v>
      </c>
      <c r="E96" t="s">
        <v>221</v>
      </c>
      <c r="F96" t="s">
        <v>63</v>
      </c>
      <c r="G96" t="s">
        <v>222</v>
      </c>
      <c r="H96" t="s">
        <v>8</v>
      </c>
      <c r="I96" t="s">
        <v>7</v>
      </c>
      <c r="J96" t="s">
        <v>31</v>
      </c>
      <c r="K96" t="s">
        <v>71</v>
      </c>
      <c r="L96" t="s">
        <v>26</v>
      </c>
      <c r="M96">
        <v>1</v>
      </c>
    </row>
    <row r="97" spans="1:13" x14ac:dyDescent="0.25">
      <c r="A97" s="2">
        <v>46218</v>
      </c>
      <c r="B97" s="1" t="str">
        <f ca="1">IF(Información1[[#This Row],[Fecha]]='Ajuste de fechas'!$A$2,"Día actual","Día anterior")</f>
        <v>Día actual</v>
      </c>
      <c r="C97" t="s">
        <v>16</v>
      </c>
      <c r="D97" t="s">
        <v>51</v>
      </c>
      <c r="E97" t="s">
        <v>223</v>
      </c>
      <c r="F97" t="s">
        <v>15</v>
      </c>
      <c r="G97" t="s">
        <v>119</v>
      </c>
      <c r="H97" t="s">
        <v>8</v>
      </c>
      <c r="I97" t="s">
        <v>7</v>
      </c>
      <c r="J97" t="s">
        <v>31</v>
      </c>
      <c r="K97" t="s">
        <v>68</v>
      </c>
      <c r="L97" t="s">
        <v>24</v>
      </c>
      <c r="M97">
        <v>1</v>
      </c>
    </row>
    <row r="98" spans="1:13" x14ac:dyDescent="0.25">
      <c r="A98" s="2">
        <v>46218</v>
      </c>
      <c r="B98" s="1" t="str">
        <f ca="1">IF(Información1[[#This Row],[Fecha]]='Ajuste de fechas'!$A$2,"Día actual","Día anterior")</f>
        <v>Día actual</v>
      </c>
      <c r="C98" t="s">
        <v>16</v>
      </c>
      <c r="D98" t="s">
        <v>51</v>
      </c>
      <c r="E98" t="s">
        <v>224</v>
      </c>
      <c r="F98" t="s">
        <v>66</v>
      </c>
      <c r="G98" t="s">
        <v>119</v>
      </c>
      <c r="H98" t="s">
        <v>8</v>
      </c>
      <c r="I98" t="s">
        <v>7</v>
      </c>
      <c r="J98" t="s">
        <v>31</v>
      </c>
      <c r="K98" t="s">
        <v>52</v>
      </c>
      <c r="L98" t="s">
        <v>24</v>
      </c>
      <c r="M98">
        <v>1</v>
      </c>
    </row>
    <row r="99" spans="1:13" x14ac:dyDescent="0.25">
      <c r="A99" s="2">
        <v>46218</v>
      </c>
      <c r="B99" s="1" t="str">
        <f ca="1">IF(Información1[[#This Row],[Fecha]]='Ajuste de fechas'!$A$2,"Día actual","Día anterior")</f>
        <v>Día actual</v>
      </c>
      <c r="C99" t="s">
        <v>40</v>
      </c>
      <c r="D99" t="s">
        <v>41</v>
      </c>
      <c r="E99" t="s">
        <v>225</v>
      </c>
      <c r="F99" t="s">
        <v>10</v>
      </c>
      <c r="G99" t="s">
        <v>226</v>
      </c>
      <c r="H99" t="s">
        <v>8</v>
      </c>
      <c r="I99" t="s">
        <v>14</v>
      </c>
      <c r="J99" t="s">
        <v>33</v>
      </c>
      <c r="K99" t="s">
        <v>37</v>
      </c>
      <c r="L99" t="s">
        <v>25</v>
      </c>
      <c r="M99">
        <v>1</v>
      </c>
    </row>
    <row r="100" spans="1:13" x14ac:dyDescent="0.25">
      <c r="A100" s="2">
        <v>46218</v>
      </c>
      <c r="B100" s="1" t="str">
        <f ca="1">IF(Información1[[#This Row],[Fecha]]='Ajuste de fechas'!$A$2,"Día actual","Día anterior")</f>
        <v>Día actual</v>
      </c>
      <c r="C100" t="s">
        <v>174</v>
      </c>
      <c r="D100" t="s">
        <v>175</v>
      </c>
      <c r="E100" t="s">
        <v>227</v>
      </c>
      <c r="F100" t="s">
        <v>100</v>
      </c>
      <c r="G100" t="s">
        <v>228</v>
      </c>
      <c r="H100" t="s">
        <v>8</v>
      </c>
      <c r="I100" t="s">
        <v>7</v>
      </c>
      <c r="J100" t="s">
        <v>31</v>
      </c>
      <c r="K100" t="s">
        <v>176</v>
      </c>
      <c r="L100" t="s">
        <v>26</v>
      </c>
      <c r="M100">
        <v>1</v>
      </c>
    </row>
    <row r="101" spans="1:13" x14ac:dyDescent="0.25">
      <c r="A101" s="2">
        <v>46218</v>
      </c>
      <c r="B101" s="1" t="str">
        <f ca="1">IF(Información1[[#This Row],[Fecha]]='Ajuste de fechas'!$A$2,"Día actual","Día anterior")</f>
        <v>Día actual</v>
      </c>
      <c r="C101" t="s">
        <v>40</v>
      </c>
      <c r="D101" t="s">
        <v>41</v>
      </c>
      <c r="E101" t="s">
        <v>229</v>
      </c>
      <c r="F101" t="s">
        <v>81</v>
      </c>
      <c r="G101" t="s">
        <v>230</v>
      </c>
      <c r="H101" t="s">
        <v>8</v>
      </c>
      <c r="I101" t="s">
        <v>7</v>
      </c>
      <c r="J101" t="s">
        <v>31</v>
      </c>
      <c r="K101" t="s">
        <v>42</v>
      </c>
      <c r="L101" t="s">
        <v>26</v>
      </c>
      <c r="M101">
        <v>1</v>
      </c>
    </row>
    <row r="102" spans="1:13" x14ac:dyDescent="0.25">
      <c r="A102" s="2">
        <v>46218</v>
      </c>
      <c r="B102" s="1" t="str">
        <f ca="1">IF(Información1[[#This Row],[Fecha]]='Ajuste de fechas'!$A$2,"Día actual","Día anterior")</f>
        <v>Día actual</v>
      </c>
      <c r="C102" t="s">
        <v>16</v>
      </c>
      <c r="D102" t="s">
        <v>51</v>
      </c>
      <c r="E102" t="s">
        <v>231</v>
      </c>
      <c r="F102" t="s">
        <v>151</v>
      </c>
      <c r="G102" t="s">
        <v>232</v>
      </c>
      <c r="H102" t="s">
        <v>8</v>
      </c>
      <c r="I102" t="s">
        <v>7</v>
      </c>
      <c r="J102" t="s">
        <v>31</v>
      </c>
      <c r="K102" t="s">
        <v>68</v>
      </c>
      <c r="L102" t="s">
        <v>24</v>
      </c>
      <c r="M102">
        <v>1</v>
      </c>
    </row>
    <row r="103" spans="1:13" x14ac:dyDescent="0.25">
      <c r="A103" s="2">
        <v>46218</v>
      </c>
      <c r="B103" s="1" t="str">
        <f ca="1">IF(Información1[[#This Row],[Fecha]]='Ajuste de fechas'!$A$2,"Día actual","Día anterior")</f>
        <v>Día actual</v>
      </c>
      <c r="C103" t="s">
        <v>16</v>
      </c>
      <c r="D103" t="s">
        <v>51</v>
      </c>
      <c r="E103" t="s">
        <v>231</v>
      </c>
      <c r="F103" t="s">
        <v>151</v>
      </c>
      <c r="G103" t="s">
        <v>232</v>
      </c>
      <c r="H103" t="s">
        <v>8</v>
      </c>
      <c r="I103" t="s">
        <v>7</v>
      </c>
      <c r="J103" t="s">
        <v>31</v>
      </c>
      <c r="K103" t="s">
        <v>52</v>
      </c>
      <c r="L103" t="s">
        <v>24</v>
      </c>
      <c r="M103">
        <v>1</v>
      </c>
    </row>
    <row r="104" spans="1:13" x14ac:dyDescent="0.25">
      <c r="A104" s="2">
        <v>46218</v>
      </c>
      <c r="B104" s="1" t="str">
        <f ca="1">IF(Información1[[#This Row],[Fecha]]='Ajuste de fechas'!$A$2,"Día actual","Día anterior")</f>
        <v>Día actual</v>
      </c>
      <c r="C104" t="s">
        <v>40</v>
      </c>
      <c r="D104" t="s">
        <v>41</v>
      </c>
      <c r="E104" t="s">
        <v>233</v>
      </c>
      <c r="F104" t="s">
        <v>151</v>
      </c>
      <c r="G104" t="s">
        <v>232</v>
      </c>
      <c r="H104" t="s">
        <v>8</v>
      </c>
      <c r="I104" t="s">
        <v>7</v>
      </c>
      <c r="J104" t="s">
        <v>31</v>
      </c>
      <c r="K104" t="s">
        <v>42</v>
      </c>
      <c r="L104" t="s">
        <v>36</v>
      </c>
      <c r="M104">
        <v>1</v>
      </c>
    </row>
    <row r="105" spans="1:13" x14ac:dyDescent="0.25">
      <c r="A105" s="2">
        <v>46218</v>
      </c>
      <c r="B105" s="1" t="str">
        <f ca="1">IF(Información1[[#This Row],[Fecha]]='Ajuste de fechas'!$A$2,"Día actual","Día anterior")</f>
        <v>Día actual</v>
      </c>
      <c r="C105" t="s">
        <v>16</v>
      </c>
      <c r="D105" t="s">
        <v>51</v>
      </c>
      <c r="E105" t="s">
        <v>234</v>
      </c>
      <c r="F105" t="s">
        <v>10</v>
      </c>
      <c r="G105" t="s">
        <v>235</v>
      </c>
      <c r="H105" t="s">
        <v>8</v>
      </c>
      <c r="I105" t="s">
        <v>7</v>
      </c>
      <c r="J105" t="s">
        <v>33</v>
      </c>
      <c r="K105" t="s">
        <v>52</v>
      </c>
      <c r="L105" t="s">
        <v>24</v>
      </c>
      <c r="M105">
        <v>1</v>
      </c>
    </row>
    <row r="106" spans="1:13" x14ac:dyDescent="0.25">
      <c r="A106" s="2">
        <v>46217</v>
      </c>
      <c r="B106" s="1" t="str">
        <f ca="1">IF(Información1[[#This Row],[Fecha]]='Ajuste de fechas'!$A$2,"Día actual","Día anterior")</f>
        <v>Día anterior</v>
      </c>
      <c r="C106" t="s">
        <v>69</v>
      </c>
      <c r="D106" t="s">
        <v>236</v>
      </c>
      <c r="E106" t="s">
        <v>108</v>
      </c>
      <c r="F106" t="s">
        <v>15</v>
      </c>
      <c r="G106" t="s">
        <v>109</v>
      </c>
      <c r="H106" t="s">
        <v>8</v>
      </c>
      <c r="I106" t="s">
        <v>7</v>
      </c>
      <c r="J106" t="s">
        <v>31</v>
      </c>
      <c r="K106" t="s">
        <v>237</v>
      </c>
      <c r="L106" t="s">
        <v>26</v>
      </c>
      <c r="M106">
        <v>1</v>
      </c>
    </row>
    <row r="107" spans="1:13" x14ac:dyDescent="0.25">
      <c r="A107" s="2">
        <v>46218</v>
      </c>
      <c r="B107" s="1" t="str">
        <f ca="1">IF(Información1[[#This Row],[Fecha]]='Ajuste de fechas'!$A$2,"Día actual","Día anterior")</f>
        <v>Día actual</v>
      </c>
      <c r="C107" t="s">
        <v>40</v>
      </c>
      <c r="D107" t="s">
        <v>41</v>
      </c>
      <c r="E107" t="s">
        <v>108</v>
      </c>
      <c r="F107" t="s">
        <v>15</v>
      </c>
      <c r="G107" t="s">
        <v>109</v>
      </c>
      <c r="H107" t="s">
        <v>8</v>
      </c>
      <c r="I107" t="s">
        <v>7</v>
      </c>
      <c r="J107" t="s">
        <v>31</v>
      </c>
      <c r="K107" t="s">
        <v>42</v>
      </c>
      <c r="L107" t="s">
        <v>26</v>
      </c>
      <c r="M107">
        <v>1</v>
      </c>
    </row>
    <row r="108" spans="1:13" x14ac:dyDescent="0.25">
      <c r="A108" s="2">
        <v>46217</v>
      </c>
      <c r="B108" s="1" t="str">
        <f ca="1">IF(Información1[[#This Row],[Fecha]]='Ajuste de fechas'!$A$2,"Día actual","Día anterior")</f>
        <v>Día anterior</v>
      </c>
      <c r="C108" t="s">
        <v>69</v>
      </c>
      <c r="D108" t="s">
        <v>236</v>
      </c>
      <c r="E108" t="s">
        <v>126</v>
      </c>
      <c r="F108" t="s">
        <v>100</v>
      </c>
      <c r="G108" t="s">
        <v>101</v>
      </c>
      <c r="H108" t="s">
        <v>8</v>
      </c>
      <c r="I108" t="s">
        <v>7</v>
      </c>
      <c r="J108" t="s">
        <v>31</v>
      </c>
      <c r="K108" t="s">
        <v>237</v>
      </c>
      <c r="L108" t="s">
        <v>26</v>
      </c>
      <c r="M108">
        <v>1</v>
      </c>
    </row>
    <row r="109" spans="1:13" x14ac:dyDescent="0.25">
      <c r="A109" s="2">
        <v>46217</v>
      </c>
      <c r="B109" s="1" t="str">
        <f ca="1">IF(Información1[[#This Row],[Fecha]]='Ajuste de fechas'!$A$2,"Día actual","Día anterior")</f>
        <v>Día anterior</v>
      </c>
      <c r="C109" t="s">
        <v>69</v>
      </c>
      <c r="D109" t="s">
        <v>236</v>
      </c>
      <c r="E109" t="s">
        <v>238</v>
      </c>
      <c r="F109" t="s">
        <v>66</v>
      </c>
      <c r="G109" t="s">
        <v>239</v>
      </c>
      <c r="H109" t="s">
        <v>8</v>
      </c>
      <c r="I109" t="s">
        <v>7</v>
      </c>
      <c r="J109" t="s">
        <v>31</v>
      </c>
      <c r="K109" t="s">
        <v>237</v>
      </c>
      <c r="L109" t="s">
        <v>26</v>
      </c>
      <c r="M109">
        <v>1</v>
      </c>
    </row>
    <row r="110" spans="1:13" x14ac:dyDescent="0.25">
      <c r="A110" s="2">
        <v>46218</v>
      </c>
      <c r="B110" s="1" t="str">
        <f ca="1">IF(Información1[[#This Row],[Fecha]]='Ajuste de fechas'!$A$2,"Día actual","Día anterior")</f>
        <v>Día actual</v>
      </c>
      <c r="C110" t="s">
        <v>16</v>
      </c>
      <c r="D110" t="s">
        <v>51</v>
      </c>
      <c r="E110" t="s">
        <v>240</v>
      </c>
      <c r="F110" t="s">
        <v>88</v>
      </c>
      <c r="G110" t="s">
        <v>241</v>
      </c>
      <c r="H110" t="s">
        <v>8</v>
      </c>
      <c r="I110" t="s">
        <v>7</v>
      </c>
      <c r="J110" t="s">
        <v>13</v>
      </c>
      <c r="K110" t="s">
        <v>68</v>
      </c>
      <c r="L110" t="s">
        <v>24</v>
      </c>
      <c r="M110">
        <v>1</v>
      </c>
    </row>
    <row r="111" spans="1:13" x14ac:dyDescent="0.25">
      <c r="A111" s="2">
        <v>46218</v>
      </c>
      <c r="B111" s="1" t="str">
        <f ca="1">IF(Información1[[#This Row],[Fecha]]='Ajuste de fechas'!$A$2,"Día actual","Día anterior")</f>
        <v>Día actual</v>
      </c>
      <c r="C111" t="s">
        <v>16</v>
      </c>
      <c r="D111" t="s">
        <v>51</v>
      </c>
      <c r="E111" t="s">
        <v>242</v>
      </c>
      <c r="F111" t="s">
        <v>35</v>
      </c>
      <c r="G111" t="s">
        <v>241</v>
      </c>
      <c r="H111" t="s">
        <v>8</v>
      </c>
      <c r="I111" t="s">
        <v>7</v>
      </c>
      <c r="J111" t="s">
        <v>31</v>
      </c>
      <c r="K111" t="s">
        <v>68</v>
      </c>
      <c r="L111" t="s">
        <v>26</v>
      </c>
      <c r="M111">
        <v>1</v>
      </c>
    </row>
    <row r="112" spans="1:13" x14ac:dyDescent="0.25">
      <c r="A112" s="2">
        <v>46218</v>
      </c>
      <c r="B112" s="1" t="str">
        <f ca="1">IF(Información1[[#This Row],[Fecha]]='Ajuste de fechas'!$A$2,"Día actual","Día anterior")</f>
        <v>Día actual</v>
      </c>
      <c r="C112" t="s">
        <v>55</v>
      </c>
      <c r="D112" t="s">
        <v>56</v>
      </c>
      <c r="E112" t="s">
        <v>243</v>
      </c>
      <c r="F112" t="s">
        <v>11</v>
      </c>
      <c r="G112" t="s">
        <v>244</v>
      </c>
      <c r="H112" t="s">
        <v>8</v>
      </c>
      <c r="I112" t="s">
        <v>7</v>
      </c>
      <c r="J112" t="s">
        <v>32</v>
      </c>
      <c r="K112" t="s">
        <v>57</v>
      </c>
      <c r="L112" t="s">
        <v>24</v>
      </c>
      <c r="M112">
        <v>1</v>
      </c>
    </row>
    <row r="113" spans="1:13" x14ac:dyDescent="0.25">
      <c r="A113" s="2">
        <v>46218</v>
      </c>
      <c r="B113" s="1" t="str">
        <f ca="1">IF(Información1[[#This Row],[Fecha]]='Ajuste de fechas'!$A$2,"Día actual","Día anterior")</f>
        <v>Día actual</v>
      </c>
      <c r="C113" t="s">
        <v>55</v>
      </c>
      <c r="D113" t="s">
        <v>56</v>
      </c>
      <c r="E113" t="s">
        <v>245</v>
      </c>
      <c r="F113" t="s">
        <v>11</v>
      </c>
      <c r="G113" t="s">
        <v>172</v>
      </c>
      <c r="H113" t="s">
        <v>8</v>
      </c>
      <c r="I113" t="s">
        <v>7</v>
      </c>
      <c r="J113" t="s">
        <v>32</v>
      </c>
      <c r="K113" t="s">
        <v>57</v>
      </c>
      <c r="L113" t="s">
        <v>24</v>
      </c>
      <c r="M113">
        <v>1</v>
      </c>
    </row>
    <row r="114" spans="1:13" x14ac:dyDescent="0.25">
      <c r="A114" s="2">
        <v>46218</v>
      </c>
      <c r="B114" s="1" t="str">
        <f ca="1">IF(Información1[[#This Row],[Fecha]]='Ajuste de fechas'!$A$2,"Día actual","Día anterior")</f>
        <v>Día actual</v>
      </c>
      <c r="C114" t="s">
        <v>55</v>
      </c>
      <c r="D114" t="s">
        <v>56</v>
      </c>
      <c r="E114" t="s">
        <v>246</v>
      </c>
      <c r="F114" t="s">
        <v>11</v>
      </c>
      <c r="G114" t="s">
        <v>247</v>
      </c>
      <c r="H114" t="s">
        <v>8</v>
      </c>
      <c r="I114" t="s">
        <v>7</v>
      </c>
      <c r="J114" t="s">
        <v>32</v>
      </c>
      <c r="K114" t="s">
        <v>57</v>
      </c>
      <c r="L114" t="s">
        <v>24</v>
      </c>
      <c r="M114">
        <v>1</v>
      </c>
    </row>
    <row r="115" spans="1:13" x14ac:dyDescent="0.25">
      <c r="A115" s="2">
        <v>46218</v>
      </c>
      <c r="B115" s="1" t="str">
        <f ca="1">IF(Información1[[#This Row],[Fecha]]='Ajuste de fechas'!$A$2,"Día actual","Día anterior")</f>
        <v>Día actual</v>
      </c>
      <c r="C115" t="s">
        <v>55</v>
      </c>
      <c r="D115" t="s">
        <v>56</v>
      </c>
      <c r="E115" t="s">
        <v>248</v>
      </c>
      <c r="F115" t="s">
        <v>10</v>
      </c>
      <c r="G115" t="s">
        <v>249</v>
      </c>
      <c r="H115" t="s">
        <v>8</v>
      </c>
      <c r="I115" t="s">
        <v>7</v>
      </c>
      <c r="J115" t="s">
        <v>33</v>
      </c>
      <c r="K115" t="s">
        <v>57</v>
      </c>
      <c r="L115" t="s">
        <v>24</v>
      </c>
      <c r="M115">
        <v>1</v>
      </c>
    </row>
    <row r="116" spans="1:13" x14ac:dyDescent="0.25">
      <c r="A116" s="2">
        <v>46218</v>
      </c>
      <c r="B116" s="1" t="str">
        <f ca="1">IF(Información1[[#This Row],[Fecha]]='Ajuste de fechas'!$A$2,"Día actual","Día anterior")</f>
        <v>Día actual</v>
      </c>
      <c r="C116" t="s">
        <v>55</v>
      </c>
      <c r="D116" t="s">
        <v>56</v>
      </c>
      <c r="E116" t="s">
        <v>250</v>
      </c>
      <c r="F116" t="s">
        <v>12</v>
      </c>
      <c r="G116" t="s">
        <v>77</v>
      </c>
      <c r="H116" t="s">
        <v>8</v>
      </c>
      <c r="I116" t="s">
        <v>14</v>
      </c>
      <c r="J116" t="s">
        <v>31</v>
      </c>
      <c r="K116" t="s">
        <v>57</v>
      </c>
      <c r="L116" t="s">
        <v>24</v>
      </c>
      <c r="M116">
        <v>1</v>
      </c>
    </row>
    <row r="117" spans="1:13" x14ac:dyDescent="0.25">
      <c r="A117" s="2">
        <v>46218</v>
      </c>
      <c r="B117" s="1" t="str">
        <f ca="1">IF(Información1[[#This Row],[Fecha]]='Ajuste de fechas'!$A$2,"Día actual","Día anterior")</f>
        <v>Día actual</v>
      </c>
      <c r="C117" t="s">
        <v>55</v>
      </c>
      <c r="D117" t="s">
        <v>56</v>
      </c>
      <c r="E117" t="s">
        <v>250</v>
      </c>
      <c r="F117" t="s">
        <v>35</v>
      </c>
      <c r="G117" t="s">
        <v>77</v>
      </c>
      <c r="H117" t="s">
        <v>8</v>
      </c>
      <c r="I117" t="s">
        <v>7</v>
      </c>
      <c r="J117" t="s">
        <v>31</v>
      </c>
      <c r="K117" t="s">
        <v>57</v>
      </c>
      <c r="L117" t="s">
        <v>24</v>
      </c>
      <c r="M117">
        <v>1</v>
      </c>
    </row>
    <row r="118" spans="1:13" x14ac:dyDescent="0.25">
      <c r="A118" s="2">
        <v>46218</v>
      </c>
      <c r="B118" s="1" t="str">
        <f ca="1">IF(Información1[[#This Row],[Fecha]]='Ajuste de fechas'!$A$2,"Día actual","Día anterior")</f>
        <v>Día actual</v>
      </c>
      <c r="C118" t="s">
        <v>58</v>
      </c>
      <c r="D118" t="s">
        <v>59</v>
      </c>
      <c r="E118" t="s">
        <v>251</v>
      </c>
      <c r="F118" t="s">
        <v>252</v>
      </c>
      <c r="G118" t="s">
        <v>144</v>
      </c>
      <c r="H118" t="s">
        <v>8</v>
      </c>
      <c r="I118" t="s">
        <v>7</v>
      </c>
      <c r="J118" t="s">
        <v>79</v>
      </c>
      <c r="K118" t="s">
        <v>60</v>
      </c>
      <c r="L118" t="s">
        <v>36</v>
      </c>
      <c r="M118">
        <v>1</v>
      </c>
    </row>
    <row r="119" spans="1:13" x14ac:dyDescent="0.25">
      <c r="A119" s="2">
        <v>46218</v>
      </c>
      <c r="B119" s="1" t="str">
        <f ca="1">IF(Información1[[#This Row],[Fecha]]='Ajuste de fechas'!$A$2,"Día actual","Día anterior")</f>
        <v>Día actual</v>
      </c>
      <c r="C119" t="s">
        <v>58</v>
      </c>
      <c r="D119" t="s">
        <v>59</v>
      </c>
      <c r="E119" t="s">
        <v>238</v>
      </c>
      <c r="F119" t="s">
        <v>66</v>
      </c>
      <c r="G119" t="s">
        <v>239</v>
      </c>
      <c r="H119" t="s">
        <v>8</v>
      </c>
      <c r="I119" t="s">
        <v>7</v>
      </c>
      <c r="J119" t="s">
        <v>31</v>
      </c>
      <c r="K119" t="s">
        <v>60</v>
      </c>
      <c r="L119" t="s">
        <v>26</v>
      </c>
      <c r="M119">
        <v>1</v>
      </c>
    </row>
    <row r="120" spans="1:13" x14ac:dyDescent="0.25">
      <c r="A120" s="2">
        <v>46218</v>
      </c>
      <c r="B120" s="1" t="str">
        <f ca="1">IF(Información1[[#This Row],[Fecha]]='Ajuste de fechas'!$A$2,"Día actual","Día anterior")</f>
        <v>Día actual</v>
      </c>
      <c r="C120" t="s">
        <v>58</v>
      </c>
      <c r="D120" t="s">
        <v>59</v>
      </c>
      <c r="E120" t="s">
        <v>253</v>
      </c>
      <c r="F120" t="s">
        <v>17</v>
      </c>
      <c r="G120" t="s">
        <v>178</v>
      </c>
      <c r="H120" t="s">
        <v>8</v>
      </c>
      <c r="I120" t="s">
        <v>7</v>
      </c>
      <c r="J120" t="s">
        <v>31</v>
      </c>
      <c r="K120" t="s">
        <v>60</v>
      </c>
      <c r="L120" t="s">
        <v>26</v>
      </c>
      <c r="M120">
        <v>1</v>
      </c>
    </row>
    <row r="121" spans="1:13" x14ac:dyDescent="0.25">
      <c r="A121" s="2">
        <v>46218</v>
      </c>
      <c r="B121" s="1" t="str">
        <f ca="1">IF(Información1[[#This Row],[Fecha]]='Ajuste de fechas'!$A$2,"Día actual","Día anterior")</f>
        <v>Día actual</v>
      </c>
      <c r="C121" t="s">
        <v>58</v>
      </c>
      <c r="D121" t="s">
        <v>59</v>
      </c>
      <c r="E121" t="s">
        <v>254</v>
      </c>
      <c r="F121" t="s">
        <v>11</v>
      </c>
      <c r="G121" t="s">
        <v>50</v>
      </c>
      <c r="H121" t="s">
        <v>8</v>
      </c>
      <c r="I121" t="s">
        <v>14</v>
      </c>
      <c r="J121" t="s">
        <v>32</v>
      </c>
      <c r="K121" t="s">
        <v>60</v>
      </c>
      <c r="L121" t="s">
        <v>24</v>
      </c>
      <c r="M121">
        <v>1</v>
      </c>
    </row>
    <row r="122" spans="1:13" x14ac:dyDescent="0.25">
      <c r="A122" s="2">
        <v>46218</v>
      </c>
      <c r="B122" s="1" t="str">
        <f ca="1">IF(Información1[[#This Row],[Fecha]]='Ajuste de fechas'!$A$2,"Día actual","Día anterior")</f>
        <v>Día actual</v>
      </c>
      <c r="C122" t="s">
        <v>58</v>
      </c>
      <c r="D122" t="s">
        <v>59</v>
      </c>
      <c r="E122" t="s">
        <v>255</v>
      </c>
      <c r="F122" t="s">
        <v>11</v>
      </c>
      <c r="G122" t="s">
        <v>249</v>
      </c>
      <c r="H122" t="s">
        <v>8</v>
      </c>
      <c r="I122" t="s">
        <v>7</v>
      </c>
      <c r="J122" t="s">
        <v>32</v>
      </c>
      <c r="K122" t="s">
        <v>60</v>
      </c>
      <c r="L122" t="s">
        <v>24</v>
      </c>
      <c r="M122">
        <v>1</v>
      </c>
    </row>
    <row r="123" spans="1:13" x14ac:dyDescent="0.25">
      <c r="A123" s="2">
        <v>46218</v>
      </c>
      <c r="B123" s="1" t="str">
        <f ca="1">IF(Información1[[#This Row],[Fecha]]='Ajuste de fechas'!$A$2,"Día actual","Día anterior")</f>
        <v>Día actual</v>
      </c>
      <c r="C123" t="s">
        <v>58</v>
      </c>
      <c r="D123" t="s">
        <v>59</v>
      </c>
      <c r="E123" t="s">
        <v>256</v>
      </c>
      <c r="F123" t="s">
        <v>11</v>
      </c>
      <c r="G123" t="s">
        <v>247</v>
      </c>
      <c r="H123" t="s">
        <v>8</v>
      </c>
      <c r="I123" t="s">
        <v>7</v>
      </c>
      <c r="J123" t="s">
        <v>32</v>
      </c>
      <c r="K123" t="s">
        <v>60</v>
      </c>
      <c r="L123" t="s">
        <v>24</v>
      </c>
      <c r="M123">
        <v>1</v>
      </c>
    </row>
    <row r="124" spans="1:13" x14ac:dyDescent="0.25">
      <c r="A124" s="2">
        <v>46218</v>
      </c>
      <c r="B124" s="1" t="str">
        <f ca="1">IF(Información1[[#This Row],[Fecha]]='Ajuste de fechas'!$A$2,"Día actual","Día anterior")</f>
        <v>Día actual</v>
      </c>
      <c r="C124" t="s">
        <v>58</v>
      </c>
      <c r="D124" t="s">
        <v>59</v>
      </c>
      <c r="E124" t="s">
        <v>257</v>
      </c>
      <c r="F124" t="s">
        <v>30</v>
      </c>
      <c r="G124" t="s">
        <v>258</v>
      </c>
      <c r="H124" t="s">
        <v>8</v>
      </c>
      <c r="I124" t="s">
        <v>7</v>
      </c>
      <c r="J124" t="s">
        <v>13</v>
      </c>
      <c r="K124" t="s">
        <v>60</v>
      </c>
      <c r="L124" t="s">
        <v>24</v>
      </c>
      <c r="M124">
        <v>1</v>
      </c>
    </row>
    <row r="125" spans="1:13" x14ac:dyDescent="0.25">
      <c r="A125" s="2">
        <v>46218</v>
      </c>
      <c r="B125" s="1" t="str">
        <f ca="1">IF(Información1[[#This Row],[Fecha]]='Ajuste de fechas'!$A$2,"Día actual","Día anterior")</f>
        <v>Día actual</v>
      </c>
      <c r="C125" t="s">
        <v>58</v>
      </c>
      <c r="D125" t="s">
        <v>59</v>
      </c>
      <c r="E125" t="s">
        <v>126</v>
      </c>
      <c r="F125" t="s">
        <v>100</v>
      </c>
      <c r="G125" t="s">
        <v>101</v>
      </c>
      <c r="H125" t="s">
        <v>8</v>
      </c>
      <c r="I125" t="s">
        <v>7</v>
      </c>
      <c r="J125" t="s">
        <v>31</v>
      </c>
      <c r="K125" t="s">
        <v>60</v>
      </c>
      <c r="L125" t="s">
        <v>26</v>
      </c>
      <c r="M125">
        <v>1</v>
      </c>
    </row>
    <row r="126" spans="1:13" x14ac:dyDescent="0.25">
      <c r="A126" s="2">
        <v>46218</v>
      </c>
      <c r="B126" s="1" t="str">
        <f ca="1">IF(Información1[[#This Row],[Fecha]]='Ajuste de fechas'!$A$2,"Día actual","Día anterior")</f>
        <v>Día actual</v>
      </c>
      <c r="C126" t="s">
        <v>58</v>
      </c>
      <c r="D126" t="s">
        <v>59</v>
      </c>
      <c r="E126" t="s">
        <v>259</v>
      </c>
      <c r="F126" t="s">
        <v>66</v>
      </c>
      <c r="G126" t="s">
        <v>119</v>
      </c>
      <c r="H126" t="s">
        <v>8</v>
      </c>
      <c r="I126" t="s">
        <v>7</v>
      </c>
      <c r="J126" t="s">
        <v>31</v>
      </c>
      <c r="K126" t="s">
        <v>60</v>
      </c>
      <c r="L126" t="s">
        <v>26</v>
      </c>
      <c r="M126">
        <v>1</v>
      </c>
    </row>
    <row r="127" spans="1:13" x14ac:dyDescent="0.25">
      <c r="A127" s="2">
        <v>46218</v>
      </c>
      <c r="B127" s="1" t="str">
        <f ca="1">IF(Información1[[#This Row],[Fecha]]='Ajuste de fechas'!$A$2,"Día actual","Día anterior")</f>
        <v>Día actual</v>
      </c>
      <c r="C127" t="s">
        <v>58</v>
      </c>
      <c r="D127" t="s">
        <v>59</v>
      </c>
      <c r="E127" t="s">
        <v>195</v>
      </c>
      <c r="F127" t="s">
        <v>9</v>
      </c>
      <c r="G127" t="s">
        <v>196</v>
      </c>
      <c r="H127" t="s">
        <v>8</v>
      </c>
      <c r="I127" t="s">
        <v>7</v>
      </c>
      <c r="J127" t="s">
        <v>31</v>
      </c>
      <c r="K127" t="s">
        <v>60</v>
      </c>
      <c r="L127" t="s">
        <v>26</v>
      </c>
      <c r="M127">
        <v>1</v>
      </c>
    </row>
    <row r="128" spans="1:13" x14ac:dyDescent="0.25">
      <c r="A128" s="2">
        <v>46218</v>
      </c>
      <c r="B128" s="1" t="str">
        <f ca="1">IF(Información1[[#This Row],[Fecha]]='Ajuste de fechas'!$A$2,"Día actual","Día anterior")</f>
        <v>Día actual</v>
      </c>
      <c r="C128" t="s">
        <v>58</v>
      </c>
      <c r="D128" t="s">
        <v>59</v>
      </c>
      <c r="E128" t="s">
        <v>260</v>
      </c>
      <c r="F128" t="s">
        <v>35</v>
      </c>
      <c r="G128" t="s">
        <v>62</v>
      </c>
      <c r="H128" t="s">
        <v>8</v>
      </c>
      <c r="I128" t="s">
        <v>7</v>
      </c>
      <c r="J128" t="s">
        <v>31</v>
      </c>
      <c r="K128" t="s">
        <v>60</v>
      </c>
      <c r="L128" t="s">
        <v>26</v>
      </c>
      <c r="M128">
        <v>1</v>
      </c>
    </row>
    <row r="129" spans="1:13" x14ac:dyDescent="0.25">
      <c r="A129" s="2">
        <v>46218</v>
      </c>
      <c r="B129" s="1" t="str">
        <f ca="1">IF(Información1[[#This Row],[Fecha]]='Ajuste de fechas'!$A$2,"Día actual","Día anterior")</f>
        <v>Día actual</v>
      </c>
      <c r="C129" t="s">
        <v>58</v>
      </c>
      <c r="D129" t="s">
        <v>59</v>
      </c>
      <c r="E129" t="s">
        <v>261</v>
      </c>
      <c r="F129" t="s">
        <v>12</v>
      </c>
      <c r="G129" t="s">
        <v>194</v>
      </c>
      <c r="H129" t="s">
        <v>8</v>
      </c>
      <c r="I129" t="s">
        <v>7</v>
      </c>
      <c r="J129" t="s">
        <v>31</v>
      </c>
      <c r="K129" t="s">
        <v>60</v>
      </c>
      <c r="L129" t="s">
        <v>26</v>
      </c>
      <c r="M129">
        <v>1</v>
      </c>
    </row>
    <row r="130" spans="1:13" x14ac:dyDescent="0.25">
      <c r="A130" s="2">
        <v>46218</v>
      </c>
      <c r="B130" s="1" t="str">
        <f ca="1">IF(Información1[[#This Row],[Fecha]]='Ajuste de fechas'!$A$2,"Día actual","Día anterior")</f>
        <v>Día actual</v>
      </c>
      <c r="C130" t="s">
        <v>58</v>
      </c>
      <c r="D130" t="s">
        <v>59</v>
      </c>
      <c r="E130" t="s">
        <v>262</v>
      </c>
      <c r="F130" t="s">
        <v>54</v>
      </c>
      <c r="G130" t="s">
        <v>263</v>
      </c>
      <c r="H130" t="s">
        <v>8</v>
      </c>
      <c r="I130" t="s">
        <v>7</v>
      </c>
      <c r="J130" t="s">
        <v>31</v>
      </c>
      <c r="K130" t="s">
        <v>60</v>
      </c>
      <c r="L130" t="s">
        <v>26</v>
      </c>
      <c r="M130">
        <v>1</v>
      </c>
    </row>
    <row r="131" spans="1:13" x14ac:dyDescent="0.25">
      <c r="A131" s="2">
        <v>46218</v>
      </c>
      <c r="B131" s="1" t="str">
        <f ca="1">IF(Información1[[#This Row],[Fecha]]='Ajuste de fechas'!$A$2,"Día actual","Día anterior")</f>
        <v>Día actual</v>
      </c>
      <c r="C131" t="s">
        <v>58</v>
      </c>
      <c r="D131" t="s">
        <v>59</v>
      </c>
      <c r="E131" t="s">
        <v>264</v>
      </c>
      <c r="F131" t="s">
        <v>15</v>
      </c>
      <c r="G131" t="s">
        <v>153</v>
      </c>
      <c r="H131" t="s">
        <v>8</v>
      </c>
      <c r="I131" t="s">
        <v>7</v>
      </c>
      <c r="J131" t="s">
        <v>31</v>
      </c>
      <c r="K131" t="s">
        <v>60</v>
      </c>
      <c r="L131" t="s">
        <v>26</v>
      </c>
      <c r="M131">
        <v>1</v>
      </c>
    </row>
    <row r="132" spans="1:13" x14ac:dyDescent="0.25">
      <c r="A132" s="2">
        <v>46218</v>
      </c>
      <c r="B132" s="1" t="str">
        <f ca="1">IF(Información1[[#This Row],[Fecha]]='Ajuste de fechas'!$A$2,"Día actual","Día anterior")</f>
        <v>Día actual</v>
      </c>
      <c r="C132" t="s">
        <v>55</v>
      </c>
      <c r="D132" t="s">
        <v>61</v>
      </c>
      <c r="E132" t="s">
        <v>265</v>
      </c>
      <c r="F132" t="s">
        <v>11</v>
      </c>
      <c r="G132" t="s">
        <v>226</v>
      </c>
      <c r="H132" t="s">
        <v>8</v>
      </c>
      <c r="I132" t="s">
        <v>14</v>
      </c>
      <c r="J132" t="s">
        <v>32</v>
      </c>
      <c r="K132" t="s">
        <v>57</v>
      </c>
      <c r="L132" t="s">
        <v>24</v>
      </c>
      <c r="M132">
        <v>1</v>
      </c>
    </row>
    <row r="133" spans="1:13" x14ac:dyDescent="0.25">
      <c r="A133" s="2">
        <v>46218</v>
      </c>
      <c r="B133" s="1" t="str">
        <f ca="1">IF(Información1[[#This Row],[Fecha]]='Ajuste de fechas'!$A$2,"Día actual","Día anterior")</f>
        <v>Día actual</v>
      </c>
      <c r="C133" t="s">
        <v>55</v>
      </c>
      <c r="D133" t="s">
        <v>61</v>
      </c>
      <c r="E133" t="s">
        <v>266</v>
      </c>
      <c r="F133" t="s">
        <v>11</v>
      </c>
      <c r="G133" t="s">
        <v>204</v>
      </c>
      <c r="H133" t="s">
        <v>8</v>
      </c>
      <c r="I133" t="s">
        <v>14</v>
      </c>
      <c r="J133" t="s">
        <v>32</v>
      </c>
      <c r="K133" t="s">
        <v>57</v>
      </c>
      <c r="L133" t="s">
        <v>25</v>
      </c>
      <c r="M133">
        <v>1</v>
      </c>
    </row>
    <row r="134" spans="1:13" x14ac:dyDescent="0.25">
      <c r="A134" s="2">
        <v>46218</v>
      </c>
      <c r="B134" s="1" t="str">
        <f ca="1">IF(Información1[[#This Row],[Fecha]]='Ajuste de fechas'!$A$2,"Día actual","Día anterior")</f>
        <v>Día actual</v>
      </c>
      <c r="C134" t="s">
        <v>55</v>
      </c>
      <c r="D134" t="s">
        <v>61</v>
      </c>
      <c r="E134" t="s">
        <v>267</v>
      </c>
      <c r="F134" t="s">
        <v>54</v>
      </c>
      <c r="G134" t="s">
        <v>130</v>
      </c>
      <c r="H134" t="s">
        <v>8</v>
      </c>
      <c r="I134" t="s">
        <v>7</v>
      </c>
      <c r="J134" t="s">
        <v>31</v>
      </c>
      <c r="K134" t="s">
        <v>53</v>
      </c>
      <c r="L134" t="s">
        <v>36</v>
      </c>
      <c r="M134">
        <v>1</v>
      </c>
    </row>
    <row r="135" spans="1:13" x14ac:dyDescent="0.25">
      <c r="A135" s="2">
        <v>46218</v>
      </c>
      <c r="B135" s="1" t="str">
        <f ca="1">IF(Información1[[#This Row],[Fecha]]='Ajuste de fechas'!$A$2,"Día actual","Día anterior")</f>
        <v>Día actual</v>
      </c>
      <c r="C135" t="s">
        <v>55</v>
      </c>
      <c r="D135" t="s">
        <v>61</v>
      </c>
      <c r="E135" t="s">
        <v>268</v>
      </c>
      <c r="F135" t="s">
        <v>12</v>
      </c>
      <c r="G135" t="s">
        <v>204</v>
      </c>
      <c r="H135" t="s">
        <v>8</v>
      </c>
      <c r="I135" t="s">
        <v>7</v>
      </c>
      <c r="J135" t="s">
        <v>31</v>
      </c>
      <c r="K135" t="s">
        <v>57</v>
      </c>
      <c r="L135" t="s">
        <v>24</v>
      </c>
      <c r="M135">
        <v>1</v>
      </c>
    </row>
    <row r="136" spans="1:13" x14ac:dyDescent="0.25">
      <c r="A136" s="2">
        <v>46218</v>
      </c>
      <c r="B136" s="1" t="str">
        <f ca="1">IF(Información1[[#This Row],[Fecha]]='Ajuste de fechas'!$A$2,"Día actual","Día anterior")</f>
        <v>Día actual</v>
      </c>
      <c r="C136" t="s">
        <v>55</v>
      </c>
      <c r="D136" t="s">
        <v>61</v>
      </c>
      <c r="E136" t="s">
        <v>269</v>
      </c>
      <c r="F136" t="s">
        <v>35</v>
      </c>
      <c r="G136" t="s">
        <v>241</v>
      </c>
      <c r="H136" t="s">
        <v>8</v>
      </c>
      <c r="I136" t="s">
        <v>7</v>
      </c>
      <c r="J136" t="s">
        <v>31</v>
      </c>
      <c r="K136" t="s">
        <v>57</v>
      </c>
      <c r="L136" t="s">
        <v>24</v>
      </c>
      <c r="M136">
        <v>1</v>
      </c>
    </row>
    <row r="137" spans="1:13" x14ac:dyDescent="0.25">
      <c r="A137" s="2">
        <v>46218</v>
      </c>
      <c r="B137" s="1" t="str">
        <f ca="1">IF(Información1[[#This Row],[Fecha]]='Ajuste de fechas'!$A$2,"Día actual","Día anterior")</f>
        <v>Día actual</v>
      </c>
      <c r="C137" t="s">
        <v>55</v>
      </c>
      <c r="D137" t="s">
        <v>61</v>
      </c>
      <c r="E137" t="s">
        <v>260</v>
      </c>
      <c r="F137" t="s">
        <v>35</v>
      </c>
      <c r="G137" t="s">
        <v>62</v>
      </c>
      <c r="H137" t="s">
        <v>8</v>
      </c>
      <c r="I137" t="s">
        <v>7</v>
      </c>
      <c r="J137" t="s">
        <v>31</v>
      </c>
      <c r="K137" t="s">
        <v>53</v>
      </c>
      <c r="L137" t="s">
        <v>26</v>
      </c>
      <c r="M137">
        <v>1</v>
      </c>
    </row>
    <row r="138" spans="1:13" x14ac:dyDescent="0.25">
      <c r="A138" s="2">
        <v>46218</v>
      </c>
      <c r="B138" s="1" t="str">
        <f ca="1">IF(Información1[[#This Row],[Fecha]]='Ajuste de fechas'!$A$2,"Día actual","Día anterior")</f>
        <v>Día actual</v>
      </c>
      <c r="C138" t="s">
        <v>55</v>
      </c>
      <c r="D138" t="s">
        <v>61</v>
      </c>
      <c r="E138" t="s">
        <v>270</v>
      </c>
      <c r="F138" t="s">
        <v>15</v>
      </c>
      <c r="G138" t="s">
        <v>153</v>
      </c>
      <c r="H138" t="s">
        <v>8</v>
      </c>
      <c r="I138" t="s">
        <v>7</v>
      </c>
      <c r="J138" t="s">
        <v>31</v>
      </c>
      <c r="K138" t="s">
        <v>53</v>
      </c>
      <c r="L138" t="s">
        <v>26</v>
      </c>
      <c r="M138">
        <v>1</v>
      </c>
    </row>
    <row r="139" spans="1:13" x14ac:dyDescent="0.25">
      <c r="A139" s="2">
        <v>46218</v>
      </c>
      <c r="B139" s="1" t="str">
        <f ca="1">IF(Información1[[#This Row],[Fecha]]='Ajuste de fechas'!$A$2,"Día actual","Día anterior")</f>
        <v>Día actual</v>
      </c>
      <c r="C139" t="s">
        <v>55</v>
      </c>
      <c r="D139" t="s">
        <v>61</v>
      </c>
      <c r="E139" t="s">
        <v>271</v>
      </c>
      <c r="F139" t="s">
        <v>81</v>
      </c>
      <c r="G139" t="s">
        <v>230</v>
      </c>
      <c r="H139" t="s">
        <v>8</v>
      </c>
      <c r="I139" t="s">
        <v>7</v>
      </c>
      <c r="J139" t="s">
        <v>31</v>
      </c>
      <c r="K139" t="s">
        <v>53</v>
      </c>
      <c r="L139" t="s">
        <v>26</v>
      </c>
      <c r="M13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46218</v>
      </c>
      <c r="B2" s="2">
        <f ca="1">A2-1</f>
        <v>46217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2026-07-16T00:15:10Z</dcterms:modified>
</cp:coreProperties>
</file>