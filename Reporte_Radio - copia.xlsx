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B3F301B1-E86D-4218-AB49-431986ACD01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10" i="2" l="1"/>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7" i="2"/>
  <c r="B179" i="2"/>
  <c r="B181" i="2"/>
  <c r="B183" i="2"/>
  <c r="B185" i="2"/>
  <c r="B187" i="2"/>
  <c r="B189" i="2"/>
  <c r="B191" i="2"/>
  <c r="B193" i="2"/>
  <c r="B195" i="2"/>
  <c r="B197" i="2"/>
  <c r="B199" i="2"/>
  <c r="B201" i="2"/>
  <c r="B204" i="2"/>
  <c r="B205" i="2"/>
  <c r="B207" i="2"/>
  <c r="B210" i="2"/>
  <c r="B212" i="2"/>
  <c r="B214" i="2"/>
  <c r="B216" i="2"/>
  <c r="B218" i="2"/>
  <c r="B220" i="2"/>
  <c r="B222" i="2"/>
  <c r="B224" i="2"/>
  <c r="B226" i="2"/>
  <c r="B3" i="2"/>
  <c r="B94" i="2"/>
  <c r="B97" i="2"/>
  <c r="B100" i="2"/>
  <c r="B103" i="2"/>
  <c r="B106" i="2"/>
  <c r="B109" i="2"/>
  <c r="B170" i="2"/>
  <c r="B171" i="2"/>
  <c r="B172" i="2"/>
  <c r="B173" i="2"/>
  <c r="B174" i="2"/>
  <c r="B175" i="2"/>
  <c r="B176" i="2"/>
  <c r="B178" i="2"/>
  <c r="B180" i="2"/>
  <c r="B182" i="2"/>
  <c r="B184" i="2"/>
  <c r="B186" i="2"/>
  <c r="B188" i="2"/>
  <c r="B190" i="2"/>
  <c r="B192" i="2"/>
  <c r="B194" i="2"/>
  <c r="B196" i="2"/>
  <c r="B198" i="2"/>
  <c r="B200" i="2"/>
  <c r="B202" i="2"/>
  <c r="B203" i="2"/>
  <c r="B206" i="2"/>
  <c r="B208" i="2"/>
  <c r="B209" i="2"/>
  <c r="B211" i="2"/>
  <c r="B213" i="2"/>
  <c r="B215" i="2"/>
  <c r="B217" i="2"/>
  <c r="B219" i="2"/>
  <c r="B221" i="2"/>
  <c r="B223" i="2"/>
  <c r="B225" i="2"/>
  <c r="B2" i="2"/>
  <c r="B4" i="2"/>
  <c r="B5" i="2"/>
  <c r="B76" i="2"/>
  <c r="B77" i="2"/>
  <c r="B78" i="2"/>
  <c r="B79" i="2"/>
  <c r="B80" i="2"/>
  <c r="B81" i="2"/>
  <c r="B82" i="2"/>
  <c r="B83" i="2"/>
  <c r="B84" i="2"/>
  <c r="B85" i="2"/>
  <c r="B86" i="2"/>
  <c r="B87" i="2"/>
  <c r="B88" i="2"/>
  <c r="B90" i="2"/>
  <c r="B92" i="2"/>
  <c r="B95" i="2"/>
  <c r="B98" i="2"/>
  <c r="B101" i="2"/>
  <c r="B104" i="2"/>
  <c r="B107"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227"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228" i="2"/>
  <c r="B229" i="2"/>
  <c r="B230" i="2"/>
  <c r="B231" i="2"/>
  <c r="B232" i="2"/>
  <c r="B233" i="2"/>
  <c r="B234" i="2"/>
  <c r="B235" i="2"/>
  <c r="B236" i="2"/>
  <c r="B237" i="2"/>
  <c r="B238" i="2"/>
  <c r="B239" i="2"/>
  <c r="B240" i="2"/>
  <c r="B241" i="2"/>
  <c r="B242" i="2"/>
  <c r="B71" i="2"/>
  <c r="B72" i="2"/>
  <c r="B73" i="2"/>
  <c r="B74" i="2"/>
  <c r="B75" i="2"/>
  <c r="B89" i="2"/>
  <c r="B91" i="2"/>
  <c r="B93" i="2"/>
  <c r="B96" i="2"/>
  <c r="B99" i="2"/>
  <c r="B102" i="2"/>
  <c r="B105" i="2"/>
  <c r="B10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<sst xmlns="http://schemas.openxmlformats.org/spreadsheetml/2006/main" count="2425" uniqueCount="396">
  <si>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</si>
  <si>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</si>
  <si>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</si>
  <si>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</si>
  <si>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</si>
  <si>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</si>
  <si>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</si>
  <si>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</si>
  <si>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</si>
  <si>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</si>
  <si>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</si>
  <si>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</si>
  <si>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</si>
  <si>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</si>
  <si>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</si>
  <si>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</si>
  <si>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</si>
  <si>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</si>
  <si>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</si>
  <si>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</si>
  <si>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</si>
  <si>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</si>
  <si>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</si>
  <si>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</si>
  <si>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</si>
  <si>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</si>
  <si>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</si>
  <si>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</si>
  <si>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</si>
  <si>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</si>
  <si>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Gobierno</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</si>
  <si>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</si>
  <si>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</si>
  <si>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</si>
  <si>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</si>
  <si>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</si>
  <si>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</si>
  <si>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</si>
  <si>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</si>
  <si>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</si>
  <si>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</si>
  <si>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</si>
  <si>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</si>
  <si>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</si>
  <si>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</si>
  <si>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</si>
  <si>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</si>
  <si>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</si>
  <si>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</si>
  <si>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Contraloría</t>
  </si>
  <si>
    <t>Canal del Pueblo</t>
  </si>
  <si>
    <t>Vocales Radio</t>
  </si>
  <si>
    <t>Semarnath</t>
  </si>
  <si>
    <t>STPSH</t>
  </si>
  <si>
    <t>NQ 90.1 FM</t>
  </si>
  <si>
    <t>Jesús Riveros</t>
  </si>
  <si>
    <t>Enlace Hidalgo1</t>
  </si>
  <si>
    <t>Enlace Hidalgo2</t>
  </si>
  <si>
    <t>Radio Lobo 96.7 FM</t>
  </si>
  <si>
    <t>Planeación</t>
  </si>
  <si>
    <t>Ultra 102.9 FM</t>
  </si>
  <si>
    <t>Ultra Noticias1</t>
  </si>
  <si>
    <t>Daniel Martínez</t>
  </si>
  <si>
    <t>Cultura</t>
  </si>
  <si>
    <t>Firma De Convenio</t>
  </si>
  <si>
    <t>Eulalio Larrieta agradece a Carlos Gamiño por estar al pendiente de temas</t>
  </si>
  <si>
    <t>Iniciativa</t>
  </si>
  <si>
    <t>Intervención Gráfica</t>
  </si>
  <si>
    <t>Justicia Por Propia Mano</t>
  </si>
  <si>
    <t>Abasto De Agua</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</si>
  <si>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</si>
  <si>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</si>
  <si>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</si>
  <si>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</si>
  <si>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</si>
  <si>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</si>
  <si>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</si>
  <si>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</si>
  <si>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</si>
  <si>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</si>
  <si>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</si>
  <si>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</si>
  <si>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</si>
  <si>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</si>
  <si>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</si>
  <si>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</si>
  <si>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</si>
  <si>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</si>
  <si>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</si>
  <si>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Eulalio Larrieta agradece a Edith Balderas de la Secretaria de Educación Pública.</t>
  </si>
  <si>
    <t>Drenaje tapado</t>
  </si>
  <si>
    <t>Maltrato animal</t>
  </si>
  <si>
    <t>Tauromaquia</t>
  </si>
  <si>
    <t>Prevención De Riesgos</t>
  </si>
  <si>
    <t>Sedeco</t>
  </si>
  <si>
    <t>Verificentros</t>
  </si>
  <si>
    <t>Combate Al Narcomenudeo</t>
  </si>
  <si>
    <t>Entrevista pautada</t>
  </si>
  <si>
    <t>Rehabilitación Vial</t>
  </si>
  <si>
    <t>Semaforización</t>
  </si>
  <si>
    <t>Aumento Tarifa De Transporte</t>
  </si>
  <si>
    <t>Presa Endhó</t>
  </si>
  <si>
    <t>Exigen esclarecer homicidio</t>
  </si>
  <si>
    <t>El diputado Andrés Velázquez Vázquez y la diputada Lizbeth Iraís Ordaz Islas (Morena) presentaron la iniciativa que reforma la Ley de Turismo Sustentable y la Ley de los Derechos de Niñas, Niños y Adolescentes para el Estado de Hidalgo, con el objetivo de incorporar medidas preventivas y mecanismos de verificación en los servicios de hospedaje para garantizar la integridad, seguridad y protección de dicho sector.Lo anterior, mediante la implementación de disposiciones que obliguen a dichos prestadores de servicios a corroborar que las personas adultas que ingresen acompañadas de personas menores de edad acrediten fehacientemente su calidad de madre, padre, tutor legal o su vínculo de parentesco consanguíneo.</t>
  </si>
  <si>
    <t>Boletín 1045 : Como un “acto de reconstrucción”, Julio Menchaca inaugura Intervención Gráfica 4.1 Hióki, AUDIO APOYO</t>
  </si>
  <si>
    <t>Mundial De Futbol</t>
  </si>
  <si>
    <t>Boletín 14:Hidalgo fortalece acciones para prevenir el embarazo en niñas y adolescentes</t>
  </si>
  <si>
    <t>Prevención De Embarazo Adolescente</t>
  </si>
  <si>
    <t>Refuerzo De Seguridad</t>
  </si>
  <si>
    <t>Robo de identidad</t>
  </si>
  <si>
    <t>Semana Santa</t>
  </si>
  <si>
    <t>Boletín : Más de 2.4 millones de visitantes llegan a Hidalgo en el periodo vacacional de Semana Santa, AUDIO APOYO.</t>
  </si>
  <si>
    <t>Desvío de recursos</t>
  </si>
  <si>
    <t>Nacionales Conade</t>
  </si>
  <si>
    <t>Reubicación de viviendas</t>
  </si>
  <si>
    <t>Saderh</t>
  </si>
  <si>
    <t>Gusano barrenador</t>
  </si>
  <si>
    <t>Vía telefónica el reporte de Bombero y Protección Civil con Abner Yáñez informa que se atendieron diversas emergencias.</t>
  </si>
  <si>
    <t>Se ha anunciado una jornada de vacunación contra el sarampión por parte del DIF Pachuca, ubicado en el Parque Hidalgo de Pachuca el día 16 de abril de 2026 de 09:00 a 14:00 hrs. se hará la aplicación de vacunas contra sarampión, rubéola y parotiditis (SRP) en niñas y niños</t>
  </si>
  <si>
    <t>Vacunación</t>
  </si>
  <si>
    <t>Bienestar</t>
  </si>
  <si>
    <t>Hidalgo fortalece acciones para prevenir el embarazo en niñas y adolescentes</t>
  </si>
  <si>
    <t>El fútbol femenil sigue ganando terreno en el municipio y, por segundo año consecutivo, se abre una nueva oportunidad para que jóvenes futbolistas den el salto hacia el alto rendimiento. Con el respaldo de la presidenta municipal, Lorena García Cázares, la Dirección de Cultura Física y Recreación lanzó la convocatoria para integrar el equipo de tercera división femenil profesional de Tulancingo. La invitación está dirigida a jugadoras de entre 15 y 22 años, quienes podrán demostrar su talento en las visorias que se realizan en la cancha uno de la Unidad Deportiva Municipal, en busca de un lugar dentro del representativo local. El objetivo es claro: consolidar un equipo competitivo que represente al municipio, al tiempo que se impulsa el desarrollo integral de las jóvenes, brindándoles una plataforma para proyectarse tanto en el ámbito deportivo como académico.</t>
  </si>
  <si>
    <t>Fomento Al Deporte</t>
  </si>
  <si>
    <t>La organización Biofutura presentó una queja ante la Comisión de Derechos Humanos del Estado de Hidalgo en contra del titular de la Procuraduría Estatal de Protección al Ambiente, por presuntas irregularidades en la atención de denuncias relacionadas con maltrato animal. De acuerdo con la agrupación, la denuncia se basa en datos oficiales obtenidos mediante solicitudes de transparencia, en los que se reporta que la dependencia ha recibido mil 618 denuncias por crueldad animal desde 2015. No obstante, señalan que en ese periodo únicamente se han emitido dos resoluciones con sanción: una en 2015 contra el establecimiento “+Kota”, que derivó en su clausura, y otra en 2019 contra particulares, que concluyó con una amonestación. Para Biofutura, estas cifras evidencian un nivel de impunidad considerable, al representar un porcentaje mínimo de casos sancionados frente al total de denuncias, lo que afirman, podría constituir una afectación a derechos en materia ambiental, de protección animal y al debido proceso. Asimismo, la organización indicó que durante la actual administración encabezada por Hugo Cortés Osorno no se han aplicado sanciones por este tipo de conductas. Otro de los señalamientos apunta a que la Procuraduría ha declinado su competencia en la mayoría de los casos, canalizando las denuncias hacia los municipios, muchos de los cuales carecen de normativas adecuadas en materia ambiental y de bienestar animal. La agrupación sostiene que esta práctica contraviene lo establecido en la legislación vigente, ya que la autoridad estatal tendría la responsabilidad de investigar, supervisar y, en su caso, sancionar las conductas denunciadas.</t>
  </si>
  <si>
    <t>El debate sobre la continuidad de las corridas de toros en Hidalgo tomó impulso esta semana, luego de que en el Congreso del Estado de Hidalgo se activara el proceso para analizar una iniciativa que busca su prohibición. Durante la sesión ordinaria del martes, la diputada Paloma Barragán Santos, presidenta de la Mesa Directiva, dio lectura a una excitativa promovida por el legislador Avelino Tovar Iglesias, con el objetivo de destrabar el avance de la propuesta. El documento, presentado el 10 de abril, fue turnado a la Comisión de Legislación y Puntos Constitucionales, lo que abre un plazo de 10 días hábiles para que se emita un dictamen, conforme a la normativa interna del Poder Legislativo estatal. Con este paso, la iniciativa entra en una etapa clave que podría llevarla al pleno para su discusión y eventual votación, en medio de un contexto que involucra posturas encontradas entre tradición, economía y bienestar animal. En paralelo, Avelino Tovar difundió un posicionamiento dirigido a distintos sectores vinculados con la tauromaquia, en el que aseguró que la propuesta no busca confrontar, sino generar un cambio en la percepción social sobre estas prácticas.</t>
  </si>
  <si>
    <t>Defensores de la tauromaquia realizaron una marcha en Pachuca para manifestar su rechazo a iniciativas que buscan prohibir esta actividad en la entidad y exigir que se consulte a comunidades indígenas antes de tomar una decisión. Con consignas a favor de la llamada “fiesta brava”, matadores, ganaderos y alrededor de 40 habitantes de la comunidad de Caxuxi, perteneciente al municipio de San Salvador, participaron en la movilización para respaldar la continuidad de esta práctica. El contingente partió de la Plaza de Toros Vicente Segura con destino al Congreso del estado, donde solicitaron a las y los legisladores (en particular a Avelino Tovar Iglesias) que no se avance en propuestas antitaurinas sin antes realizar un proceso de consulta indígena.</t>
  </si>
  <si>
    <t>Invierte Hidalgo 2 mdp en equipamiento tecnológico para la UPE</t>
  </si>
  <si>
    <t>Equipamiento Escolar</t>
  </si>
  <si>
    <t>La Secretaría de Contraloría de Hidalgo informó que, como parte de la política de cero tolerancia a la corrupción impulsada por el gobierno estatal, se han expulsado del sistema de contrataciones públicas a dos mil 330 proveedores y contratistas que incurrieron en irregularidades. En los últimos tres años, la dependencia ha inhabilitado a 99 proveedores y un contratista por faltas administrativas graves. Por incumplimientos, se ha dado de baja del padrón a mil 658 proveedores y 572 contratistas. Detalló que todos los proveedores y contratistas inhabilitados son publicados en un portal digital de consulta pública, lo que permite que cualquier autoridad en México identifique a quienes han fallado y evite contratarlos.</t>
  </si>
  <si>
    <t>Padrón de proveedores</t>
  </si>
  <si>
    <t>Familiares y amigos de Iván O. G., joven de 24 de años de edad quien fuera localizado sin vida y con aparentes huellas de violencia, se manifestaron afuera de las instalaciones de la Procuraduría General de Justicia del estado (PGJEH) para exigir que se aceleren las investigaciones respectivas. El joven fue reportado como desaparecido el pasado 4 de febrero de este año, siendo localizado sin vida un par de días después en Ciudad Sahagún, dentro del municipio de Tepeapulco. El cuerpo sin vida fue localizado en un camino de la comunidad de Tepetates,; previamente, la asociación civil Sonrisas Perdidas emitió una ficha de búsqueda señalando que Iván O.G. fue visto por última vez en la colonia Miguel Hidalgo, ubicada precisamente en Ciudad Sahagún. La asesora jurídica de la familia, Estéfani Shadai Vera Ángeles, señaló que hasta el momento no se ha integrado la carpeta de investigación sobre el caso. Por lo cual no se ha tenido acceso a ella, ni a los registros periciales, y, por lo tanto, se desconocen detalles sobre la forma en la cual fue hallado el cuerpo sin vida del joven.</t>
  </si>
  <si>
    <t>De acuerdo al Servicio Meteorológico Nacional, para este año se prevé aumento de la temperatura ambiente entre dos a tres grados en la ya presente temporada de calor, lo que implica atención a situaciones de salud. Lo anterior fue señalado durante la sesión del Consejo Jurisdiccional de Vigilancia Epidemiológica (Cojuve), enfatizando que las altas temperaturas aumentan 1.6 veces las posibilidades de enfermedades gastrointestinales entre menores de edad. Por lo que se solicita a la población aplicar medidas sanitarias preventivas a este tipo de padecimientos, así como para evitar golpes de calor. Incluso las medidas deberían reforzarse en los próximos años, pues expertos tanto en temas de salud como ambientales prevén aumento a la temperatura ambiente cada año.</t>
  </si>
  <si>
    <t>Prevención De Enfermedades</t>
  </si>
  <si>
    <t>Autoridades municipales y líderes de distintos tianguis del municipio de Tulancingo, acordaron implementar una serie de medidas obligatorias con el objetivo de reforzar la seguridad, mejorar el orden y garantizar condiciones adecuadas tanto para comerciantes como para la ciudadanía. Durante una reunión de trabajo, se destacó que recientes incidentes, como el accidente registrado el pasado miércoles, evidencian el incumplimiento de normas básicas de seguridad, lo que incrementa los riesgos en estos espacios de alta afluencia. Ante ello, los representantes de los tianguis coincidieron en la urgencia de fortalecer la organización interna y respetar la normatividad vigente. Asimismo, se expusieron antecedentes de puestos que han ignorado reiteradamente indicaciones de reordenamiento, generando condiciones peligrosas para quienes laboran y transitan en estos puntos. Entre los principales acuerdos, se estableció mantener pasillos y banquetas libres para facilitar la movilidad y el acceso en caso de emergencias; corregir instalaciones eléctricas irregulares; y cumplir con disposiciones en materia de Protección Civil.</t>
  </si>
  <si>
    <t>Ayer por la noche inició el retiro de estructuras, puestos, palos de la Plaza Constitución en Pachuca, esto establecido por el alcalde Jorge Reyes de que a mediados del mes de abril se retirarían pata iniciar paulatinamente la reubicación.</t>
  </si>
  <si>
    <t>Ambulantaje</t>
  </si>
  <si>
    <t>Gobierno de Hidalgo acerca atención directa a familias migrantes</t>
  </si>
  <si>
    <t>Atención A Migrantes</t>
  </si>
  <si>
    <t>Una fuga de hidrocarburo se presentó esta tarde en el ducto de Petróleos Mexicanos (PEMEX) que cruza la comunidad Texcaltepec, en el municipio Cuautepec de Hinojosa. Se conoció que el lugar de inmediato fue resguardado por efectivos del Ejército Mexicano, y que elementos de la dirección de Bomberos y Protección Civil de Cuautepec de Hinojosa acudieron en apoyo del personal de Seguridad Física de Pemex.</t>
  </si>
  <si>
    <t>Fuga de hidrocarburo</t>
  </si>
  <si>
    <t>Atiende gobierno de Hidalgo derrumbe en carretera estatal Tianguistengo–Yatipán</t>
  </si>
  <si>
    <t>Derrumbe Carretero</t>
  </si>
  <si>
    <t>El Gobierno del Estado de Hidalgo no permitirá medidas de presión por parte de representantes de concesionarios y representantes del transporte público de pasajeros, enfatizó el Gobernador Julio Menchaca Salazar. La declaración fue ofrecida en entrevista, luego de que a mediados de la semana pasada se advirtiera sobre un paro de labores por parte de dicho sector, precisamente para exigir que se autorice ajuste a las tarifas del servicio. “Sería un chantaje y no lo vamos a aceptar. El Estado tiene la facultad de cancelar concesiones a quien no cumpla con la ley”, estableció Menchaca Salazar.</t>
  </si>
  <si>
    <t>El alcalde Jorge Reyes participó en la firma del Convenio Marco de Coordinación para la Intervención y Modernización de Infraestructura Deportivo Comunitaria. Este convenio, impulsado por el Gobierno de México a través de la SEDATU y la CONADE, busca modernizar espacios deportivos en la comunidad. La iniciativa forma parte de las acciones preparatorias de cara al Mundial de la FIFA 2026.</t>
  </si>
  <si>
    <t>Una patrulla de Mineral de la Reforma se impactó contra al menos tres vehículos que se encontraban estacionados en la calle Santa Cecilia de la colonia La Providencia.</t>
  </si>
  <si>
    <t>Accidente de patrulla</t>
  </si>
  <si>
    <t>Un conductor del transporte público de la ruta Tlapacoya-Centro protagonizó un acto de agresión al amenazar con un machete a un automovilista en Pachuca. Según los reportes, los hechos ocurrieron sobre la calle Abasolo, donde se registró una discusión por el paso vehicular luego de que el particular le silbara al operador por estar estacionado en doble fila. Tras el intercambio, el chofer descendió de su unidad con un machete y abrió la puerta del automóvil para encarar directamente al conductor, además de lanzar insultos.</t>
  </si>
  <si>
    <t>Agresión de transportista</t>
  </si>
  <si>
    <t>En marzo, el 50.6% de los ciudadanos aprobó en promedio el desempeño de sus gobernadores y la jefa de Gobierno de la Ciudad de México, el nivel más alto del primer trimestre del año. Julio Menchaca registra un 59.8% de aprobación siendo el mandatario mejor evaluado de la región centro del país. De acuerdo con el Ranking Mitofsky, 23 mandatarios mejoraron su calificación respecto a febrero, mientras que nueve registraron una baja. Entre quienes subieron su aprobación predominan los de Morena, seguidos por PAN, PRI, Movimiento Ciudadano y PVEM; en contraste, todas las caídas corresponden a gobernantes del partido oficial. Solo tres estados alcanzaron nivel “sobresaliente” (más de 60% de aprobación), 16 se ubicaron en rango “alto”, diez en “medio” y tres en nivel “bajo”.</t>
  </si>
  <si>
    <t>Aprobación Gobernador</t>
  </si>
  <si>
    <t>En sesión ordinaria, diputadas y diputados integrantes de la LXVI Legislatura avalaron con 20 votos a favor, cero en contra y cero abstenciones, el dictamen que aprueba con modificaciones las iniciativas que reforman la Ley de Educación del Estado de Hidalgo, promovido por diputadas y diputados, emitido por la primera Comisión Permanente de Legislación y Puntos Constitucionales. La diputada Alma Rosa Elías Paso (Morena) recordó que los objetivos de las propuestas son: garantizar que las y los estudiantes adquieran conocimientos básicos en materia de primeros auxilios y atención inmediata de emergencias, que les permitan salvaguardar la vida y la salud en situaciones de riesgo. Así como consolidar en el ámbito educativo valores que fortalezcan la convivencia armónica y el respeto mutuo, fomentando en las y los estudiantes una visión de justicia, equidad y apego a la legalidad como principios esenciales para el desarrollo social.</t>
  </si>
  <si>
    <t>Reforma De Ley</t>
  </si>
  <si>
    <t>Vía telefónica Milton Cortés comenta que ayer acudieron al Congreso ganaderos y personas defensores de las corridas de toros para pedir a los legisladores que no se prohíba esta actividad en el estado.</t>
  </si>
  <si>
    <t>Milton Cortés</t>
  </si>
  <si>
    <t>Vía telefónica Milton Cortés informó que ayer en la Plaza Constitución de Pachuca un grupo de ambulantes fueron retirados, lo que generó un fuerte despliegue policiaco y la molestia de los comerciantes quienes aseguraron que la presidencia municipal de Pachuca violó los acuerdos que tenían. Por tal motivo no se descarta que hoy agremiados a la Foideh puedan manifestarse.</t>
  </si>
  <si>
    <t>Como parte de un operativo municipal, la noche de este miércoles fueron retirados más de 200 puestos ambulantes instalados en la plaza Constitución, luego de que un grupo de comerciantes incumpliera acuerdos previamente establecidos con autoridades del primer cuadro de la ciudad. El ayuntamiento habilitó un espacio alterno para la actividad comercial a un costado del mercado Benito Juárez y notificó oportunamente a los vendedores sobre su reubicación; no obstante, algunos se negaron a trasladarse a la nueva zona.</t>
  </si>
  <si>
    <t xml:space="preserve">Reconocen a ITESHU por su cuerpo académico en consolidación </t>
  </si>
  <si>
    <t>Prodep</t>
  </si>
  <si>
    <t>HR Ratings ratifica a Hidalgo con alta calificación y eleva su perspectiva de estable a positiva</t>
  </si>
  <si>
    <t>Hacienda</t>
  </si>
  <si>
    <t>Disciplina financiera</t>
  </si>
  <si>
    <t>El síndico procurador hacendario del municipio de Tulancingo, Pedro Hiram Soto Márquez, dio a conocer presuntas irregularidades en la administración municipal encabezada por Lorena García Cázares. Denunció que hay moches, cobros por parte de presta nombres de otros regidores que podrían llegar hasta por 4 millones de pesos, situación que ha sido negada por la alcaldesa.</t>
  </si>
  <si>
    <t>Entrevista vía telefónica Lizbeth Robles Gutiérrez, secretaria de Movilidad y Transporte - Habló sobre las acciones implementadas a través de Semot para promover la seguridad vial, específicamente en la capital hidalguense, entre las que destacan: Campañas de concientización e información que fomenten el respeto en todos los espacios del transporte público, como la jerarquía de movilidad, destacando como ejemplo la implementación del uno por uno en Tulancingo, acercamiento con la sociedad con el objetivo de sumar esfuerzos para lograr en su totalidad la implementación de la jerarquía de movilidad. Respecto al control del Tuzobús que tendrá´el Gobierno de Hidalgo a partir del mes de mayo, dijo, es política del señor gobernador, brindar la atención a los usuarios del Tuzobús, motivo por el cual se tomarán acciones que permitan mejorar el servicio en favor de la ciudadanía, como la incorporación de 140 unidades. “La instrucción del gobernador es atender la necesidad social, por lo que, se mantendrá la tarifa de diez pesos en el Tuzobús”, expresó.</t>
  </si>
  <si>
    <t>Ordenamiento vial</t>
  </si>
  <si>
    <t>Tortilleros de Pachuca, Tulancingo, Tula y Huejutla, en Hidalgo, dijeron desconocer si habrá o no aumento del precio en el kilogramo de tortilla. Actualmente su costo oscila de los 22 hasta 24 pesos. De acuerdo con David Sánchez, tortillero en el mercado La Surtidora en Pachuca, todavía no hay nada en concreto sobre subir el costo, por ahora el kilogramo con papel está en 25 pesos.</t>
  </si>
  <si>
    <t>Precios de garantía</t>
  </si>
  <si>
    <t>A nivel nacional, el precio promedio de la tortilla se mantiene en 25.64 pesos el kilo, siendo Mexicali, Baja California, la ciudad donde se vende más caro el kilo en 33.29 pesos, mientras en Xalapa, Veracruz se vende en 15.75 pesos, el nivel más bajo, de acuerdo con datos al 15 de abril del Sistema Nacional de Información e Integración de Mercados (SNIIM) de la Secretaría de Economía (SE). Tortilleros dijeron que, en la Ciudad de México, el precio se ha mantenido en 22 pesos el kilo y que hasta ahora no han sido convocados para iniciar un aumento de los precios en este producto básico. “Aún no subimos el precio porque no nos han dicho nada, pero no tarda en subir. Cuando hay aumentos de precios, hablan entre todos para fijar los costos y que no haya problemas de competencia. Las últimas veces, el kilo aumentó dos pesos”, dijo Sergio Iván, trabajador de una tortillería ubicada en la colonia Santa María La Ribera. El precio promedio de la tortilla en México es de 25.64 pesos por kilo, con un máximo de 33.29 pesos en Mexicali y un mínimo de 15.75 en Xalapa, según el SNIIM Los datos del Instituto Nacional de Estadística y Geografía (Inegi) también muestran que la inflación de la tortilla está por debajo del promedio nacional, que al cierre de marzo fue de 4.59 por ciento. Juan Mendiola, propietario de una tortillería en la zona oriente de la capital, asegura que un incremento sería lo más viable para poder sostener su negocio durante los próximos meses. “Un aumento de dos pesos sería lo justo para poder seguir trabajando sin sacrificar calidad ni operar con pérdidas”.</t>
  </si>
  <si>
    <t>Autoridades de Tulancingo y líderes de comerciantes acordaron nuevas medidas obligatorias para reforzar la seguridad y el orden en los tianguis del municipio, luego de un accidente reciente que evidenció fallas en el cumplimiento de normas básicas. Durante la reunión de trabajo, se reconoció que este tipo de incidentes deriva de omisiones en medidas de seguridad, lo que pone en riesgo tanto a vendedores como a clientes. Por ello, representantes de distintos tianguis coincidieron en la urgencia de mejorar la organización interna y respetar la normatividad vigente.</t>
  </si>
  <si>
    <t>Refuerzo de seguridad</t>
  </si>
  <si>
    <t>Locutor Jesús Riveros da lectura a comentario de radioescucha que pregunta, qué paso con los verificentros, uno agenda cita a una hora especifica y cuando acude a realizar el trámite hay unas filas enormes; de qué sirve entonces, que se agende cita. Locutor Jesús Riveros responde, que efectivamente es un desastre en los verificentros, si bien se agendan las citas, los verificentros van retrasados con el trámite y se va acumulando el número de vehículos.</t>
  </si>
  <si>
    <t>Locutor Jesús Riveros da lectura a comentario de radioescucha que pregunta si va a subir la tarifa al transporte público, a partir de cuándo y cuánto subirá; Jesús Riveros responde, que el gobernador comentó hace unos días, que en efecto, en lo que resta de este mes se estaría confirmando el precio a la tarifa del transporte público que va a oscilar entre los 2.00 y los 2.50 pesos, no es oficial, pero es algo que los transportistas esperan. Habrá que esperar el anuncio oficial y ya lo estaremos comentando con la titular de la Semot.</t>
  </si>
  <si>
    <t>Este jueves 16 de abril, un fuerte estruendo seguido de una enorme nube de humo por un incendio fue registrado al interior de la Refinería Miguel Hidalgo, ubicada en Tula de Allende. El incidente, que presuntamente ocurrió en uno de los calentadores del área HDR o Hidros, ha causado una intensa movilización de cuerpos de emergencia y preocupación entre los habitantes de la región. Una columna de humo negro, visible desde diferentes puntos de Tula de Allende y municipios cercanos, ha generado alarma en la población. La Subsecretaría de Protección Civil y Gestión de Riesgos informó que, tras el incidente registrado en la Refinería Miguel Hidalgo de Tula de Allende, se activaron de manera oportuna los protocolos internos de atención a emergencias establecidos por la misma instalación. De acuerdo con las autoridades, la situación está actualmente bajo control y no representa un peligro para la población de Tula de Allende ni para las zonas aledañas. El personal especializado de la refinería, junto con las instancias de emergencia locales y regionales, continúa trabajando en la contención total de los efectos del incidente. Se hace un llamado a la ciudadanía para que mantenga la calma, evite la propagación de rumores y se informe únicamente a través de los medios oficiales y las autoridades competentes.</t>
  </si>
  <si>
    <t>Incendio refinería</t>
  </si>
  <si>
    <t>Nuevamente el municipio de Ixmiquilpan se posiciona como los municipios más visitados durante la pasada temporada vacacional de Semana Santa, además de Tecozautla, Huasca de Ocampo, Mineral del Monte, Mineral del Chico, Villa de Tezontepec, Acaxochitlán, Atotonilco el Grande y Tulancingo, informó la secretaria de Turismo, Elizabeth Quintanar.</t>
  </si>
  <si>
    <t>Las y los legisladores Tania Eréndira Meza Escorza, Yarabi González Martínez, Julián Nochebuena Hernández, Diana Rangel Zúñiga y José Luis Rodríguez Higareda (Morena) detallaron la iniciativa que reforma la Ley para la Prevención, Atención y Erradicación de Violencia Escolar en el Estado de Hidalgo, con la finalidad de especificar la mediación escolar como mecanismo de atención temprana, solución pacífica de conflictos y fortalecimiento de la convivencia armónica en las instituciones educativas públicas y privadas.</t>
  </si>
  <si>
    <t>En sesión ordinaria, diputadas y diputados integrantes de la LXVI Legislatura avalaron con 20 votos a favor, cero en contra y cero abstenciones, el dictamen que aprueba con modificaciones las iniciativas que reforman la Ley de Educación del Estado de Hidalgo, promovido por diputadas y diputados, emitido por la primera Comisión Permanente de Legislación y Puntos Constitucionales.</t>
  </si>
  <si>
    <t>Boletín: “Ciudad Policía” impulsa la cultura de la prevención y la legalidad en niñas y niños del Valle del Mezquital</t>
  </si>
  <si>
    <t>Prevención del delito</t>
  </si>
  <si>
    <t>Boletín: Gobierno de Hidalgo acerca atención directa a familias migrantes</t>
  </si>
  <si>
    <t>Boletín: Inicia en Tepetitlán cuarta etapa de “Esferas de vida”</t>
  </si>
  <si>
    <t>Reforestación</t>
  </si>
  <si>
    <t>Boletín: Refuerzan acciones de salud pública en Hidalgo ante el Mundial FIFA 2026</t>
  </si>
  <si>
    <t>Boletín 38: Reconstrucción de la carretera estatal Ajacuba–San Agustín Tlaxiaca fortalece la conectividad regional</t>
  </si>
  <si>
    <t>Boletín 39: Atiende gobierno de Hidalgo derrumbe en carretera estatal Tianguistengo–Yatipán</t>
  </si>
  <si>
    <t>Boletín: HR Ratings ratifica a Hidalgo con alta calificación y eleva su perspectiva de estable a positiva</t>
  </si>
  <si>
    <t>Calificación crediticia</t>
  </si>
  <si>
    <t>Boletín 264: Alianza estratégica con el sector financiero impulsa la confianza económica: Sedeco</t>
  </si>
  <si>
    <t>Reunión con banqueros</t>
  </si>
  <si>
    <t>Una fuga de hidrocarburo en el municipio de Cuautepec de Hinojosa provocó un fuerte operativo de emergencia la tarde del miércoles, luego de que se reportara un escape de combustible en la comunidad de Texcaltepec. De acuerdo con los primeros reportes, la fuga se presentó en forma de “fuente”, alcanzando una altura aproximada de nueve metros, lo que encendió las alertas entre autoridades y habitantes de la zona. El incidente se originó mientras se realizaban trabajos para reparar una toma clandestina, según informaron representantes de Petróleos Mexicanos (Pemex). Elementos de Protección Civil, Bomberos y personal de Pemex implementaron maniobras para contener la dispersión del hidrocarburo. Tras varias horas de trabajo, se logró el cierre de la toma durante la noche, aunque las labores continuarán para eliminar riesgos por acumulación de gases. En el sitio también participaron fuerzas federales y corporaciones de seguridad para resguardar el área. Debido a la cercanía del incidente con planteles educativos, autoridades determinaron la suspensión de clases en niveles preescolar y primaria como medida preventiva. La decisión busca garantizar la seguridad de estudiantes, docentes y personal educativo ante posibles riesgos derivados de la fuga.</t>
  </si>
  <si>
    <t>Un par de compañeros hombres se encontraban ingiriendo bebidas alcohólicas al interior de un taller de hojalatería en el municipio de Tlanchinol, hasta que debido a las copas en su cuerpo comenzaron a discutir y golpeó hasta la muerte a otro. De acuerdo con la narrativa preliminar dada por las autoridades, era por la noche de ayer martes 14 de abril cuando los varones estaban al interior de un inmueble que opera como establecimiento, situado a un costado sobre la carretera México-Tampico, en la salida con dirección hacia Huejutla. Se trataba de Gerardo HH y Bartolo BT, quienes si bien parecía estaban tranquilos, el primeo dicho habría reaccionado de manera violenta por un posible altercado que no hizo más que escalar y sin que nadie más pudiera intervenir, ya que se encontraban solos y a la redonda no había nadie más. La violencia con la que el primer hombre dicho actuó, fue tal, que en cuestión de minutos le arrebató la vida a su compañero de copas, quien fue dejado inconsciente al interior del taller de hojalatería referido, pues el agresor escapó y fue a la llegada de la Policía de Tlanchinol que ayudó.</t>
  </si>
  <si>
    <t>Muerte por riña</t>
  </si>
  <si>
    <t>Después de más de 15 años de rezago en el servicio de alumbrado público, el presidente municipal de Mineral de la Reforma, Eduardo Medécigo Rubio, puso en marcha acciones de renovación de luminarias en las colonias Francisco Villa, La Calera y Fraccionamiento Pradera de Virreyes, con el objetivo de mejorar la seguridad y calidad de vida de las familias. Durante el arranque de estos trabajos, el alcalde destacó que una de las prioridades de la actual administración es atender las necesidades históricas de la población, especialmente en zonas que durante años permanecieron en el abandono. “Nos encontramos en el camino que conecta La Calera con la colonia Francisco Villa, una vialidad que durante más de 15 años enfrentó la falta de luminarias y el deterioro del alumbrado público”, señaló el edil. Explicó que la falta de iluminación no solo afectaba la visibilidad en calles y avenidas, sino que también representaba un factor de inseguridad para quienes salen de madrugada a trabajar o regresan por la noche a sus hogares. Como parte de esta intervención, se realizaron 39 reemplazos de luminarias con tecnología LED en las tres colonias beneficiadas, además de la instalación de 60 nuevas lámparas en avenidas secundarias de estas zonas. Con estas acciones, se estima beneficiar de manera directa a más de 6 mil habitantes, quienes ahora contarán con espacios públicos mejor iluminados y más seguros. La modernización del sistema de alumbrado público también permitirá una reducción en costos de energía eléctrica, mayor eficiencia en el servicio y un impacto positivo al medio ambiente gracias al uso de tecnología LED. Con obras y acciones concretas, el Gobierno de la Ciudad de la Comunidad refrenda su compromiso de seguir transformando las colonias del municipio y atender demandas ciudadanas que durante años permanecieron sin respuesta.</t>
  </si>
  <si>
    <t>Colaboración Gustavo Rosales - Anunció su participación, jueves, viernes y lunes con información deportiva estatal y nacional. En ese sentido, informó sobre el abanderamiento de la selección hidalguense que estará acudiendo a la Olimpiada Nacional Conade 2026, 28 disciplinas son las que estarán compitiendo por parte de los atletas hidalguenses con más de 300 atletas. En esta oportunidad, el abanderado de la delegación hidalguense es Erick Olvera, quien dirigió un mensaje a nombre de todos sus compañeros, haciendo el compromiso de participar de la mejor manera, esperemos que los resultados a finales de junio sean mejor y que con esta administración del Prof. Óscar Pérez ya de sus frutos.</t>
  </si>
  <si>
    <t>Durante la sesión ordinaria de este martes en el Congreso del Estado de Hidalgo, la presidenta de la Mesa Directiva, diputada Paloma Barragán Santos, dio lectura a la excitativa presentada por el legislador Avelino Tovar el pasado 10 de abril. En dicho documento se solicita el dictamen de la iniciativa que busca prohibir las corridas de toros en la entidad. La excitativa fue turnada a la Comisión de Legislación y Puntos Constitucionales, la cual cuenta ahora con un plazo de diez días hábiles para emitir el dictamen correspondiente, conforme a lo establecido en la Ley Orgánica del Poder Legislativo del Estado de Hidalgo.</t>
  </si>
  <si>
    <t>Boletín 1622: Invierte Hidalgo 2 mdp en equipamiento tecnológico para la UP</t>
  </si>
  <si>
    <t>Boletín: Formalizan alianza DESCTI-CIATEQ para impulso de innovación y desarrollo tecnológico en Hidalgo</t>
  </si>
  <si>
    <t>Locutor Jesús Riveros informa que le reportan fuerte movilización por parte de elementos de la policía estatal en la colonia Francisco I. Madero en el municipio de Cuautepec, reportan que están reteniendo camionetas y tambos.</t>
  </si>
  <si>
    <t>Operativo de Seguridad</t>
  </si>
  <si>
    <t>Boletín: El laboratorio de control de calidad ha realizado casi 2 mil pruebas a obras en todo el estado</t>
  </si>
  <si>
    <t>Laboratorio de Control de Calidad</t>
  </si>
  <si>
    <t>Pobladores de la comunidad de Santa María Daxthó, en el municipio de Tepetitlán, realizaron la tarde de ayer una manifestación en las riberas de la presa Endhó, para exigir atención a los problemas ambientales que afectan la zona. Los habitantes formaron una valla humana como medida de protesta ante el crecimiento del Lirio acuático, los altos niveles de contaminación y la proliferación del mosco cúlex, situación que aseguran impacta directamente en su calidad de vida, AUDIO AFECTADOS</t>
  </si>
  <si>
    <t>La admistración y operación del Tuzobús será totalmente del gobierno estatal una vez que se renueve el par­que vehicular en mayo, garantizó el gobernador Julio Menchaca Salazar, por lo que no será necesa­rio concesionar el servicio a personas físicas o morales, tal como se hizo durante la década pasada.</t>
  </si>
  <si>
    <t>Modernizacion Tuzobús</t>
  </si>
  <si>
    <t>La Subsecretaría de Protección Civil y Gestión de Riesgos del Gobierno del Estado de Hidalgo informó que, tras lo ocurrido en instalaciones de la Refinería Miguel Hidalgo, en el municipio de Tula de Allende, se activaron de manera oportuna los protocolos internos de atención a emergencias. De acuerdo con la información disponible hasta el momento, la situación se encuentra bajo control y no representa riesgo para la población. Las instancias correspondientes continúan atentas al seguimiento del evento en coordinación con autoridades y cuerpos de atención internos de la refinería. Se exhorta a la ciudadanía a mantener la calma, informarse únicamente a través de medios oficiales y evitar la difusión de rumores.</t>
  </si>
  <si>
    <t>La alarma se encendió en Tula, parecía que algo fuerte sucedía al interior de la refinería Miguel Hidalgo de Tula, se lograba ver a través de varios puntos de municipios como Atitalaquia, Atotonilco de Tula, una humareda color negro que salía de la refinería Miguel Hidalgo, se hablaba de una explosión en Enfoque Regional somos muy responsables de lo que sucede para no causar alarma o pánico en la población. Se habló con personal de protección civil, tanto de Atitalaquia como de Tula, quienes amablemente nos dieron información y nos dijeron que hasta el momento no había ninguna indicación extraordinaria.</t>
  </si>
  <si>
    <t>COMENTARIO SOBRE TEMA CONDUCTOR: Hay que recordar que semanas anteriores de la Semana Santa pues se presentaron al menos dos bloqueos a la altura del municipio de San Salvador de la México - Laredo sobre todo para dirigirse al corredor de los balnearios y eso sin duda pues genera incertidumbre en los visitantes de elegir o no esos destinos turísticos aquí en la entidad y también pues otros bloqueos que se han presentado a lo largo y ancho de la entidad lo que pues complica un poco la toma de decisiones a la hora de elegir el destino turístico para las vacaciones de Semana Santa ojalá que estos factores no se repitan y no pues mermen el número de visitantes para las vacaciones de verano</t>
  </si>
  <si>
    <t>Radioescucha reporta falta de agua en Ferrocarril Central</t>
  </si>
  <si>
    <t>Radioescucha Sra Cristina Fernández , reporta que llevan 10 días sin agua en Ferrocarril Central, 3.ª sección Santa Julia.</t>
  </si>
  <si>
    <t>Radioescucha reporta falta de agua en colonia Valle del Palmar</t>
  </si>
  <si>
    <t>Radioescucha felicita al ayuntamiento por limpiar de ambulantes la Plaza Constitución</t>
  </si>
  <si>
    <t>Vía telefónica, Jorge Reyes presidente municipal de Pachuca, sobre todos los proyectos que se tienen en el Reloj de Pachuca, habló que ya se están empezando los trabajos , ya que se quiere embellecer de nuevo la Plaza Independencia. La intención es recuperar la grandeza de este lugar, que no sea un lugar donde no te puedas comer ni un helado, por tanto calor; por tanto, también le daremos continuidad a las jardineras, y cambiar el piso. Sobre el tema de la Plaza Constitución, ayer se entró en acción para desalojar el ambulantaje, para realizar su reubicación , hoy se empiezan ellos a trasladarse a otra explanada para que sigan con su comercio, lo que queremos es dejar este lugar en perfectas condiciones.</t>
  </si>
  <si>
    <t>Boletín : Gobierno de Hidalgo acerca atención directa a familias migrantes</t>
  </si>
  <si>
    <t>Atención A Manifestantes</t>
  </si>
  <si>
    <t>Eulalio Larrieta agradece a Edith Balderas de la Secretaria de Educación Pública</t>
  </si>
  <si>
    <t>Larrieta agradece a Jair Martínez de la SEGOBH, porque esta al pendiente de lo que se necesite y los reportes.</t>
  </si>
  <si>
    <t>¿Se acuerda usted que desde septiembre de dos mil veinticinco se hablaba del aumento al pasaje en Hidalgo se generaron rumores de que iba a subir al cierre del año o a inicios de este dos mil veintiséis no había nada claro pero ya si es una realidad así lo dijo el gobernador que será este mes de abril cuando se defina cuanto va a subir el pasaje y desde cuando se aplica.Ante el aumento del combustible y es que los precios de hidrocarburo se ha incrementado en fechas recientes por lo que operadores consideran que si debe subir el costo del pasaje. AUDIOS DE APOYO DE OPERADORES Y USUARIOS.</t>
  </si>
  <si>
    <t>El diputado Miguel Ángel Moreno dio a conocer que actualmente existen presidencias municipales con sueldos más altos que el propio gobernador, lo anterior tras la iniciativa en materia de regulación de sueldos en los 84 municipios. AUDIO APOYO.</t>
  </si>
  <si>
    <t>Austeridad</t>
  </si>
  <si>
    <t>La calificadora HR ratings ratificó la calificación HR doble A ; más para Hidalgo y elevó su perspectiva de estable a positiva al reconocer avances en disciplina financiera y fortalecimiento fiscal durante la actual administración estatal.De acuerdo con el reporte del ejercicio dos mil veinticinco la agencia destacó el factor de gobernanza como superior al señalar que la entidad supera los estándares en generación de información financiera y mantiene políticas públicas que fortalecen sus finanzas. Asimismo, resaltó el alto nivel de inversión en los ochenta y cuatro municipios, con una tendencia creciente al gasto en infraestructura hídrica, carretera, movilidad, seguridad, y urbanización. HR ratings también subrayó la reducción del endeudamiento, incluyendo el pago anticipado en dos mil veinticinco de un crédito por doscientos cuarenta y nueve millones de pesos contratado en administraciones anteriores. Con estos indicadores, Hidalgo consolida su posición financiera sólida y con perspectiva favorable. Esto de acuerdo con la evaluadora para enfoque regional, informó Joselyn Sánchez.</t>
  </si>
  <si>
    <t>Entrevista Marco Antonio Orozco, director de la Orquesta Filarmónica de Pachuca y Alicia Sanchéz corista ,con la invitación a concierto “Misa de Coronación” (KV 317) de Wolfgang Amadeus Mozart, este 22 de abril a las 18:00 horas al evento que se llevara acabo en la Parroquia Basílica de Santa María de Guadalupe. El concierto será interpretado por la Orquesta Filarmónica de Pachuca, en conjunto con el Coro de Pachuca y el Coro del Estado de Hidalgo, reuniendo a más de 50 voces en escena, recordando igual que este recinto contará con acceso gratuito al público.</t>
  </si>
  <si>
    <t>Concierto Sinfónico</t>
  </si>
  <si>
    <t>Boletín : Hidalgo impulsa modelo de partería centrado en las mujeres</t>
  </si>
  <si>
    <t>Cooperación UNFPA</t>
  </si>
  <si>
    <t>Radioescucha reporta drenaje tapado en Ampliación el Palmar , esto en avenida Rojo Gómez por la vulcanizadora rumbo a la Loma</t>
  </si>
  <si>
    <t>Un hombre identificado como Irvin N fue asesinado a balazos tras salir del Cerezo de la Lima en Jaltocán el ataque ocurrió al interior de un autobús en la central de autobuses de Pánuco donde fue agredido con arma de fuego.</t>
  </si>
  <si>
    <t>Ejecuciones</t>
  </si>
  <si>
    <t>Boletín 1622: Invierte Hidalgo 2 mdp en equipamiento tecnológico para la UPE, AUDIO APOYO</t>
  </si>
  <si>
    <t>Amigos y familiares de Iván se congregaron afuera del poder judicial del estado de Hidalgo en Pachuca para llevar a cabo una manifestación pacífica la consigna principal exigir justicia y celeridad en las investigaciones por el homicidio del joven Iván Salvador quien desapareció en Ciudad Sahagún y días después lo encontraron muerto. Durante la protesta los manifestantes portaron pancartas y exigieron a las autoridades judiciales que el caso no quede en la impunidad pidiendo que se aplique todo el peso de la ley contra quien o quienes resulten responsables de este crimen. AUDIO APOYO MANIFESTANTE.</t>
  </si>
  <si>
    <t>Familiares de Iván Salvador un joven de 24 años de edad localizado sin vida el pasado 6 de febrero en la comunidad de Tepetates, en Ciudad Sahagún, se manifestaron pacíficamente en las instalaciones de la Procuraduría General de Justicia del Estado de Hidalgo, para pedir a las autoridades avances en la investigación del caso.De acuerdo con los familiares se reportó la desaparición de Ivan el 4 de febrero y dos días después su cuerpo fue hallado en un camino de terracería con huellas de violencia por lo exigen detener a los responsables de su fallecimiento.Los manifestantes fueron atendidos por Juan Manuel Santander León, director de investigación poniente de la Procuraduría General de Justicia del Estado de Hidalgo, quien informó que la carpeta de investigación del caso ya se encuentra judicializada y presenta avances relevantes en su integración.</t>
  </si>
  <si>
    <t>Hidalgo recuperó ciento setenta empleos formales durante marzo, cifra que representa apenas siete por ciento más, luego de que en febrero se perdieron dos mil puestos laborales, destacó un comunicado del Instituto Mexicano del Seguro Social.</t>
  </si>
  <si>
    <t>Generación De Empleo</t>
  </si>
  <si>
    <t>El más reciente informe del Secretariado Ejecutivo del Sistema Nacional de Seguridad Pública que reporta una baja nacional en este delito en este contexto Hidalgo se ubica en el lugar 20 a nivel nacional un número de homicidios dolosos con 18 registrados lo que representa el 1.1% del total nacional en cuanto a la tasa de víctimas por homicidio doloso durante 2025 Hidalgo se posicionó en el lugar 21 a nivel nacional con una tasa de 9.4 cifra que refleja una incidencia menor res´pecto a otros estados</t>
  </si>
  <si>
    <t>Homicidios</t>
  </si>
  <si>
    <t>Una iniciativa de reforma al Código Electoral del Estado de Hidalgo, presentada por la diputada de Morena, Cynthia Citlali Delgado Mendoza, plantea una reconfiguración de los ayuntamientos que prevé una reducción de casi 300 regidores, seis síndicos y un ahorro económico de 266 millones de pesos.El proyecto propone disminuir el número de integrantes de los cabildos en los 84 municipios, lo que implicaría la eliminación de alrededor de 300 regidurías a nivel estatal al pasar de mil 50 a 756 y un rediseño estructural de los gobiernos municipales.</t>
  </si>
  <si>
    <t>La tarde de este miércoles fue localizado el cuerpo sin vida de una persona en avanzado estado de descomposición al interior de un arroyo seco en la comunidad de Santiago Acayutlán, en territorio del municipio de Tezontepec de Aldama, lo que provocó la movilización de cuerpos de seguridad en la zona.Pobladores de la zona fueron quienes realizaron el hallazgo. De acuerdo con el reporte policial, el hallazgo se realizó entre las piedras del cauce, donde únicamente eran visibles algunas prendas, entre ellas un cinturón y ropa interior de color negro.Debido al avanzado estado de putrefacción del cadáver, no fue posible establecer en el sitio características físicas que permitan su identificación</t>
  </si>
  <si>
    <t>Localización de cuerpo</t>
  </si>
  <si>
    <t>Una riña ocurrida en un taller de hojalatería dejó como saldo una persona sin vida y un individuo detenido, la tarde-noche del martes 14 de abril en la cabecera municipal.De acuerdo con los primeros reportes, los hechos se registraron en un inmueble ubicado a la orilla de la carretera federal México–Tampico, en la salida con dirección a Huejutla de Reyes. En ese lugar, dos hombres que presuntamente se encontraban ingiriendo bebidas alcohólicas iniciaron una discusión que derivó en una agresión física. La víctima fue identificada como Bartolo B. T., de 30 años de edad, originario de la localidad de Tlacomul, quien fue trasladado de emergencia al Hospital Ilusión por elementos de Protección Civil Municipal. Sin embargo, perdió la vida a consecuencia de una grave lesión en la cabeza.</t>
  </si>
  <si>
    <t>Boletín : Refuerzan acciones de salud pública en Hidalgo ante el Mundial FIFA 2026</t>
  </si>
  <si>
    <t>Como parte del proyecto mundial social intervención y modernización de infraestructura deportiva comunitaria rumbo al mundial FIFA 2026, impulsado por la Sedatu en coordinación con la Conade , Tula de Allende será uno de los 29 municipios beneficiados con la construcción de una cancha de fútbol 5.En la unidad deportiva ayer en la ciudad de Pachuca se llevó a cabo la firma de este importante convenio en el que participó el presidente municipal Cristian Martínez quien reafirmó el compromiso de la actual administración con el desarrollo integral del municipio. AUDIO APOYO.</t>
  </si>
  <si>
    <t>La doctora Claudia Sheinbaum, habló de Hidalgo, lo puso como ejemplo, y es que fue eh cuestionada sobre el trabajo con las comunidades. La presidenta aseveró que se trabaja de manera directa con las comunidades para todos los proyectos de energía y no se realizará nada en su contra. AUDIO DE APOYO</t>
  </si>
  <si>
    <t>Parque Ecológico Tula</t>
  </si>
  <si>
    <t>Boletín 569: “Ciudad Policía” impulsa la cultura de la prevención y la legalidad en niñas y niños del Valle del Mezquital</t>
  </si>
  <si>
    <t>Sobre el boletín de prevención del delito en Ixmiquilpan, comenta conductor Eulalio Larrieta: “Para en lo personal tendria que ser para todo el estado de Hidalgo, no solo para Ixmiquilpan”</t>
  </si>
  <si>
    <t>Boletín : Inicia en Tepetitlán cuarta etapa de “Esferas de vida”</t>
  </si>
  <si>
    <t>Boletín 38 : Reconstrucción de la carretera estatal Ajacuba–San Agustín Tlaxiaca fortalece la conectividad regional</t>
  </si>
  <si>
    <t>Reloj De Pachuca</t>
  </si>
  <si>
    <t>Con el objetivo de prevenir situaciones de riesgo y fortalecer la toma de decisiones informadas, se realizan jornadas informativas en diversas comunidades del municipio de Tianguistengo, dirigidas a familias asentadas en zonas vulnerables, el Gobernador informó que servidores públicos con notario público ya entregan notificaciones de reubicación en comunidades de Tianguistengo, donde fueron declaradas inhabitables tras la vaguada monzónica de octubre de dos mil veinticinco. Así lo dijo el gobernador de Hidalgo, Julio Menchaca Salazar. AUDIO APOYO ENTREVISTA.</t>
  </si>
  <si>
    <t>Personal de la Secretaría de Salud de Hidalgo apoyará las labores de credencialización de salud que realiza la delegación de bienestar en el estado, afuera de las clínicas y en distintos municipios, así lo informó la titular de la Secretaría Vanesa Escalante.</t>
  </si>
  <si>
    <t>Salud universal</t>
  </si>
  <si>
    <t>Radioescucha Sr. Juan reporta que los semáforos de Prismas y Nuevo Hidalgo con dirección a Tulipanes, ya que no funcionan bien</t>
  </si>
  <si>
    <t>Radioescucha reporta que los semáforos de San Javier no funcionan</t>
  </si>
  <si>
    <t>Radioescucha reporta que los semáforos de San Javier y Colosio no funcionan completamente y eso puede ocasionar un gran accidente.</t>
  </si>
  <si>
    <t>El alcalde de Pachuca informó sobre la corrida de toros programada para este sábado 18 de abril en la plaza de toros Vicente Segura, la cual hasta ese momento no contaba con los permisos correspondientes por parte de la dirección de reglamentos y espectáculos de ese municipio, Pachuca. Hoy el escenario ha evolucionado en medio del debate público en torno a la tauromaquia. Incluso el diputado Abelino Tobar Iglesias ha replanteado su postura inicial que contempla la prohibición de las corridas de toros.La autoridad municipal dio luz verde a la corrida de toros programada, el director de reglamentos y espectáculos del municipio de Pachuca confirmó que el permiso fue otorgado tras la revisión de la solicitud presentada por los organizadores, quienes según la autoridad cumplieron con los requisitos establecidos.</t>
  </si>
  <si>
    <t>Siguiendo en este mismo tenor, ante las inconformidades presentadas por defensores de los derechos de los animales que se oponen a las corridas de toros, el diputado Andrés Velázquez informó que buscan tomar en cuenta a todas las partes involucradas. Toda vez que la comunidad taurina pide una consulta popular indígena, pues existen localidades en Hidalgo en donde la fiesta brava está presente.</t>
  </si>
  <si>
    <t>Hay que comentar que Caxuxi es, una de las comunidades donde está más arraigada esta fiesta taurina. De hecho, desde el año pasado han realizado diversas convocatorias, conferencias, informativas, diálogo con los ciudadanos de esa región para informar y compartir su apego a las corridas de toros. Participaron ganaderos, toreros, peñas y aficionados en esta convocatoria quienes señalaron que esta movilización busca destacar que la tauromaquia es una expresión cultural histórica y de tradición.El llamado ocurre mientras en Pachuca continúa la discusión sobre la realización de las corridas ya que autoridades municipales han informado que hasta el momento no se han otorgado permisos, lo que mantiene posturas divididas entre distintos sectores de la sociedad. AUDIO DE APYO MANIFESTANTES</t>
  </si>
  <si>
    <t>Para proteger la salud de niñas y niños y prevenir enfermedades, el DIF Pachuca, en coordinación con IMSS Bienestar, anunció la instalación de un macro centro de vacunación contra el sarampión para proteger la salud de la niñez. La jornada se llevará a cabo el jueves 16 de abril, de 9:00 a 14:00 horas, en las instalaciones del DIF Municipal, ubicadas en Parque Hidalgo, en la colonia Centro.Durante esta campaña se aplicará la dosis cero a bebés de 6 a 11 meses, se completarán esquemas para menores de 12 y 18 meses, y también se iniciará o reforzará la vacunación en niñas y niños de 1 a 9 años.</t>
  </si>
  <si>
    <t>Una niña de cuatro años, identificada como Aitanna Ramos Castro, fue reportada como víctima de una presunta sustracción parental ocurrida el 13 de abril de 2026 en Tizayuca. De acuerdo con la información difundida por la organización que apoya en la localización de personas desaparecidas, la menor fue vista por última vez en la Primera Privada del Campanario, en el Rancho Don Antonio. Según el reporte, una persona acudió al domicilio de la niña y no la regresó, por lo que se desconoce su paradero desde entonces. Al momento de su desaparición, Aitanna vestía un short con dibujos, blusa color palo de rosa con estampado de Hello Kitty y tenis blancos con rosa. La ficha señala que la menor no presenta señas particulares y describe características generales como complexión delgada, tez blanca y cabello rubio chino. Piden a la ciudadanía proporcionar cualquier información que pueda ayudar en su localización, las llamadas serán atendidas de manera anónima al número 7711278592.</t>
  </si>
  <si>
    <t>Ficha de búsqueda</t>
  </si>
  <si>
    <t>Un Tribunal de Enjuiciamiento dictó sentencia condenatoria contra Elías San Juan Sánchez, expresidente municipal de Yahualica, por los delitos de peculado agravado y uso ilícito de atribuciones y facultades agravado, en perjuicio de la administración pública del municipio que gobernó. La audiencia que duró más de siete horas se desarrolló bajo el expediente Juicio Oral 185/2024. El Tribunal estuvo integrado por la jueza presidenta Diana Villarreal Quintero, el juez relator José Luis Crespo García y el tercer integrante Miguel Ángel Galindo Nájera; sin embargo, el asunto se regresó a la etapa intermedia debido a que el acusado accedió a un procedimiento abreviado, ello mediante control difuso. En este contexto, fue el juez relator quien emitió la resolución. Como resultado, Elías San Juan Sánchez fue condenado a 13 años y seis meses de prisión, además de una multa de 500 Unidades de Medida y Actualización (UMA), equivalente a 48 mil 110 pesos. Asimismo, se ordenó como parte de la reparación del daño la emisión de una disculpa pública y el compromiso de no repetición. También se determinó la suspensión de sus derechos políticos y civiles. El tribunal dispensó la lectura y explicación íntegra de la sentencia al concluir la audiencia. Este fallo se suma a una serie de resoluciones recientes en Hidalgo contra exservidores públicos por delitos relacionados con el manejo indebido de recursos públicos, denominado Estafa Siniestra, que consistió en qué se le asignaba recursos extraordinarios a un ayuntamiento y éste lo asignaba de manera directa a supuestas empresas fantasma. De ese asunto se ha sentenciado a Martiniano Vega Orozco, exoficial mayor, a 12 años de prisión por peculado, además de una reparación del daño superior a los 14 millones de pesos. Felipe Juárez Ramírez, exalcalde de Huautla, condenado a 10 años de prisión por peculado agravado y uso ilícito de facultades. Fidel Arce Santander, exalcalde de Epazoyucan, quien recibió una pena de 8 años de prisión por delitos similares.</t>
  </si>
  <si>
    <t>Detención Diputado</t>
  </si>
  <si>
    <t>Locutor Jesús Riveros informa que, en este momento se realiza la “Jornada por la paz” en el Jardín La Floresta de Tulancingo, evento encabezado por el secretario Guillermo Olivares y diversas autoridades como, Lorena García, presidenta municipal de Tulancingo; esta dinámica que ha servido de mucho, porque las personas tienen la posibilidad de exponer sus casos frente a las autoridades, con ese compromiso de darle surgimiento y acompañamiento</t>
  </si>
  <si>
    <t>Jornada por la paz</t>
  </si>
  <si>
    <t>Boletín: Apoya gobierno de Julio Menchaca a personas investigadoras a través del “Fondo Hidalgo, Ciencia y Tecnología”</t>
  </si>
  <si>
    <t>Becas De Posgrado</t>
  </si>
  <si>
    <t>Boletín: Respuesta oportuna de la SSPH permite auxiliar a mujer embarazada en la México–Pachuca</t>
  </si>
  <si>
    <t>Boletín: Refuerzan atención a casos de violencia de género en Huichapan</t>
  </si>
  <si>
    <t>Boletín 635: OSEH abre audiciones para integrar nuevos talentos a su plantilla artística</t>
  </si>
  <si>
    <t>Orquesta Sinfónica</t>
  </si>
  <si>
    <t>Boletín 570: Auxiliares funcionales mejoran la vida a personas mayores</t>
  </si>
  <si>
    <t>Ayudas funcionales</t>
  </si>
  <si>
    <t>Boletín: Hidalgo impulsa modelo de partería centrado en las mujeres</t>
  </si>
  <si>
    <t>Boletín: Alerta sobre perfil falso que suplanta la identidad de Miguel Tello</t>
  </si>
  <si>
    <t>Alerta De Fraude</t>
  </si>
  <si>
    <t>Boletín 716: Caen 5 presuntos narcomenudistas en Pachuca, tras operativo de la SSPH</t>
  </si>
  <si>
    <t>Boletín: Secretaría de Salud llevará jornada médica integral a Yolotepec, en Santiago de Anaya</t>
  </si>
  <si>
    <t>Jornada de salud</t>
  </si>
  <si>
    <t>Boletín 101: Fortalecen medidas sanitarias rumbo a la Expo Feria La Ganadera Hidalgo 2026</t>
  </si>
  <si>
    <t>Supervisión sanitaria</t>
  </si>
  <si>
    <t>Petróleos Mexicanos (Pemex) aclaró este 16 de abril que no se registró incendio en la refinería de Tula, tras versiones que circularon en redes sociales. En sus redes sociales, la empresa estatal asegura que ocurrió “un incidente menor con presencia de humo” en la Planta Hidrodesulfuradora de la refinería de Tula, donde personal actuó de forma inmediata. La paraestatal reportó que no hay personas lesionadas ni se detectan daños en las instalaciones. De acuerdo con Pemex, la refinería continúa en operación y cumple con sus programas de producción habituales.</t>
  </si>
  <si>
    <t>Incendio en Refinería</t>
  </si>
  <si>
    <t>Con un total de 90 cámaras instaladas en puntos estratégicos del municipio y conectadas al C5i estatal, el municipio de Acaxochitlán modernizó su C2 para contar con una mejor vigilancia. El presidente municipal, Ricardo Perea Gómez, gestionó la transformación del espacio de monitoreo Centro de Comando y Control (C2), una acción estratégica que fortalece la seguridad en el municipio mediante la incorporación de tecnología de última generación. El alcalde reconoció el respaldo del gobierno estatal encabezado por Julio Menchaca Salazar, destacando que la coordinación institucional ha sido clave para avanzar en materia de seguridad pública. Como parte de esta intervención, se realizó la renovación integral del sistema de videovigilancia, incluyendo circuito cerrado y la modernización de cámaras, alcanzando un total de 90 cámaras instaladas en puntos estratégicos del municipio, todos conectados al sistema estatal C5i. Esta red permitirá mejorar la supervisión, ampliar la cobertura y agilizar la atención ante situaciones de riesgo. Ricardo Perea Gómez subrayó que esta inversión representa un paso firme hacia un municipio más fuerte, preparado y seguro, al incrementar la capacidad de respuesta de las corporaciones de seguridad. Asimismo, enfatizó que contar con mejores herramientas tecnológicas permite proteger de manera más eficiente a la población. Los recursos destinados a estas acciones provienen del Fondo de Aportaciones para el Fortalecimiento de los Municipios (FORTAMUN), con aportaciones estatales y federales, el cual también ha permitido la adquisición de equipo complementario como computadoras para la conexión a Plataforma México, uniformes para elementos de seguridad y, durante este año, la incorporación de una nueva patrulla.</t>
  </si>
  <si>
    <t>Al menos tres personas perdieron la vida en el percance vial ocurrido esta tarde sobre el libramiento Pitula-San Alejo, de la autopista México-Tuxpan, que involucró a un tractocamión con doble remolque y dos vehículos compactos. Este accidente se presentó en el kilómetro 87 de la transitada vialidad, a la altura de Huajomulco, comunidad del municipio Tulancingo. De acuerdo con los primeros reportes, el tractocamión presuntamente invadió ambos carriles e impactó a dos automóviles de las marcas Chevy y Tiida. Al lugar arribaron elementos de la dirección de Bomberos y Protección Civil de Tulancingo, al mando del titular, Jesús García Ávila, quien confirmó el deceso de tres masculinos, dos de los cuales tripulaban el vehículo Tiida, mientras que el otro aparentemente conducía el Chevy. El jefe vulcano dio a conocer que también trasladaron para su atención hospitalaria a un varón que resultó con múltiples lesiones en este percance.</t>
  </si>
  <si>
    <t>Accidente Carretero</t>
  </si>
  <si>
    <t>Boletín: En operación nueva línea de alcantarillado sanitario en Pachuca</t>
  </si>
  <si>
    <t>Alcantarillado</t>
  </si>
  <si>
    <t>Boletín 40: Abrirá SIPDUS en este mes la avenida Tezontle, en la colonia Venta Prieta de Pachuca</t>
  </si>
  <si>
    <t>Al menos dos elementos adscritos a la Dirección de Seguridad Pública Municipal de Santiago de Anaya se vieron involucrados en un altercado vial en la comunidad de González Ortega. El incidente generó una movilización y el descontento de los testigos que presenciaron los hechos. La principal queja de los pobladores radicó en que los uniformados se encontraban en presunto estado de ebriedad al momento de un incidente. AUDIO DE APOYO</t>
  </si>
  <si>
    <t>Policía ebrio</t>
  </si>
  <si>
    <t>La madrugada de este viernes, entre las 2:00 y 3:00 horas, un joven de apenas 18 años de edad, originario de la comunidad indígena de San Ildefonso en Tepeji del Río, perdió la vida tras sufrir un accidente en la motocicleta que tripulaba.De acuerdo con información oficial, el percance ocurrió sobre la avenida del Trabajo, a la altura del Cobaeh de la localidad. Presuntamente, el fallecido acudió a la zona con el objetivo de participar en “arrancones” de motocicleta, momento en el cual cayó de la unidad que pilotaba.</t>
  </si>
  <si>
    <t>Accidente vial</t>
  </si>
  <si>
    <t>Autoridades federales intervienen en el conflicto interno que enfrenta el ejido de Melchor Ocampo, ubicado en Tepeji del Río , donde los grupos de ejidatarios mantienen una disputa por el control de la representación. La delegación en Hidalgo de la Procuraduría Agraria asumió un papel de mediación para reducir tensiones; además del conflicto, esta busca evitar afectaciones a la obra México-Querétaro.</t>
  </si>
  <si>
    <t>Conflicto agrario</t>
  </si>
  <si>
    <t>Comenta el conductor Jesús González que el lirio acuático no solo se presenta en la presa Endhó, también en presa en Alfajayucan y hoy confirman en el Río Tepeji; esto enciende las alertas en el flujo de agua, reducir los niveles de oxígeno y alterar el equilibrio ecológico del afluente, este escenario se suma el riesgo sanitario, eso mencionaron un grupo de regidores de Tepeji del Río. Quienes plantearon la necesidad de intervenir de manera inmediata mediante acciones coordinadas entre los 3 niveles de gobierno, para el control y retiro del lirio acuático. AUDIO APOYO</t>
  </si>
  <si>
    <t>Control lirio acuático</t>
  </si>
  <si>
    <t>Información de Nadime Ashane. El gobierno de México, a través de la Secretaría de Medio Ambiente y Recursos Naturales, convocó a comunidades indígenas de distintos municipios del estado a participar en las asambleas generales comunitarias como parte del proceso de consulta sobre el programa de restauración ecológica en la zona de influencia de la presa Endhó. La invitación está dirigida a habitantes de comunidades del municipio de Tepetitlán, Tula de Allende y Tezontepec de Aldama. Este proceso busca garantizar la participación directa de los pueblos indígenas en decisiones relacionadas con la restauración ambiental de la región.</t>
  </si>
  <si>
    <t>Consulta Indígena</t>
  </si>
  <si>
    <t>Como parte del Proyecto Mundial Social: Intervención y Modernización de Infraestructura Deportiva Comunitaria rumbo al Mundial FIFA 2026, impulsado por la SEDATU en coordinación con la CONADE, el municipio de Tula de Allende será uno de los 29 municipios beneficiados con la construcción de una cancha de fútbol 5 en la unidad deportiva.Este día, en la ciudad de Pachuca, se llevó a cabo la firma de este importante convenio, donde participó el presidente municipal Cristhian Martínez, quien reiteró el compromiso de la administración municipal con el desarrollo integral y el impulso al deporte en el municipio. AUDIO APOYO</t>
  </si>
  <si>
    <t>Boletín 1624: Mundial Social llega a Hidalgo con impulso a infraestructura deportiva comunitaria ,AUDIO APOYO</t>
  </si>
  <si>
    <t>La Unidad de Planeación y Prospectiva detectó un perfil falso en redes sociales que suplanta la identidad de su titular, Miguel Ángel Tello Vargas, con el fin de difundir engaños sobre supuestos negocios</t>
  </si>
  <si>
    <t>Piden apoyo para localizar a Felipe Sánchez Huitron de 40 años de edad, quien desaparecido en Nopala Hidalgo desde el 15 de diciembre 2025, dan lectura a su ficha de búsqueda</t>
  </si>
  <si>
    <t>Búsqueda de personas</t>
  </si>
  <si>
    <t>Boletín : Refuerzan atención a casos de violencia de género en Huichapan</t>
  </si>
  <si>
    <t>Boletín: Impulsa Gobierno de Hidalgo espacios de inclusión a través del arte en Tulancingo</t>
  </si>
  <si>
    <t>Inclusión</t>
  </si>
  <si>
    <t>Boletín:Auxiliares funcionales mejoran la vida a personas mayores</t>
  </si>
  <si>
    <t>Boletín:Refuerzan atención a casos de violencia de género en Huichapan</t>
  </si>
  <si>
    <t>Boletín 570:Auxiliares funcionales mejoran la vida a personas mayores</t>
  </si>
  <si>
    <t>Al menos dos elementos adscritos a la Dirección de Seguridad Pública Municipal de Santiago de Anaya se vieron involucrados en un altercado vial en la comunidad de González Ortega. El incidente generó una movilización y el descontento de los testigos que presenciaron los hechos. La principal queja de los pobladores radicó en que los uniformados se encontraban en presunto estado de ebriedad al momento de un incidente. AUDIO DE APOYO DE ALEGATO.</t>
  </si>
  <si>
    <t>Las y los derechohabientes de Infonavit, en la región Tula-Tepeji, tienen una nueva oportunidad para acceder a una vivienda del Bienestar. Este domingo, 19 de abril, el próximo domingo se abrirá, por última vez, el registro al Programa Vivienda para el Bienestar en el Centro de Servicio Infonavit Tula, dirigido a personas trabajadoras de municipios como Ajacuba, Atitalaquia, Atotonilco de Tula, Tetepango, Tepeji del Río, Tepetitlán, Tezontepec, Tlahuelilpan, Tlaxcoapan y Tula.</t>
  </si>
  <si>
    <t>Plan Nacional De Vivienda</t>
  </si>
  <si>
    <t>Comunicación vía telefónica a la Presidenta Municipal Tepetitlán, la licenciada Ana Elsa Castillo, Consultas Médicas gratuitas en el municipio. Hoy inician en la Casa de Salud de Xhiti primera Sección. Las jornadas se extenderán a lo largo y ancho del municipio. Estas consultas serán todos los días y serán itinerantes. Se van a emitir ahorita el calendario para que la gente pueda estar en comunicación o en conocimiento a través de los delegados. De igual forma, por cierto, la siguiente semana iniciamos campaña de vacunación Felina y Canina y de igual forma pues vamos a estar tocando todas las comunidades para poder generar este tipo de cuestiones que hoy también el gobierno municipal asume y con mucha responsabilidad. Entonces se va a emitir el calendario para que la gente sepa qué día le toca estar al médico en la comunidad.</t>
  </si>
  <si>
    <t>¿Qué dijo la alcaldía? En un comunicado oficial señaló derivado de los hechos en los que se vieron involucrados elementos de la Corporación de Seguridad Pública y Tránsito Municipal de este municipio, quienes, aunque portaban un uniforme, no se encontraban en servicio. Informaron que se activaron de manera inmediata los protocolos correspondientes. Este gobierno municipal condena enérgicamente cualquier conducta que contravenga la ley y los principios del servicio público. Por ello, se han iniciado los procedimientos necesarios para que los responsables sean sancionados conforme a derecho, sin excepción alguna.</t>
  </si>
  <si>
    <t>En otros temas, autoridades suspendieron clases en nivel preescolar y primaria en la comunidad de Texcaltepec, municipio de Cuautepec de Hinojosa, tras una fuga de hidrocarburo que generó riesgos para la población. El incidente se registró la tarde del miércoles 15 de abril, cuando una fuga tipo fuente de aproximadamente 9 metros de altura movilizó cuerpos de emergencia y fuerzas de seguridad.Personal de Pemex informó que la fuga se originó durante la reparación de una toma clandestina, provocando la expulsión violenta del combustible. Tras maniobras de contención, la toma fue cerrada. Sin embargo, continuaron los trabajos hasta el día jueves para la disipación de gases y la inhabilitación total de la conexión ilegal.</t>
  </si>
  <si>
    <t>Boletín 101: Fortalecen medidas sanitarias rumbo a la Expo Feria La Ganadera Hidalgo 2026, AUDIO DE APOYO</t>
  </si>
  <si>
    <t>COMENTARIO LOCUTOR Hay que recordar que la Secretaría de Turismo señaló que, pues, los bloqueos, las lluvias fueron factores importantes para que, pues, las cifras en cuanto a visitantes y derrama económica no se superara en este 2026. Y también hay que decirlo, generalmente las personas que visitan el Estado, los turistas que visitan Hidalgo, pues vienen de las entidades que están exentas de este pase turístico. Recibimos gente del Estado de México, de Ciudad de México, de Puebla, de Tlaxcala, de Querétaro, que eligen al Estado de Hidalgo como destino turístico.</t>
  </si>
  <si>
    <t>Afluencia Turística</t>
  </si>
  <si>
    <t>En la capital hidalguense, el pase turístico en Hidalgo se implementó oficialmente desde julio de 2025. Esta norma permite transitar en la entidad sin ser multado por autoridades ambientales. Las entidades exentas de este permiso son Ciudad de México, Puebla, Estado de México, Morelos, Tlaxcala y Querétaro. Actualmente se encuentra en una fase de concientización en materia turística. Se busca que esta disposición no afecte la derrama económica de nuestro estado, destacó Liz Quintanar, secretaria de Turismo de Hidalgo. AUDIO DE APOYO</t>
  </si>
  <si>
    <t>Pase turístico</t>
  </si>
  <si>
    <t>El gobernador de Hidalgo, Julio Menchaca Salazar, advirtió que no se permitirá la invasión del carril exclusivo del Tuzobús, señaló que pues esta práctica ha provocado accidentes, incluso fatales, por lo que habrá mano dura. Indicó que el problema tiene su origen en decisiones de la administración pasada, aunque reconoció la inconformidad de los automovilistas. AUDIO APOYO ENTREVISTA JMS</t>
  </si>
  <si>
    <t>Carril confinado</t>
  </si>
  <si>
    <t>La Subsecretaría de Protección Civil y Gestión de Riesgos Estatal reiteró que no se reportan personas lesionadas ni daños estructurales que comprometan la continuidad de la producción en el complejo. Este incidente surge apenas una semana después de registrarse otro evento similar en el mismo complejo industrial. Pese al incidente, la refinería mantiene sus operaciones de producción, mientras las autoridades estatales vigilan el perímetro para descartar daños estructurales</t>
  </si>
  <si>
    <t>Incendio en refinería</t>
  </si>
  <si>
    <t>El gobernador de Hidalgo, Julio Menchaca Salazar, validó la alerta al informar que se activaron los protocolos de atención a emergencias. Informes de cuerpos de auxilio indicaron que el estruendo provino de un compresor de la planta HDR catalítica. Detalle que la administración de la refinería omitió en su reporte oficial.</t>
  </si>
  <si>
    <t>Indencio en Refinería</t>
  </si>
  <si>
    <t>Al respecto, Petróleos Mexicanos negó cualquier explosión o incendio en las instalaciones al asegurar que sólo se registró presencia de humo ahí en la planta. Únicamente humo negro, como todos los días, pero empezaron a surgir vídeos en redes sociales donde pues la situación se veía un poco más grave. Falso que hubo incendio en la refinería de Tula, se registró un incidente menor, el cual fue atendido de manera inmediata, así apuntó en un comunicado de Petróleos Mexicanos.</t>
  </si>
  <si>
    <t>La Subsecretaría de Protección Civil y el gobierno de Hidalgo confirmaron la activación de protocolos de emergencia por un incidente en la refinería de Tula Miguel Hidalgo, mientras Petróleos Mexicanos minimizó el hecho a calificarlo como un evento intrascendente. Los vídeos dicen lo contrario. La movilización de brigadas internas y el despliegue de seguridad estatal ocurrieron tras reportes ciudadanos sobre un fuerte estruendo, llamas y una densa columna de humo negro visible desde distintos puntos del municipio</t>
  </si>
  <si>
    <t>Radioescucha Sra Cristina Fernández , reporta que sigue sin agua en Ferrocarril Central en Santa Julia</t>
  </si>
  <si>
    <t>Radioescucha reporta falta de agua en Ferrocarril Central de lado de San Cayetano</t>
  </si>
  <si>
    <t>Radioescucha reporta que no cae agua en colonia Valle del Palmar</t>
  </si>
  <si>
    <t>Radioescucha agradece al presidente municipal de Pachuca, por quitar a los ambulantes en Plaza Constitución</t>
  </si>
  <si>
    <t>Participación semanal Maestro Julio Valera Piedras, titular de la Sedatu en Hidalgo, con el tema Instalación del comité estatal de obras comunitarias, comentó que es un esfuerzo impulsado por el gobierno de México encabezado por la presidenta Claudia Sheinbaum que busca dejar un legado en todo el país, lo que se pretende es que en cada comunidad existan espacios dignos, seguros y accesibles donde las personas puedan convivir, hacer deporte y fortalecer el tejido social. Este programa contempla la intervención de 1200 canchas en todo el país. En Hidalgo estarán realizando 38 acciones en distintos municipios del estado.</t>
  </si>
  <si>
    <t>El presidente municipal de Mineral de la Reforma, Eduardo Medécigo Rubio, puso en marcha acciones de renovación de luminarias en las colonias Francisco Villa, La Calera y Pradera de Virreyes.Durante el arranque, el alcalde destacó que una prioridad es atender necesidades históricas en zonas que permanecieron en el abandono.</t>
  </si>
  <si>
    <t>Congreso de Hidalgo avala reforma educativa para enseñar primeros auxilios y fortalecer valores cívicos en estudiantes .En sesión ordinaria, diputadas y diputados integrantes de la LXVI Legislatura avalaron con 20 votos a favor, cero en contra y cero abstenciones, el dictamen que aprueba con modificaciones las iniciativas que reforman la Ley de Educación del Estado de Hidalgo, promovido por diputadas y diputados, emitido por la primera Comisión Permanente de Legislación y Puntos Constitucionales.</t>
  </si>
  <si>
    <t>Luego de la alarma generada por una supuesta explosión e incendio en la refinería de Tula, autoridades de Petróleos Mexicanos (Pemex) aclararon que no se trató de un siniestro mayor, sino de un incidente menor con presencia de humo.La empresa informó que el evento ocurrió en la Planta Hidrodesulfuradora de la Refinería Miguel Hidalgo, ubicada en Tula de Allende, y fue atendido de forma inmediata por personal interno.</t>
  </si>
  <si>
    <t>Como parte de la estrategia para transformar la infraestructura urbana y garantizar servicios básicos eficientes en la entidad, la Secretaría de Infraestructura Pública y Desarrollo Urbano Sostenible (SIPDUS), informó sobre el avance que se registran en los trabajos de reconstrucción con pavimento hidráulico de la avenida del Tezontle de la colonia Venta Prieta, en Pachuca. El titular de la dependencia Alejandro Sánchez García explicó que las labores consistieron en la pavimentación con concreto hidráulico MR45 de 20 centímetros de espesor, con una vida útil de aproximadamente 25 años; asimismo, previo al colado de la superficie, se realizó una sustitución de la antigua tubería de asbesto cemento por PVC clase 500 de 20 pulgadas, y la renovación de la red de drenaje sanitario con tubería de polietileno de 18 pulgadas, lo que contribuirá a un suministro de agua eficiente para las colonias aledañas y un desalojo de las aguas residuales sin filtraciones.</t>
  </si>
  <si>
    <t>El día de ayer la selección hidalguense de Breaking, que es una forma de deporte baile que mezcla la danza urbana con un notable atletismo, abrió la actividad en la Olimpiada Nacional CONADE 2026. Los bailarines demostraron su talento en la modalidad uno contra uno, llevando el ritmo, la energía y el orgullo de Hidalgo hasta Puebla.</t>
  </si>
  <si>
    <t>“Ciudad Policía” impulsa la cultura de la prevención y la legalidad en niñas y niños del Valle del Mezquital</t>
  </si>
  <si>
    <t>Reconstrucción de la carretera estatal Ajacuba–San Agustín Tlaxiaca fortalece la conectividad regional</t>
  </si>
  <si>
    <t>Inicia en Tepetitlán cuarta etapa de “Esferas de vida”</t>
  </si>
  <si>
    <t>Reconocen a ITESHU por su cuerpo académico en consolidación</t>
  </si>
  <si>
    <t>Alianza estratégica con el sector financiero impulsa la confianza económica: Sedeco</t>
  </si>
  <si>
    <t>Formalizan alianza DESCTI-CIATEQ para impulso de innovación y desarrollo tecnológico en Hidalgo</t>
  </si>
  <si>
    <t>Una explosión e incendio se registró la tarde de este jueves en un compresor de la planta hidrodesulfuradora Catalítica II de la refinería Miguel Hidalgo aquí en Tula. El fuego y una enorme columna de humo negro fue visible a varios kilómetros de distancia, lo que provocó alarma entre la población y los cuerpos de emergencia locales, mientras que vecinos de la comunidad del Llano, segunda sección, que viven a unos 500 metros de distancia del complejo petrolero, reportaron alarmados el incidente al número de emergencias 911. En un comunicado oficial la Empresa Productiva del Estado, negó alguna situación crítica al interior de las instalaciones de la refinería y minimizó el hecho, calificándolo como un incidente menor con presencia de humo en la planta encargada de eliminar el azufre de las fracciones de petróleo durante el proceso de refinación. Trascendió extraoficialmente Juan Carlos, que 2 trabajadores de petróleos mexicanos resultaron con heridas leves, pero fueron atendidos de manera oportuna por los servicios médicos de Pemex al interior de la refinería. Sin embargo, esta versión fue rechazada por la propia empresa, que aseguró que no hubo personas lesionadas. Por su parte, la Subsecretaría de Protección Civil y Gestión de Riesgos del Gobierno de Hidalgo informó que la situación estuvo bajo control y que no representó riesgo para la población. Cabe señalar que la semana pasada se registró un incidente similar en la misma planta donde hoy se registró esta contingencia dentro de la refinería de Tula, que como ya lo dijo Pemex, fue un incidente menor.</t>
  </si>
  <si>
    <t>Edson Vélez</t>
  </si>
  <si>
    <t>Refuerzan acciones de salud pública en Hidalgo ante el Mundial FIFA 2026</t>
  </si>
  <si>
    <t>En este contexto, ante los medios de comunicación, el presidente municipal y el responsable de los servicios públicos municipales, el mineral de la reforma nse refirieron a las nuevas rutas de recolección de basura que empezarán a operar la próxima semana.</t>
  </si>
  <si>
    <t>Recolección De Basura</t>
  </si>
  <si>
    <t>Este jueves 15 de abril a las 10:00 horas se llevó a cabo la conferencia mensual sobre seguridad en la tele aula de Pachuquilla, en el municipio de Mineral de la Reforma. El encuentro informativo fue encabezado por el presidente municipal de Mineral de la Reforma, Eduardo Medezigo Rubio, el comisario y titular de la Secretaría de Seguridad Pública, Jorge Alberto Trejo Terrazas, la directora del C2, Anabel Serrano Hernández y el director de Comunicación Social del Ayuntamiento de Mineral de la Reforma, Hass Islas Frausto. Durante la sesión el comisario y titular de la Secretaría de Seguridad Pública Ciudadana, Jorge Alberto Trejo Terrazas, presentó los resultados del operativo Semana Santa Segura 2026, destacando la instalación de tres módulos turísticos destinados a brindar orientación, apoyo y atención a visitantes durante el periodo vacacional.</t>
  </si>
  <si>
    <t>En unas horas más se llevará a cabo la Jornada por la paz, en el Jardín la Foresta de Tulancingo con la presencia del Secretario de Gobierno, Guillermo Olivares. El objetivo es conocer comentarios, dudas y sugerencias hacia las instancias gubernamentales.</t>
  </si>
  <si>
    <t>Con el objetivo de ampliar el acceso a servicios médicos, el Gobierno de Tulancingo fortalece la atención en salud a través de dispensarios y jornadas móviles “Salud a tu Alcance”, beneficiando a cientos de familias en colonias y comunidades. Durante el primer trimestre del año, la Dirección de Sanidad Municipal reportó mil 61 atenciones médicas y dentales en los dispensarios de La Cañada, Metilatla y San Nicolás El Chico, espacios que también promueven la prevención como eje del bienestar comunitario. De forma complementaria, más de 300 personas han sido atendidas mediante las jornadas médicas que se realizan semanalmente en distintos puntos del municipio, acercando servicios como consulta general, detección de diabetes e hipertensión, así como orientación nutricional. En lo que va del año, se han efectuado cerca de 20 jornadas en diversas colonias, donde se ha identificado una alta incidencia de enfermedades como diabetes tipo 2, así como padecimientos respiratorios y gastrointestinales.</t>
  </si>
  <si>
    <t>OSEH abre audiciones para integrar nuevos talentos a su plantilla artística</t>
  </si>
  <si>
    <t>Habitantes de comunidades ubicadas en la ribera de la presa Endhó denunciaron la creciente presencia del mosco culex, cuya proliferación se ha convertido en un severo problema de salud y ha deteriorado significativamente su calidad de vida. De acuerdo con testimonios de los pobladores, al caer la tarde se forman densas nubes de mosquitos que emergen del lirio acuático que invade el embalse. Actualmente, más del 50 por ciento de las mil 200 hectáreas del vaso de la presa se encuentran cubiertas por esta planta, considerada el principal hábitat del insecto. “No se puede vivir así. Continúa el mosquerío, es un grave problema”, expresó Noé Olguín Luna, subdelegado de la comunidad de Michimaloya, en el municipio de Tula, quien aseguró que la situación se ha intensificado en los últimos meses. Los habitantes relatan que durante las noches las paredes de sus viviendas llegan a cubrirse completamente de mosquitos, al grado de “pintarse de negro”. Además, denunciaron la muerte de animales de granja debido a la gran cantidad de picaduras que reciben diariamente. El roblema, señalaron, se agrava ante el incumplimiento de las autoridades. Según explicaron, el Gobierno Federal había prometido implementar fumigaciones constantes para controlar la plaga, compromiso que —afirman— no se ha cumplido. Ante este panorama, pobladores de diversas comunidades ribereñas hicieron un llamado urgente a los tres niveles de gobierno para atender de manera inmediata la problemática, al considerar que las condiciones actuales son insostenibles y representan un riesgo de salud pública en la región.</t>
  </si>
  <si>
    <t>Mosco Culex</t>
  </si>
  <si>
    <t>Caen 5 presuntos narcomenudistas en Pachuca, tras operativo de la SSPH</t>
  </si>
  <si>
    <t>Comerciantes del mercado local de Zimapán lograron detener a un hombre a quien presuntamente detectaron robando en un puesto de verduras, de acuerdo a versiones de algunos comerciantes. Fue así que comerciantes del mercado en la cabecera municipal de Zimapán en Hidalgo, detuvieron al presunto ladrón al que capturaron y lo amarraron para llevárselo caminando y exhibirlo entre los propios comerciantes. El sujeto fue amarrado de un poste antes le dieron algunos golpes y luego lo entregaron a la policía que lo puso a disposición de la autoridad competente.</t>
  </si>
  <si>
    <t>En Acaxochilán fue atropellada una mujer de 85 años de edad, el conducto fue detenido por la policía municipal.</t>
  </si>
  <si>
    <t>Detención</t>
  </si>
  <si>
    <t>Después de 10 días secuestrado un hombre fue localizado sin vida en Mixquiahuala, se trató de Mauricio N. de 38 años. El cuerpo fue enterrado parcialmente y estaba en estado de descomposición lo cual dificultó su identificación. El hombre había sido secuestrado por sujetos armados que irrumpieron en su vivienda el pasado 6 de abril y huyeron con rumbo a Tezontepec de Aldama. Se implementó un operativo, pero trascendió la posible detención de los responsables, que esto no ha sido confirmado por las autoridades</t>
  </si>
  <si>
    <t>Daniel Martínez critica que Pemex haya minimizado el incendio de ayer en la refinería de Tula.</t>
  </si>
  <si>
    <t>Un fuerte estallido registrado durante la madrugada de este jueves 16 de abril generó alarma entre habitantes cercanos a la Refinería Miguel Hidalgo, luego de que se percibiera una vibración en viviendas y se observara una densa columna de humo negro proveniente del complejo industrial. De acuerdo con reportes preliminares, el evento habría tenido origen en el área de procesos, específicamente en un calentador del sector de Hidros. Versiones extraoficiales apuntan a una posible falla técnica como causa del incidente. Personal especializado de la refinería logró contener el fuego en cuestión de minutos, evitando su propagación a otras áreas. No fue necesaria la intervención de cuerpos externos y la operación del complejo no presentó afectaciones mayores. En sus redes sociales el gobernador Julio Menchaca confirmó que se habían activado los protocolos correspondientes y conformaron también que el incidente se encontraba bajo control, sin presentar un peligro para la población</t>
  </si>
  <si>
    <t>El diputado del Congreso de Hidalgo, José María Alejandro Pérez Ramírez, dio a conocer el compromiso adquirido por el Poder Legislativo para realizar una consulta ciudadana sobre tauromaquia en Hidalgo, solicitada por manifestantes taurinos que se presentaron esta tarde frente al recinto legislativo. En ese sentido, al ser cuestionado sobre a cuántas comunidades se abrirá la consulta ciudadana en Hidalgo, el legislador señaló que los criterios y el proceso a seguir aún no han quedado definidos en la mesa de trabajo entablada este miércoles, por lo que deberán revisarse en los próximos días.</t>
  </si>
  <si>
    <t>El promedio de conductores de vehículos automotores detenidos durante el periodo vacacional de Semana Santa en los operativos alcoholímetro en Tulancingo, no tuvo variación respecto a la aplicación cotidiana. Lo anterior fue informado por Enrique Romero Alcántar, titular de la Secretaría municipal de Seguridad Ciudadana, señalando que en la primera semana del periodo de asueto fueron tres automovilistas detenidos al serles detectados altos niveles de alcohol en la sangre. Se trata prácticamente del mismo promedio de detenciones que se registra cada semana durante la aplicación de las pruebas, con objetivo de disminuir la incidencia de accidentes automovilísticos. Los operativos alcoholímetro se implementaron en el año 2009, siendo incluidos en el Reglamento municipal de Tránsito. De acuerdo a la normativa, los automovilistas son detenidos cuando se detecta que tienen más de 0.40 miligramos por litro de alcohol en la sangre, pues se considera que con dicho nivel no están aptos para conducir un vehículo automotor. Pero incluso al rebasar los 0.08 miligramos por litro de alcohol en la sangre, los conductores son sancionados, pues se trata de niveles que ya se consideran inadecuados para manejar un vehículo automotor.</t>
  </si>
  <si>
    <t>Fue presentada propuesta en el Congreso del Estado de Hidalgo para reducir en casi 300 la cantidad de regidores, así como seis Síndicos en Ayuntamientos del Estado de Hidalgo. Al presentar la propuesta, la diputada local Cynthia Citlali Delgado Mendoza, señaló que la disminución en el número de integrantes de las Asambleas Municipales en los 84 municipios de Hidalgo, significaría un ahorro económico de 266 millones de pesos. Para ello, se propone que en municipios con menos de 30 mil habitantes, cuenten con Asambleas Municipales conformadas entre 10 a 8 integrantes; mientras que en demarcaciones que tienen entre 30 mil y 50 mil habitantes, tendrían entre 13 a 10 integrantes. En el caso de los municipios con población entre 50 mil y 100 mil habitantes, contarían con 17 a 13 integrantes de la Asamblea Municipal, y con más de cien mil habitantes, los municipios contarían con cuerpos edilicios entre 21 a 16 integrantes. En todos los casos se contempla una sola sindicatura y una reducción tanto en regidurías de mayoría relativa como de representación proporcional. La iniciativa también propone la eliminación de la sindicatura de primera minoría, al considerar que duplica funciones dentro del esquema de representación proporcional.</t>
  </si>
  <si>
    <t>Plan B</t>
  </si>
  <si>
    <t>Un reporte emitido a través de la línea de emergencias 9-1-1 y canalizado por el Centro de Control, Comando, Comunicaciones, Cómputo, Coordinación e Inteligencia, permitió la movilización inmediata de elementos de la Secretaría de Seguridad Pública de Hidalgo y del H. Cuerpo de Bomberos hacia la carretera México–Pachuca, a la altura de Téllez con dirección a la Ciudad de México, donde una mujer embarazada resultó lesionada tras un incidente vial. Al arribar, el personal brindó atención prehospitalaria a la afectada, quien presentaba una contusión, realizando las maniobras necesarias para su estabilización.</t>
  </si>
  <si>
    <t>Asistencia de parto</t>
  </si>
  <si>
    <t>El Congreso de Hidalgo dio luz verde a una modificación a la Ley de Educación del estado, con la cual se integrará la enseñanza de primeros auxilios y atención básica ante emergencias en las escuelas. La iniciativa fue avalada por unanimidad durante la sesión de la LXVI Legislatura, y contempla la reforma al artículo 68, con el objetivo de que niñas, niños y jóvenes cuenten con herramientas esenciales para actuar de manera inmediata en situaciones de riesgo. La diputada Alma Rosa Elías, del partido Morena, explicó que esta medida busca que el alumnado adquiera conocimientos prácticos que puedan marcar la diferencia en momentos críticos, al brindar atención oportuna mientras llegan los servicios de emergencia. Además, destacó que la incorporación de estos contenidos no solo tiene un enfoque preventivo, sino también formativo, ya que promueve valores como la empatía, la responsabilidad y la protección de la vida.</t>
  </si>
  <si>
    <t>Radioescucha: en el verifcentro no respetan el horario de las citas.</t>
  </si>
  <si>
    <t>Verificación vehicular</t>
  </si>
  <si>
    <t>Reconocen a investigador de la UTEC a nivel internacional</t>
  </si>
  <si>
    <t>Investigación académica</t>
  </si>
  <si>
    <t>Derivado de las recientes lluvias en la región Otomí-Tepehua de Hidalgo hay cinco comunidades que constantemente se quedan incomunicadas porque prevalece un deslave y la vialidad no está rehabilitada, indicó la diputada Yarabi González Martínez, quien mencionó que la SICT emitió las licitaciones para la construcción de los puentes. La legisladora representante del distrito IX, con cabecera en Metepec, recordó que recientemente se cayó el puente provisional que atraviesa el río de la comunidad de Zicatlán en el municipio de Huehuetla, pero con maquinaria se habilitó un paso provisional. La legisladora explicó que la Secretaría de Infraestructura, Comunicaciones y Transporte (SICT) del gobierno federal, está en constante comunicación con los presidentes municipales de Tenango de Doria, Huehuetla y San Bartolo Tutotepec, así como con el gobierno estatal. La diputada local detalló que los puentes que serán reconstruidos son los ubicados en las comunidades de Zicatlán, de Piedras Negras, de Cerro Chiquito, y el de San Francisco la Laguna, los cuales son muy importantes porque comunican a muchas localidades de Tenango de Doria, Huehuetla y San Bartolo.</t>
  </si>
  <si>
    <t>Atención Afectaciones Por Lluvias</t>
  </si>
  <si>
    <t>Como parte de un operativo municipal, la noche de este miércoles fueron retirados más de 200 puestos ambulantes instalados en la plaza Constitución. el alcalde de Pachuca, Jorge Reyes reconoció que hasta el momento no tienen un censo de cuántos comerciantes ambulaste son lo que se tendrán que reubicar.</t>
  </si>
  <si>
    <t>Ninguno de los 13 tianguis que se desarrollan a lo largo de cada semana en Tulancingo cuentan con planes de Protección Civil, y tampoco cuentan con comités que atiendan el tema. Lo anterior fue confirmado por funcionarios municipales a cargo del tema, en el contexto del ordenamiento de estos espacios de comercio popular, iniciado este jueves 16 de abril, en el tianguis tradicional semanal que se lleva a cabo en el centro de la ciudad. Los comités de Protección Civil deben realizar evaluaciones de riesgos en base a las situaciones que tengan, tras lo cual elaboran y aplican planes de prevención de riesgos y atención a emergencias. Además de revisar que en este caso sus comerciantes agremiados cumplan con las normativas para prevenir riesgos, así como realizar prácticas y simulacros sobre supuestas situaciones de riesgo.</t>
  </si>
  <si>
    <t>Andrés Torres en respuesta a un radioescucha que pregunta qué le parece la participación de la Presidenta del Tribunal Superior de Justicia, Rebeca Aladro en las Jornadas de Paz en Huichapan y si esto la convierte en una posible elegida, señala que no se sabe si será elegida, pero debe serlo para muchas cosas. Las jornadas por la paz abordan temas legales y complejas, donde la población, especialmente mujeres y ciudadanos, se acerca a las autoridades. No solo están presentes el secretario de gobierno y la presidenta del tribunal, sino también representantes de diversas instancias del gobierno, quienes discuten problemas serios. Sostiene que Rebeca Aladro no está en campaña, sino trabajando. Existen muchas especulaciones sobre las próximas elecciones, pero recuerda que falta tiempo para el proceso electoral de 2027. Antes de eso, hay elecciones para alcaldías y congresos, y es más pertinente enfocarse en esos asuntos actuales. Hablar sobre la elección del gobernador en este momento parece prematuro y podría ser desinformativo. Critica la tendencia de algunos medios a centrar la atención en elecciones lejanas, en lugar de informar objetivamente sobre los desafíos actuales.</t>
  </si>
  <si>
    <t>TSJEH</t>
  </si>
  <si>
    <t>Promoción con fines electorales</t>
  </si>
  <si>
    <t>Sigue el tema del gusano barrenado en la Huasteca, es un gusano blanco grande como los gusanos de maguey, que se come prácticamente vivo al ganado. Se aloja de manera subcutánea y puede también afectar al ser humano, por eso son tan importantes que estas campañas que las Secretarías de Agricultura y de Medio Ambiente llevan a efecto, sobre todo en aquellas zonas ganaderas de nuestro estado sean apoyadas por la población. Es muy importante que los técnicos, los especialistas de estas instancias tengan todas las facilidades para revisar el ganado. Da recomendaciones y describe las lesiones que ocasiona el gusano barrenador.</t>
  </si>
  <si>
    <t>Secretaría de Salud llevará jornada médica integral a Yolotepec, en Santiago de Anaya</t>
  </si>
  <si>
    <t>Jornada médica</t>
  </si>
  <si>
    <t>A poco más de ocho semanas del primer caso, la plaga de gusano barrenador se ha expandido a 45 municipios de Hidalgo, afectando ya al 53% del territorio estatal, según autoridades sanitarias. El reporte más reciente contabiliza 303 casos acumulados, de los cuales 105 permanecen activos, con un ritmo de propagación de aproximadamente cinco nuevos registros diarios. Las regiones rurales del norte concentran la mayor incidencia, destacando municipios como Huehuetla, La Misión y Huautla. Ante ello, autoridades han intensificado acciones de vigilancia y contención para frenar el avance del brote.</t>
  </si>
  <si>
    <t>Ayer fue localizada en el municipio de Mixtiahuala, en la Comunidad de San Juan una persona sin vida el cual presenta impactos de proyectiles. Por dicho hecho personal de la Procuraduría de Justicia inició la carpeta.</t>
  </si>
  <si>
    <t>Después de 10 días secuestrado un hombre fue localizado sin vida en Mixquiahuala, se trató de Mauricio N. de 38 años. De acuerdo a la Procuraduría de Justicia del Estado de Hidalgo el cuerpo fue enterrado parcialmente y estaba en estado de descomposición lo cual dificultó su identificación. El hombre había sido secuestrado por sujetos armados que irrumpieron en su vivienda el pasado 6 de abril y huyeron con rumbo a Tezontepec de Aldama. Se implementó un operativo, pero trascendió la posible detención de los responsables, que esto no ha sido confirmado por las autoridades</t>
  </si>
  <si>
    <t>En operación nueva línea de alcantarillado sanitario en Pachuca</t>
  </si>
  <si>
    <t>En Noxtey, comunidad de Tasquillo, Omar Chávez asaltó y agredió a un hombre de la tercera edad de nombre Silverio Saldaña y se dio a la fuga. Sus hijas lo acompañaron a presentar la denuncia con número 20/2026/00155. Nos piden se haga un llamado a la Procuraduría General Justicia del Estado Hidalgo  para que agilice la situación y pueda ser llamado ante las autoridades señor Omar Chávez. Andrés Torres pues yo me voy a permitir mandarle un saludo primero y luego pedirle a mi amigo Irám González, Subprocurador Justicia del Estado Hidalgo para que nos ayude a darle celeridad a este tema y que se deslinden las responsabilidades.</t>
  </si>
  <si>
    <t>Caepeta de investigación</t>
  </si>
  <si>
    <t>En Villa de Tezontepec, hay una enorme polémica en estos momentos en las redes sociales, porque resulta que el hijo de la Presidenta Municipal de ese municipio, andaba echando tiros, andaba de fiesta, y andaba haciendo disparos al aire, y bueno, traen una enorme polémica ahí en las redes sociales locales, por el comportamiento, pues, poco apropiado de esta persona. Serán las autoridades quienes hagan las investigaciones correspondientes y deslinden las responsabilidades.</t>
  </si>
  <si>
    <t>Disparos al aire</t>
  </si>
  <si>
    <t>Un incendio acompañado de una explosión se registró en instalaciones de la Refinería Miguel Hidalgo, generando movilización de cuerpos de emergencia al interior del complejo. Ante lo sucedido, la Subsecretaría de Protección Civil y Gestión de Riesgos de Hidalgo informó mediante un comunicado que se activaron de manera oportuna los protocolos internos de atención a emergencias por parte de la propia instalación. Las autoridades señalaron que, con base en la información disponible, la situación se encuentra bajo control y no representa riesgo para la población del municipio de Tula de Allende ni zonas aledañas. Asimismo, indicaron que las instancias correspondientes continúan atentas al seguimiento del evento en coordinación con autoridades y cuerpos de atención internos de la refinería.</t>
  </si>
  <si>
    <t>Apoya gobierno de Julio Menchaca a personas investigadoras a través del “Fondo Hidalgo, Ciencia y Tecnología”</t>
  </si>
  <si>
    <t>Mundial Social llega a Hidalgo con impulso a infraestructura deportiva comunitaria</t>
  </si>
  <si>
    <t>Andrés Torres informa que en breve Radio Mezquital estará en posibilidades de transmitir desde la estación su propia programación. Personal técnico ha trabajado intensamente para logar esto.</t>
  </si>
  <si>
    <t>Radiodifusoras</t>
  </si>
  <si>
    <t>Ayer se llevó a cabo una jornada de vacunación contra el sarampión por parte del DIF Pachuca, ubicado en el Parque Hidalgo de Pachuca de 09:00 a 14:00 hrs. se hará la aplicación de vacunas contra sarampión, rubéola y parotiditis (SRP) en niñas y niños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</si>
</sst>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42" tableType="queryTable" totalsRowShown="0">
  <autoFilter ref="A1:M242" xr:uid="{717AF3FA-E95C-4D17-A1C9-B8D7CBE34EF0}"/>
  <sortState xmlns:xlrd2="http://schemas.microsoft.com/office/spreadsheetml/2017/richdata2" ref="A2:M242">
    <sortCondition ref="B1:B242"/>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42"/>
  <sheetViews>
    <sheetView tabSelected="1" topLeftCell="A208" workbookViewId="0">
      <selection activeCell="B243" sqref="B243"/>
    </sheetView>
  </sheetViews>
  <sheetFormatPr baseColWidth="10" defaultRowHeight="15" x14ac:dyDescent="0.25"/>
  <cols>
    <col min="1" max="1" width="10.42578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73</v>
      </c>
      <c r="C1" t="s">
        <v>74</v>
      </c>
      <c r="D1" t="s">
        <v>75</v>
      </c>
      <c r="E1" t="s">
        <v>1</v>
      </c>
      <c r="F1" t="s">
        <v>2</v>
      </c>
      <c r="G1" t="s">
        <v>4</v>
      </c>
      <c r="H1" t="s">
        <v>3</v>
      </c>
      <c r="I1" t="s">
        <v>5</v>
      </c>
      <c r="J1" t="s">
        <v>76</v>
      </c>
      <c r="K1" t="s">
        <v>77</v>
      </c>
      <c r="L1" t="s">
        <v>78</v>
      </c>
      <c r="M1" t="s">
        <v>86</v>
      </c>
    </row>
    <row r="2" spans="1:13" x14ac:dyDescent="0.25">
      <c r="A2" s="1">
        <v>46129</v>
      </c>
      <c r="B2" s="1" t="str">
        <f ca="1">IF(Información1[[#This Row],[Fecha]]='Ajuste de fechas'!$A$2,"Día actual","Día anterior")</f>
        <v>Día actual</v>
      </c>
      <c r="C2" t="s">
        <v>54</v>
      </c>
      <c r="D2" t="s">
        <v>57</v>
      </c>
      <c r="E2" t="s">
        <v>259</v>
      </c>
      <c r="F2" t="s">
        <v>48</v>
      </c>
      <c r="G2" t="s">
        <v>260</v>
      </c>
      <c r="H2" t="s">
        <v>11</v>
      </c>
      <c r="I2" t="s">
        <v>7</v>
      </c>
      <c r="J2" t="s">
        <v>79</v>
      </c>
      <c r="K2" t="s">
        <v>55</v>
      </c>
      <c r="L2" t="s">
        <v>80</v>
      </c>
      <c r="M2">
        <v>1</v>
      </c>
    </row>
    <row r="3" spans="1:13" x14ac:dyDescent="0.25">
      <c r="A3" s="1">
        <v>46129</v>
      </c>
      <c r="B3" s="1" t="str">
        <f ca="1">IF(Información1[[#This Row],[Fecha]]='Ajuste de fechas'!$A$2,"Día actual","Día anterior")</f>
        <v>Día actual</v>
      </c>
      <c r="C3" t="s">
        <v>54</v>
      </c>
      <c r="D3" t="s">
        <v>57</v>
      </c>
      <c r="E3" t="s">
        <v>261</v>
      </c>
      <c r="F3" t="s">
        <v>15</v>
      </c>
      <c r="G3" t="s">
        <v>262</v>
      </c>
      <c r="H3" t="s">
        <v>11</v>
      </c>
      <c r="I3" t="s">
        <v>7</v>
      </c>
      <c r="J3" t="s">
        <v>79</v>
      </c>
      <c r="K3" t="s">
        <v>55</v>
      </c>
      <c r="L3" t="s">
        <v>80</v>
      </c>
      <c r="M3">
        <v>1</v>
      </c>
    </row>
    <row r="4" spans="1:13" x14ac:dyDescent="0.25">
      <c r="A4" s="1">
        <v>46129</v>
      </c>
      <c r="B4" s="1" t="str">
        <f ca="1">IF(Información1[[#This Row],[Fecha]]='Ajuste de fechas'!$A$2,"Día actual","Día anterior")</f>
        <v>Día actual</v>
      </c>
      <c r="C4" t="s">
        <v>32</v>
      </c>
      <c r="D4" t="s">
        <v>34</v>
      </c>
      <c r="E4" t="s">
        <v>263</v>
      </c>
      <c r="F4" t="s">
        <v>59</v>
      </c>
      <c r="G4" t="s">
        <v>264</v>
      </c>
      <c r="H4" t="s">
        <v>11</v>
      </c>
      <c r="I4" t="s">
        <v>7</v>
      </c>
      <c r="J4" t="s">
        <v>79</v>
      </c>
      <c r="K4" t="s">
        <v>33</v>
      </c>
      <c r="L4" t="s">
        <v>82</v>
      </c>
      <c r="M4">
        <v>1</v>
      </c>
    </row>
    <row r="5" spans="1:13" x14ac:dyDescent="0.25">
      <c r="A5" s="1">
        <v>46129</v>
      </c>
      <c r="B5" s="1" t="str">
        <f ca="1">IF(Información1[[#This Row],[Fecha]]='Ajuste de fechas'!$A$2,"Día actual","Día anterior")</f>
        <v>Día actual</v>
      </c>
      <c r="C5" t="s">
        <v>32</v>
      </c>
      <c r="D5" t="s">
        <v>34</v>
      </c>
      <c r="E5" t="s">
        <v>265</v>
      </c>
      <c r="F5" t="s">
        <v>24</v>
      </c>
      <c r="G5" t="s">
        <v>47</v>
      </c>
      <c r="H5" t="s">
        <v>11</v>
      </c>
      <c r="I5" t="s">
        <v>7</v>
      </c>
      <c r="J5" t="s">
        <v>79</v>
      </c>
      <c r="K5" t="s">
        <v>33</v>
      </c>
      <c r="L5" t="s">
        <v>82</v>
      </c>
      <c r="M5">
        <v>1</v>
      </c>
    </row>
    <row r="6" spans="1:13" x14ac:dyDescent="0.25">
      <c r="A6" s="1">
        <v>46129</v>
      </c>
      <c r="B6" s="1" t="str">
        <f ca="1">IF(Información1[[#This Row],[Fecha]]='Ajuste de fechas'!$A$2,"Día actual","Día anterior")</f>
        <v>Día actual</v>
      </c>
      <c r="C6" t="s">
        <v>32</v>
      </c>
      <c r="D6" t="s">
        <v>34</v>
      </c>
      <c r="E6" t="s">
        <v>266</v>
      </c>
      <c r="F6" t="s">
        <v>15</v>
      </c>
      <c r="G6" t="s">
        <v>262</v>
      </c>
      <c r="H6" t="s">
        <v>11</v>
      </c>
      <c r="I6" t="s">
        <v>7</v>
      </c>
      <c r="J6" t="s">
        <v>79</v>
      </c>
      <c r="K6" t="s">
        <v>33</v>
      </c>
      <c r="L6" t="s">
        <v>82</v>
      </c>
      <c r="M6">
        <v>1</v>
      </c>
    </row>
    <row r="7" spans="1:13" x14ac:dyDescent="0.25">
      <c r="A7" s="1">
        <v>46129</v>
      </c>
      <c r="B7" s="1" t="str">
        <f ca="1">IF(Información1[[#This Row],[Fecha]]='Ajuste de fechas'!$A$2,"Día actual","Día anterior")</f>
        <v>Día actual</v>
      </c>
      <c r="C7" t="s">
        <v>32</v>
      </c>
      <c r="D7" t="s">
        <v>34</v>
      </c>
      <c r="E7" t="s">
        <v>196</v>
      </c>
      <c r="F7" t="s">
        <v>59</v>
      </c>
      <c r="G7" t="s">
        <v>64</v>
      </c>
      <c r="H7" t="s">
        <v>11</v>
      </c>
      <c r="I7" t="s">
        <v>7</v>
      </c>
      <c r="J7" t="s">
        <v>79</v>
      </c>
      <c r="K7" t="s">
        <v>33</v>
      </c>
      <c r="L7" t="s">
        <v>82</v>
      </c>
      <c r="M7">
        <v>1</v>
      </c>
    </row>
    <row r="8" spans="1:13" x14ac:dyDescent="0.25">
      <c r="A8" s="1">
        <v>46129</v>
      </c>
      <c r="B8" s="1" t="str">
        <f ca="1">IF(Información1[[#This Row],[Fecha]]='Ajuste de fechas'!$A$2,"Día actual","Día anterior")</f>
        <v>Día actual</v>
      </c>
      <c r="C8" t="s">
        <v>32</v>
      </c>
      <c r="D8" t="s">
        <v>34</v>
      </c>
      <c r="E8" t="s">
        <v>267</v>
      </c>
      <c r="F8" t="s">
        <v>63</v>
      </c>
      <c r="G8" t="s">
        <v>268</v>
      </c>
      <c r="H8" t="s">
        <v>11</v>
      </c>
      <c r="I8" t="s">
        <v>7</v>
      </c>
      <c r="J8" t="s">
        <v>79</v>
      </c>
      <c r="K8" t="s">
        <v>33</v>
      </c>
      <c r="L8" t="s">
        <v>82</v>
      </c>
      <c r="M8">
        <v>1</v>
      </c>
    </row>
    <row r="9" spans="1:13" x14ac:dyDescent="0.25">
      <c r="A9" s="1">
        <v>46129</v>
      </c>
      <c r="B9" s="1" t="str">
        <f ca="1">IF(Información1[[#This Row],[Fecha]]='Ajuste de fechas'!$A$2,"Día actual","Día anterior")</f>
        <v>Día actual</v>
      </c>
      <c r="C9" t="s">
        <v>32</v>
      </c>
      <c r="D9" t="s">
        <v>34</v>
      </c>
      <c r="E9" t="s">
        <v>269</v>
      </c>
      <c r="F9" t="s">
        <v>120</v>
      </c>
      <c r="G9" t="s">
        <v>270</v>
      </c>
      <c r="H9" t="s">
        <v>11</v>
      </c>
      <c r="I9" t="s">
        <v>7</v>
      </c>
      <c r="J9" t="s">
        <v>79</v>
      </c>
      <c r="K9" t="s">
        <v>33</v>
      </c>
      <c r="L9" t="s">
        <v>82</v>
      </c>
      <c r="M9">
        <v>1</v>
      </c>
    </row>
    <row r="10" spans="1:13" x14ac:dyDescent="0.25">
      <c r="A10" s="1">
        <v>46129</v>
      </c>
      <c r="B10" s="1" t="str">
        <f ca="1">IF(Información1[[#This Row],[Fecha]]='Ajuste de fechas'!$A$2,"Día actual","Día anterior")</f>
        <v>Día actual</v>
      </c>
      <c r="C10" t="s">
        <v>32</v>
      </c>
      <c r="D10" t="s">
        <v>34</v>
      </c>
      <c r="E10" t="s">
        <v>271</v>
      </c>
      <c r="F10" t="s">
        <v>15</v>
      </c>
      <c r="G10" t="s">
        <v>223</v>
      </c>
      <c r="H10" t="s">
        <v>11</v>
      </c>
      <c r="I10" t="s">
        <v>7</v>
      </c>
      <c r="J10" t="s">
        <v>79</v>
      </c>
      <c r="K10" t="s">
        <v>33</v>
      </c>
      <c r="L10" t="s">
        <v>82</v>
      </c>
      <c r="M10">
        <v>1</v>
      </c>
    </row>
    <row r="11" spans="1:13" x14ac:dyDescent="0.25">
      <c r="A11" s="1">
        <v>46129</v>
      </c>
      <c r="B11" s="1" t="str">
        <f ca="1">IF(Información1[[#This Row],[Fecha]]='Ajuste de fechas'!$A$2,"Día actual","Día anterior")</f>
        <v>Día actual</v>
      </c>
      <c r="C11" t="s">
        <v>32</v>
      </c>
      <c r="D11" t="s">
        <v>34</v>
      </c>
      <c r="E11" t="s">
        <v>272</v>
      </c>
      <c r="F11" t="s">
        <v>59</v>
      </c>
      <c r="G11" t="s">
        <v>273</v>
      </c>
      <c r="H11" t="s">
        <v>11</v>
      </c>
      <c r="I11" t="s">
        <v>7</v>
      </c>
      <c r="J11" t="s">
        <v>79</v>
      </c>
      <c r="K11" t="s">
        <v>33</v>
      </c>
      <c r="L11" t="s">
        <v>82</v>
      </c>
      <c r="M11">
        <v>1</v>
      </c>
    </row>
    <row r="12" spans="1:13" x14ac:dyDescent="0.25">
      <c r="A12" s="1">
        <v>46129</v>
      </c>
      <c r="B12" s="1" t="str">
        <f ca="1">IF(Información1[[#This Row],[Fecha]]='Ajuste de fechas'!$A$2,"Día actual","Día anterior")</f>
        <v>Día actual</v>
      </c>
      <c r="C12" t="s">
        <v>32</v>
      </c>
      <c r="D12" t="s">
        <v>34</v>
      </c>
      <c r="E12" t="s">
        <v>274</v>
      </c>
      <c r="F12" t="s">
        <v>24</v>
      </c>
      <c r="G12" t="s">
        <v>96</v>
      </c>
      <c r="H12" t="s">
        <v>11</v>
      </c>
      <c r="I12" t="s">
        <v>7</v>
      </c>
      <c r="J12" t="s">
        <v>79</v>
      </c>
      <c r="K12" t="s">
        <v>33</v>
      </c>
      <c r="L12" t="s">
        <v>82</v>
      </c>
      <c r="M12">
        <v>1</v>
      </c>
    </row>
    <row r="13" spans="1:13" x14ac:dyDescent="0.25">
      <c r="A13" s="1">
        <v>46129</v>
      </c>
      <c r="B13" s="1" t="str">
        <f ca="1">IF(Información1[[#This Row],[Fecha]]='Ajuste de fechas'!$A$2,"Día actual","Día anterior")</f>
        <v>Día actual</v>
      </c>
      <c r="C13" t="s">
        <v>32</v>
      </c>
      <c r="D13" t="s">
        <v>34</v>
      </c>
      <c r="E13" t="s">
        <v>275</v>
      </c>
      <c r="F13" t="s">
        <v>25</v>
      </c>
      <c r="G13" t="s">
        <v>276</v>
      </c>
      <c r="H13" t="s">
        <v>11</v>
      </c>
      <c r="I13" t="s">
        <v>7</v>
      </c>
      <c r="J13" t="s">
        <v>79</v>
      </c>
      <c r="K13" t="s">
        <v>33</v>
      </c>
      <c r="L13" t="s">
        <v>82</v>
      </c>
      <c r="M13">
        <v>1</v>
      </c>
    </row>
    <row r="14" spans="1:13" x14ac:dyDescent="0.25">
      <c r="A14" s="1">
        <v>46129</v>
      </c>
      <c r="B14" s="1" t="str">
        <f ca="1">IF(Información1[[#This Row],[Fecha]]='Ajuste de fechas'!$A$2,"Día actual","Día anterior")</f>
        <v>Día actual</v>
      </c>
      <c r="C14" t="s">
        <v>32</v>
      </c>
      <c r="D14" t="s">
        <v>34</v>
      </c>
      <c r="E14" t="s">
        <v>277</v>
      </c>
      <c r="F14" t="s">
        <v>25</v>
      </c>
      <c r="G14" t="s">
        <v>278</v>
      </c>
      <c r="H14" t="s">
        <v>11</v>
      </c>
      <c r="I14" t="s">
        <v>7</v>
      </c>
      <c r="J14" t="s">
        <v>79</v>
      </c>
      <c r="K14" t="s">
        <v>33</v>
      </c>
      <c r="L14" t="s">
        <v>82</v>
      </c>
      <c r="M14">
        <v>1</v>
      </c>
    </row>
    <row r="15" spans="1:13" x14ac:dyDescent="0.25">
      <c r="A15" s="1">
        <v>46129</v>
      </c>
      <c r="B15" s="1" t="str">
        <f ca="1">IF(Información1[[#This Row],[Fecha]]='Ajuste de fechas'!$A$2,"Día actual","Día anterior")</f>
        <v>Día actual</v>
      </c>
      <c r="C15" t="s">
        <v>54</v>
      </c>
      <c r="D15" t="s">
        <v>56</v>
      </c>
      <c r="E15" t="s">
        <v>279</v>
      </c>
      <c r="F15" t="s">
        <v>23</v>
      </c>
      <c r="G15" t="s">
        <v>280</v>
      </c>
      <c r="H15" t="s">
        <v>11</v>
      </c>
      <c r="I15" t="s">
        <v>7</v>
      </c>
      <c r="J15" t="s">
        <v>84</v>
      </c>
      <c r="K15" t="s">
        <v>55</v>
      </c>
      <c r="L15" t="s">
        <v>80</v>
      </c>
      <c r="M15">
        <v>1</v>
      </c>
    </row>
    <row r="16" spans="1:13" x14ac:dyDescent="0.25">
      <c r="A16" s="1">
        <v>46129</v>
      </c>
      <c r="B16" s="1" t="str">
        <f ca="1">IF(Información1[[#This Row],[Fecha]]='Ajuste de fechas'!$A$2,"Día actual","Día anterior")</f>
        <v>Día actual</v>
      </c>
      <c r="C16" t="s">
        <v>54</v>
      </c>
      <c r="D16" t="s">
        <v>56</v>
      </c>
      <c r="E16" t="s">
        <v>281</v>
      </c>
      <c r="F16" t="s">
        <v>19</v>
      </c>
      <c r="G16" t="s">
        <v>108</v>
      </c>
      <c r="H16" t="s">
        <v>11</v>
      </c>
      <c r="I16" t="s">
        <v>7</v>
      </c>
      <c r="J16" t="s">
        <v>83</v>
      </c>
      <c r="K16" t="s">
        <v>55</v>
      </c>
      <c r="L16" t="s">
        <v>80</v>
      </c>
      <c r="M16">
        <v>1</v>
      </c>
    </row>
    <row r="17" spans="1:13" x14ac:dyDescent="0.25">
      <c r="A17" s="1">
        <v>46129</v>
      </c>
      <c r="B17" s="1" t="str">
        <f ca="1">IF(Información1[[#This Row],[Fecha]]='Ajuste de fechas'!$A$2,"Día actual","Día anterior")</f>
        <v>Día actual</v>
      </c>
      <c r="C17" t="s">
        <v>54</v>
      </c>
      <c r="D17" t="s">
        <v>56</v>
      </c>
      <c r="E17" t="s">
        <v>282</v>
      </c>
      <c r="F17" t="s">
        <v>19</v>
      </c>
      <c r="G17" t="s">
        <v>283</v>
      </c>
      <c r="H17" t="s">
        <v>11</v>
      </c>
      <c r="I17" t="s">
        <v>7</v>
      </c>
      <c r="J17" t="s">
        <v>83</v>
      </c>
      <c r="K17" t="s">
        <v>55</v>
      </c>
      <c r="L17" t="s">
        <v>80</v>
      </c>
      <c r="M17">
        <v>1</v>
      </c>
    </row>
    <row r="18" spans="1:13" x14ac:dyDescent="0.25">
      <c r="A18" s="1">
        <v>46129</v>
      </c>
      <c r="B18" s="1" t="str">
        <f ca="1">IF(Información1[[#This Row],[Fecha]]='Ajuste de fechas'!$A$2,"Día actual","Día anterior")</f>
        <v>Día actual</v>
      </c>
      <c r="C18" t="s">
        <v>54</v>
      </c>
      <c r="D18" t="s">
        <v>56</v>
      </c>
      <c r="E18" t="s">
        <v>267</v>
      </c>
      <c r="F18" t="s">
        <v>63</v>
      </c>
      <c r="G18" t="s">
        <v>268</v>
      </c>
      <c r="H18" t="s">
        <v>11</v>
      </c>
      <c r="I18" t="s">
        <v>7</v>
      </c>
      <c r="J18" t="s">
        <v>79</v>
      </c>
      <c r="K18" t="s">
        <v>44</v>
      </c>
      <c r="L18" t="s">
        <v>82</v>
      </c>
      <c r="M18">
        <v>1</v>
      </c>
    </row>
    <row r="19" spans="1:13" x14ac:dyDescent="0.25">
      <c r="A19" s="1">
        <v>46129</v>
      </c>
      <c r="B19" s="1" t="str">
        <f ca="1">IF(Información1[[#This Row],[Fecha]]='Ajuste de fechas'!$A$2,"Día actual","Día anterior")</f>
        <v>Día actual</v>
      </c>
      <c r="C19" t="s">
        <v>54</v>
      </c>
      <c r="D19" t="s">
        <v>56</v>
      </c>
      <c r="E19" t="s">
        <v>277</v>
      </c>
      <c r="F19" t="s">
        <v>25</v>
      </c>
      <c r="G19" t="s">
        <v>278</v>
      </c>
      <c r="H19" t="s">
        <v>11</v>
      </c>
      <c r="I19" t="s">
        <v>7</v>
      </c>
      <c r="J19" t="s">
        <v>79</v>
      </c>
      <c r="K19" t="s">
        <v>44</v>
      </c>
      <c r="L19" t="s">
        <v>82</v>
      </c>
      <c r="M19">
        <v>1</v>
      </c>
    </row>
    <row r="20" spans="1:13" x14ac:dyDescent="0.25">
      <c r="A20" s="1">
        <v>46129</v>
      </c>
      <c r="B20" s="1" t="str">
        <f ca="1">IF(Información1[[#This Row],[Fecha]]='Ajuste de fechas'!$A$2,"Día actual","Día anterior")</f>
        <v>Día actual</v>
      </c>
      <c r="C20" t="s">
        <v>54</v>
      </c>
      <c r="D20" t="s">
        <v>56</v>
      </c>
      <c r="E20" t="s">
        <v>284</v>
      </c>
      <c r="F20" t="s">
        <v>6</v>
      </c>
      <c r="G20" t="s">
        <v>285</v>
      </c>
      <c r="H20" t="s">
        <v>11</v>
      </c>
      <c r="I20" t="s">
        <v>7</v>
      </c>
      <c r="J20" t="s">
        <v>79</v>
      </c>
      <c r="K20" t="s">
        <v>44</v>
      </c>
      <c r="L20" t="s">
        <v>82</v>
      </c>
      <c r="M20">
        <v>1</v>
      </c>
    </row>
    <row r="21" spans="1:13" x14ac:dyDescent="0.25">
      <c r="A21" s="1">
        <v>46129</v>
      </c>
      <c r="B21" s="1" t="str">
        <f ca="1">IF(Información1[[#This Row],[Fecha]]='Ajuste de fechas'!$A$2,"Día actual","Día anterior")</f>
        <v>Día actual</v>
      </c>
      <c r="C21" t="s">
        <v>54</v>
      </c>
      <c r="D21" t="s">
        <v>56</v>
      </c>
      <c r="E21" t="s">
        <v>286</v>
      </c>
      <c r="F21" t="s">
        <v>6</v>
      </c>
      <c r="G21" t="s">
        <v>98</v>
      </c>
      <c r="H21" t="s">
        <v>11</v>
      </c>
      <c r="I21" t="s">
        <v>7</v>
      </c>
      <c r="J21" t="s">
        <v>79</v>
      </c>
      <c r="K21" t="s">
        <v>44</v>
      </c>
      <c r="L21" t="s">
        <v>82</v>
      </c>
      <c r="M21">
        <v>1</v>
      </c>
    </row>
    <row r="22" spans="1:13" x14ac:dyDescent="0.25">
      <c r="A22" s="1">
        <v>46129</v>
      </c>
      <c r="B22" s="1" t="str">
        <f ca="1">IF(Información1[[#This Row],[Fecha]]='Ajuste de fechas'!$A$2,"Día actual","Día anterior")</f>
        <v>Día actual</v>
      </c>
      <c r="C22" t="s">
        <v>54</v>
      </c>
      <c r="D22" t="s">
        <v>56</v>
      </c>
      <c r="E22" t="s">
        <v>265</v>
      </c>
      <c r="F22" t="s">
        <v>24</v>
      </c>
      <c r="G22" t="s">
        <v>47</v>
      </c>
      <c r="H22" t="s">
        <v>11</v>
      </c>
      <c r="I22" t="s">
        <v>7</v>
      </c>
      <c r="J22" t="s">
        <v>79</v>
      </c>
      <c r="K22" t="s">
        <v>44</v>
      </c>
      <c r="L22" t="s">
        <v>82</v>
      </c>
      <c r="M22">
        <v>1</v>
      </c>
    </row>
    <row r="23" spans="1:13" x14ac:dyDescent="0.25">
      <c r="A23" s="1">
        <v>46129</v>
      </c>
      <c r="B23" s="1" t="str">
        <f ca="1">IF(Información1[[#This Row],[Fecha]]='Ajuste de fechas'!$A$2,"Día actual","Día anterior")</f>
        <v>Día actual</v>
      </c>
      <c r="C23" t="s">
        <v>39</v>
      </c>
      <c r="D23" t="s">
        <v>41</v>
      </c>
      <c r="E23" t="s">
        <v>287</v>
      </c>
      <c r="F23" t="s">
        <v>19</v>
      </c>
      <c r="G23" t="s">
        <v>288</v>
      </c>
      <c r="H23" t="s">
        <v>11</v>
      </c>
      <c r="I23" t="s">
        <v>7</v>
      </c>
      <c r="J23" t="s">
        <v>83</v>
      </c>
      <c r="K23" t="s">
        <v>71</v>
      </c>
      <c r="L23" t="s">
        <v>80</v>
      </c>
      <c r="M23">
        <v>1</v>
      </c>
    </row>
    <row r="24" spans="1:13" x14ac:dyDescent="0.25">
      <c r="A24" s="1">
        <v>46129</v>
      </c>
      <c r="B24" s="1" t="str">
        <f ca="1">IF(Información1[[#This Row],[Fecha]]='Ajuste de fechas'!$A$2,"Día actual","Día anterior")</f>
        <v>Día actual</v>
      </c>
      <c r="C24" t="s">
        <v>39</v>
      </c>
      <c r="D24" t="s">
        <v>41</v>
      </c>
      <c r="E24" t="s">
        <v>289</v>
      </c>
      <c r="F24" t="s">
        <v>26</v>
      </c>
      <c r="G24" t="s">
        <v>290</v>
      </c>
      <c r="H24" t="s">
        <v>11</v>
      </c>
      <c r="I24" t="s">
        <v>7</v>
      </c>
      <c r="J24" t="s">
        <v>26</v>
      </c>
      <c r="K24" t="s">
        <v>71</v>
      </c>
      <c r="L24" t="s">
        <v>80</v>
      </c>
      <c r="M24">
        <v>1</v>
      </c>
    </row>
    <row r="25" spans="1:13" x14ac:dyDescent="0.25">
      <c r="A25" s="1">
        <v>46129</v>
      </c>
      <c r="B25" s="1" t="str">
        <f ca="1">IF(Información1[[#This Row],[Fecha]]='Ajuste de fechas'!$A$2,"Día actual","Día anterior")</f>
        <v>Día actual</v>
      </c>
      <c r="C25" t="s">
        <v>39</v>
      </c>
      <c r="D25" t="s">
        <v>41</v>
      </c>
      <c r="E25" t="s">
        <v>291</v>
      </c>
      <c r="F25" t="s">
        <v>26</v>
      </c>
      <c r="G25" t="s">
        <v>292</v>
      </c>
      <c r="H25" t="s">
        <v>11</v>
      </c>
      <c r="I25" t="s">
        <v>7</v>
      </c>
      <c r="J25" t="s">
        <v>26</v>
      </c>
      <c r="K25" t="s">
        <v>71</v>
      </c>
      <c r="L25" t="s">
        <v>80</v>
      </c>
      <c r="M25">
        <v>1</v>
      </c>
    </row>
    <row r="26" spans="1:13" x14ac:dyDescent="0.25">
      <c r="A26" s="1">
        <v>46129</v>
      </c>
      <c r="B26" s="1" t="str">
        <f ca="1">IF(Información1[[#This Row],[Fecha]]='Ajuste de fechas'!$A$2,"Día actual","Día anterior")</f>
        <v>Día actual</v>
      </c>
      <c r="C26" t="s">
        <v>39</v>
      </c>
      <c r="D26" t="s">
        <v>41</v>
      </c>
      <c r="E26" t="s">
        <v>293</v>
      </c>
      <c r="F26" t="s">
        <v>19</v>
      </c>
      <c r="G26" t="s">
        <v>294</v>
      </c>
      <c r="H26" t="s">
        <v>11</v>
      </c>
      <c r="I26" t="s">
        <v>7</v>
      </c>
      <c r="J26" t="s">
        <v>83</v>
      </c>
      <c r="K26" t="s">
        <v>71</v>
      </c>
      <c r="L26" t="s">
        <v>80</v>
      </c>
      <c r="M26">
        <v>1</v>
      </c>
    </row>
    <row r="27" spans="1:13" x14ac:dyDescent="0.25">
      <c r="A27" s="1">
        <v>46129</v>
      </c>
      <c r="B27" s="1" t="str">
        <f ca="1">IF(Información1[[#This Row],[Fecha]]='Ajuste de fechas'!$A$2,"Día actual","Día anterior")</f>
        <v>Día actual</v>
      </c>
      <c r="C27" t="s">
        <v>39</v>
      </c>
      <c r="D27" t="s">
        <v>41</v>
      </c>
      <c r="E27" t="s">
        <v>295</v>
      </c>
      <c r="F27" t="s">
        <v>23</v>
      </c>
      <c r="G27" t="s">
        <v>296</v>
      </c>
      <c r="H27" t="s">
        <v>11</v>
      </c>
      <c r="I27" t="s">
        <v>7</v>
      </c>
      <c r="J27" t="s">
        <v>84</v>
      </c>
      <c r="K27" t="s">
        <v>71</v>
      </c>
      <c r="L27" t="s">
        <v>80</v>
      </c>
      <c r="M27">
        <v>1</v>
      </c>
    </row>
    <row r="28" spans="1:13" x14ac:dyDescent="0.25">
      <c r="A28" s="1">
        <v>46129</v>
      </c>
      <c r="B28" s="1" t="str">
        <f ca="1">IF(Información1[[#This Row],[Fecha]]='Ajuste de fechas'!$A$2,"Día actual","Día anterior")</f>
        <v>Día actual</v>
      </c>
      <c r="C28" t="s">
        <v>39</v>
      </c>
      <c r="D28" t="s">
        <v>41</v>
      </c>
      <c r="E28" t="s">
        <v>297</v>
      </c>
      <c r="F28" t="s">
        <v>19</v>
      </c>
      <c r="G28" t="s">
        <v>105</v>
      </c>
      <c r="H28" t="s">
        <v>11</v>
      </c>
      <c r="I28" t="s">
        <v>7</v>
      </c>
      <c r="J28" t="s">
        <v>83</v>
      </c>
      <c r="K28" t="s">
        <v>71</v>
      </c>
      <c r="L28" t="s">
        <v>80</v>
      </c>
      <c r="M28">
        <v>1</v>
      </c>
    </row>
    <row r="29" spans="1:13" x14ac:dyDescent="0.25">
      <c r="A29" s="1">
        <v>46129</v>
      </c>
      <c r="B29" s="1" t="str">
        <f ca="1">IF(Información1[[#This Row],[Fecha]]='Ajuste de fechas'!$A$2,"Día actual","Día anterior")</f>
        <v>Día actual</v>
      </c>
      <c r="C29" t="s">
        <v>39</v>
      </c>
      <c r="D29" t="s">
        <v>41</v>
      </c>
      <c r="E29" t="s">
        <v>298</v>
      </c>
      <c r="F29" t="s">
        <v>21</v>
      </c>
      <c r="G29" t="s">
        <v>105</v>
      </c>
      <c r="H29" t="s">
        <v>11</v>
      </c>
      <c r="I29" t="s">
        <v>7</v>
      </c>
      <c r="J29" t="s">
        <v>79</v>
      </c>
      <c r="K29" t="s">
        <v>71</v>
      </c>
      <c r="L29" t="s">
        <v>80</v>
      </c>
      <c r="M29">
        <v>1</v>
      </c>
    </row>
    <row r="30" spans="1:13" x14ac:dyDescent="0.25">
      <c r="A30" s="1">
        <v>46129</v>
      </c>
      <c r="B30" s="1" t="str">
        <f ca="1">IF(Información1[[#This Row],[Fecha]]='Ajuste de fechas'!$A$2,"Día actual","Día anterior")</f>
        <v>Día actual</v>
      </c>
      <c r="C30" t="s">
        <v>39</v>
      </c>
      <c r="D30" t="s">
        <v>41</v>
      </c>
      <c r="E30" t="s">
        <v>299</v>
      </c>
      <c r="F30" t="s">
        <v>59</v>
      </c>
      <c r="G30" t="s">
        <v>109</v>
      </c>
      <c r="H30" t="s">
        <v>11</v>
      </c>
      <c r="I30" t="s">
        <v>7</v>
      </c>
      <c r="J30" t="s">
        <v>79</v>
      </c>
      <c r="K30" t="s">
        <v>71</v>
      </c>
      <c r="L30" t="s">
        <v>80</v>
      </c>
      <c r="M30">
        <v>1</v>
      </c>
    </row>
    <row r="31" spans="1:13" x14ac:dyDescent="0.25">
      <c r="A31" s="1">
        <v>46129</v>
      </c>
      <c r="B31" s="1" t="str">
        <f ca="1">IF(Información1[[#This Row],[Fecha]]='Ajuste de fechas'!$A$2,"Día actual","Día anterior")</f>
        <v>Día actual</v>
      </c>
      <c r="C31" t="s">
        <v>39</v>
      </c>
      <c r="D31" t="s">
        <v>41</v>
      </c>
      <c r="E31" t="s">
        <v>300</v>
      </c>
      <c r="F31" t="s">
        <v>26</v>
      </c>
      <c r="G31" t="s">
        <v>301</v>
      </c>
      <c r="H31" t="s">
        <v>11</v>
      </c>
      <c r="I31" t="s">
        <v>7</v>
      </c>
      <c r="J31" t="s">
        <v>26</v>
      </c>
      <c r="K31" t="s">
        <v>71</v>
      </c>
      <c r="L31" t="s">
        <v>80</v>
      </c>
      <c r="M31">
        <v>1</v>
      </c>
    </row>
    <row r="32" spans="1:13" x14ac:dyDescent="0.25">
      <c r="A32" s="1">
        <v>46129</v>
      </c>
      <c r="B32" s="1" t="str">
        <f ca="1">IF(Información1[[#This Row],[Fecha]]='Ajuste de fechas'!$A$2,"Día actual","Día anterior")</f>
        <v>Día actual</v>
      </c>
      <c r="C32" t="s">
        <v>35</v>
      </c>
      <c r="D32" t="s">
        <v>37</v>
      </c>
      <c r="E32" t="s">
        <v>286</v>
      </c>
      <c r="F32" t="s">
        <v>6</v>
      </c>
      <c r="G32" t="s">
        <v>98</v>
      </c>
      <c r="H32" t="s">
        <v>11</v>
      </c>
      <c r="I32" t="s">
        <v>7</v>
      </c>
      <c r="J32" t="s">
        <v>79</v>
      </c>
      <c r="K32" t="s">
        <v>36</v>
      </c>
      <c r="L32" t="s">
        <v>82</v>
      </c>
      <c r="M32">
        <v>1</v>
      </c>
    </row>
    <row r="33" spans="1:13" x14ac:dyDescent="0.25">
      <c r="A33" s="1">
        <v>46129</v>
      </c>
      <c r="B33" s="1" t="str">
        <f ca="1">IF(Información1[[#This Row],[Fecha]]='Ajuste de fechas'!$A$2,"Día actual","Día anterior")</f>
        <v>Día actual</v>
      </c>
      <c r="C33" t="s">
        <v>35</v>
      </c>
      <c r="D33" t="s">
        <v>37</v>
      </c>
      <c r="E33" t="s">
        <v>302</v>
      </c>
      <c r="F33" t="s">
        <v>15</v>
      </c>
      <c r="G33" t="s">
        <v>262</v>
      </c>
      <c r="H33" t="s">
        <v>11</v>
      </c>
      <c r="I33" t="s">
        <v>7</v>
      </c>
      <c r="J33" t="s">
        <v>79</v>
      </c>
      <c r="K33" t="s">
        <v>36</v>
      </c>
      <c r="L33" t="s">
        <v>82</v>
      </c>
      <c r="M33">
        <v>1</v>
      </c>
    </row>
    <row r="34" spans="1:13" x14ac:dyDescent="0.25">
      <c r="A34" s="1">
        <v>46129</v>
      </c>
      <c r="B34" s="1" t="str">
        <f ca="1">IF(Información1[[#This Row],[Fecha]]='Ajuste de fechas'!$A$2,"Día actual","Día anterior")</f>
        <v>Día actual</v>
      </c>
      <c r="C34" t="s">
        <v>35</v>
      </c>
      <c r="D34" t="s">
        <v>37</v>
      </c>
      <c r="E34" t="s">
        <v>303</v>
      </c>
      <c r="F34" t="s">
        <v>120</v>
      </c>
      <c r="G34" t="s">
        <v>304</v>
      </c>
      <c r="H34" t="s">
        <v>11</v>
      </c>
      <c r="I34" t="s">
        <v>7</v>
      </c>
      <c r="J34" t="s">
        <v>79</v>
      </c>
      <c r="K34" t="s">
        <v>36</v>
      </c>
      <c r="L34" t="s">
        <v>82</v>
      </c>
      <c r="M34">
        <v>1</v>
      </c>
    </row>
    <row r="35" spans="1:13" x14ac:dyDescent="0.25">
      <c r="A35" s="1">
        <v>46129</v>
      </c>
      <c r="B35" s="1" t="str">
        <f ca="1">IF(Información1[[#This Row],[Fecha]]='Ajuste de fechas'!$A$2,"Día actual","Día anterior")</f>
        <v>Día actual</v>
      </c>
      <c r="C35" t="s">
        <v>35</v>
      </c>
      <c r="D35" t="s">
        <v>37</v>
      </c>
      <c r="E35" t="s">
        <v>305</v>
      </c>
      <c r="F35" t="s">
        <v>120</v>
      </c>
      <c r="G35" t="s">
        <v>270</v>
      </c>
      <c r="H35" t="s">
        <v>11</v>
      </c>
      <c r="I35" t="s">
        <v>7</v>
      </c>
      <c r="J35" t="s">
        <v>79</v>
      </c>
      <c r="K35" t="s">
        <v>36</v>
      </c>
      <c r="L35" t="s">
        <v>82</v>
      </c>
      <c r="M35">
        <v>1</v>
      </c>
    </row>
    <row r="36" spans="1:13" x14ac:dyDescent="0.25">
      <c r="A36" s="1">
        <v>46129</v>
      </c>
      <c r="B36" s="1" t="str">
        <f ca="1">IF(Información1[[#This Row],[Fecha]]='Ajuste de fechas'!$A$2,"Día actual","Día anterior")</f>
        <v>Día actual</v>
      </c>
      <c r="C36" t="s">
        <v>58</v>
      </c>
      <c r="D36" t="s">
        <v>42</v>
      </c>
      <c r="E36" t="s">
        <v>306</v>
      </c>
      <c r="F36" t="s">
        <v>15</v>
      </c>
      <c r="G36" t="s">
        <v>262</v>
      </c>
      <c r="H36" t="s">
        <v>11</v>
      </c>
      <c r="I36" t="s">
        <v>7</v>
      </c>
      <c r="J36" t="s">
        <v>79</v>
      </c>
      <c r="K36" t="s">
        <v>40</v>
      </c>
      <c r="L36" t="s">
        <v>82</v>
      </c>
      <c r="M36">
        <v>1</v>
      </c>
    </row>
    <row r="37" spans="1:13" x14ac:dyDescent="0.25">
      <c r="A37" s="1">
        <v>46129</v>
      </c>
      <c r="B37" s="1" t="str">
        <f ca="1">IF(Información1[[#This Row],[Fecha]]='Ajuste de fechas'!$A$2,"Día actual","Día anterior")</f>
        <v>Día actual</v>
      </c>
      <c r="C37" t="s">
        <v>39</v>
      </c>
      <c r="D37" t="s">
        <v>42</v>
      </c>
      <c r="E37" t="s">
        <v>308</v>
      </c>
      <c r="F37" t="s">
        <v>19</v>
      </c>
      <c r="G37" t="s">
        <v>288</v>
      </c>
      <c r="H37" t="s">
        <v>11</v>
      </c>
      <c r="I37" t="s">
        <v>27</v>
      </c>
      <c r="J37" t="s">
        <v>83</v>
      </c>
      <c r="K37" t="s">
        <v>40</v>
      </c>
      <c r="L37" t="s">
        <v>80</v>
      </c>
      <c r="M37">
        <v>1</v>
      </c>
    </row>
    <row r="38" spans="1:13" x14ac:dyDescent="0.25">
      <c r="A38" s="1">
        <v>46129</v>
      </c>
      <c r="B38" s="1" t="str">
        <f ca="1">IF(Información1[[#This Row],[Fecha]]='Ajuste de fechas'!$A$2,"Día actual","Día anterior")</f>
        <v>Día actual</v>
      </c>
      <c r="C38" t="s">
        <v>39</v>
      </c>
      <c r="D38" t="s">
        <v>42</v>
      </c>
      <c r="E38" t="s">
        <v>265</v>
      </c>
      <c r="F38" t="s">
        <v>24</v>
      </c>
      <c r="G38" t="s">
        <v>47</v>
      </c>
      <c r="H38" t="s">
        <v>11</v>
      </c>
      <c r="I38" t="s">
        <v>7</v>
      </c>
      <c r="J38" t="s">
        <v>79</v>
      </c>
      <c r="K38" t="s">
        <v>40</v>
      </c>
      <c r="L38" t="s">
        <v>82</v>
      </c>
      <c r="M38">
        <v>1</v>
      </c>
    </row>
    <row r="39" spans="1:13" x14ac:dyDescent="0.25">
      <c r="A39" s="1">
        <v>46129</v>
      </c>
      <c r="B39" s="1" t="str">
        <f ca="1">IF(Información1[[#This Row],[Fecha]]='Ajuste de fechas'!$A$2,"Día actual","Día anterior")</f>
        <v>Día actual</v>
      </c>
      <c r="C39" t="s">
        <v>39</v>
      </c>
      <c r="D39" t="s">
        <v>42</v>
      </c>
      <c r="E39" t="s">
        <v>309</v>
      </c>
      <c r="F39" t="s">
        <v>23</v>
      </c>
      <c r="G39" t="s">
        <v>310</v>
      </c>
      <c r="H39" t="s">
        <v>11</v>
      </c>
      <c r="I39" t="s">
        <v>7</v>
      </c>
      <c r="J39" t="s">
        <v>84</v>
      </c>
      <c r="K39" t="s">
        <v>40</v>
      </c>
      <c r="L39" t="s">
        <v>80</v>
      </c>
      <c r="M39">
        <v>1</v>
      </c>
    </row>
    <row r="40" spans="1:13" x14ac:dyDescent="0.25">
      <c r="A40" s="1">
        <v>46129</v>
      </c>
      <c r="B40" s="1" t="str">
        <f ca="1">IF(Información1[[#This Row],[Fecha]]='Ajuste de fechas'!$A$2,"Día actual","Día anterior")</f>
        <v>Día actual</v>
      </c>
      <c r="C40" t="s">
        <v>39</v>
      </c>
      <c r="D40" t="s">
        <v>42</v>
      </c>
      <c r="E40" t="s">
        <v>311</v>
      </c>
      <c r="F40" t="s">
        <v>19</v>
      </c>
      <c r="G40" t="s">
        <v>276</v>
      </c>
      <c r="H40" t="s">
        <v>11</v>
      </c>
      <c r="I40" t="s">
        <v>7</v>
      </c>
      <c r="J40" t="s">
        <v>83</v>
      </c>
      <c r="K40" t="s">
        <v>40</v>
      </c>
      <c r="L40" t="s">
        <v>85</v>
      </c>
      <c r="M40">
        <v>1</v>
      </c>
    </row>
    <row r="41" spans="1:13" x14ac:dyDescent="0.25">
      <c r="A41" s="1">
        <v>46129</v>
      </c>
      <c r="B41" s="1" t="str">
        <f ca="1">IF(Información1[[#This Row],[Fecha]]='Ajuste de fechas'!$A$2,"Día actual","Día anterior")</f>
        <v>Día actual</v>
      </c>
      <c r="C41" t="s">
        <v>39</v>
      </c>
      <c r="D41" t="s">
        <v>42</v>
      </c>
      <c r="E41" t="s">
        <v>312</v>
      </c>
      <c r="F41" t="s">
        <v>19</v>
      </c>
      <c r="G41" t="s">
        <v>288</v>
      </c>
      <c r="H41" t="s">
        <v>11</v>
      </c>
      <c r="I41" t="s">
        <v>7</v>
      </c>
      <c r="J41" t="s">
        <v>83</v>
      </c>
      <c r="K41" t="s">
        <v>40</v>
      </c>
      <c r="L41" t="s">
        <v>80</v>
      </c>
      <c r="M41">
        <v>1</v>
      </c>
    </row>
    <row r="42" spans="1:13" x14ac:dyDescent="0.25">
      <c r="A42" s="1">
        <v>46129</v>
      </c>
      <c r="B42" s="1" t="str">
        <f ca="1">IF(Información1[[#This Row],[Fecha]]='Ajuste de fechas'!$A$2,"Día actual","Día anterior")</f>
        <v>Día actual</v>
      </c>
      <c r="C42" t="s">
        <v>39</v>
      </c>
      <c r="D42" t="s">
        <v>42</v>
      </c>
      <c r="E42" t="s">
        <v>313</v>
      </c>
      <c r="F42" t="s">
        <v>21</v>
      </c>
      <c r="G42" t="s">
        <v>140</v>
      </c>
      <c r="H42" t="s">
        <v>11</v>
      </c>
      <c r="I42" t="s">
        <v>7</v>
      </c>
      <c r="J42" t="s">
        <v>79</v>
      </c>
      <c r="K42" t="s">
        <v>40</v>
      </c>
      <c r="L42" t="s">
        <v>80</v>
      </c>
      <c r="M42">
        <v>1</v>
      </c>
    </row>
    <row r="43" spans="1:13" x14ac:dyDescent="0.25">
      <c r="A43" s="1">
        <v>46129</v>
      </c>
      <c r="B43" s="1" t="str">
        <f ca="1">IF(Información1[[#This Row],[Fecha]]='Ajuste de fechas'!$A$2,"Día actual","Día anterior")</f>
        <v>Día actual</v>
      </c>
      <c r="C43" t="s">
        <v>39</v>
      </c>
      <c r="D43" t="s">
        <v>42</v>
      </c>
      <c r="E43" t="s">
        <v>274</v>
      </c>
      <c r="F43" t="s">
        <v>24</v>
      </c>
      <c r="G43" t="s">
        <v>96</v>
      </c>
      <c r="H43" t="s">
        <v>11</v>
      </c>
      <c r="I43" t="s">
        <v>7</v>
      </c>
      <c r="J43" t="s">
        <v>79</v>
      </c>
      <c r="K43" t="s">
        <v>40</v>
      </c>
      <c r="L43" t="s">
        <v>82</v>
      </c>
      <c r="M43">
        <v>1</v>
      </c>
    </row>
    <row r="44" spans="1:13" x14ac:dyDescent="0.25">
      <c r="A44" s="1">
        <v>46129</v>
      </c>
      <c r="B44" s="1" t="str">
        <f ca="1">IF(Información1[[#This Row],[Fecha]]='Ajuste de fechas'!$A$2,"Día actual","Día anterior")</f>
        <v>Día actual</v>
      </c>
      <c r="C44" t="s">
        <v>39</v>
      </c>
      <c r="D44" t="s">
        <v>42</v>
      </c>
      <c r="E44" t="s">
        <v>314</v>
      </c>
      <c r="F44" t="s">
        <v>25</v>
      </c>
      <c r="G44" t="s">
        <v>278</v>
      </c>
      <c r="H44" t="s">
        <v>11</v>
      </c>
      <c r="I44" t="s">
        <v>7</v>
      </c>
      <c r="J44" t="s">
        <v>79</v>
      </c>
      <c r="K44" t="s">
        <v>40</v>
      </c>
      <c r="L44" t="s">
        <v>82</v>
      </c>
      <c r="M44">
        <v>1</v>
      </c>
    </row>
    <row r="45" spans="1:13" x14ac:dyDescent="0.25">
      <c r="A45" s="1">
        <v>46129</v>
      </c>
      <c r="B45" s="1" t="str">
        <f ca="1">IF(Información1[[#This Row],[Fecha]]='Ajuste de fechas'!$A$2,"Día actual","Día anterior")</f>
        <v>Día actual</v>
      </c>
      <c r="C45" t="s">
        <v>39</v>
      </c>
      <c r="D45" t="s">
        <v>42</v>
      </c>
      <c r="E45" t="s">
        <v>315</v>
      </c>
      <c r="F45" t="s">
        <v>38</v>
      </c>
      <c r="G45" t="s">
        <v>316</v>
      </c>
      <c r="H45" t="s">
        <v>11</v>
      </c>
      <c r="I45" t="s">
        <v>7</v>
      </c>
      <c r="J45" t="s">
        <v>79</v>
      </c>
      <c r="K45" t="s">
        <v>40</v>
      </c>
      <c r="L45" t="s">
        <v>81</v>
      </c>
      <c r="M45">
        <v>1</v>
      </c>
    </row>
    <row r="46" spans="1:13" x14ac:dyDescent="0.25">
      <c r="A46" s="1">
        <v>46129</v>
      </c>
      <c r="B46" s="1" t="str">
        <f ca="1">IF(Información1[[#This Row],[Fecha]]='Ajuste de fechas'!$A$2,"Día actual","Día anterior")</f>
        <v>Día actual</v>
      </c>
      <c r="C46" t="s">
        <v>39</v>
      </c>
      <c r="D46" t="s">
        <v>42</v>
      </c>
      <c r="E46" t="s">
        <v>317</v>
      </c>
      <c r="F46" t="s">
        <v>38</v>
      </c>
      <c r="G46" t="s">
        <v>318</v>
      </c>
      <c r="H46" t="s">
        <v>11</v>
      </c>
      <c r="I46" t="s">
        <v>7</v>
      </c>
      <c r="J46" t="s">
        <v>79</v>
      </c>
      <c r="K46" t="s">
        <v>40</v>
      </c>
      <c r="L46" t="s">
        <v>80</v>
      </c>
      <c r="M46">
        <v>1</v>
      </c>
    </row>
    <row r="47" spans="1:13" x14ac:dyDescent="0.25">
      <c r="A47" s="1">
        <v>46129</v>
      </c>
      <c r="B47" s="1" t="str">
        <f ca="1">IF(Información1[[#This Row],[Fecha]]='Ajuste de fechas'!$A$2,"Día actual","Día anterior")</f>
        <v>Día actual</v>
      </c>
      <c r="C47" t="s">
        <v>39</v>
      </c>
      <c r="D47" t="s">
        <v>42</v>
      </c>
      <c r="E47" t="s">
        <v>319</v>
      </c>
      <c r="F47" t="s">
        <v>28</v>
      </c>
      <c r="G47" t="s">
        <v>320</v>
      </c>
      <c r="H47" t="s">
        <v>11</v>
      </c>
      <c r="I47" t="s">
        <v>7</v>
      </c>
      <c r="J47" t="s">
        <v>79</v>
      </c>
      <c r="K47" t="s">
        <v>40</v>
      </c>
      <c r="L47" t="s">
        <v>80</v>
      </c>
      <c r="M47">
        <v>1</v>
      </c>
    </row>
    <row r="48" spans="1:13" x14ac:dyDescent="0.25">
      <c r="A48" s="1">
        <v>46129</v>
      </c>
      <c r="B48" s="1" t="str">
        <f ca="1">IF(Información1[[#This Row],[Fecha]]='Ajuste de fechas'!$A$2,"Día actual","Día anterior")</f>
        <v>Día actual</v>
      </c>
      <c r="C48" t="s">
        <v>39</v>
      </c>
      <c r="D48" t="s">
        <v>42</v>
      </c>
      <c r="E48" t="s">
        <v>321</v>
      </c>
      <c r="F48" t="s">
        <v>15</v>
      </c>
      <c r="G48" t="s">
        <v>322</v>
      </c>
      <c r="H48" t="s">
        <v>11</v>
      </c>
      <c r="I48" t="s">
        <v>7</v>
      </c>
      <c r="J48" t="s">
        <v>79</v>
      </c>
      <c r="K48" t="s">
        <v>40</v>
      </c>
      <c r="L48" t="s">
        <v>80</v>
      </c>
      <c r="M48">
        <v>1</v>
      </c>
    </row>
    <row r="49" spans="1:13" x14ac:dyDescent="0.25">
      <c r="A49" s="1">
        <v>46129</v>
      </c>
      <c r="B49" s="1" t="str">
        <f ca="1">IF(Información1[[#This Row],[Fecha]]='Ajuste de fechas'!$A$2,"Día actual","Día anterior")</f>
        <v>Día actual</v>
      </c>
      <c r="C49" t="s">
        <v>39</v>
      </c>
      <c r="D49" t="s">
        <v>42</v>
      </c>
      <c r="E49" t="s">
        <v>323</v>
      </c>
      <c r="F49" t="s">
        <v>28</v>
      </c>
      <c r="G49" t="s">
        <v>324</v>
      </c>
      <c r="H49" t="s">
        <v>11</v>
      </c>
      <c r="I49" t="s">
        <v>7</v>
      </c>
      <c r="J49" t="s">
        <v>79</v>
      </c>
      <c r="K49" t="s">
        <v>40</v>
      </c>
      <c r="L49" t="s">
        <v>80</v>
      </c>
      <c r="M49">
        <v>1</v>
      </c>
    </row>
    <row r="50" spans="1:13" x14ac:dyDescent="0.25">
      <c r="A50" s="1">
        <v>46129</v>
      </c>
      <c r="B50" s="1" t="str">
        <f ca="1">IF(Información1[[#This Row],[Fecha]]='Ajuste de fechas'!$A$2,"Día actual","Día anterior")</f>
        <v>Día actual</v>
      </c>
      <c r="C50" t="s">
        <v>39</v>
      </c>
      <c r="D50" t="s">
        <v>42</v>
      </c>
      <c r="E50" t="s">
        <v>325</v>
      </c>
      <c r="F50" t="s">
        <v>23</v>
      </c>
      <c r="G50" t="s">
        <v>322</v>
      </c>
      <c r="H50" t="s">
        <v>11</v>
      </c>
      <c r="I50" t="s">
        <v>7</v>
      </c>
      <c r="J50" t="s">
        <v>84</v>
      </c>
      <c r="K50" t="s">
        <v>40</v>
      </c>
      <c r="L50" t="s">
        <v>80</v>
      </c>
      <c r="M50">
        <v>1</v>
      </c>
    </row>
    <row r="51" spans="1:13" x14ac:dyDescent="0.25">
      <c r="A51" s="1">
        <v>46129</v>
      </c>
      <c r="B51" s="1" t="str">
        <f ca="1">IF(Información1[[#This Row],[Fecha]]='Ajuste de fechas'!$A$2,"Día actual","Día anterior")</f>
        <v>Día actual</v>
      </c>
      <c r="C51" t="s">
        <v>39</v>
      </c>
      <c r="D51" t="s">
        <v>42</v>
      </c>
      <c r="E51" t="s">
        <v>326</v>
      </c>
      <c r="F51" t="s">
        <v>15</v>
      </c>
      <c r="G51" t="s">
        <v>322</v>
      </c>
      <c r="H51" t="s">
        <v>11</v>
      </c>
      <c r="I51" t="s">
        <v>7</v>
      </c>
      <c r="J51" t="s">
        <v>79</v>
      </c>
      <c r="K51" t="s">
        <v>40</v>
      </c>
      <c r="L51" t="s">
        <v>80</v>
      </c>
      <c r="M51">
        <v>1</v>
      </c>
    </row>
    <row r="52" spans="1:13" x14ac:dyDescent="0.25">
      <c r="A52" s="1">
        <v>46129</v>
      </c>
      <c r="B52" s="1" t="str">
        <f ca="1">IF(Información1[[#This Row],[Fecha]]='Ajuste de fechas'!$A$2,"Día actual","Día anterior")</f>
        <v>Día actual</v>
      </c>
      <c r="C52" t="s">
        <v>8</v>
      </c>
      <c r="D52" t="s">
        <v>10</v>
      </c>
      <c r="E52" t="s">
        <v>327</v>
      </c>
      <c r="F52" t="s">
        <v>6</v>
      </c>
      <c r="G52" t="s">
        <v>69</v>
      </c>
      <c r="H52" t="s">
        <v>11</v>
      </c>
      <c r="I52" t="s">
        <v>27</v>
      </c>
      <c r="J52" t="s">
        <v>79</v>
      </c>
      <c r="K52" t="s">
        <v>9</v>
      </c>
      <c r="L52" t="s">
        <v>81</v>
      </c>
      <c r="M52">
        <v>1</v>
      </c>
    </row>
    <row r="53" spans="1:13" x14ac:dyDescent="0.25">
      <c r="A53" s="1">
        <v>46129</v>
      </c>
      <c r="B53" s="1" t="str">
        <f ca="1">IF(Información1[[#This Row],[Fecha]]='Ajuste de fechas'!$A$2,"Día actual","Día anterior")</f>
        <v>Día actual</v>
      </c>
      <c r="C53" t="s">
        <v>8</v>
      </c>
      <c r="D53" t="s">
        <v>10</v>
      </c>
      <c r="E53" t="s">
        <v>328</v>
      </c>
      <c r="F53" t="s">
        <v>6</v>
      </c>
      <c r="G53" t="s">
        <v>69</v>
      </c>
      <c r="H53" t="s">
        <v>11</v>
      </c>
      <c r="I53" t="s">
        <v>27</v>
      </c>
      <c r="J53" t="s">
        <v>79</v>
      </c>
      <c r="K53" t="s">
        <v>9</v>
      </c>
      <c r="L53" t="s">
        <v>81</v>
      </c>
      <c r="M53">
        <v>1</v>
      </c>
    </row>
    <row r="54" spans="1:13" x14ac:dyDescent="0.25">
      <c r="A54" s="1">
        <v>46129</v>
      </c>
      <c r="B54" s="1" t="str">
        <f ca="1">IF(Información1[[#This Row],[Fecha]]='Ajuste de fechas'!$A$2,"Día actual","Día anterior")</f>
        <v>Día actual</v>
      </c>
      <c r="C54" t="s">
        <v>8</v>
      </c>
      <c r="D54" t="s">
        <v>10</v>
      </c>
      <c r="E54" t="s">
        <v>329</v>
      </c>
      <c r="F54" t="s">
        <v>6</v>
      </c>
      <c r="G54" t="s">
        <v>69</v>
      </c>
      <c r="H54" t="s">
        <v>11</v>
      </c>
      <c r="I54" t="s">
        <v>27</v>
      </c>
      <c r="J54" t="s">
        <v>79</v>
      </c>
      <c r="K54" t="s">
        <v>9</v>
      </c>
      <c r="L54" t="s">
        <v>81</v>
      </c>
      <c r="M54">
        <v>1</v>
      </c>
    </row>
    <row r="55" spans="1:13" x14ac:dyDescent="0.25">
      <c r="A55" s="1">
        <v>46129</v>
      </c>
      <c r="B55" s="1" t="str">
        <f ca="1">IF(Información1[[#This Row],[Fecha]]='Ajuste de fechas'!$A$2,"Día actual","Día anterior")</f>
        <v>Día actual</v>
      </c>
      <c r="C55" t="s">
        <v>8</v>
      </c>
      <c r="D55" t="s">
        <v>10</v>
      </c>
      <c r="E55" t="s">
        <v>330</v>
      </c>
      <c r="F55" t="s">
        <v>19</v>
      </c>
      <c r="G55" t="s">
        <v>136</v>
      </c>
      <c r="H55" t="s">
        <v>11</v>
      </c>
      <c r="I55" t="s">
        <v>7</v>
      </c>
      <c r="J55" t="s">
        <v>83</v>
      </c>
      <c r="K55" t="s">
        <v>9</v>
      </c>
      <c r="L55" t="s">
        <v>81</v>
      </c>
      <c r="M55">
        <v>1</v>
      </c>
    </row>
    <row r="56" spans="1:13" x14ac:dyDescent="0.25">
      <c r="A56" s="1">
        <v>46129</v>
      </c>
      <c r="B56" s="1" t="str">
        <f ca="1">IF(Información1[[#This Row],[Fecha]]='Ajuste de fechas'!$A$2,"Día actual","Día anterior")</f>
        <v>Día actual</v>
      </c>
      <c r="C56" t="s">
        <v>8</v>
      </c>
      <c r="D56" t="s">
        <v>10</v>
      </c>
      <c r="E56" t="s">
        <v>331</v>
      </c>
      <c r="F56" t="s">
        <v>23</v>
      </c>
      <c r="G56" t="s">
        <v>105</v>
      </c>
      <c r="H56" t="s">
        <v>11</v>
      </c>
      <c r="I56" t="s">
        <v>7</v>
      </c>
      <c r="J56" t="s">
        <v>84</v>
      </c>
      <c r="K56" t="s">
        <v>14</v>
      </c>
      <c r="L56" t="s">
        <v>81</v>
      </c>
      <c r="M56">
        <v>1</v>
      </c>
    </row>
    <row r="57" spans="1:13" x14ac:dyDescent="0.25">
      <c r="A57" s="1">
        <v>46129</v>
      </c>
      <c r="B57" s="1" t="str">
        <f ca="1">IF(Información1[[#This Row],[Fecha]]='Ajuste de fechas'!$A$2,"Día actual","Día anterior")</f>
        <v>Día actual</v>
      </c>
      <c r="C57" t="s">
        <v>8</v>
      </c>
      <c r="D57" t="s">
        <v>10</v>
      </c>
      <c r="E57" t="s">
        <v>265</v>
      </c>
      <c r="F57" t="s">
        <v>24</v>
      </c>
      <c r="G57" t="s">
        <v>47</v>
      </c>
      <c r="H57" t="s">
        <v>11</v>
      </c>
      <c r="I57" t="s">
        <v>7</v>
      </c>
      <c r="J57" t="s">
        <v>79</v>
      </c>
      <c r="K57" t="s">
        <v>14</v>
      </c>
      <c r="L57" t="s">
        <v>82</v>
      </c>
      <c r="M57">
        <v>1</v>
      </c>
    </row>
    <row r="58" spans="1:13" x14ac:dyDescent="0.25">
      <c r="A58" s="1">
        <v>46129</v>
      </c>
      <c r="B58" s="1" t="str">
        <f ca="1">IF(Información1[[#This Row],[Fecha]]='Ajuste de fechas'!$A$2,"Día actual","Día anterior")</f>
        <v>Día actual</v>
      </c>
      <c r="C58" t="s">
        <v>8</v>
      </c>
      <c r="D58" t="s">
        <v>10</v>
      </c>
      <c r="E58" t="s">
        <v>332</v>
      </c>
      <c r="F58" t="s">
        <v>19</v>
      </c>
      <c r="G58" t="s">
        <v>29</v>
      </c>
      <c r="H58" t="s">
        <v>11</v>
      </c>
      <c r="I58" t="s">
        <v>7</v>
      </c>
      <c r="J58" t="s">
        <v>83</v>
      </c>
      <c r="K58" t="s">
        <v>14</v>
      </c>
      <c r="L58" t="s">
        <v>80</v>
      </c>
      <c r="M58">
        <v>1</v>
      </c>
    </row>
    <row r="59" spans="1:13" x14ac:dyDescent="0.25">
      <c r="A59" s="1">
        <v>46129</v>
      </c>
      <c r="B59" s="1" t="str">
        <f ca="1">IF(Información1[[#This Row],[Fecha]]='Ajuste de fechas'!$A$2,"Día actual","Día anterior")</f>
        <v>Día actual</v>
      </c>
      <c r="C59" t="s">
        <v>8</v>
      </c>
      <c r="D59" t="s">
        <v>10</v>
      </c>
      <c r="E59" t="s">
        <v>333</v>
      </c>
      <c r="F59" t="s">
        <v>22</v>
      </c>
      <c r="G59" t="s">
        <v>152</v>
      </c>
      <c r="H59" t="s">
        <v>11</v>
      </c>
      <c r="I59" t="s">
        <v>7</v>
      </c>
      <c r="J59" t="s">
        <v>26</v>
      </c>
      <c r="K59" t="s">
        <v>14</v>
      </c>
      <c r="L59" t="s">
        <v>80</v>
      </c>
      <c r="M59">
        <v>1</v>
      </c>
    </row>
    <row r="60" spans="1:13" x14ac:dyDescent="0.25">
      <c r="A60" s="1">
        <v>46129</v>
      </c>
      <c r="B60" s="1" t="str">
        <f ca="1">IF(Información1[[#This Row],[Fecha]]='Ajuste de fechas'!$A$2,"Día actual","Día anterior")</f>
        <v>Día actual</v>
      </c>
      <c r="C60" t="s">
        <v>8</v>
      </c>
      <c r="D60" t="s">
        <v>10</v>
      </c>
      <c r="E60" t="s">
        <v>334</v>
      </c>
      <c r="F60" t="s">
        <v>23</v>
      </c>
      <c r="G60" t="s">
        <v>322</v>
      </c>
      <c r="H60" t="s">
        <v>11</v>
      </c>
      <c r="I60" t="s">
        <v>7</v>
      </c>
      <c r="J60" t="s">
        <v>84</v>
      </c>
      <c r="K60" t="s">
        <v>14</v>
      </c>
      <c r="L60" t="s">
        <v>80</v>
      </c>
      <c r="M60">
        <v>1</v>
      </c>
    </row>
    <row r="61" spans="1:13" x14ac:dyDescent="0.25">
      <c r="A61" s="1">
        <v>46129</v>
      </c>
      <c r="B61" s="1" t="str">
        <f ca="1">IF(Información1[[#This Row],[Fecha]]='Ajuste de fechas'!$A$2,"Día actual","Día anterior")</f>
        <v>Día actual</v>
      </c>
      <c r="C61" t="s">
        <v>8</v>
      </c>
      <c r="D61" t="s">
        <v>10</v>
      </c>
      <c r="E61" t="s">
        <v>204</v>
      </c>
      <c r="F61" t="s">
        <v>15</v>
      </c>
      <c r="G61" t="s">
        <v>322</v>
      </c>
      <c r="H61" t="s">
        <v>11</v>
      </c>
      <c r="I61" t="s">
        <v>7</v>
      </c>
      <c r="J61" t="s">
        <v>79</v>
      </c>
      <c r="K61" t="s">
        <v>14</v>
      </c>
      <c r="L61" t="s">
        <v>80</v>
      </c>
      <c r="M61">
        <v>1</v>
      </c>
    </row>
    <row r="62" spans="1:13" x14ac:dyDescent="0.25">
      <c r="A62" s="1">
        <v>46129</v>
      </c>
      <c r="B62" s="1" t="str">
        <f ca="1">IF(Información1[[#This Row],[Fecha]]='Ajuste de fechas'!$A$2,"Día actual","Día anterior")</f>
        <v>Día actual</v>
      </c>
      <c r="C62" t="s">
        <v>8</v>
      </c>
      <c r="D62" t="s">
        <v>10</v>
      </c>
      <c r="E62" t="s">
        <v>335</v>
      </c>
      <c r="F62" t="s">
        <v>6</v>
      </c>
      <c r="G62" t="s">
        <v>98</v>
      </c>
      <c r="H62" t="s">
        <v>11</v>
      </c>
      <c r="I62" t="s">
        <v>7</v>
      </c>
      <c r="J62" t="s">
        <v>79</v>
      </c>
      <c r="K62" t="s">
        <v>14</v>
      </c>
      <c r="L62" t="s">
        <v>80</v>
      </c>
      <c r="M62">
        <v>1</v>
      </c>
    </row>
    <row r="63" spans="1:13" x14ac:dyDescent="0.25">
      <c r="A63" s="1">
        <v>46129</v>
      </c>
      <c r="B63" s="1" t="str">
        <f ca="1">IF(Información1[[#This Row],[Fecha]]='Ajuste de fechas'!$A$2,"Día actual","Día anterior")</f>
        <v>Día actual</v>
      </c>
      <c r="C63" t="s">
        <v>8</v>
      </c>
      <c r="D63" t="s">
        <v>10</v>
      </c>
      <c r="E63" t="s">
        <v>184</v>
      </c>
      <c r="F63" t="s">
        <v>6</v>
      </c>
      <c r="G63" t="s">
        <v>142</v>
      </c>
      <c r="H63" t="s">
        <v>11</v>
      </c>
      <c r="I63" t="s">
        <v>7</v>
      </c>
      <c r="J63" t="s">
        <v>79</v>
      </c>
      <c r="K63" t="s">
        <v>14</v>
      </c>
      <c r="L63" t="s">
        <v>82</v>
      </c>
      <c r="M63">
        <v>1</v>
      </c>
    </row>
    <row r="64" spans="1:13" x14ac:dyDescent="0.25">
      <c r="A64" s="1">
        <v>46129</v>
      </c>
      <c r="B64" s="1" t="str">
        <f ca="1">IF(Información1[[#This Row],[Fecha]]='Ajuste de fechas'!$A$2,"Día actual","Día anterior")</f>
        <v>Día actual</v>
      </c>
      <c r="C64" t="s">
        <v>8</v>
      </c>
      <c r="D64" t="s">
        <v>10</v>
      </c>
      <c r="E64" t="s">
        <v>20</v>
      </c>
      <c r="F64" t="s">
        <v>19</v>
      </c>
      <c r="G64" t="s">
        <v>70</v>
      </c>
      <c r="H64" t="s">
        <v>11</v>
      </c>
      <c r="I64" t="s">
        <v>12</v>
      </c>
      <c r="J64" t="s">
        <v>83</v>
      </c>
      <c r="K64" t="s">
        <v>14</v>
      </c>
      <c r="L64" t="s">
        <v>81</v>
      </c>
      <c r="M64">
        <v>1</v>
      </c>
    </row>
    <row r="65" spans="1:13" x14ac:dyDescent="0.25">
      <c r="A65" s="1">
        <v>46129</v>
      </c>
      <c r="B65" s="1" t="str">
        <f ca="1">IF(Información1[[#This Row],[Fecha]]='Ajuste de fechas'!$A$2,"Día actual","Día anterior")</f>
        <v>Día actual</v>
      </c>
      <c r="C65" t="s">
        <v>8</v>
      </c>
      <c r="D65" t="s">
        <v>10</v>
      </c>
      <c r="E65" t="s">
        <v>18</v>
      </c>
      <c r="F65" t="s">
        <v>19</v>
      </c>
      <c r="G65" t="s">
        <v>70</v>
      </c>
      <c r="H65" t="s">
        <v>11</v>
      </c>
      <c r="I65" t="s">
        <v>12</v>
      </c>
      <c r="J65" t="s">
        <v>83</v>
      </c>
      <c r="K65" t="s">
        <v>14</v>
      </c>
      <c r="L65" t="s">
        <v>81</v>
      </c>
      <c r="M65">
        <v>1</v>
      </c>
    </row>
    <row r="66" spans="1:13" x14ac:dyDescent="0.25">
      <c r="A66" s="1">
        <v>46129</v>
      </c>
      <c r="B66" s="1" t="str">
        <f ca="1">IF(Información1[[#This Row],[Fecha]]='Ajuste de fechas'!$A$2,"Día actual","Día anterior")</f>
        <v>Día actual</v>
      </c>
      <c r="C66" t="s">
        <v>8</v>
      </c>
      <c r="D66" t="s">
        <v>10</v>
      </c>
      <c r="E66" t="s">
        <v>65</v>
      </c>
      <c r="F66" t="s">
        <v>22</v>
      </c>
      <c r="G66" t="s">
        <v>70</v>
      </c>
      <c r="H66" t="s">
        <v>11</v>
      </c>
      <c r="I66" t="s">
        <v>12</v>
      </c>
      <c r="J66" t="s">
        <v>26</v>
      </c>
      <c r="K66" t="s">
        <v>14</v>
      </c>
      <c r="L66" t="s">
        <v>81</v>
      </c>
      <c r="M66">
        <v>1</v>
      </c>
    </row>
    <row r="67" spans="1:13" x14ac:dyDescent="0.25">
      <c r="A67" s="1">
        <v>46129</v>
      </c>
      <c r="B67" s="1" t="str">
        <f ca="1">IF(Información1[[#This Row],[Fecha]]='Ajuste de fechas'!$A$2,"Día actual","Día anterior")</f>
        <v>Día actual</v>
      </c>
      <c r="C67" t="s">
        <v>8</v>
      </c>
      <c r="D67" t="s">
        <v>10</v>
      </c>
      <c r="E67" t="s">
        <v>89</v>
      </c>
      <c r="F67" t="s">
        <v>21</v>
      </c>
      <c r="G67" t="s">
        <v>70</v>
      </c>
      <c r="H67" t="s">
        <v>11</v>
      </c>
      <c r="I67" t="s">
        <v>12</v>
      </c>
      <c r="J67" t="s">
        <v>79</v>
      </c>
      <c r="K67" t="s">
        <v>14</v>
      </c>
      <c r="L67" t="s">
        <v>81</v>
      </c>
      <c r="M67">
        <v>1</v>
      </c>
    </row>
    <row r="68" spans="1:13" x14ac:dyDescent="0.25">
      <c r="A68" s="1">
        <v>46129</v>
      </c>
      <c r="B68" s="1" t="str">
        <f ca="1">IF(Información1[[#This Row],[Fecha]]='Ajuste de fechas'!$A$2,"Día actual","Día anterior")</f>
        <v>Día actual</v>
      </c>
      <c r="C68" t="s">
        <v>8</v>
      </c>
      <c r="D68" t="s">
        <v>10</v>
      </c>
      <c r="E68" t="s">
        <v>13</v>
      </c>
      <c r="F68" t="s">
        <v>15</v>
      </c>
      <c r="G68" t="s">
        <v>70</v>
      </c>
      <c r="H68" t="s">
        <v>11</v>
      </c>
      <c r="I68" t="s">
        <v>12</v>
      </c>
      <c r="J68" t="s">
        <v>79</v>
      </c>
      <c r="K68" t="s">
        <v>14</v>
      </c>
      <c r="L68" t="s">
        <v>81</v>
      </c>
      <c r="M68">
        <v>1</v>
      </c>
    </row>
    <row r="69" spans="1:13" x14ac:dyDescent="0.25">
      <c r="A69" s="1">
        <v>46129</v>
      </c>
      <c r="B69" s="1" t="str">
        <f ca="1">IF(Información1[[#This Row],[Fecha]]='Ajuste de fechas'!$A$2,"Día actual","Día anterior")</f>
        <v>Día actual</v>
      </c>
      <c r="C69" t="s">
        <v>8</v>
      </c>
      <c r="D69" t="s">
        <v>10</v>
      </c>
      <c r="E69" t="s">
        <v>16</v>
      </c>
      <c r="F69" t="s">
        <v>17</v>
      </c>
      <c r="G69" t="s">
        <v>70</v>
      </c>
      <c r="H69" t="s">
        <v>11</v>
      </c>
      <c r="I69" t="s">
        <v>12</v>
      </c>
      <c r="J69" t="s">
        <v>79</v>
      </c>
      <c r="K69" t="s">
        <v>14</v>
      </c>
      <c r="L69" t="s">
        <v>81</v>
      </c>
      <c r="M69">
        <v>1</v>
      </c>
    </row>
    <row r="70" spans="1:13" x14ac:dyDescent="0.25">
      <c r="A70" s="1">
        <v>46129</v>
      </c>
      <c r="B70" s="1" t="str">
        <f ca="1">IF(Información1[[#This Row],[Fecha]]='Ajuste de fechas'!$A$2,"Día actual","Día anterior")</f>
        <v>Día actual</v>
      </c>
      <c r="C70" t="s">
        <v>8</v>
      </c>
      <c r="D70" t="s">
        <v>10</v>
      </c>
      <c r="E70" t="s">
        <v>72</v>
      </c>
      <c r="F70" t="s">
        <v>6</v>
      </c>
      <c r="G70" t="s">
        <v>70</v>
      </c>
      <c r="H70" t="s">
        <v>11</v>
      </c>
      <c r="I70" t="s">
        <v>12</v>
      </c>
      <c r="J70" t="s">
        <v>79</v>
      </c>
      <c r="K70" t="s">
        <v>14</v>
      </c>
      <c r="L70" t="s">
        <v>81</v>
      </c>
      <c r="M70">
        <v>1</v>
      </c>
    </row>
    <row r="71" spans="1:13" x14ac:dyDescent="0.25">
      <c r="A71" s="1">
        <v>46129</v>
      </c>
      <c r="B71" s="1" t="str">
        <f ca="1">IF(Información1[[#This Row],[Fecha]]='Ajuste de fechas'!$A$2,"Día actual","Día anterior")</f>
        <v>Día actual</v>
      </c>
      <c r="C71" t="s">
        <v>60</v>
      </c>
      <c r="D71" t="s">
        <v>61</v>
      </c>
      <c r="E71" t="s">
        <v>349</v>
      </c>
      <c r="F71" t="s">
        <v>15</v>
      </c>
      <c r="G71" t="s">
        <v>262</v>
      </c>
      <c r="H71" t="s">
        <v>11</v>
      </c>
      <c r="I71" t="s">
        <v>7</v>
      </c>
      <c r="J71" t="s">
        <v>79</v>
      </c>
      <c r="K71" t="s">
        <v>62</v>
      </c>
      <c r="L71" t="s">
        <v>80</v>
      </c>
      <c r="M71">
        <v>1</v>
      </c>
    </row>
    <row r="72" spans="1:13" x14ac:dyDescent="0.25">
      <c r="A72" s="1">
        <v>46129</v>
      </c>
      <c r="B72" s="1" t="str">
        <f ca="1">IF(Información1[[#This Row],[Fecha]]='Ajuste de fechas'!$A$2,"Día actual","Día anterior")</f>
        <v>Día actual</v>
      </c>
      <c r="C72" t="s">
        <v>60</v>
      </c>
      <c r="D72" t="s">
        <v>61</v>
      </c>
      <c r="E72" t="s">
        <v>350</v>
      </c>
      <c r="F72" t="s">
        <v>19</v>
      </c>
      <c r="G72" t="s">
        <v>276</v>
      </c>
      <c r="H72" t="s">
        <v>11</v>
      </c>
      <c r="I72" t="s">
        <v>7</v>
      </c>
      <c r="J72" t="s">
        <v>83</v>
      </c>
      <c r="K72" t="s">
        <v>62</v>
      </c>
      <c r="L72" t="s">
        <v>80</v>
      </c>
      <c r="M72">
        <v>1</v>
      </c>
    </row>
    <row r="73" spans="1:13" x14ac:dyDescent="0.25">
      <c r="A73" s="1">
        <v>46129</v>
      </c>
      <c r="B73" s="1" t="str">
        <f ca="1">IF(Información1[[#This Row],[Fecha]]='Ajuste de fechas'!$A$2,"Día actual","Día anterior")</f>
        <v>Día actual</v>
      </c>
      <c r="C73" t="s">
        <v>60</v>
      </c>
      <c r="D73" t="s">
        <v>61</v>
      </c>
      <c r="E73" t="s">
        <v>351</v>
      </c>
      <c r="F73" t="s">
        <v>63</v>
      </c>
      <c r="G73" t="s">
        <v>268</v>
      </c>
      <c r="H73" t="s">
        <v>11</v>
      </c>
      <c r="I73" t="s">
        <v>7</v>
      </c>
      <c r="J73" t="s">
        <v>79</v>
      </c>
      <c r="K73" t="s">
        <v>62</v>
      </c>
      <c r="L73" t="s">
        <v>82</v>
      </c>
      <c r="M73">
        <v>1</v>
      </c>
    </row>
    <row r="74" spans="1:13" x14ac:dyDescent="0.25">
      <c r="A74" s="1">
        <v>46129</v>
      </c>
      <c r="B74" s="1" t="str">
        <f ca="1">IF(Información1[[#This Row],[Fecha]]='Ajuste de fechas'!$A$2,"Día actual","Día anterior")</f>
        <v>Día actual</v>
      </c>
      <c r="C74" t="s">
        <v>60</v>
      </c>
      <c r="D74" t="s">
        <v>61</v>
      </c>
      <c r="E74" t="s">
        <v>352</v>
      </c>
      <c r="F74" t="s">
        <v>52</v>
      </c>
      <c r="G74" t="s">
        <v>353</v>
      </c>
      <c r="H74" t="s">
        <v>11</v>
      </c>
      <c r="I74" t="s">
        <v>27</v>
      </c>
      <c r="J74" t="s">
        <v>79</v>
      </c>
      <c r="K74" t="s">
        <v>62</v>
      </c>
      <c r="L74" t="s">
        <v>80</v>
      </c>
      <c r="M74">
        <v>1</v>
      </c>
    </row>
    <row r="75" spans="1:13" x14ac:dyDescent="0.25">
      <c r="A75" s="1">
        <v>46129</v>
      </c>
      <c r="B75" s="1" t="str">
        <f ca="1">IF(Información1[[#This Row],[Fecha]]='Ajuste de fechas'!$A$2,"Día actual","Día anterior")</f>
        <v>Día actual</v>
      </c>
      <c r="C75" t="s">
        <v>60</v>
      </c>
      <c r="D75" t="s">
        <v>61</v>
      </c>
      <c r="E75" t="s">
        <v>354</v>
      </c>
      <c r="F75" t="s">
        <v>24</v>
      </c>
      <c r="G75" t="s">
        <v>96</v>
      </c>
      <c r="H75" t="s">
        <v>11</v>
      </c>
      <c r="I75" t="s">
        <v>7</v>
      </c>
      <c r="J75" t="s">
        <v>79</v>
      </c>
      <c r="K75" t="s">
        <v>62</v>
      </c>
      <c r="L75" t="s">
        <v>82</v>
      </c>
      <c r="M75">
        <v>1</v>
      </c>
    </row>
    <row r="76" spans="1:13" x14ac:dyDescent="0.25">
      <c r="A76" s="1">
        <v>46129</v>
      </c>
      <c r="B76" s="1" t="str">
        <f ca="1">IF(Información1[[#This Row],[Fecha]]='Ajuste de fechas'!$A$2,"Día actual","Día anterior")</f>
        <v>Día actual</v>
      </c>
      <c r="C76" t="s">
        <v>60</v>
      </c>
      <c r="D76" t="s">
        <v>61</v>
      </c>
      <c r="E76" t="s">
        <v>145</v>
      </c>
      <c r="F76" t="s">
        <v>19</v>
      </c>
      <c r="G76" t="s">
        <v>146</v>
      </c>
      <c r="H76" t="s">
        <v>11</v>
      </c>
      <c r="I76" t="s">
        <v>7</v>
      </c>
      <c r="J76" t="s">
        <v>83</v>
      </c>
      <c r="K76" t="s">
        <v>62</v>
      </c>
      <c r="L76" t="s">
        <v>80</v>
      </c>
      <c r="M76">
        <v>1</v>
      </c>
    </row>
    <row r="77" spans="1:13" x14ac:dyDescent="0.25">
      <c r="A77" s="1">
        <v>46129</v>
      </c>
      <c r="B77" s="1" t="str">
        <f ca="1">IF(Información1[[#This Row],[Fecha]]='Ajuste de fechas'!$A$2,"Día actual","Día anterior")</f>
        <v>Día actual</v>
      </c>
      <c r="C77" t="s">
        <v>60</v>
      </c>
      <c r="D77" t="s">
        <v>61</v>
      </c>
      <c r="E77" t="s">
        <v>355</v>
      </c>
      <c r="F77" t="s">
        <v>19</v>
      </c>
      <c r="G77" t="s">
        <v>68</v>
      </c>
      <c r="H77" t="s">
        <v>11</v>
      </c>
      <c r="I77" t="s">
        <v>7</v>
      </c>
      <c r="J77" t="s">
        <v>83</v>
      </c>
      <c r="K77" t="s">
        <v>62</v>
      </c>
      <c r="L77" t="s">
        <v>80</v>
      </c>
      <c r="M77">
        <v>1</v>
      </c>
    </row>
    <row r="78" spans="1:13" x14ac:dyDescent="0.25">
      <c r="A78" s="1">
        <v>46129</v>
      </c>
      <c r="B78" s="1" t="str">
        <f ca="1">IF(Información1[[#This Row],[Fecha]]='Ajuste de fechas'!$A$2,"Día actual","Día anterior")</f>
        <v>Día actual</v>
      </c>
      <c r="C78" t="s">
        <v>60</v>
      </c>
      <c r="D78" t="s">
        <v>61</v>
      </c>
      <c r="E78" t="s">
        <v>356</v>
      </c>
      <c r="F78" t="s">
        <v>19</v>
      </c>
      <c r="G78" t="s">
        <v>357</v>
      </c>
      <c r="H78" t="s">
        <v>11</v>
      </c>
      <c r="I78" t="s">
        <v>7</v>
      </c>
      <c r="J78" t="s">
        <v>83</v>
      </c>
      <c r="K78" t="s">
        <v>62</v>
      </c>
      <c r="L78" t="s">
        <v>80</v>
      </c>
      <c r="M78">
        <v>1</v>
      </c>
    </row>
    <row r="79" spans="1:13" x14ac:dyDescent="0.25">
      <c r="A79" s="1">
        <v>46129</v>
      </c>
      <c r="B79" s="1" t="str">
        <f ca="1">IF(Información1[[#This Row],[Fecha]]='Ajuste de fechas'!$A$2,"Día actual","Día anterior")</f>
        <v>Día actual</v>
      </c>
      <c r="C79" t="s">
        <v>60</v>
      </c>
      <c r="D79" t="s">
        <v>61</v>
      </c>
      <c r="E79" t="s">
        <v>358</v>
      </c>
      <c r="F79" t="s">
        <v>48</v>
      </c>
      <c r="G79" t="s">
        <v>236</v>
      </c>
      <c r="H79" t="s">
        <v>11</v>
      </c>
      <c r="I79" t="s">
        <v>7</v>
      </c>
      <c r="J79" t="s">
        <v>79</v>
      </c>
      <c r="K79" t="s">
        <v>62</v>
      </c>
      <c r="L79" t="s">
        <v>80</v>
      </c>
      <c r="M79">
        <v>1</v>
      </c>
    </row>
    <row r="80" spans="1:13" x14ac:dyDescent="0.25">
      <c r="A80" s="1">
        <v>46129</v>
      </c>
      <c r="B80" s="1" t="str">
        <f ca="1">IF(Información1[[#This Row],[Fecha]]='Ajuste de fechas'!$A$2,"Día actual","Día anterior")</f>
        <v>Día actual</v>
      </c>
      <c r="C80" t="s">
        <v>60</v>
      </c>
      <c r="D80" t="s">
        <v>61</v>
      </c>
      <c r="E80" t="s">
        <v>359</v>
      </c>
      <c r="F80" t="s">
        <v>23</v>
      </c>
      <c r="G80" t="s">
        <v>322</v>
      </c>
      <c r="H80" t="s">
        <v>11</v>
      </c>
      <c r="I80" t="s">
        <v>27</v>
      </c>
      <c r="J80" t="s">
        <v>84</v>
      </c>
      <c r="K80" t="s">
        <v>62</v>
      </c>
      <c r="L80" t="s">
        <v>81</v>
      </c>
      <c r="M80">
        <v>1</v>
      </c>
    </row>
    <row r="81" spans="1:13" x14ac:dyDescent="0.25">
      <c r="A81" s="1">
        <v>46129</v>
      </c>
      <c r="B81" s="1" t="str">
        <f ca="1">IF(Información1[[#This Row],[Fecha]]='Ajuste de fechas'!$A$2,"Día actual","Día anterior")</f>
        <v>Día actual</v>
      </c>
      <c r="C81" t="s">
        <v>60</v>
      </c>
      <c r="D81" t="s">
        <v>61</v>
      </c>
      <c r="E81" t="s">
        <v>360</v>
      </c>
      <c r="F81" t="s">
        <v>28</v>
      </c>
      <c r="G81" t="s">
        <v>322</v>
      </c>
      <c r="H81" t="s">
        <v>11</v>
      </c>
      <c r="I81" t="s">
        <v>7</v>
      </c>
      <c r="J81" t="s">
        <v>79</v>
      </c>
      <c r="K81" t="s">
        <v>62</v>
      </c>
      <c r="L81" t="s">
        <v>80</v>
      </c>
      <c r="M81">
        <v>1</v>
      </c>
    </row>
    <row r="82" spans="1:13" x14ac:dyDescent="0.25">
      <c r="A82" s="1">
        <v>46129</v>
      </c>
      <c r="B82" s="1" t="str">
        <f ca="1">IF(Información1[[#This Row],[Fecha]]='Ajuste de fechas'!$A$2,"Día actual","Día anterior")</f>
        <v>Día actual</v>
      </c>
      <c r="C82" t="s">
        <v>60</v>
      </c>
      <c r="D82" t="s">
        <v>61</v>
      </c>
      <c r="E82" t="s">
        <v>361</v>
      </c>
      <c r="F82" t="s">
        <v>22</v>
      </c>
      <c r="G82" t="s">
        <v>92</v>
      </c>
      <c r="H82" t="s">
        <v>11</v>
      </c>
      <c r="I82" t="s">
        <v>7</v>
      </c>
      <c r="J82" t="s">
        <v>26</v>
      </c>
      <c r="K82" t="s">
        <v>62</v>
      </c>
      <c r="L82" t="s">
        <v>80</v>
      </c>
      <c r="M82">
        <v>1</v>
      </c>
    </row>
    <row r="83" spans="1:13" x14ac:dyDescent="0.25">
      <c r="A83" s="1">
        <v>46129</v>
      </c>
      <c r="B83" s="1" t="str">
        <f ca="1">IF(Información1[[#This Row],[Fecha]]='Ajuste de fechas'!$A$2,"Día actual","Día anterior")</f>
        <v>Día actual</v>
      </c>
      <c r="C83" t="s">
        <v>60</v>
      </c>
      <c r="D83" t="s">
        <v>61</v>
      </c>
      <c r="E83" t="s">
        <v>362</v>
      </c>
      <c r="F83" t="s">
        <v>19</v>
      </c>
      <c r="G83" t="s">
        <v>110</v>
      </c>
      <c r="H83" t="s">
        <v>11</v>
      </c>
      <c r="I83" t="s">
        <v>7</v>
      </c>
      <c r="J83" t="s">
        <v>83</v>
      </c>
      <c r="K83" t="s">
        <v>62</v>
      </c>
      <c r="L83" t="s">
        <v>80</v>
      </c>
      <c r="M83">
        <v>1</v>
      </c>
    </row>
    <row r="84" spans="1:13" x14ac:dyDescent="0.25">
      <c r="A84" s="1">
        <v>46129</v>
      </c>
      <c r="B84" s="1" t="str">
        <f ca="1">IF(Información1[[#This Row],[Fecha]]='Ajuste de fechas'!$A$2,"Día actual","Día anterior")</f>
        <v>Día actual</v>
      </c>
      <c r="C84" t="s">
        <v>60</v>
      </c>
      <c r="D84" t="s">
        <v>61</v>
      </c>
      <c r="E84" t="s">
        <v>363</v>
      </c>
      <c r="F84" t="s">
        <v>22</v>
      </c>
      <c r="G84" t="s">
        <v>364</v>
      </c>
      <c r="H84" t="s">
        <v>11</v>
      </c>
      <c r="I84" t="s">
        <v>7</v>
      </c>
      <c r="J84" t="s">
        <v>26</v>
      </c>
      <c r="K84" t="s">
        <v>62</v>
      </c>
      <c r="L84" t="s">
        <v>80</v>
      </c>
      <c r="M84">
        <v>1</v>
      </c>
    </row>
    <row r="85" spans="1:13" x14ac:dyDescent="0.25">
      <c r="A85" s="1">
        <v>46129</v>
      </c>
      <c r="B85" s="1" t="str">
        <f ca="1">IF(Información1[[#This Row],[Fecha]]='Ajuste de fechas'!$A$2,"Día actual","Día anterior")</f>
        <v>Día actual</v>
      </c>
      <c r="C85" t="s">
        <v>60</v>
      </c>
      <c r="D85" t="s">
        <v>61</v>
      </c>
      <c r="E85" t="s">
        <v>365</v>
      </c>
      <c r="F85" t="s">
        <v>24</v>
      </c>
      <c r="G85" t="s">
        <v>366</v>
      </c>
      <c r="H85" t="s">
        <v>11</v>
      </c>
      <c r="I85" t="s">
        <v>7</v>
      </c>
      <c r="J85" t="s">
        <v>79</v>
      </c>
      <c r="K85" t="s">
        <v>62</v>
      </c>
      <c r="L85" t="s">
        <v>80</v>
      </c>
      <c r="M85">
        <v>1</v>
      </c>
    </row>
    <row r="86" spans="1:13" x14ac:dyDescent="0.25">
      <c r="A86" s="1">
        <v>46129</v>
      </c>
      <c r="B86" s="1" t="str">
        <f ca="1">IF(Información1[[#This Row],[Fecha]]='Ajuste de fechas'!$A$2,"Día actual","Día anterior")</f>
        <v>Día actual</v>
      </c>
      <c r="C86" t="s">
        <v>60</v>
      </c>
      <c r="D86" t="s">
        <v>61</v>
      </c>
      <c r="E86" t="s">
        <v>367</v>
      </c>
      <c r="F86" t="s">
        <v>22</v>
      </c>
      <c r="G86" t="s">
        <v>152</v>
      </c>
      <c r="H86" t="s">
        <v>11</v>
      </c>
      <c r="I86" t="s">
        <v>7</v>
      </c>
      <c r="J86" t="s">
        <v>26</v>
      </c>
      <c r="K86" t="s">
        <v>62</v>
      </c>
      <c r="L86" t="s">
        <v>80</v>
      </c>
      <c r="M86">
        <v>1</v>
      </c>
    </row>
    <row r="87" spans="1:13" x14ac:dyDescent="0.25">
      <c r="A87" s="1">
        <v>46129</v>
      </c>
      <c r="B87" s="1" t="str">
        <f ca="1">IF(Información1[[#This Row],[Fecha]]='Ajuste de fechas'!$A$2,"Día actual","Día anterior")</f>
        <v>Día actual</v>
      </c>
      <c r="C87" t="s">
        <v>60</v>
      </c>
      <c r="D87" t="s">
        <v>61</v>
      </c>
      <c r="E87" t="s">
        <v>175</v>
      </c>
      <c r="F87" t="s">
        <v>22</v>
      </c>
      <c r="G87" t="s">
        <v>66</v>
      </c>
      <c r="H87" t="s">
        <v>11</v>
      </c>
      <c r="I87" t="s">
        <v>7</v>
      </c>
      <c r="J87" t="s">
        <v>26</v>
      </c>
      <c r="K87" t="s">
        <v>9</v>
      </c>
      <c r="L87" t="s">
        <v>80</v>
      </c>
      <c r="M87">
        <v>1</v>
      </c>
    </row>
    <row r="88" spans="1:13" x14ac:dyDescent="0.25">
      <c r="A88" s="1">
        <v>46129</v>
      </c>
      <c r="B88" s="1" t="str">
        <f ca="1">IF(Información1[[#This Row],[Fecha]]='Ajuste de fechas'!$A$2,"Día actual","Día anterior")</f>
        <v>Día actual</v>
      </c>
      <c r="C88" t="s">
        <v>60</v>
      </c>
      <c r="D88" t="s">
        <v>61</v>
      </c>
      <c r="E88" t="s">
        <v>368</v>
      </c>
      <c r="F88" t="s">
        <v>52</v>
      </c>
      <c r="G88" t="s">
        <v>369</v>
      </c>
      <c r="H88" t="s">
        <v>11</v>
      </c>
      <c r="I88" t="s">
        <v>7</v>
      </c>
      <c r="J88" t="s">
        <v>79</v>
      </c>
      <c r="K88" t="s">
        <v>9</v>
      </c>
      <c r="L88" t="s">
        <v>81</v>
      </c>
      <c r="M88">
        <v>1</v>
      </c>
    </row>
    <row r="89" spans="1:13" x14ac:dyDescent="0.25">
      <c r="A89" s="1">
        <v>46129</v>
      </c>
      <c r="B89" s="1" t="str">
        <f ca="1">IF(Información1[[#This Row],[Fecha]]='Ajuste de fechas'!$A$2,"Día actual","Día anterior")</f>
        <v>Día actual</v>
      </c>
      <c r="C89" t="s">
        <v>60</v>
      </c>
      <c r="D89" t="s">
        <v>61</v>
      </c>
      <c r="E89" t="s">
        <v>370</v>
      </c>
      <c r="F89" t="s">
        <v>21</v>
      </c>
      <c r="G89" t="s">
        <v>371</v>
      </c>
      <c r="H89" t="s">
        <v>11</v>
      </c>
      <c r="I89" t="s">
        <v>7</v>
      </c>
      <c r="J89" t="s">
        <v>79</v>
      </c>
      <c r="K89" t="s">
        <v>62</v>
      </c>
      <c r="L89" t="s">
        <v>82</v>
      </c>
      <c r="M89">
        <v>1</v>
      </c>
    </row>
    <row r="90" spans="1:13" x14ac:dyDescent="0.25">
      <c r="A90" s="1">
        <v>46129</v>
      </c>
      <c r="B90" s="1" t="str">
        <f ca="1">IF(Información1[[#This Row],[Fecha]]='Ajuste de fechas'!$A$2,"Día actual","Día anterior")</f>
        <v>Día actual</v>
      </c>
      <c r="C90" t="s">
        <v>60</v>
      </c>
      <c r="D90" t="s">
        <v>61</v>
      </c>
      <c r="E90" t="s">
        <v>117</v>
      </c>
      <c r="F90" t="s">
        <v>19</v>
      </c>
      <c r="G90" t="s">
        <v>47</v>
      </c>
      <c r="H90" t="s">
        <v>11</v>
      </c>
      <c r="I90" t="s">
        <v>7</v>
      </c>
      <c r="J90" t="s">
        <v>83</v>
      </c>
      <c r="K90" t="s">
        <v>62</v>
      </c>
      <c r="L90" t="s">
        <v>80</v>
      </c>
      <c r="M90">
        <v>1</v>
      </c>
    </row>
    <row r="91" spans="1:13" x14ac:dyDescent="0.25">
      <c r="A91" s="1">
        <v>46129</v>
      </c>
      <c r="B91" s="1" t="str">
        <f ca="1">IF(Información1[[#This Row],[Fecha]]='Ajuste de fechas'!$A$2,"Día actual","Día anterior")</f>
        <v>Día actual</v>
      </c>
      <c r="C91" t="s">
        <v>60</v>
      </c>
      <c r="D91" t="s">
        <v>61</v>
      </c>
      <c r="E91" t="s">
        <v>372</v>
      </c>
      <c r="F91" t="s">
        <v>22</v>
      </c>
      <c r="G91" t="s">
        <v>373</v>
      </c>
      <c r="H91" t="s">
        <v>11</v>
      </c>
      <c r="I91" t="s">
        <v>7</v>
      </c>
      <c r="J91" t="s">
        <v>26</v>
      </c>
      <c r="K91" t="s">
        <v>62</v>
      </c>
      <c r="L91" t="s">
        <v>80</v>
      </c>
      <c r="M91">
        <v>1</v>
      </c>
    </row>
    <row r="92" spans="1:13" x14ac:dyDescent="0.25">
      <c r="A92" s="1">
        <v>46129</v>
      </c>
      <c r="B92" s="1" t="str">
        <f ca="1">IF(Información1[[#This Row],[Fecha]]='Ajuste de fechas'!$A$2,"Día actual","Día anterior")</f>
        <v>Día actual</v>
      </c>
      <c r="C92" t="s">
        <v>60</v>
      </c>
      <c r="D92" t="s">
        <v>61</v>
      </c>
      <c r="E92" t="s">
        <v>374</v>
      </c>
      <c r="F92" t="s">
        <v>19</v>
      </c>
      <c r="G92" t="s">
        <v>136</v>
      </c>
      <c r="H92" t="s">
        <v>11</v>
      </c>
      <c r="I92" t="s">
        <v>7</v>
      </c>
      <c r="J92" t="s">
        <v>83</v>
      </c>
      <c r="K92" t="s">
        <v>62</v>
      </c>
      <c r="L92" t="s">
        <v>80</v>
      </c>
      <c r="M92">
        <v>1</v>
      </c>
    </row>
    <row r="93" spans="1:13" x14ac:dyDescent="0.25">
      <c r="A93" s="1">
        <v>46129</v>
      </c>
      <c r="B93" s="1" t="str">
        <f ca="1">IF(Información1[[#This Row],[Fecha]]='Ajuste de fechas'!$A$2,"Día actual","Día anterior")</f>
        <v>Día actual</v>
      </c>
      <c r="C93" t="s">
        <v>60</v>
      </c>
      <c r="D93" t="s">
        <v>61</v>
      </c>
      <c r="E93" t="s">
        <v>121</v>
      </c>
      <c r="F93" t="s">
        <v>25</v>
      </c>
      <c r="G93" t="s">
        <v>107</v>
      </c>
      <c r="H93" t="s">
        <v>11</v>
      </c>
      <c r="I93" t="s">
        <v>7</v>
      </c>
      <c r="J93" t="s">
        <v>79</v>
      </c>
      <c r="K93" t="s">
        <v>62</v>
      </c>
      <c r="L93" t="s">
        <v>82</v>
      </c>
      <c r="M93">
        <v>1</v>
      </c>
    </row>
    <row r="94" spans="1:13" x14ac:dyDescent="0.25">
      <c r="A94" s="1">
        <v>46129</v>
      </c>
      <c r="B94" s="1" t="str">
        <f ca="1">IF(Información1[[#This Row],[Fecha]]='Ajuste de fechas'!$A$2,"Día actual","Día anterior")</f>
        <v>Día actual</v>
      </c>
      <c r="C94" t="s">
        <v>60</v>
      </c>
      <c r="D94" t="s">
        <v>61</v>
      </c>
      <c r="E94" t="s">
        <v>375</v>
      </c>
      <c r="F94" t="s">
        <v>19</v>
      </c>
      <c r="G94" t="s">
        <v>93</v>
      </c>
      <c r="H94" t="s">
        <v>11</v>
      </c>
      <c r="I94" t="s">
        <v>7</v>
      </c>
      <c r="J94" t="s">
        <v>83</v>
      </c>
      <c r="K94" t="s">
        <v>62</v>
      </c>
      <c r="L94" t="s">
        <v>80</v>
      </c>
      <c r="M94">
        <v>1</v>
      </c>
    </row>
    <row r="95" spans="1:13" x14ac:dyDescent="0.25">
      <c r="A95" s="1">
        <v>46129</v>
      </c>
      <c r="B95" s="1" t="str">
        <f ca="1">IF(Información1[[#This Row],[Fecha]]='Ajuste de fechas'!$A$2,"Día actual","Día anterior")</f>
        <v>Día actual</v>
      </c>
      <c r="C95" t="s">
        <v>50</v>
      </c>
      <c r="D95" t="s">
        <v>51</v>
      </c>
      <c r="E95" t="s">
        <v>376</v>
      </c>
      <c r="F95" t="s">
        <v>377</v>
      </c>
      <c r="G95" t="s">
        <v>378</v>
      </c>
      <c r="H95" t="s">
        <v>46</v>
      </c>
      <c r="I95" t="s">
        <v>7</v>
      </c>
      <c r="J95" t="s">
        <v>26</v>
      </c>
      <c r="K95" t="s">
        <v>31</v>
      </c>
      <c r="L95" t="s">
        <v>81</v>
      </c>
      <c r="M95">
        <v>1</v>
      </c>
    </row>
    <row r="96" spans="1:13" x14ac:dyDescent="0.25">
      <c r="A96" s="1">
        <v>46129</v>
      </c>
      <c r="B96" s="1" t="str">
        <f ca="1">IF(Información1[[#This Row],[Fecha]]='Ajuste de fechas'!$A$2,"Día actual","Día anterior")</f>
        <v>Día actual</v>
      </c>
      <c r="C96" t="s">
        <v>50</v>
      </c>
      <c r="D96" t="s">
        <v>51</v>
      </c>
      <c r="E96" t="s">
        <v>379</v>
      </c>
      <c r="F96" t="s">
        <v>115</v>
      </c>
      <c r="G96" t="s">
        <v>116</v>
      </c>
      <c r="H96" t="s">
        <v>46</v>
      </c>
      <c r="I96" t="s">
        <v>7</v>
      </c>
      <c r="J96" t="s">
        <v>79</v>
      </c>
      <c r="K96" t="s">
        <v>31</v>
      </c>
      <c r="L96" t="s">
        <v>80</v>
      </c>
      <c r="M96">
        <v>1</v>
      </c>
    </row>
    <row r="97" spans="1:13" x14ac:dyDescent="0.25">
      <c r="A97" s="1">
        <v>46129</v>
      </c>
      <c r="B97" s="1" t="str">
        <f ca="1">IF(Información1[[#This Row],[Fecha]]='Ajuste de fechas'!$A$2,"Día actual","Día anterior")</f>
        <v>Día actual</v>
      </c>
      <c r="C97" t="s">
        <v>50</v>
      </c>
      <c r="D97" t="s">
        <v>51</v>
      </c>
      <c r="E97" t="s">
        <v>380</v>
      </c>
      <c r="F97" t="s">
        <v>25</v>
      </c>
      <c r="G97" t="s">
        <v>381</v>
      </c>
      <c r="H97" t="s">
        <v>46</v>
      </c>
      <c r="I97" t="s">
        <v>7</v>
      </c>
      <c r="J97" t="s">
        <v>79</v>
      </c>
      <c r="K97" t="s">
        <v>31</v>
      </c>
      <c r="L97" t="s">
        <v>82</v>
      </c>
      <c r="M97">
        <v>1</v>
      </c>
    </row>
    <row r="98" spans="1:13" x14ac:dyDescent="0.25">
      <c r="A98" s="1">
        <v>46129</v>
      </c>
      <c r="B98" s="1" t="str">
        <f ca="1">IF(Información1[[#This Row],[Fecha]]='Ajuste de fechas'!$A$2,"Día actual","Día anterior")</f>
        <v>Día actual</v>
      </c>
      <c r="C98" t="s">
        <v>50</v>
      </c>
      <c r="D98" t="s">
        <v>51</v>
      </c>
      <c r="E98" t="s">
        <v>370</v>
      </c>
      <c r="F98" t="s">
        <v>21</v>
      </c>
      <c r="G98" t="s">
        <v>371</v>
      </c>
      <c r="H98" t="s">
        <v>46</v>
      </c>
      <c r="I98" t="s">
        <v>7</v>
      </c>
      <c r="J98" t="s">
        <v>79</v>
      </c>
      <c r="K98" t="s">
        <v>31</v>
      </c>
      <c r="L98" t="s">
        <v>80</v>
      </c>
      <c r="M98">
        <v>1</v>
      </c>
    </row>
    <row r="99" spans="1:13" x14ac:dyDescent="0.25">
      <c r="A99" s="1">
        <v>46129</v>
      </c>
      <c r="B99" s="1" t="str">
        <f ca="1">IF(Información1[[#This Row],[Fecha]]='Ajuste de fechas'!$A$2,"Día actual","Día anterior")</f>
        <v>Día actual</v>
      </c>
      <c r="C99" t="s">
        <v>50</v>
      </c>
      <c r="D99" t="s">
        <v>51</v>
      </c>
      <c r="E99" t="s">
        <v>382</v>
      </c>
      <c r="F99" t="s">
        <v>115</v>
      </c>
      <c r="G99" t="s">
        <v>116</v>
      </c>
      <c r="H99" t="s">
        <v>46</v>
      </c>
      <c r="I99" t="s">
        <v>7</v>
      </c>
      <c r="J99" t="s">
        <v>79</v>
      </c>
      <c r="K99" t="s">
        <v>31</v>
      </c>
      <c r="L99" t="s">
        <v>80</v>
      </c>
      <c r="M99">
        <v>1</v>
      </c>
    </row>
    <row r="100" spans="1:13" x14ac:dyDescent="0.25">
      <c r="A100" s="1">
        <v>46129</v>
      </c>
      <c r="B100" s="1" t="str">
        <f ca="1">IF(Información1[[#This Row],[Fecha]]='Ajuste de fechas'!$A$2,"Día actual","Día anterior")</f>
        <v>Día actual</v>
      </c>
      <c r="C100" t="s">
        <v>50</v>
      </c>
      <c r="D100" t="s">
        <v>51</v>
      </c>
      <c r="E100" t="s">
        <v>383</v>
      </c>
      <c r="F100" t="s">
        <v>48</v>
      </c>
      <c r="G100" t="s">
        <v>233</v>
      </c>
      <c r="H100" t="s">
        <v>46</v>
      </c>
      <c r="I100" t="s">
        <v>7</v>
      </c>
      <c r="J100" t="s">
        <v>79</v>
      </c>
      <c r="K100" t="s">
        <v>31</v>
      </c>
      <c r="L100" t="s">
        <v>80</v>
      </c>
      <c r="M100">
        <v>1</v>
      </c>
    </row>
    <row r="101" spans="1:13" x14ac:dyDescent="0.25">
      <c r="A101" s="1">
        <v>46129</v>
      </c>
      <c r="B101" s="1" t="str">
        <f ca="1">IF(Información1[[#This Row],[Fecha]]='Ajuste de fechas'!$A$2,"Día actual","Día anterior")</f>
        <v>Día actual</v>
      </c>
      <c r="C101" t="s">
        <v>50</v>
      </c>
      <c r="D101" t="s">
        <v>51</v>
      </c>
      <c r="E101" t="s">
        <v>384</v>
      </c>
      <c r="F101" t="s">
        <v>48</v>
      </c>
      <c r="G101" t="s">
        <v>236</v>
      </c>
      <c r="H101" t="s">
        <v>46</v>
      </c>
      <c r="I101" t="s">
        <v>7</v>
      </c>
      <c r="J101" t="s">
        <v>79</v>
      </c>
      <c r="K101" t="s">
        <v>31</v>
      </c>
      <c r="L101" t="s">
        <v>80</v>
      </c>
      <c r="M101">
        <v>1</v>
      </c>
    </row>
    <row r="102" spans="1:13" x14ac:dyDescent="0.25">
      <c r="A102" s="1">
        <v>46129</v>
      </c>
      <c r="B102" s="1" t="str">
        <f ca="1">IF(Información1[[#This Row],[Fecha]]='Ajuste de fechas'!$A$2,"Día actual","Día anterior")</f>
        <v>Día actual</v>
      </c>
      <c r="C102" t="s">
        <v>50</v>
      </c>
      <c r="D102" t="s">
        <v>51</v>
      </c>
      <c r="E102" t="s">
        <v>385</v>
      </c>
      <c r="F102" t="s">
        <v>6</v>
      </c>
      <c r="G102" t="s">
        <v>285</v>
      </c>
      <c r="H102" t="s">
        <v>46</v>
      </c>
      <c r="I102" t="s">
        <v>7</v>
      </c>
      <c r="J102" t="s">
        <v>79</v>
      </c>
      <c r="K102" t="s">
        <v>31</v>
      </c>
      <c r="L102" t="s">
        <v>82</v>
      </c>
      <c r="M102">
        <v>1</v>
      </c>
    </row>
    <row r="103" spans="1:13" x14ac:dyDescent="0.25">
      <c r="A103" s="1">
        <v>46129</v>
      </c>
      <c r="B103" s="1" t="str">
        <f ca="1">IF(Información1[[#This Row],[Fecha]]='Ajuste de fechas'!$A$2,"Día actual","Día anterior")</f>
        <v>Día actual</v>
      </c>
      <c r="C103" t="s">
        <v>50</v>
      </c>
      <c r="D103" t="s">
        <v>51</v>
      </c>
      <c r="E103" t="s">
        <v>386</v>
      </c>
      <c r="F103" t="s">
        <v>48</v>
      </c>
      <c r="G103" t="s">
        <v>387</v>
      </c>
      <c r="H103" t="s">
        <v>46</v>
      </c>
      <c r="I103" t="s">
        <v>7</v>
      </c>
      <c r="J103" t="s">
        <v>79</v>
      </c>
      <c r="K103" t="s">
        <v>31</v>
      </c>
      <c r="L103" t="s">
        <v>80</v>
      </c>
      <c r="M103">
        <v>1</v>
      </c>
    </row>
    <row r="104" spans="1:13" x14ac:dyDescent="0.25">
      <c r="A104" s="1">
        <v>46129</v>
      </c>
      <c r="B104" s="1" t="str">
        <f ca="1">IF(Información1[[#This Row],[Fecha]]='Ajuste de fechas'!$A$2,"Día actual","Día anterior")</f>
        <v>Día actual</v>
      </c>
      <c r="C104" t="s">
        <v>50</v>
      </c>
      <c r="D104" t="s">
        <v>51</v>
      </c>
      <c r="E104" t="s">
        <v>388</v>
      </c>
      <c r="F104" t="s">
        <v>19</v>
      </c>
      <c r="G104" t="s">
        <v>389</v>
      </c>
      <c r="H104" t="s">
        <v>46</v>
      </c>
      <c r="I104" t="s">
        <v>27</v>
      </c>
      <c r="J104" t="s">
        <v>83</v>
      </c>
      <c r="K104" t="s">
        <v>31</v>
      </c>
      <c r="L104" t="s">
        <v>80</v>
      </c>
      <c r="M104">
        <v>1</v>
      </c>
    </row>
    <row r="105" spans="1:13" x14ac:dyDescent="0.25">
      <c r="A105" s="1">
        <v>46129</v>
      </c>
      <c r="B105" s="1" t="str">
        <f ca="1">IF(Información1[[#This Row],[Fecha]]='Ajuste de fechas'!$A$2,"Día actual","Día anterior")</f>
        <v>Día actual</v>
      </c>
      <c r="C105" t="s">
        <v>50</v>
      </c>
      <c r="D105" t="s">
        <v>51</v>
      </c>
      <c r="E105" t="s">
        <v>390</v>
      </c>
      <c r="F105" t="s">
        <v>15</v>
      </c>
      <c r="G105" t="s">
        <v>322</v>
      </c>
      <c r="H105" t="s">
        <v>46</v>
      </c>
      <c r="I105" t="s">
        <v>7</v>
      </c>
      <c r="J105" t="s">
        <v>79</v>
      </c>
      <c r="K105" t="s">
        <v>31</v>
      </c>
      <c r="L105" t="s">
        <v>80</v>
      </c>
      <c r="M105">
        <v>1</v>
      </c>
    </row>
    <row r="106" spans="1:13" x14ac:dyDescent="0.25">
      <c r="A106" s="1">
        <v>46129</v>
      </c>
      <c r="B106" s="1" t="str">
        <f ca="1">IF(Información1[[#This Row],[Fecha]]='Ajuste de fechas'!$A$2,"Día actual","Día anterior")</f>
        <v>Día actual</v>
      </c>
      <c r="C106" t="s">
        <v>50</v>
      </c>
      <c r="D106" t="s">
        <v>51</v>
      </c>
      <c r="E106" t="s">
        <v>391</v>
      </c>
      <c r="F106" t="s">
        <v>59</v>
      </c>
      <c r="G106" t="s">
        <v>264</v>
      </c>
      <c r="H106" t="s">
        <v>46</v>
      </c>
      <c r="I106" t="s">
        <v>7</v>
      </c>
      <c r="J106" t="s">
        <v>79</v>
      </c>
      <c r="K106" t="s">
        <v>31</v>
      </c>
      <c r="L106" t="s">
        <v>82</v>
      </c>
      <c r="M106">
        <v>1</v>
      </c>
    </row>
    <row r="107" spans="1:13" x14ac:dyDescent="0.25">
      <c r="A107" s="1">
        <v>46129</v>
      </c>
      <c r="B107" s="1" t="str">
        <f ca="1">IF(Información1[[#This Row],[Fecha]]='Ajuste de fechas'!$A$2,"Día actual","Día anterior")</f>
        <v>Día actual</v>
      </c>
      <c r="C107" t="s">
        <v>50</v>
      </c>
      <c r="D107" t="s">
        <v>51</v>
      </c>
      <c r="E107" t="s">
        <v>392</v>
      </c>
      <c r="F107" t="s">
        <v>21</v>
      </c>
      <c r="G107" t="s">
        <v>105</v>
      </c>
      <c r="H107" t="s">
        <v>46</v>
      </c>
      <c r="I107" t="s">
        <v>7</v>
      </c>
      <c r="J107" t="s">
        <v>79</v>
      </c>
      <c r="K107" t="s">
        <v>31</v>
      </c>
      <c r="L107" t="s">
        <v>82</v>
      </c>
      <c r="M107">
        <v>1</v>
      </c>
    </row>
    <row r="108" spans="1:13" x14ac:dyDescent="0.25">
      <c r="A108" s="1">
        <v>46129</v>
      </c>
      <c r="B108" s="1" t="str">
        <f ca="1">IF(Información1[[#This Row],[Fecha]]='Ajuste de fechas'!$A$2,"Día actual","Día anterior")</f>
        <v>Día actual</v>
      </c>
      <c r="C108" t="s">
        <v>50</v>
      </c>
      <c r="D108" t="s">
        <v>51</v>
      </c>
      <c r="E108" t="s">
        <v>393</v>
      </c>
      <c r="F108" t="s">
        <v>15</v>
      </c>
      <c r="G108" t="s">
        <v>394</v>
      </c>
      <c r="H108" t="s">
        <v>46</v>
      </c>
      <c r="I108" t="s">
        <v>7</v>
      </c>
      <c r="J108" t="s">
        <v>79</v>
      </c>
      <c r="K108" t="s">
        <v>31</v>
      </c>
      <c r="L108" t="s">
        <v>80</v>
      </c>
      <c r="M108">
        <v>1</v>
      </c>
    </row>
    <row r="109" spans="1:13" x14ac:dyDescent="0.25">
      <c r="A109" s="1">
        <v>46129</v>
      </c>
      <c r="B109" s="1" t="str">
        <f ca="1">IF(Información1[[#This Row],[Fecha]]='Ajuste de fechas'!$A$2,"Día actual","Día anterior")</f>
        <v>Día actual</v>
      </c>
      <c r="C109" t="s">
        <v>50</v>
      </c>
      <c r="D109" t="s">
        <v>51</v>
      </c>
      <c r="E109" t="s">
        <v>395</v>
      </c>
      <c r="F109" t="s">
        <v>19</v>
      </c>
      <c r="G109" t="s">
        <v>119</v>
      </c>
      <c r="H109" t="s">
        <v>46</v>
      </c>
      <c r="I109" t="s">
        <v>7</v>
      </c>
      <c r="J109" t="s">
        <v>83</v>
      </c>
      <c r="K109" t="s">
        <v>31</v>
      </c>
      <c r="L109" t="s">
        <v>80</v>
      </c>
      <c r="M109">
        <v>1</v>
      </c>
    </row>
    <row r="110" spans="1:13" x14ac:dyDescent="0.25">
      <c r="A110" s="1">
        <v>46128</v>
      </c>
      <c r="B110" s="1" t="str">
        <f ca="1">IF(Información1[[#This Row],[Fecha]]='Ajuste de fechas'!$A$2,"Día actual","Día anterior")</f>
        <v>Día anterior</v>
      </c>
      <c r="C110" t="s">
        <v>60</v>
      </c>
      <c r="D110" t="s">
        <v>61</v>
      </c>
      <c r="E110" t="s">
        <v>122</v>
      </c>
      <c r="F110" t="s">
        <v>19</v>
      </c>
      <c r="G110" t="s">
        <v>123</v>
      </c>
      <c r="H110" t="s">
        <v>11</v>
      </c>
      <c r="I110" t="s">
        <v>7</v>
      </c>
      <c r="J110" t="s">
        <v>83</v>
      </c>
      <c r="K110" t="s">
        <v>62</v>
      </c>
      <c r="L110" t="s">
        <v>80</v>
      </c>
      <c r="M110">
        <v>1</v>
      </c>
    </row>
    <row r="111" spans="1:13" x14ac:dyDescent="0.25">
      <c r="A111" s="1">
        <v>46128</v>
      </c>
      <c r="B111" s="1" t="str">
        <f ca="1">IF(Información1[[#This Row],[Fecha]]='Ajuste de fechas'!$A$2,"Día actual","Día anterior")</f>
        <v>Día anterior</v>
      </c>
      <c r="C111" t="s">
        <v>60</v>
      </c>
      <c r="D111" t="s">
        <v>61</v>
      </c>
      <c r="E111" t="s">
        <v>124</v>
      </c>
      <c r="F111" t="s">
        <v>52</v>
      </c>
      <c r="G111" t="s">
        <v>91</v>
      </c>
      <c r="H111" t="s">
        <v>11</v>
      </c>
      <c r="I111" t="s">
        <v>27</v>
      </c>
      <c r="J111" t="s">
        <v>79</v>
      </c>
      <c r="K111" t="s">
        <v>62</v>
      </c>
      <c r="L111" t="s">
        <v>80</v>
      </c>
      <c r="M111">
        <v>1</v>
      </c>
    </row>
    <row r="112" spans="1:13" x14ac:dyDescent="0.25">
      <c r="A112" s="1">
        <v>46128</v>
      </c>
      <c r="B112" s="1" t="str">
        <f ca="1">IF(Información1[[#This Row],[Fecha]]='Ajuste de fechas'!$A$2,"Día actual","Día anterior")</f>
        <v>Día anterior</v>
      </c>
      <c r="C112" t="s">
        <v>60</v>
      </c>
      <c r="D112" t="s">
        <v>61</v>
      </c>
      <c r="E112" t="s">
        <v>125</v>
      </c>
      <c r="F112" t="s">
        <v>22</v>
      </c>
      <c r="G112" t="s">
        <v>92</v>
      </c>
      <c r="H112" t="s">
        <v>11</v>
      </c>
      <c r="I112" t="s">
        <v>7</v>
      </c>
      <c r="J112" t="s">
        <v>26</v>
      </c>
      <c r="K112" t="s">
        <v>62</v>
      </c>
      <c r="L112" t="s">
        <v>80</v>
      </c>
      <c r="M112">
        <v>1</v>
      </c>
    </row>
    <row r="113" spans="1:13" x14ac:dyDescent="0.25">
      <c r="A113" s="1">
        <v>46128</v>
      </c>
      <c r="B113" s="1" t="str">
        <f ca="1">IF(Información1[[#This Row],[Fecha]]='Ajuste de fechas'!$A$2,"Día actual","Día anterior")</f>
        <v>Día anterior</v>
      </c>
      <c r="C113" t="s">
        <v>60</v>
      </c>
      <c r="D113" t="s">
        <v>61</v>
      </c>
      <c r="E113" t="s">
        <v>126</v>
      </c>
      <c r="F113" t="s">
        <v>22</v>
      </c>
      <c r="G113" t="s">
        <v>92</v>
      </c>
      <c r="H113" t="s">
        <v>11</v>
      </c>
      <c r="I113" t="s">
        <v>7</v>
      </c>
      <c r="J113" t="s">
        <v>26</v>
      </c>
      <c r="K113" t="s">
        <v>62</v>
      </c>
      <c r="L113" t="s">
        <v>80</v>
      </c>
      <c r="M113">
        <v>1</v>
      </c>
    </row>
    <row r="114" spans="1:13" x14ac:dyDescent="0.25">
      <c r="A114" s="1">
        <v>46128</v>
      </c>
      <c r="B114" s="1" t="str">
        <f ca="1">IF(Información1[[#This Row],[Fecha]]='Ajuste de fechas'!$A$2,"Día actual","Día anterior")</f>
        <v>Día anterior</v>
      </c>
      <c r="C114" t="s">
        <v>60</v>
      </c>
      <c r="D114" t="s">
        <v>61</v>
      </c>
      <c r="E114" t="s">
        <v>127</v>
      </c>
      <c r="F114" t="s">
        <v>21</v>
      </c>
      <c r="G114" t="s">
        <v>128</v>
      </c>
      <c r="H114" t="s">
        <v>11</v>
      </c>
      <c r="I114" t="s">
        <v>7</v>
      </c>
      <c r="J114" t="s">
        <v>79</v>
      </c>
      <c r="K114" t="s">
        <v>62</v>
      </c>
      <c r="L114" t="s">
        <v>82</v>
      </c>
      <c r="M114">
        <v>1</v>
      </c>
    </row>
    <row r="115" spans="1:13" x14ac:dyDescent="0.25">
      <c r="A115" s="1">
        <v>46128</v>
      </c>
      <c r="B115" s="1" t="str">
        <f ca="1">IF(Información1[[#This Row],[Fecha]]='Ajuste de fechas'!$A$2,"Día actual","Día anterior")</f>
        <v>Día anterior</v>
      </c>
      <c r="C115" t="s">
        <v>60</v>
      </c>
      <c r="D115" t="s">
        <v>61</v>
      </c>
      <c r="E115" t="s">
        <v>129</v>
      </c>
      <c r="F115" t="s">
        <v>49</v>
      </c>
      <c r="G115" t="s">
        <v>130</v>
      </c>
      <c r="H115" t="s">
        <v>11</v>
      </c>
      <c r="I115" t="s">
        <v>7</v>
      </c>
      <c r="J115" t="s">
        <v>79</v>
      </c>
      <c r="K115" t="s">
        <v>62</v>
      </c>
      <c r="L115" t="s">
        <v>80</v>
      </c>
      <c r="M115">
        <v>1</v>
      </c>
    </row>
    <row r="116" spans="1:13" x14ac:dyDescent="0.25">
      <c r="A116" s="1">
        <v>46128</v>
      </c>
      <c r="B116" s="1" t="str">
        <f ca="1">IF(Información1[[#This Row],[Fecha]]='Ajuste de fechas'!$A$2,"Día actual","Día anterior")</f>
        <v>Día anterior</v>
      </c>
      <c r="C116" t="s">
        <v>60</v>
      </c>
      <c r="D116" t="s">
        <v>61</v>
      </c>
      <c r="E116" t="s">
        <v>131</v>
      </c>
      <c r="F116" t="s">
        <v>48</v>
      </c>
      <c r="G116" t="s">
        <v>102</v>
      </c>
      <c r="H116" t="s">
        <v>11</v>
      </c>
      <c r="I116" t="s">
        <v>7</v>
      </c>
      <c r="J116" t="s">
        <v>79</v>
      </c>
      <c r="K116" t="s">
        <v>62</v>
      </c>
      <c r="L116" t="s">
        <v>80</v>
      </c>
      <c r="M116">
        <v>1</v>
      </c>
    </row>
    <row r="117" spans="1:13" x14ac:dyDescent="0.25">
      <c r="A117" s="1">
        <v>46128</v>
      </c>
      <c r="B117" s="1" t="str">
        <f ca="1">IF(Información1[[#This Row],[Fecha]]='Ajuste de fechas'!$A$2,"Día actual","Día anterior")</f>
        <v>Día anterior</v>
      </c>
      <c r="C117" t="s">
        <v>60</v>
      </c>
      <c r="D117" t="s">
        <v>61</v>
      </c>
      <c r="E117" t="s">
        <v>103</v>
      </c>
      <c r="F117" t="s">
        <v>22</v>
      </c>
      <c r="G117" t="s">
        <v>66</v>
      </c>
      <c r="H117" t="s">
        <v>11</v>
      </c>
      <c r="I117" t="s">
        <v>7</v>
      </c>
      <c r="J117" t="s">
        <v>26</v>
      </c>
      <c r="K117" t="s">
        <v>62</v>
      </c>
      <c r="L117" t="s">
        <v>80</v>
      </c>
      <c r="M117">
        <v>1</v>
      </c>
    </row>
    <row r="118" spans="1:13" x14ac:dyDescent="0.25">
      <c r="A118" s="1">
        <v>46128</v>
      </c>
      <c r="B118" s="1" t="str">
        <f ca="1">IF(Información1[[#This Row],[Fecha]]='Ajuste de fechas'!$A$2,"Día actual","Día anterior")</f>
        <v>Día anterior</v>
      </c>
      <c r="C118" t="s">
        <v>60</v>
      </c>
      <c r="D118" t="s">
        <v>61</v>
      </c>
      <c r="E118" t="s">
        <v>132</v>
      </c>
      <c r="F118" t="s">
        <v>25</v>
      </c>
      <c r="G118" t="s">
        <v>133</v>
      </c>
      <c r="H118" t="s">
        <v>11</v>
      </c>
      <c r="I118" t="s">
        <v>7</v>
      </c>
      <c r="J118" t="s">
        <v>79</v>
      </c>
      <c r="K118" t="s">
        <v>62</v>
      </c>
      <c r="L118" t="s">
        <v>80</v>
      </c>
      <c r="M118">
        <v>1</v>
      </c>
    </row>
    <row r="119" spans="1:13" x14ac:dyDescent="0.25">
      <c r="A119" s="1">
        <v>46128</v>
      </c>
      <c r="B119" s="1" t="str">
        <f ca="1">IF(Información1[[#This Row],[Fecha]]='Ajuste de fechas'!$A$2,"Día actual","Día anterior")</f>
        <v>Día anterior</v>
      </c>
      <c r="C119" t="s">
        <v>60</v>
      </c>
      <c r="D119" t="s">
        <v>61</v>
      </c>
      <c r="E119" t="s">
        <v>134</v>
      </c>
      <c r="F119" t="s">
        <v>19</v>
      </c>
      <c r="G119" t="s">
        <v>93</v>
      </c>
      <c r="H119" t="s">
        <v>11</v>
      </c>
      <c r="I119" t="s">
        <v>7</v>
      </c>
      <c r="J119" t="s">
        <v>83</v>
      </c>
      <c r="K119" t="s">
        <v>62</v>
      </c>
      <c r="L119" t="s">
        <v>80</v>
      </c>
      <c r="M119">
        <v>1</v>
      </c>
    </row>
    <row r="120" spans="1:13" x14ac:dyDescent="0.25">
      <c r="A120" s="1">
        <v>46128</v>
      </c>
      <c r="B120" s="1" t="str">
        <f ca="1">IF(Información1[[#This Row],[Fecha]]='Ajuste de fechas'!$A$2,"Día actual","Día anterior")</f>
        <v>Día anterior</v>
      </c>
      <c r="C120" t="s">
        <v>60</v>
      </c>
      <c r="D120" t="s">
        <v>61</v>
      </c>
      <c r="E120" t="s">
        <v>117</v>
      </c>
      <c r="F120" t="s">
        <v>19</v>
      </c>
      <c r="G120" t="s">
        <v>47</v>
      </c>
      <c r="H120" t="s">
        <v>11</v>
      </c>
      <c r="I120" t="s">
        <v>7</v>
      </c>
      <c r="J120" t="s">
        <v>83</v>
      </c>
      <c r="K120" t="s">
        <v>62</v>
      </c>
      <c r="L120" t="s">
        <v>80</v>
      </c>
      <c r="M120">
        <v>1</v>
      </c>
    </row>
    <row r="121" spans="1:13" x14ac:dyDescent="0.25">
      <c r="A121" s="1">
        <v>46128</v>
      </c>
      <c r="B121" s="1" t="str">
        <f ca="1">IF(Información1[[#This Row],[Fecha]]='Ajuste de fechas'!$A$2,"Día actual","Día anterior")</f>
        <v>Día anterior</v>
      </c>
      <c r="C121" t="s">
        <v>60</v>
      </c>
      <c r="D121" t="s">
        <v>61</v>
      </c>
      <c r="E121" t="s">
        <v>135</v>
      </c>
      <c r="F121" t="s">
        <v>19</v>
      </c>
      <c r="G121" t="s">
        <v>136</v>
      </c>
      <c r="H121" t="s">
        <v>11</v>
      </c>
      <c r="I121" t="s">
        <v>7</v>
      </c>
      <c r="J121" t="s">
        <v>83</v>
      </c>
      <c r="K121" t="s">
        <v>62</v>
      </c>
      <c r="L121" t="s">
        <v>80</v>
      </c>
      <c r="M121">
        <v>1</v>
      </c>
    </row>
    <row r="122" spans="1:13" x14ac:dyDescent="0.25">
      <c r="A122" s="1">
        <v>46128</v>
      </c>
      <c r="B122" s="1" t="str">
        <f ca="1">IF(Información1[[#This Row],[Fecha]]='Ajuste de fechas'!$A$2,"Día actual","Día anterior")</f>
        <v>Día anterior</v>
      </c>
      <c r="C122" t="s">
        <v>60</v>
      </c>
      <c r="D122" t="s">
        <v>61</v>
      </c>
      <c r="E122" t="s">
        <v>137</v>
      </c>
      <c r="F122" t="s">
        <v>120</v>
      </c>
      <c r="G122" t="s">
        <v>138</v>
      </c>
      <c r="H122" t="s">
        <v>11</v>
      </c>
      <c r="I122" t="s">
        <v>7</v>
      </c>
      <c r="J122" t="s">
        <v>79</v>
      </c>
      <c r="K122" t="s">
        <v>62</v>
      </c>
      <c r="L122" t="s">
        <v>82</v>
      </c>
      <c r="M122">
        <v>1</v>
      </c>
    </row>
    <row r="123" spans="1:13" x14ac:dyDescent="0.25">
      <c r="A123" s="1">
        <v>46128</v>
      </c>
      <c r="B123" s="1" t="str">
        <f ca="1">IF(Información1[[#This Row],[Fecha]]='Ajuste de fechas'!$A$2,"Día actual","Día anterior")</f>
        <v>Día anterior</v>
      </c>
      <c r="C123" t="s">
        <v>60</v>
      </c>
      <c r="D123" t="s">
        <v>61</v>
      </c>
      <c r="E123" t="s">
        <v>139</v>
      </c>
      <c r="F123" t="s">
        <v>23</v>
      </c>
      <c r="G123" t="s">
        <v>140</v>
      </c>
      <c r="H123" t="s">
        <v>11</v>
      </c>
      <c r="I123" t="s">
        <v>7</v>
      </c>
      <c r="J123" t="s">
        <v>84</v>
      </c>
      <c r="K123" t="s">
        <v>62</v>
      </c>
      <c r="L123" t="s">
        <v>80</v>
      </c>
      <c r="M123">
        <v>1</v>
      </c>
    </row>
    <row r="124" spans="1:13" x14ac:dyDescent="0.25">
      <c r="A124" s="1">
        <v>46128</v>
      </c>
      <c r="B124" s="1" t="str">
        <f ca="1">IF(Información1[[#This Row],[Fecha]]='Ajuste de fechas'!$A$2,"Día actual","Día anterior")</f>
        <v>Día anterior</v>
      </c>
      <c r="C124" t="s">
        <v>60</v>
      </c>
      <c r="D124" t="s">
        <v>61</v>
      </c>
      <c r="E124" t="s">
        <v>141</v>
      </c>
      <c r="F124" t="s">
        <v>6</v>
      </c>
      <c r="G124" t="s">
        <v>142</v>
      </c>
      <c r="H124" t="s">
        <v>11</v>
      </c>
      <c r="I124" t="s">
        <v>7</v>
      </c>
      <c r="J124" t="s">
        <v>79</v>
      </c>
      <c r="K124" t="s">
        <v>62</v>
      </c>
      <c r="L124" t="s">
        <v>82</v>
      </c>
      <c r="M124">
        <v>1</v>
      </c>
    </row>
    <row r="125" spans="1:13" x14ac:dyDescent="0.25">
      <c r="A125" s="1">
        <v>46128</v>
      </c>
      <c r="B125" s="1" t="str">
        <f ca="1">IF(Información1[[#This Row],[Fecha]]='Ajuste de fechas'!$A$2,"Día actual","Día anterior")</f>
        <v>Día anterior</v>
      </c>
      <c r="C125" t="s">
        <v>60</v>
      </c>
      <c r="D125" t="s">
        <v>61</v>
      </c>
      <c r="E125" t="s">
        <v>143</v>
      </c>
      <c r="F125" t="s">
        <v>28</v>
      </c>
      <c r="G125" t="s">
        <v>100</v>
      </c>
      <c r="H125" t="s">
        <v>11</v>
      </c>
      <c r="I125" t="s">
        <v>7</v>
      </c>
      <c r="J125" t="s">
        <v>79</v>
      </c>
      <c r="K125" t="s">
        <v>62</v>
      </c>
      <c r="L125" t="s">
        <v>80</v>
      </c>
      <c r="M125">
        <v>1</v>
      </c>
    </row>
    <row r="126" spans="1:13" x14ac:dyDescent="0.25">
      <c r="A126" s="1">
        <v>46128</v>
      </c>
      <c r="B126" s="1" t="str">
        <f ca="1">IF(Información1[[#This Row],[Fecha]]='Ajuste de fechas'!$A$2,"Día actual","Día anterior")</f>
        <v>Día anterior</v>
      </c>
      <c r="C126" t="s">
        <v>50</v>
      </c>
      <c r="D126" t="s">
        <v>51</v>
      </c>
      <c r="E126" t="s">
        <v>144</v>
      </c>
      <c r="F126" t="s">
        <v>19</v>
      </c>
      <c r="G126" t="s">
        <v>105</v>
      </c>
      <c r="H126" t="s">
        <v>46</v>
      </c>
      <c r="I126" t="s">
        <v>12</v>
      </c>
      <c r="J126" t="s">
        <v>83</v>
      </c>
      <c r="K126" t="s">
        <v>31</v>
      </c>
      <c r="L126" t="s">
        <v>80</v>
      </c>
      <c r="M126">
        <v>1</v>
      </c>
    </row>
    <row r="127" spans="1:13" x14ac:dyDescent="0.25">
      <c r="A127" s="1">
        <v>46128</v>
      </c>
      <c r="B127" s="1" t="str">
        <f ca="1">IF(Información1[[#This Row],[Fecha]]='Ajuste de fechas'!$A$2,"Día actual","Día anterior")</f>
        <v>Día anterior</v>
      </c>
      <c r="C127" t="s">
        <v>50</v>
      </c>
      <c r="D127" t="s">
        <v>51</v>
      </c>
      <c r="E127" t="s">
        <v>145</v>
      </c>
      <c r="F127" t="s">
        <v>19</v>
      </c>
      <c r="G127" t="s">
        <v>146</v>
      </c>
      <c r="H127" t="s">
        <v>46</v>
      </c>
      <c r="I127" t="s">
        <v>12</v>
      </c>
      <c r="J127" t="s">
        <v>83</v>
      </c>
      <c r="K127" t="s">
        <v>31</v>
      </c>
      <c r="L127" t="s">
        <v>80</v>
      </c>
      <c r="M127">
        <v>1</v>
      </c>
    </row>
    <row r="128" spans="1:13" x14ac:dyDescent="0.25">
      <c r="A128" s="1">
        <v>46128</v>
      </c>
      <c r="B128" s="1" t="str">
        <f ca="1">IF(Información1[[#This Row],[Fecha]]='Ajuste de fechas'!$A$2,"Día actual","Día anterior")</f>
        <v>Día anterior</v>
      </c>
      <c r="C128" t="s">
        <v>50</v>
      </c>
      <c r="D128" t="s">
        <v>51</v>
      </c>
      <c r="E128" t="s">
        <v>147</v>
      </c>
      <c r="F128" t="s">
        <v>19</v>
      </c>
      <c r="G128" t="s">
        <v>148</v>
      </c>
      <c r="H128" t="s">
        <v>46</v>
      </c>
      <c r="I128" t="s">
        <v>12</v>
      </c>
      <c r="J128" t="s">
        <v>83</v>
      </c>
      <c r="K128" t="s">
        <v>31</v>
      </c>
      <c r="L128" t="s">
        <v>80</v>
      </c>
      <c r="M128">
        <v>1</v>
      </c>
    </row>
    <row r="129" spans="1:13" x14ac:dyDescent="0.25">
      <c r="A129" s="1">
        <v>46128</v>
      </c>
      <c r="B129" s="1" t="str">
        <f ca="1">IF(Información1[[#This Row],[Fecha]]='Ajuste de fechas'!$A$2,"Día actual","Día anterior")</f>
        <v>Día anterior</v>
      </c>
      <c r="C129" t="s">
        <v>50</v>
      </c>
      <c r="D129" t="s">
        <v>51</v>
      </c>
      <c r="E129" t="s">
        <v>149</v>
      </c>
      <c r="F129" t="s">
        <v>28</v>
      </c>
      <c r="G129" t="s">
        <v>150</v>
      </c>
      <c r="H129" t="s">
        <v>46</v>
      </c>
      <c r="I129" t="s">
        <v>12</v>
      </c>
      <c r="J129" t="s">
        <v>79</v>
      </c>
      <c r="K129" t="s">
        <v>31</v>
      </c>
      <c r="L129" t="s">
        <v>80</v>
      </c>
      <c r="M129">
        <v>1</v>
      </c>
    </row>
    <row r="130" spans="1:13" x14ac:dyDescent="0.25">
      <c r="A130" s="1">
        <v>46128</v>
      </c>
      <c r="B130" s="1" t="str">
        <f ca="1">IF(Información1[[#This Row],[Fecha]]='Ajuste de fechas'!$A$2,"Día actual","Día anterior")</f>
        <v>Día anterior</v>
      </c>
      <c r="C130" t="s">
        <v>50</v>
      </c>
      <c r="D130" t="s">
        <v>51</v>
      </c>
      <c r="E130" t="s">
        <v>151</v>
      </c>
      <c r="F130" t="s">
        <v>22</v>
      </c>
      <c r="G130" t="s">
        <v>152</v>
      </c>
      <c r="H130" t="s">
        <v>46</v>
      </c>
      <c r="I130" t="s">
        <v>7</v>
      </c>
      <c r="J130" t="s">
        <v>26</v>
      </c>
      <c r="K130" t="s">
        <v>31</v>
      </c>
      <c r="L130" t="s">
        <v>80</v>
      </c>
      <c r="M130">
        <v>1</v>
      </c>
    </row>
    <row r="131" spans="1:13" x14ac:dyDescent="0.25">
      <c r="A131" s="1">
        <v>46128</v>
      </c>
      <c r="B131" s="1" t="str">
        <f ca="1">IF(Información1[[#This Row],[Fecha]]='Ajuste de fechas'!$A$2,"Día actual","Día anterior")</f>
        <v>Día anterior</v>
      </c>
      <c r="C131" t="s">
        <v>50</v>
      </c>
      <c r="D131" t="s">
        <v>51</v>
      </c>
      <c r="E131" t="s">
        <v>153</v>
      </c>
      <c r="F131" t="s">
        <v>22</v>
      </c>
      <c r="G131" t="s">
        <v>92</v>
      </c>
      <c r="H131" t="s">
        <v>46</v>
      </c>
      <c r="I131" t="s">
        <v>7</v>
      </c>
      <c r="J131" t="s">
        <v>26</v>
      </c>
      <c r="K131" t="s">
        <v>154</v>
      </c>
      <c r="L131" t="s">
        <v>80</v>
      </c>
      <c r="M131">
        <v>1</v>
      </c>
    </row>
    <row r="132" spans="1:13" x14ac:dyDescent="0.25">
      <c r="A132" s="1">
        <v>46128</v>
      </c>
      <c r="B132" s="1" t="str">
        <f ca="1">IF(Información1[[#This Row],[Fecha]]='Ajuste de fechas'!$A$2,"Día actual","Día anterior")</f>
        <v>Día anterior</v>
      </c>
      <c r="C132" t="s">
        <v>50</v>
      </c>
      <c r="D132" t="s">
        <v>51</v>
      </c>
      <c r="E132" t="s">
        <v>155</v>
      </c>
      <c r="F132" t="s">
        <v>19</v>
      </c>
      <c r="G132" t="s">
        <v>136</v>
      </c>
      <c r="H132" t="s">
        <v>46</v>
      </c>
      <c r="I132" t="s">
        <v>7</v>
      </c>
      <c r="J132" t="s">
        <v>83</v>
      </c>
      <c r="K132" t="s">
        <v>154</v>
      </c>
      <c r="L132" t="s">
        <v>80</v>
      </c>
      <c r="M132">
        <v>1</v>
      </c>
    </row>
    <row r="133" spans="1:13" x14ac:dyDescent="0.25">
      <c r="A133" s="1">
        <v>46128</v>
      </c>
      <c r="B133" s="1" t="str">
        <f ca="1">IF(Información1[[#This Row],[Fecha]]='Ajuste de fechas'!$A$2,"Día actual","Día anterior")</f>
        <v>Día anterior</v>
      </c>
      <c r="C133" t="s">
        <v>50</v>
      </c>
      <c r="D133" t="s">
        <v>51</v>
      </c>
      <c r="E133" t="s">
        <v>156</v>
      </c>
      <c r="F133" t="s">
        <v>19</v>
      </c>
      <c r="G133" t="s">
        <v>136</v>
      </c>
      <c r="H133" t="s">
        <v>46</v>
      </c>
      <c r="I133" t="s">
        <v>7</v>
      </c>
      <c r="J133" t="s">
        <v>83</v>
      </c>
      <c r="K133" t="s">
        <v>31</v>
      </c>
      <c r="L133" t="s">
        <v>80</v>
      </c>
      <c r="M133">
        <v>1</v>
      </c>
    </row>
    <row r="134" spans="1:13" x14ac:dyDescent="0.25">
      <c r="A134" s="1">
        <v>46128</v>
      </c>
      <c r="B134" s="1" t="str">
        <f ca="1">IF(Información1[[#This Row],[Fecha]]='Ajuste de fechas'!$A$2,"Día actual","Día anterior")</f>
        <v>Día anterior</v>
      </c>
      <c r="C134" t="s">
        <v>50</v>
      </c>
      <c r="D134" t="s">
        <v>51</v>
      </c>
      <c r="E134" t="s">
        <v>157</v>
      </c>
      <c r="F134" t="s">
        <v>21</v>
      </c>
      <c r="G134" t="s">
        <v>158</v>
      </c>
      <c r="H134" t="s">
        <v>46</v>
      </c>
      <c r="I134" t="s">
        <v>7</v>
      </c>
      <c r="J134" t="s">
        <v>79</v>
      </c>
      <c r="K134" t="s">
        <v>31</v>
      </c>
      <c r="L134" t="s">
        <v>82</v>
      </c>
      <c r="M134">
        <v>1</v>
      </c>
    </row>
    <row r="135" spans="1:13" x14ac:dyDescent="0.25">
      <c r="A135" s="1">
        <v>46128</v>
      </c>
      <c r="B135" s="1" t="str">
        <f ca="1">IF(Información1[[#This Row],[Fecha]]='Ajuste de fechas'!$A$2,"Día actual","Día anterior")</f>
        <v>Día anterior</v>
      </c>
      <c r="C135" t="s">
        <v>50</v>
      </c>
      <c r="D135" t="s">
        <v>51</v>
      </c>
      <c r="E135" t="s">
        <v>159</v>
      </c>
      <c r="F135" t="s">
        <v>160</v>
      </c>
      <c r="G135" t="s">
        <v>161</v>
      </c>
      <c r="H135" t="s">
        <v>46</v>
      </c>
      <c r="I135" t="s">
        <v>7</v>
      </c>
      <c r="J135" t="s">
        <v>79</v>
      </c>
      <c r="K135" t="s">
        <v>31</v>
      </c>
      <c r="L135" t="s">
        <v>82</v>
      </c>
      <c r="M135">
        <v>1</v>
      </c>
    </row>
    <row r="136" spans="1:13" x14ac:dyDescent="0.25">
      <c r="A136" s="1">
        <v>46128</v>
      </c>
      <c r="B136" s="1" t="str">
        <f ca="1">IF(Información1[[#This Row],[Fecha]]='Ajuste de fechas'!$A$2,"Día actual","Día anterior")</f>
        <v>Día anterior</v>
      </c>
      <c r="C136" t="s">
        <v>50</v>
      </c>
      <c r="D136" t="s">
        <v>51</v>
      </c>
      <c r="E136" t="s">
        <v>141</v>
      </c>
      <c r="F136" t="s">
        <v>6</v>
      </c>
      <c r="G136" t="s">
        <v>142</v>
      </c>
      <c r="H136" t="s">
        <v>46</v>
      </c>
      <c r="I136" t="s">
        <v>7</v>
      </c>
      <c r="J136" t="s">
        <v>79</v>
      </c>
      <c r="K136" t="s">
        <v>31</v>
      </c>
      <c r="L136" t="s">
        <v>82</v>
      </c>
      <c r="M136">
        <v>1</v>
      </c>
    </row>
    <row r="137" spans="1:13" x14ac:dyDescent="0.25">
      <c r="A137" s="1">
        <v>46128</v>
      </c>
      <c r="B137" s="1" t="str">
        <f ca="1">IF(Información1[[#This Row],[Fecha]]='Ajuste de fechas'!$A$2,"Día actual","Día anterior")</f>
        <v>Día anterior</v>
      </c>
      <c r="C137" t="s">
        <v>50</v>
      </c>
      <c r="D137" t="s">
        <v>51</v>
      </c>
      <c r="E137" t="s">
        <v>162</v>
      </c>
      <c r="F137" t="s">
        <v>19</v>
      </c>
      <c r="G137" t="s">
        <v>112</v>
      </c>
      <c r="H137" t="s">
        <v>46</v>
      </c>
      <c r="I137" t="s">
        <v>27</v>
      </c>
      <c r="J137" t="s">
        <v>83</v>
      </c>
      <c r="K137" t="s">
        <v>31</v>
      </c>
      <c r="L137" t="s">
        <v>80</v>
      </c>
      <c r="M137">
        <v>1</v>
      </c>
    </row>
    <row r="138" spans="1:13" x14ac:dyDescent="0.25">
      <c r="A138" s="1">
        <v>46128</v>
      </c>
      <c r="B138" s="1" t="str">
        <f ca="1">IF(Información1[[#This Row],[Fecha]]='Ajuste de fechas'!$A$2,"Día actual","Día anterior")</f>
        <v>Día anterior</v>
      </c>
      <c r="C138" t="s">
        <v>50</v>
      </c>
      <c r="D138" t="s">
        <v>51</v>
      </c>
      <c r="E138" t="s">
        <v>118</v>
      </c>
      <c r="F138" t="s">
        <v>19</v>
      </c>
      <c r="G138" t="s">
        <v>119</v>
      </c>
      <c r="H138" t="s">
        <v>46</v>
      </c>
      <c r="I138" t="s">
        <v>7</v>
      </c>
      <c r="J138" t="s">
        <v>83</v>
      </c>
      <c r="K138" t="s">
        <v>31</v>
      </c>
      <c r="L138" t="s">
        <v>80</v>
      </c>
      <c r="M138">
        <v>1</v>
      </c>
    </row>
    <row r="139" spans="1:13" x14ac:dyDescent="0.25">
      <c r="A139" s="1">
        <v>46128</v>
      </c>
      <c r="B139" s="1" t="str">
        <f ca="1">IF(Información1[[#This Row],[Fecha]]='Ajuste de fechas'!$A$2,"Día actual","Día anterior")</f>
        <v>Día anterior</v>
      </c>
      <c r="C139" t="s">
        <v>54</v>
      </c>
      <c r="D139" t="s">
        <v>57</v>
      </c>
      <c r="E139" t="s">
        <v>163</v>
      </c>
      <c r="F139" t="s">
        <v>17</v>
      </c>
      <c r="G139" t="s">
        <v>164</v>
      </c>
      <c r="H139" t="s">
        <v>11</v>
      </c>
      <c r="I139" t="s">
        <v>12</v>
      </c>
      <c r="J139" t="s">
        <v>79</v>
      </c>
      <c r="K139" t="s">
        <v>55</v>
      </c>
      <c r="L139" t="s">
        <v>97</v>
      </c>
      <c r="M139">
        <v>1</v>
      </c>
    </row>
    <row r="140" spans="1:13" x14ac:dyDescent="0.25">
      <c r="A140" s="1">
        <v>46128</v>
      </c>
      <c r="B140" s="1" t="str">
        <f ca="1">IF(Información1[[#This Row],[Fecha]]='Ajuste de fechas'!$A$2,"Día actual","Día anterior")</f>
        <v>Día anterior</v>
      </c>
      <c r="C140" t="s">
        <v>54</v>
      </c>
      <c r="D140" t="s">
        <v>57</v>
      </c>
      <c r="E140" t="s">
        <v>165</v>
      </c>
      <c r="F140" t="s">
        <v>23</v>
      </c>
      <c r="G140" t="s">
        <v>166</v>
      </c>
      <c r="H140" t="s">
        <v>11</v>
      </c>
      <c r="I140" t="s">
        <v>7</v>
      </c>
      <c r="J140" t="s">
        <v>84</v>
      </c>
      <c r="K140" t="s">
        <v>55</v>
      </c>
      <c r="L140" t="s">
        <v>80</v>
      </c>
      <c r="M140">
        <v>1</v>
      </c>
    </row>
    <row r="141" spans="1:13" x14ac:dyDescent="0.25">
      <c r="A141" s="1">
        <v>46128</v>
      </c>
      <c r="B141" s="1" t="str">
        <f ca="1">IF(Información1[[#This Row],[Fecha]]='Ajuste de fechas'!$A$2,"Día actual","Día anterior")</f>
        <v>Día anterior</v>
      </c>
      <c r="C141" t="s">
        <v>54</v>
      </c>
      <c r="D141" t="s">
        <v>57</v>
      </c>
      <c r="E141" t="s">
        <v>167</v>
      </c>
      <c r="F141" t="s">
        <v>23</v>
      </c>
      <c r="G141" t="s">
        <v>166</v>
      </c>
      <c r="H141" t="s">
        <v>11</v>
      </c>
      <c r="I141" t="s">
        <v>7</v>
      </c>
      <c r="J141" t="s">
        <v>84</v>
      </c>
      <c r="K141" t="s">
        <v>55</v>
      </c>
      <c r="L141" t="s">
        <v>80</v>
      </c>
      <c r="M141">
        <v>1</v>
      </c>
    </row>
    <row r="142" spans="1:13" x14ac:dyDescent="0.25">
      <c r="A142" s="1">
        <v>46128</v>
      </c>
      <c r="B142" s="1" t="str">
        <f ca="1">IF(Información1[[#This Row],[Fecha]]='Ajuste de fechas'!$A$2,"Día actual","Día anterior")</f>
        <v>Día anterior</v>
      </c>
      <c r="C142" t="s">
        <v>54</v>
      </c>
      <c r="D142" t="s">
        <v>57</v>
      </c>
      <c r="E142" t="s">
        <v>168</v>
      </c>
      <c r="F142" t="s">
        <v>19</v>
      </c>
      <c r="G142" t="s">
        <v>169</v>
      </c>
      <c r="H142" t="s">
        <v>11</v>
      </c>
      <c r="I142" t="s">
        <v>7</v>
      </c>
      <c r="J142" t="s">
        <v>83</v>
      </c>
      <c r="K142" t="s">
        <v>55</v>
      </c>
      <c r="L142" t="s">
        <v>80</v>
      </c>
      <c r="M142">
        <v>1</v>
      </c>
    </row>
    <row r="143" spans="1:13" x14ac:dyDescent="0.25">
      <c r="A143" s="1">
        <v>46128</v>
      </c>
      <c r="B143" s="1" t="str">
        <f ca="1">IF(Información1[[#This Row],[Fecha]]='Ajuste de fechas'!$A$2,"Día actual","Día anterior")</f>
        <v>Día anterior</v>
      </c>
      <c r="C143" t="s">
        <v>54</v>
      </c>
      <c r="D143" t="s">
        <v>57</v>
      </c>
      <c r="E143" t="s">
        <v>170</v>
      </c>
      <c r="F143" t="s">
        <v>52</v>
      </c>
      <c r="G143" t="s">
        <v>95</v>
      </c>
      <c r="H143" t="s">
        <v>11</v>
      </c>
      <c r="I143" t="s">
        <v>27</v>
      </c>
      <c r="J143" t="s">
        <v>79</v>
      </c>
      <c r="K143" t="s">
        <v>9</v>
      </c>
      <c r="L143" t="s">
        <v>81</v>
      </c>
      <c r="M143">
        <v>1</v>
      </c>
    </row>
    <row r="144" spans="1:13" x14ac:dyDescent="0.25">
      <c r="A144" s="1">
        <v>46128</v>
      </c>
      <c r="B144" s="1" t="str">
        <f ca="1">IF(Información1[[#This Row],[Fecha]]='Ajuste de fechas'!$A$2,"Día actual","Día anterior")</f>
        <v>Día anterior</v>
      </c>
      <c r="C144" t="s">
        <v>54</v>
      </c>
      <c r="D144" t="s">
        <v>57</v>
      </c>
      <c r="E144" t="s">
        <v>171</v>
      </c>
      <c r="F144" t="s">
        <v>17</v>
      </c>
      <c r="G144" t="s">
        <v>100</v>
      </c>
      <c r="H144" t="s">
        <v>11</v>
      </c>
      <c r="I144" t="s">
        <v>7</v>
      </c>
      <c r="J144" t="s">
        <v>79</v>
      </c>
      <c r="K144" t="s">
        <v>9</v>
      </c>
      <c r="L144" t="s">
        <v>81</v>
      </c>
      <c r="M144">
        <v>1</v>
      </c>
    </row>
    <row r="145" spans="1:13" x14ac:dyDescent="0.25">
      <c r="A145" s="1">
        <v>46128</v>
      </c>
      <c r="B145" s="1" t="str">
        <f ca="1">IF(Información1[[#This Row],[Fecha]]='Ajuste de fechas'!$A$2,"Día actual","Día anterior")</f>
        <v>Día anterior</v>
      </c>
      <c r="C145" t="s">
        <v>54</v>
      </c>
      <c r="D145" t="s">
        <v>57</v>
      </c>
      <c r="E145" t="s">
        <v>172</v>
      </c>
      <c r="F145" t="s">
        <v>15</v>
      </c>
      <c r="G145" t="s">
        <v>173</v>
      </c>
      <c r="H145" t="s">
        <v>11</v>
      </c>
      <c r="I145" t="s">
        <v>7</v>
      </c>
      <c r="J145" t="s">
        <v>79</v>
      </c>
      <c r="K145" t="s">
        <v>55</v>
      </c>
      <c r="L145" t="s">
        <v>80</v>
      </c>
      <c r="M145">
        <v>1</v>
      </c>
    </row>
    <row r="146" spans="1:13" x14ac:dyDescent="0.25">
      <c r="A146" s="1">
        <v>46128</v>
      </c>
      <c r="B146" s="1" t="str">
        <f ca="1">IF(Información1[[#This Row],[Fecha]]='Ajuste de fechas'!$A$2,"Día actual","Día anterior")</f>
        <v>Día anterior</v>
      </c>
      <c r="C146" t="s">
        <v>32</v>
      </c>
      <c r="D146" t="s">
        <v>34</v>
      </c>
      <c r="E146" t="s">
        <v>174</v>
      </c>
      <c r="F146" t="s">
        <v>38</v>
      </c>
      <c r="G146" t="s">
        <v>110</v>
      </c>
      <c r="H146" t="s">
        <v>11</v>
      </c>
      <c r="I146" t="s">
        <v>7</v>
      </c>
      <c r="J146" t="s">
        <v>79</v>
      </c>
      <c r="K146" t="s">
        <v>33</v>
      </c>
      <c r="L146" t="s">
        <v>80</v>
      </c>
      <c r="M146">
        <v>1</v>
      </c>
    </row>
    <row r="147" spans="1:13" x14ac:dyDescent="0.25">
      <c r="A147" s="1">
        <v>46128</v>
      </c>
      <c r="B147" s="1" t="str">
        <f ca="1">IF(Información1[[#This Row],[Fecha]]='Ajuste de fechas'!$A$2,"Día actual","Día anterior")</f>
        <v>Día anterior</v>
      </c>
      <c r="C147" t="s">
        <v>32</v>
      </c>
      <c r="D147" t="s">
        <v>34</v>
      </c>
      <c r="E147" t="s">
        <v>175</v>
      </c>
      <c r="F147" t="s">
        <v>22</v>
      </c>
      <c r="G147" t="s">
        <v>152</v>
      </c>
      <c r="H147" t="s">
        <v>11</v>
      </c>
      <c r="I147" t="s">
        <v>7</v>
      </c>
      <c r="J147" t="s">
        <v>26</v>
      </c>
      <c r="K147" t="s">
        <v>33</v>
      </c>
      <c r="L147" t="s">
        <v>80</v>
      </c>
      <c r="M147">
        <v>1</v>
      </c>
    </row>
    <row r="148" spans="1:13" x14ac:dyDescent="0.25">
      <c r="A148" s="1">
        <v>46128</v>
      </c>
      <c r="B148" s="1" t="str">
        <f ca="1">IF(Información1[[#This Row],[Fecha]]='Ajuste de fechas'!$A$2,"Día actual","Día anterior")</f>
        <v>Día anterior</v>
      </c>
      <c r="C148" t="s">
        <v>32</v>
      </c>
      <c r="D148" t="s">
        <v>34</v>
      </c>
      <c r="E148" t="s">
        <v>176</v>
      </c>
      <c r="F148" t="s">
        <v>22</v>
      </c>
      <c r="G148" t="s">
        <v>152</v>
      </c>
      <c r="H148" t="s">
        <v>11</v>
      </c>
      <c r="I148" t="s">
        <v>7</v>
      </c>
      <c r="J148" t="s">
        <v>26</v>
      </c>
      <c r="K148" t="s">
        <v>33</v>
      </c>
      <c r="L148" t="s">
        <v>80</v>
      </c>
      <c r="M148">
        <v>1</v>
      </c>
    </row>
    <row r="149" spans="1:13" x14ac:dyDescent="0.25">
      <c r="A149" s="1">
        <v>46128</v>
      </c>
      <c r="B149" s="1" t="str">
        <f ca="1">IF(Información1[[#This Row],[Fecha]]='Ajuste de fechas'!$A$2,"Día actual","Día anterior")</f>
        <v>Día anterior</v>
      </c>
      <c r="C149" t="s">
        <v>32</v>
      </c>
      <c r="D149" t="s">
        <v>34</v>
      </c>
      <c r="E149" t="s">
        <v>177</v>
      </c>
      <c r="F149" t="s">
        <v>24</v>
      </c>
      <c r="G149" t="s">
        <v>178</v>
      </c>
      <c r="H149" t="s">
        <v>11</v>
      </c>
      <c r="I149" t="s">
        <v>7</v>
      </c>
      <c r="J149" t="s">
        <v>79</v>
      </c>
      <c r="K149" t="s">
        <v>33</v>
      </c>
      <c r="L149" t="s">
        <v>82</v>
      </c>
      <c r="M149">
        <v>1</v>
      </c>
    </row>
    <row r="150" spans="1:13" x14ac:dyDescent="0.25">
      <c r="A150" s="1">
        <v>46128</v>
      </c>
      <c r="B150" s="1" t="str">
        <f ca="1">IF(Información1[[#This Row],[Fecha]]='Ajuste de fechas'!$A$2,"Día actual","Día anterior")</f>
        <v>Día anterior</v>
      </c>
      <c r="C150" t="s">
        <v>32</v>
      </c>
      <c r="D150" t="s">
        <v>34</v>
      </c>
      <c r="E150" t="s">
        <v>179</v>
      </c>
      <c r="F150" t="s">
        <v>120</v>
      </c>
      <c r="G150" t="s">
        <v>138</v>
      </c>
      <c r="H150" t="s">
        <v>11</v>
      </c>
      <c r="I150" t="s">
        <v>7</v>
      </c>
      <c r="J150" t="s">
        <v>79</v>
      </c>
      <c r="K150" t="s">
        <v>33</v>
      </c>
      <c r="L150" t="s">
        <v>82</v>
      </c>
      <c r="M150">
        <v>1</v>
      </c>
    </row>
    <row r="151" spans="1:13" x14ac:dyDescent="0.25">
      <c r="A151" s="1">
        <v>46128</v>
      </c>
      <c r="B151" s="1" t="str">
        <f ca="1">IF(Información1[[#This Row],[Fecha]]='Ajuste de fechas'!$A$2,"Día actual","Día anterior")</f>
        <v>Día anterior</v>
      </c>
      <c r="C151" t="s">
        <v>32</v>
      </c>
      <c r="D151" t="s">
        <v>34</v>
      </c>
      <c r="E151" t="s">
        <v>180</v>
      </c>
      <c r="F151" t="s">
        <v>52</v>
      </c>
      <c r="G151" t="s">
        <v>181</v>
      </c>
      <c r="H151" t="s">
        <v>11</v>
      </c>
      <c r="I151" t="s">
        <v>7</v>
      </c>
      <c r="J151" t="s">
        <v>79</v>
      </c>
      <c r="K151" t="s">
        <v>33</v>
      </c>
      <c r="L151" t="s">
        <v>82</v>
      </c>
      <c r="M151">
        <v>1</v>
      </c>
    </row>
    <row r="152" spans="1:13" x14ac:dyDescent="0.25">
      <c r="A152" s="1">
        <v>46128</v>
      </c>
      <c r="B152" s="1" t="str">
        <f ca="1">IF(Información1[[#This Row],[Fecha]]='Ajuste de fechas'!$A$2,"Día actual","Día anterior")</f>
        <v>Día anterior</v>
      </c>
      <c r="C152" t="s">
        <v>32</v>
      </c>
      <c r="D152" t="s">
        <v>34</v>
      </c>
      <c r="E152" t="s">
        <v>182</v>
      </c>
      <c r="F152" t="s">
        <v>25</v>
      </c>
      <c r="G152" t="s">
        <v>105</v>
      </c>
      <c r="H152" t="s">
        <v>11</v>
      </c>
      <c r="I152" t="s">
        <v>7</v>
      </c>
      <c r="J152" t="s">
        <v>79</v>
      </c>
      <c r="K152" t="s">
        <v>33</v>
      </c>
      <c r="L152" t="s">
        <v>82</v>
      </c>
      <c r="M152">
        <v>1</v>
      </c>
    </row>
    <row r="153" spans="1:13" x14ac:dyDescent="0.25">
      <c r="A153" s="1">
        <v>46128</v>
      </c>
      <c r="B153" s="1" t="str">
        <f ca="1">IF(Información1[[#This Row],[Fecha]]='Ajuste de fechas'!$A$2,"Día actual","Día anterior")</f>
        <v>Día anterior</v>
      </c>
      <c r="C153" t="s">
        <v>32</v>
      </c>
      <c r="D153" t="s">
        <v>34</v>
      </c>
      <c r="E153" t="s">
        <v>183</v>
      </c>
      <c r="F153" t="s">
        <v>6</v>
      </c>
      <c r="G153" t="s">
        <v>98</v>
      </c>
      <c r="H153" t="s">
        <v>11</v>
      </c>
      <c r="I153" t="s">
        <v>7</v>
      </c>
      <c r="J153" t="s">
        <v>79</v>
      </c>
      <c r="K153" t="s">
        <v>33</v>
      </c>
      <c r="L153" t="s">
        <v>82</v>
      </c>
      <c r="M153">
        <v>1</v>
      </c>
    </row>
    <row r="154" spans="1:13" x14ac:dyDescent="0.25">
      <c r="A154" s="1">
        <v>46128</v>
      </c>
      <c r="B154" s="1" t="str">
        <f ca="1">IF(Información1[[#This Row],[Fecha]]='Ajuste de fechas'!$A$2,"Día actual","Día anterior")</f>
        <v>Día anterior</v>
      </c>
      <c r="C154" t="s">
        <v>32</v>
      </c>
      <c r="D154" t="s">
        <v>34</v>
      </c>
      <c r="E154" t="s">
        <v>184</v>
      </c>
      <c r="F154" t="s">
        <v>6</v>
      </c>
      <c r="G154" t="s">
        <v>142</v>
      </c>
      <c r="H154" t="s">
        <v>11</v>
      </c>
      <c r="I154" t="s">
        <v>7</v>
      </c>
      <c r="J154" t="s">
        <v>79</v>
      </c>
      <c r="K154" t="s">
        <v>33</v>
      </c>
      <c r="L154" t="s">
        <v>82</v>
      </c>
      <c r="M154">
        <v>1</v>
      </c>
    </row>
    <row r="155" spans="1:13" x14ac:dyDescent="0.25">
      <c r="A155" s="1">
        <v>46128</v>
      </c>
      <c r="B155" s="1" t="str">
        <f ca="1">IF(Información1[[#This Row],[Fecha]]='Ajuste de fechas'!$A$2,"Día actual","Día anterior")</f>
        <v>Día anterior</v>
      </c>
      <c r="C155" t="s">
        <v>32</v>
      </c>
      <c r="D155" t="s">
        <v>34</v>
      </c>
      <c r="E155" t="s">
        <v>185</v>
      </c>
      <c r="F155" t="s">
        <v>160</v>
      </c>
      <c r="G155" t="s">
        <v>186</v>
      </c>
      <c r="H155" t="s">
        <v>11</v>
      </c>
      <c r="I155" t="s">
        <v>7</v>
      </c>
      <c r="J155" t="s">
        <v>79</v>
      </c>
      <c r="K155" t="s">
        <v>33</v>
      </c>
      <c r="L155" t="s">
        <v>82</v>
      </c>
      <c r="M155">
        <v>1</v>
      </c>
    </row>
    <row r="156" spans="1:13" x14ac:dyDescent="0.25">
      <c r="A156" s="1">
        <v>46128</v>
      </c>
      <c r="B156" s="1" t="str">
        <f ca="1">IF(Información1[[#This Row],[Fecha]]='Ajuste de fechas'!$A$2,"Día actual","Día anterior")</f>
        <v>Día anterior</v>
      </c>
      <c r="C156" t="s">
        <v>32</v>
      </c>
      <c r="D156" t="s">
        <v>34</v>
      </c>
      <c r="E156" t="s">
        <v>187</v>
      </c>
      <c r="F156" t="s">
        <v>94</v>
      </c>
      <c r="G156" t="s">
        <v>188</v>
      </c>
      <c r="H156" t="s">
        <v>11</v>
      </c>
      <c r="I156" t="s">
        <v>7</v>
      </c>
      <c r="J156" t="s">
        <v>79</v>
      </c>
      <c r="K156" t="s">
        <v>33</v>
      </c>
      <c r="L156" t="s">
        <v>82</v>
      </c>
      <c r="M156">
        <v>1</v>
      </c>
    </row>
    <row r="157" spans="1:13" x14ac:dyDescent="0.25">
      <c r="A157" s="1">
        <v>46128</v>
      </c>
      <c r="B157" s="1" t="str">
        <f ca="1">IF(Información1[[#This Row],[Fecha]]='Ajuste de fechas'!$A$2,"Día actual","Día anterior")</f>
        <v>Día anterior</v>
      </c>
      <c r="C157" t="s">
        <v>54</v>
      </c>
      <c r="D157" t="s">
        <v>56</v>
      </c>
      <c r="E157" t="s">
        <v>189</v>
      </c>
      <c r="F157" t="s">
        <v>23</v>
      </c>
      <c r="G157" t="s">
        <v>140</v>
      </c>
      <c r="H157" t="s">
        <v>11</v>
      </c>
      <c r="I157" t="s">
        <v>7</v>
      </c>
      <c r="J157" t="s">
        <v>84</v>
      </c>
      <c r="K157" t="s">
        <v>55</v>
      </c>
      <c r="L157" t="s">
        <v>80</v>
      </c>
      <c r="M157">
        <v>1</v>
      </c>
    </row>
    <row r="158" spans="1:13" x14ac:dyDescent="0.25">
      <c r="A158" s="1">
        <v>46128</v>
      </c>
      <c r="B158" s="1" t="str">
        <f ca="1">IF(Información1[[#This Row],[Fecha]]='Ajuste de fechas'!$A$2,"Día actual","Día anterior")</f>
        <v>Día anterior</v>
      </c>
      <c r="C158" t="s">
        <v>54</v>
      </c>
      <c r="D158" t="s">
        <v>56</v>
      </c>
      <c r="E158" t="s">
        <v>190</v>
      </c>
      <c r="F158" t="s">
        <v>19</v>
      </c>
      <c r="G158" t="s">
        <v>191</v>
      </c>
      <c r="H158" t="s">
        <v>11</v>
      </c>
      <c r="I158" t="s">
        <v>7</v>
      </c>
      <c r="J158" t="s">
        <v>83</v>
      </c>
      <c r="K158" t="s">
        <v>55</v>
      </c>
      <c r="L158" t="s">
        <v>80</v>
      </c>
      <c r="M158">
        <v>1</v>
      </c>
    </row>
    <row r="159" spans="1:13" x14ac:dyDescent="0.25">
      <c r="A159" s="1">
        <v>46128</v>
      </c>
      <c r="B159" s="1" t="str">
        <f ca="1">IF(Información1[[#This Row],[Fecha]]='Ajuste de fechas'!$A$2,"Día actual","Día anterior")</f>
        <v>Día anterior</v>
      </c>
      <c r="C159" t="s">
        <v>54</v>
      </c>
      <c r="D159" t="s">
        <v>56</v>
      </c>
      <c r="E159" t="s">
        <v>192</v>
      </c>
      <c r="F159" t="s">
        <v>19</v>
      </c>
      <c r="G159" t="s">
        <v>29</v>
      </c>
      <c r="H159" t="s">
        <v>11</v>
      </c>
      <c r="I159" t="s">
        <v>7</v>
      </c>
      <c r="J159" t="s">
        <v>83</v>
      </c>
      <c r="K159" t="s">
        <v>55</v>
      </c>
      <c r="L159" t="s">
        <v>80</v>
      </c>
      <c r="M159">
        <v>1</v>
      </c>
    </row>
    <row r="160" spans="1:13" x14ac:dyDescent="0.25">
      <c r="A160" s="1">
        <v>46128</v>
      </c>
      <c r="B160" s="1" t="str">
        <f ca="1">IF(Información1[[#This Row],[Fecha]]='Ajuste de fechas'!$A$2,"Día actual","Día anterior")</f>
        <v>Día anterior</v>
      </c>
      <c r="C160" t="s">
        <v>54</v>
      </c>
      <c r="D160" t="s">
        <v>56</v>
      </c>
      <c r="E160" t="s">
        <v>193</v>
      </c>
      <c r="F160" t="s">
        <v>21</v>
      </c>
      <c r="G160" t="s">
        <v>113</v>
      </c>
      <c r="H160" t="s">
        <v>11</v>
      </c>
      <c r="I160" t="s">
        <v>7</v>
      </c>
      <c r="J160" t="s">
        <v>79</v>
      </c>
      <c r="K160" t="s">
        <v>44</v>
      </c>
      <c r="L160" t="s">
        <v>80</v>
      </c>
      <c r="M160">
        <v>1</v>
      </c>
    </row>
    <row r="161" spans="1:13" x14ac:dyDescent="0.25">
      <c r="A161" s="1">
        <v>46128</v>
      </c>
      <c r="B161" s="1" t="str">
        <f ca="1">IF(Información1[[#This Row],[Fecha]]='Ajuste de fechas'!$A$2,"Día actual","Día anterior")</f>
        <v>Día anterior</v>
      </c>
      <c r="C161" t="s">
        <v>54</v>
      </c>
      <c r="D161" t="s">
        <v>56</v>
      </c>
      <c r="E161" t="s">
        <v>194</v>
      </c>
      <c r="F161" t="s">
        <v>22</v>
      </c>
      <c r="G161" t="s">
        <v>92</v>
      </c>
      <c r="H161" t="s">
        <v>11</v>
      </c>
      <c r="I161" t="s">
        <v>7</v>
      </c>
      <c r="J161" t="s">
        <v>26</v>
      </c>
      <c r="K161" t="s">
        <v>55</v>
      </c>
      <c r="L161" t="s">
        <v>80</v>
      </c>
      <c r="M161">
        <v>1</v>
      </c>
    </row>
    <row r="162" spans="1:13" x14ac:dyDescent="0.25">
      <c r="A162" s="1">
        <v>46128</v>
      </c>
      <c r="B162" s="1" t="str">
        <f ca="1">IF(Información1[[#This Row],[Fecha]]='Ajuste de fechas'!$A$2,"Día actual","Día anterior")</f>
        <v>Día anterior</v>
      </c>
      <c r="C162" t="s">
        <v>54</v>
      </c>
      <c r="D162" t="s">
        <v>56</v>
      </c>
      <c r="E162" t="s">
        <v>195</v>
      </c>
      <c r="F162" t="s">
        <v>21</v>
      </c>
      <c r="G162" t="s">
        <v>128</v>
      </c>
      <c r="H162" t="s">
        <v>11</v>
      </c>
      <c r="I162" t="s">
        <v>7</v>
      </c>
      <c r="J162" t="s">
        <v>79</v>
      </c>
      <c r="K162" t="s">
        <v>44</v>
      </c>
      <c r="L162" t="s">
        <v>82</v>
      </c>
      <c r="M162">
        <v>1</v>
      </c>
    </row>
    <row r="163" spans="1:13" x14ac:dyDescent="0.25">
      <c r="A163" s="1">
        <v>46128</v>
      </c>
      <c r="B163" s="1" t="str">
        <f ca="1">IF(Información1[[#This Row],[Fecha]]='Ajuste de fechas'!$A$2,"Día actual","Día anterior")</f>
        <v>Día anterior</v>
      </c>
      <c r="C163" t="s">
        <v>54</v>
      </c>
      <c r="D163" t="s">
        <v>56</v>
      </c>
      <c r="E163" t="s">
        <v>182</v>
      </c>
      <c r="F163" t="s">
        <v>25</v>
      </c>
      <c r="G163" t="s">
        <v>105</v>
      </c>
      <c r="H163" t="s">
        <v>11</v>
      </c>
      <c r="I163" t="s">
        <v>7</v>
      </c>
      <c r="J163" t="s">
        <v>79</v>
      </c>
      <c r="K163" t="s">
        <v>44</v>
      </c>
      <c r="L163" t="s">
        <v>82</v>
      </c>
      <c r="M163">
        <v>1</v>
      </c>
    </row>
    <row r="164" spans="1:13" x14ac:dyDescent="0.25">
      <c r="A164" s="1">
        <v>46128</v>
      </c>
      <c r="B164" s="1" t="str">
        <f ca="1">IF(Información1[[#This Row],[Fecha]]='Ajuste de fechas'!$A$2,"Día actual","Día anterior")</f>
        <v>Día anterior</v>
      </c>
      <c r="C164" t="s">
        <v>54</v>
      </c>
      <c r="D164" t="s">
        <v>56</v>
      </c>
      <c r="E164" t="s">
        <v>196</v>
      </c>
      <c r="F164" t="s">
        <v>59</v>
      </c>
      <c r="G164" t="s">
        <v>64</v>
      </c>
      <c r="H164" t="s">
        <v>11</v>
      </c>
      <c r="I164" t="s">
        <v>7</v>
      </c>
      <c r="J164" t="s">
        <v>79</v>
      </c>
      <c r="K164" t="s">
        <v>44</v>
      </c>
      <c r="L164" t="s">
        <v>82</v>
      </c>
      <c r="M164">
        <v>1</v>
      </c>
    </row>
    <row r="165" spans="1:13" x14ac:dyDescent="0.25">
      <c r="A165" s="1">
        <v>46128</v>
      </c>
      <c r="B165" s="1" t="str">
        <f ca="1">IF(Información1[[#This Row],[Fecha]]='Ajuste de fechas'!$A$2,"Día actual","Día anterior")</f>
        <v>Día anterior</v>
      </c>
      <c r="C165" t="s">
        <v>54</v>
      </c>
      <c r="D165" t="s">
        <v>56</v>
      </c>
      <c r="E165" t="s">
        <v>185</v>
      </c>
      <c r="F165" t="s">
        <v>160</v>
      </c>
      <c r="G165" t="s">
        <v>186</v>
      </c>
      <c r="H165" t="s">
        <v>11</v>
      </c>
      <c r="I165" t="s">
        <v>7</v>
      </c>
      <c r="J165" t="s">
        <v>79</v>
      </c>
      <c r="K165" t="s">
        <v>44</v>
      </c>
      <c r="L165" t="s">
        <v>82</v>
      </c>
      <c r="M165">
        <v>1</v>
      </c>
    </row>
    <row r="166" spans="1:13" x14ac:dyDescent="0.25">
      <c r="A166" s="1">
        <v>46128</v>
      </c>
      <c r="B166" s="1" t="str">
        <f ca="1">IF(Información1[[#This Row],[Fecha]]='Ajuste de fechas'!$A$2,"Día actual","Día anterior")</f>
        <v>Día anterior</v>
      </c>
      <c r="C166" t="s">
        <v>54</v>
      </c>
      <c r="D166" t="s">
        <v>56</v>
      </c>
      <c r="E166" t="s">
        <v>197</v>
      </c>
      <c r="F166" t="s">
        <v>24</v>
      </c>
      <c r="G166" t="s">
        <v>198</v>
      </c>
      <c r="H166" t="s">
        <v>11</v>
      </c>
      <c r="I166" t="s">
        <v>7</v>
      </c>
      <c r="J166" t="s">
        <v>79</v>
      </c>
      <c r="K166" t="s">
        <v>55</v>
      </c>
      <c r="L166" t="s">
        <v>80</v>
      </c>
      <c r="M166">
        <v>1</v>
      </c>
    </row>
    <row r="167" spans="1:13" x14ac:dyDescent="0.25">
      <c r="A167" s="1">
        <v>46128</v>
      </c>
      <c r="B167" s="1" t="str">
        <f ca="1">IF(Información1[[#This Row],[Fecha]]='Ajuste de fechas'!$A$2,"Día actual","Día anterior")</f>
        <v>Día anterior</v>
      </c>
      <c r="C167" t="s">
        <v>54</v>
      </c>
      <c r="D167" t="s">
        <v>56</v>
      </c>
      <c r="E167" t="s">
        <v>199</v>
      </c>
      <c r="F167" t="s">
        <v>49</v>
      </c>
      <c r="G167" t="s">
        <v>200</v>
      </c>
      <c r="H167" t="s">
        <v>11</v>
      </c>
      <c r="I167" t="s">
        <v>7</v>
      </c>
      <c r="J167" t="s">
        <v>79</v>
      </c>
      <c r="K167" t="s">
        <v>44</v>
      </c>
      <c r="L167" t="s">
        <v>82</v>
      </c>
      <c r="M167">
        <v>1</v>
      </c>
    </row>
    <row r="168" spans="1:13" x14ac:dyDescent="0.25">
      <c r="A168" s="1">
        <v>46128</v>
      </c>
      <c r="B168" s="1" t="str">
        <f ca="1">IF(Información1[[#This Row],[Fecha]]='Ajuste de fechas'!$A$2,"Día actual","Día anterior")</f>
        <v>Día anterior</v>
      </c>
      <c r="C168" t="s">
        <v>54</v>
      </c>
      <c r="D168" t="s">
        <v>56</v>
      </c>
      <c r="E168" t="s">
        <v>184</v>
      </c>
      <c r="F168" t="s">
        <v>6</v>
      </c>
      <c r="G168" t="s">
        <v>142</v>
      </c>
      <c r="H168" t="s">
        <v>11</v>
      </c>
      <c r="I168" t="s">
        <v>7</v>
      </c>
      <c r="J168" t="s">
        <v>79</v>
      </c>
      <c r="K168" t="s">
        <v>44</v>
      </c>
      <c r="L168" t="s">
        <v>82</v>
      </c>
      <c r="M168">
        <v>1</v>
      </c>
    </row>
    <row r="169" spans="1:13" x14ac:dyDescent="0.25">
      <c r="A169" s="1">
        <v>46128</v>
      </c>
      <c r="B169" s="1" t="str">
        <f ca="1">IF(Información1[[#This Row],[Fecha]]='Ajuste de fechas'!$A$2,"Día actual","Día anterior")</f>
        <v>Día anterior</v>
      </c>
      <c r="C169" t="s">
        <v>39</v>
      </c>
      <c r="D169" t="s">
        <v>41</v>
      </c>
      <c r="E169" t="s">
        <v>201</v>
      </c>
      <c r="F169" t="s">
        <v>23</v>
      </c>
      <c r="G169" t="s">
        <v>101</v>
      </c>
      <c r="H169" t="s">
        <v>11</v>
      </c>
      <c r="I169" t="s">
        <v>27</v>
      </c>
      <c r="J169" t="s">
        <v>84</v>
      </c>
      <c r="K169" t="s">
        <v>71</v>
      </c>
      <c r="L169" t="s">
        <v>80</v>
      </c>
      <c r="M169">
        <v>1</v>
      </c>
    </row>
    <row r="170" spans="1:13" x14ac:dyDescent="0.25">
      <c r="A170" s="1">
        <v>46128</v>
      </c>
      <c r="B170" s="1" t="str">
        <f ca="1">IF(Información1[[#This Row],[Fecha]]='Ajuste de fechas'!$A$2,"Día actual","Día anterior")</f>
        <v>Día anterior</v>
      </c>
      <c r="C170" t="s">
        <v>39</v>
      </c>
      <c r="D170" t="s">
        <v>41</v>
      </c>
      <c r="E170" t="s">
        <v>202</v>
      </c>
      <c r="F170" t="s">
        <v>28</v>
      </c>
      <c r="G170" t="s">
        <v>203</v>
      </c>
      <c r="H170" t="s">
        <v>11</v>
      </c>
      <c r="I170" t="s">
        <v>7</v>
      </c>
      <c r="J170" t="s">
        <v>79</v>
      </c>
      <c r="K170" t="s">
        <v>71</v>
      </c>
      <c r="L170" t="s">
        <v>80</v>
      </c>
      <c r="M170">
        <v>1</v>
      </c>
    </row>
    <row r="171" spans="1:13" x14ac:dyDescent="0.25">
      <c r="A171" s="1">
        <v>46128</v>
      </c>
      <c r="B171" s="1" t="str">
        <f ca="1">IF(Información1[[#This Row],[Fecha]]='Ajuste de fechas'!$A$2,"Día actual","Día anterior")</f>
        <v>Día anterior</v>
      </c>
      <c r="C171" t="s">
        <v>39</v>
      </c>
      <c r="D171" t="s">
        <v>41</v>
      </c>
      <c r="E171" t="s">
        <v>204</v>
      </c>
      <c r="F171" t="s">
        <v>15</v>
      </c>
      <c r="G171" t="s">
        <v>173</v>
      </c>
      <c r="H171" t="s">
        <v>11</v>
      </c>
      <c r="I171" t="s">
        <v>7</v>
      </c>
      <c r="J171" t="s">
        <v>79</v>
      </c>
      <c r="K171" t="s">
        <v>71</v>
      </c>
      <c r="L171" t="s">
        <v>80</v>
      </c>
      <c r="M171">
        <v>1</v>
      </c>
    </row>
    <row r="172" spans="1:13" x14ac:dyDescent="0.25">
      <c r="A172" s="1">
        <v>46128</v>
      </c>
      <c r="B172" s="1" t="str">
        <f ca="1">IF(Información1[[#This Row],[Fecha]]='Ajuste de fechas'!$A$2,"Día actual","Día anterior")</f>
        <v>Día anterior</v>
      </c>
      <c r="C172" t="s">
        <v>39</v>
      </c>
      <c r="D172" t="s">
        <v>41</v>
      </c>
      <c r="E172" t="s">
        <v>205</v>
      </c>
      <c r="F172" t="s">
        <v>26</v>
      </c>
      <c r="G172" t="s">
        <v>173</v>
      </c>
      <c r="H172" t="s">
        <v>11</v>
      </c>
      <c r="I172" t="s">
        <v>7</v>
      </c>
      <c r="J172" t="s">
        <v>26</v>
      </c>
      <c r="K172" t="s">
        <v>71</v>
      </c>
      <c r="L172" t="s">
        <v>80</v>
      </c>
      <c r="M172">
        <v>1</v>
      </c>
    </row>
    <row r="173" spans="1:13" x14ac:dyDescent="0.25">
      <c r="A173" s="1">
        <v>46128</v>
      </c>
      <c r="B173" s="1" t="str">
        <f ca="1">IF(Información1[[#This Row],[Fecha]]='Ajuste de fechas'!$A$2,"Día actual","Día anterior")</f>
        <v>Día anterior</v>
      </c>
      <c r="C173" t="s">
        <v>39</v>
      </c>
      <c r="D173" t="s">
        <v>42</v>
      </c>
      <c r="E173" t="s">
        <v>206</v>
      </c>
      <c r="F173" t="s">
        <v>30</v>
      </c>
      <c r="G173" t="s">
        <v>110</v>
      </c>
      <c r="H173" t="s">
        <v>11</v>
      </c>
      <c r="I173" t="s">
        <v>7</v>
      </c>
      <c r="J173" t="s">
        <v>79</v>
      </c>
      <c r="K173" t="s">
        <v>40</v>
      </c>
      <c r="L173" t="s">
        <v>81</v>
      </c>
      <c r="M173">
        <v>1</v>
      </c>
    </row>
    <row r="174" spans="1:13" x14ac:dyDescent="0.25">
      <c r="A174" s="1">
        <v>46128</v>
      </c>
      <c r="B174" s="1" t="str">
        <f ca="1">IF(Información1[[#This Row],[Fecha]]='Ajuste de fechas'!$A$2,"Día actual","Día anterior")</f>
        <v>Día anterior</v>
      </c>
      <c r="C174" t="s">
        <v>8</v>
      </c>
      <c r="D174" t="s">
        <v>10</v>
      </c>
      <c r="E174" t="s">
        <v>207</v>
      </c>
      <c r="F174" t="s">
        <v>6</v>
      </c>
      <c r="G174" t="s">
        <v>69</v>
      </c>
      <c r="H174" t="s">
        <v>11</v>
      </c>
      <c r="I174" t="s">
        <v>27</v>
      </c>
      <c r="J174" t="s">
        <v>79</v>
      </c>
      <c r="K174" t="s">
        <v>9</v>
      </c>
      <c r="L174" t="s">
        <v>81</v>
      </c>
      <c r="M174">
        <v>1</v>
      </c>
    </row>
    <row r="175" spans="1:13" x14ac:dyDescent="0.25">
      <c r="A175" s="1">
        <v>46128</v>
      </c>
      <c r="B175" s="1" t="str">
        <f ca="1">IF(Información1[[#This Row],[Fecha]]='Ajuste de fechas'!$A$2,"Día actual","Día anterior")</f>
        <v>Día anterior</v>
      </c>
      <c r="C175" t="s">
        <v>8</v>
      </c>
      <c r="D175" t="s">
        <v>10</v>
      </c>
      <c r="E175" t="s">
        <v>208</v>
      </c>
      <c r="F175" t="s">
        <v>6</v>
      </c>
      <c r="G175" t="s">
        <v>69</v>
      </c>
      <c r="H175" t="s">
        <v>11</v>
      </c>
      <c r="I175" t="s">
        <v>27</v>
      </c>
      <c r="J175" t="s">
        <v>79</v>
      </c>
      <c r="K175" t="s">
        <v>9</v>
      </c>
      <c r="L175" t="s">
        <v>81</v>
      </c>
      <c r="M175">
        <v>1</v>
      </c>
    </row>
    <row r="176" spans="1:13" x14ac:dyDescent="0.25">
      <c r="A176" s="1">
        <v>46128</v>
      </c>
      <c r="B176" s="1" t="str">
        <f ca="1">IF(Información1[[#This Row],[Fecha]]='Ajuste de fechas'!$A$2,"Día actual","Día anterior")</f>
        <v>Día anterior</v>
      </c>
      <c r="C176" t="s">
        <v>8</v>
      </c>
      <c r="D176" t="s">
        <v>10</v>
      </c>
      <c r="E176" t="s">
        <v>209</v>
      </c>
      <c r="F176" t="s">
        <v>6</v>
      </c>
      <c r="G176" t="s">
        <v>69</v>
      </c>
      <c r="H176" t="s">
        <v>11</v>
      </c>
      <c r="I176" t="s">
        <v>27</v>
      </c>
      <c r="J176" t="s">
        <v>79</v>
      </c>
      <c r="K176" t="s">
        <v>9</v>
      </c>
      <c r="L176" t="s">
        <v>81</v>
      </c>
      <c r="M176">
        <v>1</v>
      </c>
    </row>
    <row r="177" spans="1:13" x14ac:dyDescent="0.25">
      <c r="A177" s="1">
        <v>46128</v>
      </c>
      <c r="B177" s="1" t="str">
        <f ca="1">IF(Información1[[#This Row],[Fecha]]='Ajuste de fechas'!$A$2,"Día actual","Día anterior")</f>
        <v>Día anterior</v>
      </c>
      <c r="C177" t="s">
        <v>8</v>
      </c>
      <c r="D177" t="s">
        <v>10</v>
      </c>
      <c r="E177" t="s">
        <v>210</v>
      </c>
      <c r="F177" t="s">
        <v>19</v>
      </c>
      <c r="G177" t="s">
        <v>136</v>
      </c>
      <c r="H177" t="s">
        <v>11</v>
      </c>
      <c r="I177" t="s">
        <v>7</v>
      </c>
      <c r="J177" t="s">
        <v>83</v>
      </c>
      <c r="K177" t="s">
        <v>14</v>
      </c>
      <c r="L177" t="s">
        <v>81</v>
      </c>
      <c r="M177">
        <v>1</v>
      </c>
    </row>
    <row r="178" spans="1:13" x14ac:dyDescent="0.25">
      <c r="A178" s="1">
        <v>46128</v>
      </c>
      <c r="B178" s="1" t="str">
        <f ca="1">IF(Información1[[#This Row],[Fecha]]='Ajuste de fechas'!$A$2,"Día actual","Día anterior")</f>
        <v>Día anterior</v>
      </c>
      <c r="C178" t="s">
        <v>8</v>
      </c>
      <c r="D178" t="s">
        <v>10</v>
      </c>
      <c r="E178" t="s">
        <v>211</v>
      </c>
      <c r="F178" t="s">
        <v>19</v>
      </c>
      <c r="G178" t="s">
        <v>136</v>
      </c>
      <c r="H178" t="s">
        <v>11</v>
      </c>
      <c r="I178" t="s">
        <v>7</v>
      </c>
      <c r="J178" t="s">
        <v>83</v>
      </c>
      <c r="K178" t="s">
        <v>14</v>
      </c>
      <c r="L178" t="s">
        <v>85</v>
      </c>
      <c r="M178">
        <v>1</v>
      </c>
    </row>
    <row r="179" spans="1:13" x14ac:dyDescent="0.25">
      <c r="A179" s="1">
        <v>46128</v>
      </c>
      <c r="B179" s="1" t="str">
        <f ca="1">IF(Información1[[#This Row],[Fecha]]='Ajuste de fechas'!$A$2,"Día actual","Día anterior")</f>
        <v>Día anterior</v>
      </c>
      <c r="C179" t="s">
        <v>39</v>
      </c>
      <c r="D179" t="s">
        <v>42</v>
      </c>
      <c r="E179" t="s">
        <v>212</v>
      </c>
      <c r="F179" t="s">
        <v>120</v>
      </c>
      <c r="G179" t="s">
        <v>213</v>
      </c>
      <c r="H179" t="s">
        <v>11</v>
      </c>
      <c r="I179" t="s">
        <v>7</v>
      </c>
      <c r="J179" t="s">
        <v>79</v>
      </c>
      <c r="K179" t="s">
        <v>40</v>
      </c>
      <c r="L179" t="s">
        <v>82</v>
      </c>
      <c r="M179">
        <v>1</v>
      </c>
    </row>
    <row r="180" spans="1:13" x14ac:dyDescent="0.25">
      <c r="A180" s="1">
        <v>46128</v>
      </c>
      <c r="B180" s="1" t="str">
        <f ca="1">IF(Información1[[#This Row],[Fecha]]='Ajuste de fechas'!$A$2,"Día actual","Día anterior")</f>
        <v>Día anterior</v>
      </c>
      <c r="C180" t="s">
        <v>8</v>
      </c>
      <c r="D180" t="s">
        <v>10</v>
      </c>
      <c r="E180" t="s">
        <v>20</v>
      </c>
      <c r="F180" t="s">
        <v>19</v>
      </c>
      <c r="G180" t="s">
        <v>70</v>
      </c>
      <c r="H180" t="s">
        <v>11</v>
      </c>
      <c r="I180" t="s">
        <v>12</v>
      </c>
      <c r="J180" t="s">
        <v>83</v>
      </c>
      <c r="K180" t="s">
        <v>14</v>
      </c>
      <c r="L180" t="s">
        <v>81</v>
      </c>
      <c r="M180">
        <v>1</v>
      </c>
    </row>
    <row r="181" spans="1:13" x14ac:dyDescent="0.25">
      <c r="A181" s="1">
        <v>46128</v>
      </c>
      <c r="B181" s="1" t="str">
        <f ca="1">IF(Información1[[#This Row],[Fecha]]='Ajuste de fechas'!$A$2,"Día actual","Día anterior")</f>
        <v>Día anterior</v>
      </c>
      <c r="C181" t="s">
        <v>8</v>
      </c>
      <c r="D181" t="s">
        <v>10</v>
      </c>
      <c r="E181" t="s">
        <v>18</v>
      </c>
      <c r="F181" t="s">
        <v>19</v>
      </c>
      <c r="G181" t="s">
        <v>70</v>
      </c>
      <c r="H181" t="s">
        <v>11</v>
      </c>
      <c r="I181" t="s">
        <v>12</v>
      </c>
      <c r="J181" t="s">
        <v>83</v>
      </c>
      <c r="K181" t="s">
        <v>14</v>
      </c>
      <c r="L181" t="s">
        <v>81</v>
      </c>
      <c r="M181">
        <v>1</v>
      </c>
    </row>
    <row r="182" spans="1:13" x14ac:dyDescent="0.25">
      <c r="A182" s="1">
        <v>46128</v>
      </c>
      <c r="B182" s="1" t="str">
        <f ca="1">IF(Información1[[#This Row],[Fecha]]='Ajuste de fechas'!$A$2,"Día actual","Día anterior")</f>
        <v>Día anterior</v>
      </c>
      <c r="C182" t="s">
        <v>8</v>
      </c>
      <c r="D182" t="s">
        <v>10</v>
      </c>
      <c r="E182" t="s">
        <v>65</v>
      </c>
      <c r="F182" t="s">
        <v>22</v>
      </c>
      <c r="G182" t="s">
        <v>70</v>
      </c>
      <c r="H182" t="s">
        <v>11</v>
      </c>
      <c r="I182" t="s">
        <v>12</v>
      </c>
      <c r="J182" t="s">
        <v>26</v>
      </c>
      <c r="K182" t="s">
        <v>14</v>
      </c>
      <c r="L182" t="s">
        <v>81</v>
      </c>
      <c r="M182">
        <v>1</v>
      </c>
    </row>
    <row r="183" spans="1:13" x14ac:dyDescent="0.25">
      <c r="A183" s="1">
        <v>46128</v>
      </c>
      <c r="B183" s="1" t="str">
        <f ca="1">IF(Información1[[#This Row],[Fecha]]='Ajuste de fechas'!$A$2,"Día actual","Día anterior")</f>
        <v>Día anterior</v>
      </c>
      <c r="C183" t="s">
        <v>8</v>
      </c>
      <c r="D183" t="s">
        <v>10</v>
      </c>
      <c r="E183" t="s">
        <v>214</v>
      </c>
      <c r="F183" t="s">
        <v>21</v>
      </c>
      <c r="G183" t="s">
        <v>70</v>
      </c>
      <c r="H183" t="s">
        <v>11</v>
      </c>
      <c r="I183" t="s">
        <v>12</v>
      </c>
      <c r="J183" t="s">
        <v>79</v>
      </c>
      <c r="K183" t="s">
        <v>14</v>
      </c>
      <c r="L183" t="s">
        <v>81</v>
      </c>
      <c r="M183">
        <v>1</v>
      </c>
    </row>
    <row r="184" spans="1:13" x14ac:dyDescent="0.25">
      <c r="A184" s="1">
        <v>46128</v>
      </c>
      <c r="B184" s="1" t="str">
        <f ca="1">IF(Información1[[#This Row],[Fecha]]='Ajuste de fechas'!$A$2,"Día actual","Día anterior")</f>
        <v>Día anterior</v>
      </c>
      <c r="C184" t="s">
        <v>8</v>
      </c>
      <c r="D184" t="s">
        <v>10</v>
      </c>
      <c r="E184" t="s">
        <v>215</v>
      </c>
      <c r="F184" t="s">
        <v>15</v>
      </c>
      <c r="G184" t="s">
        <v>70</v>
      </c>
      <c r="H184" t="s">
        <v>11</v>
      </c>
      <c r="I184" t="s">
        <v>12</v>
      </c>
      <c r="J184" t="s">
        <v>79</v>
      </c>
      <c r="K184" t="s">
        <v>14</v>
      </c>
      <c r="L184" t="s">
        <v>81</v>
      </c>
      <c r="M184">
        <v>1</v>
      </c>
    </row>
    <row r="185" spans="1:13" x14ac:dyDescent="0.25">
      <c r="A185" s="1">
        <v>46128</v>
      </c>
      <c r="B185" s="1" t="str">
        <f ca="1">IF(Información1[[#This Row],[Fecha]]='Ajuste de fechas'!$A$2,"Día actual","Día anterior")</f>
        <v>Día anterior</v>
      </c>
      <c r="C185" t="s">
        <v>8</v>
      </c>
      <c r="D185" t="s">
        <v>10</v>
      </c>
      <c r="E185" t="s">
        <v>16</v>
      </c>
      <c r="F185" t="s">
        <v>17</v>
      </c>
      <c r="G185" t="s">
        <v>70</v>
      </c>
      <c r="H185" t="s">
        <v>11</v>
      </c>
      <c r="I185" t="s">
        <v>12</v>
      </c>
      <c r="J185" t="s">
        <v>79</v>
      </c>
      <c r="K185" t="s">
        <v>14</v>
      </c>
      <c r="L185" t="s">
        <v>81</v>
      </c>
      <c r="M185">
        <v>1</v>
      </c>
    </row>
    <row r="186" spans="1:13" x14ac:dyDescent="0.25">
      <c r="A186" s="1">
        <v>46128</v>
      </c>
      <c r="B186" s="1" t="str">
        <f ca="1">IF(Información1[[#This Row],[Fecha]]='Ajuste de fechas'!$A$2,"Día actual","Día anterior")</f>
        <v>Día anterior</v>
      </c>
      <c r="C186" t="s">
        <v>8</v>
      </c>
      <c r="D186" t="s">
        <v>10</v>
      </c>
      <c r="E186" t="s">
        <v>72</v>
      </c>
      <c r="F186" t="s">
        <v>6</v>
      </c>
      <c r="G186" t="s">
        <v>70</v>
      </c>
      <c r="H186" t="s">
        <v>11</v>
      </c>
      <c r="I186" t="s">
        <v>12</v>
      </c>
      <c r="J186" t="s">
        <v>79</v>
      </c>
      <c r="K186" t="s">
        <v>14</v>
      </c>
      <c r="L186" t="s">
        <v>81</v>
      </c>
      <c r="M186">
        <v>1</v>
      </c>
    </row>
    <row r="187" spans="1:13" x14ac:dyDescent="0.25">
      <c r="A187" s="1">
        <v>46128</v>
      </c>
      <c r="B187" s="1" t="str">
        <f ca="1">IF(Información1[[#This Row],[Fecha]]='Ajuste de fechas'!$A$2,"Día actual","Día anterior")</f>
        <v>Día anterior</v>
      </c>
      <c r="C187" t="s">
        <v>39</v>
      </c>
      <c r="D187" t="s">
        <v>42</v>
      </c>
      <c r="E187" t="s">
        <v>216</v>
      </c>
      <c r="F187" t="s">
        <v>17</v>
      </c>
      <c r="G187" t="s">
        <v>100</v>
      </c>
      <c r="H187" t="s">
        <v>11</v>
      </c>
      <c r="I187" t="s">
        <v>7</v>
      </c>
      <c r="J187" t="s">
        <v>79</v>
      </c>
      <c r="K187" t="s">
        <v>40</v>
      </c>
      <c r="L187" t="s">
        <v>81</v>
      </c>
      <c r="M187">
        <v>1</v>
      </c>
    </row>
    <row r="188" spans="1:13" x14ac:dyDescent="0.25">
      <c r="A188" s="1">
        <v>46128</v>
      </c>
      <c r="B188" s="1" t="str">
        <f ca="1">IF(Información1[[#This Row],[Fecha]]='Ajuste de fechas'!$A$2,"Día actual","Día anterior")</f>
        <v>Día anterior</v>
      </c>
      <c r="C188" t="s">
        <v>39</v>
      </c>
      <c r="D188" t="s">
        <v>42</v>
      </c>
      <c r="E188" t="s">
        <v>217</v>
      </c>
      <c r="F188" t="s">
        <v>22</v>
      </c>
      <c r="G188" t="s">
        <v>218</v>
      </c>
      <c r="H188" t="s">
        <v>11</v>
      </c>
      <c r="I188" t="s">
        <v>7</v>
      </c>
      <c r="J188" t="s">
        <v>26</v>
      </c>
      <c r="K188" t="s">
        <v>40</v>
      </c>
      <c r="L188" t="s">
        <v>80</v>
      </c>
      <c r="M188">
        <v>1</v>
      </c>
    </row>
    <row r="189" spans="1:13" x14ac:dyDescent="0.25">
      <c r="A189" s="1">
        <v>46128</v>
      </c>
      <c r="B189" s="1" t="str">
        <f ca="1">IF(Información1[[#This Row],[Fecha]]='Ajuste de fechas'!$A$2,"Día actual","Día anterior")</f>
        <v>Día anterior</v>
      </c>
      <c r="C189" t="s">
        <v>39</v>
      </c>
      <c r="D189" t="s">
        <v>42</v>
      </c>
      <c r="E189" t="s">
        <v>219</v>
      </c>
      <c r="F189" t="s">
        <v>160</v>
      </c>
      <c r="G189" t="s">
        <v>186</v>
      </c>
      <c r="H189" t="s">
        <v>11</v>
      </c>
      <c r="I189" t="s">
        <v>7</v>
      </c>
      <c r="J189" t="s">
        <v>79</v>
      </c>
      <c r="K189" t="s">
        <v>40</v>
      </c>
      <c r="L189" t="s">
        <v>80</v>
      </c>
      <c r="M189">
        <v>1</v>
      </c>
    </row>
    <row r="190" spans="1:13" x14ac:dyDescent="0.25">
      <c r="A190" s="1">
        <v>46128</v>
      </c>
      <c r="B190" s="1" t="str">
        <f ca="1">IF(Información1[[#This Row],[Fecha]]='Ajuste de fechas'!$A$2,"Día actual","Día anterior")</f>
        <v>Día anterior</v>
      </c>
      <c r="C190" t="s">
        <v>8</v>
      </c>
      <c r="D190" t="s">
        <v>10</v>
      </c>
      <c r="E190" t="s">
        <v>220</v>
      </c>
      <c r="F190" t="s">
        <v>19</v>
      </c>
      <c r="G190" t="s">
        <v>221</v>
      </c>
      <c r="H190" t="s">
        <v>11</v>
      </c>
      <c r="I190" t="s">
        <v>7</v>
      </c>
      <c r="J190" t="s">
        <v>83</v>
      </c>
      <c r="K190" t="s">
        <v>14</v>
      </c>
      <c r="L190" t="s">
        <v>85</v>
      </c>
      <c r="M190">
        <v>1</v>
      </c>
    </row>
    <row r="191" spans="1:13" x14ac:dyDescent="0.25">
      <c r="A191" s="1">
        <v>46128</v>
      </c>
      <c r="B191" s="1" t="str">
        <f ca="1">IF(Información1[[#This Row],[Fecha]]='Ajuste de fechas'!$A$2,"Día actual","Día anterior")</f>
        <v>Día anterior</v>
      </c>
      <c r="C191" t="s">
        <v>39</v>
      </c>
      <c r="D191" t="s">
        <v>41</v>
      </c>
      <c r="E191" t="s">
        <v>222</v>
      </c>
      <c r="F191" t="s">
        <v>15</v>
      </c>
      <c r="G191" t="s">
        <v>223</v>
      </c>
      <c r="H191" t="s">
        <v>11</v>
      </c>
      <c r="I191" t="s">
        <v>7</v>
      </c>
      <c r="J191" t="s">
        <v>79</v>
      </c>
      <c r="K191" t="s">
        <v>71</v>
      </c>
      <c r="L191" t="s">
        <v>82</v>
      </c>
      <c r="M191">
        <v>1</v>
      </c>
    </row>
    <row r="192" spans="1:13" x14ac:dyDescent="0.25">
      <c r="A192" s="1">
        <v>46128</v>
      </c>
      <c r="B192" s="1" t="str">
        <f ca="1">IF(Información1[[#This Row],[Fecha]]='Ajuste de fechas'!$A$2,"Día actual","Día anterior")</f>
        <v>Día anterior</v>
      </c>
      <c r="C192" t="s">
        <v>8</v>
      </c>
      <c r="D192" t="s">
        <v>10</v>
      </c>
      <c r="E192" t="s">
        <v>224</v>
      </c>
      <c r="F192" t="s">
        <v>6</v>
      </c>
      <c r="G192" t="s">
        <v>90</v>
      </c>
      <c r="H192" t="s">
        <v>11</v>
      </c>
      <c r="I192" t="s">
        <v>27</v>
      </c>
      <c r="J192" t="s">
        <v>79</v>
      </c>
      <c r="K192" t="s">
        <v>9</v>
      </c>
      <c r="L192" t="s">
        <v>81</v>
      </c>
      <c r="M192">
        <v>1</v>
      </c>
    </row>
    <row r="193" spans="1:13" x14ac:dyDescent="0.25">
      <c r="A193" s="1">
        <v>46128</v>
      </c>
      <c r="B193" s="1" t="str">
        <f ca="1">IF(Información1[[#This Row],[Fecha]]='Ajuste de fechas'!$A$2,"Día actual","Día anterior")</f>
        <v>Día anterior</v>
      </c>
      <c r="C193" t="s">
        <v>39</v>
      </c>
      <c r="D193" t="s">
        <v>42</v>
      </c>
      <c r="E193" t="s">
        <v>225</v>
      </c>
      <c r="F193" t="s">
        <v>19</v>
      </c>
      <c r="G193" t="s">
        <v>226</v>
      </c>
      <c r="H193" t="s">
        <v>11</v>
      </c>
      <c r="I193" t="s">
        <v>27</v>
      </c>
      <c r="J193" t="s">
        <v>83</v>
      </c>
      <c r="K193" t="s">
        <v>40</v>
      </c>
      <c r="L193" t="s">
        <v>80</v>
      </c>
      <c r="M193">
        <v>1</v>
      </c>
    </row>
    <row r="194" spans="1:13" x14ac:dyDescent="0.25">
      <c r="A194" s="1">
        <v>46128</v>
      </c>
      <c r="B194" s="1" t="str">
        <f ca="1">IF(Información1[[#This Row],[Fecha]]='Ajuste de fechas'!$A$2,"Día actual","Día anterior")</f>
        <v>Día anterior</v>
      </c>
      <c r="C194" t="s">
        <v>35</v>
      </c>
      <c r="D194" t="s">
        <v>37</v>
      </c>
      <c r="E194" t="s">
        <v>227</v>
      </c>
      <c r="F194" t="s">
        <v>21</v>
      </c>
      <c r="G194" t="s">
        <v>128</v>
      </c>
      <c r="H194" t="s">
        <v>11</v>
      </c>
      <c r="I194" t="s">
        <v>7</v>
      </c>
      <c r="J194" t="s">
        <v>79</v>
      </c>
      <c r="K194" t="s">
        <v>36</v>
      </c>
      <c r="L194" t="s">
        <v>82</v>
      </c>
      <c r="M194">
        <v>1</v>
      </c>
    </row>
    <row r="195" spans="1:13" x14ac:dyDescent="0.25">
      <c r="A195" s="1">
        <v>46128</v>
      </c>
      <c r="B195" s="1" t="str">
        <f ca="1">IF(Información1[[#This Row],[Fecha]]='Ajuste de fechas'!$A$2,"Día actual","Día anterior")</f>
        <v>Día anterior</v>
      </c>
      <c r="C195" t="s">
        <v>39</v>
      </c>
      <c r="D195" t="s">
        <v>41</v>
      </c>
      <c r="E195" t="s">
        <v>228</v>
      </c>
      <c r="F195" t="s">
        <v>48</v>
      </c>
      <c r="G195" t="s">
        <v>102</v>
      </c>
      <c r="H195" t="s">
        <v>11</v>
      </c>
      <c r="I195" t="s">
        <v>27</v>
      </c>
      <c r="J195" t="s">
        <v>79</v>
      </c>
      <c r="K195" t="s">
        <v>71</v>
      </c>
      <c r="L195" t="s">
        <v>80</v>
      </c>
      <c r="M195">
        <v>1</v>
      </c>
    </row>
    <row r="196" spans="1:13" x14ac:dyDescent="0.25">
      <c r="A196" s="1">
        <v>46128</v>
      </c>
      <c r="B196" s="1" t="str">
        <f ca="1">IF(Información1[[#This Row],[Fecha]]='Ajuste de fechas'!$A$2,"Día actual","Día anterior")</f>
        <v>Día anterior</v>
      </c>
      <c r="C196" t="s">
        <v>39</v>
      </c>
      <c r="D196" t="s">
        <v>42</v>
      </c>
      <c r="E196" t="s">
        <v>228</v>
      </c>
      <c r="F196" t="s">
        <v>48</v>
      </c>
      <c r="G196" t="s">
        <v>102</v>
      </c>
      <c r="H196" t="s">
        <v>11</v>
      </c>
      <c r="I196" t="s">
        <v>27</v>
      </c>
      <c r="J196" t="s">
        <v>79</v>
      </c>
      <c r="K196" t="s">
        <v>40</v>
      </c>
      <c r="L196" t="s">
        <v>80</v>
      </c>
      <c r="M196">
        <v>1</v>
      </c>
    </row>
    <row r="197" spans="1:13" x14ac:dyDescent="0.25">
      <c r="A197" s="1">
        <v>46128</v>
      </c>
      <c r="B197" s="1" t="str">
        <f ca="1">IF(Información1[[#This Row],[Fecha]]='Ajuste de fechas'!$A$2,"Día actual","Día anterior")</f>
        <v>Día anterior</v>
      </c>
      <c r="C197" t="s">
        <v>8</v>
      </c>
      <c r="D197" t="s">
        <v>10</v>
      </c>
      <c r="E197" t="s">
        <v>229</v>
      </c>
      <c r="F197" t="s">
        <v>48</v>
      </c>
      <c r="G197" t="s">
        <v>102</v>
      </c>
      <c r="H197" t="s">
        <v>11</v>
      </c>
      <c r="I197" t="s">
        <v>7</v>
      </c>
      <c r="J197" t="s">
        <v>79</v>
      </c>
      <c r="K197" t="s">
        <v>14</v>
      </c>
      <c r="L197" t="s">
        <v>80</v>
      </c>
      <c r="M197">
        <v>1</v>
      </c>
    </row>
    <row r="198" spans="1:13" x14ac:dyDescent="0.25">
      <c r="A198" s="1">
        <v>46128</v>
      </c>
      <c r="B198" s="1" t="str">
        <f ca="1">IF(Información1[[#This Row],[Fecha]]='Ajuste de fechas'!$A$2,"Día actual","Día anterior")</f>
        <v>Día anterior</v>
      </c>
      <c r="C198" t="s">
        <v>39</v>
      </c>
      <c r="D198" t="s">
        <v>42</v>
      </c>
      <c r="E198" t="s">
        <v>230</v>
      </c>
      <c r="F198" t="s">
        <v>53</v>
      </c>
      <c r="G198" t="s">
        <v>231</v>
      </c>
      <c r="H198" t="s">
        <v>11</v>
      </c>
      <c r="I198" t="s">
        <v>7</v>
      </c>
      <c r="J198" t="s">
        <v>79</v>
      </c>
      <c r="K198" t="s">
        <v>40</v>
      </c>
      <c r="L198" t="s">
        <v>80</v>
      </c>
      <c r="M198">
        <v>1</v>
      </c>
    </row>
    <row r="199" spans="1:13" x14ac:dyDescent="0.25">
      <c r="A199" s="1">
        <v>46128</v>
      </c>
      <c r="B199" s="1" t="str">
        <f ca="1">IF(Información1[[#This Row],[Fecha]]='Ajuste de fechas'!$A$2,"Día actual","Día anterior")</f>
        <v>Día anterior</v>
      </c>
      <c r="C199" t="s">
        <v>39</v>
      </c>
      <c r="D199" t="s">
        <v>42</v>
      </c>
      <c r="E199" t="s">
        <v>232</v>
      </c>
      <c r="F199" t="s">
        <v>48</v>
      </c>
      <c r="G199" t="s">
        <v>233</v>
      </c>
      <c r="H199" t="s">
        <v>11</v>
      </c>
      <c r="I199" t="s">
        <v>7</v>
      </c>
      <c r="J199" t="s">
        <v>79</v>
      </c>
      <c r="K199" t="s">
        <v>40</v>
      </c>
      <c r="L199" t="s">
        <v>80</v>
      </c>
      <c r="M199">
        <v>1</v>
      </c>
    </row>
    <row r="200" spans="1:13" x14ac:dyDescent="0.25">
      <c r="A200" s="1">
        <v>46128</v>
      </c>
      <c r="B200" s="1" t="str">
        <f ca="1">IF(Información1[[#This Row],[Fecha]]='Ajuste de fechas'!$A$2,"Día actual","Día anterior")</f>
        <v>Día anterior</v>
      </c>
      <c r="C200" t="s">
        <v>39</v>
      </c>
      <c r="D200" t="s">
        <v>41</v>
      </c>
      <c r="E200" t="s">
        <v>234</v>
      </c>
      <c r="F200" t="s">
        <v>22</v>
      </c>
      <c r="G200" t="s">
        <v>66</v>
      </c>
      <c r="H200" t="s">
        <v>11</v>
      </c>
      <c r="I200" t="s">
        <v>7</v>
      </c>
      <c r="J200" t="s">
        <v>26</v>
      </c>
      <c r="K200" t="s">
        <v>71</v>
      </c>
      <c r="L200" t="s">
        <v>80</v>
      </c>
      <c r="M200">
        <v>1</v>
      </c>
    </row>
    <row r="201" spans="1:13" x14ac:dyDescent="0.25">
      <c r="A201" s="1">
        <v>46128</v>
      </c>
      <c r="B201" s="1" t="str">
        <f ca="1">IF(Información1[[#This Row],[Fecha]]='Ajuste de fechas'!$A$2,"Día actual","Día anterior")</f>
        <v>Día anterior</v>
      </c>
      <c r="C201" t="s">
        <v>35</v>
      </c>
      <c r="D201" t="s">
        <v>37</v>
      </c>
      <c r="E201" t="s">
        <v>104</v>
      </c>
      <c r="F201" t="s">
        <v>28</v>
      </c>
      <c r="G201" t="s">
        <v>67</v>
      </c>
      <c r="H201" t="s">
        <v>11</v>
      </c>
      <c r="I201" t="s">
        <v>7</v>
      </c>
      <c r="J201" t="s">
        <v>79</v>
      </c>
      <c r="K201" t="s">
        <v>36</v>
      </c>
      <c r="L201" t="s">
        <v>82</v>
      </c>
      <c r="M201">
        <v>1</v>
      </c>
    </row>
    <row r="202" spans="1:13" x14ac:dyDescent="0.25">
      <c r="A202" s="1">
        <v>46128</v>
      </c>
      <c r="B202" s="1" t="str">
        <f ca="1">IF(Información1[[#This Row],[Fecha]]='Ajuste de fechas'!$A$2,"Día actual","Día anterior")</f>
        <v>Día anterior</v>
      </c>
      <c r="C202" t="s">
        <v>39</v>
      </c>
      <c r="D202" t="s">
        <v>41</v>
      </c>
      <c r="E202" t="s">
        <v>235</v>
      </c>
      <c r="F202" t="s">
        <v>19</v>
      </c>
      <c r="G202" t="s">
        <v>236</v>
      </c>
      <c r="H202" t="s">
        <v>11</v>
      </c>
      <c r="I202" t="s">
        <v>27</v>
      </c>
      <c r="J202" t="s">
        <v>83</v>
      </c>
      <c r="K202" t="s">
        <v>71</v>
      </c>
      <c r="L202" t="s">
        <v>80</v>
      </c>
      <c r="M202">
        <v>1</v>
      </c>
    </row>
    <row r="203" spans="1:13" x14ac:dyDescent="0.25">
      <c r="A203" s="1">
        <v>46128</v>
      </c>
      <c r="B203" s="1" t="str">
        <f ca="1">IF(Información1[[#This Row],[Fecha]]='Ajuste de fechas'!$A$2,"Día actual","Día anterior")</f>
        <v>Día anterior</v>
      </c>
      <c r="C203" t="s">
        <v>39</v>
      </c>
      <c r="D203" t="s">
        <v>41</v>
      </c>
      <c r="E203" t="s">
        <v>237</v>
      </c>
      <c r="F203" t="s">
        <v>26</v>
      </c>
      <c r="G203" t="s">
        <v>191</v>
      </c>
      <c r="H203" t="s">
        <v>11</v>
      </c>
      <c r="I203" t="s">
        <v>7</v>
      </c>
      <c r="J203" t="s">
        <v>26</v>
      </c>
      <c r="K203" t="s">
        <v>71</v>
      </c>
      <c r="L203" t="s">
        <v>80</v>
      </c>
      <c r="M203">
        <v>1</v>
      </c>
    </row>
    <row r="204" spans="1:13" x14ac:dyDescent="0.25">
      <c r="A204" s="1">
        <v>46128</v>
      </c>
      <c r="B204" s="1" t="str">
        <f ca="1">IF(Información1[[#This Row],[Fecha]]='Ajuste de fechas'!$A$2,"Día actual","Día anterior")</f>
        <v>Día anterior</v>
      </c>
      <c r="C204" t="s">
        <v>39</v>
      </c>
      <c r="D204" t="s">
        <v>42</v>
      </c>
      <c r="E204" t="s">
        <v>238</v>
      </c>
      <c r="F204" t="s">
        <v>25</v>
      </c>
      <c r="G204" t="s">
        <v>105</v>
      </c>
      <c r="H204" t="s">
        <v>11</v>
      </c>
      <c r="I204" t="s">
        <v>7</v>
      </c>
      <c r="J204" t="s">
        <v>79</v>
      </c>
      <c r="K204" t="s">
        <v>40</v>
      </c>
      <c r="L204" t="s">
        <v>82</v>
      </c>
      <c r="M204">
        <v>1</v>
      </c>
    </row>
    <row r="205" spans="1:13" x14ac:dyDescent="0.25">
      <c r="A205" s="1">
        <v>46128</v>
      </c>
      <c r="B205" s="1" t="str">
        <f ca="1">IF(Información1[[#This Row],[Fecha]]='Ajuste de fechas'!$A$2,"Día actual","Día anterior")</f>
        <v>Día anterior</v>
      </c>
      <c r="C205" t="s">
        <v>39</v>
      </c>
      <c r="D205" t="s">
        <v>42</v>
      </c>
      <c r="E205" t="s">
        <v>239</v>
      </c>
      <c r="F205" t="s">
        <v>19</v>
      </c>
      <c r="G205" t="s">
        <v>105</v>
      </c>
      <c r="H205" t="s">
        <v>11</v>
      </c>
      <c r="I205" t="s">
        <v>7</v>
      </c>
      <c r="J205" t="s">
        <v>83</v>
      </c>
      <c r="K205" t="s">
        <v>40</v>
      </c>
      <c r="L205" t="s">
        <v>80</v>
      </c>
      <c r="M205">
        <v>1</v>
      </c>
    </row>
    <row r="206" spans="1:13" x14ac:dyDescent="0.25">
      <c r="A206" s="1">
        <v>46128</v>
      </c>
      <c r="B206" s="1" t="str">
        <f ca="1">IF(Información1[[#This Row],[Fecha]]='Ajuste de fechas'!$A$2,"Día actual","Día anterior")</f>
        <v>Día anterior</v>
      </c>
      <c r="C206" t="s">
        <v>39</v>
      </c>
      <c r="D206" t="s">
        <v>42</v>
      </c>
      <c r="E206" t="s">
        <v>240</v>
      </c>
      <c r="F206" t="s">
        <v>23</v>
      </c>
      <c r="G206" t="s">
        <v>241</v>
      </c>
      <c r="H206" t="s">
        <v>11</v>
      </c>
      <c r="I206" t="s">
        <v>7</v>
      </c>
      <c r="J206" t="s">
        <v>84</v>
      </c>
      <c r="K206" t="s">
        <v>40</v>
      </c>
      <c r="L206" t="s">
        <v>80</v>
      </c>
      <c r="M206">
        <v>1</v>
      </c>
    </row>
    <row r="207" spans="1:13" x14ac:dyDescent="0.25">
      <c r="A207" s="1">
        <v>46128</v>
      </c>
      <c r="B207" s="1" t="str">
        <f ca="1">IF(Información1[[#This Row],[Fecha]]='Ajuste de fechas'!$A$2,"Día actual","Día anterior")</f>
        <v>Día anterior</v>
      </c>
      <c r="C207" t="s">
        <v>8</v>
      </c>
      <c r="D207" t="s">
        <v>10</v>
      </c>
      <c r="E207" t="s">
        <v>106</v>
      </c>
      <c r="F207" t="s">
        <v>15</v>
      </c>
      <c r="G207" t="s">
        <v>107</v>
      </c>
      <c r="H207" t="s">
        <v>11</v>
      </c>
      <c r="I207" t="s">
        <v>7</v>
      </c>
      <c r="J207" t="s">
        <v>79</v>
      </c>
      <c r="K207" t="s">
        <v>14</v>
      </c>
      <c r="L207" t="s">
        <v>82</v>
      </c>
      <c r="M207">
        <v>1</v>
      </c>
    </row>
    <row r="208" spans="1:13" x14ac:dyDescent="0.25">
      <c r="A208" s="1">
        <v>46128</v>
      </c>
      <c r="B208" s="1" t="str">
        <f ca="1">IF(Información1[[#This Row],[Fecha]]='Ajuste de fechas'!$A$2,"Día actual","Día anterior")</f>
        <v>Día anterior</v>
      </c>
      <c r="C208" t="s">
        <v>39</v>
      </c>
      <c r="D208" t="s">
        <v>42</v>
      </c>
      <c r="E208" t="s">
        <v>242</v>
      </c>
      <c r="F208" t="s">
        <v>24</v>
      </c>
      <c r="G208" t="s">
        <v>178</v>
      </c>
      <c r="H208" t="s">
        <v>11</v>
      </c>
      <c r="I208" t="s">
        <v>7</v>
      </c>
      <c r="J208" t="s">
        <v>79</v>
      </c>
      <c r="K208" t="s">
        <v>40</v>
      </c>
      <c r="L208" t="s">
        <v>82</v>
      </c>
      <c r="M208">
        <v>1</v>
      </c>
    </row>
    <row r="209" spans="1:13" x14ac:dyDescent="0.25">
      <c r="A209" s="1">
        <v>46128</v>
      </c>
      <c r="B209" s="1" t="str">
        <f ca="1">IF(Información1[[#This Row],[Fecha]]='Ajuste de fechas'!$A$2,"Día actual","Día anterior")</f>
        <v>Día anterior</v>
      </c>
      <c r="C209" t="s">
        <v>8</v>
      </c>
      <c r="D209" t="s">
        <v>10</v>
      </c>
      <c r="E209" t="s">
        <v>243</v>
      </c>
      <c r="F209" t="s">
        <v>24</v>
      </c>
      <c r="G209" t="s">
        <v>178</v>
      </c>
      <c r="H209" t="s">
        <v>11</v>
      </c>
      <c r="I209" t="s">
        <v>7</v>
      </c>
      <c r="J209" t="s">
        <v>79</v>
      </c>
      <c r="K209" t="s">
        <v>14</v>
      </c>
      <c r="L209" t="s">
        <v>81</v>
      </c>
      <c r="M209">
        <v>1</v>
      </c>
    </row>
    <row r="210" spans="1:13" x14ac:dyDescent="0.25">
      <c r="A210" s="1">
        <v>46128</v>
      </c>
      <c r="B210" s="1" t="str">
        <f ca="1">IF(Información1[[#This Row],[Fecha]]='Ajuste de fechas'!$A$2,"Día actual","Día anterior")</f>
        <v>Día anterior</v>
      </c>
      <c r="C210" t="s">
        <v>8</v>
      </c>
      <c r="D210" t="s">
        <v>10</v>
      </c>
      <c r="E210" t="s">
        <v>177</v>
      </c>
      <c r="F210" t="s">
        <v>24</v>
      </c>
      <c r="G210" t="s">
        <v>178</v>
      </c>
      <c r="H210" t="s">
        <v>11</v>
      </c>
      <c r="I210" t="s">
        <v>7</v>
      </c>
      <c r="J210" t="s">
        <v>79</v>
      </c>
      <c r="K210" t="s">
        <v>14</v>
      </c>
      <c r="L210" t="s">
        <v>82</v>
      </c>
      <c r="M210">
        <v>1</v>
      </c>
    </row>
    <row r="211" spans="1:13" x14ac:dyDescent="0.25">
      <c r="A211" s="1">
        <v>46128</v>
      </c>
      <c r="B211" s="1" t="str">
        <f ca="1">IF(Información1[[#This Row],[Fecha]]='Ajuste de fechas'!$A$2,"Día actual","Día anterior")</f>
        <v>Día anterior</v>
      </c>
      <c r="C211" t="s">
        <v>39</v>
      </c>
      <c r="D211" t="s">
        <v>41</v>
      </c>
      <c r="E211" t="s">
        <v>244</v>
      </c>
      <c r="F211" t="s">
        <v>52</v>
      </c>
      <c r="G211" t="s">
        <v>181</v>
      </c>
      <c r="H211" t="s">
        <v>11</v>
      </c>
      <c r="I211" t="s">
        <v>7</v>
      </c>
      <c r="J211" t="s">
        <v>79</v>
      </c>
      <c r="K211" t="s">
        <v>71</v>
      </c>
      <c r="L211" t="s">
        <v>82</v>
      </c>
      <c r="M211">
        <v>1</v>
      </c>
    </row>
    <row r="212" spans="1:13" x14ac:dyDescent="0.25">
      <c r="A212" s="1">
        <v>46128</v>
      </c>
      <c r="B212" s="1" t="str">
        <f ca="1">IF(Información1[[#This Row],[Fecha]]='Ajuste de fechas'!$A$2,"Día actual","Día anterior")</f>
        <v>Día anterior</v>
      </c>
      <c r="C212" t="s">
        <v>39</v>
      </c>
      <c r="D212" t="s">
        <v>42</v>
      </c>
      <c r="E212" t="s">
        <v>244</v>
      </c>
      <c r="F212" t="s">
        <v>52</v>
      </c>
      <c r="G212" t="s">
        <v>181</v>
      </c>
      <c r="H212" t="s">
        <v>11</v>
      </c>
      <c r="I212" t="s">
        <v>7</v>
      </c>
      <c r="J212" t="s">
        <v>79</v>
      </c>
      <c r="K212" t="s">
        <v>40</v>
      </c>
      <c r="L212" t="s">
        <v>82</v>
      </c>
      <c r="M212">
        <v>1</v>
      </c>
    </row>
    <row r="213" spans="1:13" x14ac:dyDescent="0.25">
      <c r="A213" s="1">
        <v>46128</v>
      </c>
      <c r="B213" s="1" t="str">
        <f ca="1">IF(Información1[[#This Row],[Fecha]]='Ajuste de fechas'!$A$2,"Día actual","Día anterior")</f>
        <v>Día anterior</v>
      </c>
      <c r="C213" t="s">
        <v>39</v>
      </c>
      <c r="D213" t="s">
        <v>41</v>
      </c>
      <c r="E213" t="s">
        <v>245</v>
      </c>
      <c r="F213" t="s">
        <v>6</v>
      </c>
      <c r="G213" t="s">
        <v>98</v>
      </c>
      <c r="H213" t="s">
        <v>11</v>
      </c>
      <c r="I213" t="s">
        <v>7</v>
      </c>
      <c r="J213" t="s">
        <v>79</v>
      </c>
      <c r="K213" t="s">
        <v>71</v>
      </c>
      <c r="L213" t="s">
        <v>82</v>
      </c>
      <c r="M213">
        <v>1</v>
      </c>
    </row>
    <row r="214" spans="1:13" x14ac:dyDescent="0.25">
      <c r="A214" s="1">
        <v>46128</v>
      </c>
      <c r="B214" s="1" t="str">
        <f ca="1">IF(Información1[[#This Row],[Fecha]]='Ajuste de fechas'!$A$2,"Día actual","Día anterior")</f>
        <v>Día anterior</v>
      </c>
      <c r="C214" t="s">
        <v>8</v>
      </c>
      <c r="D214" t="s">
        <v>10</v>
      </c>
      <c r="E214" t="s">
        <v>211</v>
      </c>
      <c r="F214" t="s">
        <v>19</v>
      </c>
      <c r="G214" t="s">
        <v>246</v>
      </c>
      <c r="H214" t="s">
        <v>11</v>
      </c>
      <c r="I214" t="s">
        <v>7</v>
      </c>
      <c r="J214" t="s">
        <v>83</v>
      </c>
      <c r="K214" t="s">
        <v>14</v>
      </c>
      <c r="L214" t="s">
        <v>85</v>
      </c>
      <c r="M214">
        <v>1</v>
      </c>
    </row>
    <row r="215" spans="1:13" x14ac:dyDescent="0.25">
      <c r="A215" s="1">
        <v>46128</v>
      </c>
      <c r="B215" s="1" t="str">
        <f ca="1">IF(Información1[[#This Row],[Fecha]]='Ajuste de fechas'!$A$2,"Día actual","Día anterior")</f>
        <v>Día anterior</v>
      </c>
      <c r="C215" t="s">
        <v>39</v>
      </c>
      <c r="D215" t="s">
        <v>42</v>
      </c>
      <c r="E215" t="s">
        <v>247</v>
      </c>
      <c r="F215" t="s">
        <v>28</v>
      </c>
      <c r="G215" t="s">
        <v>114</v>
      </c>
      <c r="H215" t="s">
        <v>11</v>
      </c>
      <c r="I215" t="s">
        <v>7</v>
      </c>
      <c r="J215" t="s">
        <v>79</v>
      </c>
      <c r="K215" t="s">
        <v>40</v>
      </c>
      <c r="L215" t="s">
        <v>80</v>
      </c>
      <c r="M215">
        <v>1</v>
      </c>
    </row>
    <row r="216" spans="1:13" x14ac:dyDescent="0.25">
      <c r="A216" s="1">
        <v>46128</v>
      </c>
      <c r="B216" s="1" t="str">
        <f ca="1">IF(Información1[[#This Row],[Fecha]]='Ajuste de fechas'!$A$2,"Día actual","Día anterior")</f>
        <v>Día anterior</v>
      </c>
      <c r="C216" t="s">
        <v>39</v>
      </c>
      <c r="D216" t="s">
        <v>42</v>
      </c>
      <c r="E216" t="s">
        <v>248</v>
      </c>
      <c r="F216" t="s">
        <v>25</v>
      </c>
      <c r="G216" t="s">
        <v>249</v>
      </c>
      <c r="H216" t="s">
        <v>11</v>
      </c>
      <c r="I216" t="s">
        <v>7</v>
      </c>
      <c r="J216" t="s">
        <v>79</v>
      </c>
      <c r="K216" t="s">
        <v>40</v>
      </c>
      <c r="L216" t="s">
        <v>80</v>
      </c>
      <c r="M216">
        <v>1</v>
      </c>
    </row>
    <row r="217" spans="1:13" x14ac:dyDescent="0.25">
      <c r="A217" s="1">
        <v>46128</v>
      </c>
      <c r="B217" s="1" t="str">
        <f ca="1">IF(Información1[[#This Row],[Fecha]]='Ajuste de fechas'!$A$2,"Día actual","Día anterior")</f>
        <v>Día anterior</v>
      </c>
      <c r="C217" t="s">
        <v>8</v>
      </c>
      <c r="D217" t="s">
        <v>10</v>
      </c>
      <c r="E217" t="s">
        <v>250</v>
      </c>
      <c r="F217" t="s">
        <v>19</v>
      </c>
      <c r="G217" t="s">
        <v>99</v>
      </c>
      <c r="H217" t="s">
        <v>11</v>
      </c>
      <c r="I217" t="s">
        <v>27</v>
      </c>
      <c r="J217" t="s">
        <v>83</v>
      </c>
      <c r="K217" t="s">
        <v>9</v>
      </c>
      <c r="L217" t="s">
        <v>81</v>
      </c>
      <c r="M217">
        <v>1</v>
      </c>
    </row>
    <row r="218" spans="1:13" x14ac:dyDescent="0.25">
      <c r="A218" s="1">
        <v>46128</v>
      </c>
      <c r="B218" s="1" t="str">
        <f ca="1">IF(Información1[[#This Row],[Fecha]]='Ajuste de fechas'!$A$2,"Día actual","Día anterior")</f>
        <v>Día anterior</v>
      </c>
      <c r="C218" t="s">
        <v>8</v>
      </c>
      <c r="D218" t="s">
        <v>10</v>
      </c>
      <c r="E218" t="s">
        <v>251</v>
      </c>
      <c r="F218" t="s">
        <v>19</v>
      </c>
      <c r="G218" t="s">
        <v>99</v>
      </c>
      <c r="H218" t="s">
        <v>11</v>
      </c>
      <c r="I218" t="s">
        <v>27</v>
      </c>
      <c r="J218" t="s">
        <v>83</v>
      </c>
      <c r="K218" t="s">
        <v>9</v>
      </c>
      <c r="L218" t="s">
        <v>81</v>
      </c>
      <c r="M218">
        <v>1</v>
      </c>
    </row>
    <row r="219" spans="1:13" x14ac:dyDescent="0.25">
      <c r="A219" s="1">
        <v>46128</v>
      </c>
      <c r="B219" s="1" t="str">
        <f ca="1">IF(Información1[[#This Row],[Fecha]]='Ajuste de fechas'!$A$2,"Día actual","Día anterior")</f>
        <v>Día anterior</v>
      </c>
      <c r="C219" t="s">
        <v>8</v>
      </c>
      <c r="D219" t="s">
        <v>10</v>
      </c>
      <c r="E219" t="s">
        <v>252</v>
      </c>
      <c r="F219" t="s">
        <v>19</v>
      </c>
      <c r="G219" t="s">
        <v>99</v>
      </c>
      <c r="H219" t="s">
        <v>11</v>
      </c>
      <c r="I219" t="s">
        <v>27</v>
      </c>
      <c r="J219" t="s">
        <v>83</v>
      </c>
      <c r="K219" t="s">
        <v>9</v>
      </c>
      <c r="L219" t="s">
        <v>81</v>
      </c>
      <c r="M219">
        <v>1</v>
      </c>
    </row>
    <row r="220" spans="1:13" x14ac:dyDescent="0.25">
      <c r="A220" s="1">
        <v>46128</v>
      </c>
      <c r="B220" s="1" t="str">
        <f ca="1">IF(Información1[[#This Row],[Fecha]]='Ajuste de fechas'!$A$2,"Día actual","Día anterior")</f>
        <v>Día anterior</v>
      </c>
      <c r="C220" t="s">
        <v>39</v>
      </c>
      <c r="D220" t="s">
        <v>42</v>
      </c>
      <c r="E220" t="s">
        <v>111</v>
      </c>
      <c r="F220" t="s">
        <v>38</v>
      </c>
      <c r="G220" t="s">
        <v>110</v>
      </c>
      <c r="H220" t="s">
        <v>11</v>
      </c>
      <c r="I220" t="s">
        <v>7</v>
      </c>
      <c r="J220" t="s">
        <v>79</v>
      </c>
      <c r="K220" t="s">
        <v>40</v>
      </c>
      <c r="L220" t="s">
        <v>82</v>
      </c>
      <c r="M220">
        <v>1</v>
      </c>
    </row>
    <row r="221" spans="1:13" x14ac:dyDescent="0.25">
      <c r="A221" s="1">
        <v>46128</v>
      </c>
      <c r="B221" s="1" t="str">
        <f ca="1">IF(Información1[[#This Row],[Fecha]]='Ajuste de fechas'!$A$2,"Día actual","Día anterior")</f>
        <v>Día anterior</v>
      </c>
      <c r="C221" t="s">
        <v>8</v>
      </c>
      <c r="D221" t="s">
        <v>10</v>
      </c>
      <c r="E221" t="s">
        <v>111</v>
      </c>
      <c r="F221" t="s">
        <v>38</v>
      </c>
      <c r="G221" t="s">
        <v>110</v>
      </c>
      <c r="H221" t="s">
        <v>11</v>
      </c>
      <c r="I221" t="s">
        <v>7</v>
      </c>
      <c r="J221" t="s">
        <v>79</v>
      </c>
      <c r="K221" t="s">
        <v>14</v>
      </c>
      <c r="L221" t="s">
        <v>82</v>
      </c>
      <c r="M221">
        <v>1</v>
      </c>
    </row>
    <row r="222" spans="1:13" x14ac:dyDescent="0.25">
      <c r="A222" s="1">
        <v>46128</v>
      </c>
      <c r="B222" s="1" t="str">
        <f ca="1">IF(Información1[[#This Row],[Fecha]]='Ajuste de fechas'!$A$2,"Día actual","Día anterior")</f>
        <v>Día anterior</v>
      </c>
      <c r="C222" t="s">
        <v>39</v>
      </c>
      <c r="D222" t="s">
        <v>41</v>
      </c>
      <c r="E222" t="s">
        <v>253</v>
      </c>
      <c r="F222" t="s">
        <v>19</v>
      </c>
      <c r="G222" t="s">
        <v>92</v>
      </c>
      <c r="H222" t="s">
        <v>11</v>
      </c>
      <c r="I222" t="s">
        <v>7</v>
      </c>
      <c r="J222" t="s">
        <v>83</v>
      </c>
      <c r="K222" t="s">
        <v>71</v>
      </c>
      <c r="L222" t="s">
        <v>80</v>
      </c>
      <c r="M222">
        <v>1</v>
      </c>
    </row>
    <row r="223" spans="1:13" x14ac:dyDescent="0.25">
      <c r="A223" s="1">
        <v>46128</v>
      </c>
      <c r="B223" s="1" t="str">
        <f ca="1">IF(Información1[[#This Row],[Fecha]]='Ajuste de fechas'!$A$2,"Día actual","Día anterior")</f>
        <v>Día anterior</v>
      </c>
      <c r="C223" t="s">
        <v>39</v>
      </c>
      <c r="D223" t="s">
        <v>42</v>
      </c>
      <c r="E223" t="s">
        <v>254</v>
      </c>
      <c r="F223" t="s">
        <v>22</v>
      </c>
      <c r="G223" t="s">
        <v>92</v>
      </c>
      <c r="H223" t="s">
        <v>11</v>
      </c>
      <c r="I223" t="s">
        <v>7</v>
      </c>
      <c r="J223" t="s">
        <v>26</v>
      </c>
      <c r="K223" t="s">
        <v>40</v>
      </c>
      <c r="L223" t="s">
        <v>80</v>
      </c>
      <c r="M223">
        <v>1</v>
      </c>
    </row>
    <row r="224" spans="1:13" x14ac:dyDescent="0.25">
      <c r="A224" s="1">
        <v>46128</v>
      </c>
      <c r="B224" s="1" t="str">
        <f ca="1">IF(Información1[[#This Row],[Fecha]]='Ajuste de fechas'!$A$2,"Día actual","Día anterior")</f>
        <v>Día anterior</v>
      </c>
      <c r="C224" t="s">
        <v>39</v>
      </c>
      <c r="D224" t="s">
        <v>42</v>
      </c>
      <c r="E224" t="s">
        <v>255</v>
      </c>
      <c r="F224" t="s">
        <v>26</v>
      </c>
      <c r="G224" t="s">
        <v>92</v>
      </c>
      <c r="H224" t="s">
        <v>11</v>
      </c>
      <c r="I224" t="s">
        <v>7</v>
      </c>
      <c r="J224" t="s">
        <v>26</v>
      </c>
      <c r="K224" t="s">
        <v>40</v>
      </c>
      <c r="L224" t="s">
        <v>80</v>
      </c>
      <c r="M224">
        <v>1</v>
      </c>
    </row>
    <row r="225" spans="1:13" x14ac:dyDescent="0.25">
      <c r="A225" s="1">
        <v>46128</v>
      </c>
      <c r="B225" s="1" t="str">
        <f ca="1">IF(Información1[[#This Row],[Fecha]]='Ajuste de fechas'!$A$2,"Día actual","Día anterior")</f>
        <v>Día anterior</v>
      </c>
      <c r="C225" t="s">
        <v>8</v>
      </c>
      <c r="D225" t="s">
        <v>10</v>
      </c>
      <c r="E225" t="s">
        <v>256</v>
      </c>
      <c r="F225" t="s">
        <v>19</v>
      </c>
      <c r="G225" t="s">
        <v>119</v>
      </c>
      <c r="H225" t="s">
        <v>11</v>
      </c>
      <c r="I225" t="s">
        <v>7</v>
      </c>
      <c r="J225" t="s">
        <v>83</v>
      </c>
      <c r="K225" t="s">
        <v>14</v>
      </c>
      <c r="L225" t="s">
        <v>80</v>
      </c>
      <c r="M225">
        <v>1</v>
      </c>
    </row>
    <row r="226" spans="1:13" x14ac:dyDescent="0.25">
      <c r="A226" s="1">
        <v>46128</v>
      </c>
      <c r="B226" s="1" t="str">
        <f ca="1">IF(Información1[[#This Row],[Fecha]]='Ajuste de fechas'!$A$2,"Día actual","Día anterior")</f>
        <v>Día anterior</v>
      </c>
      <c r="C226" t="s">
        <v>54</v>
      </c>
      <c r="D226" t="s">
        <v>56</v>
      </c>
      <c r="E226" t="s">
        <v>257</v>
      </c>
      <c r="F226" t="s">
        <v>48</v>
      </c>
      <c r="G226" t="s">
        <v>258</v>
      </c>
      <c r="H226" t="s">
        <v>11</v>
      </c>
      <c r="I226" t="s">
        <v>7</v>
      </c>
      <c r="J226" t="s">
        <v>79</v>
      </c>
      <c r="K226" t="s">
        <v>55</v>
      </c>
      <c r="L226" t="s">
        <v>80</v>
      </c>
      <c r="M226">
        <v>1</v>
      </c>
    </row>
    <row r="227" spans="1:13" x14ac:dyDescent="0.25">
      <c r="A227" s="1">
        <v>46128</v>
      </c>
      <c r="B227" s="1" t="str">
        <f ca="1">IF(Información1[[#This Row],[Fecha]]='Ajuste de fechas'!$A$2,"Día actual","Día anterior")</f>
        <v>Día anterior</v>
      </c>
      <c r="C227" t="s">
        <v>58</v>
      </c>
      <c r="D227" t="s">
        <v>42</v>
      </c>
      <c r="E227" t="s">
        <v>307</v>
      </c>
      <c r="F227" t="s">
        <v>120</v>
      </c>
      <c r="G227" t="s">
        <v>270</v>
      </c>
      <c r="H227" t="s">
        <v>11</v>
      </c>
      <c r="I227" t="s">
        <v>7</v>
      </c>
      <c r="J227" t="s">
        <v>79</v>
      </c>
      <c r="K227" t="s">
        <v>40</v>
      </c>
      <c r="L227" t="s">
        <v>82</v>
      </c>
      <c r="M227">
        <v>1</v>
      </c>
    </row>
    <row r="228" spans="1:13" x14ac:dyDescent="0.25">
      <c r="A228" s="1">
        <v>46128</v>
      </c>
      <c r="B228" s="1" t="str">
        <f ca="1">IF(Información1[[#This Row],[Fecha]]='Ajuste de fechas'!$A$2,"Día actual","Día anterior")</f>
        <v>Día anterior</v>
      </c>
      <c r="C228" t="s">
        <v>43</v>
      </c>
      <c r="D228" t="s">
        <v>45</v>
      </c>
      <c r="E228" t="s">
        <v>336</v>
      </c>
      <c r="F228" t="s">
        <v>21</v>
      </c>
      <c r="G228" t="s">
        <v>113</v>
      </c>
      <c r="H228" t="s">
        <v>46</v>
      </c>
      <c r="I228" t="s">
        <v>7</v>
      </c>
      <c r="J228" t="s">
        <v>79</v>
      </c>
      <c r="K228" t="s">
        <v>44</v>
      </c>
      <c r="L228" t="s">
        <v>80</v>
      </c>
      <c r="M228">
        <v>1</v>
      </c>
    </row>
    <row r="229" spans="1:13" x14ac:dyDescent="0.25">
      <c r="A229" s="1">
        <v>46128</v>
      </c>
      <c r="B229" s="1" t="str">
        <f ca="1">IF(Información1[[#This Row],[Fecha]]='Ajuste de fechas'!$A$2,"Día actual","Día anterior")</f>
        <v>Día anterior</v>
      </c>
      <c r="C229" t="s">
        <v>43</v>
      </c>
      <c r="D229" t="s">
        <v>45</v>
      </c>
      <c r="E229" t="s">
        <v>337</v>
      </c>
      <c r="F229" t="s">
        <v>24</v>
      </c>
      <c r="G229" t="s">
        <v>178</v>
      </c>
      <c r="H229" t="s">
        <v>46</v>
      </c>
      <c r="I229" t="s">
        <v>7</v>
      </c>
      <c r="J229" t="s">
        <v>79</v>
      </c>
      <c r="K229" t="s">
        <v>44</v>
      </c>
      <c r="L229" t="s">
        <v>82</v>
      </c>
      <c r="M229">
        <v>1</v>
      </c>
    </row>
    <row r="230" spans="1:13" x14ac:dyDescent="0.25">
      <c r="A230" s="1">
        <v>46128</v>
      </c>
      <c r="B230" s="1" t="str">
        <f ca="1">IF(Información1[[#This Row],[Fecha]]='Ajuste de fechas'!$A$2,"Día actual","Día anterior")</f>
        <v>Día anterior</v>
      </c>
      <c r="C230" t="s">
        <v>43</v>
      </c>
      <c r="D230" t="s">
        <v>45</v>
      </c>
      <c r="E230" t="s">
        <v>338</v>
      </c>
      <c r="F230" t="s">
        <v>6</v>
      </c>
      <c r="G230" t="s">
        <v>98</v>
      </c>
      <c r="H230" t="s">
        <v>46</v>
      </c>
      <c r="I230" t="s">
        <v>7</v>
      </c>
      <c r="J230" t="s">
        <v>79</v>
      </c>
      <c r="K230" t="s">
        <v>44</v>
      </c>
      <c r="L230" t="s">
        <v>82</v>
      </c>
      <c r="M230">
        <v>1</v>
      </c>
    </row>
    <row r="231" spans="1:13" x14ac:dyDescent="0.25">
      <c r="A231" s="1">
        <v>46128</v>
      </c>
      <c r="B231" s="1" t="str">
        <f ca="1">IF(Información1[[#This Row],[Fecha]]='Ajuste de fechas'!$A$2,"Día actual","Día anterior")</f>
        <v>Día anterior</v>
      </c>
      <c r="C231" t="s">
        <v>43</v>
      </c>
      <c r="D231" t="s">
        <v>45</v>
      </c>
      <c r="E231" t="s">
        <v>339</v>
      </c>
      <c r="F231" t="s">
        <v>52</v>
      </c>
      <c r="G231" t="s">
        <v>181</v>
      </c>
      <c r="H231" t="s">
        <v>46</v>
      </c>
      <c r="I231" t="s">
        <v>7</v>
      </c>
      <c r="J231" t="s">
        <v>79</v>
      </c>
      <c r="K231" t="s">
        <v>44</v>
      </c>
      <c r="L231" t="s">
        <v>82</v>
      </c>
      <c r="M231">
        <v>1</v>
      </c>
    </row>
    <row r="232" spans="1:13" x14ac:dyDescent="0.25">
      <c r="A232" s="1">
        <v>46128</v>
      </c>
      <c r="B232" s="1" t="str">
        <f ca="1">IF(Información1[[#This Row],[Fecha]]='Ajuste de fechas'!$A$2,"Día actual","Día anterior")</f>
        <v>Día anterior</v>
      </c>
      <c r="C232" t="s">
        <v>43</v>
      </c>
      <c r="D232" t="s">
        <v>45</v>
      </c>
      <c r="E232" t="s">
        <v>340</v>
      </c>
      <c r="F232" t="s">
        <v>21</v>
      </c>
      <c r="G232" t="s">
        <v>158</v>
      </c>
      <c r="H232" t="s">
        <v>46</v>
      </c>
      <c r="I232" t="s">
        <v>7</v>
      </c>
      <c r="J232" t="s">
        <v>79</v>
      </c>
      <c r="K232" t="s">
        <v>44</v>
      </c>
      <c r="L232" t="s">
        <v>82</v>
      </c>
      <c r="M232">
        <v>1</v>
      </c>
    </row>
    <row r="233" spans="1:13" x14ac:dyDescent="0.25">
      <c r="A233" s="1">
        <v>46128</v>
      </c>
      <c r="B233" s="1" t="str">
        <f ca="1">IF(Información1[[#This Row],[Fecha]]='Ajuste de fechas'!$A$2,"Día actual","Día anterior")</f>
        <v>Día anterior</v>
      </c>
      <c r="C233" t="s">
        <v>43</v>
      </c>
      <c r="D233" t="s">
        <v>45</v>
      </c>
      <c r="E233" t="s">
        <v>159</v>
      </c>
      <c r="F233" t="s">
        <v>160</v>
      </c>
      <c r="G233" t="s">
        <v>186</v>
      </c>
      <c r="H233" t="s">
        <v>46</v>
      </c>
      <c r="I233" t="s">
        <v>7</v>
      </c>
      <c r="J233" t="s">
        <v>79</v>
      </c>
      <c r="K233" t="s">
        <v>44</v>
      </c>
      <c r="L233" t="s">
        <v>82</v>
      </c>
      <c r="M233">
        <v>1</v>
      </c>
    </row>
    <row r="234" spans="1:13" x14ac:dyDescent="0.25">
      <c r="A234" s="1">
        <v>46128</v>
      </c>
      <c r="B234" s="1" t="str">
        <f ca="1">IF(Información1[[#This Row],[Fecha]]='Ajuste de fechas'!$A$2,"Día actual","Día anterior")</f>
        <v>Día anterior</v>
      </c>
      <c r="C234" t="s">
        <v>43</v>
      </c>
      <c r="D234" t="s">
        <v>45</v>
      </c>
      <c r="E234" t="s">
        <v>127</v>
      </c>
      <c r="F234" t="s">
        <v>21</v>
      </c>
      <c r="G234" t="s">
        <v>128</v>
      </c>
      <c r="H234" t="s">
        <v>46</v>
      </c>
      <c r="I234" t="s">
        <v>7</v>
      </c>
      <c r="J234" t="s">
        <v>79</v>
      </c>
      <c r="K234" t="s">
        <v>44</v>
      </c>
      <c r="L234" t="s">
        <v>82</v>
      </c>
      <c r="M234">
        <v>1</v>
      </c>
    </row>
    <row r="235" spans="1:13" x14ac:dyDescent="0.25">
      <c r="A235" s="1">
        <v>46128</v>
      </c>
      <c r="B235" s="1" t="str">
        <f ca="1">IF(Información1[[#This Row],[Fecha]]='Ajuste de fechas'!$A$2,"Día actual","Día anterior")</f>
        <v>Día anterior</v>
      </c>
      <c r="C235" t="s">
        <v>43</v>
      </c>
      <c r="D235" t="s">
        <v>45</v>
      </c>
      <c r="E235" t="s">
        <v>341</v>
      </c>
      <c r="F235" t="s">
        <v>94</v>
      </c>
      <c r="G235" t="s">
        <v>188</v>
      </c>
      <c r="H235" t="s">
        <v>46</v>
      </c>
      <c r="I235" t="s">
        <v>7</v>
      </c>
      <c r="J235" t="s">
        <v>79</v>
      </c>
      <c r="K235" t="s">
        <v>44</v>
      </c>
      <c r="L235" t="s">
        <v>82</v>
      </c>
      <c r="M235">
        <v>1</v>
      </c>
    </row>
    <row r="236" spans="1:13" x14ac:dyDescent="0.25">
      <c r="A236" s="1">
        <v>46128</v>
      </c>
      <c r="B236" s="1" t="str">
        <f ca="1">IF(Información1[[#This Row],[Fecha]]='Ajuste de fechas'!$A$2,"Día actual","Día anterior")</f>
        <v>Día anterior</v>
      </c>
      <c r="C236" t="s">
        <v>43</v>
      </c>
      <c r="D236" t="s">
        <v>45</v>
      </c>
      <c r="E236" t="s">
        <v>342</v>
      </c>
      <c r="F236" t="s">
        <v>59</v>
      </c>
      <c r="G236" t="s">
        <v>64</v>
      </c>
      <c r="H236" t="s">
        <v>46</v>
      </c>
      <c r="I236" t="s">
        <v>7</v>
      </c>
      <c r="J236" t="s">
        <v>79</v>
      </c>
      <c r="K236" t="s">
        <v>44</v>
      </c>
      <c r="L236" t="s">
        <v>82</v>
      </c>
      <c r="M236">
        <v>1</v>
      </c>
    </row>
    <row r="237" spans="1:13" x14ac:dyDescent="0.25">
      <c r="A237" s="1">
        <v>46128</v>
      </c>
      <c r="B237" s="1" t="str">
        <f ca="1">IF(Información1[[#This Row],[Fecha]]='Ajuste de fechas'!$A$2,"Día actual","Día anterior")</f>
        <v>Día anterior</v>
      </c>
      <c r="C237" t="s">
        <v>43</v>
      </c>
      <c r="D237" t="s">
        <v>45</v>
      </c>
      <c r="E237" t="s">
        <v>343</v>
      </c>
      <c r="F237" t="s">
        <v>15</v>
      </c>
      <c r="G237" t="s">
        <v>322</v>
      </c>
      <c r="H237" t="s">
        <v>46</v>
      </c>
      <c r="I237" t="s">
        <v>7</v>
      </c>
      <c r="J237" t="s">
        <v>79</v>
      </c>
      <c r="K237" t="s">
        <v>44</v>
      </c>
      <c r="L237" t="s">
        <v>80</v>
      </c>
      <c r="M237">
        <v>1</v>
      </c>
    </row>
    <row r="238" spans="1:13" x14ac:dyDescent="0.25">
      <c r="A238" s="1">
        <v>46128</v>
      </c>
      <c r="B238" s="1" t="str">
        <f ca="1">IF(Información1[[#This Row],[Fecha]]='Ajuste de fechas'!$A$2,"Día actual","Día anterior")</f>
        <v>Día anterior</v>
      </c>
      <c r="C238" t="s">
        <v>43</v>
      </c>
      <c r="D238" t="s">
        <v>45</v>
      </c>
      <c r="E238" t="s">
        <v>343</v>
      </c>
      <c r="F238" t="s">
        <v>23</v>
      </c>
      <c r="G238" t="s">
        <v>322</v>
      </c>
      <c r="H238" t="s">
        <v>46</v>
      </c>
      <c r="I238" t="s">
        <v>7</v>
      </c>
      <c r="J238" t="s">
        <v>84</v>
      </c>
      <c r="K238" t="s">
        <v>344</v>
      </c>
      <c r="L238" t="s">
        <v>80</v>
      </c>
      <c r="M238">
        <v>1</v>
      </c>
    </row>
    <row r="239" spans="1:13" x14ac:dyDescent="0.25">
      <c r="A239" s="1">
        <v>46128</v>
      </c>
      <c r="B239" s="1" t="str">
        <f ca="1">IF(Información1[[#This Row],[Fecha]]='Ajuste de fechas'!$A$2,"Día actual","Día anterior")</f>
        <v>Día anterior</v>
      </c>
      <c r="C239" t="s">
        <v>43</v>
      </c>
      <c r="D239" t="s">
        <v>45</v>
      </c>
      <c r="E239" t="s">
        <v>345</v>
      </c>
      <c r="F239" t="s">
        <v>25</v>
      </c>
      <c r="G239" t="s">
        <v>105</v>
      </c>
      <c r="H239" t="s">
        <v>46</v>
      </c>
      <c r="I239" t="s">
        <v>7</v>
      </c>
      <c r="J239" t="s">
        <v>79</v>
      </c>
      <c r="K239" t="s">
        <v>44</v>
      </c>
      <c r="L239" t="s">
        <v>82</v>
      </c>
      <c r="M239">
        <v>1</v>
      </c>
    </row>
    <row r="240" spans="1:13" x14ac:dyDescent="0.25">
      <c r="A240" s="1">
        <v>46128</v>
      </c>
      <c r="B240" s="1" t="str">
        <f ca="1">IF(Información1[[#This Row],[Fecha]]='Ajuste de fechas'!$A$2,"Día actual","Día anterior")</f>
        <v>Día anterior</v>
      </c>
      <c r="C240" t="s">
        <v>43</v>
      </c>
      <c r="D240" t="s">
        <v>45</v>
      </c>
      <c r="E240" t="s">
        <v>137</v>
      </c>
      <c r="F240" t="s">
        <v>120</v>
      </c>
      <c r="G240" t="s">
        <v>138</v>
      </c>
      <c r="H240" t="s">
        <v>46</v>
      </c>
      <c r="I240" t="s">
        <v>7</v>
      </c>
      <c r="J240" t="s">
        <v>79</v>
      </c>
      <c r="K240" t="s">
        <v>44</v>
      </c>
      <c r="L240" t="s">
        <v>82</v>
      </c>
      <c r="M240">
        <v>1</v>
      </c>
    </row>
    <row r="241" spans="1:13" x14ac:dyDescent="0.25">
      <c r="A241" s="1">
        <v>46128</v>
      </c>
      <c r="B241" s="1" t="str">
        <f ca="1">IF(Información1[[#This Row],[Fecha]]='Ajuste de fechas'!$A$2,"Día actual","Día anterior")</f>
        <v>Día anterior</v>
      </c>
      <c r="C241" t="s">
        <v>43</v>
      </c>
      <c r="D241" t="s">
        <v>45</v>
      </c>
      <c r="E241" t="s">
        <v>346</v>
      </c>
      <c r="F241" t="s">
        <v>19</v>
      </c>
      <c r="G241" t="s">
        <v>347</v>
      </c>
      <c r="H241" t="s">
        <v>46</v>
      </c>
      <c r="I241" t="s">
        <v>7</v>
      </c>
      <c r="J241" t="s">
        <v>83</v>
      </c>
      <c r="K241" t="s">
        <v>44</v>
      </c>
      <c r="L241" t="s">
        <v>80</v>
      </c>
      <c r="M241">
        <v>1</v>
      </c>
    </row>
    <row r="242" spans="1:13" x14ac:dyDescent="0.25">
      <c r="A242" s="1">
        <v>46128</v>
      </c>
      <c r="B242" s="1" t="str">
        <f ca="1">IF(Información1[[#This Row],[Fecha]]='Ajuste de fechas'!$A$2,"Día actual","Día anterior")</f>
        <v>Día anterior</v>
      </c>
      <c r="C242" t="s">
        <v>43</v>
      </c>
      <c r="D242" t="s">
        <v>45</v>
      </c>
      <c r="E242" t="s">
        <v>348</v>
      </c>
      <c r="F242" t="s">
        <v>19</v>
      </c>
      <c r="G242" t="s">
        <v>110</v>
      </c>
      <c r="H242" t="s">
        <v>46</v>
      </c>
      <c r="I242" t="s">
        <v>7</v>
      </c>
      <c r="J242" t="s">
        <v>83</v>
      </c>
      <c r="K242" t="s">
        <v>44</v>
      </c>
      <c r="L242" t="s">
        <v>80</v>
      </c>
      <c r="M24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87</v>
      </c>
      <c r="B1" t="s">
        <v>88</v>
      </c>
    </row>
    <row r="2" spans="1:2" x14ac:dyDescent="0.25">
      <c r="A2" s="2">
        <f ca="1">TODAY()</f>
        <v>46129</v>
      </c>
      <c r="B2" s="2">
        <f ca="1">A2-1</f>
        <v>46128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2026-04-17T23:59:26Z</dcterms:modified>
</cp:coreProperties>
</file>