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A90C81D0-F441-4F01-9FB6-8B8FF8CE9167}"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69" i="2"/>
  <c r="B71" i="2"/>
  <c r="B73" i="2"/>
  <c r="B75" i="2"/>
  <c r="B77" i="2"/>
  <c r="B79" i="2"/>
  <c r="B81" i="2"/>
  <c r="B83" i="2"/>
  <c r="B85" i="2"/>
  <c r="B87" i="2"/>
  <c r="B89" i="2"/>
  <c r="B91" i="2"/>
  <c r="B93" i="2"/>
  <c r="B94" i="2"/>
  <c r="B96" i="2"/>
  <c r="B98" i="2"/>
  <c r="B100" i="2"/>
  <c r="B102" i="2"/>
  <c r="B103" i="2"/>
  <c r="B105" i="2"/>
  <c r="B107" i="2"/>
  <c r="B108" i="2"/>
  <c r="B110" i="2"/>
  <c r="B112" i="2"/>
  <c r="B114" i="2"/>
  <c r="B115" i="2"/>
  <c r="B116" i="2"/>
  <c r="B117" i="2"/>
  <c r="B118" i="2"/>
  <c r="B119" i="2"/>
  <c r="B120" i="2"/>
  <c r="B121" i="2"/>
  <c r="B122" i="2"/>
  <c r="B123" i="2"/>
  <c r="B124" i="2"/>
  <c r="B125" i="2"/>
  <c r="B126" i="2"/>
  <c r="B127" i="2"/>
  <c r="B128" i="2"/>
  <c r="B130" i="2"/>
  <c r="B142" i="2"/>
  <c r="B144" i="2"/>
  <c r="B146" i="2"/>
  <c r="B148" i="2"/>
  <c r="B150" i="2"/>
  <c r="B152" i="2"/>
  <c r="B153" i="2"/>
  <c r="B155" i="2"/>
  <c r="B157" i="2"/>
  <c r="B159" i="2"/>
  <c r="B161" i="2"/>
  <c r="B163" i="2"/>
  <c r="B165" i="2"/>
  <c r="B167" i="2"/>
  <c r="B169" i="2"/>
  <c r="B171" i="2"/>
  <c r="B173" i="2"/>
  <c r="B175" i="2"/>
  <c r="B177" i="2"/>
  <c r="B179" i="2"/>
  <c r="B181" i="2"/>
  <c r="B183" i="2"/>
  <c r="B48" i="2"/>
  <c r="B49" i="2"/>
  <c r="B50" i="2"/>
  <c r="B51" i="2"/>
  <c r="B52" i="2"/>
  <c r="B53" i="2"/>
  <c r="B54" i="2"/>
  <c r="B55" i="2"/>
  <c r="B56" i="2"/>
  <c r="B57" i="2"/>
  <c r="B58" i="2"/>
  <c r="B59" i="2"/>
  <c r="B60" i="2"/>
  <c r="B61" i="2"/>
  <c r="B62" i="2"/>
  <c r="B63" i="2"/>
  <c r="B64" i="2"/>
  <c r="B65" i="2"/>
  <c r="B66" i="2"/>
  <c r="B67" i="2"/>
  <c r="B68" i="2"/>
  <c r="B70" i="2"/>
  <c r="B72" i="2"/>
  <c r="B74" i="2"/>
  <c r="B76" i="2"/>
  <c r="B78" i="2"/>
  <c r="B80" i="2"/>
  <c r="B82" i="2"/>
  <c r="B84" i="2"/>
  <c r="B86" i="2"/>
  <c r="B88" i="2"/>
  <c r="B90" i="2"/>
  <c r="B92" i="2"/>
  <c r="B95" i="2"/>
  <c r="B97" i="2"/>
  <c r="B99" i="2"/>
  <c r="B101" i="2"/>
  <c r="B104" i="2"/>
  <c r="B106" i="2"/>
  <c r="B109" i="2"/>
  <c r="B111" i="2"/>
  <c r="B113" i="2"/>
  <c r="B129" i="2"/>
  <c r="B131" i="2"/>
  <c r="B132" i="2"/>
  <c r="B133" i="2"/>
  <c r="B134" i="2"/>
  <c r="B135" i="2"/>
  <c r="B136" i="2"/>
  <c r="B137" i="2"/>
  <c r="B138" i="2"/>
  <c r="B139" i="2"/>
  <c r="B140" i="2"/>
  <c r="B141" i="2"/>
  <c r="B143" i="2"/>
  <c r="B145" i="2"/>
  <c r="B147" i="2"/>
  <c r="B149" i="2"/>
  <c r="B151" i="2"/>
  <c r="B154" i="2"/>
  <c r="B156" i="2"/>
  <c r="B158" i="2"/>
  <c r="B160" i="2"/>
  <c r="B162" i="2"/>
  <c r="B164" i="2"/>
  <c r="B166" i="2"/>
  <c r="B168" i="2"/>
  <c r="B170" i="2"/>
  <c r="B172" i="2"/>
  <c r="B174" i="2"/>
  <c r="B176" i="2"/>
  <c r="B178" i="2"/>
  <c r="B180" i="2"/>
  <c r="B182" i="2"/>
  <c r="B184" i="2"/>
  <c r="B18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<sst xmlns="http://schemas.openxmlformats.org/spreadsheetml/2006/main" count="1853" uniqueCount="336">
  <si>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</si>
  <si>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</si>
  <si>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</si>
  <si>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</si>
  <si>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</si>
  <si>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</si>
  <si>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</si>
  <si>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</si>
  <si>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</si>
  <si>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</si>
  <si>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</si>
  <si>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</si>
  <si>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</si>
  <si>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</si>
  <si>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</si>
  <si>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</si>
  <si>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</si>
  <si>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</si>
  <si>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</si>
  <si>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</si>
  <si>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</si>
  <si>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</si>
  <si>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</si>
  <si>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</si>
  <si>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</si>
  <si>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</si>
  <si>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</si>
  <si>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</si>
  <si>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</si>
  <si>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</si>
  <si>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</si>
  <si>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</si>
  <si>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</si>
  <si>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</si>
  <si>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</si>
  <si>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SSH</t>
  </si>
  <si>
    <t>Enlace Hidalgo2</t>
  </si>
  <si>
    <t>DIFH</t>
  </si>
  <si>
    <t>Ke Buena 106.7 FM</t>
  </si>
  <si>
    <t>Noticias 106.7</t>
  </si>
  <si>
    <t>David Cárdenas</t>
  </si>
  <si>
    <t>OCSAD</t>
  </si>
  <si>
    <t>Alerta Meteorológica</t>
  </si>
  <si>
    <t>Turismo</t>
  </si>
  <si>
    <t>La Poderosa Tuxpan 93.1 FM</t>
  </si>
  <si>
    <t>NN Nuestras Noticias Zona Norte</t>
  </si>
  <si>
    <t>Liz Argüelles</t>
  </si>
  <si>
    <t>Atención Afectaciones Por Lluvias</t>
  </si>
  <si>
    <t>Radio Lobo 96.7 FM</t>
  </si>
  <si>
    <t>Gina Lorenzo</t>
  </si>
  <si>
    <t>Enlace Noticias</t>
  </si>
  <si>
    <t>Rodolfo López</t>
  </si>
  <si>
    <t>Enfoque Regional Matutino</t>
  </si>
  <si>
    <t>Monitoreo De Presas</t>
  </si>
  <si>
    <t>Gobierno del estado</t>
  </si>
  <si>
    <t>Presidencia de la República</t>
  </si>
  <si>
    <t>Alcaldías</t>
  </si>
  <si>
    <t>Prevención De Riesgos</t>
  </si>
  <si>
    <t>Saderh</t>
  </si>
  <si>
    <t>Apoyo Al Agro</t>
  </si>
  <si>
    <t>SEPH</t>
  </si>
  <si>
    <t>TV Cable hidalguense Canal 6</t>
  </si>
  <si>
    <t>Contigo Noticias</t>
  </si>
  <si>
    <t>TV local</t>
  </si>
  <si>
    <t>Ultra 102.9 FM</t>
  </si>
  <si>
    <t>Ultra Noticias1</t>
  </si>
  <si>
    <t>Izza Hernández</t>
  </si>
  <si>
    <t>PGJEH</t>
  </si>
  <si>
    <t>Vía telefónica el reporte de Bombero y Protección Civil con Abner Yáñez informa de las diversas emergencias reportadas por la ciudadanía y que fueron atendidas.</t>
  </si>
  <si>
    <t>Canal del Pueblo</t>
  </si>
  <si>
    <t>Vocales Radio</t>
  </si>
  <si>
    <t>Andrés Torres</t>
  </si>
  <si>
    <t>Radiodifusoras</t>
  </si>
  <si>
    <t>Auxilio a la ciudadanía</t>
  </si>
  <si>
    <t>Entrevista</t>
  </si>
  <si>
    <t>Radioescucha</t>
  </si>
  <si>
    <t>Semot</t>
  </si>
  <si>
    <t>Iniciativa</t>
  </si>
  <si>
    <t>Combate Al Huachicol</t>
  </si>
  <si>
    <t>Impulsa Hidalgo el desarrollo agropecuario con entrega de apoyos por más de 3.3 mdp en Cuautepec de Hinojosa</t>
  </si>
  <si>
    <t>Capacitación</t>
  </si>
  <si>
    <t>Combate a la delincuencia</t>
  </si>
  <si>
    <t>Semarnath</t>
  </si>
  <si>
    <t>Control lirio acuático</t>
  </si>
  <si>
    <t>Hidalgo recibirá siete montajes del XXI Festival de Monólogos Teatro a Una Sola Voz</t>
  </si>
  <si>
    <t>Cultura</t>
  </si>
  <si>
    <t>Festival Cultural</t>
  </si>
  <si>
    <t>El diputado Marco Mendoza presentó una iniciativa ante el Congreso local, que busca que el servicio social sea pagado a estudiantes de todo Hidalgo. «El trabajo no se regala, se valoriza. El servicio social aporta valor real a las instituciones y debe ser justamente remunerado», indicó el legislador priista. Además, dijo que pagar el servicio social es invertir en el futuro profesional de los jóvenes y en la economía del país. Esta iniciativa busca reformar el artículo octavo de la ley del ejercicio profesional para el estado, y establecer que debe entenderse cómo servicio social estudiantil a la actividad relacionada directamente con el perfil académico del prestador, temporal, obligatoria, formativa, remunerada y realizada en beneficio de la sociedad y el estado.</t>
  </si>
  <si>
    <t>Julio Menchaca apuesta por modernización catastral en Hidalgo</t>
  </si>
  <si>
    <t>Modernización catastral</t>
  </si>
  <si>
    <t>SSPH decomisa 26,100 litros de hidrocarburo ilegal en Emiliano Zapata</t>
  </si>
  <si>
    <t>Relleno Sanitario</t>
  </si>
  <si>
    <t>Hacienda</t>
  </si>
  <si>
    <t>Extinción de dominio</t>
  </si>
  <si>
    <t>Localización De Restos</t>
  </si>
  <si>
    <t>Positiva</t>
  </si>
  <si>
    <t>Vialidad En Mal Estado</t>
  </si>
  <si>
    <t>Indicación geográfica</t>
  </si>
  <si>
    <t>Firma De Convenio</t>
  </si>
  <si>
    <t>Más de 2.8 mdp para escuelas de cinco municipios de la Sierra Gorda</t>
  </si>
  <si>
    <t>Entrega De Equipo Escolar</t>
  </si>
  <si>
    <t>La tarde de este jueves, un autobús de pasajeros de la línea Tizayuca estuvo involucrado en un percance vial, donde chocó contra la parte trasera de una camioneta, lo que dejó el saldo preliminar de dos personas lesionadas. De acuerdo a primeros reportes, el incidente ocurrió a la altura del crucero del Libramiento Club Rotario y la Avenida Ejército Mexicano, donde el percance ocurrió por alcance cuando la unidad de pasajeros intentó cruzar el semáforo sin que pudiera lograr evadir la camioneta particular que circulaba sobre la misma zona, quedando ambas unidades averiadas sobre el camino, con el peligro de impactarse con otros automóviles. Tras el choque, dos personas resultaron lesionadas, por lo que al lugar asistieron paramédicos de Protección Civil en una ambulancia, y personal de la Dirección de Tránsito Municipal, con el fin de realizar las diligencias correspondientes y salvaguardar la integridad de los afectados.</t>
  </si>
  <si>
    <t>Accidente autobús</t>
  </si>
  <si>
    <t>Un automóvil particular terminó al interior de un canal de aguas pluviales luego de que su conductor perdiera el control de la unidad sobre el Libramiento de Tizayuca, a la altura de Planta 2. Al lugar acudieron elementos de la Secretaría de Seguridad Ciudadana, en coordinación con personal de Gestión Integral de Riesgos, Protección Civil y Bomberos, quienes verificaron que no había personas lesionadas. El incidente dejó únicamente daños materiales. Las autoridades aseguraron la zona y realizaron las maniobras necesarias para retirar el vehículo y evitar riesgos para otros automovilistas.</t>
  </si>
  <si>
    <t>Una travesía cotidiana para llegar al trabajo terminó en tragedia la mañana de este jueves, luego de que una lancha que transportaba jornaleros se volcara en la presa Fernando Hiriart Balderrama, conocida como presa Zimapán, dejando una mujer fallecida y cuatro personas desaparecidas. El accidente ocurrió a la altura de la comunidad La Sabina, en el municipio de Tecozautla. De acuerdo con los primeros reportes, los ocupantes de la embarcación se dirigían a labores de cosecha de jitomate cuando, por causas aún no determinadas, la lancha sufrió un percance y sus tripulantes cayeron al agua. Las autoridades fueron alertadas alrededor de las 09:00 horas y, al arribar al sitio, tomaron declaración a una de las sobrevivientes, identificada como Sandra G.M., de 33 años de edad, quien informó que el grupo había partido de la comunidad de La Presita, en el estado de Querétaro, con destino a territorio hidalguense. Durante las primeras acciones de búsqueda fue localizada una embarcación blanca con azul y, en su interior, el cuerpo sin vida de Rosalinda M.C., de aproximadamente 24 años. Mientras tanto, continúan desaparecidos Julio M.R., de 33 años; María Eugenia M.R., de 43; Rosa Guadalupe M.R., también de 43 años; y Carlos M.M., de 32 años, todos originarios de Querétaro. La emergencia movilizó a corporaciones de Hidalgo y Querétaro. En el operativo participan elementos de Seguridad Pública de Tecozautla, Policía Estatal, autoridades de Cadereyta y personal de Protección Civil, quienes mantienen recorridos y labores de búsqueda en distintos puntos de la presa. Hasta el cierre de esta edición, las autoridades no habían informado las causas que originaron la volcadura, mientras las tareas para localizar a los desaparecidos continuaban en la zona.</t>
  </si>
  <si>
    <t>Búsqueda de personas</t>
  </si>
  <si>
    <t>La rehabilitación de la imagen urbana del bulevar Luis Donaldo Colosio arrancará en julio con una inversión de 20 millones de pesos como parte de un proyecto que con templa mejoras en la infraestructura peatonal, áreas verdes y la superficie de rodamiento. De acuerdo con el fallo a la licitación pública, emitida por la Secretaría de Infraestructura Pública y Desarrollo Urbano Sostenible (SIPDUS), Grupo Constructor Vadonne SA de CV será el encargado de llevar a cabo los trabajos. Las obras se llevarán a cabo desde la Glorieta 24 Horas hasta el monumento al Bombero, e iniciarán el 2 de julio por lo que se estima que concluyan en noviembre próximo. Entre los trabajos a realizar se encuentra el trazo y nivelación de plazas, andadores, banquetas y pavimentos de más de 20 mil metros cuadrados.</t>
  </si>
  <si>
    <t>Rehabilitación vial</t>
  </si>
  <si>
    <t>La Fiscalía Especializada en Delitos Electorales de Hidalgo informó que durante 2026 mantiene abiertas alrededor de 15 carpetas de investigación por violencia política digital contra mujeres, principalmente presidentas municipales, regidoras y síndicas. La fiscal especializada en Delitos Electorales de Hidalgo, Diana Jeanethe Rodríguez López, informó que la violencia digital se mantiene como una de las principales modalidades de violencia política contra las mujeres en razón de género, al registrar alrededor de 15 carpetas de investigación abiertas durante 2026. La funcionaria recordó que, tras la reforma electoral de 2020, la violencia política contra las mujeres en razón de género quedó tipificada como delito, independientemente de las sanciones que puedan imponerse por la vía administrativa o jurisdiccional. Explicó que este tipo de conductas han mostrado un crecimiento constante, particularmente durante los procesos electorales. Rodríguez López señaló que durante el proceso electoral 2023-2024 se registró un incremento considerable de casos relacionados con violencia política digital. Detalló que gran parte de estas agresiones se manifestaron mediante publicaciones y comentarios en redes sociales dirigidos a desacreditar, intimidar o limitar el ejercicio de los derechos político-electorales de mujeres candidatas. Actualmente, indicó, las principales víctimas son mujeres que ya ocupan cargos públicos, entre ellas presidentas municipales, regidoras y síndicas, quienes continúan siendo objeto de ataques incluso después de asumir funciones. La fiscal explicó que uno de los principales desafíos para las autoridades es identificar a las personas responsables, ya que con frecuencia operan mediante perfiles falsos, cuentas anónimas o páginas vinculadas a determinados municipios. Precisó que el modus operandi más recurrente consiste en difundir contenido ofensivo o desinformación a través de redes sociales para afectar la imagen pública y el desempeño político de las mujeres. Ante esta situación, la Fiscalía realiza patrullajes cibernéticos, análisis digitales y peritajes especializados para rastrear la identidad de quienes se encuentran detrás de estas cuentas.</t>
  </si>
  <si>
    <t>Violencia Política De Género</t>
  </si>
  <si>
    <t>El conductor señalado como presunto responsable del accidente ocurrido el pasado 20 de mayo en el bulevar Minero obtuvo este jueves una modificación en sus medidas cautelares, por lo que podrá continuar su proceso penal en libertad mientras avanzan las investigaciones y los acuerdos de reparación del daño. La determinación fue emitida por un juez durante una audiencia en la que se informó que Julio M.H. ha logrado concretar convenios con algunas de las personas afectadas por el percance, incluido al menos un acuerdo con familiares de una de las víctimas mortales. El caso generó amplia atención pública debido a que el accidente, registrado en la colonia Campo de Tiro, dejó un saldo de dos personas fallecidas y 12 lesionadas. Aunque el imputado dejó la prisión preventiva, la autoridad judicial estableció diversas condiciones para mantener su libertad. Entre ellas se encuentra la obligación de presentarse periódicamente ante las autoridades y cumplir con los compromisos económicos derivados de la reparación del daño. Durante la audiencia también se dio a conocer que aún existen personas lesionadas con las que no se han concluido los acuerdos correspondientes, por lo que el proceso legal permanece en curso.</t>
  </si>
  <si>
    <t>TSJEH</t>
  </si>
  <si>
    <t>Accidente transporte público</t>
  </si>
  <si>
    <t>Habitantes del municipio de Tezontepec de Aldama se manifestaron este miércoles en las oficinas de la Secretaría de Medio Ambiente y Recursos Naturales de Hidalgo (Semarnath) en la capital del estado, para exigir la cancelación definitiva del nuevo basurero regional que se pretende instalar en Tula de Allende. Los inconformes rechazan el proyecto al considerar que su funcionamiento podría contaminar los mantos acuíferos y comprometer la calidad del agua que se extrae del manantial de Cerro Colorado.</t>
  </si>
  <si>
    <t>Ante la importante afluencia de personas que cada semana se concentra en el tradicional tianguis de Tulancingo, autoridades estatales y municipales mantienen un esquema de seguridad coordinado para reforzar la vigilancia en la zona y sus alrededores. El operativo se lleva a cabo los días jueves mediante la participación conjunta de corporaciones policiales de varios municipios de la región, con el objetivo de inhibir conductas delictivas, mantener el orden y brindar condiciones de seguridad tanto a comerciantes como a visitantes. En estas labores intervienen elementos de la Policía Estatal y efectivos de los mandos coordinados de Tulancingo, Acaxochitlán, Agua Blanca, Cuautepec, Metepec y Santiago Tulantepec, quienes realizan patrullajes preventivos y mantienen presencia en puntos de mayor movilidad. De forma paralela, personal del Grupo Táctico de la Secretaría de Seguridad Pública de Hidalgo desarrolla recorridos de supervisión e instala filtros de revisión en distintos sectores regionales, como parte de las estrategias implementadas para fortalecer la prevención del delito. Según lo informado por las autoridades, la colaboración entre las distintas corporaciones permite ampliar el alcance de las acciones de vigilancia y responder con mayor rapidez ante cualquier eventualidad que pudiera registrarse durante el desarrollo de esta actividad comercial, una de las más concurridas del municipio.</t>
  </si>
  <si>
    <t>Prevención del delito</t>
  </si>
  <si>
    <t>Un total de hospitales y clínicas del ISSSTE en Hidalgo fortalecieron sus servicios con la incorporación de nuevos médicos especialistas, como parte de una estrategia para ampliar la cobertura de atención y responder a la creciente demanda de consultas y procedimientos médicos. La medida beneficia a unidades de salud ubicadas en Pachuca, Tulancingo, Huejutla, Ixmiquilpan y Mixquiahuala, donde ya se encuentran laborando profesionales en distintas ramas de la medicina. Entre las especialidades incorporadas destacan cardiología, neumología, angiología, cirugía de tórax, neonatología, oncología quirúrgica, anestesiología, medicina interna, urgencias, geriatría, traumatología y ortopedia, además de ginecología y obstetricia. El mayor número de incorporaciones se registró en el Hospital General “Dra. Columba Rivera Osorio”, considerado una de las principales unidades médicas del instituto en la entidad. Por su parte, la Clínica de Medicina Familiar con Especialidades de Pachuca amplió su capacidad en áreas diagnósticas y de atención para adultos mayores. En las clínicas hospitales de Huejutla e Ixmiquilpan se reforzaron principalmente los servicios de cirugía general, medicina interna y urgencias, mientras que en Tulancingo y Mixquiahuala se integró personal para atender consultas de medicina interna, urgencias y salud de la mujer. Según informó el ISSSTE, la llegada de especialistas permitirá aumentar el número de consultas de alta especialidad y fortalecer la atención en servicios donde habitualmente se concentra una alta demanda de pacientes.</t>
  </si>
  <si>
    <t>Médicos especialistas</t>
  </si>
  <si>
    <t>Con el propósito de reconocer la importancia de los padres dentro del núcleo familiar y destacar su contribución en la formación de valores, el bienestar y el desarrollo de sus hijas e hijos, el Gobierno Municipal de Tulancingo llevará a cabo un festejo especial para los papás del municipio. La administración encabezada por la presidenta municipal Lorena García Cázares invita a los padres de familia a participar en esta celebración, que tendrá lugar el próximo 28 de junio en las instalaciones de la Unidad Deportiva Javier Rojo Gómez. Durante la jornada se desarrollarán diversas actividades deportivas y recreativas, entre ellas encuentros de fútbol soccer, basquetbol y voleibol, diseñados para fomentar la convivencia, la integración y el sano esparcimiento entre las familias tulancinguenses.</t>
  </si>
  <si>
    <t>Día del Padre</t>
  </si>
  <si>
    <t>Gobierno de Hidalgo respalda a migrantes repatriados</t>
  </si>
  <si>
    <t>Bienestar</t>
  </si>
  <si>
    <t>Apoyo A Migrantes</t>
  </si>
  <si>
    <t>Las lluvias registrada de ayer por la tarde llevaron a las autoridades estatales a implementar actividades de monitoreo u vigilancia sobre distintos tramos de la carretera México-Pachuca, particularmente en la zona de Zapotlán con la finalidad de prevenir accidentes y atender cualquier eventualidad provocada por las condiciones climáticas. elementos de la Policía Estatal realizaron recorridos de supervisión apoyados por sistemas de videovigilancia para vigilar el flujo vehicular y detectar de manera oportuna incidentes que pudieran afectar la circulación.</t>
  </si>
  <si>
    <t>Prevención de accidentes</t>
  </si>
  <si>
    <t>La próxima llegada del tren AIFA-Pachuca podría convertirse en un factor clave para el crecimiento económico del sur de Hidalgo, particularmente para el Parque Industrial, Logístico, Comercial y de Servicios PLATAH, considerado uno de los principales polos de desarrollo proyectados en la entidad. De acuerdo con estimaciones de la Unidad de Planeación y Prospectiva de Hidalgo (Uplaph), la nueva infraestructura ferroviaria fortalecerá la conectividad de esta zona industrial ubicada en Villa de Tezontepec, una condición que durante años fue identificada como uno de los principales retos para atraer más empresas e inversiones. Además del impacto en PLATAH, las autoridades prevén beneficios para municipios como Tolcayuca, Zapotlán de Juárez, Villa de Tezontepec y Zempoala, donde se espera una mejora en la movilidad de trabajadores y en la dinámica económica regional. Uno de los argumentos que impulsaron la gestión del proyecto fue la necesidad de ofrecer alternativas de transporte a miles de hidalguenses que diariamente se trasladan hacia la Ciudad de México. Según datos oficiales, más de 150 mil personas realizan estos recorridos de manera constante, enfrentando largos tiempos de traslado. El titular de la Uplaph, Miguel Ángel Tello Vargas, señaló que el tren podría convertirse en el elemento que permita consolidar el potencial logístico de PLATAH, al mejorar las condiciones de conectividad con mercados estratégicos del centro del país. La expectativa también se sustenta en la llegada de nuevas inversiones al estado. Entre ellas destaca el anuncio de una inversión de 2 mil millones de dólares por parte de la empresa canadiense Solar International Core Canada (SICC), proyecto que se suma a la estrategia de atracción de capital impulsada por el gobierno estatal.</t>
  </si>
  <si>
    <t>Tren AIFA</t>
  </si>
  <si>
    <t>La autopista México-Pachuca podría ser objeto de una importante ampliación como parte de los proyectos de infraestructura que buscan mejorar la movilidad entre Hidalgo y el Valle de México, una región que en los últimos años ha registrado un crecimiento sostenido en población, actividad industrial y desarrollo habitacional. El gobernador de Hidalgo, Julio Menchaca Salazar, informó que se encuentra en análisis una propuesta para incrementar la capacidad de esta vía de comunicación, considerada una de las más transitadas del centro del país por el constante flujo de vehículos particulares, transporte público y unidades de carga. De acuerdo con lo adelantado por el mandatario, el proyecto contempla extender los carriles existentes hasta la conexión con el Arco Norte, lo que permitiría mejorar la circulación en uno de los corredores carreteros más importantes para quienes se desplazan diariamente entre Hidalgo y la zona metropolitana de la Ciudad de México. Aunque la obra aún no ha sido anunciada de manera oficial, actualmente se trabaja en la elaboración de los estudios y expedientes técnicos necesarios para determinar su viabilidad, alcances y costos. Una vez concluida esta etapa, podría darse a conocer el proyecto de forma detallada. La propuesta surge en un contexto de crecimiento urbano en municipios del sur de Hidalgo, donde el aumento de fraccionamientos habitacionales, parques industriales y centros logísticos ha generado una mayor demanda de infraestructura vial para reducir tiempos de traslado y mejorar la conectividad regional. Además de la posible ampliación de la autopista, el gobierno estatal continúa impulsando otros proyectos estratégicos vinculados a la movilidad. Entre ellos destaca la extensión del corredor vial Río de las Avenidas, una obra que busca fortalecer el acceso al futuro tren México-Pachuca y facilitar la conexión con zonas de desarrollo industrial. Según lo planteado, esta vialidad se prolongaría desde las inmediaciones del fraccionamiento Los Tuzos hasta el Parque Industrial Platah, en el municipio de Villa de Tezontepec. La ampliación abarcaría entre 20 y 25 kilómetros adicionales, ya que actualmente el corredor concluye en el bulevar Las Torres y hacia el sur únicamente existe un camino de terracería. Ambos proyectos permanecen en fase de planeación técnica; sin embargo, forman parte de las obras que buscan preparar la infraestructura de Hidalgo ante el crecimiento demográfico, la llegada de nuevas inversiones y la futura operación del tren de pasajeros que conectará a Pachuca con la capital del país.</t>
  </si>
  <si>
    <t>Ampliación vial</t>
  </si>
  <si>
    <t>Activistas participarán en una marcha pacífica para defender la protección ambiental del Cerro de Cubitos. Debido a ello, se realizará una marcha pacífica el próximo 19 de junio a las 8:30 horas, partiendo de la entrada principal del Parque Ecológico Cubitos, instalaciones de la Secretaría del Medio Ambiente. De nos ser atendidos amenazan con cerrar el bulevar Colosio.</t>
  </si>
  <si>
    <t>Por cierto que fue sepultada bajo miles de toneladas de silencio mediático, la penosa exposición de directivos y elementos de la unidad antisecuestros , quienes hicieron una fiesta con evidente ingesta de alcohol dentro de instalaciones públicas. ¿No hubo ni siquiera una llamada de atención?</t>
  </si>
  <si>
    <t>Fiesta en oficina pública</t>
  </si>
  <si>
    <t>Hidalgo es una de las últimas entidades en consolidar su Fiscalía General autónoma debido a la complejidad de su transición administrativa, presupuestaria y tecnológica. Más allá de las declaraciones, vertidas por actual encargado del despacho de la Procuraduría General de Justicia, Francisco Fernández Hasbum, respecto a que ya le prometieron que será el primer fiscal de Hidalgo, el proceso requirió múltiples prórrogas legislativas y millonarias inversiones estatales para lograr la independencia plena del Poder Ejecutivo, estimándose su conclusión para julio de 2028. Sumado a la supuesta tenencia de una patente de corso sobre el organismo, Fernández Hasbum es en parte, responsable del retraso administrativo. La transición exige reestructurar la nómina, el servicio profesional de carrera y los reglamentos internos para que la institución deje de depender del gobierno estatal. El Congreso local salió al rescate en ese tema y aprobó prórrogas sucesivas para evitar un colapso operativo en la transición. La transición de Procuraduría a Fiscalía, requiere una modernización profunda de los sistemas de bases de datos para integrar la información histórica de las carpetas de investigación y agilizar la labor de los agentes del Ministerio Público. El cambio necesita una fuerte inyección de recursos—ya fueron invertidos cientos de millones de pesos desde 2023— para habilitar órganos administrativos independientes y una nueva sede, pero, evidentemente, no fue suficiente. Hasta que culmine este proceso, la Procuraduría General de Justicia del Estado de Hidalgo (PGJEH),sigue siendo la encargada oficial de la procuración de justicia en el estado.</t>
  </si>
  <si>
    <t>Transición a Fiscalía</t>
  </si>
  <si>
    <t>Se reporta un accidente en el puente de Las Palomas, por lo que se encuentra cerrado este paso. Tomen precauciones.</t>
  </si>
  <si>
    <t>Accidente Vial</t>
  </si>
  <si>
    <t>Dialoga Segobh con habitantes de El Arenal en mesas de bienestar y paz</t>
  </si>
  <si>
    <t>Mesas de acercamiento</t>
  </si>
  <si>
    <t>Una embarcación volcó en la presa de Zimapán en los límites de Querétaro e Hidalgo y dejó un saldo preliminar de una personas fallecida, una sobreviviente y cuatro trabajadores desaparecidos. La embarcación que transportaba a varios trabajadores se volteó mientras se desplazaba por el cuerpo de agua.</t>
  </si>
  <si>
    <t>Una elemento de la Secretaría de Seguridad Ciudadana (SSC) de Tizayuca, Hidalgo, resultó lesionada luego de ser atacada con un arma blanca mientras realizaba labores de vigilancia en la zona centro del municipio. Fue trasladada a una unidad médica especializada, donde recibió valoración y tratamiento por las lesiones presentadas. Su estado de salud es grave.</t>
  </si>
  <si>
    <t>Agresión A Policía</t>
  </si>
  <si>
    <t>Luego de un reporte, en un lote baldío en una colonia de Tulancingo fueron encontradas varias bolsas plásticas que presuntamente contiene restos humanos, hecho que generó la movilización de elementos de la Policía. al lugar llegó el servicio médico Forense y hasta al momento no se ha confirmado que sean restos humanos. Por estos hechos la Procuraduría General de Justicia abrió la carpeta de investigación correspondiente.</t>
  </si>
  <si>
    <t>Andrés torres comenta que ve difícil que el Vocero Huasteco regrese pronto al aire y que siguen a la espera de que alguien les haga caso y puedan regresar.</t>
  </si>
  <si>
    <t>Ante reportes por olor a hidrocarburo perceptible en algunos municipios del Valle del Mezquital, se informa que unidades municipales de Protección Civil realizan recorridos de verificación en la región. Asimismo, personal de PEMEX se encuentra en ruta para acompañar dichas labores. Hasta el momento, no se tienen indicios de fuga o derrame de hidrocarburo. Se exhorta a la población a mantener la calma, informarse únicamente por medios oficiales y reportar cualquier situación inusual al 911.</t>
  </si>
  <si>
    <t>Llama Edda Vite a combatir desde el hogar la violencia contra la niñez y adolescencia</t>
  </si>
  <si>
    <t>Procuraduría municipal del menor</t>
  </si>
  <si>
    <t>Prevén crecimiento del parque industrial PLATAH con el tren AIFA-Pachuca</t>
  </si>
  <si>
    <t>El día de hoy el gobernador Julio Menchaca estará en Mineral de la Reforma a donde llevara la Ruta de la Transformación e inaugurará un mural a las 11 de la mañana en a Plaza de la Justicia de este municipio.</t>
  </si>
  <si>
    <t>Ruta de la Transformación</t>
  </si>
  <si>
    <t>Locutor Irving Sánchez comentó sobre un video que les comparten a través de redes sociales, en donde un policía de Tulancingo ayuda a una persona de la tercera edad a cruzar la calle, para evitar que se mojara debido al alto nivel de agua que alcanzó el municipio derivado de la tromba que se registró el día de hoy; Irving Sánchez comentó que pocas veces se habla de la policía, aunque estén trabajando, aunque estén apoyando a la ciudadanía, aunque nos den vigilancia y seguridad, muchas veces decimos que es su trabajo y que para esos les pagan, pero en esta ocasión, aunque le estén pagando, de una manera humana y ciudadana, ahí está el policía.</t>
  </si>
  <si>
    <t>Irving Sánchez</t>
  </si>
  <si>
    <t>Locutor Irving Sánchez da lectura a comentario de radioescucha que envía mensaje al presidente de Cuautepec, ya que dijo, prometió a los vecinos de la colonia La Esperanza que les haría la calle Benito Juárez, es una de las calles principales y está muy afectada por las lluvias, ojalá no se le olviden sus promesas.</t>
  </si>
  <si>
    <t>Incumplimiento de obra</t>
  </si>
  <si>
    <t>Con el objetivo de ampliar el acceso a la educación superior en la región, la Universidad para el Bienestar Benito Juárez García (UBBJ) mantiene abierta la convocatoria para ingresar a la Licenciatura en Medicina Integral y Salud Comunitaria en su nueva sede de San Andrés Daboxtha, municipio de Cardonal, Hidalgo, donde se espera la incorporación de al menos 80 estudiantes. El programa educativo invita a quienes cuenten con bachillerato concluido a formar parte de este nuevo proyecto, el cual ofrecerá educación gratuita y de calidad como parte de una iniciativa orientada a impulsar el desarrollo y la transformación social de la región. El periodo de registro permanece abierto desde el pasado 10 de junio y concluirá el próximo 30 de junio, a través de la liga https://ubbj.gob.mx/convocatoria?type_call=AES. La recepción de documentos se llevará a cabo de manera presencial del 6 al 10 de julio. Para ello, las y los aspirantes deberán presentar acta de nacimiento, CURP, certificado de bachillerato, INE o credencial de estudiante, así como una carta de intención en formato libre. Asimismo, la UBBJ exhortó a la población a compartir esta información para que el programa educativo llegue a un mayor número de personas interesadas en continuar sus estudios profesionales.</t>
  </si>
  <si>
    <t>Universidad del Bienestar</t>
  </si>
  <si>
    <t>Entrevista vía telefónica Cmte. Jesús García, director de Protección Civil de Tulancingo - Habló sobre las condiciones en las que se encuentra el municipio de Tulancingo posterior a la tromba presentada el día de hoy, 19 de junio, dijo, el nivel del agua alcanzó a cubrir banquetas de calles del Centro, por lo que ya se trabaja en el retiro de basura de alcantarillas. Pide comprensión y paciencia por parte de la ciudadanía mientras realizan los trabajos de desagüe en el municipio.</t>
  </si>
  <si>
    <t>La mañana de este viernes fueron reanudadas las labores de búsqueda para localizar a tres de las cuatro víctimas desaparecidas ayer dentro de la presa Zimapán, tras haber sufrido un accidente en la lancha en la que viajaban. La tarde de este jueves luego de varias horas de intensas maniobras dentro del embalse, el titular de la Dirección General de la Coordinación Estatal de Protección Civil de Querétaro, Javier Amaya Torres, confirmó la muerte de cuatro personas, indicando que solo uno de los cuerpos había podido ser recuperado. Indicó que sería hasta este día cuando el equipo de brigadistas de corporaciones como Seguridad Pública, Protección Civil y Bomberos de los estados de Hidalgo y Querétaro, retomarían las labores debido a lo complicado de la zona en la que se reportan profundidades de hasta 80 metros. Amaya Torres añadió que cinco tripulantes más lograron salvarse y salir a la superficie luego de que su lancha se hundiera cuando se dirigían a trabajar a unos campos agrícolas en el municipio de Tecozautla. La presa Zimapán se ubica entre los límites de los estados de Hidalgo y Querétaro, con una profundidad promedio de 45 metros, con valores máximos que alcanzan entre 154 y 200 metros en las zonas más ondas de los cañones.</t>
  </si>
  <si>
    <t>Rescate de cuerpo</t>
  </si>
  <si>
    <t>Hidalgo lleva su riqueza artesanal y gastronómica al Estado de México</t>
  </si>
  <si>
    <t>Festival Turístico</t>
  </si>
  <si>
    <t>Entrevista vía telefónica Karla Monserrat Hernández Cerroblanco, presidenta Municipal de Cardonal - Universidad del Bienestar en Cardonal - Habló sobre la Universidad para el Bienestar Benito Juárez García con sede en el Cardonal, la cual ofrece la licenciatura en Medicina Integral y Salud Comunitaria. El campus, formalizado por el Gobierno de Hidalgo y las autoridades federales, se localiza en la comunidad de San Andrés Daboxtha. Informó que el ingreso a la Universidad del Bienestar en Cardonal no requiere examen de admisión, pero exige un registro formal en las fechas establecidas, es decir, del 10 al 30 junio del presente, hasta el momento dijo, se tiene un total del 76 registro. Finalmente, agradeció a las autoridades federales, al gobernador y a los habitantes del municipio, y por el apoyo para que fuera posible la construcción de esta sede. “Invitó a todos los que nos escucha a estudiar, nunca es tarde, a los jóvenes que están por egresar el bachillerato, anímense a estudiar una licenciatura que puede cambiar vidas, familias y comunidades, en Cardonal todos son bienvenidos”, expresó.</t>
  </si>
  <si>
    <t>Entrevista pautada</t>
  </si>
  <si>
    <t>Llama Edda Vite a combatir desde el hogar la violencia contra la niñez y adolescencia.</t>
  </si>
  <si>
    <t>Procuraduría Municipal del Menor</t>
  </si>
  <si>
    <t>Habitantes de Huehuetla esperan que en menos de un mes entre en funcionamiento un puente colgante que construyen con recursos y mano de obra de las propias comunidades. La obra se impulsa mientras continúa el proceso para edificar el puente vehicular a cargo del Gobierno Federal, luego de que la estructura anterior fuera arrastrada por la corriente en octubre pasado a consecuencia de la vaguada monzónica. El dirigente de la Coordinadora Nacional Plan de Ayala, Erasto Tolentino Castro, informó que el miércoles se realizó una reunión con habitantes de la región y diversas autoridades, entre ellas la alcaldesa Yaralen Cortés Mendoza. Durante el encuentro, encabezado junto con vecinos de Zicatlán, San Antonio, Cuautla, San Gregorio y La Esperanza, se presentó la propuesta para construir un puente colgante que permita el paso de las comunidades que suelen quedar incomunicadas en temporada de lluvias. Explicó que, tras las precipitaciones de octubre del año pasado, se construyó un puente provisional en Zicatlán. Sin embargo, cada vez que se registran lluvias intensas la estructura es arrastrada por la corriente. Las precipitaciones más recientes dejaron a varias comunidades incomunicadas durante al menos once días. Ante este panorama y debido a que la construcción del puente vehicular tardará alrededor de siete meses, los habitantes acordaron impulsar un puente colgante peatonal como alternativa temporal. Para ello ya existe un proyecto que se desarrolla de manera coordinada con las áreas de Planeación y Obras Públicas. La primera etapa contempla la construcción de los pilares, mientras que los habitantes aportarán madera, otros materiales y mano de obra para agilizar los trabajos. La expectativa es que la obra quede concluida y en operación en aproximadamente un mes. Con ello se descartaría el uso de lanchas, una opción que también había sido planteada. Actualmente, ante la falta de acceso, algunas personas deben cruzar el río sujetándose de cuerdas. Tolentino Castro añadió que durante la reunión se establecieron los acuerdos necesarios para concretar el puente colgante peatonal, considerado por los habitantes como la mejor alternativa mientras concluye la obra definitiva. El inicio de ese proyecto se retrasó durante varios meses debido a que el gobierno sostuvo que se encontraba en proceso de licitación.</t>
  </si>
  <si>
    <t>Falta de puente</t>
  </si>
  <si>
    <t>Un total de 4 personas que perdieron la vida ahogados y 5 más que fueron rescatados fue el saldo de la volcadura de una lancha taxi en la presa de Zimapán en la comunidad de Loma Bonita, municipio de Cadereyta de Montes en el semi desierto queretano y los límites con el Estado de Hidalgo.</t>
  </si>
  <si>
    <t>Estudiantes de la secundaria federal “Tierra y Libertad”, fueron evacuados por la grave contaminación que genera una planta productora de asfalto, instalada a unos 300 metros de distancia del plantel donde asisten 580 alumnos. La determinación que tomaron los directivos del plantel, fue debido a que los gases y demás contaminantes que estaban llegando a las instalaciones de esta escuela, estaban ocasionando a los cientos de estudiantes, signos de intoxicación e irritación en los ojos. El director de la escuela secundaria, al tener contacto con personal de la alcaldía de Emiliano Zapata, les había solicitado que esta planta productora de asfalto, no efectuara sus trabajos durante las horas que los alumnos asisten a clases, lo cual fue ignorado por quienes operan esta planta. Por su parte personal de presidencia municipal de Emiliano Zapata, encabezados por el director de Reglamentos y Espectáculos, así como de Ecología del municipio, señalaron que en días pasados ya había llegado a un acuerdo con los encargados de esta empresa la cual realiza mezcla de asfalto y demás componentes, los cuales supuestamente iban a trabajar después de las 14:00 horas, cuando los alumnos ya hubieran salido de clases, lo cual no fue respetado. Ambos funcionarios municipales, al tener conocimiento de esta situación, acudieron a la citada empresa, para levantar una sanción por no respetar un acuerdo entre la alcaldía y esta empresa, y que pone en riesgo la vida y la salud de cientos de estudiantes que acuden a este colegio.</t>
  </si>
  <si>
    <t>Evacuación de escuela</t>
  </si>
  <si>
    <t>A tres años de su declaratoria como Zona de Monumentos Arqueológicos, Huapalcalco entra en una nueva etapa de fortalecimiento cultural en la que deja de ser solo un sitio histórico para consolidarse como un espacio activo de aprendizaje, identidad y participación comunitaria. En Tulancingo, el sitio arqueológico se ha convertido en el eje de un programa permanente impulsado por el Gobierno Municipal a través de la Secretaría de Cultura, Educación, Deporte y Juventud, con el objetivo de acercar el patrimonio a la población y fomentar su apropiación social. Las acciones se desarrollan en coordinación con el Instituto Nacional de Antropología e Historia (INAH), delegación Hidalgo, así como con la Dirección General de Patrimonio Cultural de la Secretaría de Cultura estatal, lo que ha permitido reforzar una estrategia conjunta de conservación y difusión. Más allá de su valor turístico, Huapalcalco se trabaja como un espacio educativo. Entre las actividades destacan visitas guiadas, recorridos escolares y programas de concientización dirigidos principalmente a niñas, niños y jóvenes, con dinámicas que buscan explicar el valor del patrimonio cultural desde una experiencia directa. Las escuelas pueden acceder a estas actividades de manera gratuita, incluso dentro de sus propios planteles, además de recorridos organizados mediante el Tulanbús, que facilita el traslado al sitio. Durante las jornadas formativas, los estudiantes conocen elementos clave del sitio como el basamento principal, las pinturas rupestres y actividades complementarias como rallies culturales en la Biblioteca de Huapalcalco, que buscan hacer más interactivo el aprendizaje.</t>
  </si>
  <si>
    <t>Zona Arqueológica</t>
  </si>
  <si>
    <t>En la agenda del día de hoy, se tienen previstas las rutas de la transformación en el municipio de Mineral de la Reforma, junto con la inauguración de un mural en la Plaza de la Justicia en Pachuca con la presencia del gobernador Julio Menchaca.</t>
  </si>
  <si>
    <t>El gobernador Julio Menchaca invitó a través de sus redes sociales a la inauguración de Ciudad Deportiva que se realizará el día de mañana. (AUDIO JMS).</t>
  </si>
  <si>
    <t>Ciudad Deportiva</t>
  </si>
  <si>
    <t>En su colaboración semanal, Gustavo Rosales informó que, el día de mañana, 20 de junio, se dará la apertura de la Ciudad Deportiva, las actividades arrancan con la carrera atlética de 10 kilómetros, además de las más de 40 actividades deportivas que se podrán realizar. “Celebro que hay deporte en Hidalgo y más una exhibición como la que habrá el día de mañana”, expresó.</t>
  </si>
  <si>
    <t>Ciudad deportiva</t>
  </si>
  <si>
    <t>Inversión al deporte rompe récord en Hidalgo (AUDIO OPR).</t>
  </si>
  <si>
    <t>Impulso al deporte</t>
  </si>
  <si>
    <t>Enfoque Regional Meridiano</t>
  </si>
  <si>
    <t>Jesús González</t>
  </si>
  <si>
    <t>El presidente municipal de Tula, Cristhian Martínez Reséndiz, habló sobre la situación que se vive en torno al nuevo relleno sanitario de Tula, después de algunas solicitudes que realizaron ejidatarios del municipio de Tezontepec de Aldama, AUDIO APOYO</t>
  </si>
  <si>
    <t>Hidalgo lleva su riqueza artesanal y gastronómica al Estado de México, AUDIO APOYO</t>
  </si>
  <si>
    <t>El gobernador de Hidalgo, Julio Menchaca Salazar, a través de sus redes sociales, acompañado del oficial mayor Orlando Ángeles Pérez, hizo una invitación para actividades que se van a llevar a cabo mañana sábado 20 de junio , entre ellas la carrera Activa Tu Potencial, Ciudad Deportiva de Alto Rendimiento AUDIO VIDEO</t>
  </si>
  <si>
    <t>Oficialía Mayor</t>
  </si>
  <si>
    <t>Inversión al deporte rompe récord en Hidalgo, AUDIO APOYO</t>
  </si>
  <si>
    <t>Vía telefónica Karla Monserrat Hernández Cerroblanco, presidenta Municipal de Cardonal - Universidad del Bienestar en Cardonal. Comentó que esta muy agradecida con el gobernador Julio Menchaca Salazar y sobre todo a la presidenta Claudia Sheinbaum Pardo, gracias a la vinculación que hay entre las autoridades federales, estatales y municipales, tenemos el honor de invitarles a que se inscriban en la nueva Universidad del Bienestar Benito Juárez en la comunidad de San Andrés Daboxtha , municipio de Cardonal.Las inscripciones están abiertas desde el día 10 de junio al 30 de junio para recibir los documentos, es una universidad que tiene muchos beneficios en derrama economica, educativos, todos lo jovenes contaran con un apoyo economico por parte de Gobierno Federal.</t>
  </si>
  <si>
    <t>Pobladores de San Cristóbal, perteneciente al municipio de Cardonal, tomaron las instalaciones de la Comisión Federal de Electricidad en Ixmiquilpan. Los usuarios denunciaron cobros excesivos en el servicio eléctrico. Durante la protesta exigieron borrón y cuenta nueva y una tarifa social justa. AUDIO APOYO</t>
  </si>
  <si>
    <t>Cobros excesivos</t>
  </si>
  <si>
    <t>La Unidad de Planeación y Prospectiva de Hidalgo inició en Zapotlán de Juárez la actualización del Plan Municipal de Desarrollo 26-27 con el objetivo de ordenar el crecimiento del municipio y atender de manera anticipada las necesidades de la población. Durante la cuarta sesión del COPLADEM, el secretario de Planeación, Miguel Ángel Tello Vargas, destacó que Zapotlán es uno de los municipios con mayor potencial de crecimiento en Hidalgo rumbo al 2040, al recordar que en poco más de una década su población pasó de 12 mil a 24 mil habitantes.Además, resaltó que el apoyo de desarrollo económico para el bienestar en reserva a Zapotlán representa una oportunidad para consolidar a la región como un punto estratégico para la industria médica y farmacéutica. AUDIO DE APOYO.</t>
  </si>
  <si>
    <t>COPLADEM</t>
  </si>
  <si>
    <t>El gobierno de Hidalgo destinará un millón doscientos cincuenta mil pesos para apoyar a cien personas deportadas y repatriadas de veintidós municipios a través del programa Apoyo a Personas Deportadas y Repatriadas de la SEBISO. El apoyo económico es hasta doce mil quinientos pesos por beneficiario, con el propósito de facilitar su reintegración social y económica, ya sea mediante el impulso de un emprendimiento o como respaldo mientras encuentran una fuente de ingresos. El director de atención al migrante, Manuel Aranda Montero, informó que los municipios con mayor número de beneficiarios son Pisaflores, La Misión, Chapulhuacán, Tecozautla y Tasquillo, localidades con alta tradición migratoria hacia Estados Unidos.Con esta estrategia, el gobierno estatal busca disminuir los efectos de la migración forzada y fortalecer las oportunidades de desarrollo para quienes regresen a sus comunidades de origen.</t>
  </si>
  <si>
    <t>En Hidalgo se fortalece la protección de la niñez. La presidenta del patronato del DIF estatal, Edda Vite Ramos, tomó protesta a los equipos multidisciplinarios que integran la Red de Protección de Niñas, Niños y Adolescentes en Zacualtipán de Ángeles, San Agustín, Mezquititlán y Atotonilco “El Grande”. Durante el acto advirtió que los casos de violencia contra menores han aumentado en un ochenta y cinco por ciento, por lo que llamó a autoridades y sociedad a construir entornos seguros desde el hogar. En Zacualtipán, destacó que los centros de asistencia social deben ser la última alternativa y reiteró que el DIF Hidalgo mantendrá la capacitación permanente a las procuradurías municipales para brindar atención oportuna, evitar revictimización y garantizar la restitución de derechos de la niñez hidalguense. Durante una gira de trabajo por Chapulhuacán, Pisaflores, La Misión, Jacala, y Nicolás Flores.</t>
  </si>
  <si>
    <t>La administración estatal ha destinado más de 515 millones de pesos al fortalecimiento de la infraestructura deportiva en Hidalgo. También se fortalecen escuelas de iniciación deportiva para niñas, niños y jóvenes. Mientras que para 2026 se prevé la participación de hasta 600 atletas hidalguenses en la Olimpiada Nacional. Asimismo anunció la rehabilitación del gimnasio Miguel Alemán, el Estadio Revolución y la Casa del Deportista en Pachuca. AUDIO DE APOYO</t>
  </si>
  <si>
    <t>La Secretaría de Turismo y el municipio de Acaxochitlán, presentaron Turcomuni, la primera plataforma digital internacional especializada en turismo comunitario. Esta herramienta fue dada a conocer como una alternativa para impulsar la promoción de experiencias turísticas gestionadas por las propias comunidades y ampliar su alcance hacia nuevos mercados nacionales e internacionales.</t>
  </si>
  <si>
    <t>Turismo Comunitario</t>
  </si>
  <si>
    <t>Este fin de semana, se llevará a cabo el primer festival del Chile Rayado en el municipio de la Misión Hidalgo del 18 al 20 de junio, donde se unirá su gastronomía, tradiciones y cultura para impulsar su economía local. El Chile Rayado requiere condiciones específicas de siembra, altura, suelo, clima y un proceso de ahumado que le da sabor único como un producto representativo de la región de la Sierra Gorda en Hidalgo. Imagínense este fin de semana comerse una carnita de puerco con chile rayado y tomate. AUDIO DE APOYO.</t>
  </si>
  <si>
    <t>Hidalgo lleva su riqueza cultural y gastronómica al Festival Turístico Nacional Ecatepec, Tierra de Encuentro y Raíces dos mil veintiséis, que se realiza este fin de semana del 18 al 21 de junio en el Estado de México. Como parte de la estrategia del gobernador Julio Menchaca Salazar para fortalecer el turismo y la identidad estatal, nueve artesanas y artesanos de municipios como Pachuca, Tenango de Doria, Actopan, Tula y Tulancingo exhiben y comercializan sus productos. Además, la gastronomía hidalguense está representada por seis municipios.La secretaria de Turismo, Elizabeth Quintanar Gómez, destacó que este encuentro permite promover las tradiciones, impulsar las ventas de las familias artesanas y fortalecer los lazos culturales y turísticos entre Hidalgo y el Estado de México. AUDIO DE APOYO</t>
  </si>
  <si>
    <t>Si su acta de nacimiento tiene errores, ya no será necesario acudir al lugar donde fue registrada, el trámite podrá realizarse en línea a partir del próximo 22 de junio, de lunes, así le informó José Antonio Peña Merino, Secretario de la Agencia de Transformación Digital y Telecomunicaciones. AUDIO DE APOYO</t>
  </si>
  <si>
    <t>Registro Familiar</t>
  </si>
  <si>
    <t>La llegada del tren AIFA Pachuca perfilará un nuevo impulso para el desarrollo industrial de Hidalgo. La Unidad de Planeación y Prospectiva del Estado prevé que el Parque Industrial Plata en Villa de Tezontepec registre un mayor crecimiento gracias a la conectividad que ofrecerán este sistema ferroviario.La dependencia estima que municipios como Tolcayuca, Zapotlán, Zempoala y la zona metropolitana de Pachuca también se va a ver beneficiada con mayor dinamismo económico y social. Su titular, Miguel Ángel Tello, afirmó que Plata requería un modelo de conectividad que garantizara su rentabilidad, condición que dijo será cubierta con el tren. Además destacó que nuevas inversiones, como la anunciada por la empresa canadiense SICC por dos mil millones de dólares, fortalecen la expectativa de consolidar a Hidalgo como un polo industrial estratégico a nivel nacional.La Secretaría de Medio Ambiente y Recursos Naturales de Hidalgo informó que sigue vigente la estrategia de acopio de prendas de mezclilla y algodón. Bajo el lema “Hidalgo juega limpio”, la cual culminará el próximo 8 de agosto. AUDIO DE APOYO.</t>
  </si>
  <si>
    <t>El Sistema Especial de Vigilancia Epidemiológica confirmó que el estado de Hidalgo acumula un total de 14 casos de gusano barrenador en humanos, detectado recientemente el contagio de un adolescente de 15 años originario del municipio de Tepehuacán de Guerrero. Las autoridades sanitarias precisaron que cuatro pacientes originarios de Santiago de Anaya, Huichapan, Chapantongo y Tepehuacán se encuentran bajo estricta observación y seguimiento médico continuo. Afortunadamente nueve personas ya recibieron el alta médica tras superar con éxito el tratamiento en municipios como Tlaxcoapan, Tenango de Doria y Zapotlán, mientras que un deceso notificado fue por causas ajenas a la infección. Las brigadas médicas mantienen el monitoreo en territorio para frenar la propagación de esta larva.</t>
  </si>
  <si>
    <t>Gusano barrenador</t>
  </si>
  <si>
    <t>Ayer los grupos de WhatsApp empezaron pues a llenarse de información sobre un olor a hidrocarburo en la región del Valle del Mezquital. Hubo preocupación, varios ciudadanos expresaron su preocupación, sobre todo las autoridades municipales de cada municipio, por este olor a hidrocarburo. Las autoridades de Protección Civil pues mantienen acciones de verificación ante estos reportes de olor a combustible percibidos la noche de ayer jueves en la región del Valle del Mezquital.Protección civil de Mixquiahuala informó que el olor fue detectado en diversas comunidades de ese municipio y algunas localidades vecinas, mientras que el Ayuntamiento de El Arenal señaló que la Subsecretaría de Protección Civil y Gestión de Riesgos del Estado realiza recorridos e investigaciones para determinar el origen de este fenómeno. Hasta el momento, las autoridades precisaron que no existe información oficial que indique riesgos para la población, pero como medida preventiva, recomendaron mantener puertas y ventanas cerradas, permanecer atentos a los comunicados oficiales y evitar difundir información no verificada. Se espera que en las próximas horas, en estos recorridos que hace la Subsecretaría de Protección Civil con personal de Pemex, pues se puedan emitir nuevos reportes sobre esta situación.</t>
  </si>
  <si>
    <t>Acir 92.5 FM</t>
  </si>
  <si>
    <t>Panorama Informativo Pachuca</t>
  </si>
  <si>
    <t>Radioescucha Sr. Juan reporta que los semáforos de Prismas y Nuevo Hidalgo con dirección a Tulipanes, ya que no funcionan bien</t>
  </si>
  <si>
    <t>Radioescucha reportando nuevamente que en Fraccionamiento Virreyes muchos baches y son un peligro, que el señor Medecigo nos ponga tantita atención</t>
  </si>
  <si>
    <t>Radioescucha reporta que en la calle de Jaime Nunó, entre Av. Revolución y Vicente Segura, tiene muchos baches; ya se reportó varias ocasiones y no arreglan nada.</t>
  </si>
  <si>
    <t>Radioescucha reporta fuga de agua en Fraccionamiento Valle del Palmar</t>
  </si>
  <si>
    <t>Fuga De Agua</t>
  </si>
  <si>
    <t>Radioescucha comenta: “Disculpe mi ignorancia, pero quisiéramos saber por qué se llevará a cabo la manifestación pacífica en defensa de la protección ambiental del Cerro de Cubitos”. Comentó el conductor que es porque quieren hacer desarrollos urbanos y ellos se oponen a eso para proteger esta zona importante.</t>
  </si>
  <si>
    <t>Proyecto de urbanización</t>
  </si>
  <si>
    <t>Hoy viernes se llevara acabo una manifestación pacifica marcha en defensa a la protección ambiental del Cerro de Cubitos</t>
  </si>
  <si>
    <t>Eulalio Larrieta</t>
  </si>
  <si>
    <t>Vía telefónica Subdelegada Médica Consuelo Cabrera,con el tema campañas solidarias de recolección de pulpitos tejidos a crochet para los bebés prematuros de la Unidad de Cuidados Intensivos Neonatales (UCIN).</t>
  </si>
  <si>
    <t>Terapia neonatal</t>
  </si>
  <si>
    <t>La diputada Guadalupe Cruz Montaño presentó una iniciativa para reformar el Código Penal del Estado de Hidalgo e incorporar el delito de abandono de personas adultas mayores, con el propósito de sancionar a quienes incumplan con su obligación de cuidado hacia este sector de la población.La legisladora argumentó que las personas adultas mayores enfrentan diversas formas de violencia, entre ellas fraude, extorsión, despojo patrimonial, abandono y omisión de cuidados, por lo que consideró necesario fortalecer el marco legal para garantizar la protección efectiva de sus derechos humanos.La propuesta plantea reformar el artículo 160 y adicionar el artículo 160 Bis al Código Penal estatal para crear un tipo penal especializado que atienda las condiciones de vulnerabilidad que enfrentan las personas adultas mayores.</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</si>
  <si>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</si>
  <si>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</si>
  <si>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</si>
  <si>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</si>
  <si>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Atención a la ciudadanía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</si>
  <si>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</si>
  <si>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</si>
  <si>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</si>
  <si>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TV del Mezquital</t>
  </si>
  <si>
    <t>https://www.youtube.com/watch?v=n-nTOJw7B6g</t>
  </si>
  <si>
    <t>Oscar Reséndiz</t>
  </si>
  <si>
    <t>De acuerdo con el pronóstico del clima del sistema estatal de protección civil de Hidalgo, se esperan lluvias de 25 a 50 mm en regiones del norte y oeste de Hidalgo, además de altas temperaturas en la zona norte y rachas de viento de hasta 40 km por hora. Hay que evitar cruzar corrientes de agua, mantenerse hidratados, realizar actividades al aire libre durante las primeras horas del día y asegurar objetos que puedan desprenderse.</t>
  </si>
  <si>
    <t>Productores de distintas regiones de Hidalgo recibieron apoyos agrícolas y acuícolas por más de 3.2 millones de pesos como parte del programa para dignificar y transformar el campo hidaliense. La entrega se realizó en Tula de Allende y benefició a 664 productoras y productores El secretario de Agricultura y Desarrollo Rural Napoleón González Pérez informó que se distribuyeron análisis de suelo, semillas de avena maíz, jitomate y cebada, además de mochilas fumigadoras desbrozadoras, plantas frutales y 800.000 crías de carpa y tilapia para fortalecer la actividad pesquera Los apoyos llegaron a municipios como Tula Tepeji del Río, Titalaquia, Tepetitlán, Mixquiahuala Tlaxcoapan, Tetepango y Tlagolilpan Autoridades estatales señalaron que estas acciones buscan incrementar la productividad, mejorar la rentabilidad del campo y generar mayores oportunidades para las familias hidalguenses Por eso el gobernador Jorge para poder lograr la transformación que se requiere.</t>
  </si>
  <si>
    <t>Como resultado de una operación coordinada entre autoridades federales y estatales,fue asegurado en el municipio de Tulancingo, un hombre de 31 años identificado como líder de una organización delictiva, con operaciones en la Ciudad de México y objetivo prioritario para las autoridades de esta entidad federativa.La acción fue posible gracias al trabajo conjunto de la Secretaría de Seguridad y Protección Ciudadana, el Centro Nacional de Inteligencia, la Secretaría de Seguridad Ciudadana de Ciudad de México, la Fiscalía General de Justicia de la Ciudad de México y la Secretaría de Seguridad Pública de Hidalgo. La detención se llevó a cabo en un balneario ubicado sobre la carretera Tulancingo-Metepec.Durante la intervención, al individuo le fueron aseguradas diversas dosis de presunta droga. De acuerdo con las investigaciones, el sujeto cuenta con antecedentes relacionados con los delitos de homicidio y feminicidio, además de ser señalado por su probable participación en actividades de robo a transportistas y distribución de narcóticos.</t>
  </si>
  <si>
    <t>Aprehensión</t>
  </si>
  <si>
    <t>En Actopan, elementos de la Dirección de Seguridad Pública y Tránsito Municipal, frustraron este domingo el robo de una camioneta tras detectar una actitud sospechosa durante un recorrido de vigilancia preventiva.Los hechos ocurrieron alrededor de la una de la tarde cuando policías observaron a un hombre a bordo de una pick-up verde que mostró nerviosismo al notar la presencia de la patrulla. El sujeto descendió del vehículo y oyó a pie dejando la unidad encendida. Los oficiales iniciaron una persecución pero el presunto robo responsable logró escapar con dirección al Mercado 8 de Julio.Minutos más tarde arribó el propietario de la camioneta vecino del área trenal quien acreditó la propiedad y recuperó su unidad.</t>
  </si>
  <si>
    <t>Asalto frustrado</t>
  </si>
  <si>
    <t>Eulalio Larrieta agradece a Lic. Sarahi Pineda, por estar atentas a los mensajes de la ciudadanía y por atenderlos.</t>
  </si>
  <si>
    <t>Radiescucha Ricardo manda audio y agradece al ayuntamiento de Pachuca, por darle atención a su reporte y por el apoyo a pavimentar las calles en Bosques del Peñar</t>
  </si>
  <si>
    <t>Radioescucha agradece a los bomberos por el apoyo que dieron el fin de semana en la colonia Doctores, ya que alguien vertió gas al drenaje; tenían un olor insoportable. Pudieron hacer lo prudente y dieron asesoría a todos los vecinos.</t>
  </si>
  <si>
    <t>En representación del Secretario de Educación Pública de Hidalgo, Natividad Castrejón, Director General del IHE, la Subsecretaria y Coordinadora General de Educación Básica, Nancy Adriana León Vite, señaló que este tipo de ejercicios forman parte de las acciones encaminadas a consolidar procesos educativos con enfoque humanista y de atención integral para la comunidad estudiantil</t>
  </si>
  <si>
    <t>En la misma conferencia el oficial mayor del gobierno de Hidalgo, Orlando Ángeles Pérez, detalló la ampliación de los recursos destinados a la rehabilitación de la ciudad deportiva de alto rendimiento. Durante su intervención destacó la distribución de esta inversión histórica en los distintos espacios que conforman el complejo ubicado en Pachuca, a un costado del aeropuerto Juan Guillermo Villasan, AUDIO APOYO</t>
  </si>
  <si>
    <t>En este evento participo Oscar Pérez, director general del Instituto Hidalguense del Deporte, quien aseguró que este nuevo complejo permitirá fortalecer el desarrollo deportivo en la entidad y generar mejores condiciones para la formación de atletas de alto nivel.”Agradecer al señor gobernador Julio Menchaca Salazar por creer en el deporte, por esta iniciativa que ha plasmado y hoy esos sueños se han hecho realidad para todos los atletas, para toda la gente, para toda la sociedad hidalguense “, AUDIO APOYO</t>
  </si>
  <si>
    <t>Durante el acto inaugural el gobernador Julio Menchaca Salazar destacó que el fortalecimiento del deporte y la cultura forma parte de las estrategias de desarrollo de la entidad. El nuevo complejo deportivo cuenta con instalaciones para la práctica de 29 disciplinas, AUDIO APOYO</t>
  </si>
  <si>
    <t>Con una inversion superior a los 522 millones de pesos, el gobierno de Hidalgo, puso en marcha la Ciudad Deportiva de Alto Rendimiento y la Villa Deportiva un complejo diseñado para ampliar la capacidad de atención para atletas y fomentar la practica deportiva en distintas disciplinas, AUDIO APOYO DE LOS CÍRCULOS DE DIÁLOGO QUE SE PRESENTÓ EN LA MAÑANA DE HOY, EN ESTA CONFERENCIA DE PRENSA QUE LLEVA A CABO EL GOBIERNO DE HIDALGO</t>
  </si>
  <si>
    <t>Ojalá que sea bien aprovechada estas instalaciones, sobre todo por los ciudadanos de la zona metropolitana de Pachuca y algunos atletas que seguramente viajarán de regiones como el Valle del Mezquital, ya para tener instalaciones dignas y poder competir en niveles más competitivos, semiprofesionales o profesionales. Seguramente estas instalaciones servirán para incrementar el nivel y la competitividad de los deportistas hidalienses</t>
  </si>
  <si>
    <t>Hay una inversión que está realizando el gobernador Julio Menchaca Salazar, una inversión superior a los 529 millones de pesos para la Ciudad Deportiva de Alto Rendimiento y la Villa Deportiva de Hidalgo, complejos que buscan fortalecer el deporte como herramienta de bienestar y desarrollo social. El mandatario hidaliense destacó que el crecimiento de la entidad también se sustenta en la cultura y el deporte mediante espacios modernos, incluyentes y accesibles. La potencia de nuestra entidad no solamente es el desarrollo económico, es la obra pública, sino la cultura y el deporte.Esta nueva infraestructura que ya inauguró el gobernador cuenta con instalaciones para 29 disciplinas, alberca semiolímpica, gimnasio, área para deporte adaptado, ciclopistas, servicios médicos y alojamiento para atletas visitantes. De recreación y de poder estar en armonía con la familia, porque las 29 disciplinas que aquí se pueden practicar tienen ese don, mientras algunos de la familia están jugando fútbol, otros pádel, otros tenis, otros básquetbol, softball, en fin, todas las instalaciones para el disfrute de las y los hidalienses. Durante la jornada, Menchaca Salazar premió a los ganadores de la carrera Activa tu potencial 10K y al equipo femenil de Atitalaquia, campeón del torneo internacional Mujeres Libres</t>
  </si>
  <si>
    <t>Secretaría de Seguridad Pública de Hidalgo informó la detención de cuatro personas entre ellas un menor de edad presuntamente vinculadas con actividades ilícitas en Tezontepec de Aldama tras una denuncia recibida al 089.El operativo se realizó en la colonia Los Tepetates donde policías estatales y del mando coordinado interceptaron una camioneta cuyos ocupantes intentaron huir al notar la presencia de las autoridades. Durante la revisión preventiva los agentes aseguraron un arma de fuego corta abastecida 373 dosis de presunta marihuana y cristal además de tres teléfonos celulares y en el vehículo en el que viajaban también fue asegurado. Los detenidos y los objetos decomisados fueron puestos a disposición de la autoridad competente quien va a definir su situación jurídica conforme a la ley.</t>
  </si>
  <si>
    <t>En un encuentro con los representantes de medios de comunicación,el gobernador de Hidalgo, Julio Menchaca Salazar, se le cuestionó sobre los trabajos en la presa Endo. “. Recientemente el arquitecto mencionaba que las máquinas que están haciendo la limpieza en la presa Endo pararon por falta de combustible, no sé si tengan alguna información al respecto, que es lo que está pasando, incluso porque recuerda que también el funcionario de Penex había mencionado que se iban a reactivar los combustibles”</t>
  </si>
  <si>
    <t>En Tula un joven fue asesinado a balazos la noche del sábado durante la feria de la colonia Tultengo. De acuerdo con reportes la víctima fue identificada como David originario de la misma colonia. Testigos señalaron que un sujeto le disparó en dos ocasiones en la cabeza y posteriormente huyó entre la multitud.</t>
  </si>
  <si>
    <t>Ejecuciones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</si>
  <si>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 AUDIO APOYO</t>
  </si>
  <si>
    <t>Enfrentamiento con policías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</si>
  <si>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t>
  </si>
  <si>
    <t>Radioescucha Pedro Nieto reporta fuga de agua en calle Sor Juana Inés de la Cruz en Barrio San Clemente; lleva desde el día sábado.</t>
  </si>
  <si>
    <t>Le preguntamos al Secretario de Agricultura y Desarrollo Rural de Hidalgo Napoleón González Pérez, cómo se encuentra el tema del gusano barrenador aquí en Hidalgo. “ Hoy estamos alrededor de un 80% de los casos atendidos bien y el otro 20% se está atendiendo, entonces se está trabajando “AUDIO APOYO</t>
  </si>
  <si>
    <t>Con el propósito de preservar las tradiciones y promover la riqueza gastronómica de Hidalgo, concluyó en la misión el primer Festival del Chile Rayado 2026, evento que reunió a más de 70 expositores, entre productores, artesanos y agricultores.En representación del gobernador Julio Menchaca, la secretaria de Turismo, Elizabeth Quintanar, destacó que el Chile Rayado de la Sierra Gorda Hidalguense cuenta ya con la Indicación Geográfica Protegida, reconocimiento que permitirá fortalecer su promoción a nivel nacional e internacional. Nos encontramos en la misión y estamos muy felices porque el gobernador del estado compartió con todo mundo la denominación de origen del Chile Rayado. Este municipio, toda la región, sus comunidades y sus productores lo muestran al mundo de manera orgullosa.</t>
  </si>
  <si>
    <t>Premia SEPH a ganadores de la Olimpiada Hidalguense de Informática 2026</t>
  </si>
  <si>
    <t>Justa Académica</t>
  </si>
  <si>
    <t>La Secretaría de Educación Pública de Hidalgo reconoció a las y los ganadores de la Olimpíada Hidalguense de Informática 2026 en la que participaron más de 2.000 estudiantes de primaria, secundaria y bachillerato de todo el estado En esta segunda edición concursaron alumnos de 284 planteles educativos y fueron premiados 36 estudiantes con medallas y reconocimientos en distintas categorías Autoridades educativas destacaron que este certamen impulsa el reconocimiento de los alumnos, el esfuerzo su empeño para salir adelante y además sus cualidades en racionamiento lógico, la programación y el desarrollo de talento En áreas estratégicas para el futuro de Hidalgo como parte de las acciones para fortalecer la formación académica de niñas, niños y jóvenes</t>
  </si>
  <si>
    <t>Habitantes del municipio de Cuautepec de Hinojosa denunciaron presuntas malas prácticas en las oficinas de la Comisión Federal de Electricidad ubicadas en la zona centro de la demarcación a través de diversos videos difundidos en plataformas digitales los usuarios señalan que personal de la dependencia mantiene una actitud presuntamente déspota y grosera hacia quienes acuden a realizar trámites además de hacerlos esperar durante varias horas para ser atendidos</t>
  </si>
  <si>
    <t>Mal Desempeño</t>
  </si>
  <si>
    <t>Hoy muchas presas están al 100%, las menos están al 90%, y también merecen una atención especial de Protección Civil de Conagua. Entonces, hoy tiene mucho trabajo Protección Civil, pero sí están atentos a todas estas preocupaciones de la población.</t>
  </si>
  <si>
    <t>Comenta conductor Jesús Gonzalez que Hidalgo ya está pidiendo ser sede de la Olimpiada Nacional, en esta participan todos los estados, vienen jóvenes de distintas escuelas.</t>
  </si>
  <si>
    <t>Nacionales Conade</t>
  </si>
  <si>
    <t>El Instituto Tecnológico Superior de Huichapan abrió la convocatoria de ingreso a la nueva maestría en Desarrollo Regional e Innovación Tecnológica dirigida a profesionistas interesados en impulsar proyectos con impacto económico, social y tecnológico en sus comunidades Este posgrado contempla líneas de estudio en Desarrollo Regional Sostenible e Industria 4.0 con temas como Energías Renovables, Agricultura Sustentable Inteligencia Artificial, Emprendimiento y Soberanía Alimentaria La recepción de solicitudes permanecerá abierta hasta el 30 de julio, mientras que las clases de la primera generación iniciarán el 15 de agosto en modalidad de fin de semana, facilitando la participación de personas que ya se encuentran en el mercado laboral Informes y registros están disponibles a través de la Plataforma Institucional de la Secretaría de Educación Pública de Hidalgo y mediante el WhatsApp al 761-724-8147</t>
  </si>
  <si>
    <t>Oferta académica</t>
  </si>
  <si>
    <t>El Instituto Mexicano del Seguro Social (IMSS) en Hidalgo destaca la importancia de completar esquemas de vacunación en la población para fortalecer el sistema inmunológico, evitar enfermedades graves que originen secuelas permanentes o fallecimiento.</t>
  </si>
  <si>
    <t>Prevención De Enfermedades</t>
  </si>
  <si>
    <t>La Comisión Nacional del Agua (CONAGUA), a través de su Dirección Local Hidalgo, participó en la primera sesión ordinaria del Consejo Municipal de Protección Civil de Mineral de la Reforma, con la finalidad de contribuir a disminuir riesgos de inundación durante esta temporada de lluvias y ciclones.Como parte de las acciones de este Consejo, la CONAGUA establece estrecha coordinación con las autoridades de protección civil locales, además de ofrecer el apoyo necesario para la operación de una bomba de extracción en caso de que las fuertes lluvias así lo requieran.En la reunión participaron representantes de la 18/a. Zona Militar, de la Secretaría de la Defensa Nacional (SEDENA), Guardia Nacional, de Petróleos Mexicanos (Pemex), así como la Secretaría de Agricultura y Desarrollo Rural (SADER).</t>
  </si>
  <si>
    <t>Prevención de inundaciones</t>
  </si>
  <si>
    <t>En el tema de que la semana pasada se reportó un fuerte olor a combustible en el Valle del Mezquital, el mandatario estatal comentó lo siguiente. “No lo detectaron, de todos modos, Protección Civil está atenta”</t>
  </si>
  <si>
    <t>La presidenta del patronato del sistema Difidalgo David Ramos informó que el menor de 7 años detectado al interior de su casa sin ropa en el municipio de Mineral de la Reforma no presenta indicios de violencia, pero sí de desnutrición.</t>
  </si>
  <si>
    <t>Protección del menor</t>
  </si>
  <si>
    <t>Informaron que se llevará a cabo un foro al rescate del Cerro de Cubitos en la Fundación Arturo Herrera Cabañas el próximo domingo 28 de junio a las 10 a. m.</t>
  </si>
  <si>
    <t>Informan que ya comunicaron en redes este lunes se implementa un recorte operativo en la Ruta Troncal, la estación Parque del Maestro permanece temporalmente sin servicio.</t>
  </si>
  <si>
    <t>Recorte Operativo</t>
  </si>
  <si>
    <t>Eulalio Larrieta, que no están pasando camiones de Tuzobús, se están desviando en el Parque del Maestro y están subiendo en la calle Cuauhtémoc; si sabe el motivo, pedimos nos den información.</t>
  </si>
  <si>
    <t>Hoy a las 10 de la mañana autoridades estatales, municipales y habitantes de Tezontepec de Aldama y Tula de Allende sostendrán una reunión para revisar los estudios que sirvieron de base para autorizar el nuevo relleno sanitario regional</t>
  </si>
  <si>
    <t>Elementos de la policía turística de la Secretaría de Seguridad Pública de Hidalgo localizaron sanos y salvos a dos personas originarias de Guanajuato que se habían extraviado mientras realizaban senderismo en un bosque de Mineral del Chico. La atención oportuna de un reporte al 911 permitió activar el operativo de búsqueda y brindar apoyo a los visitantes.</t>
  </si>
  <si>
    <t>Rescate de persona</t>
  </si>
  <si>
    <t>Gobierno de Hidalgo impulsa la cultura, la infraestructura y el deporte como ejes de transformación</t>
  </si>
  <si>
    <t>Con acciones coordinadas, el Gobierno de Hidalgo y la federación impulsan saneamiento de la región de Tula</t>
  </si>
  <si>
    <t>Saneamiento río Tula</t>
  </si>
  <si>
    <t>El Gobierno Federal, en coordinación con el Gobierno de Hidalgo, destinará más de 900 millones de pesos para emprender acciones de modernización y saneamiento en la región de Tula en este año, mismas que contribuirán a atender los problemas ambientales que históricamente han afectado a esta zona del Estado. El titular de la Unidad de Planificación y Prospectiva de Hidalgo, Miguel Ángel Tello, destacó que se trata de una inversión histórica para mejorar las condiciones ambientales, sociales y de salud en la región, donde al menos seis municipios han enfrentado afectaciones relacionadas con la calidad del suelo, el aire y el agua. Recordó que estos recursos serán dirigidos a la recuperación de espacios públicos, acciones para mejorar la calidad del agua, protección contra inundaciones, restauración de zonas ecológicamente degradadas y conservación de áreas forestales</t>
  </si>
  <si>
    <t>Semaforización</t>
  </si>
  <si>
    <t>El Secretario de Agricultura y Desarrollo Rural de Hidalgo, Napoleón González: “ Siempre soy positivo , se lograron tecnificar 3 distritos de riego con una inversion histórica para el campo más de 11 mil millones de pesos de parte del gobierno federal, el Gobernador julio Menchaca sin estar obligado destino mas de 1000 millones de pesos, para que las actividades avancen” AUDIO APOYO</t>
  </si>
  <si>
    <t>Tecnificación De Riego</t>
  </si>
  <si>
    <t>Radiescucha pide que les ayuden a que el municipio apoye en poner topes en la colonia Rojo Gómez, ya que están algunas calles que van de bajada.</t>
  </si>
  <si>
    <t>Topes vehiculares</t>
  </si>
  <si>
    <t>Fue cuestionado también el gobernador por otros temas respecto a la comunidad de Santa María Xigui en el municipio de Alfajayucan, que en esa comunidad se impuso un toque de queda por parte de las autoridades delegacionales. A partir de las 11 de la noche usted ya no podía caminar por las calles de esa comunidad y si era sorprendido pues le iban a cobrar 20 mil pesos de multa. La medida fue implementada por la comunidad debido, dicen ellos, a la percepción de inseguridad. “Esos son abusos y costumbres, no son abusos y costumbres, ¿no? Aquí no nos vamos a tolerar. Aquí intervendrá sin duda el gobierno con la conciliación, pero no podemos dejar que se afecten los derechos de las personas, los derechos humanos de las personas, bajo ninguna condición. Imagínese, ustedes en esta comunidad estaban poniendo por encima de la Constitución los usos y costumbres”</t>
  </si>
  <si>
    <t>Usos y costumbres</t>
  </si>
  <si>
    <t>Radioescucha reporta que el día de ayer, un sujeto repartía en el tianguis de autos tarjetas ofreciendo por medio del brinco para pasar la verificación al 100 % , garantizado por la cantidad de $800.00 pesos , más la verificación y también si tiene, la persona me comentó : “Pagas tu brinco, te entrego tu cita, hoja de descuento y yo mismo te salgo a recibir al vereficentro “</t>
  </si>
  <si>
    <t>Verificación vehicular</t>
  </si>
  <si>
    <t>Radiescucha Ricardo manda audio y menciona que Caasim bache en Bosques del Peñar ya que cada que realiza un trabajo deja sus montones de tierra y hecha a perder el trabajo del ayuntamiento</t>
  </si>
  <si>
    <t>Zanjas Caasim</t>
  </si>
  <si>
    <t>El Congreso de Hidalgo y la Comisión de Derechos Humanos de Hidalgo firmaron un convenio de colaboración, con la finalidad de establecer las bases generales para el desarrollo de programas de capacitación dirigidos a la formación de las personas legisladoras, así como de las personas servidoras públicas de ambas partes. El diputado Andrés Velázquez Vázquez, presidente de la Junta de Gobierno, resaltó que este acuerdo permitirá desarrollar cursos, talleres, seminarios y espacios académicos para impulsar el intercambio de conocimientos, mejorar las capacidades institucionales y promover una cultura de paz, buen trato y respeto a la dignidad humana. Ana Karen Parra Bonilla, presidenta de la Comisión de Derechos Humanos, enfatizó que los derechos deben convertirse en una práctica cotidiana dentro de las instituciones y que el trabajo legislativo tiene un impacto directo en la vida de las personas, por lo que la preparación, prevención y compromiso institucional son fundamentales para construir un hidalgo más justo, digno e incluyente.</t>
  </si>
  <si>
    <t>Inversión al deporte rompe récord en Hidalgo</t>
  </si>
  <si>
    <t>En entrevista, el presidente municipal de Mineral de la Reforma, Eduardo Medécigo Rubio, habló sobre los permisos que la actual administración ha otorgado en materia de construcción y desarrollo urbano. "Recuerdan en la rueda de prensa que tuvimos de seguridad el secretario de obras públicas, en este caso el ingeniero Juan Carlos Arco, incluso ya se publicó en los medios que se habían dado, se habían autorizado permisos de la administración anterior, nosotros no hemos autorizado ningún permiso en esas zonas hasta el momento". En ese sentido, también se hizo mención de las condiciones y lineamientos que se solicitan a desarrolladores e inversionistas interesados en ejecutar proyectos habitacionales o de urbanización, particularmente en lo relacionado con la protección del medio ambiente y la conservación de áreas ecológicas. Por otra parte, Medécigo Rubio destacó la importancia que tienen para Mineral de la Reforma las obras anunciadas por el gobernador del estado, al señalar que estos proyectos contribuirán al desarrollo del municipio y al mejoramiento de la infraestructura y la movilidad en la región.</t>
  </si>
  <si>
    <t>En entrevista el gobernador Julio Menchaca abordó las acciones que se analizan para reducir la carga vehicular en la zona metropolitana de Pachuca. Entre las medidas contempladas destacó diversos proyectos enfocados en mejorar la movilidad y agilizar el tránsito en los principales puntos de la ciudad. "Y la reglamentación pues que se limite y que se cuide nuestras áreas, que ya son muy pocas, nuestras áreas verdes; pero eso es un tema que va a revisar con mucho cuidado la Secretaria del Medio Ambiente.</t>
  </si>
  <si>
    <t>Hoy no circula</t>
  </si>
  <si>
    <t>En entrevista el gobernador Julio Menchaca habló sobre los trabajos para la eliminación del lirio acuático en Tepetitlán, luego de que surgieran señalamientos respecto a una presunta suspensión de la maquinaria por falta de combustible. "Eso sí, vamos a reactivarlo para que por combustible no fallen, hay un hay una molestia muy grande por parte de los mosquitos y todo lo que te esté a nuestro alcance para pues estarlo eliminando de fondo es la eliminación de del lirio, pero cuando menos hacer todos los todo lo que esté a nuestro alcance para mitigar toda la molestia que genera, que es no solamente en Tepetitlán, sino en todos los pueblos ribereños"</t>
  </si>
  <si>
    <t>En entrevista, el gobernador de Hidalgo se refirió a la manifestación realizada la mañana de este viernes en Pachuca, relacionada con la conservación del cerro de Cubitos. Al respecto, el mandatario estatal fijó su postura sobre las inquietudes expresadas en torno a esta área natural y las acciones que se van a implementar para su protección. “Me enteré y platiqué con la Secretaria del Medio Ambiente para que lo la lo atienda y que veamos cuál es el fundamento legal y en la medida de lo posible, de lo que disponen los planes de desarrollo y la reglamentación, pues que se limite y que se cuide nuestras áreas, que ya son muy pocas nuestras áreas verdes, pero eso es un tema que va a revisar con mucho cuidado la Secretaria del Medio Ambiente, que se revise a fondo y que se cuiden y se protejan, como en todos los rincones del Estado, las áreas que son protegidas, las que determina la ley”.</t>
  </si>
  <si>
    <t>Como parte de las rutas de la transformación, este viernes diecinueve de junio se llevó a cabo la inauguración de un mural en la plaza de la justicia, ubicada en el centro de Mineral de la Reforma. El evento contó con la presencia del gobernador de Hidalgo, Julio Menchaca Salazar, autoridades estatales y municipales, así como ciudadanos que se dieron cita para conocer esta nueva obra artística. Durante el evento, la secretaria de cultura de Hidalgo, Neyda Naranjo Baltazar, destacó la importancia del programa Muralismo, una estrategia que busca acercar el arte a los espacios públicos y fortalecer la identidad de las comunidades a través de obras que reflejen la historia, tradiciones y valores de cada región del estado. La artista Jazmín Jiménez, autora del mural, compartió con los asistentes el significado de la obra, explicando los elementos plasmados en ella y el mensaje que busca transmitir sobre la identidad y el sentido de pertenencia de las y los habitantes de Mineral de la Reforma. Durante la ceremonia, el gobernador Julio Menchaca Salazar también hizo entrega de un estímulo económico a la autora, en reconocimiento de su trabajo y aportación artística dentro de este proyecto cultural. Por su parte, el secretario de Infraestructura Pública y Desarrollo Urbano Sostenible, Alejandro Sánchez García, mencionó los proyectos de obra que forman parte de la estrategia de desarrollo para el municipio y reveló las próximas inversiones que se realizarán en Mineral de la Reforma.</t>
  </si>
  <si>
    <t>El Gobierno del Estado de Hidalgo no tiene considerada la implementación del programa “Hoy No Circula” para desahogar el tráfico vehicular que sobre todo se registra al sur de la Zona Metropolitana de Pachuca. El posicionamiento fue ofrecido por el Gobernador Julio Menchaca Salazar, quien consideró que lo más adecuado es establecer estrategias para mejorar la movilidad en general. Señaló que en el tiempo restante del actual periodo de gobierno estatal, se desarrollarán obras viales precisamente para desahogar el tráfico vehicular y con ello mejorar la vialidad, incluso a nivel regional. El titular del Poder Ejecutivo estatal señaló que actualmente se trabaja en la elaboración de los expedientes técnicos de los proyectos, los cuales serán anunciados antes de concluir su gobierno. Esto incluye varios factores, entre ellos la construcción y ampliación de carriles en distintas avenidas, así como la puesta en marcha del Tren México-Pachuca y la operación al 100 por ciento del Sistema de Transporte Metropolitano. La semana pasada incluso se anunció la ampliación de la carretera México-Pachuca, precisamente para agilizar la movilidad entre la capital del país y la del Estado de Hidalgo. De manera creciente se ha presentado tráfico vehicular, precisamente sobre todo al sur de la Zona Metropolitana de la capital del Estado de Hidalgo, lo que implica incluso largos periodos de tiempo para que se agilice la circulación vehicular. En momentos anteriores se ha propuesto la implementación del programa “Hoy no circula”, por ejemplo, por cuestiones ambientales, sobre todo para el cuidado del aire. Fue hace aproximadamente cinco años cuando se manejó la posibilidad de la implementación, luego de que durante varios días se registraran malos niveles de concentración de partículas contaminantes en el aire, precisamente en la Zona Metropolitana de Pachuca. La propuesta no prospero, pues ni siquiera se presentó un proyecto formal al respecto, sobre todo luego de que días después mejoraran las condiciones ambientales en el aire.</t>
  </si>
  <si>
    <t>El gobierno de Mineral de la Reforma, señaló que la consulta pública no implica la autorización de desarrollos habitacionales masivos en las inmediaciones del cerro de cubitos, el posicionamiento fue ofrecido por Juan Carlos Zarco Cruz, secretario de obas Públicas del municipio tras manifestaciones realizadas por ambientalistas, tras conocerse que dicha zona es considerada para su posible crecimiento controlado. El funcionario señaló que las decisiones sobre el ordenamiento ecológico no dependen solamente del municipio, sino de un órgano colegiado. Cabe mencionar que en días pasados, se dio a conocer la existencia de un permiso de construcción para un proyecto inmobiliario en la Unidad de Gestión Ambiental (UGA) 107, una zona aledaña al Parque Ecológico de Cubitos (PEC), el cual fue otorgado en la administración municipal pasada. Zarco Cruz justificó el proyecto inmobiliario bajo el argumento de que el crecimiento demográfico y la demanda de vivienda obligan a planificar el desarrollo territorial del municipio, aunque insistió en que ello no significa que se pretenda urbanizar toda la zona.</t>
  </si>
  <si>
    <t>Una persona perdió la vida y otra más resultó lesionada en un accidente vial registrado la noche de este jueves en Tizayuca, Hidalgo, donde una camioneta terminó impactada contra infraestructura de videovigilancia. De acuerdo con información de la Policía de Tizayuca, Hidalgo, el percance ocurrió sobre la avenida Juárez Sur, una de las principales vialidades de la demarcación, donde la unidad se proyectó contra un poste que sostiene cámaras del sistema de monitoreo urbano. lementos de emergencia acudieron al lugar y, con apoyo de equipo hidráulico, realizaron las maniobras necesarias para poder liberarlo; sin embargo, ya no contaba con signos vitales al momento de ser extraído.</t>
  </si>
  <si>
    <t>Un asalto se registró la noche del viernes 19 de junio en un Oxxo ubicado en la colonia El Damú, en el municipio de Tula de Allende, donde dos hombres armados sometieron al personal para apoderarse de dinero en efectivo y mercancía. De acuerdo con los primeros reportes, los presuntos delincuentes ingresaron al establecimiento portando armas de fuego y amenazaron a los trabajadores para tomar el control del negocio. Tras someter al personal, los asaltantes amarraron a los empleados y posteriormente los encerraron dentro de la bodega de la sucursal para evitar que solicitaran ayuda o alertaran a las autoridades. Durante el atraco, los delincuentes también despojaron a las víctimas de sus uniformes de trabajo. Según la información recabada, los responsables utilizaron los uniformes robados para hacerse pasar por empleados de la tienda y así abandonar el lugar sin levantar sospechas entre clientes o personas que se encontraban en las inmediaciones. Al negocio acudieron elementos policiacos, quienes de inmediato iniciaron un operativo para la búsqueda y localización de los delincuentes. Hasta el momento no se reporta ninguna detención.</t>
  </si>
  <si>
    <t>Robo a comercio</t>
  </si>
  <si>
    <t>Un hombre perdió la vida luego de ser atacado con arma de fuego en plena celebración de la feria de la comunidad de Tultengo, dentro del municipio de Tula de Allende. El ataque se registró la noche del sábado 20 de junio en calles de la localidad citada, a un costado de la cancha de futbol, donde se lleva a cabo la feria local. Testigos señalan que la víctima, de aproximadamente 34 años de edad, recibió dos impactos por arma de fuego en la cabeza por parte de sus atacantes, quienes lograron huir de inmediato tras el ataque, aún y con la gran cantidad de gente congregada en la zona. Al sitio acudieron elementos policiacos así como de Protección Civil; estos últimos confirmaron que el hombre ya no contaba con signos vitales, por lo que a continuación se procedió a resguardar la zona. Se implementó operativo para la búsqueda y eventual localización de los responsables del ataque; hasta el momento no se reporta detención de persona alguna relacionada con el ataque armado. Personal de la Procuraduría General de Justicia del Estado de Hidalgo inició las investigaciones correspondientes al caso, con el levantamiento de pruebas y testimoniales.</t>
  </si>
  <si>
    <t>Ataque Armado</t>
  </si>
  <si>
    <t>SSPH asegura a cuatro generadores de violencia en Tezontepec de Aldama</t>
  </si>
  <si>
    <t>Tres de los cuatro cuerpos de personas que cayeron a aguas de la presa “Fernando Hiriart Balderrama”, en el municipio de Zimapán, fueron localizados sin vida y rescatados, el pasado sábado 20 de junio, dos días después de reportarse la volcadura de la lancha donde se encontraban. Durante la tarde del domingo 21, el cuerpo restante fue rescatado de las aguas de la misma presa, con lo cual se dieron por concluidas las labores de rescate iniciadas por corporaciones de seguridad pública y Protección Civil. El accidente se registró a finales de la semana pasada en el cuerpo de agua citado, que se encuentra en los límites territoriales entre los estados de Hidalgo y Querétaro. La lancha era usada como utilizada como taxi acuático; el día del accidente salió desde el lado correspondiente al Estado de Hidalgo con nueve personas a bordo, pese a que tenía capacidad máxima para seis pasajeros. Cinco personas lograron salir a flote y pedir ayuda; sin embargo, cuatro de sus acompañantes desaparecieron. Las tareas de búsqueda y rescate de los cuerpos se realizaron con el apoyo de habitantes y cooperativistas de la zona de Tzibanzá, quienes conocen las condiciones del cuerpo de agua y colaboran en el rastreo. Las víctimas eran originarias de la comunidad de Loma Bonita, ubicada en Cadereyta de Montes, dentro del Estado de Querétaro.</t>
  </si>
  <si>
    <t>La presidenta del Patronato del Sistema DIF Hidalgo, Edda Vite Ramos, informó que el menor de siete años detectado al interior de su casa en el municipio de Mineral de la Reforma no presenta indicios de maltrato, pero sí de desnutrición. La titular del DIF estatal explicó que se trata de un menor con diagnóstico de parálisis cerebral y autismo, que vive en complicadas condiciones económicas, no obstante, tras la valoración por parte de la Procuraduría de Protección de Niñas, Niños, Adolescentes y la Familia se determinó que el menor no era víctima de violencia familiar o vulnerabilidad. En tanto, por el momento, descartó que sea necesario que el caso sea canalizado a asistencia social, ya que el DIF Municipal, dio seguimiento y proporcionaron alimentos además de apoyo social para la madre y mejorar las condiciones del menor. “El municipio ya asumió su responsabilidad y está muy al pendiente de este caso porque no son niños maltratados, son niños que la mamá sale a trabajar y los tiene que dejar pero vamos a ayudar que tengan los medios para que los pueda alimentar más adecuadamente”. Vite Ramos señaló que el niño es paciente del Hospital del Niño DIF Hidalgo, donde recibe atención médica conforme al “Código Guinda”, en el que los pacientes sin derechohabiencia acceden gratuitamente a consultas y tratamientos especializados.</t>
  </si>
  <si>
    <t>Mediante coordinación federal y estatal, capturan en Hidalgo a objetivo prioritario de CDMX</t>
  </si>
  <si>
    <t>Fortalecen vocaciones y cultura de la prevención con visita de estudiantes de Tulancingo al C5i. Como parte de las acciones para fortalecer la cultura de la prevención y acercar a las juventudes a las instituciones de seguridad, estudiantes de nivel medio superior y superior de Tulancingo realizaron una visita guiada a las instalaciones del Centro de Control, Comando, Comunicaciones, Cómputo, Coordinación e Inteligencia (C5i) del Estado de Hidalgo. Durante el recorrido, las y los jóvenes conocieron el funcionamiento del sistema de videovigilancia, los procedimientos para realizar denuncias anónimas al 089, el uso adecuado de la línea de emergencias 9-1-1, así como recomendaciones en materia de ciberseguridad y los protocolos de atención ante situaciones de riesgo, fortaleciendo la confianza y cercanía entre la ciudadanía y las instituciones encargadas de la seguridad pública. La invitación se extendió a diversas instituciones educativas del municipio, participando estudiantes de la Preparatoria Tollancingo, la Universidad Vizcaya y la Barra Hidalguense de Estudios Universitarios, estas últimas con grupos de la licenciatura en Criminalística. La visita fue posible gracias a las gestiones de la Instancia Municipal de la Juventud, en coordinación con la Secretaría de Seguridad Pública del Estado de Hidalgo, con el objetivo de fomentar entre las nuevas generaciones una mayor participación en la construcción de entornos más seguros y ampliar su perspectiva vocacional y profesional. Con estas acciones, se reafirma el compromiso con la formación, participación y desarrollo integral de las juventudes, reconociéndolas como agentes clave para la construcción de una sociedad más segura.</t>
  </si>
  <si>
    <t>Carlos César Pérez Escamilla, alcalde de San Felipe Orizatlán, señaló presuntas irregularidades financieras durante la anterior administración que encabezó Erika Saab Lara; entre ellas, el cobro del impuesto predial sin que los recursos ingresaran a las cuentas municipales, hechos que forman parte de una denuncia ante la Procuraduría General de Justicia de Hidalgo (PGJEH). El modus operandi, de acuerdo con el alcalde, consistía en la emisión de recibos falsos a los contribuyentes, dinero que no se reportaba a la plataforma fiscal. Lo anterior, propició deudas para los ciudadanos aún cuando ya habían pagado. Pérez Escamilla declaró que suman aproximadamente 60 personas afectadas, quienes reportaron la anomalía porque al intentar pagar su predial anual, les notificaron de los adeudos. La mayoría de estos casos ocurrió durante el ejercicio fiscal 2025. Ante esta situación, se implementó un programa de apoyo mediante el cual se les condonó un porcentaje del adeudo y se les reconoció el recurso previamente otorgado para permitir su regularización. Por estos hechos y otras presuntas irregularidades, el ayuntamiento inició formalmente carpetas de investigación y presentó las denuncias ante la PGJEH entre abril y mayo del año pasado. Entre las otras anomalías detectadas en el proceso de entrega-recepción, el alcalde mencionó la existencia de obras públicas que fueron pagadas, pero no estaban construidas o de infraestructura que no cumplió con las especificaciones.</t>
  </si>
  <si>
    <t>Denuncia Exalcalde</t>
  </si>
  <si>
    <t>El Instituto Hidalguense para Devolver al Pueblo lo Robado (Indeph) abarató la subasta de tres casas localizadas en Tepeapulco, Tepetitlán y Tizayuca, cuyos costos actualmente oscilan de los 700 mil al millón y medio de pesos. Sin embargo, en dos convocatorias previas emitidas en septiembre y noviembre de 2025, el organismo descentralizado las ofertó 13% más caras. Ambos procedimientos los declaró desiertos porque “no se registró ni se recibió propuesta alguna para participar” en el concurso. A siete meses de la última convocatoria, el Instituto lanzó una nueva que estará vigente hasta el 26 de junio. En esta ocasión pidió en 716 mil 352 pesos un predio rústico con una casa habitación de un nivel construida en 400 metros cuadrados en Tepetitlán, inmueble que el año pasado pretendía vender en 823 mil 805 pesos. Una propiedad de dos niveles en una unidad habitacional de Tizayuca edificada en una superficie de 112.5 metros cuadrados pasó de un millón 742 mil 540 pesos a un millón 515 mil 252 pesos. La vivienda restante es de dos pisos y se sitúa en Plaza Vieja, Tepeapulco; la cimentaron en un terreno de 98.43 metros cuadrados y por ella el Indeph pretende un millón 215 mil 546 pesos, aunque antes la ofreció en un millón 401 mil 328 pesos. Las cantidades que determinó el organismo descentralizado son precio base y pueden variar según lo que oferten los participantes de la subasta.</t>
  </si>
  <si>
    <t>Con atracciones para toda la familia y gustos, así como artistas de diversos géneros musicales tanto en el Teatro del Pueblo como en el palenque, la edición 2026 de la Expo Feria Tulancingo se realizará del 31 de julio al 16 de agosto. Los detalles y elenco fueron presentados en rueda de prensa encabezada por la alcaldesa Lorena García Cázares y los empresarios Fernando y Enrique Hernández Canales, representante de Herca Producciones, quienes tienen la concesión respectiva por tres años, contados a partir del 2025. El cartel del Teatro del Pueblo inicia actividades el 31 julio con la presentación de la banda La Adictiva; el 1 agosto, será la presentación de Espinoza Paz, mientras que el día 2 será la presentación de Cardenales de Nuevo León y el 3 habrá función de lucha libre. El 4 de agosto será la presentación del trío Aurora hidalguense; el día 5, la presentación de El Bogueto; el día 6, Los Askis, mientras que el 7 se presentarán Los Tigres del Norte y el día 8, Matute. Mientras que el 9 de agosto tocará la actuación del grupo Liberación; el día 1, se presentarán Las Guerreras K-Pop, el día 11, Rayito Colombiano; el 12, La Arrolladora Banda El Limón; el día 13, DLD. La cartelera del Teatro del Pueblo cierra con las actuaciones de Edwin Luna y La Trakalosa, el día 14 de agosto, el 15 se presentará Kenia Os y el cierre de feria, el 16 de agosto, será con la presentación de Invasores de Nuevo León. En el caso del palenque, el 31 de julio tendrá la actuación de Herencia de Grandes, el 1 de agosto se presentará Pancho Barraza y el día 6, Gloria Trevi.</t>
  </si>
  <si>
    <t>Expo feria</t>
  </si>
  <si>
    <t>Firman convenio para establecer campus virtual de la UNIDEH en El Arenal</t>
  </si>
  <si>
    <t>La Suprema Corte de Justicia de la Nación determinó invalidar diversos cobros contemplados en las Leyes de Ingresos de municipios del estado de Hidalgo para el ejercicio fiscal 2026, por considerarlos excesivos y desproporcionados. La resolución se emitió dentro de la acción de inconstitucionalidad 29/2026, promovida por la Comisión Nacional de los Derechos Humanos. Entre los municipios cuyas leyes fueron revisadas se encuentran Acatlán, Actopan, Apan, Acaxochitlán, Agua Blanca de Iturbide, Ajacuba, Alfajayucan y Almoloya, entre otros, los cuales deberán ajustar sus esquemas de cobro conforme a lo resuelto por el máximo tribunal. Entre los conceptos invalidados se encuentran la expedición de copias certificadas, constancias, digitalización de documentos y el cobro por el servicio de alumbrado público. Los Ministros coincidieron en que dichos cobros vulneraban los artículos 14, 16 y 31 de la Constitución, al no respetar los principios de proporcionalidad y equidad tributaria. Además, los mismos Ministros señalaron que generaban incertidumbre jurídica por la falta de claridad en la forma de cobro, pues no se precisaba si este se realizaba por foja, documento o expediente completo. Por lo que la invalidez de los artículos impugnados surtirá efectos una vez que la resolución sea notificada al Congreso estatal, lo que obligará a los municipios a dejar de aplicar los cobros señalados. Se exhortó al Poder Legislativo a establecer futuras cuotas con base en métodos objetivos, razonables y debidamente justificados, evitando esquemas “arbitrarios o desproporcionados”. Además, sentenció que el Congreso estatal deberá revisar a fondo sus criterios de recaudación en las leyes de ingresos municipales, asegurando que los cobros estén estrictamente vinculados al costo real del servicio y no constituyan cargas fiscales encubiertas o inequitativas.</t>
  </si>
  <si>
    <t>Inconstitucionalidad</t>
  </si>
  <si>
    <t>Menchaca entrega Ciudad Deportiva</t>
  </si>
  <si>
    <t>Colectivos LGBTTTIQA + exigieron la investigación pronta y real de crímenes de odio por orientación sexual y transfeminicidios, así como la garantía para transitar y realizar sus actividades cotidianas en forma segura. Lo anterior en el posicionamiento ofrecido tras realizar la tercera marcha LGBTTTIQA +, realizada en calles del centro de de la ciudad de Tulancingo, finalizando en el Centro Cultural “Ricardo Garibay”, donde también se realizó una Mercadita Diversa. Se señaló el hartazgo de la falta de justicia en la comisión de crímenes de odio que se han registrado en el Estado de Hidalgo, así como en las situaciones de violencia de todo tipo hacia personas, por su orientación sexual. Los colectivos se solidarizaron con las madres buscadoras de personas desaparecidas, en particular donde existen casos relacionados con la comunidad LGBTTTIQA+. El Colectivo Teresa de Cepeda y Ahumada, participante en la marcha, también ofreció posicionamiento; en este caso, se hizo llamado a no discriminar en forma alguna a personas, por sus actividades, preferencias o actividades personales. Este colectivo es una comunidad espiritual, académica y de activismo con sede en la Ciudad de México, así como en el municipio de Pachuca, Hidalgo. Fundado en 2014, se enfoca en el acompañamiento espiritual y la defensa de los derechos de las personas LGBTTTIQA+, queer y feministas, buscando resignificar la fe católica desde una perspectiva crítica, sin los sistemas patriarcales habituales. Durante la marcha, el contingente en el que participaron entre 170 a 200 personas, brindaron un minuto de silencio en homenaje a las personas de la comunidad LGBTTTIQA+ que han sido asesinadas o desaparecidas.</t>
  </si>
  <si>
    <t>Marcha LGBTTTIQ+</t>
  </si>
  <si>
    <t>El Sistema Estatal de Protección Civil dio a conocer el cambio a “Semáforo Amarillo” para tres regiones de la entidad, debido a “las condiciones” que se registran en varios municipios de la entidad por las lluvias recientes. El organismo detalló que, derivado de las condiciones a la altura del puente de Tunitlán, en Mixquiahuala de Juárez; en el río Calabozo, en Huautla, San Bartolo Tutotepec y Huehuetla, así como en la comunidad Chapula, Tianguistengo, dicha medida fue implementada para el Valle del Mezquital, la Sierra Alta, la Sierra Otomí-Tepehua y la Huasteca. Esto, a fin de que la población extreme precauciones. En ese sentido, el Sistema Estatal de Protección Civil exhortó a la población a mantenerse atenta a la información oficial, tener a la mano documentos importantes y artículos de primera necesidad, así como identificar rutas de evacuación, puntos de reunión y refugios temporales. Además, recomendó evitar acercarse o cruzar ríos, arroyos y zonas con corrientes de agua; atender en todo momento las indicaciones de las autoridades, y prepararse de manera preventiva ante una posible evacuación si las condiciones así lo requieren. Asimismo, las autoridades indicaron que personal de Protección Civil estatal y municipal mantiene monitoreo permanente de la situación.</t>
  </si>
  <si>
    <t>Los torrenciales lluvias registradas durante toda la semana pasada siguen provocando anegamientos y con ello afectaciones a carreteras, vialidades, así como a viviendas y negocios dentro de la región Tulancingo. Corredor Vial San José, una de las principales vialidades de acceso y salida del Valle, registró grandes cantidades de acumulación de aguas, que por momentos se han estancado debido a la existencia de construcciones y objetos que complican el flujo. Calles de las colonias Insurgentes y Vicente Guerrero registraron anegamientos prácticamente a diario, afectando tanto a las construcciones en dicha zona de la ciudad de Tulancingo, como la movilidad de quienes buscaban circular por la zona. A finales de la semana pasada, una gran cantidad de agua producto de la torrencial lluvia, se concentró sobre la carretera Tulancingo-Cuautepec, entre las colonias El Paraíso y La Esperanza, correspondiendo respectivamente a las demarcaciones citadas. En esa misma ocasión, la intensa lluvia dejó inutilizadas las labores de mejoramiento físico de la carretera Tulancingo-Santiago Tulantepec que se habían realizado apenas un par de días antes entre las colonias La Florida y Medias Tierras. Incluso la carretera federal México-Tuxpan, a la altura del municipio de Singuilucan, el agua proveniente de lluvia ha rebasado el nivel de la vialidad, provocando problemas para circular por la zona. En la entrada a Habitacionales, dentro del municipio de Santiago Tulantepec, en tres ocasiones en los diez días más recientes han registrado gran acumulación de agua en los accesos viales a la zona. Aunque no se ha registrado pérdidas totales de edificios, casas habitación o vehículos, sí existen daños importantes a dichos bienes a causa de las lluvias.</t>
  </si>
  <si>
    <t>Las torrenciales lluvias registradas en Tenango de Doria y San Bartolo Tutotepec durante la noche del viernes 19 de junio provocaron que nuevamente el río Pantepec, ubicado en Huehuetla, aumentara su cauce, dañando en forma total el puente que comunica a la zona norte de este último municipio citado. Fueron los escurrimientos provenientes de las dos primeras demarcaciones citadas las que provocaron la crecida del río, que a su vez dañó la vialidad que apenas dos días antes había sido reabierto. Por lo que la población de la zona norte de Huehuetla nuevamente quedó incomunicada, pues el puente afectado es prácticamente la única vialidad para comunicarse tanto con la cabecera municipal, como con el resto de los municipios de la Sierra Otomí Tepehua, así como del Valle de Tulancingo. En lo que va del presente año, es la tercera ocasión que dicho puente resulta afectado al punto de ser cerrada la vialidad. Apenas a mediados de la semana pasada había sido reabierto, tras una intervención física provisional para permitir la movilidad de la población de localidades como Zicatlán, San Antonio, Acuautla, San Gregorio y La Esperanza. El gobierno municipal de Huehuetla emitió un comunicado señalando que el paso por el puente será restablecido en cuanto existan las condiciones de seguridad para quienes deban utilizarlo. También durante la semana pasada se registró la visita de representantes de una empresa constructora que estará a cargo de la construcción de un puente colgante peatonal en dicha zona. Se trató de un recorrido para realizar trabajos de reconocimiento en la zona, como parte de los preparativos previos al inicio de la obra de conectividad vial que estará a cargo del Gobierno del Estado de Hidalgo. Sin embargo, los vecinos de la zona han solicitado que se ejecute obra de construcción para un puente en condiciones seguras para la circulación de vehículos automotores, señalando que también es necesario garantizar la movilidad dentro de la zona en todas sus modalidades. Hasta el momento no existe respuesta por parte de instituciones gubernamentales sobre esta última petición realizada por los vecinos afectados en la zona norte de Huehuetla.</t>
  </si>
  <si>
    <t>Colapso de puente</t>
  </si>
  <si>
    <t>En cabina Alberto González habla de los actos anticipados de campaña como la Secretaria de Salud, quien tuvo que quitar una lona. En este sentido, habla de las próximas elecciones para la renovación de los ayuntamientos, diputaciones locales y federales. Señala que el desorden y el caos es lo que abunda en los partidos y las dirigencias deberían hacer actos de contención y hacer encuestas serias. Junto con Andrés Torres comentan que hay secretarios y secretarias que parece que sí están interesados en la contienda, aunque al gobernador al parecer no se lo hayan manifestado aún.</t>
  </si>
  <si>
    <t>Elecciones</t>
  </si>
  <si>
    <t>Alberto González</t>
  </si>
  <si>
    <t>Justa académica</t>
  </si>
  <si>
    <t>Abre ITESHU nueva maestría en desarrollo regional e innovación tecnológica</t>
  </si>
  <si>
    <t>Andrés Torres comenta que si ha habido un problemita en los últimos sexenios en cuanto infraestructura, utilización de recursos públicos y falta de transparencia en todos los procesos ha sido dentro del deporte. Recuerda que en sexenios pasados se invirtió en cuestiones del deporte, pero mucha veces se politizó, como fue el caso de un Velódromo en el que se gastaron miles de millones de pesos; pero el gobierno de Menchaca sí cumple y ahí está (la Unidad Deportiva).</t>
  </si>
  <si>
    <t>Andrés Torres comenta que el 1010 AM El vocero Huasteco sigue fuera del aire y esto se debe a la falta de compromiso y de conocimiento. Las pifias del área administrativa de Radio y Televisión de Hidalgo que consideran que no hay ninguna obligación en el tema para poner en marcha una estación bilingüe, por cierto, una de las más importantes del estado. ellos dicen que no, entonces no hay transmisión. Tenemos más de dos meses fuera del aire en el 1010 AM, ya lo reportamos hasta en el Pentágono, así que seguimos esperando el danto advenimiento. (7.57-8.38)</t>
  </si>
  <si>
    <t>La Subsecretaría de Protección Civil mantiene la alerta en todos los municipios del estado por la temporada de huracanes.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</si>
</sst>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5" tableType="queryTable" totalsRowShown="0">
  <autoFilter ref="A1:M185"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5"/>
  <sheetViews>
    <sheetView tabSelected="1" topLeftCell="A140" workbookViewId="0">
      <selection activeCell="C152" sqref="C152"/>
    </sheetView>
  </sheetViews>
  <sheetFormatPr baseColWidth="10" defaultRowHeight="15" x14ac:dyDescent="0.25"/>
  <cols>
    <col min="1" max="1" width="8.5703125" bestFit="1" customWidth="1"/>
    <col min="2" max="2" width="11.42578125" bestFit="1" customWidth="1"/>
    <col min="3" max="3" width="27.28515625" bestFit="1" customWidth="1"/>
    <col min="4" max="4" width="45.140625" bestFit="1" customWidth="1"/>
    <col min="5" max="5" width="81.140625" bestFit="1" customWidth="1"/>
    <col min="6" max="6" width="15.28515625" bestFit="1" customWidth="1"/>
    <col min="7" max="7" width="32"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46192</v>
      </c>
      <c r="B2" s="1" t="str">
        <f ca="1">IF(Información1[[#This Row],[Fecha]]='Ajuste de fechas'!$A$2,"Día actual","Día anterior")</f>
        <v>Día anterior</v>
      </c>
      <c r="C2" t="s">
        <v>64</v>
      </c>
      <c r="D2" t="s">
        <v>65</v>
      </c>
      <c r="E2" t="s">
        <v>101</v>
      </c>
      <c r="F2" t="s">
        <v>10</v>
      </c>
      <c r="G2" t="s">
        <v>102</v>
      </c>
      <c r="H2" t="s">
        <v>8</v>
      </c>
      <c r="I2" t="s">
        <v>7</v>
      </c>
      <c r="J2" t="s">
        <v>56</v>
      </c>
      <c r="K2" t="s">
        <v>66</v>
      </c>
      <c r="L2" t="s">
        <v>24</v>
      </c>
      <c r="M2">
        <v>1</v>
      </c>
    </row>
    <row r="3" spans="1:13" x14ac:dyDescent="0.25">
      <c r="A3" s="2">
        <v>46192</v>
      </c>
      <c r="B3" s="1" t="str">
        <f ca="1">IF(Información1[[#This Row],[Fecha]]='Ajuste de fechas'!$A$2,"Día actual","Día anterior")</f>
        <v>Día anterior</v>
      </c>
      <c r="C3" t="s">
        <v>64</v>
      </c>
      <c r="D3" t="s">
        <v>65</v>
      </c>
      <c r="E3" t="s">
        <v>103</v>
      </c>
      <c r="F3" t="s">
        <v>10</v>
      </c>
      <c r="G3" t="s">
        <v>73</v>
      </c>
      <c r="H3" t="s">
        <v>8</v>
      </c>
      <c r="I3" t="s">
        <v>7</v>
      </c>
      <c r="J3" t="s">
        <v>56</v>
      </c>
      <c r="K3" t="s">
        <v>66</v>
      </c>
      <c r="L3" t="s">
        <v>24</v>
      </c>
      <c r="M3">
        <v>1</v>
      </c>
    </row>
    <row r="4" spans="1:13" x14ac:dyDescent="0.25">
      <c r="A4" s="2">
        <v>46192</v>
      </c>
      <c r="B4" s="1" t="str">
        <f ca="1">IF(Información1[[#This Row],[Fecha]]='Ajuste de fechas'!$A$2,"Día actual","Día anterior")</f>
        <v>Día anterior</v>
      </c>
      <c r="C4" t="s">
        <v>64</v>
      </c>
      <c r="D4" t="s">
        <v>65</v>
      </c>
      <c r="E4" t="s">
        <v>104</v>
      </c>
      <c r="F4" t="s">
        <v>10</v>
      </c>
      <c r="G4" t="s">
        <v>105</v>
      </c>
      <c r="H4" t="s">
        <v>8</v>
      </c>
      <c r="I4" t="s">
        <v>7</v>
      </c>
      <c r="J4" t="s">
        <v>56</v>
      </c>
      <c r="K4" t="s">
        <v>66</v>
      </c>
      <c r="L4" t="s">
        <v>24</v>
      </c>
      <c r="M4">
        <v>1</v>
      </c>
    </row>
    <row r="5" spans="1:13" x14ac:dyDescent="0.25">
      <c r="A5" s="2">
        <v>46192</v>
      </c>
      <c r="B5" s="1" t="str">
        <f ca="1">IF(Información1[[#This Row],[Fecha]]='Ajuste de fechas'!$A$2,"Día actual","Día anterior")</f>
        <v>Día anterior</v>
      </c>
      <c r="C5" t="s">
        <v>64</v>
      </c>
      <c r="D5" t="s">
        <v>65</v>
      </c>
      <c r="E5" t="s">
        <v>110</v>
      </c>
      <c r="F5" t="s">
        <v>111</v>
      </c>
      <c r="G5" t="s">
        <v>112</v>
      </c>
      <c r="H5" t="s">
        <v>8</v>
      </c>
      <c r="I5" t="s">
        <v>7</v>
      </c>
      <c r="J5" t="s">
        <v>13</v>
      </c>
      <c r="K5" t="s">
        <v>66</v>
      </c>
      <c r="L5" t="s">
        <v>24</v>
      </c>
      <c r="M5">
        <v>1</v>
      </c>
    </row>
    <row r="6" spans="1:13" x14ac:dyDescent="0.25">
      <c r="A6" s="2">
        <v>46192</v>
      </c>
      <c r="B6" s="1" t="str">
        <f ca="1">IF(Información1[[#This Row],[Fecha]]='Ajuste de fechas'!$A$2,"Día actual","Día anterior")</f>
        <v>Día anterior</v>
      </c>
      <c r="C6" t="s">
        <v>64</v>
      </c>
      <c r="D6" t="s">
        <v>65</v>
      </c>
      <c r="E6" t="s">
        <v>116</v>
      </c>
      <c r="F6" t="s">
        <v>11</v>
      </c>
      <c r="G6" t="s">
        <v>117</v>
      </c>
      <c r="H6" t="s">
        <v>8</v>
      </c>
      <c r="I6" t="s">
        <v>7</v>
      </c>
      <c r="J6" t="s">
        <v>55</v>
      </c>
      <c r="K6" t="s">
        <v>66</v>
      </c>
      <c r="L6" t="s">
        <v>24</v>
      </c>
      <c r="M6">
        <v>1</v>
      </c>
    </row>
    <row r="7" spans="1:13" x14ac:dyDescent="0.25">
      <c r="A7" s="2">
        <v>46192</v>
      </c>
      <c r="B7" s="1" t="str">
        <f ca="1">IF(Información1[[#This Row],[Fecha]]='Ajuste de fechas'!$A$2,"Día actual","Día anterior")</f>
        <v>Día anterior</v>
      </c>
      <c r="C7" t="s">
        <v>64</v>
      </c>
      <c r="D7" t="s">
        <v>65</v>
      </c>
      <c r="E7" t="s">
        <v>118</v>
      </c>
      <c r="F7" t="s">
        <v>10</v>
      </c>
      <c r="G7" t="s">
        <v>119</v>
      </c>
      <c r="H7" t="s">
        <v>8</v>
      </c>
      <c r="I7" t="s">
        <v>7</v>
      </c>
      <c r="J7" t="s">
        <v>56</v>
      </c>
      <c r="K7" t="s">
        <v>66</v>
      </c>
      <c r="L7" t="s">
        <v>24</v>
      </c>
      <c r="M7">
        <v>1</v>
      </c>
    </row>
    <row r="8" spans="1:13" x14ac:dyDescent="0.25">
      <c r="A8" s="2">
        <v>46192</v>
      </c>
      <c r="B8" s="1" t="str">
        <f ca="1">IF(Información1[[#This Row],[Fecha]]='Ajuste de fechas'!$A$2,"Día actual","Día anterior")</f>
        <v>Día anterior</v>
      </c>
      <c r="C8" t="s">
        <v>69</v>
      </c>
      <c r="D8" t="s">
        <v>70</v>
      </c>
      <c r="E8" t="s">
        <v>134</v>
      </c>
      <c r="F8" t="s">
        <v>10</v>
      </c>
      <c r="G8" t="s">
        <v>135</v>
      </c>
      <c r="H8" t="s">
        <v>63</v>
      </c>
      <c r="I8" t="s">
        <v>7</v>
      </c>
      <c r="J8" t="s">
        <v>56</v>
      </c>
      <c r="K8" t="s">
        <v>71</v>
      </c>
      <c r="L8" t="s">
        <v>24</v>
      </c>
      <c r="M8">
        <v>1</v>
      </c>
    </row>
    <row r="9" spans="1:13" x14ac:dyDescent="0.25">
      <c r="A9" s="2">
        <v>46192</v>
      </c>
      <c r="B9" s="1" t="str">
        <f ca="1">IF(Información1[[#This Row],[Fecha]]='Ajuste de fechas'!$A$2,"Día actual","Día anterior")</f>
        <v>Día anterior</v>
      </c>
      <c r="C9" t="s">
        <v>69</v>
      </c>
      <c r="D9" t="s">
        <v>70</v>
      </c>
      <c r="E9" t="s">
        <v>138</v>
      </c>
      <c r="F9" t="s">
        <v>10</v>
      </c>
      <c r="G9" t="s">
        <v>105</v>
      </c>
      <c r="H9" t="s">
        <v>63</v>
      </c>
      <c r="I9" t="s">
        <v>7</v>
      </c>
      <c r="J9" t="s">
        <v>56</v>
      </c>
      <c r="K9" t="s">
        <v>71</v>
      </c>
      <c r="L9" t="s">
        <v>24</v>
      </c>
      <c r="M9">
        <v>1</v>
      </c>
    </row>
    <row r="10" spans="1:13" x14ac:dyDescent="0.25">
      <c r="A10" s="2">
        <v>46192</v>
      </c>
      <c r="B10" s="1" t="str">
        <f ca="1">IF(Información1[[#This Row],[Fecha]]='Ajuste de fechas'!$A$2,"Día actual","Día anterior")</f>
        <v>Día anterior</v>
      </c>
      <c r="C10" t="s">
        <v>69</v>
      </c>
      <c r="D10" t="s">
        <v>70</v>
      </c>
      <c r="E10" t="s">
        <v>139</v>
      </c>
      <c r="F10" t="s">
        <v>10</v>
      </c>
      <c r="G10" t="s">
        <v>140</v>
      </c>
      <c r="H10" t="s">
        <v>63</v>
      </c>
      <c r="I10" t="s">
        <v>7</v>
      </c>
      <c r="J10" t="s">
        <v>56</v>
      </c>
      <c r="K10" t="s">
        <v>71</v>
      </c>
      <c r="L10" t="s">
        <v>24</v>
      </c>
      <c r="M10">
        <v>1</v>
      </c>
    </row>
    <row r="11" spans="1:13" x14ac:dyDescent="0.25">
      <c r="A11" s="2">
        <v>46192</v>
      </c>
      <c r="B11" s="1" t="str">
        <f ca="1">IF(Información1[[#This Row],[Fecha]]='Ajuste de fechas'!$A$2,"Día actual","Día anterior")</f>
        <v>Día anterior</v>
      </c>
      <c r="C11" t="s">
        <v>31</v>
      </c>
      <c r="D11" t="s">
        <v>36</v>
      </c>
      <c r="E11" t="s">
        <v>149</v>
      </c>
      <c r="F11" t="s">
        <v>10</v>
      </c>
      <c r="G11" t="s">
        <v>73</v>
      </c>
      <c r="H11" t="s">
        <v>8</v>
      </c>
      <c r="I11" t="s">
        <v>95</v>
      </c>
      <c r="J11" t="s">
        <v>56</v>
      </c>
      <c r="K11" t="s">
        <v>150</v>
      </c>
      <c r="L11" t="s">
        <v>25</v>
      </c>
      <c r="M11">
        <v>1</v>
      </c>
    </row>
    <row r="12" spans="1:13" x14ac:dyDescent="0.25">
      <c r="A12" s="2">
        <v>46192</v>
      </c>
      <c r="B12" s="1" t="str">
        <f ca="1">IF(Información1[[#This Row],[Fecha]]='Ajuste de fechas'!$A$2,"Día actual","Día anterior")</f>
        <v>Día anterior</v>
      </c>
      <c r="C12" t="s">
        <v>31</v>
      </c>
      <c r="D12" t="s">
        <v>36</v>
      </c>
      <c r="E12" t="s">
        <v>151</v>
      </c>
      <c r="F12" t="s">
        <v>10</v>
      </c>
      <c r="G12" t="s">
        <v>152</v>
      </c>
      <c r="H12" t="s">
        <v>8</v>
      </c>
      <c r="I12" t="s">
        <v>14</v>
      </c>
      <c r="J12" t="s">
        <v>56</v>
      </c>
      <c r="K12" t="s">
        <v>32</v>
      </c>
      <c r="L12" t="s">
        <v>25</v>
      </c>
      <c r="M12">
        <v>1</v>
      </c>
    </row>
    <row r="13" spans="1:13" x14ac:dyDescent="0.25">
      <c r="A13" s="2">
        <v>46192</v>
      </c>
      <c r="B13" s="1" t="str">
        <f ca="1">IF(Información1[[#This Row],[Fecha]]='Ajuste de fechas'!$A$2,"Día actual","Día anterior")</f>
        <v>Día anterior</v>
      </c>
      <c r="C13" t="s">
        <v>31</v>
      </c>
      <c r="D13" t="s">
        <v>36</v>
      </c>
      <c r="E13" t="s">
        <v>153</v>
      </c>
      <c r="F13" t="s">
        <v>11</v>
      </c>
      <c r="G13" t="s">
        <v>154</v>
      </c>
      <c r="H13" t="s">
        <v>8</v>
      </c>
      <c r="I13" t="s">
        <v>7</v>
      </c>
      <c r="J13" t="s">
        <v>55</v>
      </c>
      <c r="K13" t="s">
        <v>32</v>
      </c>
      <c r="L13" t="s">
        <v>24</v>
      </c>
      <c r="M13">
        <v>1</v>
      </c>
    </row>
    <row r="14" spans="1:13" x14ac:dyDescent="0.25">
      <c r="A14" s="2">
        <v>46192</v>
      </c>
      <c r="B14" s="1" t="str">
        <f ca="1">IF(Información1[[#This Row],[Fecha]]='Ajuste de fechas'!$A$2,"Día actual","Día anterior")</f>
        <v>Día anterior</v>
      </c>
      <c r="C14" t="s">
        <v>31</v>
      </c>
      <c r="D14" t="s">
        <v>36</v>
      </c>
      <c r="E14" t="s">
        <v>155</v>
      </c>
      <c r="F14" t="s">
        <v>10</v>
      </c>
      <c r="G14" t="s">
        <v>47</v>
      </c>
      <c r="H14" t="s">
        <v>8</v>
      </c>
      <c r="I14" t="s">
        <v>7</v>
      </c>
      <c r="J14" t="s">
        <v>56</v>
      </c>
      <c r="K14" t="s">
        <v>32</v>
      </c>
      <c r="L14" t="s">
        <v>74</v>
      </c>
      <c r="M14">
        <v>1</v>
      </c>
    </row>
    <row r="15" spans="1:13" x14ac:dyDescent="0.25">
      <c r="A15" s="2">
        <v>46192</v>
      </c>
      <c r="B15" s="1" t="str">
        <f ca="1">IF(Información1[[#This Row],[Fecha]]='Ajuste de fechas'!$A$2,"Día actual","Día anterior")</f>
        <v>Día anterior</v>
      </c>
      <c r="C15" t="s">
        <v>38</v>
      </c>
      <c r="D15" t="s">
        <v>39</v>
      </c>
      <c r="E15" t="s">
        <v>156</v>
      </c>
      <c r="F15" t="s">
        <v>10</v>
      </c>
      <c r="G15" t="s">
        <v>157</v>
      </c>
      <c r="H15" t="s">
        <v>8</v>
      </c>
      <c r="I15" t="s">
        <v>7</v>
      </c>
      <c r="J15" t="s">
        <v>56</v>
      </c>
      <c r="K15" t="s">
        <v>40</v>
      </c>
      <c r="L15" t="s">
        <v>24</v>
      </c>
      <c r="M15">
        <v>1</v>
      </c>
    </row>
    <row r="16" spans="1:13" x14ac:dyDescent="0.25">
      <c r="A16" s="2">
        <v>46192</v>
      </c>
      <c r="B16" s="1" t="str">
        <f ca="1">IF(Información1[[#This Row],[Fecha]]='Ajuste de fechas'!$A$2,"Día actual","Día anterior")</f>
        <v>Día anterior</v>
      </c>
      <c r="C16" t="s">
        <v>38</v>
      </c>
      <c r="D16" t="s">
        <v>39</v>
      </c>
      <c r="E16" t="s">
        <v>160</v>
      </c>
      <c r="F16" t="s">
        <v>10</v>
      </c>
      <c r="G16" t="s">
        <v>154</v>
      </c>
      <c r="H16" t="s">
        <v>8</v>
      </c>
      <c r="I16" t="s">
        <v>95</v>
      </c>
      <c r="J16" t="s">
        <v>56</v>
      </c>
      <c r="K16" t="s">
        <v>40</v>
      </c>
      <c r="L16" t="s">
        <v>161</v>
      </c>
      <c r="M16">
        <v>1</v>
      </c>
    </row>
    <row r="17" spans="1:13" x14ac:dyDescent="0.25">
      <c r="A17" s="2">
        <v>46192</v>
      </c>
      <c r="B17" s="1" t="str">
        <f ca="1">IF(Información1[[#This Row],[Fecha]]='Ajuste de fechas'!$A$2,"Día actual","Día anterior")</f>
        <v>Día anterior</v>
      </c>
      <c r="C17" t="s">
        <v>31</v>
      </c>
      <c r="D17" t="s">
        <v>33</v>
      </c>
      <c r="E17" t="s">
        <v>164</v>
      </c>
      <c r="F17" t="s">
        <v>10</v>
      </c>
      <c r="G17" t="s">
        <v>165</v>
      </c>
      <c r="H17" t="s">
        <v>8</v>
      </c>
      <c r="I17" t="s">
        <v>7</v>
      </c>
      <c r="J17" t="s">
        <v>56</v>
      </c>
      <c r="K17" t="s">
        <v>32</v>
      </c>
      <c r="L17" t="s">
        <v>24</v>
      </c>
      <c r="M17">
        <v>1</v>
      </c>
    </row>
    <row r="18" spans="1:13" x14ac:dyDescent="0.25">
      <c r="A18" s="2">
        <v>46192</v>
      </c>
      <c r="B18" s="1" t="str">
        <f ca="1">IF(Información1[[#This Row],[Fecha]]='Ajuste de fechas'!$A$2,"Día actual","Día anterior")</f>
        <v>Día anterior</v>
      </c>
      <c r="C18" t="s">
        <v>31</v>
      </c>
      <c r="D18" t="s">
        <v>33</v>
      </c>
      <c r="E18" t="s">
        <v>166</v>
      </c>
      <c r="F18" t="s">
        <v>10</v>
      </c>
      <c r="G18" t="s">
        <v>105</v>
      </c>
      <c r="H18" t="s">
        <v>8</v>
      </c>
      <c r="I18" t="s">
        <v>7</v>
      </c>
      <c r="J18" t="s">
        <v>56</v>
      </c>
      <c r="K18" t="s">
        <v>32</v>
      </c>
      <c r="L18" t="s">
        <v>24</v>
      </c>
      <c r="M18">
        <v>1</v>
      </c>
    </row>
    <row r="19" spans="1:13" x14ac:dyDescent="0.25">
      <c r="A19" s="2">
        <v>46192</v>
      </c>
      <c r="B19" s="1" t="str">
        <f ca="1">IF(Información1[[#This Row],[Fecha]]='Ajuste de fechas'!$A$2,"Día actual","Día anterior")</f>
        <v>Día anterior</v>
      </c>
      <c r="C19" t="s">
        <v>31</v>
      </c>
      <c r="D19" t="s">
        <v>33</v>
      </c>
      <c r="E19" t="s">
        <v>167</v>
      </c>
      <c r="F19" t="s">
        <v>10</v>
      </c>
      <c r="G19" t="s">
        <v>168</v>
      </c>
      <c r="H19" t="s">
        <v>8</v>
      </c>
      <c r="I19" t="s">
        <v>14</v>
      </c>
      <c r="J19" t="s">
        <v>56</v>
      </c>
      <c r="K19" t="s">
        <v>32</v>
      </c>
      <c r="L19" t="s">
        <v>24</v>
      </c>
      <c r="M19">
        <v>1</v>
      </c>
    </row>
    <row r="20" spans="1:13" x14ac:dyDescent="0.25">
      <c r="A20" s="2">
        <v>46192</v>
      </c>
      <c r="B20" s="1" t="str">
        <f ca="1">IF(Información1[[#This Row],[Fecha]]='Ajuste de fechas'!$A$2,"Día actual","Día anterior")</f>
        <v>Día anterior</v>
      </c>
      <c r="C20" t="s">
        <v>31</v>
      </c>
      <c r="D20" t="s">
        <v>33</v>
      </c>
      <c r="E20" t="s">
        <v>169</v>
      </c>
      <c r="F20" t="s">
        <v>10</v>
      </c>
      <c r="G20" t="s">
        <v>170</v>
      </c>
      <c r="H20" t="s">
        <v>8</v>
      </c>
      <c r="I20" t="s">
        <v>7</v>
      </c>
      <c r="J20" t="s">
        <v>56</v>
      </c>
      <c r="K20" t="s">
        <v>32</v>
      </c>
      <c r="L20" t="s">
        <v>24</v>
      </c>
      <c r="M20">
        <v>1</v>
      </c>
    </row>
    <row r="21" spans="1:13" x14ac:dyDescent="0.25">
      <c r="A21" s="2">
        <v>46192</v>
      </c>
      <c r="B21" s="1" t="str">
        <f ca="1">IF(Información1[[#This Row],[Fecha]]='Ajuste de fechas'!$A$2,"Día actual","Día anterior")</f>
        <v>Día anterior</v>
      </c>
      <c r="C21" t="s">
        <v>31</v>
      </c>
      <c r="D21" t="s">
        <v>33</v>
      </c>
      <c r="E21" t="s">
        <v>87</v>
      </c>
      <c r="F21" t="s">
        <v>34</v>
      </c>
      <c r="G21" t="s">
        <v>77</v>
      </c>
      <c r="H21" t="s">
        <v>8</v>
      </c>
      <c r="I21" t="s">
        <v>7</v>
      </c>
      <c r="J21" t="s">
        <v>13</v>
      </c>
      <c r="K21" t="s">
        <v>30</v>
      </c>
      <c r="L21" t="s">
        <v>24</v>
      </c>
      <c r="M21">
        <v>1</v>
      </c>
    </row>
    <row r="22" spans="1:13" x14ac:dyDescent="0.25">
      <c r="A22" s="2">
        <v>46192</v>
      </c>
      <c r="B22" s="1" t="str">
        <f ca="1">IF(Información1[[#This Row],[Fecha]]='Ajuste de fechas'!$A$2,"Día actual","Día anterior")</f>
        <v>Día anterior</v>
      </c>
      <c r="C22" t="s">
        <v>16</v>
      </c>
      <c r="D22" t="s">
        <v>178</v>
      </c>
      <c r="E22" t="s">
        <v>180</v>
      </c>
      <c r="F22" t="s">
        <v>10</v>
      </c>
      <c r="G22" t="s">
        <v>91</v>
      </c>
      <c r="H22" t="s">
        <v>8</v>
      </c>
      <c r="I22" t="s">
        <v>7</v>
      </c>
      <c r="J22" t="s">
        <v>56</v>
      </c>
      <c r="K22" t="s">
        <v>179</v>
      </c>
      <c r="L22" t="s">
        <v>24</v>
      </c>
      <c r="M22">
        <v>1</v>
      </c>
    </row>
    <row r="23" spans="1:13" x14ac:dyDescent="0.25">
      <c r="A23" s="2">
        <v>46192</v>
      </c>
      <c r="B23" s="1" t="str">
        <f ca="1">IF(Información1[[#This Row],[Fecha]]='Ajuste de fechas'!$A$2,"Día actual","Día anterior")</f>
        <v>Día anterior</v>
      </c>
      <c r="C23" t="s">
        <v>16</v>
      </c>
      <c r="D23" t="s">
        <v>178</v>
      </c>
      <c r="E23" t="s">
        <v>185</v>
      </c>
      <c r="F23" t="s">
        <v>10</v>
      </c>
      <c r="G23" t="s">
        <v>154</v>
      </c>
      <c r="H23" t="s">
        <v>8</v>
      </c>
      <c r="I23" t="s">
        <v>95</v>
      </c>
      <c r="J23" t="s">
        <v>56</v>
      </c>
      <c r="K23" t="s">
        <v>179</v>
      </c>
      <c r="L23" t="s">
        <v>161</v>
      </c>
      <c r="M23">
        <v>1</v>
      </c>
    </row>
    <row r="24" spans="1:13" x14ac:dyDescent="0.25">
      <c r="A24" s="2">
        <v>46192</v>
      </c>
      <c r="B24" s="1" t="str">
        <f ca="1">IF(Información1[[#This Row],[Fecha]]='Ajuste de fechas'!$A$2,"Día actual","Día anterior")</f>
        <v>Día anterior</v>
      </c>
      <c r="C24" t="s">
        <v>16</v>
      </c>
      <c r="D24" t="s">
        <v>52</v>
      </c>
      <c r="E24" t="s">
        <v>186</v>
      </c>
      <c r="F24" t="s">
        <v>11</v>
      </c>
      <c r="G24" t="s">
        <v>187</v>
      </c>
      <c r="H24" t="s">
        <v>8</v>
      </c>
      <c r="I24" t="s">
        <v>14</v>
      </c>
      <c r="J24" t="s">
        <v>55</v>
      </c>
      <c r="K24" t="s">
        <v>51</v>
      </c>
      <c r="L24" t="s">
        <v>24</v>
      </c>
      <c r="M24">
        <v>1</v>
      </c>
    </row>
    <row r="25" spans="1:13" x14ac:dyDescent="0.25">
      <c r="A25" s="2">
        <v>46192</v>
      </c>
      <c r="B25" s="1" t="str">
        <f ca="1">IF(Información1[[#This Row],[Fecha]]='Ajuste de fechas'!$A$2,"Día actual","Día anterior")</f>
        <v>Día anterior</v>
      </c>
      <c r="C25" t="s">
        <v>64</v>
      </c>
      <c r="D25" t="s">
        <v>65</v>
      </c>
      <c r="E25" t="s">
        <v>99</v>
      </c>
      <c r="F25" t="s">
        <v>60</v>
      </c>
      <c r="G25" t="s">
        <v>100</v>
      </c>
      <c r="H25" t="s">
        <v>8</v>
      </c>
      <c r="I25" t="s">
        <v>7</v>
      </c>
      <c r="J25" t="s">
        <v>54</v>
      </c>
      <c r="K25" t="s">
        <v>66</v>
      </c>
      <c r="L25" t="s">
        <v>26</v>
      </c>
      <c r="M25">
        <v>1</v>
      </c>
    </row>
    <row r="26" spans="1:13" x14ac:dyDescent="0.25">
      <c r="A26" s="2">
        <v>46192</v>
      </c>
      <c r="B26" s="1" t="str">
        <f ca="1">IF(Información1[[#This Row],[Fecha]]='Ajuste de fechas'!$A$2,"Día actual","Día anterior")</f>
        <v>Día anterior</v>
      </c>
      <c r="C26" t="s">
        <v>64</v>
      </c>
      <c r="D26" t="s">
        <v>65</v>
      </c>
      <c r="E26" t="s">
        <v>106</v>
      </c>
      <c r="F26" t="s">
        <v>6</v>
      </c>
      <c r="G26" t="s">
        <v>107</v>
      </c>
      <c r="H26" t="s">
        <v>8</v>
      </c>
      <c r="I26" t="s">
        <v>7</v>
      </c>
      <c r="J26" t="s">
        <v>54</v>
      </c>
      <c r="K26" t="s">
        <v>66</v>
      </c>
      <c r="L26" t="s">
        <v>24</v>
      </c>
      <c r="M26">
        <v>1</v>
      </c>
    </row>
    <row r="27" spans="1:13" x14ac:dyDescent="0.25">
      <c r="A27" s="2">
        <v>46192</v>
      </c>
      <c r="B27" s="1" t="str">
        <f ca="1">IF(Información1[[#This Row],[Fecha]]='Ajuste de fechas'!$A$2,"Día actual","Día anterior")</f>
        <v>Día anterior</v>
      </c>
      <c r="C27" t="s">
        <v>64</v>
      </c>
      <c r="D27" t="s">
        <v>65</v>
      </c>
      <c r="E27" t="s">
        <v>108</v>
      </c>
      <c r="F27" t="s">
        <v>67</v>
      </c>
      <c r="G27" t="s">
        <v>109</v>
      </c>
      <c r="H27" t="s">
        <v>8</v>
      </c>
      <c r="I27" t="s">
        <v>7</v>
      </c>
      <c r="J27" t="s">
        <v>54</v>
      </c>
      <c r="K27" t="s">
        <v>66</v>
      </c>
      <c r="L27" t="s">
        <v>24</v>
      </c>
      <c r="M27">
        <v>1</v>
      </c>
    </row>
    <row r="28" spans="1:13" x14ac:dyDescent="0.25">
      <c r="A28" s="2">
        <v>46192</v>
      </c>
      <c r="B28" s="1" t="str">
        <f ca="1">IF(Información1[[#This Row],[Fecha]]='Ajuste de fechas'!$A$2,"Día actual","Día anterior")</f>
        <v>Día anterior</v>
      </c>
      <c r="C28" t="s">
        <v>64</v>
      </c>
      <c r="D28" t="s">
        <v>65</v>
      </c>
      <c r="E28" t="s">
        <v>113</v>
      </c>
      <c r="F28" t="s">
        <v>82</v>
      </c>
      <c r="G28" t="s">
        <v>91</v>
      </c>
      <c r="H28" t="s">
        <v>8</v>
      </c>
      <c r="I28" t="s">
        <v>14</v>
      </c>
      <c r="J28" t="s">
        <v>54</v>
      </c>
      <c r="K28" t="s">
        <v>66</v>
      </c>
      <c r="L28" t="s">
        <v>24</v>
      </c>
      <c r="M28">
        <v>1</v>
      </c>
    </row>
    <row r="29" spans="1:13" x14ac:dyDescent="0.25">
      <c r="A29" s="2">
        <v>46192</v>
      </c>
      <c r="B29" s="1" t="str">
        <f ca="1">IF(Información1[[#This Row],[Fecha]]='Ajuste de fechas'!$A$2,"Día actual","Día anterior")</f>
        <v>Día anterior</v>
      </c>
      <c r="C29" t="s">
        <v>16</v>
      </c>
      <c r="D29" t="s">
        <v>52</v>
      </c>
      <c r="E29" t="s">
        <v>193</v>
      </c>
      <c r="F29" t="s">
        <v>10</v>
      </c>
      <c r="G29" t="s">
        <v>194</v>
      </c>
      <c r="H29" t="s">
        <v>8</v>
      </c>
      <c r="I29" t="s">
        <v>7</v>
      </c>
      <c r="J29" t="s">
        <v>56</v>
      </c>
      <c r="K29" t="s">
        <v>51</v>
      </c>
      <c r="L29" t="s">
        <v>24</v>
      </c>
      <c r="M29">
        <v>1</v>
      </c>
    </row>
    <row r="30" spans="1:13" x14ac:dyDescent="0.25">
      <c r="A30" s="2">
        <v>46192</v>
      </c>
      <c r="B30" s="1" t="str">
        <f ca="1">IF(Información1[[#This Row],[Fecha]]='Ajuste de fechas'!$A$2,"Día actual","Día anterior")</f>
        <v>Día anterior</v>
      </c>
      <c r="C30" t="s">
        <v>16</v>
      </c>
      <c r="D30" t="s">
        <v>52</v>
      </c>
      <c r="E30" t="s">
        <v>195</v>
      </c>
      <c r="F30" t="s">
        <v>10</v>
      </c>
      <c r="H30" t="s">
        <v>8</v>
      </c>
      <c r="I30" t="s">
        <v>7</v>
      </c>
      <c r="J30" t="s">
        <v>56</v>
      </c>
      <c r="K30" t="s">
        <v>51</v>
      </c>
      <c r="L30" t="s">
        <v>24</v>
      </c>
      <c r="M30">
        <v>1</v>
      </c>
    </row>
    <row r="31" spans="1:13" x14ac:dyDescent="0.25">
      <c r="A31" s="2">
        <v>46192</v>
      </c>
      <c r="B31" s="1" t="str">
        <f ca="1">IF(Información1[[#This Row],[Fecha]]='Ajuste de fechas'!$A$2,"Día actual","Día anterior")</f>
        <v>Día anterior</v>
      </c>
      <c r="C31" t="s">
        <v>64</v>
      </c>
      <c r="D31" t="s">
        <v>65</v>
      </c>
      <c r="E31" t="s">
        <v>114</v>
      </c>
      <c r="F31" t="s">
        <v>12</v>
      </c>
      <c r="G31" t="s">
        <v>115</v>
      </c>
      <c r="H31" t="s">
        <v>8</v>
      </c>
      <c r="I31" t="s">
        <v>7</v>
      </c>
      <c r="J31" t="s">
        <v>54</v>
      </c>
      <c r="K31" t="s">
        <v>66</v>
      </c>
      <c r="L31" t="s">
        <v>24</v>
      </c>
      <c r="M31">
        <v>1</v>
      </c>
    </row>
    <row r="32" spans="1:13" x14ac:dyDescent="0.25">
      <c r="A32" s="2">
        <v>46192</v>
      </c>
      <c r="B32" s="1" t="str">
        <f ca="1">IF(Información1[[#This Row],[Fecha]]='Ajuste de fechas'!$A$2,"Día actual","Día anterior")</f>
        <v>Día anterior</v>
      </c>
      <c r="C32" t="s">
        <v>16</v>
      </c>
      <c r="D32" t="s">
        <v>52</v>
      </c>
      <c r="E32" t="s">
        <v>197</v>
      </c>
      <c r="F32" t="s">
        <v>11</v>
      </c>
      <c r="G32" t="s">
        <v>198</v>
      </c>
      <c r="H32" t="s">
        <v>8</v>
      </c>
      <c r="I32" t="s">
        <v>7</v>
      </c>
      <c r="J32" t="s">
        <v>55</v>
      </c>
      <c r="K32" t="s">
        <v>51</v>
      </c>
      <c r="L32" t="s">
        <v>24</v>
      </c>
      <c r="M32">
        <v>1</v>
      </c>
    </row>
    <row r="33" spans="1:13" x14ac:dyDescent="0.25">
      <c r="A33" s="2">
        <v>46192</v>
      </c>
      <c r="B33" s="1" t="str">
        <f ca="1">IF(Información1[[#This Row],[Fecha]]='Ajuste de fechas'!$A$2,"Día actual","Día anterior")</f>
        <v>Día anterior</v>
      </c>
      <c r="C33" t="s">
        <v>64</v>
      </c>
      <c r="D33" t="s">
        <v>65</v>
      </c>
      <c r="E33" t="s">
        <v>120</v>
      </c>
      <c r="F33" t="s">
        <v>121</v>
      </c>
      <c r="G33" t="s">
        <v>122</v>
      </c>
      <c r="H33" t="s">
        <v>8</v>
      </c>
      <c r="I33" t="s">
        <v>7</v>
      </c>
      <c r="J33" t="s">
        <v>54</v>
      </c>
      <c r="K33" t="s">
        <v>66</v>
      </c>
      <c r="L33" t="s">
        <v>26</v>
      </c>
      <c r="M33">
        <v>1</v>
      </c>
    </row>
    <row r="34" spans="1:13" x14ac:dyDescent="0.25">
      <c r="A34" s="2">
        <v>46192</v>
      </c>
      <c r="B34" s="1" t="str">
        <f ca="1">IF(Información1[[#This Row],[Fecha]]='Ajuste de fechas'!$A$2,"Día actual","Día anterior")</f>
        <v>Día anterior</v>
      </c>
      <c r="C34" t="s">
        <v>64</v>
      </c>
      <c r="D34" t="s">
        <v>65</v>
      </c>
      <c r="E34" t="s">
        <v>123</v>
      </c>
      <c r="F34" t="s">
        <v>12</v>
      </c>
      <c r="G34" t="s">
        <v>124</v>
      </c>
      <c r="H34" t="s">
        <v>8</v>
      </c>
      <c r="I34" t="s">
        <v>7</v>
      </c>
      <c r="J34" t="s">
        <v>54</v>
      </c>
      <c r="K34" t="s">
        <v>66</v>
      </c>
      <c r="L34" t="s">
        <v>24</v>
      </c>
      <c r="M34">
        <v>1</v>
      </c>
    </row>
    <row r="35" spans="1:13" x14ac:dyDescent="0.25">
      <c r="A35" s="2">
        <v>46192</v>
      </c>
      <c r="B35" s="1" t="str">
        <f ca="1">IF(Información1[[#This Row],[Fecha]]='Ajuste de fechas'!$A$2,"Día actual","Día anterior")</f>
        <v>Día anterior</v>
      </c>
      <c r="C35" t="s">
        <v>16</v>
      </c>
      <c r="D35" t="s">
        <v>52</v>
      </c>
      <c r="E35" t="s">
        <v>202</v>
      </c>
      <c r="F35" t="s">
        <v>10</v>
      </c>
      <c r="G35" t="s">
        <v>57</v>
      </c>
      <c r="H35" t="s">
        <v>8</v>
      </c>
      <c r="I35" t="s">
        <v>7</v>
      </c>
      <c r="J35" t="s">
        <v>56</v>
      </c>
      <c r="K35" t="s">
        <v>51</v>
      </c>
      <c r="L35" t="s">
        <v>24</v>
      </c>
      <c r="M35">
        <v>1</v>
      </c>
    </row>
    <row r="36" spans="1:13" x14ac:dyDescent="0.25">
      <c r="A36" s="2">
        <v>46192</v>
      </c>
      <c r="B36" s="1" t="str">
        <f ca="1">IF(Información1[[#This Row],[Fecha]]='Ajuste de fechas'!$A$2,"Día actual","Día anterior")</f>
        <v>Día anterior</v>
      </c>
      <c r="C36" t="s">
        <v>203</v>
      </c>
      <c r="D36" t="s">
        <v>204</v>
      </c>
      <c r="E36" t="s">
        <v>205</v>
      </c>
      <c r="F36" t="s">
        <v>10</v>
      </c>
      <c r="G36" t="s">
        <v>96</v>
      </c>
      <c r="H36" t="s">
        <v>8</v>
      </c>
      <c r="I36" t="s">
        <v>14</v>
      </c>
      <c r="J36" t="s">
        <v>56</v>
      </c>
      <c r="K36" t="s">
        <v>75</v>
      </c>
      <c r="L36" t="s">
        <v>25</v>
      </c>
      <c r="M36">
        <v>1</v>
      </c>
    </row>
    <row r="37" spans="1:13" x14ac:dyDescent="0.25">
      <c r="A37" s="2">
        <v>46192</v>
      </c>
      <c r="B37" s="1" t="str">
        <f ca="1">IF(Información1[[#This Row],[Fecha]]='Ajuste de fechas'!$A$2,"Día actual","Día anterior")</f>
        <v>Día anterior</v>
      </c>
      <c r="C37" t="s">
        <v>203</v>
      </c>
      <c r="D37" t="s">
        <v>204</v>
      </c>
      <c r="E37" t="s">
        <v>206</v>
      </c>
      <c r="F37" t="s">
        <v>10</v>
      </c>
      <c r="G37" t="s">
        <v>96</v>
      </c>
      <c r="H37" t="s">
        <v>8</v>
      </c>
      <c r="I37" t="s">
        <v>14</v>
      </c>
      <c r="J37" t="s">
        <v>56</v>
      </c>
      <c r="K37" t="s">
        <v>75</v>
      </c>
      <c r="L37" t="s">
        <v>25</v>
      </c>
      <c r="M37">
        <v>1</v>
      </c>
    </row>
    <row r="38" spans="1:13" x14ac:dyDescent="0.25">
      <c r="A38" s="2">
        <v>46192</v>
      </c>
      <c r="B38" s="1" t="str">
        <f ca="1">IF(Información1[[#This Row],[Fecha]]='Ajuste de fechas'!$A$2,"Día actual","Día anterior")</f>
        <v>Día anterior</v>
      </c>
      <c r="C38" t="s">
        <v>203</v>
      </c>
      <c r="D38" t="s">
        <v>204</v>
      </c>
      <c r="E38" t="s">
        <v>207</v>
      </c>
      <c r="F38" t="s">
        <v>10</v>
      </c>
      <c r="G38" t="s">
        <v>96</v>
      </c>
      <c r="H38" t="s">
        <v>8</v>
      </c>
      <c r="I38" t="s">
        <v>14</v>
      </c>
      <c r="J38" t="s">
        <v>56</v>
      </c>
      <c r="K38" t="s">
        <v>75</v>
      </c>
      <c r="L38" t="s">
        <v>25</v>
      </c>
      <c r="M38">
        <v>1</v>
      </c>
    </row>
    <row r="39" spans="1:13" x14ac:dyDescent="0.25">
      <c r="A39" s="2">
        <v>46192</v>
      </c>
      <c r="B39" s="1" t="str">
        <f ca="1">IF(Información1[[#This Row],[Fecha]]='Ajuste de fechas'!$A$2,"Día actual","Día anterior")</f>
        <v>Día anterior</v>
      </c>
      <c r="C39" t="s">
        <v>64</v>
      </c>
      <c r="D39" t="s">
        <v>65</v>
      </c>
      <c r="E39" t="s">
        <v>125</v>
      </c>
      <c r="F39" t="s">
        <v>17</v>
      </c>
      <c r="G39" t="s">
        <v>126</v>
      </c>
      <c r="H39" t="s">
        <v>8</v>
      </c>
      <c r="I39" t="s">
        <v>7</v>
      </c>
      <c r="J39" t="s">
        <v>54</v>
      </c>
      <c r="K39" t="s">
        <v>66</v>
      </c>
      <c r="L39" t="s">
        <v>24</v>
      </c>
      <c r="M39">
        <v>1</v>
      </c>
    </row>
    <row r="40" spans="1:13" x14ac:dyDescent="0.25">
      <c r="A40" s="2">
        <v>46192</v>
      </c>
      <c r="B40" s="1" t="str">
        <f ca="1">IF(Información1[[#This Row],[Fecha]]='Ajuste de fechas'!$A$2,"Día actual","Día anterior")</f>
        <v>Día anterior</v>
      </c>
      <c r="C40" t="s">
        <v>64</v>
      </c>
      <c r="D40" t="s">
        <v>65</v>
      </c>
      <c r="E40" t="s">
        <v>127</v>
      </c>
      <c r="F40" t="s">
        <v>15</v>
      </c>
      <c r="G40" t="s">
        <v>128</v>
      </c>
      <c r="H40" t="s">
        <v>8</v>
      </c>
      <c r="I40" t="s">
        <v>7</v>
      </c>
      <c r="J40" t="s">
        <v>54</v>
      </c>
      <c r="K40" t="s">
        <v>66</v>
      </c>
      <c r="L40" t="s">
        <v>24</v>
      </c>
      <c r="M40">
        <v>1</v>
      </c>
    </row>
    <row r="41" spans="1:13" x14ac:dyDescent="0.25">
      <c r="A41" s="2">
        <v>46192</v>
      </c>
      <c r="B41" s="1" t="str">
        <f ca="1">IF(Información1[[#This Row],[Fecha]]='Ajuste de fechas'!$A$2,"Día actual","Día anterior")</f>
        <v>Día anterior</v>
      </c>
      <c r="C41" t="s">
        <v>69</v>
      </c>
      <c r="D41" t="s">
        <v>70</v>
      </c>
      <c r="E41" t="s">
        <v>129</v>
      </c>
      <c r="F41" t="s">
        <v>82</v>
      </c>
      <c r="H41" t="s">
        <v>63</v>
      </c>
      <c r="I41" t="s">
        <v>7</v>
      </c>
      <c r="J41" t="s">
        <v>54</v>
      </c>
      <c r="K41" t="s">
        <v>71</v>
      </c>
      <c r="L41" t="s">
        <v>24</v>
      </c>
      <c r="M41">
        <v>1</v>
      </c>
    </row>
    <row r="42" spans="1:13" x14ac:dyDescent="0.25">
      <c r="A42" s="2">
        <v>46192</v>
      </c>
      <c r="B42" s="1" t="str">
        <f ca="1">IF(Información1[[#This Row],[Fecha]]='Ajuste de fechas'!$A$2,"Día actual","Día anterior")</f>
        <v>Día anterior</v>
      </c>
      <c r="C42" t="s">
        <v>69</v>
      </c>
      <c r="D42" t="s">
        <v>70</v>
      </c>
      <c r="E42" t="s">
        <v>130</v>
      </c>
      <c r="F42" t="s">
        <v>67</v>
      </c>
      <c r="G42" t="s">
        <v>131</v>
      </c>
      <c r="H42" t="s">
        <v>63</v>
      </c>
      <c r="I42" t="s">
        <v>14</v>
      </c>
      <c r="J42" t="s">
        <v>54</v>
      </c>
      <c r="K42" t="s">
        <v>71</v>
      </c>
      <c r="L42" t="s">
        <v>25</v>
      </c>
      <c r="M42">
        <v>1</v>
      </c>
    </row>
    <row r="43" spans="1:13" x14ac:dyDescent="0.25">
      <c r="A43" s="2">
        <v>46192</v>
      </c>
      <c r="B43" s="1" t="str">
        <f ca="1">IF(Información1[[#This Row],[Fecha]]='Ajuste de fechas'!$A$2,"Día actual","Día anterior")</f>
        <v>Día anterior</v>
      </c>
      <c r="C43" t="s">
        <v>69</v>
      </c>
      <c r="D43" t="s">
        <v>70</v>
      </c>
      <c r="E43" t="s">
        <v>132</v>
      </c>
      <c r="F43" t="s">
        <v>67</v>
      </c>
      <c r="G43" t="s">
        <v>133</v>
      </c>
      <c r="H43" t="s">
        <v>63</v>
      </c>
      <c r="I43" t="s">
        <v>14</v>
      </c>
      <c r="J43" t="s">
        <v>54</v>
      </c>
      <c r="K43" t="s">
        <v>71</v>
      </c>
      <c r="L43" t="s">
        <v>25</v>
      </c>
      <c r="M43">
        <v>1</v>
      </c>
    </row>
    <row r="44" spans="1:13" x14ac:dyDescent="0.25">
      <c r="A44" s="2">
        <v>46192</v>
      </c>
      <c r="B44" s="1" t="str">
        <f ca="1">IF(Información1[[#This Row],[Fecha]]='Ajuste de fechas'!$A$2,"Día actual","Día anterior")</f>
        <v>Día anterior</v>
      </c>
      <c r="C44" t="s">
        <v>69</v>
      </c>
      <c r="D44" t="s">
        <v>70</v>
      </c>
      <c r="E44" t="s">
        <v>136</v>
      </c>
      <c r="F44" t="s">
        <v>9</v>
      </c>
      <c r="G44" t="s">
        <v>137</v>
      </c>
      <c r="H44" t="s">
        <v>63</v>
      </c>
      <c r="I44" t="s">
        <v>7</v>
      </c>
      <c r="J44" t="s">
        <v>54</v>
      </c>
      <c r="K44" t="s">
        <v>71</v>
      </c>
      <c r="L44" t="s">
        <v>26</v>
      </c>
      <c r="M44">
        <v>1</v>
      </c>
    </row>
    <row r="45" spans="1:13" x14ac:dyDescent="0.25">
      <c r="A45" s="2">
        <v>46192</v>
      </c>
      <c r="B45" s="1" t="str">
        <f ca="1">IF(Información1[[#This Row],[Fecha]]='Ajuste de fechas'!$A$2,"Día actual","Día anterior")</f>
        <v>Día anterior</v>
      </c>
      <c r="C45" t="s">
        <v>203</v>
      </c>
      <c r="D45" t="s">
        <v>204</v>
      </c>
      <c r="E45" t="s">
        <v>214</v>
      </c>
      <c r="F45" t="s">
        <v>11</v>
      </c>
      <c r="G45" t="s">
        <v>215</v>
      </c>
      <c r="H45" t="s">
        <v>8</v>
      </c>
      <c r="I45" t="s">
        <v>7</v>
      </c>
      <c r="J45" t="s">
        <v>55</v>
      </c>
      <c r="K45" t="s">
        <v>213</v>
      </c>
      <c r="L45" t="s">
        <v>74</v>
      </c>
      <c r="M45">
        <v>1</v>
      </c>
    </row>
    <row r="46" spans="1:13" x14ac:dyDescent="0.25">
      <c r="A46" s="2">
        <v>46192</v>
      </c>
      <c r="B46" s="1" t="str">
        <f ca="1">IF(Información1[[#This Row],[Fecha]]='Ajuste de fechas'!$A$2,"Día actual","Día anterior")</f>
        <v>Día anterior</v>
      </c>
      <c r="C46" t="s">
        <v>203</v>
      </c>
      <c r="D46" t="s">
        <v>204</v>
      </c>
      <c r="E46" t="s">
        <v>216</v>
      </c>
      <c r="F46" t="s">
        <v>34</v>
      </c>
      <c r="G46" t="s">
        <v>77</v>
      </c>
      <c r="H46" t="s">
        <v>8</v>
      </c>
      <c r="I46" t="s">
        <v>7</v>
      </c>
      <c r="J46" t="s">
        <v>13</v>
      </c>
      <c r="K46" t="s">
        <v>213</v>
      </c>
      <c r="L46" t="s">
        <v>24</v>
      </c>
      <c r="M46">
        <v>1</v>
      </c>
    </row>
    <row r="47" spans="1:13" x14ac:dyDescent="0.25">
      <c r="A47" s="2">
        <v>46192</v>
      </c>
      <c r="B47" s="1" t="str">
        <f ca="1">IF(Información1[[#This Row],[Fecha]]='Ajuste de fechas'!$A$2,"Día actual","Día anterior")</f>
        <v>Día anterior</v>
      </c>
      <c r="C47" t="s">
        <v>203</v>
      </c>
      <c r="D47" t="s">
        <v>204</v>
      </c>
      <c r="E47" t="s">
        <v>217</v>
      </c>
      <c r="F47" t="s">
        <v>10</v>
      </c>
      <c r="G47" t="s">
        <v>218</v>
      </c>
      <c r="H47" t="s">
        <v>8</v>
      </c>
      <c r="I47" t="s">
        <v>95</v>
      </c>
      <c r="J47" t="s">
        <v>56</v>
      </c>
      <c r="K47" t="s">
        <v>213</v>
      </c>
      <c r="L47" t="s">
        <v>25</v>
      </c>
      <c r="M47">
        <v>1</v>
      </c>
    </row>
    <row r="48" spans="1:13" x14ac:dyDescent="0.25">
      <c r="A48" s="2">
        <v>46192</v>
      </c>
      <c r="B48" s="1" t="str">
        <f ca="1">IF(Información1[[#This Row],[Fecha]]='Ajuste de fechas'!$A$2,"Día actual","Día anterior")</f>
        <v>Día anterior</v>
      </c>
      <c r="C48" t="s">
        <v>203</v>
      </c>
      <c r="D48" t="s">
        <v>204</v>
      </c>
      <c r="E48" t="s">
        <v>219</v>
      </c>
      <c r="F48" t="s">
        <v>10</v>
      </c>
      <c r="G48" t="s">
        <v>218</v>
      </c>
      <c r="H48" t="s">
        <v>8</v>
      </c>
      <c r="I48" t="s">
        <v>95</v>
      </c>
      <c r="J48" t="s">
        <v>56</v>
      </c>
      <c r="K48" t="s">
        <v>213</v>
      </c>
      <c r="L48" t="s">
        <v>25</v>
      </c>
      <c r="M48">
        <v>1</v>
      </c>
    </row>
    <row r="49" spans="1:13" x14ac:dyDescent="0.25">
      <c r="A49" s="2">
        <v>46192</v>
      </c>
      <c r="B49" s="1" t="str">
        <f ca="1">IF(Información1[[#This Row],[Fecha]]='Ajuste de fechas'!$A$2,"Día actual","Día anterior")</f>
        <v>Día anterior</v>
      </c>
      <c r="C49" t="s">
        <v>69</v>
      </c>
      <c r="D49" t="s">
        <v>70</v>
      </c>
      <c r="E49" t="s">
        <v>141</v>
      </c>
      <c r="F49" t="s">
        <v>67</v>
      </c>
      <c r="G49" t="s">
        <v>94</v>
      </c>
      <c r="H49" t="s">
        <v>63</v>
      </c>
      <c r="I49" t="s">
        <v>7</v>
      </c>
      <c r="J49" t="s">
        <v>54</v>
      </c>
      <c r="K49" t="s">
        <v>71</v>
      </c>
      <c r="L49" t="s">
        <v>24</v>
      </c>
      <c r="M49">
        <v>1</v>
      </c>
    </row>
    <row r="50" spans="1:13" x14ac:dyDescent="0.25">
      <c r="A50" s="2">
        <v>46192</v>
      </c>
      <c r="B50" s="1" t="str">
        <f ca="1">IF(Información1[[#This Row],[Fecha]]='Ajuste de fechas'!$A$2,"Día actual","Día anterior")</f>
        <v>Día anterior</v>
      </c>
      <c r="C50" t="s">
        <v>69</v>
      </c>
      <c r="D50" t="s">
        <v>70</v>
      </c>
      <c r="E50" t="s">
        <v>142</v>
      </c>
      <c r="F50" t="s">
        <v>9</v>
      </c>
      <c r="G50" t="s">
        <v>72</v>
      </c>
      <c r="H50" t="s">
        <v>63</v>
      </c>
      <c r="I50" t="s">
        <v>7</v>
      </c>
      <c r="J50" t="s">
        <v>54</v>
      </c>
      <c r="K50" t="s">
        <v>71</v>
      </c>
      <c r="L50" t="s">
        <v>25</v>
      </c>
      <c r="M50">
        <v>1</v>
      </c>
    </row>
    <row r="51" spans="1:13" x14ac:dyDescent="0.25">
      <c r="A51" s="2">
        <v>46192</v>
      </c>
      <c r="B51" s="1" t="str">
        <f ca="1">IF(Información1[[#This Row],[Fecha]]='Ajuste de fechas'!$A$2,"Día actual","Día anterior")</f>
        <v>Día anterior</v>
      </c>
      <c r="C51" t="s">
        <v>69</v>
      </c>
      <c r="D51" t="s">
        <v>70</v>
      </c>
      <c r="E51" t="s">
        <v>143</v>
      </c>
      <c r="F51" t="s">
        <v>9</v>
      </c>
      <c r="G51" t="s">
        <v>57</v>
      </c>
      <c r="H51" t="s">
        <v>63</v>
      </c>
      <c r="I51" t="s">
        <v>7</v>
      </c>
      <c r="J51" t="s">
        <v>54</v>
      </c>
      <c r="K51" t="s">
        <v>71</v>
      </c>
      <c r="L51" t="s">
        <v>24</v>
      </c>
      <c r="M51">
        <v>1</v>
      </c>
    </row>
    <row r="52" spans="1:13" x14ac:dyDescent="0.25">
      <c r="A52" s="2">
        <v>46192</v>
      </c>
      <c r="B52" s="1" t="str">
        <f ca="1">IF(Información1[[#This Row],[Fecha]]='Ajuste de fechas'!$A$2,"Día actual","Día anterior")</f>
        <v>Día anterior</v>
      </c>
      <c r="C52" t="s">
        <v>69</v>
      </c>
      <c r="D52" t="s">
        <v>70</v>
      </c>
      <c r="E52" t="s">
        <v>144</v>
      </c>
      <c r="F52" t="s">
        <v>37</v>
      </c>
      <c r="G52" t="s">
        <v>145</v>
      </c>
      <c r="H52" t="s">
        <v>63</v>
      </c>
      <c r="I52" t="s">
        <v>7</v>
      </c>
      <c r="J52" t="s">
        <v>54</v>
      </c>
      <c r="K52" t="s">
        <v>71</v>
      </c>
      <c r="L52" t="s">
        <v>26</v>
      </c>
      <c r="M52">
        <v>1</v>
      </c>
    </row>
    <row r="53" spans="1:13" x14ac:dyDescent="0.25">
      <c r="A53" s="2">
        <v>46192</v>
      </c>
      <c r="B53" s="1" t="str">
        <f ca="1">IF(Información1[[#This Row],[Fecha]]='Ajuste de fechas'!$A$2,"Día actual","Día anterior")</f>
        <v>Día anterior</v>
      </c>
      <c r="C53" t="s">
        <v>69</v>
      </c>
      <c r="D53" t="s">
        <v>70</v>
      </c>
      <c r="E53" t="s">
        <v>120</v>
      </c>
      <c r="F53" t="s">
        <v>121</v>
      </c>
      <c r="G53" t="s">
        <v>122</v>
      </c>
      <c r="H53" t="s">
        <v>63</v>
      </c>
      <c r="I53" t="s">
        <v>7</v>
      </c>
      <c r="J53" t="s">
        <v>54</v>
      </c>
      <c r="K53" t="s">
        <v>71</v>
      </c>
      <c r="L53" t="s">
        <v>26</v>
      </c>
      <c r="M53">
        <v>1</v>
      </c>
    </row>
    <row r="54" spans="1:13" x14ac:dyDescent="0.25">
      <c r="A54" s="2">
        <v>46192</v>
      </c>
      <c r="B54" s="1" t="str">
        <f ca="1">IF(Información1[[#This Row],[Fecha]]='Ajuste de fechas'!$A$2,"Día actual","Día anterior")</f>
        <v>Día anterior</v>
      </c>
      <c r="C54" t="s">
        <v>69</v>
      </c>
      <c r="D54" t="s">
        <v>70</v>
      </c>
      <c r="E54" t="s">
        <v>99</v>
      </c>
      <c r="F54" t="s">
        <v>60</v>
      </c>
      <c r="G54" t="s">
        <v>100</v>
      </c>
      <c r="H54" t="s">
        <v>63</v>
      </c>
      <c r="I54" t="s">
        <v>7</v>
      </c>
      <c r="J54" t="s">
        <v>54</v>
      </c>
      <c r="K54" t="s">
        <v>71</v>
      </c>
      <c r="L54" t="s">
        <v>26</v>
      </c>
      <c r="M54">
        <v>1</v>
      </c>
    </row>
    <row r="55" spans="1:13" x14ac:dyDescent="0.25">
      <c r="A55" s="2">
        <v>46192</v>
      </c>
      <c r="B55" s="1" t="str">
        <f ca="1">IF(Información1[[#This Row],[Fecha]]='Ajuste de fechas'!$A$2,"Día actual","Día anterior")</f>
        <v>Día anterior</v>
      </c>
      <c r="C55" t="s">
        <v>69</v>
      </c>
      <c r="D55" t="s">
        <v>70</v>
      </c>
      <c r="E55" t="s">
        <v>146</v>
      </c>
      <c r="F55" t="s">
        <v>17</v>
      </c>
      <c r="G55" t="s">
        <v>126</v>
      </c>
      <c r="H55" t="s">
        <v>63</v>
      </c>
      <c r="I55" t="s">
        <v>7</v>
      </c>
      <c r="J55" t="s">
        <v>54</v>
      </c>
      <c r="K55" t="s">
        <v>71</v>
      </c>
      <c r="L55" t="s">
        <v>26</v>
      </c>
      <c r="M55">
        <v>1</v>
      </c>
    </row>
    <row r="56" spans="1:13" x14ac:dyDescent="0.25">
      <c r="A56" s="2">
        <v>46192</v>
      </c>
      <c r="B56" s="1" t="str">
        <f ca="1">IF(Información1[[#This Row],[Fecha]]='Ajuste de fechas'!$A$2,"Día actual","Día anterior")</f>
        <v>Día anterior</v>
      </c>
      <c r="C56" t="s">
        <v>69</v>
      </c>
      <c r="D56" t="s">
        <v>70</v>
      </c>
      <c r="E56" t="s">
        <v>147</v>
      </c>
      <c r="F56" t="s">
        <v>15</v>
      </c>
      <c r="G56" t="s">
        <v>148</v>
      </c>
      <c r="H56" t="s">
        <v>63</v>
      </c>
      <c r="I56" t="s">
        <v>7</v>
      </c>
      <c r="J56" t="s">
        <v>54</v>
      </c>
      <c r="K56" t="s">
        <v>71</v>
      </c>
      <c r="L56" t="s">
        <v>24</v>
      </c>
      <c r="M56">
        <v>1</v>
      </c>
    </row>
    <row r="57" spans="1:13" x14ac:dyDescent="0.25">
      <c r="A57" s="2">
        <v>46192</v>
      </c>
      <c r="B57" s="1" t="str">
        <f ca="1">IF(Información1[[#This Row],[Fecha]]='Ajuste de fechas'!$A$2,"Día actual","Día anterior")</f>
        <v>Día anterior</v>
      </c>
      <c r="C57" t="s">
        <v>38</v>
      </c>
      <c r="D57" t="s">
        <v>39</v>
      </c>
      <c r="E57" t="s">
        <v>158</v>
      </c>
      <c r="F57" t="s">
        <v>43</v>
      </c>
      <c r="G57" t="s">
        <v>159</v>
      </c>
      <c r="H57" t="s">
        <v>8</v>
      </c>
      <c r="I57" t="s">
        <v>7</v>
      </c>
      <c r="J57" t="s">
        <v>54</v>
      </c>
      <c r="K57" t="s">
        <v>40</v>
      </c>
      <c r="L57" t="s">
        <v>26</v>
      </c>
      <c r="M57">
        <v>1</v>
      </c>
    </row>
    <row r="58" spans="1:13" x14ac:dyDescent="0.25">
      <c r="A58" s="2">
        <v>46192</v>
      </c>
      <c r="B58" s="1" t="str">
        <f ca="1">IF(Información1[[#This Row],[Fecha]]='Ajuste de fechas'!$A$2,"Día actual","Día anterior")</f>
        <v>Día anterior</v>
      </c>
      <c r="C58" t="s">
        <v>38</v>
      </c>
      <c r="D58" t="s">
        <v>39</v>
      </c>
      <c r="E58" t="s">
        <v>162</v>
      </c>
      <c r="F58" t="s">
        <v>37</v>
      </c>
      <c r="G58" t="s">
        <v>163</v>
      </c>
      <c r="H58" t="s">
        <v>8</v>
      </c>
      <c r="I58" t="s">
        <v>7</v>
      </c>
      <c r="J58" t="s">
        <v>54</v>
      </c>
      <c r="K58" t="s">
        <v>40</v>
      </c>
      <c r="L58" t="s">
        <v>26</v>
      </c>
      <c r="M58">
        <v>1</v>
      </c>
    </row>
    <row r="59" spans="1:13" x14ac:dyDescent="0.25">
      <c r="A59" s="2">
        <v>46192</v>
      </c>
      <c r="B59" s="1" t="str">
        <f ca="1">IF(Información1[[#This Row],[Fecha]]='Ajuste de fechas'!$A$2,"Día actual","Día anterior")</f>
        <v>Día anterior</v>
      </c>
      <c r="C59" t="s">
        <v>38</v>
      </c>
      <c r="D59" t="s">
        <v>39</v>
      </c>
      <c r="E59" t="s">
        <v>136</v>
      </c>
      <c r="F59" t="s">
        <v>9</v>
      </c>
      <c r="G59" t="s">
        <v>137</v>
      </c>
      <c r="H59" t="s">
        <v>8</v>
      </c>
      <c r="I59" t="s">
        <v>7</v>
      </c>
      <c r="J59" t="s">
        <v>54</v>
      </c>
      <c r="K59" t="s">
        <v>40</v>
      </c>
      <c r="L59" t="s">
        <v>26</v>
      </c>
      <c r="M59">
        <v>1</v>
      </c>
    </row>
    <row r="60" spans="1:13" x14ac:dyDescent="0.25">
      <c r="A60" s="2">
        <v>46192</v>
      </c>
      <c r="B60" s="1" t="str">
        <f ca="1">IF(Información1[[#This Row],[Fecha]]='Ajuste de fechas'!$A$2,"Día actual","Día anterior")</f>
        <v>Día anterior</v>
      </c>
      <c r="C60" t="s">
        <v>38</v>
      </c>
      <c r="D60" t="s">
        <v>39</v>
      </c>
      <c r="E60" t="s">
        <v>84</v>
      </c>
      <c r="F60" t="s">
        <v>85</v>
      </c>
      <c r="G60" t="s">
        <v>86</v>
      </c>
      <c r="H60" t="s">
        <v>8</v>
      </c>
      <c r="I60" t="s">
        <v>7</v>
      </c>
      <c r="J60" t="s">
        <v>54</v>
      </c>
      <c r="K60" t="s">
        <v>40</v>
      </c>
      <c r="L60" t="s">
        <v>26</v>
      </c>
      <c r="M60">
        <v>1</v>
      </c>
    </row>
    <row r="61" spans="1:13" x14ac:dyDescent="0.25">
      <c r="A61" s="2">
        <v>46192</v>
      </c>
      <c r="B61" s="1" t="str">
        <f ca="1">IF(Información1[[#This Row],[Fecha]]='Ajuste de fechas'!$A$2,"Día actual","Día anterior")</f>
        <v>Día anterior</v>
      </c>
      <c r="C61" t="s">
        <v>38</v>
      </c>
      <c r="D61" t="s">
        <v>39</v>
      </c>
      <c r="E61" t="s">
        <v>120</v>
      </c>
      <c r="F61" t="s">
        <v>121</v>
      </c>
      <c r="G61" t="s">
        <v>122</v>
      </c>
      <c r="H61" t="s">
        <v>8</v>
      </c>
      <c r="I61" t="s">
        <v>7</v>
      </c>
      <c r="J61" t="s">
        <v>54</v>
      </c>
      <c r="K61" t="s">
        <v>40</v>
      </c>
      <c r="L61" t="s">
        <v>26</v>
      </c>
      <c r="M61">
        <v>1</v>
      </c>
    </row>
    <row r="62" spans="1:13" x14ac:dyDescent="0.25">
      <c r="A62" s="2">
        <v>46192</v>
      </c>
      <c r="B62" s="1" t="str">
        <f ca="1">IF(Información1[[#This Row],[Fecha]]='Ajuste de fechas'!$A$2,"Día actual","Día anterior")</f>
        <v>Día anterior</v>
      </c>
      <c r="C62" t="s">
        <v>38</v>
      </c>
      <c r="D62" t="s">
        <v>39</v>
      </c>
      <c r="E62" t="s">
        <v>146</v>
      </c>
      <c r="F62" t="s">
        <v>17</v>
      </c>
      <c r="G62" t="s">
        <v>126</v>
      </c>
      <c r="H62" t="s">
        <v>8</v>
      </c>
      <c r="I62" t="s">
        <v>7</v>
      </c>
      <c r="J62" t="s">
        <v>54</v>
      </c>
      <c r="K62" t="s">
        <v>40</v>
      </c>
      <c r="L62" t="s">
        <v>26</v>
      </c>
      <c r="M62">
        <v>1</v>
      </c>
    </row>
    <row r="63" spans="1:13" x14ac:dyDescent="0.25">
      <c r="A63" s="2">
        <v>46192</v>
      </c>
      <c r="B63" s="1" t="str">
        <f ca="1">IF(Información1[[#This Row],[Fecha]]='Ajuste de fechas'!$A$2,"Día actual","Día anterior")</f>
        <v>Día anterior</v>
      </c>
      <c r="C63" t="s">
        <v>38</v>
      </c>
      <c r="D63" t="s">
        <v>39</v>
      </c>
      <c r="E63" t="s">
        <v>99</v>
      </c>
      <c r="F63" t="s">
        <v>60</v>
      </c>
      <c r="G63" t="s">
        <v>100</v>
      </c>
      <c r="H63" t="s">
        <v>8</v>
      </c>
      <c r="I63" t="s">
        <v>7</v>
      </c>
      <c r="J63" t="s">
        <v>54</v>
      </c>
      <c r="K63" t="s">
        <v>40</v>
      </c>
      <c r="L63" t="s">
        <v>26</v>
      </c>
      <c r="M63">
        <v>1</v>
      </c>
    </row>
    <row r="64" spans="1:13" x14ac:dyDescent="0.25">
      <c r="A64" s="2">
        <v>46192</v>
      </c>
      <c r="B64" s="1" t="str">
        <f ca="1">IF(Información1[[#This Row],[Fecha]]='Ajuste de fechas'!$A$2,"Día actual","Día anterior")</f>
        <v>Día anterior</v>
      </c>
      <c r="C64" t="s">
        <v>31</v>
      </c>
      <c r="D64" t="s">
        <v>33</v>
      </c>
      <c r="E64" t="s">
        <v>171</v>
      </c>
      <c r="F64" t="s">
        <v>15</v>
      </c>
      <c r="G64" t="s">
        <v>148</v>
      </c>
      <c r="H64" t="s">
        <v>8</v>
      </c>
      <c r="I64" t="s">
        <v>7</v>
      </c>
      <c r="J64" t="s">
        <v>54</v>
      </c>
      <c r="K64" t="s">
        <v>30</v>
      </c>
      <c r="L64" t="s">
        <v>24</v>
      </c>
      <c r="M64">
        <v>1</v>
      </c>
    </row>
    <row r="65" spans="1:13" x14ac:dyDescent="0.25">
      <c r="A65" s="2">
        <v>46192</v>
      </c>
      <c r="B65" s="1" t="str">
        <f ca="1">IF(Información1[[#This Row],[Fecha]]='Ajuste de fechas'!$A$2,"Día actual","Día anterior")</f>
        <v>Día anterior</v>
      </c>
      <c r="C65" t="s">
        <v>31</v>
      </c>
      <c r="D65" t="s">
        <v>33</v>
      </c>
      <c r="E65" t="s">
        <v>172</v>
      </c>
      <c r="F65" t="s">
        <v>15</v>
      </c>
      <c r="G65" t="s">
        <v>173</v>
      </c>
      <c r="H65" t="s">
        <v>8</v>
      </c>
      <c r="I65" t="s">
        <v>7</v>
      </c>
      <c r="J65" t="s">
        <v>54</v>
      </c>
      <c r="K65" t="s">
        <v>30</v>
      </c>
      <c r="L65" t="s">
        <v>24</v>
      </c>
      <c r="M65">
        <v>1</v>
      </c>
    </row>
    <row r="66" spans="1:13" x14ac:dyDescent="0.25">
      <c r="A66" s="2">
        <v>46192</v>
      </c>
      <c r="B66" s="1" t="str">
        <f ca="1">IF(Información1[[#This Row],[Fecha]]='Ajuste de fechas'!$A$2,"Día actual","Día anterior")</f>
        <v>Día anterior</v>
      </c>
      <c r="C66" t="s">
        <v>31</v>
      </c>
      <c r="D66" t="s">
        <v>33</v>
      </c>
      <c r="E66" t="s">
        <v>174</v>
      </c>
      <c r="F66" t="s">
        <v>60</v>
      </c>
      <c r="G66" t="s">
        <v>175</v>
      </c>
      <c r="H66" t="s">
        <v>8</v>
      </c>
      <c r="I66" t="s">
        <v>95</v>
      </c>
      <c r="J66" t="s">
        <v>54</v>
      </c>
      <c r="K66" t="s">
        <v>30</v>
      </c>
      <c r="L66" t="s">
        <v>25</v>
      </c>
      <c r="M66">
        <v>1</v>
      </c>
    </row>
    <row r="67" spans="1:13" x14ac:dyDescent="0.25">
      <c r="A67" s="2">
        <v>46192</v>
      </c>
      <c r="B67" s="1" t="str">
        <f ca="1">IF(Información1[[#This Row],[Fecha]]='Ajuste de fechas'!$A$2,"Día actual","Día anterior")</f>
        <v>Día anterior</v>
      </c>
      <c r="C67" t="s">
        <v>31</v>
      </c>
      <c r="D67" t="s">
        <v>33</v>
      </c>
      <c r="E67" t="s">
        <v>162</v>
      </c>
      <c r="F67" t="s">
        <v>37</v>
      </c>
      <c r="G67" t="s">
        <v>163</v>
      </c>
      <c r="H67" t="s">
        <v>8</v>
      </c>
      <c r="I67" t="s">
        <v>7</v>
      </c>
      <c r="J67" t="s">
        <v>54</v>
      </c>
      <c r="K67" t="s">
        <v>30</v>
      </c>
      <c r="L67" t="s">
        <v>26</v>
      </c>
      <c r="M67">
        <v>1</v>
      </c>
    </row>
    <row r="68" spans="1:13" x14ac:dyDescent="0.25">
      <c r="A68" s="2">
        <v>46192</v>
      </c>
      <c r="B68" s="1" t="str">
        <f ca="1">IF(Información1[[#This Row],[Fecha]]='Ajuste de fechas'!$A$2,"Día actual","Día anterior")</f>
        <v>Día anterior</v>
      </c>
      <c r="C68" t="s">
        <v>31</v>
      </c>
      <c r="D68" t="s">
        <v>33</v>
      </c>
      <c r="E68" t="s">
        <v>158</v>
      </c>
      <c r="F68" t="s">
        <v>43</v>
      </c>
      <c r="G68" t="s">
        <v>159</v>
      </c>
      <c r="H68" t="s">
        <v>8</v>
      </c>
      <c r="I68" t="s">
        <v>7</v>
      </c>
      <c r="J68" t="s">
        <v>54</v>
      </c>
      <c r="K68" t="s">
        <v>30</v>
      </c>
      <c r="L68" t="s">
        <v>26</v>
      </c>
      <c r="M68">
        <v>1</v>
      </c>
    </row>
    <row r="69" spans="1:13" x14ac:dyDescent="0.25">
      <c r="A69" s="2">
        <v>46192</v>
      </c>
      <c r="B69" s="1" t="str">
        <f ca="1">IF(Información1[[#This Row],[Fecha]]='Ajuste de fechas'!$A$2,"Día actual","Día anterior")</f>
        <v>Día anterior</v>
      </c>
      <c r="C69" t="s">
        <v>31</v>
      </c>
      <c r="D69" t="s">
        <v>33</v>
      </c>
      <c r="E69" t="s">
        <v>176</v>
      </c>
      <c r="F69" t="s">
        <v>41</v>
      </c>
      <c r="G69" t="s">
        <v>177</v>
      </c>
      <c r="H69" t="s">
        <v>8</v>
      </c>
      <c r="I69" t="s">
        <v>7</v>
      </c>
      <c r="J69" t="s">
        <v>54</v>
      </c>
      <c r="K69" t="s">
        <v>30</v>
      </c>
      <c r="L69" t="s">
        <v>26</v>
      </c>
      <c r="M69">
        <v>1</v>
      </c>
    </row>
    <row r="70" spans="1:13" x14ac:dyDescent="0.25">
      <c r="A70" s="2">
        <v>46192</v>
      </c>
      <c r="B70" s="1" t="str">
        <f ca="1">IF(Información1[[#This Row],[Fecha]]='Ajuste de fechas'!$A$2,"Día actual","Día anterior")</f>
        <v>Día anterior</v>
      </c>
      <c r="C70" t="s">
        <v>16</v>
      </c>
      <c r="D70" t="s">
        <v>178</v>
      </c>
      <c r="E70" t="s">
        <v>79</v>
      </c>
      <c r="F70" t="s">
        <v>58</v>
      </c>
      <c r="G70" t="s">
        <v>59</v>
      </c>
      <c r="H70" t="s">
        <v>8</v>
      </c>
      <c r="I70" t="s">
        <v>7</v>
      </c>
      <c r="J70" t="s">
        <v>54</v>
      </c>
      <c r="K70" t="s">
        <v>179</v>
      </c>
      <c r="L70" t="s">
        <v>26</v>
      </c>
      <c r="M70">
        <v>1</v>
      </c>
    </row>
    <row r="71" spans="1:13" x14ac:dyDescent="0.25">
      <c r="A71" s="2">
        <v>46192</v>
      </c>
      <c r="B71" s="1" t="str">
        <f ca="1">IF(Información1[[#This Row],[Fecha]]='Ajuste de fechas'!$A$2,"Día actual","Día anterior")</f>
        <v>Día anterior</v>
      </c>
      <c r="C71" t="s">
        <v>16</v>
      </c>
      <c r="D71" t="s">
        <v>178</v>
      </c>
      <c r="E71" t="s">
        <v>181</v>
      </c>
      <c r="F71" t="s">
        <v>43</v>
      </c>
      <c r="G71" t="s">
        <v>159</v>
      </c>
      <c r="H71" t="s">
        <v>8</v>
      </c>
      <c r="I71" t="s">
        <v>7</v>
      </c>
      <c r="J71" t="s">
        <v>54</v>
      </c>
      <c r="K71" t="s">
        <v>179</v>
      </c>
      <c r="L71" t="s">
        <v>26</v>
      </c>
      <c r="M71">
        <v>1</v>
      </c>
    </row>
    <row r="72" spans="1:13" x14ac:dyDescent="0.25">
      <c r="A72" s="2">
        <v>46192</v>
      </c>
      <c r="B72" s="1" t="str">
        <f ca="1">IF(Información1[[#This Row],[Fecha]]='Ajuste de fechas'!$A$2,"Día actual","Día anterior")</f>
        <v>Día anterior</v>
      </c>
      <c r="C72" t="s">
        <v>16</v>
      </c>
      <c r="D72" t="s">
        <v>178</v>
      </c>
      <c r="E72" t="s">
        <v>144</v>
      </c>
      <c r="F72" t="s">
        <v>37</v>
      </c>
      <c r="G72" t="s">
        <v>145</v>
      </c>
      <c r="H72" t="s">
        <v>8</v>
      </c>
      <c r="I72" t="s">
        <v>7</v>
      </c>
      <c r="J72" t="s">
        <v>54</v>
      </c>
      <c r="K72" t="s">
        <v>179</v>
      </c>
      <c r="L72" t="s">
        <v>26</v>
      </c>
      <c r="M72">
        <v>1</v>
      </c>
    </row>
    <row r="73" spans="1:13" x14ac:dyDescent="0.25">
      <c r="A73" s="2">
        <v>46192</v>
      </c>
      <c r="B73" s="1" t="str">
        <f ca="1">IF(Información1[[#This Row],[Fecha]]='Ajuste de fechas'!$A$2,"Día actual","Día anterior")</f>
        <v>Día anterior</v>
      </c>
      <c r="C73" t="s">
        <v>16</v>
      </c>
      <c r="D73" t="s">
        <v>178</v>
      </c>
      <c r="E73" t="s">
        <v>182</v>
      </c>
      <c r="F73" t="s">
        <v>183</v>
      </c>
      <c r="G73" t="s">
        <v>173</v>
      </c>
      <c r="H73" t="s">
        <v>8</v>
      </c>
      <c r="I73" t="s">
        <v>7</v>
      </c>
      <c r="J73" t="s">
        <v>54</v>
      </c>
      <c r="K73" t="s">
        <v>179</v>
      </c>
      <c r="L73" t="s">
        <v>24</v>
      </c>
      <c r="M73">
        <v>1</v>
      </c>
    </row>
    <row r="74" spans="1:13" x14ac:dyDescent="0.25">
      <c r="A74" s="2">
        <v>46192</v>
      </c>
      <c r="B74" s="1" t="str">
        <f ca="1">IF(Información1[[#This Row],[Fecha]]='Ajuste de fechas'!$A$2,"Día actual","Día anterior")</f>
        <v>Día anterior</v>
      </c>
      <c r="C74" t="s">
        <v>16</v>
      </c>
      <c r="D74" t="s">
        <v>178</v>
      </c>
      <c r="E74" t="s">
        <v>182</v>
      </c>
      <c r="F74" t="s">
        <v>15</v>
      </c>
      <c r="G74" t="s">
        <v>173</v>
      </c>
      <c r="H74" t="s">
        <v>8</v>
      </c>
      <c r="I74" t="s">
        <v>7</v>
      </c>
      <c r="J74" t="s">
        <v>54</v>
      </c>
      <c r="K74" t="s">
        <v>179</v>
      </c>
      <c r="L74" t="s">
        <v>24</v>
      </c>
      <c r="M74">
        <v>1</v>
      </c>
    </row>
    <row r="75" spans="1:13" x14ac:dyDescent="0.25">
      <c r="A75" s="2">
        <v>46192</v>
      </c>
      <c r="B75" s="1" t="str">
        <f ca="1">IF(Información1[[#This Row],[Fecha]]='Ajuste de fechas'!$A$2,"Día actual","Día anterior")</f>
        <v>Día anterior</v>
      </c>
      <c r="C75" t="s">
        <v>16</v>
      </c>
      <c r="D75" t="s">
        <v>178</v>
      </c>
      <c r="E75" t="s">
        <v>184</v>
      </c>
      <c r="F75" t="s">
        <v>41</v>
      </c>
      <c r="G75" t="s">
        <v>177</v>
      </c>
      <c r="H75" t="s">
        <v>8</v>
      </c>
      <c r="I75" t="s">
        <v>7</v>
      </c>
      <c r="J75" t="s">
        <v>54</v>
      </c>
      <c r="K75" t="s">
        <v>179</v>
      </c>
      <c r="L75" t="s">
        <v>26</v>
      </c>
      <c r="M75">
        <v>1</v>
      </c>
    </row>
    <row r="76" spans="1:13" x14ac:dyDescent="0.25">
      <c r="A76" s="2">
        <v>46192</v>
      </c>
      <c r="B76" s="1" t="str">
        <f ca="1">IF(Información1[[#This Row],[Fecha]]='Ajuste de fechas'!$A$2,"Día actual","Día anterior")</f>
        <v>Día anterior</v>
      </c>
      <c r="C76" t="s">
        <v>48</v>
      </c>
      <c r="D76" t="s">
        <v>50</v>
      </c>
      <c r="E76" t="s">
        <v>144</v>
      </c>
      <c r="F76" t="s">
        <v>37</v>
      </c>
      <c r="G76" t="s">
        <v>145</v>
      </c>
      <c r="H76" t="s">
        <v>8</v>
      </c>
      <c r="I76" t="s">
        <v>7</v>
      </c>
      <c r="J76" t="s">
        <v>54</v>
      </c>
      <c r="K76" t="s">
        <v>49</v>
      </c>
      <c r="L76" t="s">
        <v>26</v>
      </c>
      <c r="M76">
        <v>1</v>
      </c>
    </row>
    <row r="77" spans="1:13" x14ac:dyDescent="0.25">
      <c r="A77" s="2">
        <v>46192</v>
      </c>
      <c r="B77" s="1" t="str">
        <f ca="1">IF(Información1[[#This Row],[Fecha]]='Ajuste de fechas'!$A$2,"Día actual","Día anterior")</f>
        <v>Día anterior</v>
      </c>
      <c r="C77" t="s">
        <v>44</v>
      </c>
      <c r="D77" t="s">
        <v>45</v>
      </c>
      <c r="E77" t="s">
        <v>144</v>
      </c>
      <c r="F77" t="s">
        <v>37</v>
      </c>
      <c r="G77" t="s">
        <v>145</v>
      </c>
      <c r="H77" t="s">
        <v>8</v>
      </c>
      <c r="I77" t="s">
        <v>7</v>
      </c>
      <c r="J77" t="s">
        <v>54</v>
      </c>
      <c r="K77" t="s">
        <v>46</v>
      </c>
      <c r="L77" t="s">
        <v>26</v>
      </c>
      <c r="M77">
        <v>1</v>
      </c>
    </row>
    <row r="78" spans="1:13" x14ac:dyDescent="0.25">
      <c r="A78" s="2">
        <v>46192</v>
      </c>
      <c r="B78" s="1" t="str">
        <f ca="1">IF(Información1[[#This Row],[Fecha]]='Ajuste de fechas'!$A$2,"Día actual","Día anterior")</f>
        <v>Día anterior</v>
      </c>
      <c r="C78" t="s">
        <v>16</v>
      </c>
      <c r="D78" t="s">
        <v>52</v>
      </c>
      <c r="E78" t="s">
        <v>188</v>
      </c>
      <c r="F78" t="s">
        <v>17</v>
      </c>
      <c r="G78" t="s">
        <v>189</v>
      </c>
      <c r="H78" t="s">
        <v>8</v>
      </c>
      <c r="I78" t="s">
        <v>7</v>
      </c>
      <c r="J78" t="s">
        <v>54</v>
      </c>
      <c r="K78" t="s">
        <v>51</v>
      </c>
      <c r="L78" t="s">
        <v>24</v>
      </c>
      <c r="M78">
        <v>1</v>
      </c>
    </row>
    <row r="79" spans="1:13" x14ac:dyDescent="0.25">
      <c r="A79" s="2">
        <v>46192</v>
      </c>
      <c r="B79" s="1" t="str">
        <f ca="1">IF(Información1[[#This Row],[Fecha]]='Ajuste de fechas'!$A$2,"Día actual","Día anterior")</f>
        <v>Día anterior</v>
      </c>
      <c r="C79" t="s">
        <v>16</v>
      </c>
      <c r="D79" t="s">
        <v>52</v>
      </c>
      <c r="E79" t="s">
        <v>190</v>
      </c>
      <c r="F79" t="s">
        <v>121</v>
      </c>
      <c r="G79" t="s">
        <v>122</v>
      </c>
      <c r="H79" t="s">
        <v>8</v>
      </c>
      <c r="I79" t="s">
        <v>7</v>
      </c>
      <c r="J79" t="s">
        <v>54</v>
      </c>
      <c r="K79" t="s">
        <v>51</v>
      </c>
      <c r="L79" t="s">
        <v>24</v>
      </c>
      <c r="M79">
        <v>1</v>
      </c>
    </row>
    <row r="80" spans="1:13" x14ac:dyDescent="0.25">
      <c r="A80" s="2">
        <v>46192</v>
      </c>
      <c r="B80" s="1" t="str">
        <f ca="1">IF(Información1[[#This Row],[Fecha]]='Ajuste de fechas'!$A$2,"Día actual","Día anterior")</f>
        <v>Día anterior</v>
      </c>
      <c r="C80" t="s">
        <v>16</v>
      </c>
      <c r="D80" t="s">
        <v>52</v>
      </c>
      <c r="E80" t="s">
        <v>191</v>
      </c>
      <c r="F80" t="s">
        <v>37</v>
      </c>
      <c r="G80" t="s">
        <v>145</v>
      </c>
      <c r="H80" t="s">
        <v>8</v>
      </c>
      <c r="I80" t="s">
        <v>7</v>
      </c>
      <c r="J80" t="s">
        <v>54</v>
      </c>
      <c r="K80" t="s">
        <v>51</v>
      </c>
      <c r="L80" t="s">
        <v>24</v>
      </c>
      <c r="M80">
        <v>1</v>
      </c>
    </row>
    <row r="81" spans="1:13" x14ac:dyDescent="0.25">
      <c r="A81" s="2">
        <v>46192</v>
      </c>
      <c r="B81" s="1" t="str">
        <f ca="1">IF(Información1[[#This Row],[Fecha]]='Ajuste de fechas'!$A$2,"Día actual","Día anterior")</f>
        <v>Día anterior</v>
      </c>
      <c r="C81" t="s">
        <v>16</v>
      </c>
      <c r="D81" t="s">
        <v>52</v>
      </c>
      <c r="E81" t="s">
        <v>192</v>
      </c>
      <c r="F81" t="s">
        <v>41</v>
      </c>
      <c r="G81" t="s">
        <v>177</v>
      </c>
      <c r="H81" t="s">
        <v>8</v>
      </c>
      <c r="I81" t="s">
        <v>7</v>
      </c>
      <c r="J81" t="s">
        <v>54</v>
      </c>
      <c r="K81" t="s">
        <v>51</v>
      </c>
      <c r="L81" t="s">
        <v>24</v>
      </c>
      <c r="M81">
        <v>1</v>
      </c>
    </row>
    <row r="82" spans="1:13" x14ac:dyDescent="0.25">
      <c r="A82" s="2">
        <v>46192</v>
      </c>
      <c r="B82" s="1" t="str">
        <f ca="1">IF(Información1[[#This Row],[Fecha]]='Ajuste de fechas'!$A$2,"Día actual","Día anterior")</f>
        <v>Día anterior</v>
      </c>
      <c r="C82" t="s">
        <v>16</v>
      </c>
      <c r="D82" t="s">
        <v>52</v>
      </c>
      <c r="E82" t="s">
        <v>196</v>
      </c>
      <c r="F82" t="s">
        <v>43</v>
      </c>
      <c r="G82" t="s">
        <v>159</v>
      </c>
      <c r="H82" t="s">
        <v>8</v>
      </c>
      <c r="I82" t="s">
        <v>7</v>
      </c>
      <c r="J82" t="s">
        <v>54</v>
      </c>
      <c r="K82" t="s">
        <v>51</v>
      </c>
      <c r="L82" t="s">
        <v>24</v>
      </c>
      <c r="M82">
        <v>1</v>
      </c>
    </row>
    <row r="83" spans="1:13" x14ac:dyDescent="0.25">
      <c r="A83" s="2">
        <v>46192</v>
      </c>
      <c r="B83" s="1" t="str">
        <f ca="1">IF(Información1[[#This Row],[Fecha]]='Ajuste de fechas'!$A$2,"Día actual","Día anterior")</f>
        <v>Día anterior</v>
      </c>
      <c r="C83" t="s">
        <v>16</v>
      </c>
      <c r="D83" t="s">
        <v>52</v>
      </c>
      <c r="E83" t="s">
        <v>199</v>
      </c>
      <c r="F83" t="s">
        <v>17</v>
      </c>
      <c r="G83" t="s">
        <v>126</v>
      </c>
      <c r="H83" t="s">
        <v>8</v>
      </c>
      <c r="I83" t="s">
        <v>7</v>
      </c>
      <c r="J83" t="s">
        <v>54</v>
      </c>
      <c r="K83" t="s">
        <v>51</v>
      </c>
      <c r="L83" t="s">
        <v>24</v>
      </c>
      <c r="M83">
        <v>1</v>
      </c>
    </row>
    <row r="84" spans="1:13" x14ac:dyDescent="0.25">
      <c r="A84" s="2">
        <v>46192</v>
      </c>
      <c r="B84" s="1" t="str">
        <f ca="1">IF(Información1[[#This Row],[Fecha]]='Ajuste de fechas'!$A$2,"Día actual","Día anterior")</f>
        <v>Día anterior</v>
      </c>
      <c r="C84" t="s">
        <v>16</v>
      </c>
      <c r="D84" t="s">
        <v>52</v>
      </c>
      <c r="E84" t="s">
        <v>200</v>
      </c>
      <c r="F84" t="s">
        <v>35</v>
      </c>
      <c r="G84" t="s">
        <v>201</v>
      </c>
      <c r="H84" t="s">
        <v>8</v>
      </c>
      <c r="I84" t="s">
        <v>7</v>
      </c>
      <c r="J84" t="s">
        <v>54</v>
      </c>
      <c r="K84" t="s">
        <v>51</v>
      </c>
      <c r="L84" t="s">
        <v>24</v>
      </c>
      <c r="M84">
        <v>1</v>
      </c>
    </row>
    <row r="85" spans="1:13" x14ac:dyDescent="0.25">
      <c r="A85" s="2">
        <v>46192</v>
      </c>
      <c r="B85" s="1" t="str">
        <f ca="1">IF(Información1[[#This Row],[Fecha]]='Ajuste de fechas'!$A$2,"Día actual","Día anterior")</f>
        <v>Día anterior</v>
      </c>
      <c r="C85" t="s">
        <v>203</v>
      </c>
      <c r="D85" t="s">
        <v>204</v>
      </c>
      <c r="E85" t="s">
        <v>208</v>
      </c>
      <c r="F85" t="s">
        <v>6</v>
      </c>
      <c r="G85" t="s">
        <v>209</v>
      </c>
      <c r="H85" t="s">
        <v>8</v>
      </c>
      <c r="I85" t="s">
        <v>14</v>
      </c>
      <c r="J85" t="s">
        <v>54</v>
      </c>
      <c r="K85" t="s">
        <v>75</v>
      </c>
      <c r="L85" t="s">
        <v>25</v>
      </c>
      <c r="M85">
        <v>1</v>
      </c>
    </row>
    <row r="86" spans="1:13" x14ac:dyDescent="0.25">
      <c r="A86" s="2">
        <v>46192</v>
      </c>
      <c r="B86" s="1" t="str">
        <f ca="1">IF(Información1[[#This Row],[Fecha]]='Ajuste de fechas'!$A$2,"Día actual","Día anterior")</f>
        <v>Día anterior</v>
      </c>
      <c r="C86" t="s">
        <v>203</v>
      </c>
      <c r="D86" t="s">
        <v>204</v>
      </c>
      <c r="E86" t="s">
        <v>210</v>
      </c>
      <c r="F86" t="s">
        <v>82</v>
      </c>
      <c r="G86" t="s">
        <v>211</v>
      </c>
      <c r="H86" t="s">
        <v>8</v>
      </c>
      <c r="I86" t="s">
        <v>7</v>
      </c>
      <c r="J86" t="s">
        <v>54</v>
      </c>
      <c r="K86" t="s">
        <v>75</v>
      </c>
      <c r="L86" t="s">
        <v>25</v>
      </c>
      <c r="M86">
        <v>1</v>
      </c>
    </row>
    <row r="87" spans="1:13" x14ac:dyDescent="0.25">
      <c r="A87" s="2">
        <v>46192</v>
      </c>
      <c r="B87" s="1" t="str">
        <f ca="1">IF(Información1[[#This Row],[Fecha]]='Ajuste de fechas'!$A$2,"Día actual","Día anterior")</f>
        <v>Día anterior</v>
      </c>
      <c r="C87" t="s">
        <v>203</v>
      </c>
      <c r="D87" t="s">
        <v>204</v>
      </c>
      <c r="E87" t="s">
        <v>212</v>
      </c>
      <c r="F87" t="s">
        <v>82</v>
      </c>
      <c r="G87" t="s">
        <v>211</v>
      </c>
      <c r="H87" t="s">
        <v>8</v>
      </c>
      <c r="I87" t="s">
        <v>7</v>
      </c>
      <c r="J87" t="s">
        <v>54</v>
      </c>
      <c r="K87" t="s">
        <v>213</v>
      </c>
      <c r="L87" t="s">
        <v>24</v>
      </c>
      <c r="M87">
        <v>1</v>
      </c>
    </row>
    <row r="88" spans="1:13" x14ac:dyDescent="0.25">
      <c r="A88" s="2">
        <v>46192</v>
      </c>
      <c r="B88" s="1" t="str">
        <f ca="1">IF(Información1[[#This Row],[Fecha]]='Ajuste de fechas'!$A$2,"Día actual","Día anterior")</f>
        <v>Día anterior</v>
      </c>
      <c r="C88" t="s">
        <v>203</v>
      </c>
      <c r="D88" t="s">
        <v>204</v>
      </c>
      <c r="E88" t="s">
        <v>146</v>
      </c>
      <c r="F88" t="s">
        <v>17</v>
      </c>
      <c r="G88" t="s">
        <v>126</v>
      </c>
      <c r="H88" t="s">
        <v>8</v>
      </c>
      <c r="I88" t="s">
        <v>7</v>
      </c>
      <c r="J88" t="s">
        <v>54</v>
      </c>
      <c r="K88" t="s">
        <v>213</v>
      </c>
      <c r="L88" t="s">
        <v>26</v>
      </c>
      <c r="M88">
        <v>1</v>
      </c>
    </row>
    <row r="89" spans="1:13" x14ac:dyDescent="0.25">
      <c r="A89" s="2">
        <v>46192</v>
      </c>
      <c r="B89" s="1" t="str">
        <f ca="1">IF(Información1[[#This Row],[Fecha]]='Ajuste de fechas'!$A$2,"Día actual","Día anterior")</f>
        <v>Día anterior</v>
      </c>
      <c r="C89" t="s">
        <v>203</v>
      </c>
      <c r="D89" t="s">
        <v>204</v>
      </c>
      <c r="E89" t="s">
        <v>120</v>
      </c>
      <c r="F89" t="s">
        <v>121</v>
      </c>
      <c r="G89" t="s">
        <v>122</v>
      </c>
      <c r="H89" t="s">
        <v>8</v>
      </c>
      <c r="I89" t="s">
        <v>7</v>
      </c>
      <c r="J89" t="s">
        <v>54</v>
      </c>
      <c r="K89" t="s">
        <v>213</v>
      </c>
      <c r="L89" t="s">
        <v>26</v>
      </c>
      <c r="M89">
        <v>1</v>
      </c>
    </row>
    <row r="90" spans="1:13" x14ac:dyDescent="0.25">
      <c r="A90" s="2">
        <v>46192</v>
      </c>
      <c r="B90" s="1" t="str">
        <f ca="1">IF(Información1[[#This Row],[Fecha]]='Ajuste de fechas'!$A$2,"Día actual","Día anterior")</f>
        <v>Día anterior</v>
      </c>
      <c r="C90" t="s">
        <v>203</v>
      </c>
      <c r="D90" t="s">
        <v>204</v>
      </c>
      <c r="E90" t="s">
        <v>90</v>
      </c>
      <c r="F90" t="s">
        <v>12</v>
      </c>
      <c r="G90" t="s">
        <v>78</v>
      </c>
      <c r="H90" t="s">
        <v>8</v>
      </c>
      <c r="I90" t="s">
        <v>7</v>
      </c>
      <c r="J90" t="s">
        <v>54</v>
      </c>
      <c r="K90" t="s">
        <v>213</v>
      </c>
      <c r="L90" t="s">
        <v>26</v>
      </c>
      <c r="M90">
        <v>1</v>
      </c>
    </row>
    <row r="91" spans="1:13" x14ac:dyDescent="0.25">
      <c r="A91" s="2">
        <v>46192</v>
      </c>
      <c r="B91" s="1" t="str">
        <f ca="1">IF(Información1[[#This Row],[Fecha]]='Ajuste de fechas'!$A$2,"Día actual","Día anterior")</f>
        <v>Día anterior</v>
      </c>
      <c r="C91" t="s">
        <v>203</v>
      </c>
      <c r="D91" t="s">
        <v>204</v>
      </c>
      <c r="E91" t="s">
        <v>220</v>
      </c>
      <c r="F91" t="s">
        <v>60</v>
      </c>
      <c r="G91" t="s">
        <v>221</v>
      </c>
      <c r="H91" t="s">
        <v>8</v>
      </c>
      <c r="I91" t="s">
        <v>95</v>
      </c>
      <c r="J91" t="s">
        <v>54</v>
      </c>
      <c r="K91" t="s">
        <v>213</v>
      </c>
      <c r="L91" t="s">
        <v>25</v>
      </c>
      <c r="M91">
        <v>1</v>
      </c>
    </row>
    <row r="92" spans="1:13" x14ac:dyDescent="0.25">
      <c r="A92" s="2">
        <v>46192</v>
      </c>
      <c r="B92" s="1" t="str">
        <f ca="1">IF(Información1[[#This Row],[Fecha]]='Ajuste de fechas'!$A$2,"Día actual","Día anterior")</f>
        <v>Día anterior</v>
      </c>
      <c r="C92" t="s">
        <v>203</v>
      </c>
      <c r="D92" t="s">
        <v>204</v>
      </c>
      <c r="E92" t="s">
        <v>222</v>
      </c>
      <c r="F92" t="s">
        <v>9</v>
      </c>
      <c r="G92" t="s">
        <v>221</v>
      </c>
      <c r="H92" t="s">
        <v>8</v>
      </c>
      <c r="I92" t="s">
        <v>95</v>
      </c>
      <c r="J92" t="s">
        <v>54</v>
      </c>
      <c r="K92" t="s">
        <v>213</v>
      </c>
      <c r="L92" t="s">
        <v>25</v>
      </c>
      <c r="M92">
        <v>1</v>
      </c>
    </row>
    <row r="93" spans="1:13" x14ac:dyDescent="0.25">
      <c r="A93" s="2">
        <v>46192</v>
      </c>
      <c r="B93" s="1" t="str">
        <f ca="1">IF(Información1[[#This Row],[Fecha]]='Ajuste de fechas'!$A$2,"Día actual","Día anterior")</f>
        <v>Día anterior</v>
      </c>
      <c r="C93" t="s">
        <v>203</v>
      </c>
      <c r="D93" t="s">
        <v>204</v>
      </c>
      <c r="E93" t="s">
        <v>223</v>
      </c>
      <c r="F93" t="s">
        <v>76</v>
      </c>
      <c r="G93" t="s">
        <v>221</v>
      </c>
      <c r="H93" t="s">
        <v>8</v>
      </c>
      <c r="I93" t="s">
        <v>95</v>
      </c>
      <c r="J93" t="s">
        <v>54</v>
      </c>
      <c r="K93" t="s">
        <v>213</v>
      </c>
      <c r="L93" t="s">
        <v>25</v>
      </c>
      <c r="M93">
        <v>1</v>
      </c>
    </row>
    <row r="94" spans="1:13" x14ac:dyDescent="0.25">
      <c r="A94" s="2">
        <v>46192</v>
      </c>
      <c r="B94" s="1" t="str">
        <f ca="1">IF(Información1[[#This Row],[Fecha]]='Ajuste de fechas'!$A$2,"Día actual","Día anterior")</f>
        <v>Día anterior</v>
      </c>
      <c r="C94" t="s">
        <v>203</v>
      </c>
      <c r="D94" t="s">
        <v>204</v>
      </c>
      <c r="E94" t="s">
        <v>224</v>
      </c>
      <c r="F94" t="s">
        <v>6</v>
      </c>
      <c r="G94" t="s">
        <v>221</v>
      </c>
      <c r="H94" t="s">
        <v>8</v>
      </c>
      <c r="I94" t="s">
        <v>95</v>
      </c>
      <c r="J94" t="s">
        <v>54</v>
      </c>
      <c r="K94" t="s">
        <v>213</v>
      </c>
      <c r="L94" t="s">
        <v>25</v>
      </c>
      <c r="M94">
        <v>1</v>
      </c>
    </row>
    <row r="95" spans="1:13" x14ac:dyDescent="0.25">
      <c r="A95" s="2">
        <v>46192</v>
      </c>
      <c r="B95" s="1" t="str">
        <f ca="1">IF(Información1[[#This Row],[Fecha]]='Ajuste de fechas'!$A$2,"Día actual","Día anterior")</f>
        <v>Día anterior</v>
      </c>
      <c r="C95" t="s">
        <v>225</v>
      </c>
      <c r="D95" t="s">
        <v>226</v>
      </c>
      <c r="E95" t="s">
        <v>88</v>
      </c>
      <c r="F95" t="s">
        <v>15</v>
      </c>
      <c r="G95" t="s">
        <v>89</v>
      </c>
      <c r="H95" t="s">
        <v>63</v>
      </c>
      <c r="I95" t="s">
        <v>7</v>
      </c>
      <c r="J95" t="s">
        <v>54</v>
      </c>
      <c r="K95" t="s">
        <v>227</v>
      </c>
      <c r="L95" t="s">
        <v>26</v>
      </c>
      <c r="M95">
        <v>1</v>
      </c>
    </row>
    <row r="96" spans="1:13" x14ac:dyDescent="0.25">
      <c r="A96" s="2">
        <v>46195</v>
      </c>
      <c r="B96" s="1" t="str">
        <f ca="1">IF(Información1[[#This Row],[Fecha]]='Ajuste de fechas'!$A$2,"Día actual","Día anterior")</f>
        <v>Día anterior</v>
      </c>
      <c r="C96" t="s">
        <v>16</v>
      </c>
      <c r="D96" t="s">
        <v>52</v>
      </c>
      <c r="E96" t="s">
        <v>228</v>
      </c>
      <c r="F96" t="s">
        <v>9</v>
      </c>
      <c r="G96" t="s">
        <v>42</v>
      </c>
      <c r="H96" t="s">
        <v>8</v>
      </c>
      <c r="I96" t="s">
        <v>7</v>
      </c>
      <c r="J96" t="s">
        <v>54</v>
      </c>
      <c r="K96" t="s">
        <v>51</v>
      </c>
      <c r="L96" t="s">
        <v>24</v>
      </c>
      <c r="M96">
        <v>1</v>
      </c>
    </row>
    <row r="97" spans="1:13" x14ac:dyDescent="0.25">
      <c r="A97" s="2">
        <v>46195</v>
      </c>
      <c r="B97" s="1" t="str">
        <f ca="1">IF(Información1[[#This Row],[Fecha]]='Ajuste de fechas'!$A$2,"Día actual","Día anterior")</f>
        <v>Día anterior</v>
      </c>
      <c r="C97" t="s">
        <v>16</v>
      </c>
      <c r="D97" t="s">
        <v>52</v>
      </c>
      <c r="E97" t="s">
        <v>229</v>
      </c>
      <c r="F97" t="s">
        <v>58</v>
      </c>
      <c r="G97" t="s">
        <v>59</v>
      </c>
      <c r="H97" t="s">
        <v>8</v>
      </c>
      <c r="I97" t="s">
        <v>7</v>
      </c>
      <c r="J97" t="s">
        <v>54</v>
      </c>
      <c r="K97" t="s">
        <v>51</v>
      </c>
      <c r="L97" t="s">
        <v>24</v>
      </c>
      <c r="M97">
        <v>1</v>
      </c>
    </row>
    <row r="98" spans="1:13" x14ac:dyDescent="0.25">
      <c r="A98" s="2">
        <v>46195</v>
      </c>
      <c r="B98" s="1" t="str">
        <f ca="1">IF(Información1[[#This Row],[Fecha]]='Ajuste de fechas'!$A$2,"Día actual","Día anterior")</f>
        <v>Día anterior</v>
      </c>
      <c r="C98" t="s">
        <v>203</v>
      </c>
      <c r="D98" t="s">
        <v>204</v>
      </c>
      <c r="E98" t="s">
        <v>230</v>
      </c>
      <c r="F98" t="s">
        <v>12</v>
      </c>
      <c r="G98" t="s">
        <v>231</v>
      </c>
      <c r="H98" t="s">
        <v>8</v>
      </c>
      <c r="I98" t="s">
        <v>7</v>
      </c>
      <c r="J98" t="s">
        <v>54</v>
      </c>
      <c r="K98" t="s">
        <v>213</v>
      </c>
      <c r="L98" t="s">
        <v>24</v>
      </c>
      <c r="M98">
        <v>1</v>
      </c>
    </row>
    <row r="99" spans="1:13" x14ac:dyDescent="0.25">
      <c r="A99" s="2">
        <v>46195</v>
      </c>
      <c r="B99" s="1" t="str">
        <f ca="1">IF(Información1[[#This Row],[Fecha]]='Ajuste de fechas'!$A$2,"Día actual","Día anterior")</f>
        <v>Día anterior</v>
      </c>
      <c r="C99" t="s">
        <v>16</v>
      </c>
      <c r="D99" t="s">
        <v>52</v>
      </c>
      <c r="E99" t="s">
        <v>232</v>
      </c>
      <c r="F99" t="s">
        <v>10</v>
      </c>
      <c r="G99" t="s">
        <v>233</v>
      </c>
      <c r="H99" t="s">
        <v>8</v>
      </c>
      <c r="I99" t="s">
        <v>7</v>
      </c>
      <c r="J99" t="s">
        <v>56</v>
      </c>
      <c r="K99" t="s">
        <v>51</v>
      </c>
      <c r="L99" t="s">
        <v>24</v>
      </c>
      <c r="M99">
        <v>1</v>
      </c>
    </row>
    <row r="100" spans="1:13" x14ac:dyDescent="0.25">
      <c r="A100" s="2">
        <v>46195</v>
      </c>
      <c r="B100" s="1" t="str">
        <f ca="1">IF(Información1[[#This Row],[Fecha]]='Ajuste de fechas'!$A$2,"Día actual","Día anterior")</f>
        <v>Día anterior</v>
      </c>
      <c r="C100" t="s">
        <v>203</v>
      </c>
      <c r="D100" t="s">
        <v>204</v>
      </c>
      <c r="E100" t="s">
        <v>217</v>
      </c>
      <c r="F100" t="s">
        <v>10</v>
      </c>
      <c r="G100" t="s">
        <v>218</v>
      </c>
      <c r="H100" t="s">
        <v>8</v>
      </c>
      <c r="I100" t="s">
        <v>95</v>
      </c>
      <c r="J100" t="s">
        <v>56</v>
      </c>
      <c r="K100" t="s">
        <v>213</v>
      </c>
      <c r="L100" t="s">
        <v>25</v>
      </c>
      <c r="M100">
        <v>1</v>
      </c>
    </row>
    <row r="101" spans="1:13" x14ac:dyDescent="0.25">
      <c r="A101" s="2">
        <v>46195</v>
      </c>
      <c r="B101" s="1" t="str">
        <f ca="1">IF(Información1[[#This Row],[Fecha]]='Ajuste de fechas'!$A$2,"Día actual","Día anterior")</f>
        <v>Día anterior</v>
      </c>
      <c r="C101" t="s">
        <v>203</v>
      </c>
      <c r="D101" t="s">
        <v>204</v>
      </c>
      <c r="E101" t="s">
        <v>219</v>
      </c>
      <c r="F101" t="s">
        <v>10</v>
      </c>
      <c r="G101" t="s">
        <v>218</v>
      </c>
      <c r="H101" t="s">
        <v>8</v>
      </c>
      <c r="I101" t="s">
        <v>95</v>
      </c>
      <c r="J101" t="s">
        <v>56</v>
      </c>
      <c r="K101" t="s">
        <v>213</v>
      </c>
      <c r="L101" t="s">
        <v>25</v>
      </c>
      <c r="M101">
        <v>1</v>
      </c>
    </row>
    <row r="102" spans="1:13" x14ac:dyDescent="0.25">
      <c r="A102" s="2">
        <v>46195</v>
      </c>
      <c r="B102" s="1" t="str">
        <f ca="1">IF(Información1[[#This Row],[Fecha]]='Ajuste de fechas'!$A$2,"Día actual","Día anterior")</f>
        <v>Día anterior</v>
      </c>
      <c r="C102" t="s">
        <v>203</v>
      </c>
      <c r="D102" t="s">
        <v>204</v>
      </c>
      <c r="E102" t="s">
        <v>220</v>
      </c>
      <c r="F102" t="s">
        <v>60</v>
      </c>
      <c r="G102" t="s">
        <v>218</v>
      </c>
      <c r="H102" t="s">
        <v>8</v>
      </c>
      <c r="I102" t="s">
        <v>95</v>
      </c>
      <c r="J102" t="s">
        <v>54</v>
      </c>
      <c r="K102" t="s">
        <v>213</v>
      </c>
      <c r="L102" t="s">
        <v>25</v>
      </c>
      <c r="M102">
        <v>1</v>
      </c>
    </row>
    <row r="103" spans="1:13" x14ac:dyDescent="0.25">
      <c r="A103" s="2">
        <v>46195</v>
      </c>
      <c r="B103" s="1" t="str">
        <f ca="1">IF(Información1[[#This Row],[Fecha]]='Ajuste de fechas'!$A$2,"Día actual","Día anterior")</f>
        <v>Día anterior</v>
      </c>
      <c r="C103" t="s">
        <v>203</v>
      </c>
      <c r="D103" t="s">
        <v>204</v>
      </c>
      <c r="E103" t="s">
        <v>222</v>
      </c>
      <c r="F103" t="s">
        <v>9</v>
      </c>
      <c r="G103" t="s">
        <v>218</v>
      </c>
      <c r="H103" t="s">
        <v>8</v>
      </c>
      <c r="I103" t="s">
        <v>95</v>
      </c>
      <c r="J103" t="s">
        <v>54</v>
      </c>
      <c r="K103" t="s">
        <v>213</v>
      </c>
      <c r="L103" t="s">
        <v>25</v>
      </c>
      <c r="M103">
        <v>1</v>
      </c>
    </row>
    <row r="104" spans="1:13" x14ac:dyDescent="0.25">
      <c r="A104" s="2">
        <v>46195</v>
      </c>
      <c r="B104" s="1" t="str">
        <f ca="1">IF(Información1[[#This Row],[Fecha]]='Ajuste de fechas'!$A$2,"Día actual","Día anterior")</f>
        <v>Día anterior</v>
      </c>
      <c r="C104" t="s">
        <v>203</v>
      </c>
      <c r="D104" t="s">
        <v>204</v>
      </c>
      <c r="E104" t="s">
        <v>223</v>
      </c>
      <c r="F104" t="s">
        <v>76</v>
      </c>
      <c r="G104" t="s">
        <v>218</v>
      </c>
      <c r="H104" t="s">
        <v>8</v>
      </c>
      <c r="I104" t="s">
        <v>95</v>
      </c>
      <c r="J104" t="s">
        <v>54</v>
      </c>
      <c r="K104" t="s">
        <v>213</v>
      </c>
      <c r="L104" t="s">
        <v>25</v>
      </c>
      <c r="M104">
        <v>1</v>
      </c>
    </row>
    <row r="105" spans="1:13" x14ac:dyDescent="0.25">
      <c r="A105" s="2">
        <v>46195</v>
      </c>
      <c r="B105" s="1" t="str">
        <f ca="1">IF(Información1[[#This Row],[Fecha]]='Ajuste de fechas'!$A$2,"Día actual","Día anterior")</f>
        <v>Día anterior</v>
      </c>
      <c r="C105" t="s">
        <v>203</v>
      </c>
      <c r="D105" t="s">
        <v>204</v>
      </c>
      <c r="E105" t="s">
        <v>234</v>
      </c>
      <c r="F105" t="s">
        <v>6</v>
      </c>
      <c r="G105" t="s">
        <v>218</v>
      </c>
      <c r="H105" t="s">
        <v>8</v>
      </c>
      <c r="I105" t="s">
        <v>95</v>
      </c>
      <c r="J105" t="s">
        <v>54</v>
      </c>
      <c r="K105" t="s">
        <v>213</v>
      </c>
      <c r="L105" t="s">
        <v>25</v>
      </c>
      <c r="M105">
        <v>1</v>
      </c>
    </row>
    <row r="106" spans="1:13" x14ac:dyDescent="0.25">
      <c r="A106" s="2">
        <v>46195</v>
      </c>
      <c r="B106" s="1" t="str">
        <f ca="1">IF(Información1[[#This Row],[Fecha]]='Ajuste de fechas'!$A$2,"Día actual","Día anterior")</f>
        <v>Día anterior</v>
      </c>
      <c r="C106" t="s">
        <v>203</v>
      </c>
      <c r="D106" t="s">
        <v>204</v>
      </c>
      <c r="E106" t="s">
        <v>235</v>
      </c>
      <c r="F106" t="s">
        <v>10</v>
      </c>
      <c r="G106" t="s">
        <v>73</v>
      </c>
      <c r="H106" t="s">
        <v>8</v>
      </c>
      <c r="I106" t="s">
        <v>95</v>
      </c>
      <c r="J106" t="s">
        <v>56</v>
      </c>
      <c r="K106" t="s">
        <v>75</v>
      </c>
      <c r="L106" t="s">
        <v>25</v>
      </c>
      <c r="M106">
        <v>1</v>
      </c>
    </row>
    <row r="107" spans="1:13" x14ac:dyDescent="0.25">
      <c r="A107" s="2">
        <v>46195</v>
      </c>
      <c r="B107" s="1" t="str">
        <f ca="1">IF(Información1[[#This Row],[Fecha]]='Ajuste de fechas'!$A$2,"Día actual","Día anterior")</f>
        <v>Día anterior</v>
      </c>
      <c r="C107" t="s">
        <v>203</v>
      </c>
      <c r="D107" t="s">
        <v>204</v>
      </c>
      <c r="E107" t="s">
        <v>236</v>
      </c>
      <c r="F107" t="s">
        <v>12</v>
      </c>
      <c r="G107" t="s">
        <v>73</v>
      </c>
      <c r="H107" t="s">
        <v>8</v>
      </c>
      <c r="I107" t="s">
        <v>95</v>
      </c>
      <c r="J107" t="s">
        <v>54</v>
      </c>
      <c r="K107" t="s">
        <v>75</v>
      </c>
      <c r="L107" t="s">
        <v>25</v>
      </c>
      <c r="M107">
        <v>1</v>
      </c>
    </row>
    <row r="108" spans="1:13" x14ac:dyDescent="0.25">
      <c r="A108" s="2">
        <v>46195</v>
      </c>
      <c r="B108" s="1" t="str">
        <f ca="1">IF(Información1[[#This Row],[Fecha]]='Ajuste de fechas'!$A$2,"Día actual","Día anterior")</f>
        <v>Día anterior</v>
      </c>
      <c r="C108" t="s">
        <v>16</v>
      </c>
      <c r="D108" t="s">
        <v>52</v>
      </c>
      <c r="E108" t="s">
        <v>237</v>
      </c>
      <c r="F108" t="s">
        <v>60</v>
      </c>
      <c r="G108" t="s">
        <v>80</v>
      </c>
      <c r="H108" t="s">
        <v>8</v>
      </c>
      <c r="I108" t="s">
        <v>7</v>
      </c>
      <c r="J108" t="s">
        <v>54</v>
      </c>
      <c r="K108" t="s">
        <v>51</v>
      </c>
      <c r="L108" t="s">
        <v>24</v>
      </c>
      <c r="M108">
        <v>1</v>
      </c>
    </row>
    <row r="109" spans="1:13" x14ac:dyDescent="0.25">
      <c r="A109" s="2">
        <v>46195</v>
      </c>
      <c r="B109" s="1" t="str">
        <f ca="1">IF(Información1[[#This Row],[Fecha]]='Ajuste de fechas'!$A$2,"Día actual","Día anterior")</f>
        <v>Día anterior</v>
      </c>
      <c r="C109" t="s">
        <v>16</v>
      </c>
      <c r="D109" t="s">
        <v>52</v>
      </c>
      <c r="E109" t="s">
        <v>238</v>
      </c>
      <c r="F109" t="s">
        <v>183</v>
      </c>
      <c r="G109" t="s">
        <v>173</v>
      </c>
      <c r="H109" t="s">
        <v>8</v>
      </c>
      <c r="I109" t="s">
        <v>7</v>
      </c>
      <c r="J109" t="s">
        <v>54</v>
      </c>
      <c r="K109" t="s">
        <v>51</v>
      </c>
      <c r="L109" t="s">
        <v>24</v>
      </c>
      <c r="M109">
        <v>1</v>
      </c>
    </row>
    <row r="110" spans="1:13" x14ac:dyDescent="0.25">
      <c r="A110" s="2">
        <v>46195</v>
      </c>
      <c r="B110" s="1" t="str">
        <f ca="1">IF(Información1[[#This Row],[Fecha]]='Ajuste de fechas'!$A$2,"Día actual","Día anterior")</f>
        <v>Día anterior</v>
      </c>
      <c r="C110" t="s">
        <v>16</v>
      </c>
      <c r="D110" t="s">
        <v>52</v>
      </c>
      <c r="E110" t="s">
        <v>239</v>
      </c>
      <c r="F110" t="s">
        <v>60</v>
      </c>
      <c r="G110" t="s">
        <v>173</v>
      </c>
      <c r="H110" t="s">
        <v>8</v>
      </c>
      <c r="I110" t="s">
        <v>7</v>
      </c>
      <c r="J110" t="s">
        <v>54</v>
      </c>
      <c r="K110" t="s">
        <v>51</v>
      </c>
      <c r="L110" t="s">
        <v>24</v>
      </c>
      <c r="M110">
        <v>1</v>
      </c>
    </row>
    <row r="111" spans="1:13" x14ac:dyDescent="0.25">
      <c r="A111" s="2">
        <v>46195</v>
      </c>
      <c r="B111" s="1" t="str">
        <f ca="1">IF(Información1[[#This Row],[Fecha]]='Ajuste de fechas'!$A$2,"Día actual","Día anterior")</f>
        <v>Día anterior</v>
      </c>
      <c r="C111" t="s">
        <v>16</v>
      </c>
      <c r="D111" t="s">
        <v>52</v>
      </c>
      <c r="E111" t="s">
        <v>240</v>
      </c>
      <c r="F111" t="s">
        <v>15</v>
      </c>
      <c r="G111" t="s">
        <v>173</v>
      </c>
      <c r="H111" t="s">
        <v>8</v>
      </c>
      <c r="I111" t="s">
        <v>7</v>
      </c>
      <c r="J111" t="s">
        <v>54</v>
      </c>
      <c r="K111" t="s">
        <v>51</v>
      </c>
      <c r="L111" t="s">
        <v>24</v>
      </c>
      <c r="M111">
        <v>1</v>
      </c>
    </row>
    <row r="112" spans="1:13" x14ac:dyDescent="0.25">
      <c r="A112" s="2">
        <v>46195</v>
      </c>
      <c r="B112" s="1" t="str">
        <f ca="1">IF(Información1[[#This Row],[Fecha]]='Ajuste de fechas'!$A$2,"Día actual","Día anterior")</f>
        <v>Día anterior</v>
      </c>
      <c r="C112" t="s">
        <v>16</v>
      </c>
      <c r="D112" t="s">
        <v>52</v>
      </c>
      <c r="E112" t="s">
        <v>241</v>
      </c>
      <c r="F112" t="s">
        <v>15</v>
      </c>
      <c r="G112" t="s">
        <v>173</v>
      </c>
      <c r="H112" t="s">
        <v>8</v>
      </c>
      <c r="I112" t="s">
        <v>7</v>
      </c>
      <c r="J112" t="s">
        <v>54</v>
      </c>
      <c r="K112" t="s">
        <v>51</v>
      </c>
      <c r="L112" t="s">
        <v>24</v>
      </c>
      <c r="M112">
        <v>1</v>
      </c>
    </row>
    <row r="113" spans="1:13" x14ac:dyDescent="0.25">
      <c r="A113" s="2">
        <v>46195</v>
      </c>
      <c r="B113" s="1" t="str">
        <f ca="1">IF(Información1[[#This Row],[Fecha]]='Ajuste de fechas'!$A$2,"Día actual","Día anterior")</f>
        <v>Día anterior</v>
      </c>
      <c r="C113" t="s">
        <v>16</v>
      </c>
      <c r="D113" t="s">
        <v>52</v>
      </c>
      <c r="E113" t="s">
        <v>242</v>
      </c>
      <c r="F113" t="s">
        <v>13</v>
      </c>
      <c r="G113" t="s">
        <v>173</v>
      </c>
      <c r="H113" t="s">
        <v>8</v>
      </c>
      <c r="I113" t="s">
        <v>7</v>
      </c>
      <c r="J113" t="s">
        <v>13</v>
      </c>
      <c r="K113" t="s">
        <v>51</v>
      </c>
      <c r="L113" t="s">
        <v>24</v>
      </c>
      <c r="M113">
        <v>1</v>
      </c>
    </row>
    <row r="114" spans="1:13" x14ac:dyDescent="0.25">
      <c r="A114" s="2">
        <v>46195</v>
      </c>
      <c r="B114" s="1" t="str">
        <f ca="1">IF(Información1[[#This Row],[Fecha]]='Ajuste de fechas'!$A$2,"Día actual","Día anterior")</f>
        <v>Día anterior</v>
      </c>
      <c r="C114" t="s">
        <v>16</v>
      </c>
      <c r="D114" t="s">
        <v>52</v>
      </c>
      <c r="E114" t="s">
        <v>243</v>
      </c>
      <c r="F114" t="s">
        <v>15</v>
      </c>
      <c r="G114" t="s">
        <v>173</v>
      </c>
      <c r="H114" t="s">
        <v>8</v>
      </c>
      <c r="I114" t="s">
        <v>7</v>
      </c>
      <c r="J114" t="s">
        <v>54</v>
      </c>
      <c r="K114" t="s">
        <v>51</v>
      </c>
      <c r="L114" t="s">
        <v>24</v>
      </c>
      <c r="M114">
        <v>1</v>
      </c>
    </row>
    <row r="115" spans="1:13" x14ac:dyDescent="0.25">
      <c r="A115" s="2">
        <v>46195</v>
      </c>
      <c r="B115" s="1" t="str">
        <f ca="1">IF(Información1[[#This Row],[Fecha]]='Ajuste de fechas'!$A$2,"Día actual","Día anterior")</f>
        <v>Día anterior</v>
      </c>
      <c r="C115" t="s">
        <v>16</v>
      </c>
      <c r="D115" t="s">
        <v>52</v>
      </c>
      <c r="E115" t="s">
        <v>244</v>
      </c>
      <c r="F115" t="s">
        <v>12</v>
      </c>
      <c r="G115" t="s">
        <v>81</v>
      </c>
      <c r="H115" t="s">
        <v>8</v>
      </c>
      <c r="I115" t="s">
        <v>7</v>
      </c>
      <c r="J115" t="s">
        <v>54</v>
      </c>
      <c r="K115" t="s">
        <v>51</v>
      </c>
      <c r="L115" t="s">
        <v>24</v>
      </c>
      <c r="M115">
        <v>1</v>
      </c>
    </row>
    <row r="116" spans="1:13" x14ac:dyDescent="0.25">
      <c r="A116" s="2">
        <v>46195</v>
      </c>
      <c r="B116" s="1" t="str">
        <f ca="1">IF(Información1[[#This Row],[Fecha]]='Ajuste de fechas'!$A$2,"Día actual","Día anterior")</f>
        <v>Día anterior</v>
      </c>
      <c r="C116" t="s">
        <v>16</v>
      </c>
      <c r="D116" t="s">
        <v>52</v>
      </c>
      <c r="E116" t="s">
        <v>245</v>
      </c>
      <c r="F116" t="s">
        <v>15</v>
      </c>
      <c r="G116" t="s">
        <v>83</v>
      </c>
      <c r="H116" t="s">
        <v>8</v>
      </c>
      <c r="I116" t="s">
        <v>7</v>
      </c>
      <c r="J116" t="s">
        <v>54</v>
      </c>
      <c r="K116" t="s">
        <v>51</v>
      </c>
      <c r="L116" t="s">
        <v>24</v>
      </c>
      <c r="M116">
        <v>1</v>
      </c>
    </row>
    <row r="117" spans="1:13" x14ac:dyDescent="0.25">
      <c r="A117" s="2">
        <v>46195</v>
      </c>
      <c r="B117" s="1" t="str">
        <f ca="1">IF(Información1[[#This Row],[Fecha]]='Ajuste de fechas'!$A$2,"Día actual","Día anterior")</f>
        <v>Día anterior</v>
      </c>
      <c r="C117" t="s">
        <v>16</v>
      </c>
      <c r="D117" t="s">
        <v>52</v>
      </c>
      <c r="E117" t="s">
        <v>246</v>
      </c>
      <c r="F117" t="s">
        <v>12</v>
      </c>
      <c r="G117" t="s">
        <v>247</v>
      </c>
      <c r="H117" t="s">
        <v>8</v>
      </c>
      <c r="I117" t="s">
        <v>14</v>
      </c>
      <c r="J117" t="s">
        <v>54</v>
      </c>
      <c r="K117" t="s">
        <v>51</v>
      </c>
      <c r="L117" t="s">
        <v>24</v>
      </c>
      <c r="M117">
        <v>1</v>
      </c>
    </row>
    <row r="118" spans="1:13" x14ac:dyDescent="0.25">
      <c r="A118" s="2">
        <v>46195</v>
      </c>
      <c r="B118" s="1" t="str">
        <f ca="1">IF(Información1[[#This Row],[Fecha]]='Ajuste de fechas'!$A$2,"Día actual","Día anterior")</f>
        <v>Día anterior</v>
      </c>
      <c r="C118" t="s">
        <v>16</v>
      </c>
      <c r="D118" t="s">
        <v>52</v>
      </c>
      <c r="E118" t="s">
        <v>248</v>
      </c>
      <c r="F118" t="s">
        <v>12</v>
      </c>
      <c r="G118" t="s">
        <v>249</v>
      </c>
      <c r="H118" t="s">
        <v>8</v>
      </c>
      <c r="I118" t="s">
        <v>7</v>
      </c>
      <c r="J118" t="s">
        <v>54</v>
      </c>
      <c r="K118" t="s">
        <v>51</v>
      </c>
      <c r="L118" t="s">
        <v>24</v>
      </c>
      <c r="M118">
        <v>1</v>
      </c>
    </row>
    <row r="119" spans="1:13" x14ac:dyDescent="0.25">
      <c r="A119" s="2">
        <v>46195</v>
      </c>
      <c r="B119" s="1" t="str">
        <f ca="1">IF(Información1[[#This Row],[Fecha]]='Ajuste de fechas'!$A$2,"Día actual","Día anterior")</f>
        <v>Día anterior</v>
      </c>
      <c r="C119" t="s">
        <v>16</v>
      </c>
      <c r="D119" t="s">
        <v>52</v>
      </c>
      <c r="E119" t="s">
        <v>250</v>
      </c>
      <c r="F119" t="s">
        <v>12</v>
      </c>
      <c r="G119" t="s">
        <v>249</v>
      </c>
      <c r="H119" t="s">
        <v>8</v>
      </c>
      <c r="I119" t="s">
        <v>7</v>
      </c>
      <c r="J119" t="s">
        <v>54</v>
      </c>
      <c r="K119" t="s">
        <v>51</v>
      </c>
      <c r="L119" t="s">
        <v>24</v>
      </c>
      <c r="M119">
        <v>1</v>
      </c>
    </row>
    <row r="120" spans="1:13" x14ac:dyDescent="0.25">
      <c r="A120" s="2">
        <v>46195</v>
      </c>
      <c r="B120" s="1" t="str">
        <f ca="1">IF(Información1[[#This Row],[Fecha]]='Ajuste de fechas'!$A$2,"Día actual","Día anterior")</f>
        <v>Día anterior</v>
      </c>
      <c r="C120" t="s">
        <v>203</v>
      </c>
      <c r="D120" t="s">
        <v>204</v>
      </c>
      <c r="E120" t="s">
        <v>251</v>
      </c>
      <c r="F120" t="s">
        <v>6</v>
      </c>
      <c r="G120" t="s">
        <v>209</v>
      </c>
      <c r="H120" t="s">
        <v>8</v>
      </c>
      <c r="I120" t="s">
        <v>14</v>
      </c>
      <c r="J120" t="s">
        <v>54</v>
      </c>
      <c r="K120" t="s">
        <v>75</v>
      </c>
      <c r="L120" t="s">
        <v>25</v>
      </c>
      <c r="M120">
        <v>1</v>
      </c>
    </row>
    <row r="121" spans="1:13" x14ac:dyDescent="0.25">
      <c r="A121" s="2">
        <v>46195</v>
      </c>
      <c r="B121" s="1" t="str">
        <f ca="1">IF(Información1[[#This Row],[Fecha]]='Ajuste de fechas'!$A$2,"Día actual","Día anterior")</f>
        <v>Día anterior</v>
      </c>
      <c r="C121" t="s">
        <v>16</v>
      </c>
      <c r="D121" t="s">
        <v>52</v>
      </c>
      <c r="E121" t="s">
        <v>252</v>
      </c>
      <c r="F121" t="s">
        <v>58</v>
      </c>
      <c r="G121" t="s">
        <v>201</v>
      </c>
      <c r="H121" t="s">
        <v>8</v>
      </c>
      <c r="I121" t="s">
        <v>7</v>
      </c>
      <c r="J121" t="s">
        <v>54</v>
      </c>
      <c r="K121" t="s">
        <v>51</v>
      </c>
      <c r="L121" t="s">
        <v>24</v>
      </c>
      <c r="M121">
        <v>1</v>
      </c>
    </row>
    <row r="122" spans="1:13" x14ac:dyDescent="0.25">
      <c r="A122" s="2">
        <v>46195</v>
      </c>
      <c r="B122" s="1" t="str">
        <f ca="1">IF(Información1[[#This Row],[Fecha]]='Ajuste de fechas'!$A$2,"Día actual","Día anterior")</f>
        <v>Día anterior</v>
      </c>
      <c r="C122" t="s">
        <v>16</v>
      </c>
      <c r="D122" t="s">
        <v>52</v>
      </c>
      <c r="E122" t="s">
        <v>253</v>
      </c>
      <c r="F122" t="s">
        <v>43</v>
      </c>
      <c r="G122" t="s">
        <v>97</v>
      </c>
      <c r="H122" t="s">
        <v>8</v>
      </c>
      <c r="I122" t="s">
        <v>7</v>
      </c>
      <c r="J122" t="s">
        <v>54</v>
      </c>
      <c r="K122" t="s">
        <v>51</v>
      </c>
      <c r="L122" t="s">
        <v>24</v>
      </c>
      <c r="M122">
        <v>1</v>
      </c>
    </row>
    <row r="123" spans="1:13" x14ac:dyDescent="0.25">
      <c r="A123" s="2">
        <v>46195</v>
      </c>
      <c r="B123" s="1" t="str">
        <f ca="1">IF(Información1[[#This Row],[Fecha]]='Ajuste de fechas'!$A$2,"Día actual","Día anterior")</f>
        <v>Día anterior</v>
      </c>
      <c r="C123" t="s">
        <v>16</v>
      </c>
      <c r="D123" t="s">
        <v>52</v>
      </c>
      <c r="E123" t="s">
        <v>254</v>
      </c>
      <c r="F123" t="s">
        <v>60</v>
      </c>
      <c r="G123" t="s">
        <v>255</v>
      </c>
      <c r="H123" t="s">
        <v>8</v>
      </c>
      <c r="I123" t="s">
        <v>7</v>
      </c>
      <c r="J123" t="s">
        <v>54</v>
      </c>
      <c r="K123" t="s">
        <v>51</v>
      </c>
      <c r="L123" t="s">
        <v>26</v>
      </c>
      <c r="M123">
        <v>1</v>
      </c>
    </row>
    <row r="124" spans="1:13" x14ac:dyDescent="0.25">
      <c r="A124" s="2">
        <v>46195</v>
      </c>
      <c r="B124" s="1" t="str">
        <f ca="1">IF(Información1[[#This Row],[Fecha]]='Ajuste de fechas'!$A$2,"Día actual","Día anterior")</f>
        <v>Día anterior</v>
      </c>
      <c r="C124" t="s">
        <v>16</v>
      </c>
      <c r="D124" t="s">
        <v>52</v>
      </c>
      <c r="E124" t="s">
        <v>256</v>
      </c>
      <c r="F124" t="s">
        <v>60</v>
      </c>
      <c r="G124" t="s">
        <v>255</v>
      </c>
      <c r="H124" t="s">
        <v>8</v>
      </c>
      <c r="I124" t="s">
        <v>7</v>
      </c>
      <c r="J124" t="s">
        <v>54</v>
      </c>
      <c r="K124" t="s">
        <v>51</v>
      </c>
      <c r="L124" t="s">
        <v>24</v>
      </c>
      <c r="M124">
        <v>1</v>
      </c>
    </row>
    <row r="125" spans="1:13" x14ac:dyDescent="0.25">
      <c r="A125" s="2">
        <v>46195</v>
      </c>
      <c r="B125" s="1" t="str">
        <f ca="1">IF(Información1[[#This Row],[Fecha]]='Ajuste de fechas'!$A$2,"Día actual","Día anterior")</f>
        <v>Día anterior</v>
      </c>
      <c r="C125" t="s">
        <v>16</v>
      </c>
      <c r="D125" t="s">
        <v>52</v>
      </c>
      <c r="E125" t="s">
        <v>257</v>
      </c>
      <c r="F125" t="s">
        <v>11</v>
      </c>
      <c r="G125" t="s">
        <v>258</v>
      </c>
      <c r="H125" t="s">
        <v>8</v>
      </c>
      <c r="I125" t="s">
        <v>14</v>
      </c>
      <c r="J125" t="s">
        <v>55</v>
      </c>
      <c r="K125" t="s">
        <v>51</v>
      </c>
      <c r="L125" t="s">
        <v>24</v>
      </c>
      <c r="M125">
        <v>1</v>
      </c>
    </row>
    <row r="126" spans="1:13" x14ac:dyDescent="0.25">
      <c r="A126" s="2">
        <v>46195</v>
      </c>
      <c r="B126" s="1" t="str">
        <f ca="1">IF(Información1[[#This Row],[Fecha]]='Ajuste de fechas'!$A$2,"Día actual","Día anterior")</f>
        <v>Día anterior</v>
      </c>
      <c r="C126" t="s">
        <v>16</v>
      </c>
      <c r="D126" t="s">
        <v>52</v>
      </c>
      <c r="E126" t="s">
        <v>259</v>
      </c>
      <c r="F126" t="s">
        <v>11</v>
      </c>
      <c r="G126" t="s">
        <v>53</v>
      </c>
      <c r="H126" t="s">
        <v>8</v>
      </c>
      <c r="I126" t="s">
        <v>7</v>
      </c>
      <c r="J126" t="s">
        <v>55</v>
      </c>
      <c r="K126" t="s">
        <v>51</v>
      </c>
      <c r="L126" t="s">
        <v>24</v>
      </c>
      <c r="M126">
        <v>1</v>
      </c>
    </row>
    <row r="127" spans="1:13" x14ac:dyDescent="0.25">
      <c r="A127" s="2">
        <v>46195</v>
      </c>
      <c r="B127" s="1" t="str">
        <f ca="1">IF(Información1[[#This Row],[Fecha]]='Ajuste de fechas'!$A$2,"Día actual","Día anterior")</f>
        <v>Día anterior</v>
      </c>
      <c r="C127" t="s">
        <v>16</v>
      </c>
      <c r="D127" t="s">
        <v>52</v>
      </c>
      <c r="E127" t="s">
        <v>260</v>
      </c>
      <c r="F127" t="s">
        <v>60</v>
      </c>
      <c r="G127" t="s">
        <v>261</v>
      </c>
      <c r="H127" t="s">
        <v>8</v>
      </c>
      <c r="I127" t="s">
        <v>7</v>
      </c>
      <c r="J127" t="s">
        <v>54</v>
      </c>
      <c r="K127" t="s">
        <v>51</v>
      </c>
      <c r="L127" t="s">
        <v>24</v>
      </c>
      <c r="M127">
        <v>1</v>
      </c>
    </row>
    <row r="128" spans="1:13" x14ac:dyDescent="0.25">
      <c r="A128" s="2">
        <v>46195</v>
      </c>
      <c r="B128" s="1" t="str">
        <f ca="1">IF(Información1[[#This Row],[Fecha]]='Ajuste de fechas'!$A$2,"Día actual","Día anterior")</f>
        <v>Día anterior</v>
      </c>
      <c r="C128" t="s">
        <v>16</v>
      </c>
      <c r="D128" t="s">
        <v>52</v>
      </c>
      <c r="E128" t="s">
        <v>262</v>
      </c>
      <c r="F128" t="s">
        <v>60</v>
      </c>
      <c r="G128" t="s">
        <v>263</v>
      </c>
      <c r="H128" t="s">
        <v>8</v>
      </c>
      <c r="I128" t="s">
        <v>7</v>
      </c>
      <c r="J128" t="s">
        <v>54</v>
      </c>
      <c r="K128" t="s">
        <v>51</v>
      </c>
      <c r="L128" t="s">
        <v>24</v>
      </c>
      <c r="M128">
        <v>1</v>
      </c>
    </row>
    <row r="129" spans="1:13" x14ac:dyDescent="0.25">
      <c r="A129" s="2">
        <v>46195</v>
      </c>
      <c r="B129" s="1" t="str">
        <f ca="1">IF(Información1[[#This Row],[Fecha]]='Ajuste de fechas'!$A$2,"Día actual","Día anterior")</f>
        <v>Día anterior</v>
      </c>
      <c r="C129" t="s">
        <v>203</v>
      </c>
      <c r="D129" t="s">
        <v>204</v>
      </c>
      <c r="E129" t="s">
        <v>264</v>
      </c>
      <c r="F129" t="s">
        <v>11</v>
      </c>
      <c r="G129" t="s">
        <v>265</v>
      </c>
      <c r="H129" t="s">
        <v>8</v>
      </c>
      <c r="I129" t="s">
        <v>7</v>
      </c>
      <c r="J129" t="s">
        <v>55</v>
      </c>
      <c r="K129" t="s">
        <v>213</v>
      </c>
      <c r="L129" t="s">
        <v>24</v>
      </c>
      <c r="M129">
        <v>1</v>
      </c>
    </row>
    <row r="130" spans="1:13" x14ac:dyDescent="0.25">
      <c r="A130" s="2">
        <v>46195</v>
      </c>
      <c r="B130" s="1" t="str">
        <f ca="1">IF(Información1[[#This Row],[Fecha]]='Ajuste de fechas'!$A$2,"Día actual","Día anterior")</f>
        <v>Día anterior</v>
      </c>
      <c r="C130" t="s">
        <v>203</v>
      </c>
      <c r="D130" t="s">
        <v>204</v>
      </c>
      <c r="E130" t="s">
        <v>266</v>
      </c>
      <c r="F130" t="s">
        <v>11</v>
      </c>
      <c r="G130" t="s">
        <v>267</v>
      </c>
      <c r="H130" t="s">
        <v>8</v>
      </c>
      <c r="I130" t="s">
        <v>7</v>
      </c>
      <c r="J130" t="s">
        <v>55</v>
      </c>
      <c r="K130" t="s">
        <v>213</v>
      </c>
      <c r="L130" t="s">
        <v>24</v>
      </c>
      <c r="M130">
        <v>1</v>
      </c>
    </row>
    <row r="131" spans="1:13" x14ac:dyDescent="0.25">
      <c r="A131" s="2">
        <v>46195</v>
      </c>
      <c r="B131" s="1" t="str">
        <f ca="1">IF(Información1[[#This Row],[Fecha]]='Ajuste de fechas'!$A$2,"Día actual","Día anterior")</f>
        <v>Día anterior</v>
      </c>
      <c r="C131" t="s">
        <v>16</v>
      </c>
      <c r="D131" t="s">
        <v>52</v>
      </c>
      <c r="E131" t="s">
        <v>268</v>
      </c>
      <c r="F131" t="s">
        <v>15</v>
      </c>
      <c r="G131" t="s">
        <v>57</v>
      </c>
      <c r="H131" t="s">
        <v>8</v>
      </c>
      <c r="I131" t="s">
        <v>7</v>
      </c>
      <c r="J131" t="s">
        <v>54</v>
      </c>
      <c r="K131" t="s">
        <v>51</v>
      </c>
      <c r="L131" t="s">
        <v>24</v>
      </c>
      <c r="M131">
        <v>1</v>
      </c>
    </row>
    <row r="132" spans="1:13" x14ac:dyDescent="0.25">
      <c r="A132" s="2">
        <v>46195</v>
      </c>
      <c r="B132" s="1" t="str">
        <f ca="1">IF(Información1[[#This Row],[Fecha]]='Ajuste de fechas'!$A$2,"Día actual","Día anterior")</f>
        <v>Día anterior</v>
      </c>
      <c r="C132" t="s">
        <v>16</v>
      </c>
      <c r="D132" t="s">
        <v>52</v>
      </c>
      <c r="E132" t="s">
        <v>269</v>
      </c>
      <c r="F132" t="s">
        <v>37</v>
      </c>
      <c r="G132" t="s">
        <v>270</v>
      </c>
      <c r="H132" t="s">
        <v>8</v>
      </c>
      <c r="I132" t="s">
        <v>7</v>
      </c>
      <c r="J132" t="s">
        <v>54</v>
      </c>
      <c r="K132" t="s">
        <v>51</v>
      </c>
      <c r="L132" t="s">
        <v>24</v>
      </c>
      <c r="M132">
        <v>1</v>
      </c>
    </row>
    <row r="133" spans="1:13" x14ac:dyDescent="0.25">
      <c r="A133" s="2">
        <v>46195</v>
      </c>
      <c r="B133" s="1" t="str">
        <f ca="1">IF(Información1[[#This Row],[Fecha]]='Ajuste de fechas'!$A$2,"Día actual","Día anterior")</f>
        <v>Día anterior</v>
      </c>
      <c r="C133" t="s">
        <v>203</v>
      </c>
      <c r="D133" t="s">
        <v>204</v>
      </c>
      <c r="E133" t="s">
        <v>271</v>
      </c>
      <c r="F133" t="s">
        <v>13</v>
      </c>
      <c r="G133" t="s">
        <v>211</v>
      </c>
      <c r="H133" t="s">
        <v>8</v>
      </c>
      <c r="I133" t="s">
        <v>7</v>
      </c>
      <c r="J133" t="s">
        <v>13</v>
      </c>
      <c r="K133" t="s">
        <v>213</v>
      </c>
      <c r="L133" t="s">
        <v>24</v>
      </c>
      <c r="M133">
        <v>1</v>
      </c>
    </row>
    <row r="134" spans="1:13" x14ac:dyDescent="0.25">
      <c r="A134" s="2">
        <v>46195</v>
      </c>
      <c r="B134" s="1" t="str">
        <f ca="1">IF(Información1[[#This Row],[Fecha]]='Ajuste de fechas'!$A$2,"Día actual","Día anterior")</f>
        <v>Día anterior</v>
      </c>
      <c r="C134" t="s">
        <v>203</v>
      </c>
      <c r="D134" t="s">
        <v>204</v>
      </c>
      <c r="E134" t="s">
        <v>272</v>
      </c>
      <c r="F134" t="s">
        <v>76</v>
      </c>
      <c r="G134" t="s">
        <v>273</v>
      </c>
      <c r="H134" t="s">
        <v>8</v>
      </c>
      <c r="I134" t="s">
        <v>7</v>
      </c>
      <c r="J134" t="s">
        <v>54</v>
      </c>
      <c r="K134" t="s">
        <v>213</v>
      </c>
      <c r="L134" t="s">
        <v>24</v>
      </c>
      <c r="M134">
        <v>1</v>
      </c>
    </row>
    <row r="135" spans="1:13" x14ac:dyDescent="0.25">
      <c r="A135" s="2">
        <v>46195</v>
      </c>
      <c r="B135" s="1" t="str">
        <f ca="1">IF(Información1[[#This Row],[Fecha]]='Ajuste de fechas'!$A$2,"Día actual","Día anterior")</f>
        <v>Día anterior</v>
      </c>
      <c r="C135" t="s">
        <v>203</v>
      </c>
      <c r="D135" t="s">
        <v>204</v>
      </c>
      <c r="E135" t="s">
        <v>274</v>
      </c>
      <c r="F135" t="s">
        <v>76</v>
      </c>
      <c r="G135" t="s">
        <v>273</v>
      </c>
      <c r="H135" t="s">
        <v>8</v>
      </c>
      <c r="I135" t="s">
        <v>7</v>
      </c>
      <c r="J135" t="s">
        <v>54</v>
      </c>
      <c r="K135" t="s">
        <v>213</v>
      </c>
      <c r="L135" t="s">
        <v>25</v>
      </c>
      <c r="M135">
        <v>1</v>
      </c>
    </row>
    <row r="136" spans="1:13" x14ac:dyDescent="0.25">
      <c r="A136" s="2">
        <v>46195</v>
      </c>
      <c r="B136" s="1" t="str">
        <f ca="1">IF(Información1[[#This Row],[Fecha]]='Ajuste de fechas'!$A$2,"Día actual","Día anterior")</f>
        <v>Día anterior</v>
      </c>
      <c r="C136" t="s">
        <v>16</v>
      </c>
      <c r="D136" t="s">
        <v>52</v>
      </c>
      <c r="E136" t="s">
        <v>275</v>
      </c>
      <c r="F136" t="s">
        <v>10</v>
      </c>
      <c r="G136" t="s">
        <v>91</v>
      </c>
      <c r="H136" t="s">
        <v>8</v>
      </c>
      <c r="I136" t="s">
        <v>7</v>
      </c>
      <c r="J136" t="s">
        <v>56</v>
      </c>
      <c r="K136" t="s">
        <v>51</v>
      </c>
      <c r="L136" t="s">
        <v>24</v>
      </c>
      <c r="M136">
        <v>1</v>
      </c>
    </row>
    <row r="137" spans="1:13" x14ac:dyDescent="0.25">
      <c r="A137" s="2">
        <v>46195</v>
      </c>
      <c r="B137" s="1" t="str">
        <f ca="1">IF(Información1[[#This Row],[Fecha]]='Ajuste de fechas'!$A$2,"Día actual","Día anterior")</f>
        <v>Día anterior</v>
      </c>
      <c r="C137" t="s">
        <v>16</v>
      </c>
      <c r="D137" t="s">
        <v>52</v>
      </c>
      <c r="E137" t="s">
        <v>276</v>
      </c>
      <c r="F137" t="s">
        <v>12</v>
      </c>
      <c r="G137" t="s">
        <v>277</v>
      </c>
      <c r="H137" t="s">
        <v>8</v>
      </c>
      <c r="I137" t="s">
        <v>7</v>
      </c>
      <c r="J137" t="s">
        <v>54</v>
      </c>
      <c r="K137" t="s">
        <v>51</v>
      </c>
      <c r="L137" t="s">
        <v>24</v>
      </c>
      <c r="M137">
        <v>1</v>
      </c>
    </row>
    <row r="138" spans="1:13" x14ac:dyDescent="0.25">
      <c r="A138" s="2">
        <v>46195</v>
      </c>
      <c r="B138" s="1" t="str">
        <f ca="1">IF(Información1[[#This Row],[Fecha]]='Ajuste de fechas'!$A$2,"Día actual","Día anterior")</f>
        <v>Día anterior</v>
      </c>
      <c r="C138" t="s">
        <v>203</v>
      </c>
      <c r="D138" t="s">
        <v>204</v>
      </c>
      <c r="E138" t="s">
        <v>278</v>
      </c>
      <c r="F138" t="s">
        <v>15</v>
      </c>
      <c r="G138" t="s">
        <v>148</v>
      </c>
      <c r="H138" t="s">
        <v>8</v>
      </c>
      <c r="I138" t="s">
        <v>7</v>
      </c>
      <c r="J138" t="s">
        <v>54</v>
      </c>
      <c r="K138" t="s">
        <v>213</v>
      </c>
      <c r="L138" t="s">
        <v>26</v>
      </c>
      <c r="M138">
        <v>1</v>
      </c>
    </row>
    <row r="139" spans="1:13" x14ac:dyDescent="0.25">
      <c r="A139" s="2">
        <v>46195</v>
      </c>
      <c r="B139" s="1" t="str">
        <f ca="1">IF(Información1[[#This Row],[Fecha]]='Ajuste de fechas'!$A$2,"Día actual","Día anterior")</f>
        <v>Día anterior</v>
      </c>
      <c r="C139" t="s">
        <v>16</v>
      </c>
      <c r="D139" t="s">
        <v>52</v>
      </c>
      <c r="E139" t="s">
        <v>279</v>
      </c>
      <c r="F139" t="s">
        <v>17</v>
      </c>
      <c r="G139" t="s">
        <v>280</v>
      </c>
      <c r="H139" t="s">
        <v>8</v>
      </c>
      <c r="I139" t="s">
        <v>7</v>
      </c>
      <c r="J139" t="s">
        <v>54</v>
      </c>
      <c r="K139" t="s">
        <v>51</v>
      </c>
      <c r="L139" t="s">
        <v>26</v>
      </c>
      <c r="M139">
        <v>1</v>
      </c>
    </row>
    <row r="140" spans="1:13" x14ac:dyDescent="0.25">
      <c r="A140" s="2">
        <v>46195</v>
      </c>
      <c r="B140" s="1" t="str">
        <f ca="1">IF(Información1[[#This Row],[Fecha]]='Ajuste de fechas'!$A$2,"Día actual","Día anterior")</f>
        <v>Día anterior</v>
      </c>
      <c r="C140" t="s">
        <v>203</v>
      </c>
      <c r="D140" t="s">
        <v>204</v>
      </c>
      <c r="E140" t="s">
        <v>281</v>
      </c>
      <c r="F140" t="s">
        <v>17</v>
      </c>
      <c r="G140" t="s">
        <v>280</v>
      </c>
      <c r="H140" t="s">
        <v>8</v>
      </c>
      <c r="I140" t="s">
        <v>7</v>
      </c>
      <c r="J140" t="s">
        <v>54</v>
      </c>
      <c r="K140" t="s">
        <v>213</v>
      </c>
      <c r="L140" t="s">
        <v>24</v>
      </c>
      <c r="M140">
        <v>1</v>
      </c>
    </row>
    <row r="141" spans="1:13" x14ac:dyDescent="0.25">
      <c r="A141" s="2">
        <v>46195</v>
      </c>
      <c r="B141" s="1" t="str">
        <f ca="1">IF(Información1[[#This Row],[Fecha]]='Ajuste de fechas'!$A$2,"Día actual","Día anterior")</f>
        <v>Día anterior</v>
      </c>
      <c r="C141" t="s">
        <v>203</v>
      </c>
      <c r="D141" t="s">
        <v>204</v>
      </c>
      <c r="E141" t="s">
        <v>205</v>
      </c>
      <c r="F141" t="s">
        <v>10</v>
      </c>
      <c r="G141" t="s">
        <v>282</v>
      </c>
      <c r="H141" t="s">
        <v>8</v>
      </c>
      <c r="I141" t="s">
        <v>14</v>
      </c>
      <c r="J141" t="s">
        <v>56</v>
      </c>
      <c r="K141" t="s">
        <v>75</v>
      </c>
      <c r="L141" t="s">
        <v>25</v>
      </c>
      <c r="M141">
        <v>1</v>
      </c>
    </row>
    <row r="142" spans="1:13" x14ac:dyDescent="0.25">
      <c r="A142" s="2">
        <v>46195</v>
      </c>
      <c r="B142" s="1" t="str">
        <f ca="1">IF(Información1[[#This Row],[Fecha]]='Ajuste de fechas'!$A$2,"Día actual","Día anterior")</f>
        <v>Día anterior</v>
      </c>
      <c r="C142" t="s">
        <v>16</v>
      </c>
      <c r="D142" t="s">
        <v>52</v>
      </c>
      <c r="E142" t="s">
        <v>283</v>
      </c>
      <c r="F142" t="s">
        <v>58</v>
      </c>
      <c r="G142" t="s">
        <v>284</v>
      </c>
      <c r="H142" t="s">
        <v>8</v>
      </c>
      <c r="I142" t="s">
        <v>7</v>
      </c>
      <c r="J142" t="s">
        <v>54</v>
      </c>
      <c r="K142" t="s">
        <v>51</v>
      </c>
      <c r="L142" t="s">
        <v>24</v>
      </c>
      <c r="M142">
        <v>1</v>
      </c>
    </row>
    <row r="143" spans="1:13" x14ac:dyDescent="0.25">
      <c r="A143" s="2">
        <v>46195</v>
      </c>
      <c r="B143" s="1" t="str">
        <f ca="1">IF(Información1[[#This Row],[Fecha]]='Ajuste de fechas'!$A$2,"Día actual","Día anterior")</f>
        <v>Día anterior</v>
      </c>
      <c r="C143" t="s">
        <v>203</v>
      </c>
      <c r="D143" t="s">
        <v>204</v>
      </c>
      <c r="E143" t="s">
        <v>285</v>
      </c>
      <c r="F143" t="s">
        <v>10</v>
      </c>
      <c r="G143" t="s">
        <v>286</v>
      </c>
      <c r="H143" t="s">
        <v>8</v>
      </c>
      <c r="I143" t="s">
        <v>7</v>
      </c>
      <c r="J143" t="s">
        <v>56</v>
      </c>
      <c r="K143" t="s">
        <v>75</v>
      </c>
      <c r="L143" t="s">
        <v>24</v>
      </c>
      <c r="M143">
        <v>1</v>
      </c>
    </row>
    <row r="144" spans="1:13" x14ac:dyDescent="0.25">
      <c r="A144" s="2">
        <v>46195</v>
      </c>
      <c r="B144" s="1" t="str">
        <f ca="1">IF(Información1[[#This Row],[Fecha]]='Ajuste de fechas'!$A$2,"Día actual","Día anterior")</f>
        <v>Día anterior</v>
      </c>
      <c r="C144" t="s">
        <v>16</v>
      </c>
      <c r="D144" t="s">
        <v>52</v>
      </c>
      <c r="E144" t="s">
        <v>287</v>
      </c>
      <c r="F144" t="s">
        <v>15</v>
      </c>
      <c r="G144" t="s">
        <v>288</v>
      </c>
      <c r="H144" t="s">
        <v>8</v>
      </c>
      <c r="I144" t="s">
        <v>7</v>
      </c>
      <c r="J144" t="s">
        <v>54</v>
      </c>
      <c r="K144" t="s">
        <v>51</v>
      </c>
      <c r="L144" t="s">
        <v>24</v>
      </c>
      <c r="M144">
        <v>1</v>
      </c>
    </row>
    <row r="145" spans="1:13" x14ac:dyDescent="0.25">
      <c r="A145" s="2">
        <v>46195</v>
      </c>
      <c r="B145" s="1" t="str">
        <f ca="1">IF(Información1[[#This Row],[Fecha]]='Ajuste de fechas'!$A$2,"Día actual","Día anterior")</f>
        <v>Día anterior</v>
      </c>
      <c r="C145" t="s">
        <v>203</v>
      </c>
      <c r="D145" t="s">
        <v>204</v>
      </c>
      <c r="E145" t="s">
        <v>289</v>
      </c>
      <c r="F145" t="s">
        <v>92</v>
      </c>
      <c r="G145" t="s">
        <v>290</v>
      </c>
      <c r="H145" t="s">
        <v>8</v>
      </c>
      <c r="I145" t="s">
        <v>14</v>
      </c>
      <c r="J145" t="s">
        <v>54</v>
      </c>
      <c r="K145" t="s">
        <v>75</v>
      </c>
      <c r="L145" t="s">
        <v>25</v>
      </c>
      <c r="M145">
        <v>1</v>
      </c>
    </row>
    <row r="146" spans="1:13" x14ac:dyDescent="0.25">
      <c r="A146" s="2">
        <v>46195</v>
      </c>
      <c r="B146" s="1" t="str">
        <f ca="1">IF(Información1[[#This Row],[Fecha]]='Ajuste de fechas'!$A$2,"Día actual","Día anterior")</f>
        <v>Día anterior</v>
      </c>
      <c r="C146" t="s">
        <v>203</v>
      </c>
      <c r="D146" t="s">
        <v>204</v>
      </c>
      <c r="E146" t="s">
        <v>291</v>
      </c>
      <c r="F146" t="s">
        <v>6</v>
      </c>
      <c r="G146" t="s">
        <v>292</v>
      </c>
      <c r="H146" t="s">
        <v>8</v>
      </c>
      <c r="I146" t="s">
        <v>14</v>
      </c>
      <c r="J146" t="s">
        <v>54</v>
      </c>
      <c r="K146" t="s">
        <v>75</v>
      </c>
      <c r="L146" t="s">
        <v>25</v>
      </c>
      <c r="M146">
        <v>1</v>
      </c>
    </row>
    <row r="147" spans="1:13" x14ac:dyDescent="0.25">
      <c r="A147" s="2">
        <v>46192</v>
      </c>
      <c r="B147" s="1" t="str">
        <f ca="1">IF(Información1[[#This Row],[Fecha]]='Ajuste de fechas'!$A$2,"Día actual","Día anterior")</f>
        <v>Día anterior</v>
      </c>
      <c r="C147" t="s">
        <v>61</v>
      </c>
      <c r="D147" t="s">
        <v>62</v>
      </c>
      <c r="E147" t="s">
        <v>158</v>
      </c>
      <c r="F147" t="s">
        <v>43</v>
      </c>
      <c r="G147" t="s">
        <v>159</v>
      </c>
      <c r="H147" t="s">
        <v>63</v>
      </c>
      <c r="I147" t="s">
        <v>7</v>
      </c>
      <c r="J147" t="s">
        <v>54</v>
      </c>
      <c r="K147" t="s">
        <v>30</v>
      </c>
      <c r="L147" t="s">
        <v>26</v>
      </c>
      <c r="M147">
        <v>1</v>
      </c>
    </row>
    <row r="148" spans="1:13" x14ac:dyDescent="0.25">
      <c r="A148" s="2">
        <v>46192</v>
      </c>
      <c r="B148" s="1" t="str">
        <f ca="1">IF(Información1[[#This Row],[Fecha]]='Ajuste de fechas'!$A$2,"Día actual","Día anterior")</f>
        <v>Día anterior</v>
      </c>
      <c r="C148" t="s">
        <v>61</v>
      </c>
      <c r="D148" t="s">
        <v>62</v>
      </c>
      <c r="E148" t="s">
        <v>146</v>
      </c>
      <c r="F148" t="s">
        <v>17</v>
      </c>
      <c r="G148" t="s">
        <v>126</v>
      </c>
      <c r="H148" t="s">
        <v>63</v>
      </c>
      <c r="I148" t="s">
        <v>7</v>
      </c>
      <c r="J148" t="s">
        <v>54</v>
      </c>
      <c r="K148" t="s">
        <v>30</v>
      </c>
      <c r="L148" t="s">
        <v>26</v>
      </c>
      <c r="M148">
        <v>1</v>
      </c>
    </row>
    <row r="149" spans="1:13" x14ac:dyDescent="0.25">
      <c r="A149" s="2">
        <v>46192</v>
      </c>
      <c r="B149" s="1" t="str">
        <f ca="1">IF(Información1[[#This Row],[Fecha]]='Ajuste de fechas'!$A$2,"Día actual","Día anterior")</f>
        <v>Día anterior</v>
      </c>
      <c r="C149" t="s">
        <v>61</v>
      </c>
      <c r="D149" t="s">
        <v>62</v>
      </c>
      <c r="E149" t="s">
        <v>120</v>
      </c>
      <c r="F149" t="s">
        <v>121</v>
      </c>
      <c r="G149" t="s">
        <v>122</v>
      </c>
      <c r="H149" t="s">
        <v>63</v>
      </c>
      <c r="I149" t="s">
        <v>7</v>
      </c>
      <c r="J149" t="s">
        <v>54</v>
      </c>
      <c r="K149" t="s">
        <v>30</v>
      </c>
      <c r="L149" t="s">
        <v>26</v>
      </c>
      <c r="M149">
        <v>1</v>
      </c>
    </row>
    <row r="150" spans="1:13" x14ac:dyDescent="0.25">
      <c r="A150" s="2">
        <v>46192</v>
      </c>
      <c r="B150" s="1" t="str">
        <f ca="1">IF(Información1[[#This Row],[Fecha]]='Ajuste de fechas'!$A$2,"Día actual","Día anterior")</f>
        <v>Día anterior</v>
      </c>
      <c r="C150" t="s">
        <v>61</v>
      </c>
      <c r="D150" t="s">
        <v>62</v>
      </c>
      <c r="E150" t="s">
        <v>293</v>
      </c>
      <c r="F150" t="s">
        <v>34</v>
      </c>
      <c r="G150" t="s">
        <v>98</v>
      </c>
      <c r="H150" t="s">
        <v>63</v>
      </c>
      <c r="I150" t="s">
        <v>7</v>
      </c>
      <c r="J150" t="s">
        <v>13</v>
      </c>
      <c r="K150" t="s">
        <v>30</v>
      </c>
      <c r="L150" t="s">
        <v>24</v>
      </c>
      <c r="M150">
        <v>1</v>
      </c>
    </row>
    <row r="151" spans="1:13" x14ac:dyDescent="0.25">
      <c r="A151" s="2">
        <v>46192</v>
      </c>
      <c r="B151" s="1" t="str">
        <f ca="1">IF(Información1[[#This Row],[Fecha]]='Ajuste de fechas'!$A$2,"Día actual","Día anterior")</f>
        <v>Día anterior</v>
      </c>
      <c r="C151" t="s">
        <v>61</v>
      </c>
      <c r="D151" t="s">
        <v>62</v>
      </c>
      <c r="E151" t="s">
        <v>294</v>
      </c>
      <c r="F151" t="s">
        <v>41</v>
      </c>
      <c r="G151" t="s">
        <v>177</v>
      </c>
      <c r="H151" t="s">
        <v>63</v>
      </c>
      <c r="I151" t="s">
        <v>7</v>
      </c>
      <c r="J151" t="s">
        <v>54</v>
      </c>
      <c r="K151" t="s">
        <v>30</v>
      </c>
      <c r="L151" t="s">
        <v>26</v>
      </c>
      <c r="M151">
        <v>1</v>
      </c>
    </row>
    <row r="152" spans="1:13" x14ac:dyDescent="0.25">
      <c r="A152" s="2">
        <v>46192</v>
      </c>
      <c r="B152" s="1" t="str">
        <f ca="1">IF(Información1[[#This Row],[Fecha]]='Ajuste de fechas'!$A$2,"Día actual","Día anterior")</f>
        <v>Día anterior</v>
      </c>
      <c r="C152" t="s">
        <v>61</v>
      </c>
      <c r="D152" t="s">
        <v>62</v>
      </c>
      <c r="E152" t="s">
        <v>144</v>
      </c>
      <c r="F152" t="s">
        <v>37</v>
      </c>
      <c r="G152" t="s">
        <v>145</v>
      </c>
      <c r="H152" t="s">
        <v>63</v>
      </c>
      <c r="I152" t="s">
        <v>7</v>
      </c>
      <c r="J152" t="s">
        <v>54</v>
      </c>
      <c r="K152" t="s">
        <v>30</v>
      </c>
      <c r="L152" t="s">
        <v>26</v>
      </c>
      <c r="M152">
        <v>1</v>
      </c>
    </row>
    <row r="153" spans="1:13" x14ac:dyDescent="0.25">
      <c r="A153" s="2">
        <v>46192</v>
      </c>
      <c r="B153" s="1" t="str">
        <f ca="1">IF(Información1[[#This Row],[Fecha]]='Ajuste de fechas'!$A$2,"Día actual","Día anterior")</f>
        <v>Día anterior</v>
      </c>
      <c r="C153" t="s">
        <v>61</v>
      </c>
      <c r="D153" t="s">
        <v>62</v>
      </c>
      <c r="E153" t="s">
        <v>295</v>
      </c>
      <c r="F153" t="s">
        <v>10</v>
      </c>
      <c r="G153" t="s">
        <v>211</v>
      </c>
      <c r="H153" t="s">
        <v>63</v>
      </c>
      <c r="I153" t="s">
        <v>7</v>
      </c>
      <c r="J153" t="s">
        <v>56</v>
      </c>
      <c r="K153" t="s">
        <v>30</v>
      </c>
      <c r="L153" t="s">
        <v>24</v>
      </c>
      <c r="M153">
        <v>1</v>
      </c>
    </row>
    <row r="154" spans="1:13" x14ac:dyDescent="0.25">
      <c r="A154" s="2">
        <v>46192</v>
      </c>
      <c r="B154" s="1" t="str">
        <f ca="1">IF(Información1[[#This Row],[Fecha]]='Ajuste de fechas'!$A$2,"Día actual","Día anterior")</f>
        <v>Día anterior</v>
      </c>
      <c r="C154" t="s">
        <v>61</v>
      </c>
      <c r="D154" t="s">
        <v>62</v>
      </c>
      <c r="E154" t="s">
        <v>296</v>
      </c>
      <c r="F154" t="s">
        <v>15</v>
      </c>
      <c r="G154" t="s">
        <v>297</v>
      </c>
      <c r="H154" t="s">
        <v>63</v>
      </c>
      <c r="I154" t="s">
        <v>7</v>
      </c>
      <c r="J154" t="s">
        <v>54</v>
      </c>
      <c r="K154" t="s">
        <v>30</v>
      </c>
      <c r="L154" t="s">
        <v>24</v>
      </c>
      <c r="M154">
        <v>1</v>
      </c>
    </row>
    <row r="155" spans="1:13" x14ac:dyDescent="0.25">
      <c r="A155" s="2">
        <v>46192</v>
      </c>
      <c r="B155" s="1" t="str">
        <f ca="1">IF(Información1[[#This Row],[Fecha]]='Ajuste de fechas'!$A$2,"Día actual","Día anterior")</f>
        <v>Día anterior</v>
      </c>
      <c r="C155" t="s">
        <v>61</v>
      </c>
      <c r="D155" t="s">
        <v>62</v>
      </c>
      <c r="E155" t="s">
        <v>298</v>
      </c>
      <c r="F155" t="s">
        <v>15</v>
      </c>
      <c r="G155" t="s">
        <v>83</v>
      </c>
      <c r="H155" t="s">
        <v>63</v>
      </c>
      <c r="I155" t="s">
        <v>7</v>
      </c>
      <c r="J155" t="s">
        <v>54</v>
      </c>
      <c r="K155" t="s">
        <v>30</v>
      </c>
      <c r="L155" t="s">
        <v>24</v>
      </c>
      <c r="M155">
        <v>1</v>
      </c>
    </row>
    <row r="156" spans="1:13" x14ac:dyDescent="0.25">
      <c r="A156" s="2">
        <v>46192</v>
      </c>
      <c r="B156" s="1" t="str">
        <f ca="1">IF(Información1[[#This Row],[Fecha]]='Ajuste de fechas'!$A$2,"Día actual","Día anterior")</f>
        <v>Día anterior</v>
      </c>
      <c r="C156" t="s">
        <v>61</v>
      </c>
      <c r="D156" t="s">
        <v>62</v>
      </c>
      <c r="E156" t="s">
        <v>299</v>
      </c>
      <c r="F156" t="s">
        <v>15</v>
      </c>
      <c r="G156" t="s">
        <v>211</v>
      </c>
      <c r="H156" t="s">
        <v>63</v>
      </c>
      <c r="I156" t="s">
        <v>7</v>
      </c>
      <c r="J156" t="s">
        <v>54</v>
      </c>
      <c r="K156" t="s">
        <v>30</v>
      </c>
      <c r="L156" t="s">
        <v>24</v>
      </c>
      <c r="M156">
        <v>1</v>
      </c>
    </row>
    <row r="157" spans="1:13" x14ac:dyDescent="0.25">
      <c r="A157" s="2">
        <v>46192</v>
      </c>
      <c r="B157" s="1" t="str">
        <f ca="1">IF(Información1[[#This Row],[Fecha]]='Ajuste de fechas'!$A$2,"Día actual","Día anterior")</f>
        <v>Día anterior</v>
      </c>
      <c r="C157" t="s">
        <v>61</v>
      </c>
      <c r="D157" t="s">
        <v>62</v>
      </c>
      <c r="E157" t="s">
        <v>300</v>
      </c>
      <c r="F157" t="s">
        <v>15</v>
      </c>
      <c r="G157" t="s">
        <v>148</v>
      </c>
      <c r="H157" t="s">
        <v>63</v>
      </c>
      <c r="I157" t="s">
        <v>7</v>
      </c>
      <c r="J157" t="s">
        <v>54</v>
      </c>
      <c r="K157" t="s">
        <v>30</v>
      </c>
      <c r="L157" t="s">
        <v>24</v>
      </c>
      <c r="M157">
        <v>1</v>
      </c>
    </row>
    <row r="158" spans="1:13" x14ac:dyDescent="0.25">
      <c r="A158" s="2">
        <v>46195</v>
      </c>
      <c r="B158" s="1" t="str">
        <f ca="1">IF(Información1[[#This Row],[Fecha]]='Ajuste de fechas'!$A$2,"Día actual","Día anterior")</f>
        <v>Día anterior</v>
      </c>
      <c r="C158" t="s">
        <v>64</v>
      </c>
      <c r="D158" t="s">
        <v>65</v>
      </c>
      <c r="E158" t="s">
        <v>301</v>
      </c>
      <c r="F158" t="s">
        <v>15</v>
      </c>
      <c r="G158" t="s">
        <v>297</v>
      </c>
      <c r="H158" t="s">
        <v>8</v>
      </c>
      <c r="I158" t="s">
        <v>7</v>
      </c>
      <c r="J158" t="s">
        <v>54</v>
      </c>
      <c r="K158" t="s">
        <v>66</v>
      </c>
      <c r="L158" t="s">
        <v>24</v>
      </c>
      <c r="M158">
        <v>1</v>
      </c>
    </row>
    <row r="159" spans="1:13" x14ac:dyDescent="0.25">
      <c r="A159" s="2">
        <v>46195</v>
      </c>
      <c r="B159" s="1" t="str">
        <f ca="1">IF(Información1[[#This Row],[Fecha]]='Ajuste de fechas'!$A$2,"Día actual","Día anterior")</f>
        <v>Día anterior</v>
      </c>
      <c r="C159" t="s">
        <v>64</v>
      </c>
      <c r="D159" t="s">
        <v>65</v>
      </c>
      <c r="E159" t="s">
        <v>302</v>
      </c>
      <c r="F159" t="s">
        <v>10</v>
      </c>
      <c r="G159" t="s">
        <v>211</v>
      </c>
      <c r="H159" t="s">
        <v>8</v>
      </c>
      <c r="I159" t="s">
        <v>7</v>
      </c>
      <c r="J159" t="s">
        <v>56</v>
      </c>
      <c r="K159" t="s">
        <v>66</v>
      </c>
      <c r="L159" t="s">
        <v>24</v>
      </c>
      <c r="M159">
        <v>1</v>
      </c>
    </row>
    <row r="160" spans="1:13" x14ac:dyDescent="0.25">
      <c r="A160" s="2">
        <v>46195</v>
      </c>
      <c r="B160" s="1" t="str">
        <f ca="1">IF(Información1[[#This Row],[Fecha]]='Ajuste de fechas'!$A$2,"Día actual","Día anterior")</f>
        <v>Día anterior</v>
      </c>
      <c r="C160" t="s">
        <v>64</v>
      </c>
      <c r="D160" t="s">
        <v>65</v>
      </c>
      <c r="E160" t="s">
        <v>303</v>
      </c>
      <c r="F160" t="s">
        <v>10</v>
      </c>
      <c r="G160" t="s">
        <v>73</v>
      </c>
      <c r="H160" t="s">
        <v>8</v>
      </c>
      <c r="I160" t="s">
        <v>7</v>
      </c>
      <c r="J160" t="s">
        <v>56</v>
      </c>
      <c r="K160" t="s">
        <v>66</v>
      </c>
      <c r="L160" t="s">
        <v>24</v>
      </c>
      <c r="M160">
        <v>1</v>
      </c>
    </row>
    <row r="161" spans="1:13" x14ac:dyDescent="0.25">
      <c r="A161" s="2">
        <v>46195</v>
      </c>
      <c r="B161" s="1" t="str">
        <f ca="1">IF(Información1[[#This Row],[Fecha]]='Ajuste de fechas'!$A$2,"Día actual","Día anterior")</f>
        <v>Día anterior</v>
      </c>
      <c r="C161" t="s">
        <v>64</v>
      </c>
      <c r="D161" t="s">
        <v>65</v>
      </c>
      <c r="E161" t="s">
        <v>304</v>
      </c>
      <c r="F161" t="s">
        <v>10</v>
      </c>
      <c r="G161" t="s">
        <v>305</v>
      </c>
      <c r="H161" t="s">
        <v>8</v>
      </c>
      <c r="I161" t="s">
        <v>14</v>
      </c>
      <c r="J161" t="s">
        <v>56</v>
      </c>
      <c r="K161" t="s">
        <v>66</v>
      </c>
      <c r="L161" t="s">
        <v>24</v>
      </c>
      <c r="M161">
        <v>1</v>
      </c>
    </row>
    <row r="162" spans="1:13" x14ac:dyDescent="0.25">
      <c r="A162" s="2">
        <v>46195</v>
      </c>
      <c r="B162" s="1" t="str">
        <f ca="1">IF(Información1[[#This Row],[Fecha]]='Ajuste de fechas'!$A$2,"Día actual","Día anterior")</f>
        <v>Día anterior</v>
      </c>
      <c r="C162" t="s">
        <v>64</v>
      </c>
      <c r="D162" t="s">
        <v>65</v>
      </c>
      <c r="E162" t="s">
        <v>306</v>
      </c>
      <c r="F162" t="s">
        <v>67</v>
      </c>
      <c r="G162" t="s">
        <v>307</v>
      </c>
      <c r="H162" t="s">
        <v>8</v>
      </c>
      <c r="I162" t="s">
        <v>14</v>
      </c>
      <c r="J162" t="s">
        <v>54</v>
      </c>
      <c r="K162" t="s">
        <v>66</v>
      </c>
      <c r="L162" t="s">
        <v>24</v>
      </c>
      <c r="M162">
        <v>1</v>
      </c>
    </row>
    <row r="163" spans="1:13" x14ac:dyDescent="0.25">
      <c r="A163" s="2">
        <v>46195</v>
      </c>
      <c r="B163" s="1" t="str">
        <f ca="1">IF(Información1[[#This Row],[Fecha]]='Ajuste de fechas'!$A$2,"Día actual","Día anterior")</f>
        <v>Día anterior</v>
      </c>
      <c r="C163" t="s">
        <v>64</v>
      </c>
      <c r="D163" t="s">
        <v>65</v>
      </c>
      <c r="E163" t="s">
        <v>308</v>
      </c>
      <c r="F163" t="s">
        <v>12</v>
      </c>
      <c r="G163" t="s">
        <v>81</v>
      </c>
      <c r="H163" t="s">
        <v>8</v>
      </c>
      <c r="I163" t="s">
        <v>7</v>
      </c>
      <c r="J163" t="s">
        <v>54</v>
      </c>
      <c r="K163" t="s">
        <v>66</v>
      </c>
      <c r="L163" t="s">
        <v>26</v>
      </c>
      <c r="M163">
        <v>1</v>
      </c>
    </row>
    <row r="164" spans="1:13" x14ac:dyDescent="0.25">
      <c r="A164" s="2">
        <v>46195</v>
      </c>
      <c r="B164" s="1" t="str">
        <f ca="1">IF(Información1[[#This Row],[Fecha]]='Ajuste de fechas'!$A$2,"Día actual","Día anterior")</f>
        <v>Día anterior</v>
      </c>
      <c r="C164" t="s">
        <v>64</v>
      </c>
      <c r="D164" t="s">
        <v>65</v>
      </c>
      <c r="E164" t="s">
        <v>309</v>
      </c>
      <c r="F164" t="s">
        <v>13</v>
      </c>
      <c r="G164" t="s">
        <v>157</v>
      </c>
      <c r="H164" t="s">
        <v>8</v>
      </c>
      <c r="I164" t="s">
        <v>7</v>
      </c>
      <c r="J164" t="s">
        <v>13</v>
      </c>
      <c r="K164" t="s">
        <v>66</v>
      </c>
      <c r="L164" t="s">
        <v>24</v>
      </c>
      <c r="M164">
        <v>1</v>
      </c>
    </row>
    <row r="165" spans="1:13" x14ac:dyDescent="0.25">
      <c r="A165" s="2">
        <v>46195</v>
      </c>
      <c r="B165" s="1" t="str">
        <f ca="1">IF(Información1[[#This Row],[Fecha]]='Ajuste de fechas'!$A$2,"Día actual","Día anterior")</f>
        <v>Día anterior</v>
      </c>
      <c r="C165" t="s">
        <v>64</v>
      </c>
      <c r="D165" t="s">
        <v>65</v>
      </c>
      <c r="E165" t="s">
        <v>310</v>
      </c>
      <c r="F165" t="s">
        <v>37</v>
      </c>
      <c r="G165" t="s">
        <v>270</v>
      </c>
      <c r="H165" t="s">
        <v>8</v>
      </c>
      <c r="I165" t="s">
        <v>7</v>
      </c>
      <c r="J165" t="s">
        <v>54</v>
      </c>
      <c r="K165" t="s">
        <v>66</v>
      </c>
      <c r="L165" t="s">
        <v>24</v>
      </c>
      <c r="M165">
        <v>1</v>
      </c>
    </row>
    <row r="166" spans="1:13" x14ac:dyDescent="0.25">
      <c r="A166" s="2">
        <v>46195</v>
      </c>
      <c r="B166" s="1" t="str">
        <f ca="1">IF(Información1[[#This Row],[Fecha]]='Ajuste de fechas'!$A$2,"Día actual","Día anterior")</f>
        <v>Día anterior</v>
      </c>
      <c r="C166" t="s">
        <v>64</v>
      </c>
      <c r="D166" t="s">
        <v>65</v>
      </c>
      <c r="E166" t="s">
        <v>311</v>
      </c>
      <c r="F166" t="s">
        <v>12</v>
      </c>
      <c r="G166" t="s">
        <v>231</v>
      </c>
      <c r="H166" t="s">
        <v>8</v>
      </c>
      <c r="I166" t="s">
        <v>7</v>
      </c>
      <c r="J166" t="s">
        <v>54</v>
      </c>
      <c r="K166" t="s">
        <v>66</v>
      </c>
      <c r="L166" t="s">
        <v>26</v>
      </c>
      <c r="M166">
        <v>1</v>
      </c>
    </row>
    <row r="167" spans="1:13" x14ac:dyDescent="0.25">
      <c r="A167" s="2">
        <v>46195</v>
      </c>
      <c r="B167" s="1" t="str">
        <f ca="1">IF(Información1[[#This Row],[Fecha]]='Ajuste de fechas'!$A$2,"Día actual","Día anterior")</f>
        <v>Día anterior</v>
      </c>
      <c r="C167" t="s">
        <v>64</v>
      </c>
      <c r="D167" t="s">
        <v>65</v>
      </c>
      <c r="E167" t="s">
        <v>312</v>
      </c>
      <c r="F167" t="s">
        <v>12</v>
      </c>
      <c r="G167" t="s">
        <v>115</v>
      </c>
      <c r="H167" t="s">
        <v>8</v>
      </c>
      <c r="I167" t="s">
        <v>7</v>
      </c>
      <c r="J167" t="s">
        <v>54</v>
      </c>
      <c r="K167" t="s">
        <v>66</v>
      </c>
      <c r="L167" t="s">
        <v>24</v>
      </c>
      <c r="M167">
        <v>1</v>
      </c>
    </row>
    <row r="168" spans="1:13" x14ac:dyDescent="0.25">
      <c r="A168" s="2">
        <v>46195</v>
      </c>
      <c r="B168" s="1" t="str">
        <f ca="1">IF(Información1[[#This Row],[Fecha]]='Ajuste de fechas'!$A$2,"Día actual","Día anterior")</f>
        <v>Día anterior</v>
      </c>
      <c r="C168" t="s">
        <v>64</v>
      </c>
      <c r="D168" t="s">
        <v>65</v>
      </c>
      <c r="E168" t="s">
        <v>313</v>
      </c>
      <c r="F168" t="s">
        <v>10</v>
      </c>
      <c r="G168" t="s">
        <v>314</v>
      </c>
      <c r="H168" t="s">
        <v>8</v>
      </c>
      <c r="I168" t="s">
        <v>7</v>
      </c>
      <c r="J168" t="s">
        <v>56</v>
      </c>
      <c r="K168" t="s">
        <v>66</v>
      </c>
      <c r="L168" t="s">
        <v>24</v>
      </c>
      <c r="M168">
        <v>1</v>
      </c>
    </row>
    <row r="169" spans="1:13" x14ac:dyDescent="0.25">
      <c r="A169" s="2">
        <v>46195</v>
      </c>
      <c r="B169" s="1" t="str">
        <f ca="1">IF(Información1[[#This Row],[Fecha]]='Ajuste de fechas'!$A$2,"Día actual","Día anterior")</f>
        <v>Día anterior</v>
      </c>
      <c r="C169" t="s">
        <v>64</v>
      </c>
      <c r="D169" t="s">
        <v>65</v>
      </c>
      <c r="E169" t="s">
        <v>315</v>
      </c>
      <c r="F169" t="s">
        <v>92</v>
      </c>
      <c r="G169" t="s">
        <v>93</v>
      </c>
      <c r="H169" t="s">
        <v>8</v>
      </c>
      <c r="I169" t="s">
        <v>7</v>
      </c>
      <c r="J169" t="s">
        <v>54</v>
      </c>
      <c r="K169" t="s">
        <v>66</v>
      </c>
      <c r="L169" t="s">
        <v>24</v>
      </c>
      <c r="M169">
        <v>1</v>
      </c>
    </row>
    <row r="170" spans="1:13" x14ac:dyDescent="0.25">
      <c r="A170" s="2">
        <v>46195</v>
      </c>
      <c r="B170" s="1" t="str">
        <f ca="1">IF(Información1[[#This Row],[Fecha]]='Ajuste de fechas'!$A$2,"Día actual","Día anterior")</f>
        <v>Día anterior</v>
      </c>
      <c r="C170" t="s">
        <v>64</v>
      </c>
      <c r="D170" t="s">
        <v>65</v>
      </c>
      <c r="E170" t="s">
        <v>316</v>
      </c>
      <c r="F170" t="s">
        <v>10</v>
      </c>
      <c r="G170" t="s">
        <v>317</v>
      </c>
      <c r="H170" t="s">
        <v>8</v>
      </c>
      <c r="I170" t="s">
        <v>7</v>
      </c>
      <c r="J170" t="s">
        <v>56</v>
      </c>
      <c r="K170" t="s">
        <v>66</v>
      </c>
      <c r="L170" t="s">
        <v>24</v>
      </c>
      <c r="M170">
        <v>1</v>
      </c>
    </row>
    <row r="171" spans="1:13" x14ac:dyDescent="0.25">
      <c r="A171" s="2">
        <v>46195</v>
      </c>
      <c r="B171" s="1" t="str">
        <f ca="1">IF(Información1[[#This Row],[Fecha]]='Ajuste de fechas'!$A$2,"Día actual","Día anterior")</f>
        <v>Día anterior</v>
      </c>
      <c r="C171" t="s">
        <v>64</v>
      </c>
      <c r="D171" t="s">
        <v>65</v>
      </c>
      <c r="E171" t="s">
        <v>318</v>
      </c>
      <c r="F171" t="s">
        <v>60</v>
      </c>
      <c r="G171" t="s">
        <v>98</v>
      </c>
      <c r="H171" t="s">
        <v>8</v>
      </c>
      <c r="I171" t="s">
        <v>7</v>
      </c>
      <c r="J171" t="s">
        <v>54</v>
      </c>
      <c r="K171" t="s">
        <v>66</v>
      </c>
      <c r="L171" t="s">
        <v>26</v>
      </c>
      <c r="M171">
        <v>1</v>
      </c>
    </row>
    <row r="172" spans="1:13" x14ac:dyDescent="0.25">
      <c r="A172" s="2">
        <v>46195</v>
      </c>
      <c r="B172" s="1" t="str">
        <f ca="1">IF(Información1[[#This Row],[Fecha]]='Ajuste de fechas'!$A$2,"Día actual","Día anterior")</f>
        <v>Día anterior</v>
      </c>
      <c r="C172" t="s">
        <v>64</v>
      </c>
      <c r="D172" t="s">
        <v>65</v>
      </c>
      <c r="E172" t="s">
        <v>319</v>
      </c>
      <c r="F172" t="s">
        <v>34</v>
      </c>
      <c r="G172" t="s">
        <v>320</v>
      </c>
      <c r="H172" t="s">
        <v>8</v>
      </c>
      <c r="I172" t="s">
        <v>7</v>
      </c>
      <c r="J172" t="s">
        <v>13</v>
      </c>
      <c r="K172" t="s">
        <v>66</v>
      </c>
      <c r="L172" t="s">
        <v>24</v>
      </c>
      <c r="M172">
        <v>1</v>
      </c>
    </row>
    <row r="173" spans="1:13" x14ac:dyDescent="0.25">
      <c r="A173" s="2">
        <v>46195</v>
      </c>
      <c r="B173" s="1" t="str">
        <f ca="1">IF(Información1[[#This Row],[Fecha]]='Ajuste de fechas'!$A$2,"Día actual","Día anterior")</f>
        <v>Día anterior</v>
      </c>
      <c r="C173" t="s">
        <v>64</v>
      </c>
      <c r="D173" t="s">
        <v>65</v>
      </c>
      <c r="E173" t="s">
        <v>321</v>
      </c>
      <c r="F173" t="s">
        <v>15</v>
      </c>
      <c r="G173" t="s">
        <v>173</v>
      </c>
      <c r="H173" t="s">
        <v>8</v>
      </c>
      <c r="I173" t="s">
        <v>7</v>
      </c>
      <c r="J173" t="s">
        <v>54</v>
      </c>
      <c r="K173" t="s">
        <v>66</v>
      </c>
      <c r="L173" t="s">
        <v>26</v>
      </c>
      <c r="M173">
        <v>1</v>
      </c>
    </row>
    <row r="174" spans="1:13" x14ac:dyDescent="0.25">
      <c r="A174" s="2">
        <v>46195</v>
      </c>
      <c r="B174" s="1" t="str">
        <f ca="1">IF(Información1[[#This Row],[Fecha]]='Ajuste de fechas'!$A$2,"Día actual","Día anterior")</f>
        <v>Día anterior</v>
      </c>
      <c r="C174" t="s">
        <v>64</v>
      </c>
      <c r="D174" t="s">
        <v>65</v>
      </c>
      <c r="E174" t="s">
        <v>68</v>
      </c>
      <c r="F174" t="s">
        <v>10</v>
      </c>
      <c r="G174" t="s">
        <v>73</v>
      </c>
      <c r="H174" t="s">
        <v>8</v>
      </c>
      <c r="I174" t="s">
        <v>7</v>
      </c>
      <c r="J174" t="s">
        <v>56</v>
      </c>
      <c r="K174" t="s">
        <v>66</v>
      </c>
      <c r="L174" t="s">
        <v>24</v>
      </c>
      <c r="M174">
        <v>1</v>
      </c>
    </row>
    <row r="175" spans="1:13" x14ac:dyDescent="0.25">
      <c r="A175" s="2">
        <v>46195</v>
      </c>
      <c r="B175" s="1" t="str">
        <f ca="1">IF(Información1[[#This Row],[Fecha]]='Ajuste de fechas'!$A$2,"Día actual","Día anterior")</f>
        <v>Día anterior</v>
      </c>
      <c r="C175" t="s">
        <v>64</v>
      </c>
      <c r="D175" t="s">
        <v>65</v>
      </c>
      <c r="E175" t="s">
        <v>322</v>
      </c>
      <c r="F175" t="s">
        <v>13</v>
      </c>
      <c r="G175" t="s">
        <v>323</v>
      </c>
      <c r="H175" t="s">
        <v>8</v>
      </c>
      <c r="I175" t="s">
        <v>7</v>
      </c>
      <c r="J175" t="s">
        <v>13</v>
      </c>
      <c r="K175" t="s">
        <v>66</v>
      </c>
      <c r="L175" t="s">
        <v>24</v>
      </c>
      <c r="M175">
        <v>1</v>
      </c>
    </row>
    <row r="176" spans="1:13" x14ac:dyDescent="0.25">
      <c r="A176" s="2">
        <v>46195</v>
      </c>
      <c r="B176" s="1" t="str">
        <f ca="1">IF(Información1[[#This Row],[Fecha]]='Ajuste de fechas'!$A$2,"Día actual","Día anterior")</f>
        <v>Día anterior</v>
      </c>
      <c r="C176" t="s">
        <v>64</v>
      </c>
      <c r="D176" t="s">
        <v>65</v>
      </c>
      <c r="E176" t="s">
        <v>324</v>
      </c>
      <c r="F176" t="s">
        <v>9</v>
      </c>
      <c r="G176" t="s">
        <v>42</v>
      </c>
      <c r="H176" t="s">
        <v>8</v>
      </c>
      <c r="I176" t="s">
        <v>7</v>
      </c>
      <c r="J176" t="s">
        <v>54</v>
      </c>
      <c r="K176" t="s">
        <v>66</v>
      </c>
      <c r="L176" t="s">
        <v>24</v>
      </c>
      <c r="M176">
        <v>1</v>
      </c>
    </row>
    <row r="177" spans="1:13" x14ac:dyDescent="0.25">
      <c r="A177" s="2">
        <v>46195</v>
      </c>
      <c r="B177" s="1" t="str">
        <f ca="1">IF(Información1[[#This Row],[Fecha]]='Ajuste de fechas'!$A$2,"Día actual","Día anterior")</f>
        <v>Día anterior</v>
      </c>
      <c r="C177" t="s">
        <v>64</v>
      </c>
      <c r="D177" t="s">
        <v>65</v>
      </c>
      <c r="E177" t="s">
        <v>325</v>
      </c>
      <c r="F177" t="s">
        <v>10</v>
      </c>
      <c r="G177" t="s">
        <v>47</v>
      </c>
      <c r="H177" t="s">
        <v>8</v>
      </c>
      <c r="I177" t="s">
        <v>7</v>
      </c>
      <c r="J177" t="s">
        <v>56</v>
      </c>
      <c r="K177" t="s">
        <v>66</v>
      </c>
      <c r="L177" t="s">
        <v>24</v>
      </c>
      <c r="M177">
        <v>1</v>
      </c>
    </row>
    <row r="178" spans="1:13" x14ac:dyDescent="0.25">
      <c r="A178" s="2">
        <v>46195</v>
      </c>
      <c r="B178" s="1" t="str">
        <f ca="1">IF(Información1[[#This Row],[Fecha]]='Ajuste de fechas'!$A$2,"Día actual","Día anterior")</f>
        <v>Día anterior</v>
      </c>
      <c r="C178" t="s">
        <v>64</v>
      </c>
      <c r="D178" t="s">
        <v>65</v>
      </c>
      <c r="E178" t="s">
        <v>326</v>
      </c>
      <c r="F178" t="s">
        <v>10</v>
      </c>
      <c r="G178" t="s">
        <v>327</v>
      </c>
      <c r="H178" t="s">
        <v>8</v>
      </c>
      <c r="I178" t="s">
        <v>7</v>
      </c>
      <c r="J178" t="s">
        <v>56</v>
      </c>
      <c r="K178" t="s">
        <v>66</v>
      </c>
      <c r="L178" t="s">
        <v>24</v>
      </c>
      <c r="M178">
        <v>1</v>
      </c>
    </row>
    <row r="179" spans="1:13" x14ac:dyDescent="0.25">
      <c r="A179" s="2">
        <v>46195</v>
      </c>
      <c r="B179" s="1" t="str">
        <f ca="1">IF(Información1[[#This Row],[Fecha]]='Ajuste de fechas'!$A$2,"Día actual","Día anterior")</f>
        <v>Día anterior</v>
      </c>
      <c r="C179" t="s">
        <v>69</v>
      </c>
      <c r="D179" t="s">
        <v>70</v>
      </c>
      <c r="E179" t="s">
        <v>328</v>
      </c>
      <c r="F179" t="s">
        <v>13</v>
      </c>
      <c r="G179" t="s">
        <v>329</v>
      </c>
      <c r="H179" t="s">
        <v>63</v>
      </c>
      <c r="I179" t="s">
        <v>7</v>
      </c>
      <c r="J179" t="s">
        <v>13</v>
      </c>
      <c r="K179" t="s">
        <v>330</v>
      </c>
      <c r="L179" t="s">
        <v>25</v>
      </c>
      <c r="M179">
        <v>1</v>
      </c>
    </row>
    <row r="180" spans="1:13" x14ac:dyDescent="0.25">
      <c r="A180" s="2">
        <v>46195</v>
      </c>
      <c r="B180" s="1" t="str">
        <f ca="1">IF(Información1[[#This Row],[Fecha]]='Ajuste de fechas'!$A$2,"Día actual","Día anterior")</f>
        <v>Día anterior</v>
      </c>
      <c r="C180" t="s">
        <v>69</v>
      </c>
      <c r="D180" t="s">
        <v>70</v>
      </c>
      <c r="E180" t="s">
        <v>254</v>
      </c>
      <c r="F180" t="s">
        <v>60</v>
      </c>
      <c r="G180" t="s">
        <v>331</v>
      </c>
      <c r="H180" t="s">
        <v>63</v>
      </c>
      <c r="I180" t="s">
        <v>7</v>
      </c>
      <c r="J180" t="s">
        <v>54</v>
      </c>
      <c r="K180" t="s">
        <v>71</v>
      </c>
      <c r="L180" t="s">
        <v>26</v>
      </c>
      <c r="M180">
        <v>1</v>
      </c>
    </row>
    <row r="181" spans="1:13" x14ac:dyDescent="0.25">
      <c r="A181" s="2">
        <v>46195</v>
      </c>
      <c r="B181" s="1" t="str">
        <f ca="1">IF(Información1[[#This Row],[Fecha]]='Ajuste de fechas'!$A$2,"Día actual","Día anterior")</f>
        <v>Día anterior</v>
      </c>
      <c r="C181" t="s">
        <v>69</v>
      </c>
      <c r="D181" t="s">
        <v>70</v>
      </c>
      <c r="E181" t="s">
        <v>332</v>
      </c>
      <c r="F181" t="s">
        <v>60</v>
      </c>
      <c r="G181" t="s">
        <v>263</v>
      </c>
      <c r="H181" t="s">
        <v>63</v>
      </c>
      <c r="I181" t="s">
        <v>7</v>
      </c>
      <c r="J181" t="s">
        <v>54</v>
      </c>
      <c r="K181" t="s">
        <v>71</v>
      </c>
      <c r="L181" t="s">
        <v>26</v>
      </c>
      <c r="M181">
        <v>1</v>
      </c>
    </row>
    <row r="182" spans="1:13" x14ac:dyDescent="0.25">
      <c r="A182" s="2">
        <v>46195</v>
      </c>
      <c r="B182" s="1" t="str">
        <f ca="1">IF(Información1[[#This Row],[Fecha]]='Ajuste de fechas'!$A$2,"Día actual","Día anterior")</f>
        <v>Día anterior</v>
      </c>
      <c r="C182" t="s">
        <v>69</v>
      </c>
      <c r="D182" t="s">
        <v>70</v>
      </c>
      <c r="E182" t="s">
        <v>333</v>
      </c>
      <c r="F182" t="s">
        <v>60</v>
      </c>
      <c r="G182" t="s">
        <v>173</v>
      </c>
      <c r="H182" t="s">
        <v>63</v>
      </c>
      <c r="I182" t="s">
        <v>95</v>
      </c>
      <c r="J182" t="s">
        <v>54</v>
      </c>
      <c r="K182" t="s">
        <v>71</v>
      </c>
      <c r="L182" t="s">
        <v>25</v>
      </c>
      <c r="M182">
        <v>1</v>
      </c>
    </row>
    <row r="183" spans="1:13" x14ac:dyDescent="0.25">
      <c r="A183" s="2">
        <v>46195</v>
      </c>
      <c r="B183" s="1" t="str">
        <f ca="1">IF(Información1[[#This Row],[Fecha]]='Ajuste de fechas'!$A$2,"Día actual","Día anterior")</f>
        <v>Día anterior</v>
      </c>
      <c r="C183" t="s">
        <v>69</v>
      </c>
      <c r="D183" t="s">
        <v>70</v>
      </c>
      <c r="E183" t="s">
        <v>321</v>
      </c>
      <c r="F183" t="s">
        <v>15</v>
      </c>
      <c r="G183" t="s">
        <v>173</v>
      </c>
      <c r="H183" t="s">
        <v>63</v>
      </c>
      <c r="I183" t="s">
        <v>7</v>
      </c>
      <c r="J183" t="s">
        <v>54</v>
      </c>
      <c r="K183" t="s">
        <v>71</v>
      </c>
      <c r="L183" t="s">
        <v>26</v>
      </c>
      <c r="M183">
        <v>1</v>
      </c>
    </row>
    <row r="184" spans="1:13" x14ac:dyDescent="0.25">
      <c r="A184" s="2">
        <v>46195</v>
      </c>
      <c r="B184" s="1" t="str">
        <f ca="1">IF(Información1[[#This Row],[Fecha]]='Ajuste de fechas'!$A$2,"Día actual","Día anterior")</f>
        <v>Día anterior</v>
      </c>
      <c r="C184" t="s">
        <v>69</v>
      </c>
      <c r="D184" t="s">
        <v>70</v>
      </c>
      <c r="E184" t="s">
        <v>334</v>
      </c>
      <c r="F184" t="s">
        <v>9</v>
      </c>
      <c r="G184" t="s">
        <v>72</v>
      </c>
      <c r="H184" t="s">
        <v>63</v>
      </c>
      <c r="I184" t="s">
        <v>14</v>
      </c>
      <c r="J184" t="s">
        <v>54</v>
      </c>
      <c r="K184" t="s">
        <v>71</v>
      </c>
      <c r="L184" t="s">
        <v>25</v>
      </c>
      <c r="M184">
        <v>1</v>
      </c>
    </row>
    <row r="185" spans="1:13" x14ac:dyDescent="0.25">
      <c r="A185" s="2">
        <v>46195</v>
      </c>
      <c r="B185" s="1" t="str">
        <f ca="1">IF(Información1[[#This Row],[Fecha]]='Ajuste de fechas'!$A$2,"Día actual","Día anterior")</f>
        <v>Día anterior</v>
      </c>
      <c r="C185" t="s">
        <v>69</v>
      </c>
      <c r="D185" t="s">
        <v>70</v>
      </c>
      <c r="E185" t="s">
        <v>335</v>
      </c>
      <c r="F185" t="s">
        <v>9</v>
      </c>
      <c r="G185" t="s">
        <v>57</v>
      </c>
      <c r="H185" t="s">
        <v>63</v>
      </c>
      <c r="I185" t="s">
        <v>7</v>
      </c>
      <c r="J185" t="s">
        <v>54</v>
      </c>
      <c r="K185" t="s">
        <v>71</v>
      </c>
      <c r="L185" t="s">
        <v>24</v>
      </c>
      <c r="M18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46196</v>
      </c>
      <c r="B2" s="2">
        <f ca="1">A2-1</f>
        <v>46195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2026-06-24T01:08:09Z</dcterms:modified>
</cp:coreProperties>
</file>