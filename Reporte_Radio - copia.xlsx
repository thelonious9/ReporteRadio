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sers\vivie\ReporteRadio\"/>
    </mc:Choice>
  </mc:AlternateContent>
  <xr:revisionPtr revIDLastSave="0" documentId="13_ncr:1_{50567333-6B6F-428E-9C63-C523670374E2}" xr6:coauthVersionLast="47" xr6:coauthVersionMax="47" xr10:uidLastSave="{00000000-0000-0000-0000-000000000000}"/>
  <bookViews>
    <workbookView xWindow="-120" yWindow="-120" windowWidth="29040" windowHeight="15720" xr2:uid="{5C0A4D95-2E1C-48C6-BF5D-23E5933B5009}"/>
  </bookViews>
  <sheets>
    <sheet name="Radio" sheetId="2" r:id="rId1"/>
    <sheet name="Ajuste de fechas" sheetId="1" r:id="rId2"/>
  </sheets>
  <definedNames>
    <definedName name="DatosExternos_1" localSheetId="0" hidden="1">Radio!$A$1:$M$210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1" l="1"/>
  <c r="B2" i="2" l="1"/>
  <c r="B3" i="2"/>
  <c r="B4" i="2"/>
  <c r="B5"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102" i="2"/>
  <c r="B104" i="2"/>
  <c r="B106" i="2"/>
  <c r="B162" i="2"/>
  <c r="B167" i="2"/>
  <c r="B170" i="2"/>
  <c r="B173" i="2"/>
  <c r="B176" i="2"/>
  <c r="B179" i="2"/>
  <c r="B183" i="2"/>
  <c r="B186" i="2"/>
  <c r="B189" i="2"/>
  <c r="B196" i="2"/>
  <c r="B199" i="2"/>
  <c r="B202" i="2"/>
  <c r="B205" i="2"/>
  <c r="B208"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3" i="2"/>
  <c r="B105" i="2"/>
  <c r="B160" i="2"/>
  <c r="B163" i="2"/>
  <c r="B165" i="2"/>
  <c r="B168" i="2"/>
  <c r="B171" i="2"/>
  <c r="B174" i="2"/>
  <c r="B177" i="2"/>
  <c r="B180" i="2"/>
  <c r="B182" i="2"/>
  <c r="B185" i="2"/>
  <c r="B188" i="2"/>
  <c r="B191" i="2"/>
  <c r="B193" i="2"/>
  <c r="B195" i="2"/>
  <c r="B198" i="2"/>
  <c r="B201" i="2"/>
  <c r="B204" i="2"/>
  <c r="B207" i="2"/>
  <c r="B210"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1" i="2"/>
  <c r="B164" i="2"/>
  <c r="B166" i="2"/>
  <c r="B169" i="2"/>
  <c r="B172" i="2"/>
  <c r="B175" i="2"/>
  <c r="B178" i="2"/>
  <c r="B181" i="2"/>
  <c r="B184" i="2"/>
  <c r="B187" i="2"/>
  <c r="B190" i="2"/>
  <c r="B192" i="2"/>
  <c r="B194" i="2"/>
  <c r="B197" i="2"/>
  <c r="B200" i="2"/>
  <c r="B203" i="2"/>
  <c r="B206" i="2"/>
  <c r="B209" i="2"/>
  <c r="B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7D715E1-36B2-47EA-B501-47E1D0A03250}" keepAlive="1" name="Consulta - Información1" description="Conexión a la consulta 'Información1' en el libro." type="5" refreshedVersion="8" background="1" saveData="1">
    <dbPr connection="Provider=Microsoft.Mashup.OleDb.1;Data Source=$Workbook$;Location=Información1;Extended Properties=&quot;&quot;" command="SELECT * FROM [Información1]"/>
  </connection>
</connections>
</file>

<file path=xl/sharedStrings.xml><?xml version="1.0" encoding="utf-8"?>
<sst xmlns="http://schemas.openxmlformats.org/spreadsheetml/2006/main" count="2105" uniqueCount="364">
  <si>
    <t>Fecha</t>
  </si>
  <si>
    <t>Titular</t>
  </si>
  <si>
    <t>Dependencia</t>
  </si>
  <si>
    <t>Canal</t>
  </si>
  <si>
    <t>Tema</t>
  </si>
  <si>
    <t>Estatus</t>
  </si>
  <si>
    <t>Sipdus</t>
  </si>
  <si>
    <t>Informativa</t>
  </si>
  <si>
    <t>Acir 92.5 FM</t>
  </si>
  <si>
    <t>Radioescucha</t>
  </si>
  <si>
    <t>Panorama Informativo Pachuca</t>
  </si>
  <si>
    <t>Radio local</t>
  </si>
  <si>
    <t>Positiva</t>
  </si>
  <si>
    <t>Eulalio Larrieta agradece a Jair Martínez de la SEGOBH, porque esta al pendiente de lo que se necesite y los reportes.</t>
  </si>
  <si>
    <t>Eulalio Larrieta</t>
  </si>
  <si>
    <t>Segobh</t>
  </si>
  <si>
    <t>Eulalio Larrieta agradece a Cristian Yahir Castañeda supervisor de la región Pachuca quien nos va atender los reportes que correspondan a la SEMOT</t>
  </si>
  <si>
    <t>Semot</t>
  </si>
  <si>
    <t>Eulalio Larrieta informa que Jorge Hernández del ayuntamiento de Pachuca, esta al pendiente de todos los reportes de la ciudadania del Municipio de Pachuca</t>
  </si>
  <si>
    <t>Ayuntamiento</t>
  </si>
  <si>
    <t>Eulalio Larrieta agradece Hans Islas del ayuntamiento de Mineral de la Reforma , por su apoyo en pasar los reportes.</t>
  </si>
  <si>
    <t>SEPH</t>
  </si>
  <si>
    <t>Presidencia</t>
  </si>
  <si>
    <t>SSPH</t>
  </si>
  <si>
    <t>Otros</t>
  </si>
  <si>
    <t>Negativa</t>
  </si>
  <si>
    <t>Gobernador</t>
  </si>
  <si>
    <t>Andrés Torres</t>
  </si>
  <si>
    <t>Súper Stéreo 100.5 FM</t>
  </si>
  <si>
    <t>Rodolfo López</t>
  </si>
  <si>
    <t>Enfoque Regional Matutino</t>
  </si>
  <si>
    <t>Canal del Pueblo</t>
  </si>
  <si>
    <t>Vocales Radio</t>
  </si>
  <si>
    <t>Planeación</t>
  </si>
  <si>
    <t>Atención Ciudadana</t>
  </si>
  <si>
    <t>Día</t>
  </si>
  <si>
    <t>Radiodifusora</t>
  </si>
  <si>
    <t>Programa</t>
  </si>
  <si>
    <t>Clasificación</t>
  </si>
  <si>
    <t>Autor</t>
  </si>
  <si>
    <t>Género</t>
  </si>
  <si>
    <t>Gobierno del estado</t>
  </si>
  <si>
    <t>Noticia</t>
  </si>
  <si>
    <t>Opinión</t>
  </si>
  <si>
    <t>Boletín</t>
  </si>
  <si>
    <t>Alcaldías</t>
  </si>
  <si>
    <t>Presidencia de la República</t>
  </si>
  <si>
    <t>Recuento</t>
  </si>
  <si>
    <t>Día actual</t>
  </si>
  <si>
    <t>Día anterior</t>
  </si>
  <si>
    <t>Abasto De Agua</t>
  </si>
  <si>
    <t>PGJEH</t>
  </si>
  <si>
    <t>Juan Carlos Santamaria</t>
  </si>
  <si>
    <t>NQ 90.1 FM</t>
  </si>
  <si>
    <t>Jesús Riveros</t>
  </si>
  <si>
    <t>Enlace Hidalgo1</t>
  </si>
  <si>
    <t>Mundial De Futbol</t>
  </si>
  <si>
    <t>Eulalio Larrieta agradece a Edith Balderas de la Secretaria de Educación Pública.</t>
  </si>
  <si>
    <t>Eulalio Larrieta agradece Paola García y Lic. Sarahi Pineda, por estar atentas a los mensajes de la ciudadanía y por atenderlos.</t>
  </si>
  <si>
    <t>Turismo</t>
  </si>
  <si>
    <t>Congreso</t>
  </si>
  <si>
    <t>SSH</t>
  </si>
  <si>
    <t>Entrevista</t>
  </si>
  <si>
    <t>Ataque Armado</t>
  </si>
  <si>
    <t>Enlace Hidalgo2</t>
  </si>
  <si>
    <t>Saderh</t>
  </si>
  <si>
    <t>Auxilio a la ciudadanía</t>
  </si>
  <si>
    <t>TV local</t>
  </si>
  <si>
    <t>Modernización Tuzobús</t>
  </si>
  <si>
    <t>Radiodifusoras</t>
  </si>
  <si>
    <t>DIFH</t>
  </si>
  <si>
    <t>Ultra 102.9 FM</t>
  </si>
  <si>
    <t>Ultra Noticias1</t>
  </si>
  <si>
    <t>Daniel Martínez</t>
  </si>
  <si>
    <t>Vía telefónica el reporte de Bombero y Protección Civil con Abner Yáñez informa de las diversas emergencias reportadas por la ciudadanía y que fueron atendidas.</t>
  </si>
  <si>
    <t>IEEH</t>
  </si>
  <si>
    <t>Sedeco</t>
  </si>
  <si>
    <t>Semaforización</t>
  </si>
  <si>
    <t>Aspirantes</t>
  </si>
  <si>
    <t>Sucesión gubernamental</t>
  </si>
  <si>
    <t>Fiesta en oficina pública</t>
  </si>
  <si>
    <t>Ley del ISSSTE</t>
  </si>
  <si>
    <t>Accidente Tuzobús</t>
  </si>
  <si>
    <t>Tecnificación De Riego</t>
  </si>
  <si>
    <t>Procuraduría municipal del menor</t>
  </si>
  <si>
    <t>Infraestructura Hidráulica</t>
  </si>
  <si>
    <t>Tecnología aérea de la SSPH permite ubicar hidrocarburo robado en Cuautepec</t>
  </si>
  <si>
    <t>Combate Al Huachicol</t>
  </si>
  <si>
    <t>Zona Arqueológica</t>
  </si>
  <si>
    <t>La Coordinadora Nacional de Trabajadores de la Educación (CNTE) salió este miércoles de la Secretaría de Gobernación (Segob) sin acuerdos ni compromisos por parte del gobierno federal para concretar una mesa de diálogo con la presidenta Claudia Sheinbaum, una de las principales exigencias del magisterio disidente. “No hay apertura. Mostramos voluntad, pero no hay voluntad por parte del gobierno federal”, afirmó Filiberto Frausto Orozco, secretario general de la Sección 34 de la CNTE, al término de la reunión sostenida con autoridades federales. En conferencia de prensa, el dirigente explicó que la Comisión Nacional Única de Negociación acudió a la dependencia para conocer la respuesta a la solicitud planteada un día antes respecto a una reunión directa con la titular del Ejecutivo federal. Señaló que la organización esperaba conocer una fecha y hora para la instalación de esa mesa de trabajo; sin embargo, dijo que no hubo una respuesta favorable por parte de las autoridades. Orozco sostuvo que la CNTE mantiene su insistencia en dialogar directamente con la presidenta debido a que fue ella quien durante su campaña se comprometió a abrogar la Ley del ISSSTE, una de las principales demandas del movimiento magisterial.</t>
  </si>
  <si>
    <t>La presidenta Claudia Sheinbaum afirmó que su gobierno no caerá en "provocaciones de represión" tras las manifestaciones de la CNTE en el Zócalo. Señaló que quienes generan la violencia y vandalismo encapuchados parecen ser grupos ajenos al magisterio y reiteró que el diálogo sigue abierto en la Segob y la SEP.</t>
  </si>
  <si>
    <t>Maestros de la Coordinadora Nacional de Trabajadores de la Educación (CNTE) ingresaron por la fuerza a las instalaciones de la Secretaría de Educación Pública (SEP) en avenida Universidad, en la alcaldía Benito Juárez. Luego de casi tres horas de bloquear la avenida frente a la sede de la dependencia federal, un grupo de manifestantes se acercaron a las vallas metálicas que protegen la fachada y comenzaron a golpear la muralla para intentar derribarla. Cerca de las 13 horas, un grupo irrumpió finalmente en las instalaciones y tomó varios extintores del inmueble.</t>
  </si>
  <si>
    <t>Huichapan apretó el cinturón a regidores con una reducción de salario del 50%, pero dejó intacto el de la alcaldesa. El Ayuntamiento de Huichapan aprobó una reducción del 50 por ciento al salario de las y los integrantes del Cabildo, una medida que fue presentada como una acción de austeridad, pero que también desató un intenso debate sobre el manejo de los recursos públicos y el sueldo de la presidenta municipal. La propuesta fue impulsada durante la Décima Primera Sesión Ordinaria 2026 por regidores de Morena y Nueva Alianza, quienes argumentaron que el ahorro generado permitirá fortalecer programas sociales, especialmente aquellos dirigidos al apoyo alimentario de personas en situación vulnerable. La alcaldesa Yeymi Solís Zavala respaldó la iniciativa y la calificó como una medida histórica para el municipio, al señalar que los recursos públicos deben traducirse en beneficios directos para la población. Sin embargo, la discusión estuvo lejos de ser unánime. Regidores de oposición y el síndico municipal, Israel Bautista Juárez, cuestionaron que se promueva una política de austeridad mientras persisten dudas sobre diversos gastos realizados por la administración municipal. Durante la sesión, integrantes del Cabildo exigieron mayor transparencia respecto al uso de recursos públicos, particularmente en torno a la Feria del Calvario 2025. Entre los señalamientos expuestos se mencionaron presuntos pagos duplicados realizados a través de distintos proveedores y en diferentes periodos, además de cuestionamientos sobre el costo total del evento, que habría ascendido a alrededor de 9 millones de pesos. También se pusieron sobre la mesa erogaciones cercanas a 250 mil pesos destinados a un evento de la CNTE realizado el año pasado. Los regidores inconformes sostuvieron que una verdadera política de austeridad debería comenzar por revisar el gasto general del gobierno municipal antes que enfocarse únicamente en las percepciones de los integrantes del Ayuntamiento. Otro de los puntos que generó controversia fue el ingreso de la presidenta municipal. Durante la discusión, regidores de oposición señalaron que el salario mensual de Yeymi Solís Zavala ronda los 95 mil pesos, por lo que consideraron que cualquier estrategia de austeridad debería incluir también una revisión de esa percepción. En respuesta, la alcaldesa afirmó que dicho monto no fue establecido por su administración, sino que corresponde a tabuladores heredados de gobiernos anteriores. Aun así, la oposición insistió en que los ajustes salariales tendrían que aplicarse de manera más amplia y no únicamente a regidores y síndicos. La votación concluyó con un empate de siete votos a favor y siete en contra, por lo que fue necesario recurrir al voto de calidad de la presidenta municipal, quien respaldó la propuesta y permitió que la reducción salarial fuera finalmente aprobada.</t>
  </si>
  <si>
    <t>Disminución salarial</t>
  </si>
  <si>
    <t>Ke Buena 106.7 FM</t>
  </si>
  <si>
    <t>Noticias 106.7</t>
  </si>
  <si>
    <t>Con entrega de apoyos en Alfajayucan, Saderh fortalece la productividad al campo en 12 municipios</t>
  </si>
  <si>
    <t>Impulso al agro</t>
  </si>
  <si>
    <t>David Cárdenas</t>
  </si>
  <si>
    <t>Alianza Hidalgo-China se consolida</t>
  </si>
  <si>
    <t>Relación bilateral</t>
  </si>
  <si>
    <t>La selección de Sudáfrica pisó suelo mexicano este martes al aterrizar en el AIFA a primera hora tras un largo retraso por problemas con sus visados y antes de las 7:00 am fue recibida con mariachis en su hotel sede en Pachuca, Hidalgo.</t>
  </si>
  <si>
    <t>Luego de la polémica que se generó por la difusión de un video, donde presuntamente, Donato Ramírez Olvera, síndico de Singuilucan aparece amenazando a un grupo de jóvenes, ayer, por la noche, emitió un mensaje público para ofrecer disculpas por lo ocurrido, sin embargo, lejos de calmar la controversia, la genta ha solicitado que se investigue y se esclarezca el tema y sobre todo, que se tomen acciones en consecuencia sobre el representante popular. Hasta el momento, el Ayuntamiento de Singuilucan no ha emitido ningún comunicado, tampoco el partido de Morena aquí en Hidalgo, para saber si habrá alguna sanción por el actuar de este funcionario público. (AUDIO DONATO RAIMREZ, DICULPA PUBLICA).</t>
  </si>
  <si>
    <t>Regidor ebrio</t>
  </si>
  <si>
    <t>Reafirmando su compromiso con la seguridad, la atención de emergencias y la protección de las familias cuautepequenses, el presidente municipal Jorge Hernández Araus continúa fortaleciendo a las corporaciones de Seguridad Pública y Protección Civil mediante la entrega de equipamiento especializado y la incorporación de una nueva ambulancia que permitirá mejorar la capacidad de respuesta ante situaciones de riesgo y auxilio a la población. El alcalde destacó que contar con corporaciones mejor preparadas y equipadas es fundamental para brindar servicios eficientes y oportunos a la ciudadanía, por lo que su administración mantiene una política permanente de fortalecimiento institucional en beneficio de quienes diariamente velan por la seguridad y el bienestar de las y los habitantes. Como parte de estas acciones, la Dirección de Seguridad Pública, Tránsito y Vialidad Municipal recibió 60 esposas, trafitambos, traficonos, 30 silbatos y 30 lámparas, herramientas que contribuirán a reforzar las labores de vigilancia, prevención del delito, operativos de seguridad y control vial en las distintas comunidades del municipio. Por su parte, la corporación de Protección Civil fue equipada con un radio base, 11 radios móviles y 6 radios portátiles, indispensables para mejorar la comunicación operativa durante la atención de emergencias, contingencias y servicios de auxilio. A este esfuerzo se suma la reciente incorporación de una nueva ambulancia, unidad que permitirá ampliar y fortalecer la atención prehospitalaria en el municipio, reduciendo tiempos de respuesta y garantizando una atención más eficiente para las y los cuautepequenses que requieran asistencia médica de emergencia. Jorge Hernández Araus señaló que invertir en equipamiento, comunicación y movilidad para las corporaciones municipales significa invertir directamente en la seguridad y tranquilidad de las familias, pues son herramientas que permiten a los elementos desempeñar sus funciones con mayor eficacia y profesionalismo.</t>
  </si>
  <si>
    <t>Entrega De Equipo</t>
  </si>
  <si>
    <t>El Congreso de Hidalgo aprobó el dictamen de reforma a la Ley de Turismo que obliga a hoteles y moteles a verificar la identidad de huéspedes y acreditar el vínculo con menores de edad, además de implementar protocolos de seguridad y notificar a autoridades ante sospechas. Con 24 votos a favor, integrantes de la 66 Legislatura aprobaron las iniciativas que reforman la Ley de Turismo Sustentable y la Ley de los Derechos de Niñas, Niños y Adolescentes del estado, en materia de protección en entornos de servicios turísticos de hospedaje. El dictamen obliga a los prestadores de servicio turístico de hospedaje a solicitar la exhibición de credencial de elector o de cualquier otro documento oficial que demuestre la mayoría de edad e identidad de la persona que solicita el servicio. Así como, condicionar el ingreso de niños y adolescentes a las habitaciones o inmuebles de uso habitacional para hospedaje o alojamiento, cuando se encuentran en compañía de alguna persona mayor de edad que acredite tener la patria potestad, parentesco consanguíneo hasta el segundo grado. En caso de no presentarlo, los hoteles y moteles deberán dar parte a las autoridades competentes, de no hacerlo serían acreedores a sanciones.</t>
  </si>
  <si>
    <t>Reforma De Ley</t>
  </si>
  <si>
    <t>Respecto a la iniciativa presentada en el Congreso de Hidalgo por parte de legisladores morenistas, donde se declara el 22 de septiembre de cada año como el “Día Conmemorativo de la Herencia Futbolística de Mineral del Monte, David Cárdenas comentó que, esto habla muy bien del Congreso de Hidalgo que está llevando a cabo labores legislativas, pero también, en favor de la sociedad. Comentó David Cárdenas en su colaboración vía telefónica</t>
  </si>
  <si>
    <t>Iniciativa</t>
  </si>
  <si>
    <t>Mediante enlace telefónico, David Cárdenas informo que, el Congreso del Estado de Hidalgo albergó la presentación de la iniciativa que declara el 22 de septiembre de cada año como el “Día Conmemorativo de la Herencia Futbolística de Mineral del Monte”, impulsada por la diputada Lizbeth Iraís Ordaz Islas y el diputado Andrés Velázquez Vázquez, ambos de la bancada de Morena. El presidente de la Junta de Gobierno, diputado Andrés Velázquez, destacó la importancia del futbol como un deporte que despierta pasión, identidad y unión social. Reconoció a autoridades y organizadores del evento por su labor en favor del deporte y recordó que esta región minera fue uno de los lugares donde nació el balompié en México, gracias a la influencia de los trabajadores ingleses que llegaron en el siglo XIX. El legislador afirmó que en Mineral del Monte el futbol representa una forma de entender la vida y anunció la donación al Museo de Futbol Realmontense de una playera de la Selección Mexicana firmada por destacados jugadores, como símbolo de reconocimiento a esta tradición y para preservar su memoria histórica.</t>
  </si>
  <si>
    <t>Refuerza Hidalgo estrategia sanitaria rumbo al Mundial 2026</t>
  </si>
  <si>
    <t>Vigilancia Epidemiológica</t>
  </si>
  <si>
    <t>Icathi fortalece la vinculación y capacitación laboral en el marco de su 31 Aniversario.</t>
  </si>
  <si>
    <t>STPSH</t>
  </si>
  <si>
    <t>Capacitación Para El Trabajo</t>
  </si>
  <si>
    <t>Capacita IHE a psicólogos para fortalecer el bienestar socioemocional en las escuelas</t>
  </si>
  <si>
    <t>Atención Socioemocional</t>
  </si>
  <si>
    <t>Pachuca, Mineral de la Reforma y Actopan formalizan Procuradurías Municipales de Protección</t>
  </si>
  <si>
    <t>Radioescucha reporta que Caasim les cambio una linea principal de drenaje , ya que el drenaje se metia a las casa, los costos van desde 15 mil hasta 7500 en la colonia Doctores, eso se paga de Alcantarillado, pedimos a las autoridades chequen este dato</t>
  </si>
  <si>
    <t>Enfoque Regional Meridiano</t>
  </si>
  <si>
    <t>Un elemento de la Policía Municipal de Progreso de Obregón perdió la vida y otro más resultó lesionado tras un accidente vehicular registrado durante la madrugada de este miércoles sobre la carretera Progreso a Xochitlán. De acuerdo con los reportes preliminares, el percance ocurrió a la altura de la comunidad de La Ranchería, donde se vieron involucradas una patrulla municipal y una camioneta particular. Como consecuencia del impacto, la unidad oficial terminó volcada. Al lugar acudieron cuerpos de emergencia, quienes localizaron al interior de la patrulla a un oficial que ya no presentaba signos vitales. Un segundo elemento fue atendido por paramédicos y posteriormente trasladado a un hospital para recibir atención médica.</t>
  </si>
  <si>
    <t>Accidente de patrulla</t>
  </si>
  <si>
    <t>Jesús González</t>
  </si>
  <si>
    <t>Un elemento de la Policía Municipal de Progreso de Obregón perdió la vida y otro más resultó lesionado tras un accidente vehicular registrado durante la madrugada de este miércoles sobre la carretera Progreso a Xochitlán. De acuerdo con los reportes preliminares, el percance ocurrió a la altura de la comunidad de La Ranchería, donde se vieron involucradas una patrulla municipal y una camioneta particular. Como consecuencia del impacto, la unidad oficial terminó volcada. Al lugar acudieron cuerpos de emergencia, quienes localizaron al interior de la patrulla a un oficial que ya no presentaba signos vitales. Un segundo elemento fue atendido por paramédicos y posteriormente trasladado a un hospital para recibir atención médica. En tanto, el conductor del vehículo particular fue valorado en el sitio y quedó a disposición de las autoridades mientras se llevan a cabo las investigaciones para determinar las circunstancias del accidente."</t>
  </si>
  <si>
    <t>Radio Lobo 96.7 FM</t>
  </si>
  <si>
    <t>Enlace Noticias</t>
  </si>
  <si>
    <t>Llamado a las personas conductoras a respetar el carril exclusivo del Transporte Metropolitano</t>
  </si>
  <si>
    <t>Gina Lorenzo</t>
  </si>
  <si>
    <t>Un hombre fue asesinado durante la madrugada de este martes al interior de un domicilio ubicado en la localidad de Huitel, en el municipio de Tezontepec de Aldama.Al llegar al domicilio, los oficiales tomaron contacto con Janeth “N”, quien señaló que se bañaba cuando escuchó detonaciones y una voz desconocida. Minutos después, al salir del baño, localizó el cuerpo de D. C. C. sobre un colchón</t>
  </si>
  <si>
    <t>Radioescucha pide apoyo por parte de protección civil de Pachuca, para que los apoye ya que estan muchas abejas en Fraccionamiento Renacimiento</t>
  </si>
  <si>
    <t>Radioescucha Sr. Fidel, mandaron a bachear la avenida Piracantos, pero se fueron los que van a bachear voluntariamente; solo le pusieron grava con petróleo “Si antes iba mal la presidencia, ya está peor”</t>
  </si>
  <si>
    <t>Bacheo</t>
  </si>
  <si>
    <t>La Poderosa Tuxpan 93.1 FM</t>
  </si>
  <si>
    <t>NN Nuestras Noticias Zona Norte</t>
  </si>
  <si>
    <t>Icathi fortalece la vinculación y capacitación laboral en el marco de su 31 Aniversario, AUDIO APOYO</t>
  </si>
  <si>
    <t>Liz Argüelles</t>
  </si>
  <si>
    <t>La Comisión Nacional del Agua reforzó las acciones de fumigación y control del lirio acuático y del mosquito cúlex en la zona de la Presa Endhó, como parte de la Estrategia Federal de Recuperación Ambiental y Sanitaria que se desarrolla en la región, así lo confirmó Mayela Godínez Alarcón, gerente de Planificación Hídrica de Conagua. La Conagua informó que continuará emitiendo reportes periódicos sobre el avance de las acciones implementadas dentro del plan maestro de recuperación de la presa Endhó, con el objetivo de dar seguimiento a los trabajos y mantener informadas a las comunidades de la región." AUDIO DE APOYO</t>
  </si>
  <si>
    <t>Control lirio acuático</t>
  </si>
  <si>
    <t>La Comisión Nacional del Agua (Conagua) fortaleció las acciones de control del lirio acuático y del mosquito cúlex, como parte del Plan Maestro de Recuperación de la Presa Endhó, que impulsa el Gobierno de México para avanzar en la recuperación ambiental de la región y proteger la salud de las familias.En el cuarto reporte de fumigación, correspondiente al periodo del 25 al 30 de mayo, destaca la incorporación de 40 profesionales especializados y equipo técnico para ampliar la cobertura y el impacto de la estrategia. Con esto, se benefició directamente a 18 mil 450 habitantes de 6 mil 150 viviendas, en 15 comunidades ribereñas de la presa.Así, se consolida una estrategia integral que combina ciencia, tecnología, y presencia permanente en territorio. Cada semana se amplía la cobertura, se fortalece la capacidad operativa y se genera información verificable para que las comunidades conozcan los avances de este esfuerzo colectivo de recuperación ambiental y sanitaria. De esta manera, la fumigación terrestre alcanzó a 2 mil 66 hectáreas, con el uso de equipos de termonebulización, tecnología ULV y aspersión manual al interior de los hogares. Las labores incluyeron perifoneo preventivo, recorridos informativos y sensibilización comunitaria para mantener comunicación directa con la población antes de cada jornada operativa.</t>
  </si>
  <si>
    <t>El colectivo feminista M8 Actopan convocó a una movilización el próximo 5 de junio para exigir justicia por Dulce, quien perdió la vida tras ser atacada con disparos de arma de fuego el pasado mes de mayo.De acuerdo con la convocatoria, la concentración iniciará a las 17:00 horas en el mercado Jamaiquitas. Las organizadoras solicitaron a las personas asistentes acudir con pancartas, cacerolas o cualquier objeto que permita hacer ruido durante el recorrido.A través de la invitación difundida en redes sociales, el colectivo señaló que la movilización busca exigir verdad, justicia y acompañamiento para Dulce y Leo, además de mantener visible la exigencia de seguimiento al caso, AUDIO APOYO</t>
  </si>
  <si>
    <t>Exigen Esclarecer Feminicidio</t>
  </si>
  <si>
    <t>Radioescucha reporta fuga de drenaje en Avenida 6, la que baja del Panteón</t>
  </si>
  <si>
    <t>Fuga De Drenaje</t>
  </si>
  <si>
    <t>Con entrega de apoyos en Alfajayucan, Saderh fortalece la productividad al campo en 12 municipios, AUDIO APOYO</t>
  </si>
  <si>
    <t>Lo que comúnmente termina en la basura podría convertirse en materia prima para tratamientos médicos. Esa es la premisa de una investigación desarrollada en la Universidad Autónoma del Estado de Hidalgo (UAEH), donde una estudiante de doctorado trabaja en un método para producir hidroxiapatita —un mineral fundamental en la formación de huesos y dientes— utilizando cáscaras de huevo como fuente de calcio.La responsable del proyecto es Ana Karen Gómez Flores, alumna del Doctorado en Ciencias de los Materiales, quien plantea una alternativa a los procesos tradicionales empleados para obtener este compuesto. En lugar de recurrir a la calcinación, técnica que implica someter el material a temperaturas extremadamente altas, la investigadora apuesta por un procedimiento químico que permita separar los componentes de la cáscara sin degradar proteínas y colágeno presentes en ella.</t>
  </si>
  <si>
    <t>UAEH</t>
  </si>
  <si>
    <t>Investigación académica</t>
  </si>
  <si>
    <t>Radioescucha comenta: “No se supervisan las rutas del Tuzobús, pero de nada sirve que tengan unidades nuevas, si siguen igual en los horarios. Ayer, simplemente en la estación de Prepa 1 en la noche, se iban correteando tres paradoras con dirección a Téllez, y para el centro tuve que esperar más de media hora</t>
  </si>
  <si>
    <t>Radioescucha comenta que las nuevas unidades de Tuzobús son más reducidas en el pasillo; lo que sí es que tienen más tubos para poder agarrarnos.</t>
  </si>
  <si>
    <t>Hace una horas la secretaria de Turismo de Hidalgo Liz Quintanar, informó que el evento de Leyendas del futbol en donde se reunirán en el partido México vs. Sudáfrica ya se agotaron los boletos para el día domingo</t>
  </si>
  <si>
    <t>Es importante destacar que la Selección Nacional de Sudáfrica realizará este miércoles un entrenamiento abierto al público en el Estadio Hidalgo como parte de las actividades programadas durante su concentración. La práctica está prevista para las 16 horas</t>
  </si>
  <si>
    <t>Continuando con este tema, Armando Martínez, presidente del Club Pachuca, celebró la designación de la capital hidalguense como campamento oficial de la Selección de Sudáfrica para el Mundial 2026, al considerar que este nombramiento representa un reconocimiento a la infraestructura, la organización y la tradición futbolística que distingue al Estado de Hidalgo. AUDIO DE APOYO</t>
  </si>
  <si>
    <t>Gobernador de Hidalgo, Julio Menchaca Salazar, dio la bienvenida a la Selección Nacional de Sudáfrica, tras su arribo a Pachuca, AUIDO JMS VIDEO</t>
  </si>
  <si>
    <t>Continuando con este tema, Armando Martínez, presidente del Club Pachuca, celebró la designación de la capital hidalguense como campamento oficial de la Selección de Sudáfrica para el Mundial 2026, al considerar que este nombramiento representa un reconocimiento a la infraestructura, la organización y la tradición futbolística que distingue al Estado de Hidalgo. AUDFIO DE APOYO</t>
  </si>
  <si>
    <t>Es importante destacar que la Selección Nacional de Sudáfrica realizará este miércoles un entrenamiento abierto al público en el Estadio Hidalgo como parte de las actividades programadas durante su concentración. La práctica está prevista para las 16 horas, mientras que las puertas del inmueble abrirán desde las 15 horas para facilitar el acceso de los asistentes. De acuerdo con la organización, el ingreso será controlado y se permitirá la presencia de hasta 8 mil aficionados, cifra que representa cerca del 31 por ciento de la capacidad total del huracán. Además de la sesión de trabajo en cancha, se contempla una convivencia con los aficionados, quienes podrán acercarse a una de las selecciones participantes en esta justa mundialista de la FIFA y con la cual México inaugurará este magno evento deportivo el próximo jueves 11 de junio.</t>
  </si>
  <si>
    <t>Gobernador de Hidalgo, Julio Menchaca Salazar, dio la bienvenida a la Selección Nacional de Sudáfrica, tras su arribo a Pachuca. AUDIO DE APOYO JMS</t>
  </si>
  <si>
    <t>Leyendas del futbol se reunirán en el partido México vs. Sudáfrica</t>
  </si>
  <si>
    <t>Procuraduría municipal del menor - Metropolitana - DIFH/Bol.301/2026: Pachuca, Mineral de la Reforma y Actopan formalizan Procuradurías Municipales de Protección, AUDIO APOYO</t>
  </si>
  <si>
    <t>Con la presencia de la presidenta del Patronato del Sistema DIF Hidalgo, Edda Vite Ramos, como invitada de honor, este martes se llevó a cabo la toma de protesta e instalación formal de la Procuraduría Municipal de Protección de Niñas, Niños y Adolescentes de Pachuca de Soto. El acto fue encabezado por el presidente municipal de Pachuca, Jorge Reyes, acompañado por la presidenta del Sistema DIF Municipal, Mariana Mayén, quienes destacaron la importancia de fortalecer las instituciones encargadas de proteger y garantizar los derechos de la niñez y adolescencia</t>
  </si>
  <si>
    <t>Mineral de la Reforma formalizó la creación de la Procuraduría de Protección de Niñas, Niños y Adolescentes, durante la Quinta Sesión Extraordinaria 2026 de la Junta de Gobierno del Sistema Municipal DIF.El acto fue encabezado por la presidenta del Patronato del Sistema DIF Hidalgo, Edda Vite Ramos, junto con la presidenta honorífica del DIF municipal, Samantha Esparza Hernández, y el alcalde Eduardo Medécigo Rubio, presidente de la Junta de Gobierno.Durante su intervención, Vite Ramos reconoció que Mineral de la Reforma es uno de los municipios que cuenta con un equipo multidisciplinario integrado por 10 personas, por lo que esta instancia especializada permitirá brindar atención integral a niñas, niños y adolescentes de la Ciudad de la Comunidad,</t>
  </si>
  <si>
    <t>Radioescucha reporta a la directora de la Escuela Melchor Ocampo, comenta que es muy grosera, no deja entrar a los alumnos a las aulas.</t>
  </si>
  <si>
    <t>Queja padres de familia</t>
  </si>
  <si>
    <t>Radioescucha reporta en la calle Malinche en Barrio de San Clemente, nunca está limpio; lo que sí es que el camión pasa a su hora y todo, pero la gente es la que saca su basura después de tiempo y deja todo</t>
  </si>
  <si>
    <t>Recolección De Basura</t>
  </si>
  <si>
    <t>El presidente municipal, Cristhian Martínez, acompañó a la titular de la Semarnath Hidalgo, Mónica Mixtega, al el evento “Esferas de Vida”, una iniciativa estratégica diseñada para recuperar la masa forestal en zonas de difícil acceso que han sido afectadas por incendios, erosión y deforestación. Esta acción también busca fortalecer la educación ambiental, involucrando a la comunidad estudiantil para integrar la reforestación como una práctica formativa y fomentar una verdadera conciencia ecológica entre todas y todos.</t>
  </si>
  <si>
    <t>Semarnath</t>
  </si>
  <si>
    <t>Reforestación</t>
  </si>
  <si>
    <t>El Congreso del Estado de Hidalgo aprobó en sesión ordinaria, reformas a la Ley de Turismo Sustentable y a la Ley de los Derechos de Niñas, Niños y Adolescentes, con el objetivo de fortalecer la protección de menores de edad en establecimientos de hospedaje, mediante la implementación de mecanismos obligatorios de verificación y protocolos de seguridad que permitan prevenir delitos como la trata de personas, la explotación sexual infantil y otras formas de violencia.El dictamen, avalado por la Primera Comisión Permanente de Legislación y Puntos Constitucionales, establece nuevas obligaciones para hoteles, moteles, posadas, hostales y demás prestadores de servicios de hospedaje, quienes deberán solicitar identificaciones oficiales a las personas adultas que viajen acompañadas de niñas, niños o adolescentes y verificar que exista un vínculo de parentesco, patria potestad, tutela o autorización legal para su resguardo.</t>
  </si>
  <si>
    <t>El síndico morenista Donato Ramírez Olvera en redes sociales realizó una disculpa pública, despúes de estar en estado de ebriedad y amenazar a jovenes. AUDIO DE DISCULPA PÚBLICA</t>
  </si>
  <si>
    <t>El síndico morenista Donato Ramírez Olvera, AUDIO DE DISCULPA PUBLICA</t>
  </si>
  <si>
    <t>El síndico morenista Donato Ramírez Olvera fue captado en presunto estado de ebriedad, lanzando amenazas de muerte contra jóvenes, AUDIO VIDEO REDES</t>
  </si>
  <si>
    <t>Radioescucha comenta: “¿Será a la fuerza registrar nuestras líneas de celular?”</t>
  </si>
  <si>
    <t>Registro de celulares</t>
  </si>
  <si>
    <t>Vía telefónica Jorge Reyes presidente municipal de Pachuca con el tema : Inician obras en Pachuca una de ellas es la rehabilitacion del panteón, rehabilitación de los cuatro parques , también vamos mejoramiento, rehabilitación y construcción del Centro Venetinario que esta en Piracantos. Se realizaran pavimentaciones de concreto hidráulico en varias colonias como lo son en el Palmar, en la Luz del Carmen, todo lo que es la parte de arriba de la 20 de noviembre, Crisol, Cruz, Punta Krystal, Ramos Arizpe, Valle del Palmar, y estamos terminando de validar más expedientes y también avenidas principales.</t>
  </si>
  <si>
    <t>Rehabilitación de espacios públicos</t>
  </si>
  <si>
    <t>El presidente municipal, Cristhian Martínez, encabezó el arranque de los trabajos de rehabilitación de la cancha de futbol 7 en la unidad deportiva de Tula, AUDIO APOYO</t>
  </si>
  <si>
    <t>Remodelación de instalaciones</t>
  </si>
  <si>
    <t>Luego de anunciar la renovación de la dirigencia estatal del Partido Revolucionario Institucional (PRI), el dirigente estatal Marco Mendoza Bustamante presentó su renuncia al cargo para esperar la convocatoria.Este martes, al recibir la renuncia, el tricolor en la entidad anunció que por prelación, asumió el cargo Martín Quezada, como presidente del Comité Directivo Estatal, y como secretaria general, Cecilia Pérez Barranco.La convocatoria será emitida por esta dirigencia, así como las bases para la inscripción, pues se estima que al ser una elección por voto directo y secreto, se tendrá también una campaña interna y recorridos con la militancia del tricolor.</t>
  </si>
  <si>
    <t>PRI</t>
  </si>
  <si>
    <t>Renovación De Dirigencia</t>
  </si>
  <si>
    <t>Partidos</t>
  </si>
  <si>
    <t>Radioescucha reporta que siguen sin arreglar los semáforos que están rumbo a Tulipanes por Chedraui, no funcionan</t>
  </si>
  <si>
    <t>La titular de la Secretaría de Movilidad y Transporte de Hidalgo, la SEMOT, en sus siglas, Lizbeth Robles, se pronunció en torno a la tarifa del servicio de taxis en la entidad, al abordar diversos aspectos relacionados con la regulación y operación de este sector. AUDIO DE APOYO. En materia de movilidad, la titular de la SEMOTH, Lizbeth Robles, explicó las acciones que lleva a cabo la dependencia para regular y supervisar los puntos de acceso en los ascensos y descensos de pasajeros de las unidades del transporte colectivo, el tema cobró relevancia tras el accidente registrado en días recientes sobre el bulevar Minero en Pachuca, donde una combi del transporte público y una camioneta particular se vieron involucradas en un percance que dejó como saldo a dos personas fallecidas</t>
  </si>
  <si>
    <t>Tarifario de taxis</t>
  </si>
  <si>
    <t>La Conagua reconoce retrasos en obras de riego y señala vías legales para usuarios afectados. La información con Nadime Ashane. La Comisión Nacional del Agua en Hidalgo indicó que los usuarios de los distritos de riego afectados por los retrasos en las obras de revestimiento de canales y canaletas pueden recurrir a las instancias jurídicas correspondientes para presentar demandas o denuncias y solicitar el seguimiento de sus casos. Así lo señaló Félix Brambilla, representante de la dependencia en la entidad, quien precisó que las empresas responsables de los trabajos también cuentan con mecanismos legales para justificar eventuales desfases en los plazos de ejecución, conforme a lo establecido en los contratos y la legislación aplicable.</t>
  </si>
  <si>
    <t>Gobierno de Hidalgo firma convenio con tres municipios para fortalecer la planeación territorial, AUDIO APOYO</t>
  </si>
  <si>
    <t>Tren AIFA</t>
  </si>
  <si>
    <t>Gobierno de Hidalgo firma convenio con tres municipios para fortalecer la planeación territorial</t>
  </si>
  <si>
    <t>Continuando en esta línea, Hidalgo refuerza vigilancia sanitaria rumbo a la justa mundialista. Hidalgo acelera sus acciones de prevención y vigilancia sanitaria ante la celebración del máximo evento del Balompié 2026. Con ese objetivo, autoridades federales y estatales participaron en una sesión del Comando Operativo Estatal para la Seguridad en Salud, donde se evaluaron estrategias para garantizar una respuesta eficaz ante cualquier eventualidad en materia de salud pública. La reunión fue encabezada por la Secretaría de Salud de Hidalgo, Vanessa Escalante Arroyo, quien destacó la importancia de mantener una coordinación permanente entre instituciones para fortalecer los mecanismos de detección, notificación y atención de posibles riesgos sanitarios asociados a eventos de gran afluencia internacional</t>
  </si>
  <si>
    <t>La Comisión Nacional de Honestidad y Justicia (CNHJ) de Morena emitió una prórroga de cinco días hábiles para declarar una resolución a la queja iniciada por la alcaldesa de Apan, María Zorayda Robles Barrera, en contra del regidor de su misma bancada, Carlos Derik Olvera Sumano, por presunta violencia política en razón de género. Dicha resolución deberá presentarse, a más tardar, el próximo viernes, 5 de junio, “con la finalidad de realizar una revisión exhaustiva de todos y cada uno de los elementos de pruebas” aportadas por las partes involucradas.</t>
  </si>
  <si>
    <t>Violencia Política De Género</t>
  </si>
  <si>
    <t>La Sala Regional Ciudad de México del Tribunal Electoral del Poder Judicial de la Federación (TEPJF) confirmó que funcionarios municipales de Tepetitlán no cometieron actos de violencia política contra las mujeres en razón de género, por lo que ratificó la sentencia emitida por el Tribunal Electoral del Estado de Hidalgo (TEEH).Una asambleísta que solicitó la protección de sus datos personales denunció a la presidenta municipal, al secretario general, a la tesorera y a la titular de la Unidad Resolutora del Órgano Interno de Control de dicho ayuntamiento. Además, controvirtió la resolución del expediente TEEH-PES-01/2026, mediante la cual el tribunal hidalguense declaró la inexistencia de violencia política en razón de género.El caso deriva de un procedimiento administrativo instaurado contra la regidora, quien fue inhabilitada temporalmente para desempeñar empleo, cargo o comisión en el servicio público, así como para participar en adquisiciones, arrendamientos, servicios u obras públicas durante un periodo de ocho meses. Durante ese tiempo, la denunciante argumentó que existieron omisiones de las autoridades municipales y conductas constitutivas de violencia política de género.</t>
  </si>
  <si>
    <t>Radioescucha Sr. Reyes reporta que Caasim no tapa la zanja que abrieron en Campestre Villas del Álamo.</t>
  </si>
  <si>
    <t>Zanjas Caasim</t>
  </si>
  <si>
    <t>La asociación civil Niebla y Tiempo expresó su inconformidad por las recientes acciones de restauración y manejo realizadas por el Instituto Nacional de Antropología e Historia (INAH) en la Zona de Monumentos Arqueológicos de Huapalcalco, particularmente por la colocación de malla que, afirman, restringe el acceso por la entrada principal del sitio.</t>
  </si>
  <si>
    <t>Cuatro personas que habían sido reportadas como extraviadas en las inmediaciones del Cerro del Xihuingo fueron localizadas con vida en el municipio de Tepeapulco, luego de un operativo de búsqueda desplegado por cuerpos de emergencia y corporaciones de seguridad. Tras recibir el aviso, personal de Protección Civil de Tepeapulco, elementos de Seguridad Pública Municipal y agentes de la Secretaría de Seguridad Pública de Hidalgo iniciaron recorridos en distintos puntos de las faldas del Xihuingo.</t>
  </si>
  <si>
    <t>Localización de persona</t>
  </si>
  <si>
    <t>Mientras circulaba a bordo de una motocicleta, un hombre fue víctima de un ataque con arma de fuego, logrando lesionarlo, para huir de inmediato. La situación se registró en la privada Tenango, dentro del fraccionamiento Haciendas de Tizayuca, donde los servicios de emergencia y la policía encontraron en el suelo a la persona, quien presentaba lesiones por impactos de arma de fuego. Tras valorar su estado de salud, el hombre fue trasladado para recibir atención médica especializada a sus lesiones; hasta el momento no se conoce su estado de salud. De acuerdo a testigos en la zona, los atacantes huyeron a bordo de una motocicleta rumbo a la comunidad del Carmen; hasta el momento no se conoce de detención de persona alguna relacionada con el atentado. La Procuraduría General de Justicia del Estado de Hidalgo ya ha iniciado las investigaciones respectivas al caso con el levantamiento de pruebas y testimoniales.</t>
  </si>
  <si>
    <t>El inicio de la construcción del nuevo salón de plenos del Congreso de Hidalgo se programa para junio, cuando se emitirá la licitación para la obra señaló Andrés Velázquez Vázquez, presidente de la Junta de Gobierno. Después de casi tres meses que concluyeron los trabajos de demolición del antiguo edificio del salón de plenos, está pendiente la convocatoria para la licitación correspondiente para la edificación del inmueble, al respecto el diputado local descartó que exista un retraso. “En este junio tendremos ya las citaciones para que todo esté en regla. No es que nos hayamos retrasado, sino que estamos haciendo los ajustes administrativos para que todo esté muy claro y transparente del manejo de los recursos que se van a destinar al salón de plenos”, refirió. Luego de encabezar el inició la campaña "Deja tu huella en la historia del futbol", en la que el Congreso local convoca a la población en general a donar sus llaves para participar en la construcción de un monumento conmemorativo que será colocado en Mineral del Monte, el legislador aseguró que les dará tiempo de concluir el nuevo edificio.</t>
  </si>
  <si>
    <t>Torre legislativa</t>
  </si>
  <si>
    <t>El Instituto Estatal Electoral (IEEH) informó que al corte del 21 de mayo, cuenta con un total de siete Procedimientos Especiales Sancionadores (PES) que son analizados por la Dirección Ejecutiva Jurídica del organismo. La secretaria ejecutiva Dulce Olivia Fosado, precisó que dos de esos mecanismos legales de denuncia corresponden al año 2025 y cinco al año 2026, los cuales se encuentran en investigación. Explicó que los cinco procedimientos mencionados, de los cuales se protegen las identidades de las denunciantes, están relacionados con actos de presunta violencia política contra las mujeres en razón de género. El consejero Guillermo Corrales Galván llamó a las autoridades de todos los órdenes de gobierno para colaborar con las solicitudes que el IEEH realiza en las tareas de investigación y sustanciación de los procedimientos, dijo que se busca agilizar la investigación a siete meses de que inicie el proceso electoral 2026-2027. “Las tareas de investigación que esta autoridad realiza son indispensables para allegarnos de los elementos necesarios para que la ciudadanía acceda a la justicia electoral”, señaló. Dijo que este tipo de investigaciones requiere el acompañamiento de instancias públicas y privadas para que los requerimientos de información, así como las solicitudes de protección y medidas cautelares, se concreten con el auxilio de las autoridades.</t>
  </si>
  <si>
    <t>Pachuca se posicionó entre las ciudades con mejor desempeño del país al ocupar el quinto lugar nacional en el Índice de Competitividad Urbana 2026, elaborado por el Instituto Mexicano para la Competitividad (IMCO), dentro de la categoría de municipios con una población de entre 500 mil y un millón de habitantes. La evaluación ubica a la capital hidalguense entre las urbes con mayores condiciones para impulsar el crecimiento económico, atraer inversiones y generar oportunidades para la población. El resultado también coloca a Pachuca por encima de otras ciudades con mayor tradición industrial y tamaño económico. De acuerdo con la medición, la posición alcanzada responde al desempeño registrado en rubros relacionados con la eficiencia institucional, la infraestructura urbana, el entorno económico, la innovación y la capacidad para ofrecer mejores condiciones de desarrollo a sus habitantes.</t>
  </si>
  <si>
    <t>Índice de desempeño municipal</t>
  </si>
  <si>
    <t>El robo de luminarias y material para el funcionamiento del alumbrado público en Tulancingo ha disminuido, hasta llegar a prácticamente cero en meses recientes, afirmó Juan Alberto Santuario Elías, secretario de Servicios Municipales. El funcionario señaló que al inicio de la actual administración local se registraban en promedio dos de este tipo de robos por semana; señaló que en los primeros tres meses del año no existe registro de este delito. Atribuyó la disminución a que ya no se usa cobre en el cableado, material que era muy atractivo para los delincuentes, pues por su costo y uso, se comercializaba en el mercado negro. Otro factor, considera Santuario Elías, es la ampliación de los sistemas de videovigilancia, que inhibe a los delincuentes para cometer los robos. Además, la vigilancia de los vecinos para cuidar dicha infraestructura y denunciar los intentos de robo y vandalización también ha ayudado a bajar la incidencia al respecto. “Nos damos cuenta en las requisiciones (órdenes de compra por parte del gobierno municipal), pues a inicio de la actual administración se adquiría material para reponer lo robado, y actualmente es para ampliar y en algunos casos, reparar el alumbrado público”, señaló. La incidencia de robo de luminarias, cableado y demás material relacionado, se ha registrado tanto en bulevares y calles principales, como en vialidades de conexión, tanto en el casco urbano como en comunidades de varias zonas del municipio.</t>
  </si>
  <si>
    <t>Luminarias</t>
  </si>
  <si>
    <t>El Ayuntamiento de Pachuca analiza la posibilidad de extender el sistema de estacionamiento regulado a nuevas zonas comerciales de la ciudad; agregado a ello, el presidente municipal Jorge Reyes Hernández informó que existen calles y corredores comerciales donde vecinos y empresarios han solicitado mecanismos para ordenar el uso de los cajones públicos, debido a que algunos vehículos permanecen estacionados durante varias horas y reducen la disponibilidad para clientes o visitantes. Uno de los puntos mencionados es la calle Arizpe, donde locatarios han planteado la necesidad de liberar espacios y favorecer la rotación vehicular. De acuerdo con el alcalde, la intención no es intervenir de manera inmediata, sino revisar la viabilidad de un nuevo modelo que no interfiera con el proceso legal que aún permanece abierto.</t>
  </si>
  <si>
    <t>Parquímetros</t>
  </si>
  <si>
    <t>El Sistema Integral de Transporte Masivo de Hidalgo (SITMAH) emitirá una convocatoria para contratar a 141 operadores del Sistema de Transporte Metropolitano, y conformar una plantilla total de 351 conductores para las 140 unidades que darán el servicio. Para la operación de las 80 nuevas unidades del Tuzobús cuentan con 210 conductores debidamente capacitados, pero contratarán más para 60 vagonetas de las rutas alimentadoras.</t>
  </si>
  <si>
    <t>Reclutamiento</t>
  </si>
  <si>
    <t>Al menos 10 estaciones del Tuzobús cuentan con baños que nunca han operado debido a la falta de drenaje, una ineficiencia de infraestructura que sería atendida como parte del programa de modernización del Tuzobús. El oficial mayor del gobierno estatal, Edgar Orlando Ángeles Pérez informó que durante esta evaluación de las instalaciones se detectó que aunque los sanitarios fueron construidos no cuentan con la conexión necesaria para su funcionamiento. Los trabajos contemplan mantenimiento de plafones, pisos y pintura, sustitución del sistema de iluminación, adecuación de sanitarios, mantenimiento y renovación de puertas automáticas, rehabilitación de fachadas y barandales, impermeabilización y mejoramiento de la imagen urbana. Como parte de las acciones de modernización, también se realizará un dictamen estructural a 16 puentes ubicados sobre la ruta troncal del sistema de transporte. El estudio permitirá conocer las condiciones de las estructuras y elaborar un proyecto de mantenimiento para el ejercicio fiscal 2027.</t>
  </si>
  <si>
    <t>Oficialía Mayor</t>
  </si>
  <si>
    <t>Daniel Martínez respecto al cambio del nombre Tuzobús dice que qué cosa más rara el nombre, porque también asumen que Pachuca es el único que tiene zona metropolitana en el estado de Hidalgo. Hay otras zonas metropolitanas, pero en fin.</t>
  </si>
  <si>
    <t>Semoth revisará vigencia de seguros en transporte público de pasajeros La Secretaría de Movilidad y Transporte en Hidalgo (Semoth) iniciará revisión extraordinaria en unidades para transporte público de pasajeros para verificar que tengan actualizada su póliza de seguro. Lyzbeth Robles Gutiérrez, titular de la dependencia estatal, señaló que está por iniciarse el llamado a concesionarios para que presenten su documentación y con ello verificar si sus unidades cuentan con sus respectivas pólizas vigentes. “Estamos haciendo el llamado para que se pongan al corriente quien no tuviera un seguro vigente, y que estén atentos a cuando venza el seguro para que no se les vaya a pasar ni un solo minuto”. La medida se aplica luego del accidente ocurrido en Pachuca el pasado 20 de mayo, donde una unidad para transporte de pasajeros volcó tras presuntamente ser impactada por otro vehículo automotor, en una de las vialidades principales de la capital del Estado de Hidalgo. El saldo de dicho accidente fueron dos personas sin vida y varias más lesionadas; en la revisión de documentos, se confirmó que la unidad involucrada no tenía vigente su póliza de seguro. Días después del accidente, el Gobernador de Hidalgo, Julio Menchaca Salazar, señaló que se iniciaría la revisión de la documentación para tener en orden las unidades de transporte público de pasajeros. Robles Gutiérrez señaló que los transportistas que no presenten su unidad con seguro vigente pasarán a procedimiento administrativo que puede culminar con la revocación de la concesión. Recordó que el concesionario de la Urvan accidentada está sujeto a una investigación administrativa y el procedimiento está abierto para la revocación de concesión.</t>
  </si>
  <si>
    <t>Concesión transporte público</t>
  </si>
  <si>
    <t>Tabaquismo, una amenaza vigente para la salud: SSH</t>
  </si>
  <si>
    <t>Prevención De Adicciones</t>
  </si>
  <si>
    <t>Refuerzan monitoreo sanitario en ganado de Actopan ante sospecha de gusano barrenador. Autoridades y especialistas realizaron acciones de vigilancia zoosanitaria en la comunidad de Las Mecas, en el municipio de Actopan, tras recibir reportes sobre posibles casos de gusano barrenador en animales de la región. La jornada incluyó recorridos de campo, revisión de ejemplares y recolección de muestras para su análisis, con el objetivo de descartar o confirmar la presencia de esta plaga que puede afectar gravemente la salud del ganado. Las actividades fueron desarrolladas por personal técnico del Centro de Apoyo al Desarrollo Rural (CADER) de Actopan, en coordinación con el área de Desarrollo Agropecuario municipal, luego de que productores locales solicitaran la intervención de las autoridades. Además de las inspecciones, los ganaderos recibieron capacitación e información sobre las medidas preventivas, así como recomendaciones para identificar oportunamente síntomas o lesiones que pudieran estar relacionadas con el gusano barrenador.</t>
  </si>
  <si>
    <t>Con objetivo de dar a conocer los servicios gubernamentales para jóvenes, así como escuchar propuestas por parte de estos para mejorar la atención a diversos temas, se llevó a cabo el foro “Alta Voz: Paz Vibes”, en Tulancingo. Dania Arlet Méndez Jiménez, directora de la Instancia Municipal de la Juventud, encargada de la realización del foro, señaló que las conclusiones que se obtengan de éste, serán presentadas a otras dependencias locales, así como al Ayuntamiento, con intención de que se conviertan en políticas públicas. Los temas eje más importantes discutidos en el foro son acceso a una vida libre de violencia, sexualidad, uso social de espacios públicos, acceso a la educación, entre otros.</t>
  </si>
  <si>
    <t>Atención a jóvenes</t>
  </si>
  <si>
    <t>Daniel Martínez sobre el video donde se disculpa el Síndico de Singuilucan, Donato Ramírez Olvera, sobre lo sucedido hace unos días en que se le vio en otro video, al parecer, bajo los influjos de alguna sustancia lanzando groserías y amenazas en contra de algunas personas; señala que en ningún momento el Síndico dijo que aceptará las sanciones que sean necesarias, solo dice "discúlpenme y ya". Señala que el Síndico se ha de imaginar que con ofrecer disculpas públicas a través de un video a través de redes sociales es suficiente y no acatar lo que dice las leyes y es quien cuida la legalidad del municipio.</t>
  </si>
  <si>
    <t>Hace unas horas el Síndico de Singuilucan, Donato Ramírez Olvera lanzó un video con una especia de disculpa, sobre lo sucedido hace unos días en que se le vio en otro video, al parecer, bajo los influjos de alguna sustancia lanzando groserías y amenazas en contra de algunas personas.</t>
  </si>
  <si>
    <t>Daniel Martínez: Esta sema circuló un video en el que se observa a la Síndico de Singuilucan, Donato Ramírez Olvera diciendo una seria de insultos, improperios e incluso amenazas de muerte hacia un grupo de personas. Al parecer estaba bajo los efectos de alguna sustancia. En el lugar había policías, pero no movieron ni un dedo. Tal parece que ser funcionario es como tener una suerte de barrera de protección que impide que los elementos policiacos hagan su trabajo y detengan a una persona que puede poder en riesgo a otras personas. Eran otras personas quinees estaban deteniendo a Donato Ramírez Olvera, ¿y si no lo hicieran? Los policías estaban de adornito, impávidos.</t>
  </si>
  <si>
    <t>Informalidad laboral continúa como uno de los principales desafíos en Hidalgo. Aunque Pachuca figura entre las ciudades más competitivas del país en su categoría, el mercado laboral sigue enfrentando retos importantes, principalmente en materia de informalidad, de acuerdo con el Índice de Competitividad Urbana (ICU) 2026 elaborado por el Instituto Mexicano para la Competitividad (IMCO). El informe señala que más de la mitad de la población ocupada trabaja en condiciones de informalidad, al registrar una tasa de 55.8 por ciento, situación que representa uno de los principales obstáculos para mejorar la calidad del empleo y ampliar el acceso a prestaciones laborales. Pese a este panorama, la capital hidalguense mantiene indicadores favorables en productividad. El estudio reporta un salario promedio mensual de 12 mil 814 pesos para trabajadores de tiempo completo, mientras que el producto medio del trabajo alcanzó los 297.9 pesos por hora laborada. El IMCO destaca que la consolidación de empleos formales y mejor remunerados será fundamental para fortalecer la competitividad de la ciudad y generar mayores oportunidades de desarrollo para la población. Aunque Pachuca logró ubicarse entre las cinco ciudades más competitivas de México dentro de su categoría poblacional, el estudio identifica la reducción de la informalidad como una de las áreas prioritarias para impulsar un crecimiento económico más sólido e incluyente.</t>
  </si>
  <si>
    <t>Informalidad laboral</t>
  </si>
  <si>
    <t>Prácticamente la tercera parte de las tomas clandestinas para robo de hidrocarburo a ductos de Petróleos Mexicanos (Pemex) detectadas a nivel nacional en el primer trimestre de este año, fueron localizadas dentro del municipio de Cuautepec de Hinojosa, en el Estado de Hidalgo. Los datos fueron recabados y dados a conocer por el Instituto para la Gestión, Administración y Vinculación Municipal (Igavim), en base a información dada a conocer por la misma paraestatal Entre enero y marzo de este año, en Cuautepec de Hinojosa fueron detectadas 202 tomas clandestinas; a nivel nacional, en el mismo periodo de tiempo, se localizaron 731 “piquetes”, por lo que el 28 por ciento de estos se concentra sólo en dicho municipio. En el desglosado de dichas detecciones por municipio, Cuautepec de Hinojosa se coloca en primer lugar nacional, seguido de Degollado, en el Estado de Jalisco, con 167 “piquetes”, y en tercer lugar se encuentra Tecate, Baja California, con 103. Las cifras también señalan que el total de tomas clandestinas detectadas en el primer trimestre de este año significa un aumento de casi el 20 por ciento a nivel nacional en el comparativo con el mismo periodo del año pasado. De enero a marzo del año pasado, en todo el país fueron detectadas 610, contra las 731 reportadas en el mismo periodo de tiempo de este año, lo que representa un aumento del 19.84 por ciento en el comparativo entre ambos periodos de tiempo. Por lo que Cuautepec de Hinojosa se ubicó en el primer trimestre de este año como el municipio con mayor detección de “piquetes” a ductos de Pemex, mismo lugar que tiene el Estado de Hidalgo a nivel nacional por dicha incidencia. En contraste, el reporte por parte del Igavim señala que en el Estado de Hidalgo no se registraron tomas clandestinas para robo de gas LP entre los meses de enero a marzo de este año. Mientras que en el mismo periodo del año pasado, fueron 22 registros de “piquetes” que se hicieron en dicho tipo de ductos dentro del Estado de Hidalgo.</t>
  </si>
  <si>
    <t>Tomas clandestinas</t>
  </si>
  <si>
    <t>ITESA fortalece la cultura emprendedora con la XIV Jornada de Emprendimiento 2026</t>
  </si>
  <si>
    <t>Emprendimiento</t>
  </si>
  <si>
    <t>DIF Hidalgo fortalece protección de la niñez</t>
  </si>
  <si>
    <t>DIFH/Bol.301/2026</t>
  </si>
  <si>
    <t>Andrés Torres comenta que Alberto Pérez pide apoyo para que la Conagua inicie operaciones de la cuarta etapa del Sistema de Distribución de Agua Potable de la comunidad de Mangas en el municipio de Tezontepec de Aldama. Obra que se construyó con el apoyo de la comunidad y parece que se han encontrado con problemas que no ha logrado resolver.</t>
  </si>
  <si>
    <t>Hoy el secretario de Gobierno encabezará las mesas por la paz en Tlanalapa a las 2:30 de la tarde en la explanada de la presidencia muncipal.</t>
  </si>
  <si>
    <t>Jornada por la paz</t>
  </si>
  <si>
    <t>Un oficial sin vida y otro lesionado fue el saldo que dejó un accidente vial en el municipio Progreso de Obregón. De acuerdo con la Policía municipal de Progreso, este percance se presentó a la altura de la comunidad Rancherías, donde una unidad de Emergencia y un vehículo particular se impactaron. Por dicho hecho personal de la Procuraduría General de Justicia del Estado de Hidalgo (PGJEH) inició la carpeta de investigación correspondiente.</t>
  </si>
  <si>
    <t>Andrés Torres comenta que el 1010 AM El vocero Huasteco, sigue fuera del aire, están a punto de cumplir dos meses y todo porque no quieren dotarlos de combustible para abastecer las plantas de energía y revisar al año. Es una decisión caprichosa y le mandaron documento en el que le dicen que " y ni me estés pidiendo y pobre de ti si me vas a acusar". En este sentido señala que él hace todos los días su trabajo y no le tiene miedo a documentos que no conocen ni entienden de la producción radiofónica. Reitera que la estación está fuera del aire por un capricho, pero sí hay dinero para fiestas, para reventones, para las camionetas de los directores, pero no hay dinero para lo que es verdaderamente importante. Asimismo, dice que el domingo le dijo al gobernador que la estación está fuera del aire, porque él constantemente le pregunta sobre esta estación, que fue la primera en retomar actividades después de la debacle de las estacones y que fue inaugurada por él.</t>
  </si>
  <si>
    <t>Vía telefónica Milton Cortés informó que ayer quedó instaladas las Procuradurías Municipales de Protección, como parte de la estrategia impulsada por el Sistema DIF Hidalgo para acercar la atención especializada a las familias y garantizar una respuesta más oportuna ante situaciones de vulnerabilidad. La presidenta del DIFH, Edda Vite Ramos dijo que mediante la existencia de estas procuradurías se debe tener puertas abiertas para las familias y dejar de revictimizar a las infancias.</t>
  </si>
  <si>
    <t>Milton Cortés</t>
  </si>
  <si>
    <t>Andrés Torres en respuesta a un radioescucha señala que Cuauhtémoc Ochoa, es un uno de los activos importantes de Morena y que de primera mano sabe que hay acercamiento con las cúpulas de Morena y el proyecto de Cuauhtémoc empujaba a Benjamín Rico como eventual candidato de Morena a la presidencia municipal de Pachuca, pero le dijeron que no, que sí le vana a dar presidencias municipales, que sí va a tener oportunidad de colocar a sus alfiles, pero en Pachuca no.</t>
  </si>
  <si>
    <t>Candidaturas</t>
  </si>
  <si>
    <t>Andrés Torres en respuesta a un radioescucha que lo felicita por ser un medio imparcial dice que pues eso le molesta a muchos y que si dice al go de las radiodifusoras se molestan, si dice sobre la fiesta que hicieron en la Procuraduría se molestan. En este sentido recuerda que el pasado domingo en el evento de Sheinbaum vio a Fernández Hasbun, titular de la Procuraduría y ni lo saludó, le hizo caras.</t>
  </si>
  <si>
    <t>Radioescucha, Paola Sánchez: el transporte público volvió a subir su tarifa y las unidades siguen igual de inseguras.</t>
  </si>
  <si>
    <t>Queja transporte público</t>
  </si>
  <si>
    <t>Radioescucha reporta que fueron a reparar y dejaron todo su escombro en la colonia Doctores en la calle Epinoza Arteaga.</t>
  </si>
  <si>
    <t>La licitación para la construcción del nuevo Salón de Plenos del Congreso de Hidalgo podría publicarse durante la primera quincena de junio, informó el presidente de la Junta de Gobierno del Poder Legislativo, Andrés Velázquez Vázquez. El legislador señaló que el proyecto forma parte de las acciones de infraestructura contempladas para fortalecer las instalaciones del Congreso local y mejorar las condiciones para el desarrollo de las actividades legislativas. AUDIO DE APOYO</t>
  </si>
  <si>
    <t>Mientras tanto, las autoridades ambientales, representantes comunitarios y habitantes de la región participaron en un foro informativo realizado en Tlaxcoapan para abordar los avances y alcances del programa de restauración ecológica en la zona de influencia de la Presa Endhó. La alcaldesa de Tlaxcoapan, Teresa Olivares Reyna, encabezó la bienvenida a los asistentes y destacó la importancia de mantener espacios de participación ciudadana en torno a los proyectos que impactan a los municipios de la zona. El encuentro se llevó a cabo en el Auditorio Municipal y contó con la participación de funcionarios de la Semarnat de Hidalgo, quienes presentaron información relacionada con las acciones contempladas dentro del proyecto. Representantes de la Semarnat explicaron que el proyecto de restauración ecológica en la zona de influencia de la Presa Endhó no se limita únicamente al embalse, sino que contempla un análisis integral de los diversos factores que contribuyen al deterioro ambiental de la región. Entre ellos, destaca la actividad industrial en municipios como Tula de Allende, Atitalaquia, Tepeji del Río y Atotonilco de Tula, el uso de plaguicidas en actividades agrícolas, las afectaciones derivadas de la extracción ilegal de hidrocarburos que generan contaminación del suelo, así como la calidad de los pozos de agua destinados al consumo humano. Señalaron que el objetivo es identificar y atender de manera conjunta las distintas fuentes de contaminación que inciden en la problemática ambiental de la zona. AUDIO DE APOYO</t>
  </si>
  <si>
    <t>Restauración Ecológica</t>
  </si>
  <si>
    <t>Gobierno de México destina recursos históricos para mejorar carreteras y caminos de Hidalgo, .AUDIO APOYO</t>
  </si>
  <si>
    <t>OCSAD</t>
  </si>
  <si>
    <t>Rehabilitación carretera</t>
  </si>
  <si>
    <t>Gobierno de México destina recursos históricos para mejorar carreteras y caminos de Hidalgo</t>
  </si>
  <si>
    <t>Como parte de las acciones para combatir la incidencia delictiva en las carreteras del país, la Coordinación Estatal de la Guardia Nacional en Hidalgo puso en marcha un operativo de seguridad en la autopista Arco Norte, a la altura de la caseta Pachuca.El despliegue inició la noche de ayer a las 21:00 horas y forma parte de la estrategia nacional “Cero Robos” y del programa Balam, impulsados por el Gobierno de México con el objetivo de fortalecer la seguridad en las vías de comunicación consideradas de alta siniestralidad.</t>
  </si>
  <si>
    <t>Refuerzo De Seguridad</t>
  </si>
  <si>
    <t>Hoteles y moteles en el Estado de Hidalgo podrían obligarse a verificar la identidad de un adulto en caso de llegar a solicitar hospedaje acompañado de una niña, niño o adolescente, además de confirmar que tengan algún parentesco. Lo anterior a partir de las adecuaciones propuestas por el Congreso del Estado de Hidalgo a la Ley estatal de Turismo, las que fueron aprobadas con 24 votos a favor de los legisladores locales. Además, las adecuaciones incluyen a la implementación de protocolos de seguridad y notificar a autoridades ante sospechas de falta de seguridad para menores de edad y adolescentes. Con 24 votos a favor, los legisladores locales aprobaron las iniciativas que reforman la Ley de Turismo Sustentable y la Ley de los Derechos de Niñas, Niños y Adolescentes del estado, en materia de protección en entornos de servicios turísticos de hospedaje, AUDIO APOYO</t>
  </si>
  <si>
    <t>Una persecución derivada del presunto robo de un tractocamión movilizó la tarde de ayer a corporaciones de seguridad en la región de Tizayuca, dejando como saldo dos personas detenidas y al menos dos elementos policíacos lesionados.De acuerdo con los reportes preliminares, la unidad, un tractocamión con remolque tipo cisterna, habría sido sustraída en el municipio de Temascalapa, Estado de México, y posteriormente fue detectada por autoridades que le dieron seguimiento hasta el territorio hidalguense. Durante la persecución, el vehículo presuntamente impactó una camioneta y varios automóviles, hasta ser interceptado a la altura del puente de Rojo Gómez, en la zona de Tepojaco. En medio del operativo, una patrulla de la policía que se dirigía en apoyo a las acciones, se vio involucrada en un accidente al colisionar con una camioneta particular. Fuentes extraoficiales refieren que un elemento de seguridad resultó lesionado por proyectil de arma de fuego en una pierna, mientras que otro policía presentó golpes derivados del percance vehicular.</t>
  </si>
  <si>
    <t>Recuperación De Vehículos Robados</t>
  </si>
  <si>
    <t>Radioescucha reporta que la persona que barre en Madero siempre deja muy sucio, y solo se lleva la basura de los locales.</t>
  </si>
  <si>
    <t>Padres y madres de familia de la Escuela Primaria Ignacio Manuel Altamirano, en el municipio de Tlaxcoapan, realizaron ayer una manifestación para exigir una solución que permita la reapertura del plantel.Durante la movilización, los inconformes solicitaron la intervención de la Secretaría de Educación Pública de Hidalgo con el objetivo de alcanzar acuerdos que garanticen el regreso a las actividades escolares en condiciones que consideren adecuadas para la comunidad educativa de Tlaxcoapan. Los manifestantes señalaron que esperan el cumplimiento de los compromisos y condiciones planteados a las autoridades educativas para poder resolver la situación que mantiene sin operaciones al centro escolar. AUDIO DE APOYO</t>
  </si>
  <si>
    <t>El Director del Sistema DIF en Hidalgo, Ricardo Enrique Arvizu Contreras explicó cuáles son las funciones de estas dependencias municipales llamadas las Procuradurías Municipales para la Atención y Protección de Niñas, Niños y Adolescentes, esto incluye un abogado, una trabajadora social y un psicólogo, AUDIO</t>
  </si>
  <si>
    <t>Procuraduría Municipal del Menor</t>
  </si>
  <si>
    <t>En Chilcuautla, acompaña Edda Vite formalización de la Procuraduría Municipal de Protección de Niñas, Niños y Adolescentes</t>
  </si>
  <si>
    <t>El gobierno municipal de Tula que encabeza el presidente municipal Cristhian Martínez, en coordinación con la Dirección de Protección Civil y Bomberos de Tula, está monitoreando el río y realizando recorridos, en los que nos notifican que al corte de las 2:00 p. m. no existe algún riesgo para la población. Piden estar al pendiente de información oficial; se sabe que va a estar lloviendo en las próximas 24 horas.</t>
  </si>
  <si>
    <t>Prevención De Riesgos</t>
  </si>
  <si>
    <t>SIPDUS realiza obras para reducir riesgos de inundaciones en Tuzos</t>
  </si>
  <si>
    <t>Prevención de inundaciones</t>
  </si>
  <si>
    <t>La ubicación geográfica de Hidalgo ha sido considerada durante décadas una de sus principales fortalezas. Sin embargo, diversos factores limitaron el aprovechamiento pleno de ese potencial estratégico para impulsar el crecimiento económico y la atracción de inversiones. Así lo señaló Miguel Ángel Tello Vargas, titular de la Unidad de Planeación y Prospectiva, al referirse a los desafíos que históricamente enfrentó la entidad para consolidarse como un polo de desarrollo en la región centro del país. AUDIO DE APOYO</t>
  </si>
  <si>
    <t>Polos del Bienestar</t>
  </si>
  <si>
    <t>Con el objetivo de fortalecer la seguridad y mantener entornos más tranquilos para las familias pachuqueñas, la Secretaría de Seguridad Pública, Tránsito y Vialidad de Pachuca continúa desplegando acciones preventivas y de proximidad en distintos sectores de la capital hidalguense.Como parte del operativo “Barrio Seguro”, elementos de la corporación municipal, en coordinación con la Policía Estatal, realizaron recorridos a pie tierra, patrullajes preventivos y vigilancia aérea mediante drones en las colonias Felipe Ángeles y La Raza, reforzando la presencia policial en calles, pasillos y espacios de convivencia de los Barrios Altos.Durante las acciones se verificaron en Plataforma México 11 motocicletas y 4 vehículos, además de concretar 19 contactos ciudadanos, fortaleciendo el vínculo entre la autoridad y la población para atender inquietudes, generar confianza y promover la cultura de la prevención</t>
  </si>
  <si>
    <t>Operativo de Seguridad</t>
  </si>
  <si>
    <t>Radiescucha comenta : “Lastima de las nuevas unidades del Tuzobús, ayer nos hicieron una vez más esperar muhco tiempo “</t>
  </si>
  <si>
    <t>La primera Comisión Permanente de Protección Civil y Gestión Integral de Riesgos del Congreso del Estado Libre y Soberano de Hidalgo, encabezada por el diputado Francisco Javier Téllez Sánchez, presentó ante medios de comunicación, instituciones públicas y privadas, organizaciones civiles y ciudadanía en general la convocatoria de la “Medalla al Mérito de Protección Civil 2026”, con la finalidad de reconocer a personas hidalguenses que se hayan distinguido por acciones relevantes en la materia.</t>
  </si>
  <si>
    <t>Medalla al mérito</t>
  </si>
  <si>
    <t>Integrantes de la Coordinadora Nacional de Trabajadores de la Educación, la CNTE, convocaron a una marcha este viernes en la ciudad de Pachuca como parte de las movilizaciones que el magisterio mantiene a nivel nacional para exigir atención a diversas demandas laborales y de seguridad social. Algunas de estas formas de llamar la atención me parecen a mí, en la opinión personal de su servidor, un tanto extremas. Vandalizar oficinas, vandalizar automóviles de ciudadanos que van pasando por ahí, que son trabajadores de la misma Secretaría, no creo que sea una forma de solucionar sus demandas.</t>
  </si>
  <si>
    <t>Fuga De Agua</t>
  </si>
  <si>
    <t>Radioescucha reporta fuga de agua en Pitayas; ya lleva dos días.</t>
  </si>
  <si>
    <t>Radioescucha reporta fuga de agua en Fracionamiento Esperanza 2</t>
  </si>
  <si>
    <t>Vecinos de la comunidad Lomas de la Cantera en Tepeji del Río, esperaron ayer a las afueras de la Casa de Cabildo a que saliera la presidenta municipal Tania Valdez para reclamarle de una obra que aseguran ella se comprometió a realizar desde que era candidata, AUDIO APOYO</t>
  </si>
  <si>
    <t>Exigencia de obra</t>
  </si>
  <si>
    <t>Ya a casi tres meses de la desaparición de Joshua Cisneros, joven reportado como no localizado en el municipio de Cuautitlán Izcalli, Estado de México, familiares y colectivos de búsqueda ampliaron las labores de rastreo hacia territorio hidalguense mientras continúan las investigaciones para determinar su paradero. La madre del joven, la madre señaló que pese a las jornadas realizadas en distintos puntos del Estado de México e Hidalgo, los avances en la investigación han sido limitados, por lo que reiteró el llamado a las autoridades para fortalecer las acciones de búsqueda y seguimiento del caso. Hace un llamado a la PGJEH. AUDIO APOYO</t>
  </si>
  <si>
    <t>Exigen localización de persona</t>
  </si>
  <si>
    <t>En sesión ordinaria, diputadas y diputados integrantes de la LXVI Legislatura avalaron con 23 votos a favor, cero en contra y cero abstenciones, el acuerdo económico que exhorta a los 84 ayuntamientos sobre la regulación de giros comerciales, emitido por la primera Comisión Permanente de Fortalecimiento y Desarrollo Municipal.La legisladora María del Rosario Guerrero Martínez (Morena) recordó que se solicita a los municipios, a través de las áreas de Reglamentos y Espectáculos, diseñar, aprobar e implementar acciones de mejora regulatoria de simplificación administrativa y expedición ágil en el otorgamiento de licencias de funcionamiento para molinos de nixtamal y tortillerías, a fin de acceder al Acuerdo Nacional Maíz-Tortilla, impulsado por el gobierno federal. La legisladora Yarabi González Martínez (Morena), promovente del acuerdo, explicó que el gobierno impulsa el Acuerdo Nacional Maíz-Tortilla para estabilizar los precios y apoyar tanto a productores como a consumidores mediante incentivos dirigidos a molinos y tortillerías. No obstante, muchos de estos negocios no pueden acceder al programa debido a la falta de licencias de funcionamiento, por lo que se considera necesario implementar acciones de mejora regulatoria y simplificación administrativa que faciliten su regularización y participación.</t>
  </si>
  <si>
    <t>Exhorto</t>
  </si>
  <si>
    <t>El Ayuntamiento de Huichapan en Hidalgo aprobó reducir en un 50 por ciento las dietas de regidores, síndico y alcaldesa, luego de una votacion dividida , durante una seccion de cabildo de la presidente municipal Yeymi Yadira Solís Zavala,AUDIO APOYO</t>
  </si>
  <si>
    <t>Este jueves, delegados y comisariados de las comunidades aledañas a la Presa Endhó, tenían programado una mesa de diálogo en las instalaciones de la Secretaría de Gobernación en la Ciudad de México. Sin embargo, debido a las movilizaciones que actualmente mantiene la Coordinadora Nacional de Trabajadores de la Educación en la zona, las autoridades federales les notificaron la reprogramación del encuentro. Así lo dio a conocer Valentín Lugo, comisariado ejidal de San Francisco Bojay. El comisariado ejidal subrayó que el encuentro programado con autoridades de la Secretaría de Gobernación en la Ciudad de México corresponde exclusivamente a una mesa de diálogo entre delegados, comisariados y representantes federales, y no a una manifestación o movilización social, AUDIO APOYO</t>
  </si>
  <si>
    <t>Este jueves, delegados y comisariados de las comunidades aledañas a la Presa Endhó, tenían programado una mesa de diálogo en las instalaciones de la Secretaría de Gobernación en la Ciudad de México. Sin embargo, debido a las movilizaciones que actualmente mantiene la Coordinadora Nacional de Trabajadores de la Educación en la zona, las autoridades federales les notificaron la reprogramación del encuentro. La reunión tenía como propósito dar seguimiento a las demandas de los habitantes de la región, quienes buscan una solución integral a la problemática ambiental que enfrenta la presa, particularmente en lo relacionado con la trituración y retiro del lirio acuático, y de igual forma, la implementación de acciones para el tratamiento y saneamiento del agua. Así lo dio a conocer Valentín Lugo, comisariado ejidal de San Francisco Bojay. El comisariado ejidal subrayó que el encuentro programado con autoridades de la Secretaría de Gobernación en la Ciudad de México corresponde exclusivamente a una mesa de diálogo entre delegados, comisariados y representantes federales, y no a una manifestación o movilización social.</t>
  </si>
  <si>
    <t>Es un tema muy complejo porque en primera la falta de participación de la ciudadanía, ni siquiera el 50% de las personas que están involucradas en esta región, pues les interesa el tema. Lo vimos en la consulta ciudadana de este parque ecológico y de reciclaje. No participó en la votación ni el 10% del electorado. Una, dos, mencionan el problema del huachicol como un problema ambiental ¿y quién consume huachicol? ¿Quién pica los ductos? Yo pregunto. Y muchas, en muchas ocasiones, las propuestas que genera o que pues pretende implementar el gobierno federal, pues no nos gustan y las echamos para atrás. Y ya lo decía el comisariado de San Francisco Bojay, no hay unidad.No hay unidad. No nos interesa el tema. Se hacen foros, se hacen consultas, se hacen pláticas o charlas de información y no asistimos. Ahí es uno de los grandes puntos y de los grandes problemas que pues por eso el tema no termina de avanzar. Usted tiene la mejor opinión. Durante la reunión, comisariados ejidales, delegados y población en general tuvieron la oportunidad de intercambiar opiniones, plantear propuestas orientadas a la atención de problemáticas ambientales que se enfrentan en la región."</t>
  </si>
  <si>
    <t>Contaminación Tula</t>
  </si>
  <si>
    <t>Cae célula dedicada a la venta de droga en Ciudad Sahagún</t>
  </si>
  <si>
    <t>Combate Al Narcomenudeo</t>
  </si>
  <si>
    <t>Eulalio Larrieta agradece a Carlos Gamiño por estar al pendiente de temas</t>
  </si>
  <si>
    <t>Impulsa IAAMEH taller de creación literaria</t>
  </si>
  <si>
    <t>Bienestar</t>
  </si>
  <si>
    <t>Atención a adultos mayores</t>
  </si>
  <si>
    <t>Radioescucha comenta: “Los del Tuzobús no ocupan una avestruz negra, ocupan una buena capacitación”</t>
  </si>
  <si>
    <t>Un accidente entre una unidad del Sistema de Transporte Metropolitano (Tuzobús) y un vehículo particular se registró la mañana de este miércoles sobre el bulevar Felipe Ángeles, con dirección al sur de Pachuca, luego de que el conductor del auto invadiera el carril exclusivo del transporte público.De acuerdo con el reporte preliminar del Sistema Integrado de Transporte Masivo de Hidalgo (Sitmah), el percance ocurrió en el tramo comprendido entre las estaciones Vicente Segura y Centro de Justicia Poniente, una de las zonas de mayor circulación del corredor metropolitano.La unidad involucrada corresponde al servicio T01 y cuenta con el número económico 14. Según la información oficial, el automóvil particular se incorporó de manera indebida a la vía confinada y realizó un corte de circulación, lo que obstruyó la trayectoria del autobús.</t>
  </si>
  <si>
    <t>El Sitmah, informa que este día se registró un accidente vial en las inmediaciones de la Terminal Téllez. De acuerdo con el reporte preliminar, una persona cruzó el arroyo vehicular sin precaución mientras la unidad transitaba para incorporarse a la Terminal Téllez</t>
  </si>
  <si>
    <t>TV Cable hidalguense Canal 6</t>
  </si>
  <si>
    <t>Contigo Noticias</t>
  </si>
  <si>
    <t>Icathi fortalece la vinculación y capacitación laboral en el marco de su 31 Aniversario</t>
  </si>
  <si>
    <t>La protección de las niñas, niños y adolescentes dio un paso importante en Mineral de la Reforma. Con la formalización de la Procuraduría de Protección de Niñas, Niños y Adolescentes, una instancia que tendrá como objetivo brindar atención especializada a este sector de la población. La creación de esta Procuraduría fue formalizada durante la Quinta Sesión Extraordinaria 2026 de la Junta de Gobierno del Sistema Municipal, encabezada por la presidenta del Patronato del Sistema DIF Hidalgo, Eda Vite Ramos, junto con autoridades municipales. Durante el evento, Eda Vite destacó la importancia de fortalecer los mecanismos de atención para la niñez y la adolescencia.</t>
  </si>
  <si>
    <t>“Cartas con Valor” acerca sonrisas a la niñez de la Sierra y la Huasteca</t>
  </si>
  <si>
    <t>Contraloría</t>
  </si>
  <si>
    <t>Fortalecimiento de valores</t>
  </si>
  <si>
    <t>Hidalgo presente en la Segunda Sesión Ordinaria de la Conacentros</t>
  </si>
  <si>
    <t>Reunión Conacentros</t>
  </si>
  <si>
    <t>La Selección Nacional de Sudáfrica realizó este miércoles un entrenamiento abierto al público en el Estadio Hidalgo como parte de las actividades programadas durante su concentración.</t>
  </si>
  <si>
    <t>Reportaje</t>
  </si>
  <si>
    <t>El presidente municipal de Nanacamilpa, Aarón Vargas, invita a los hidalguenses a la temporada de Luciérnagas 2026.</t>
  </si>
  <si>
    <t>Ecoturismo</t>
  </si>
  <si>
    <t>Este miércoles 3 de junio a las 10:30 horas se llevó a cabo en el Salón Plata del Auditorio Gota de Plata, la rueda de prensa para presentar la Temporada de Avistamiento de Luciérnagas 2026, una experiencia ecoturística que tendrá lugar en el Santuario de las Luciérnagas ubicado en Nanacamilpa de Mariano Arista. El encuentro sirvió para dar a conocer las actividades, novedades y atractivos que forman parte de esta temporada, considerada una de las experiencias de naturaleza más importantes del país, al reunir cada año a miles de visitantes nacionales e internacionales que buscan presenciar el fenómeno bioluminiscense que ilumina los bosques tlaxcaltecas durante las noches de verano.</t>
  </si>
  <si>
    <t>Realiza IHE etapa estatal de la Olimpiada del Conocimiento Infantil 2026</t>
  </si>
  <si>
    <t>Olimpiada del Conocimiento</t>
  </si>
  <si>
    <t>UTHH capacita a docentes en herraLa transformación digital en los gobiernos no solo implica incorporar tecnología, sino hacer más sencilla la vida de las personas. En Tulancingo, este objetivo progresa mediante el fortalecimiento del Registro Municipal de Trámites y Servicios, una herramienta que permite a la ciudadanía consultar en línea toda la información necesaria para realizar gestiones municipales de manera rápida y confiable. A través del portal www.rmtys.tulancingo.gob.mx las y los ciudadanos pueden conocer con anticipación los documentos requeridos para cada trámite, así como costos, tiempos de respuesta, ubicación de oficinas y medios de contacto. Esto se traduce en menos traslados, menor tiempo de espera y una atención más eficiente.mientas digitales</t>
  </si>
  <si>
    <t>Digitalización de trámites</t>
  </si>
  <si>
    <t>La moto niveladora marca Caterpillar que había sido reportada como robada en días pasados en la colonia Olmos fue localizada tras un reporte ciudadano, luego de que sus propietarios ofrecieran una recompensa de 100 mil pesos por información que permitiera recuperarla. De acuerdo con la información disponible, el hallazgo fue realizado por particulares, quienes notificaron directamente a los dueños de la unidad y no a las autoridades. Tras recibir el aviso, los propietarios se trasladaron al municipio de Temascalapa, Estado de México, donde confirmaron la ubicación de la maquinaria. La Secretaría de Seguridad Ciudadana (SSC) informó que personal de la Policía Municipal acudió al sitio donde fue depositada la maquinaria para tomar conocimiento de los hechos. Sin embargo, precisó que la corporación no participó en las labores de localización ni en el seguimiento que permitió recuperar la unidad.</t>
  </si>
  <si>
    <t>La mañana de este martes 3 de junio se registró un incendio en un establecimiento ubicado al interior de la Central de Abastos de Tezontepec de Aldama, lo que generó una intensa movilización de corporaciones de emergencia y seguridad. De acuerdo con información de la Secretaría de Seguridad Pública de Hidalgo, el siniestro ocurrió en la colonia El Tinaco, sobre la carretera Tlahuelilpan-Mixquiahuala, donde personal especializado realizó labores para controlar y extinguir las llamas. Las autoridades recomendaron a la población evitar el área afectada y seguir las indicaciones de los cuerpos de emergencia mientras se desarrollaban las maniobras para sofocar el incendio y determinar las causas que lo originaron. Hasta el momento no se reportaron personas lesionadas ni se informó sobre la magnitud de los daños materiales ocasionados por el siniestro.</t>
  </si>
  <si>
    <t>Control de incendios</t>
  </si>
  <si>
    <t>Una mujer de 26 años fue localizada sin signos vitales la mañana de este miércoles al interior de una vivienda ubicada en el fraccionamiento Haciendas, en el municipio de Tizayuca, por lo que autoridades estatales iniciaron las investigaciones correspondientes para esclarecer los hechos. De acuerdo con información de la Policía Municipal, el reporte se recibió a través de una llamada de emergencia en la que se alertó sobre una persona inconsciente dentro de un domicilio.</t>
  </si>
  <si>
    <t>Localización de cuerpo</t>
  </si>
  <si>
    <t>Un oficial de la Secretaría de Seguridad Pública Municipal de Progreso de Obregón, Hidalgo, perdió la vida y otro más resultó lesionado tras un accidente registrado sobre la carretera Progreso-Xochitlán, a la altura de la comunidad de La Ranchería. De acuerdo con los reportes, en el percance estuvieron involucradas una patrulla de la corporación municipal y una camioneta particular conducida por un joven de 21 años, quien también resultó lesionado. Tras la colisión, la unidad oficial salió del camino y terminó volcada. Al sitio acudieron elementos de rescate y cuerpos de emergencia, quienes confirmaron el fallecimiento del agente Jerónimo García Estanco, quien se encontraba al interior de la patrulla.</t>
  </si>
  <si>
    <t>Deceso de policía</t>
  </si>
  <si>
    <t>Denuncian aumento de asaltos en la carretera Atlapexco–Calnali; piden reforzar vigilancia. Automovilistas que circulan por el tramo carretero Atlapexco–Calnali denunciaron el incremento de asaltos en esta vía. Señalaron que no se observa presencia de elementos de seguridad estatales ni municipales de Atlapexco, Calnali y Yahualica. Indicaron que la madrugada del domingo 31 de mayo una persona fue despojada de su vehículo con violencia. El hecho ocurrió sobre la carretera estatal Atlapexco–Calnali, a la altura de la localidad de Atlaltipa Tecolotitla, en el municipio de Atlapexco. El hecho ocurrió poco después de las 00:00 horas, cuando varios hombres golpearon a la víctima, de identidad reservada, y le quitaron una camioneta. Posteriormente huyeron con rumbo desconocido.</t>
  </si>
  <si>
    <t>Exigen seguridad</t>
  </si>
  <si>
    <t>Con el objetivo de fortalecer la seguridad y mantener entornos más tranquilos para las familias pachuqueñas, la Secretaría de Seguridad Pública, Tránsito y Vialidad de Pachuca continúa desplegando acciones preventivas y de proximidad en distintos sectores de la capital hidalguense. Como parte del operativo “Barrio Seguro”, elementos de la corporación municipal, en coordinación con la Policía Estatal, realizaron recorridos a pie tierra, patrullajes preventivos y vigilancia aérea mediante drones en las colonias Felipe Ángeles y La Raza, reforzando la presencia policial en calles, pasillos y espacios de convivencia de los Barrios Altos. Durante las acciones se verificaron en Plataforma México 11 motocicletas y 4 vehículos, además de concretar 19 contactos ciudadanos, fortaleciendo el vínculo entre la autoridad y la población para atender inquietudes, generar confianza y promover la cultura de la prevención. El dispositivo concluyó sin incidentes, resultado del trabajo coordinado y de la presencia permanente de los cuerpos de seguridad en zonas prioritarias del municipio. Los operativos “Barrio Seguro” seguirán implementándose de manera constante en distintos puntos de la capital, como parte del trabajo diario para fortalecer la vigilancia y la capacidad de respuesta institucional.</t>
  </si>
  <si>
    <t>habitantes de La Cañada, El Refugio, Quma y Ocampo, en el municipio de Atotonilco de Tula, se manifestaron de manera pacífica para expresar su rechazo a la construcción de Viviendas del Bienestar, bajo el argumento de que la región hay escasez de agua potable. La movilización se efectuó en el marco de la visita del gobernador Julio Menchaca, con el objetivo de hacer llegar directamente sus inquietudes, no obstante, fue reprogramada la llegada del titular del ejecutivo estatal para mañana 3 de junio. En las instalaciones de la presidencia municipal, representantes de las comunidades señalaron que su oposición al proyecto no responde a intereses políticos, sino a la disponibilidad de servicios básicos, principalmente el abastecimiento de agua. Indicaron que la construcción de nuevos desarrollos habitacionales incrementaría la demanda de agua en comunidades donde el suministro ya es insuficiente. Señalaron que existen observaciones respecto a algunos de los predios contemplados para el desarrollo. “En el caso de La Cañada, el terreno propuesto corresponde a un panteón comunitario donde ya existen dos personas sepultadas, por lo que debería ser inviable”.</t>
  </si>
  <si>
    <t>Plan Nacional De Vivienda</t>
  </si>
  <si>
    <t>Vigilancia epidemiológica en Hidalgo, ante la llegada de visitantes por el Mundial 2026</t>
  </si>
  <si>
    <t>De las 144 millones 585 mil 131 líneas activas para comunicación por dispositivos móviles, sobre todo celulares, apenas 51 millones 905 mil 160 han concretado el registro obligatorio, vinculándolas con sus datos personales. A menos de un mes para que se venza el plazo para dicho registro y vinculación de datos, las cifras señalan que apenas el 36 por ciento de dichas líneas cuentan con dicha vinculación, de acuerdo a datos por parte de la Comisión Reguladora de Telecomunicaciones (CRT). Fernando Esquivel, director de Investigación de Mercados en The Competitive Intelligence Unit (The CIU), señala que aún existen millones de personas quienes todavía desconocen la obligación de vincular su línea telefónica, mientras que una parte importante de quienes sí conocen el procedimiento simplemente están decidiendo no registrarse por desconfianza. “Le preguntamos a la gente si conocen el registro de telefonía móvil y el 60 por ciento de los usuarios saben de este registro, pero esto significa que hay un 40 por ciento de personas que no saben que tiene que hacer la vinculación de su línea”, señaló Esquivel.</t>
  </si>
  <si>
    <t>Un total de once municipios solicitaron endeudamiento por 125.6 millones de pesos al Banco Nacional de Obras, a cuenta del Fondo de Aportaciones para la Infraestructura Social (FAIS) y del Fondo General de Participaciones. San Salvador va por dos. Salvador Tallabs Rubio, gerente ejecutivo de la institución crediticia, dio a conocer que el financiamiento de cinco ayuntamientos, que ya fue aprobado y entregado, suman 44.1 millones de pesos. “Se trata de Nicolás Flores, Singuilucan, San Salvador y Cuautepec”, destacó que fueron los primeros en acceder a este mecanismo para la construcción de infraestructura social. Los tres ayuntamientos que están en proceso de formalización y contratación crediticia son: San Agustín Tlaxiaca, San Salvador (en una segunda solicitud por del Fondo General de Participaciones) y Huazalingo. El monto asciende a 27.2 millones de pesos. En el desglose, se destaca que entre los 26 municipios que pueden acceder a crédito derivado de la vaguada monzónica, la bolsa es de 54.5 millones de pesos. Y los primeros en ingresar su solicitud fueron Tianguistengo y Zacualtipán de Ángeles, pero ya mostró interés Tepehuacán de Guerrero.</t>
  </si>
  <si>
    <t>Financiamiento</t>
  </si>
  <si>
    <t>La Subsecretaría de Protección Civil y Gestión de Riesgos de Hidalgo informó que avanza la evaluación de terrenos para la posible reubicación de familias que habitan en zonas de riesgo, particularmente en municipios afectados por la vaguada registrada el año pasado. El subsecretario Román Bernal Díaz señaló que actualmente se analizan predios en 28 municipios y que alrededor del 80 por ciento de los espacios revisados cumplen con las condiciones necesarias para ser considerados en futuros proyectos de relocalización. "Van a ser evaluados alrededor de unos 40 o 50 predios", indicó el funcionario, quien explicó que los estudios buscan determinar la viabilidad de los terrenos para brindar alternativas seguras a las familias asentadas en áreas vulnerables. Respecto a la resistencia de algunas familias para abandonar zonas peligrosas, el subsecretario señaló que se trata principalmente de un tema de arraigo a la tierra y a sus comunidades.</t>
  </si>
  <si>
    <t>Huracán Priscilla</t>
  </si>
  <si>
    <t>Las brigadas de atención a alumbrado público del Gobierno de Tulancingo atienden diariamente entre 40 a 50 servicios diarios durante los dos turnos en los que laboran. La información fue compartida por Juan Alberto Santuario Elías, secretario de Servicios Municipales, señalando que los principales servicios que se atienden son reposición y cambios de lámparas, arreglo de la infraestructura y retiro de sarro así como limpieza de las celdas fotovoltaicas que tienen las luminarias. “Sí hay de momento, varias fallas, una de ellas es que se funda el foco, otras que la luminaria falla en su conjunto, otras es que la fotocelda se le forme sarro y por eso deja de funcionar”, puntualizó el funcionario. El funcionario señaló que por parte de la población se reciben entre 15 a 20 reportes tanto para reparación de alumbrado público, como de retiro y sustitución de lámparas. “Atendemos una cantidad mayor de servicios que de los reportes que se reciben por parte de la población”, agregó. Los restantes servicios provienen de la revisión del alumbrado público durante los recorridos de ruta, así como la atención a reportes presentados previamente por los vecinos en diversos sectores del municipio. Santuario Elías dijo que no existe un sector del municipio donde haya una mayor cantidad de reportes, pues cada zona tiene sus características sociales específicas, y por tanto, sus propias necesidades respecto al servicio de alumbrado público.</t>
  </si>
  <si>
    <t>El Congreso de Hidalgo propuso obligar a las empresas que operan las aplicaciones de entrega rápida mediante motocicletas, a inscribirse en un registro estatal, para ello se presentó una iniciativa que busca regular el reparto y mensajería en territorio estatal. Durante sesión ordinaria de la 66 Legislatura se presentó una iniciativa para reformar y adicionar diversas disposiciones de la Ley de Movilidad y Transporte, y de la Ley de Tránsito y Seguridad Vial, ambas de Hidalgo, para garantizar una movilidad segura y proteger la integridad de los trabajadores repartidores mediante aplicaciones digitales.</t>
  </si>
  <si>
    <t>Daniel Martínez comenta que ayer fue otro dúa malo para el Tuzobús, pues se presentaron 4 accidentes en un día y súmele las otras 3 de la semana pasada, más todas las fallas que está teniendo. algo está ocurriendo, esto ya no es un casualidad, una serie de factores que se están sumando. Algo está ocurriendo en las unidades y en el servicio, señaló.</t>
  </si>
  <si>
    <t>El Sitmah informa que este día se registraron dos percances viales ocasionados por maniobras de otros vehículos, en los que se vieron involucradas unidades del Sistema de Transporte Metropolitano, sin que se registraran personas lesionadas.</t>
  </si>
  <si>
    <t>Hoteles y moteles en el Estado de Hidalgo podrían obligarse a verificar la identidad de un adulto en caso de llegar a solicitar hospedaje acompañado de una niña, niño o adolescente, además de confirmar que tengan algún parentesco. Lo anterior a partir de las adecuaciones propuestas por el Congreso del Estado de Hidalgo a la Ley estatal de Turismo, las que fueron aprobadas con 24 votos a favor de los legisladores locales. Además, las adecuaciones incluyen a la implementación de protocolos de seguridad y notificar a autoridades ante sospechas de falta de seguridad para menores de edad y adolescentes. Con 24 votos a favor, los legisladores locales aprobaron las iniciativas que reforman la Ley de Turismo Sustentable y la Ley de los Derechos de Niñas, Niños y Adolescentes del estado, en materia de protección en entornos de servicios turísticos de hospedaje. El dictamen obliga a los prestadores de servicio turístico de hospedaje a solicitar la exhibición de credencial de elector o de cualquier otro documento oficial que demuestre la mayoría de edad e identidad de la persona que solicita el servicio.</t>
  </si>
  <si>
    <t>De cara a la Copa Mundial 2026, México enfrenta el reto de reforzar las acciones de prevención contra la trata de personas, especialmente en niñas, niños y adolescentes, advirtió Rafael Castelán, integrante del Consejo Directivo de la Red por los Derechos de la Infancia en México (REDIM). Durante una entrevista con Ultra Noticias Hidalgo, señaló que una evaluación realizada en la Ciudad de México entre organizaciones civiles y el Consejo Ciudadano para la Seguridad y Justicia reveló que uno de cada dos menores de edad víctimas de trata fue vinculado con sus explotadores a través de una persona conocida o incluso de un familiar cercano. Castelán explicó que, además de la explotación sexual, durante eventos masivos también existe el riesgo de explotación laboral infantil, ya que menores pueden ser obligados a trabajar en zonas turísticas, cruceros, espacios públicos o ser forzados a pedir dinero en las calles. En este contexto, destacó como una medida positiva la reciente aprobación en Hidalgo de disposiciones que obligan a hoteles y establecimientos de hospedaje a solicitar que los adultos acrediten ser responsables de los menores de edad que ingresan con ellos. Sin embargo, lamentó que este tipo de protocolos no existan en todas las entidades del país, lo que incrementa la vulnerabilidad de niñas, niños y adolescentes ante posibles casos de trata y explotación.</t>
  </si>
  <si>
    <t>Mara Olvera y su columna Ajedrez Político habla del respaldo del gobernador Juli Menchaca la presidenta de México, Claudia Sheinbaum en la defensa de la soberanía del país, esto durante el festejo en la Plaza Juárez de Pachuca de los 2 años de su ascenso. Destaca</t>
  </si>
  <si>
    <t>Aniversario de la Transformación</t>
  </si>
  <si>
    <t>Vía telefónica Milton Cortés informó que luego de que vecinos de fraccionamientos de Pachuca, Mineral de la reforma y Zempoala amenazaran con realizar bloqueos en algunas vías de circulación, esto por la falta de cumplimiento de compromisos por parte de Gobierno del Estado para mejorar la calidad de vida de los habitantes; hoy han dado a conocer que darán marcha atrás a esta intención luego de que la Secretaría de Gobierno, que encabeza Guillermo Olivares acordó realizar una mesa de trabajo en busca de soluciones el próximo 6 de junio al mediodía. Se ha convocado a esta reunión a los alcaldes de estos municipios, para que conozcan la problemática y necesidades de la población.</t>
  </si>
  <si>
    <t>Atención a manifestantes</t>
  </si>
  <si>
    <t>Andrés Torres hace referencia sobre una pelea en un Oxxo de Río de las Avenidas en Pachuca y señala que hay una creciente violencia en la sociedad hidalguense, y en este sentido, dice: Imagínese usted que un director va y arranca una televisión y se la lleva porque no quiere que esté en una oficina y se la lleva a otra. Eso es violencia, eso está tipificado y es hasta acoso laboral y eso pasa todos los días.</t>
  </si>
  <si>
    <t>Violencia laboral</t>
  </si>
  <si>
    <t>Andrés Torres durante un corte comercial dio lectura (entre dientes) a un trascendido que le enviaron de Radio y Televisión y lo poco que se entiende es que hace mención a que cometieron errores e hicieron hablar al gobernado antes de tiempo y entró desfasado con la transmisión a nivel nacional.</t>
  </si>
  <si>
    <t>En sesión ordinaria, diputadas y diputados integrantes de la LXVI Legislatura avalaron con 24 votos a favor, cero en contra y cero abstenciones, el acuerdo de la Junta de Gobierno que propone los procesos y las convocatorias para la designación de las personas titulares de los órganos internos de control de la Comisión de Derechos Humanos, del Instituto Estatal Electoral y el Tribunal Electoral, todos del Estado de Hidalgo. La diputada Mónica Leanett Reyes Martínez (Nueva Alianza), leyó las bases de la convocatoria y los requisitos para las y los candidatos. Además, avalaron con 24 votos a favor, cero en contra y cero abstenciones, el acuerdo de la Junta de Gobierno que propone la convocatoria y el proceso para la designación de la persona que ocupará la titularidad del órgano interno de control de la Auditoría Superior del Estado de Hidalgo.</t>
  </si>
  <si>
    <t>Trabajo legislativo</t>
  </si>
  <si>
    <t>En sesión ordinaria, diputadas y diputados integrantes de la LXVI Legislatura avalaron con 23 votos a favor, cero en contra y cero abstenciones, el acuerdo económico que exhorta a los 84 ayuntamientos sobre la regulación de giros comerciales, emitido por la primera Comisión Permanente de Fortalecimiento y Desarrollo Municipal. La legisladora María del Rosario Guerrero Martínez (Morena) recordó que se solicita a los municipios, a través de las áreas de Reglamentos y Espectáculos, diseñar, aprobar e implementar acciones de mejora regulatoria de simplificación administrativa y expedición ágil en el otorgamiento de licencias de funcionamiento para molinos de nixtamal y tortillerías, a fin de acceder al Acuerdo Nacional Maíz-Tortilla, impulsado por el gobierno federal.</t>
  </si>
  <si>
    <t>Radioescucha, Osr Samperio Ortiz: de nada sirven las nuevas unidades, se tardan mucho tiempo, se descomponen a medio camino.</t>
  </si>
  <si>
    <t>Quejas Tuzobús</t>
  </si>
  <si>
    <t>Ayer otra vez fue un día difícil para el Sistema Metropolitano de Transporte. Lamentablemente se presentaron 3 incidentes, el primero de ellos se presentó sobre el bulevar Felipe Ángeles en donde un vehículos particular invadió el carril confinado. El segundo percance se presentó en Téllez cuando un peatón cruzó sin precaución y fue impactado por la unidad resultan do lesionado y fue atendido por paramédicos de la Cruz Roja. Asimismo se presentaron dos incidentes más en el bulevar Felipe Ángeles a la altura del Estadio Hidalgo, en donde un automóvil particular y un autobús se vieron involucrados.</t>
  </si>
  <si>
    <t>La Subsecretaría de Protección Civil y Gestión de Riesgos informa a la población que, para este 04 de junio de 2026, se prevén lluvias fuertes con puntuales muy fuertes de 50 a 75 mm en las regiones noroeste, centro y suroeste del estado. Asimismo, se pronostican temperaturas máximas de 30 a 35 °C, así como viento de componente este con rachas de hasta 40 km/h en la región.</t>
  </si>
  <si>
    <t>Alerta Meteorológica</t>
  </si>
  <si>
    <t>Ayer el secretario de Gobierno encabezó las mesas por la paz en Tlanalapa.</t>
  </si>
  <si>
    <t>Hoy hay Ruta de la Transformación, el gobernador Julio Menchaca estará en Santiago Tulantepec a las 11:30 de la mañana en a Unidad Deportiva.</t>
  </si>
  <si>
    <t>Ruta de la salud</t>
  </si>
  <si>
    <t>El secretario de Planeación, Miguel Ángel Tello participó en un debate en Milenio televisión en donde estuvo Moreira, y ahí se habló del tema que se vive entre el gobierno federal y EE.UU., así como de temas de seguridad. Miguel Ángel Tello habló de la transformación que avanza desde la llegada de López Obrados y ahora con la presidenta Claudia Sheinbaum, quien ha defendido la soberanía nacional. La participación del funcionario habla del momento que vive.</t>
  </si>
  <si>
    <t>La Secretaría de Infraestructura Pública y Desarrollo Urbano Sostenible (SIPDUS) ejecuta trabajos de desazolve, ampliación y elevación de bordos en el Río de las Avenidas para incrementar la capacidad del cauce y agilizar el desalojo de aguas pluviales en la zona de Los Tuzos. El titular de la dependencia, Alejandro Sánchez García, informó que las acciones abarcan más de seis kilómetros, desde aguas arriba del fraccionamiento Los Tuzos hasta el Jagüey de Téllez.</t>
  </si>
  <si>
    <t>Andrés Torres comenta que el Síndico de Singuilucan, Donato de Jesús en su video de disculpa, nunca hace eso, pedir disculpas y que además debería pedir ayuda, pues es sabido que tiene problemas con el alcohol.</t>
  </si>
  <si>
    <t>En Singuilucan el Síndico Donato de Jesús hizo un video que difundió en todas sus redes sociales, en el cual dice estar arrepentido y pide disculpas por sus acciones en una fiesta en la que insultó y amenazó a varias personas. Sin embargo, los regidores Areli López Alcántara, Ali Denis Martínez Romero, Alberto Vargas Bistrain y Felipe León Téllez solicitaron el inicio de una investigación formal en contra del funcionario, a quien acusan de amenazas de muerte, abuso de autoridad y conducta indebida.</t>
  </si>
  <si>
    <t>Ayer abrieron el verificentro En Dios Padre, Ixmiquilpan lo que ayudará a desahogar un poco el servicio de verificación vehicular.</t>
  </si>
  <si>
    <t>Verificentros</t>
  </si>
  <si>
    <t>El Sistema Integral de Transporte Masivo de Hidalgo (SITMAH) emitió una convocatoria para contratar a 141 operadores del Sistema de Transporte Metropolitano, y conformar una plantilla total de 351 conductores para las 140 unidades que darán el servicio. Para la operación de las 80 nuevas unidades del Tuzobús cuentan con 210 conductores debidamente capacitados, pero contratarán más para 60 vagonetas de las rutas alimentadoras.</t>
  </si>
  <si>
    <t>Andrés Torres comenta que la estación del 1010 AM El Vocero huasteco, ya casi cumple dos meses fuera del aire y espera que pronto las autoridades los ayuden a resolver esto que es ocasionado por un capricho administrativo.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</si>
</sst>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14" fontId="0" fillId="0" borderId="0" xfId="0" applyNumberFormat="1"/>
    <xf numFmtId="164" fontId="0" fillId="0" borderId="0" xfId="0" applyNumberFormat="1"/>
    <xf numFmtId="0" fontId="0" fillId="0" borderId="0" xfId="0" applyNumberFormat="1"/>
  </cellXfs>
  <cellStyles count="1">
    <cellStyle name="Normal" xfId="0" builtinId="0"/>
  </cellStyles>
  <dxfs count="11">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64" formatCode="d/m/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1" xr16:uid="{9EC5DF1A-B186-4054-9982-86BB894F851C}" autoFormatId="16" applyNumberFormats="0" applyBorderFormats="0" applyFontFormats="0" applyPatternFormats="0" applyAlignmentFormats="0" applyWidthHeightFormats="0">
  <queryTableRefresh nextId="21">
    <queryTableFields count="13">
      <queryTableField id="1" name="Fecha" tableColumnId="1"/>
      <queryTableField id="11" dataBound="0" tableColumnId="11"/>
      <queryTableField id="12" name="Radiodifusora" tableColumnId="12"/>
      <queryTableField id="13" name="Programa" tableColumnId="13"/>
      <queryTableField id="3" name="Titular" tableColumnId="3"/>
      <queryTableField id="6" name="Dependencia" tableColumnId="6"/>
      <queryTableField id="9" name="Tema" tableColumnId="9"/>
      <queryTableField id="8" name="Canal" tableColumnId="8"/>
      <queryTableField id="10" name="Estatus" tableColumnId="10"/>
      <queryTableField id="14" name="Clasificación" tableColumnId="14"/>
      <queryTableField id="15" name="Autor" tableColumnId="15"/>
      <queryTableField id="16" name="Género" tableColumnId="16"/>
      <queryTableField id="20" name="Recuento" tableColumnId="1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7AF3FA-E95C-4D17-A1C9-B8D7CBE34EF0}" name="Información1" displayName="Información1" ref="A1:M210" tableType="queryTable" totalsRowShown="0">
  <autoFilter ref="A1:M210" xr:uid="{717AF3FA-E95C-4D17-A1C9-B8D7CBE34EF0}"/>
  <tableColumns count="13">
    <tableColumn id="1" xr3:uid="{EB19E952-2F9B-4E64-9A19-C7B52F571890}" uniqueName="1" name="Fecha" queryTableFieldId="1" dataDxfId="10"/>
    <tableColumn id="11" xr3:uid="{A48192A8-75D4-491A-AE26-6A961BCFF6FF}" uniqueName="11" name="Día" queryTableFieldId="11" dataDxfId="9">
      <calculatedColumnFormula>IF(Información1[[#This Row],[Fecha]]='Ajuste de fechas'!$A$2,"Día actual","Día anterior")</calculatedColumnFormula>
    </tableColumn>
    <tableColumn id="12" xr3:uid="{4F30991B-1882-48AE-BBBC-64FCA8279BA1}" uniqueName="12" name="Radiodifusora" queryTableFieldId="12" dataDxfId="8"/>
    <tableColumn id="13" xr3:uid="{517B0A2C-DF6B-4794-9C97-29B5F886839A}" uniqueName="13" name="Programa" queryTableFieldId="13"/>
    <tableColumn id="3" xr3:uid="{3DD51BE0-FD5E-43FC-B095-76D2D204B603}" uniqueName="3" name="Titular" queryTableFieldId="3" dataDxfId="7"/>
    <tableColumn id="6" xr3:uid="{26FEF469-35CF-4C60-A1AE-6CF1039F413A}" uniqueName="6" name="Dependencia" queryTableFieldId="6" dataDxfId="6"/>
    <tableColumn id="9" xr3:uid="{A1DC7DCD-8016-4C54-B5CE-B9D28C1CC171}" uniqueName="9" name="Tema" queryTableFieldId="9" dataDxfId="5"/>
    <tableColumn id="8" xr3:uid="{B82BEC87-3598-42A1-B8B9-34F0762C5BB2}" uniqueName="8" name="Canal" queryTableFieldId="8" dataDxfId="4"/>
    <tableColumn id="10" xr3:uid="{692FF757-1020-40D1-A4F6-D548E7C4E980}" uniqueName="10" name="Estatus" queryTableFieldId="10" dataDxfId="3"/>
    <tableColumn id="14" xr3:uid="{C39741D3-700F-486E-B020-D2528DDA6016}" uniqueName="14" name="Clasificación" queryTableFieldId="14" dataDxfId="2"/>
    <tableColumn id="15" xr3:uid="{33A7D71D-EB15-4FD0-8031-4FF610A857BA}" uniqueName="15" name="Autor" queryTableFieldId="15" dataDxfId="1"/>
    <tableColumn id="16" xr3:uid="{B0698B4E-43A3-42F4-8099-288A9107B833}" uniqueName="16" name="Género" queryTableFieldId="16" dataDxfId="0"/>
    <tableColumn id="17" xr3:uid="{0B5B25B3-3146-48A6-884B-EBAF2D195A97}" uniqueName="17" name="Recuento" queryTableFieldId="2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50E258-ABE8-47CB-99E6-7B12678D449B}">
  <dimension ref="A1:M210"/>
  <sheetViews>
    <sheetView tabSelected="1" topLeftCell="A175" workbookViewId="0">
      <selection activeCell="C210" sqref="C210"/>
    </sheetView>
  </sheetViews>
  <sheetFormatPr baseColWidth="10" defaultRowHeight="15" x14ac:dyDescent="0.25"/>
  <cols>
    <col min="1" max="1" width="8.5703125" bestFit="1" customWidth="1"/>
    <col min="2" max="2" width="11.42578125" bestFit="1" customWidth="1"/>
    <col min="3" max="3" width="27.28515625" bestFit="1" customWidth="1"/>
    <col min="4" max="4" width="30.7109375" bestFit="1" customWidth="1"/>
    <col min="5" max="5" width="81.140625" bestFit="1" customWidth="1"/>
    <col min="6" max="6" width="15.28515625" bestFit="1" customWidth="1"/>
    <col min="7" max="7" width="33.85546875" bestFit="1" customWidth="1"/>
    <col min="8" max="8" width="11" bestFit="1" customWidth="1"/>
    <col min="9" max="9" width="11.140625" bestFit="1" customWidth="1"/>
    <col min="10" max="10" width="25.7109375" bestFit="1" customWidth="1"/>
    <col min="11" max="11" width="22.28515625" bestFit="1" customWidth="1"/>
    <col min="12" max="12" width="10" bestFit="1" customWidth="1"/>
    <col min="13" max="13" width="12" bestFit="1" customWidth="1"/>
    <col min="14" max="14" width="19.42578125" bestFit="1" customWidth="1"/>
    <col min="15" max="15" width="20.5703125" bestFit="1" customWidth="1"/>
    <col min="16" max="16" width="80.7109375" bestFit="1" customWidth="1"/>
    <col min="17" max="17" width="9.85546875" bestFit="1" customWidth="1"/>
  </cols>
  <sheetData>
    <row r="1" spans="1:13" x14ac:dyDescent="0.25">
      <c r="A1" t="s">
        <v>0</v>
      </c>
      <c r="B1" t="s">
        <v>35</v>
      </c>
      <c r="C1" t="s">
        <v>36</v>
      </c>
      <c r="D1" t="s">
        <v>37</v>
      </c>
      <c r="E1" t="s">
        <v>1</v>
      </c>
      <c r="F1" t="s">
        <v>2</v>
      </c>
      <c r="G1" t="s">
        <v>4</v>
      </c>
      <c r="H1" t="s">
        <v>3</v>
      </c>
      <c r="I1" t="s">
        <v>5</v>
      </c>
      <c r="J1" t="s">
        <v>38</v>
      </c>
      <c r="K1" t="s">
        <v>39</v>
      </c>
      <c r="L1" t="s">
        <v>40</v>
      </c>
      <c r="M1" t="s">
        <v>47</v>
      </c>
    </row>
    <row r="2" spans="1:13" x14ac:dyDescent="0.25">
      <c r="A2" s="2">
        <v>46176</v>
      </c>
      <c r="B2" s="1" t="str">
        <f ca="1">IF(Información1[[#This Row],[Fecha]]='Ajuste de fechas'!$A$2,"Día actual","Día anterior")</f>
        <v>Día anterior</v>
      </c>
      <c r="C2" s="3" t="s">
        <v>53</v>
      </c>
      <c r="D2" t="s">
        <v>64</v>
      </c>
      <c r="E2" s="3" t="s">
        <v>89</v>
      </c>
      <c r="F2" s="3" t="s">
        <v>22</v>
      </c>
      <c r="G2" s="3" t="s">
        <v>81</v>
      </c>
      <c r="H2" s="3" t="s">
        <v>11</v>
      </c>
      <c r="I2" s="3" t="s">
        <v>7</v>
      </c>
      <c r="J2" s="3" t="s">
        <v>46</v>
      </c>
      <c r="K2" s="3" t="s">
        <v>54</v>
      </c>
      <c r="L2" s="3" t="s">
        <v>42</v>
      </c>
      <c r="M2">
        <v>1</v>
      </c>
    </row>
    <row r="3" spans="1:13" x14ac:dyDescent="0.25">
      <c r="A3" s="2">
        <v>46176</v>
      </c>
      <c r="B3" s="1" t="str">
        <f ca="1">IF(Información1[[#This Row],[Fecha]]='Ajuste de fechas'!$A$2,"Día actual","Día anterior")</f>
        <v>Día anterior</v>
      </c>
      <c r="C3" s="3" t="s">
        <v>53</v>
      </c>
      <c r="D3" t="s">
        <v>64</v>
      </c>
      <c r="E3" s="3" t="s">
        <v>90</v>
      </c>
      <c r="F3" s="3" t="s">
        <v>22</v>
      </c>
      <c r="G3" s="3" t="s">
        <v>81</v>
      </c>
      <c r="H3" s="3" t="s">
        <v>11</v>
      </c>
      <c r="I3" s="3" t="s">
        <v>7</v>
      </c>
      <c r="J3" s="3" t="s">
        <v>46</v>
      </c>
      <c r="K3" s="3" t="s">
        <v>54</v>
      </c>
      <c r="L3" s="3" t="s">
        <v>42</v>
      </c>
      <c r="M3">
        <v>1</v>
      </c>
    </row>
    <row r="4" spans="1:13" x14ac:dyDescent="0.25">
      <c r="A4" s="2">
        <v>46176</v>
      </c>
      <c r="B4" s="1" t="str">
        <f ca="1">IF(Información1[[#This Row],[Fecha]]='Ajuste de fechas'!$A$2,"Día actual","Día anterior")</f>
        <v>Día anterior</v>
      </c>
      <c r="C4" s="3" t="s">
        <v>53</v>
      </c>
      <c r="D4" t="s">
        <v>64</v>
      </c>
      <c r="E4" s="3" t="s">
        <v>91</v>
      </c>
      <c r="F4" s="3" t="s">
        <v>22</v>
      </c>
      <c r="G4" s="3" t="s">
        <v>81</v>
      </c>
      <c r="H4" s="3" t="s">
        <v>11</v>
      </c>
      <c r="I4" s="3" t="s">
        <v>7</v>
      </c>
      <c r="J4" s="3" t="s">
        <v>46</v>
      </c>
      <c r="K4" s="3" t="s">
        <v>54</v>
      </c>
      <c r="L4" s="3" t="s">
        <v>42</v>
      </c>
      <c r="M4">
        <v>1</v>
      </c>
    </row>
    <row r="5" spans="1:13" x14ac:dyDescent="0.25">
      <c r="A5" s="2">
        <v>46176</v>
      </c>
      <c r="B5" s="1" t="str">
        <f ca="1">IF(Información1[[#This Row],[Fecha]]='Ajuste de fechas'!$A$2,"Día actual","Día anterior")</f>
        <v>Día anterior</v>
      </c>
      <c r="C5" s="3" t="s">
        <v>53</v>
      </c>
      <c r="D5" t="s">
        <v>64</v>
      </c>
      <c r="E5" s="3" t="s">
        <v>92</v>
      </c>
      <c r="F5" s="3" t="s">
        <v>19</v>
      </c>
      <c r="G5" s="3" t="s">
        <v>93</v>
      </c>
      <c r="H5" s="3" t="s">
        <v>11</v>
      </c>
      <c r="I5" s="3" t="s">
        <v>25</v>
      </c>
      <c r="J5" s="3" t="s">
        <v>45</v>
      </c>
      <c r="K5" s="3" t="s">
        <v>54</v>
      </c>
      <c r="L5" s="3" t="s">
        <v>42</v>
      </c>
      <c r="M5">
        <v>1</v>
      </c>
    </row>
    <row r="6" spans="1:13" x14ac:dyDescent="0.25">
      <c r="A6" s="2">
        <v>46176</v>
      </c>
      <c r="B6" s="1" t="str">
        <f ca="1">IF(Información1[[#This Row],[Fecha]]='Ajuste de fechas'!$A$2,"Día actual","Día anterior")</f>
        <v>Día anterior</v>
      </c>
      <c r="C6" s="3" t="s">
        <v>94</v>
      </c>
      <c r="D6" t="s">
        <v>95</v>
      </c>
      <c r="E6" s="3" t="s">
        <v>96</v>
      </c>
      <c r="F6" s="3" t="s">
        <v>65</v>
      </c>
      <c r="G6" s="3" t="s">
        <v>97</v>
      </c>
      <c r="H6" s="3" t="s">
        <v>11</v>
      </c>
      <c r="I6" s="3" t="s">
        <v>7</v>
      </c>
      <c r="J6" s="3" t="s">
        <v>41</v>
      </c>
      <c r="K6" s="3" t="s">
        <v>98</v>
      </c>
      <c r="L6" s="3" t="s">
        <v>44</v>
      </c>
      <c r="M6">
        <v>1</v>
      </c>
    </row>
    <row r="7" spans="1:13" x14ac:dyDescent="0.25">
      <c r="A7" s="2">
        <v>46176</v>
      </c>
      <c r="B7" s="1" t="str">
        <f ca="1">IF(Información1[[#This Row],[Fecha]]='Ajuste de fechas'!$A$2,"Día actual","Día anterior")</f>
        <v>Día anterior</v>
      </c>
      <c r="C7" s="3" t="s">
        <v>94</v>
      </c>
      <c r="D7" t="s">
        <v>95</v>
      </c>
      <c r="E7" s="3" t="s">
        <v>99</v>
      </c>
      <c r="F7" s="3" t="s">
        <v>76</v>
      </c>
      <c r="G7" s="3" t="s">
        <v>100</v>
      </c>
      <c r="H7" s="3" t="s">
        <v>11</v>
      </c>
      <c r="I7" s="3" t="s">
        <v>7</v>
      </c>
      <c r="J7" s="3" t="s">
        <v>41</v>
      </c>
      <c r="K7" s="3" t="s">
        <v>98</v>
      </c>
      <c r="L7" s="3" t="s">
        <v>44</v>
      </c>
      <c r="M7">
        <v>1</v>
      </c>
    </row>
    <row r="8" spans="1:13" x14ac:dyDescent="0.25">
      <c r="A8" s="2">
        <v>46176</v>
      </c>
      <c r="B8" s="1" t="str">
        <f ca="1">IF(Información1[[#This Row],[Fecha]]='Ajuste de fechas'!$A$2,"Día actual","Día anterior")</f>
        <v>Día anterior</v>
      </c>
      <c r="C8" s="3" t="s">
        <v>53</v>
      </c>
      <c r="D8" t="s">
        <v>55</v>
      </c>
      <c r="E8" s="3" t="s">
        <v>101</v>
      </c>
      <c r="F8" s="3" t="s">
        <v>24</v>
      </c>
      <c r="G8" s="3" t="s">
        <v>56</v>
      </c>
      <c r="H8" s="3" t="s">
        <v>11</v>
      </c>
      <c r="I8" s="3" t="s">
        <v>7</v>
      </c>
      <c r="J8" s="3" t="s">
        <v>24</v>
      </c>
      <c r="K8" s="3" t="s">
        <v>54</v>
      </c>
      <c r="L8" s="3" t="s">
        <v>42</v>
      </c>
      <c r="M8">
        <v>1</v>
      </c>
    </row>
    <row r="9" spans="1:13" x14ac:dyDescent="0.25">
      <c r="A9" s="2">
        <v>46176</v>
      </c>
      <c r="B9" s="1" t="str">
        <f ca="1">IF(Información1[[#This Row],[Fecha]]='Ajuste de fechas'!$A$2,"Día actual","Día anterior")</f>
        <v>Día anterior</v>
      </c>
      <c r="C9" s="3" t="s">
        <v>53</v>
      </c>
      <c r="D9" t="s">
        <v>55</v>
      </c>
      <c r="E9" s="3" t="s">
        <v>102</v>
      </c>
      <c r="F9" s="3" t="s">
        <v>19</v>
      </c>
      <c r="G9" s="3" t="s">
        <v>103</v>
      </c>
      <c r="H9" s="3" t="s">
        <v>11</v>
      </c>
      <c r="I9" s="3" t="s">
        <v>25</v>
      </c>
      <c r="J9" s="3" t="s">
        <v>45</v>
      </c>
      <c r="K9" s="3" t="s">
        <v>54</v>
      </c>
      <c r="L9" s="3" t="s">
        <v>42</v>
      </c>
      <c r="M9">
        <v>1</v>
      </c>
    </row>
    <row r="10" spans="1:13" x14ac:dyDescent="0.25">
      <c r="A10" s="2">
        <v>46176</v>
      </c>
      <c r="B10" s="1" t="str">
        <f ca="1">IF(Información1[[#This Row],[Fecha]]='Ajuste de fechas'!$A$2,"Día actual","Día anterior")</f>
        <v>Día anterior</v>
      </c>
      <c r="C10" s="3" t="s">
        <v>53</v>
      </c>
      <c r="D10" t="s">
        <v>55</v>
      </c>
      <c r="E10" s="3" t="s">
        <v>104</v>
      </c>
      <c r="F10" s="3" t="s">
        <v>19</v>
      </c>
      <c r="G10" s="3" t="s">
        <v>105</v>
      </c>
      <c r="H10" s="3" t="s">
        <v>11</v>
      </c>
      <c r="I10" s="3" t="s">
        <v>7</v>
      </c>
      <c r="J10" s="3" t="s">
        <v>45</v>
      </c>
      <c r="K10" s="3" t="s">
        <v>54</v>
      </c>
      <c r="L10" s="3" t="s">
        <v>42</v>
      </c>
      <c r="M10">
        <v>1</v>
      </c>
    </row>
    <row r="11" spans="1:13" x14ac:dyDescent="0.25">
      <c r="A11" s="2">
        <v>46176</v>
      </c>
      <c r="B11" s="1" t="str">
        <f ca="1">IF(Información1[[#This Row],[Fecha]]='Ajuste de fechas'!$A$2,"Día actual","Día anterior")</f>
        <v>Día anterior</v>
      </c>
      <c r="C11" s="3" t="s">
        <v>53</v>
      </c>
      <c r="D11" t="s">
        <v>55</v>
      </c>
      <c r="E11" s="3" t="s">
        <v>106</v>
      </c>
      <c r="F11" s="3" t="s">
        <v>60</v>
      </c>
      <c r="G11" s="3" t="s">
        <v>107</v>
      </c>
      <c r="H11" s="3" t="s">
        <v>11</v>
      </c>
      <c r="I11" s="3" t="s">
        <v>12</v>
      </c>
      <c r="J11" s="3" t="s">
        <v>24</v>
      </c>
      <c r="K11" s="3" t="s">
        <v>54</v>
      </c>
      <c r="L11" s="3" t="s">
        <v>43</v>
      </c>
      <c r="M11">
        <v>1</v>
      </c>
    </row>
    <row r="12" spans="1:13" x14ac:dyDescent="0.25">
      <c r="A12" s="2">
        <v>46176</v>
      </c>
      <c r="B12" s="1" t="str">
        <f ca="1">IF(Información1[[#This Row],[Fecha]]='Ajuste de fechas'!$A$2,"Día actual","Día anterior")</f>
        <v>Día anterior</v>
      </c>
      <c r="C12" s="3" t="s">
        <v>53</v>
      </c>
      <c r="D12" t="s">
        <v>55</v>
      </c>
      <c r="E12" s="3" t="s">
        <v>108</v>
      </c>
      <c r="F12" s="3" t="s">
        <v>60</v>
      </c>
      <c r="G12" s="3" t="s">
        <v>109</v>
      </c>
      <c r="H12" s="3" t="s">
        <v>11</v>
      </c>
      <c r="I12" s="3" t="s">
        <v>12</v>
      </c>
      <c r="J12" s="3" t="s">
        <v>24</v>
      </c>
      <c r="K12" s="3" t="s">
        <v>54</v>
      </c>
      <c r="L12" s="3" t="s">
        <v>42</v>
      </c>
      <c r="M12">
        <v>1</v>
      </c>
    </row>
    <row r="13" spans="1:13" x14ac:dyDescent="0.25">
      <c r="A13" s="2">
        <v>46176</v>
      </c>
      <c r="B13" s="1" t="str">
        <f ca="1">IF(Información1[[#This Row],[Fecha]]='Ajuste de fechas'!$A$2,"Día actual","Día anterior")</f>
        <v>Día anterior</v>
      </c>
      <c r="C13" s="3" t="s">
        <v>53</v>
      </c>
      <c r="D13" t="s">
        <v>55</v>
      </c>
      <c r="E13" s="3" t="s">
        <v>110</v>
      </c>
      <c r="F13" s="3" t="s">
        <v>60</v>
      </c>
      <c r="G13" s="3" t="s">
        <v>109</v>
      </c>
      <c r="H13" s="3" t="s">
        <v>11</v>
      </c>
      <c r="I13" s="3" t="s">
        <v>7</v>
      </c>
      <c r="J13" s="3" t="s">
        <v>24</v>
      </c>
      <c r="K13" s="3" t="s">
        <v>54</v>
      </c>
      <c r="L13" s="3" t="s">
        <v>42</v>
      </c>
      <c r="M13">
        <v>1</v>
      </c>
    </row>
    <row r="14" spans="1:13" x14ac:dyDescent="0.25">
      <c r="A14" s="2">
        <v>46176</v>
      </c>
      <c r="B14" s="1" t="str">
        <f ca="1">IF(Información1[[#This Row],[Fecha]]='Ajuste de fechas'!$A$2,"Día actual","Día anterior")</f>
        <v>Día anterior</v>
      </c>
      <c r="C14" s="3" t="s">
        <v>53</v>
      </c>
      <c r="D14" t="s">
        <v>55</v>
      </c>
      <c r="E14" s="3" t="s">
        <v>99</v>
      </c>
      <c r="F14" s="3" t="s">
        <v>76</v>
      </c>
      <c r="G14" s="3" t="s">
        <v>100</v>
      </c>
      <c r="H14" s="3" t="s">
        <v>11</v>
      </c>
      <c r="I14" s="3" t="s">
        <v>7</v>
      </c>
      <c r="J14" s="3" t="s">
        <v>41</v>
      </c>
      <c r="K14" s="3" t="s">
        <v>52</v>
      </c>
      <c r="L14" s="3" t="s">
        <v>44</v>
      </c>
      <c r="M14">
        <v>1</v>
      </c>
    </row>
    <row r="15" spans="1:13" x14ac:dyDescent="0.25">
      <c r="A15" s="2">
        <v>46176</v>
      </c>
      <c r="B15" s="1" t="str">
        <f ca="1">IF(Información1[[#This Row],[Fecha]]='Ajuste de fechas'!$A$2,"Día actual","Día anterior")</f>
        <v>Día anterior</v>
      </c>
      <c r="C15" s="3" t="s">
        <v>53</v>
      </c>
      <c r="D15" t="s">
        <v>55</v>
      </c>
      <c r="E15" s="3" t="s">
        <v>111</v>
      </c>
      <c r="F15" s="3" t="s">
        <v>61</v>
      </c>
      <c r="G15" s="3" t="s">
        <v>112</v>
      </c>
      <c r="H15" s="3" t="s">
        <v>11</v>
      </c>
      <c r="I15" s="3" t="s">
        <v>7</v>
      </c>
      <c r="J15" s="3" t="s">
        <v>41</v>
      </c>
      <c r="K15" s="3" t="s">
        <v>52</v>
      </c>
      <c r="L15" s="3" t="s">
        <v>44</v>
      </c>
      <c r="M15">
        <v>1</v>
      </c>
    </row>
    <row r="16" spans="1:13" x14ac:dyDescent="0.25">
      <c r="A16" s="2">
        <v>46176</v>
      </c>
      <c r="B16" s="1" t="str">
        <f ca="1">IF(Información1[[#This Row],[Fecha]]='Ajuste de fechas'!$A$2,"Día actual","Día anterior")</f>
        <v>Día anterior</v>
      </c>
      <c r="C16" s="3" t="s">
        <v>53</v>
      </c>
      <c r="D16" t="s">
        <v>55</v>
      </c>
      <c r="E16" s="3" t="s">
        <v>113</v>
      </c>
      <c r="F16" s="3" t="s">
        <v>114</v>
      </c>
      <c r="G16" s="3" t="s">
        <v>115</v>
      </c>
      <c r="H16" s="3" t="s">
        <v>11</v>
      </c>
      <c r="I16" s="3" t="s">
        <v>7</v>
      </c>
      <c r="J16" s="3" t="s">
        <v>41</v>
      </c>
      <c r="K16" s="3" t="s">
        <v>52</v>
      </c>
      <c r="L16" s="3" t="s">
        <v>44</v>
      </c>
      <c r="M16">
        <v>1</v>
      </c>
    </row>
    <row r="17" spans="1:13" x14ac:dyDescent="0.25">
      <c r="A17" s="2">
        <v>46176</v>
      </c>
      <c r="B17" s="1" t="str">
        <f ca="1">IF(Información1[[#This Row],[Fecha]]='Ajuste de fechas'!$A$2,"Día actual","Día anterior")</f>
        <v>Día anterior</v>
      </c>
      <c r="C17" s="3" t="s">
        <v>53</v>
      </c>
      <c r="D17" t="s">
        <v>55</v>
      </c>
      <c r="E17" s="3" t="s">
        <v>116</v>
      </c>
      <c r="F17" s="3" t="s">
        <v>21</v>
      </c>
      <c r="G17" s="3" t="s">
        <v>117</v>
      </c>
      <c r="H17" s="3" t="s">
        <v>11</v>
      </c>
      <c r="I17" s="3" t="s">
        <v>7</v>
      </c>
      <c r="J17" s="3" t="s">
        <v>41</v>
      </c>
      <c r="K17" s="3" t="s">
        <v>52</v>
      </c>
      <c r="L17" s="3" t="s">
        <v>44</v>
      </c>
      <c r="M17">
        <v>1</v>
      </c>
    </row>
    <row r="18" spans="1:13" x14ac:dyDescent="0.25">
      <c r="A18" s="2">
        <v>46176</v>
      </c>
      <c r="B18" s="1" t="str">
        <f ca="1">IF(Información1[[#This Row],[Fecha]]='Ajuste de fechas'!$A$2,"Día actual","Día anterior")</f>
        <v>Día anterior</v>
      </c>
      <c r="C18" s="3" t="s">
        <v>53</v>
      </c>
      <c r="D18" t="s">
        <v>55</v>
      </c>
      <c r="E18" s="3" t="s">
        <v>118</v>
      </c>
      <c r="F18" s="3" t="s">
        <v>70</v>
      </c>
      <c r="G18" s="3" t="s">
        <v>84</v>
      </c>
      <c r="H18" s="3" t="s">
        <v>11</v>
      </c>
      <c r="I18" s="3" t="s">
        <v>7</v>
      </c>
      <c r="J18" s="3" t="s">
        <v>41</v>
      </c>
      <c r="K18" s="3" t="s">
        <v>52</v>
      </c>
      <c r="L18" s="3" t="s">
        <v>44</v>
      </c>
      <c r="M18">
        <v>1</v>
      </c>
    </row>
    <row r="19" spans="1:13" x14ac:dyDescent="0.25">
      <c r="A19" s="2">
        <v>46176</v>
      </c>
      <c r="B19" s="1" t="str">
        <f ca="1">IF(Información1[[#This Row],[Fecha]]='Ajuste de fechas'!$A$2,"Día actual","Día anterior")</f>
        <v>Día anterior</v>
      </c>
      <c r="C19" s="3" t="s">
        <v>8</v>
      </c>
      <c r="D19" t="s">
        <v>10</v>
      </c>
      <c r="E19" s="3" t="s">
        <v>119</v>
      </c>
      <c r="F19" s="3" t="s">
        <v>6</v>
      </c>
      <c r="G19" s="3" t="s">
        <v>50</v>
      </c>
      <c r="H19" s="3" t="s">
        <v>11</v>
      </c>
      <c r="I19" s="3" t="s">
        <v>25</v>
      </c>
      <c r="J19" s="3" t="s">
        <v>41</v>
      </c>
      <c r="K19" s="3" t="s">
        <v>9</v>
      </c>
      <c r="L19" s="3" t="s">
        <v>43</v>
      </c>
      <c r="M19">
        <v>1</v>
      </c>
    </row>
    <row r="20" spans="1:13" x14ac:dyDescent="0.25">
      <c r="A20" s="2">
        <v>46176</v>
      </c>
      <c r="B20" s="1" t="str">
        <f ca="1">IF(Información1[[#This Row],[Fecha]]='Ajuste de fechas'!$A$2,"Día actual","Día anterior")</f>
        <v>Día anterior</v>
      </c>
      <c r="C20" s="3" t="s">
        <v>28</v>
      </c>
      <c r="D20" t="s">
        <v>120</v>
      </c>
      <c r="E20" s="3" t="s">
        <v>121</v>
      </c>
      <c r="F20" s="3" t="s">
        <v>19</v>
      </c>
      <c r="G20" s="3" t="s">
        <v>122</v>
      </c>
      <c r="H20" s="3" t="s">
        <v>11</v>
      </c>
      <c r="I20" s="3" t="s">
        <v>7</v>
      </c>
      <c r="J20" s="3" t="s">
        <v>45</v>
      </c>
      <c r="K20" s="3" t="s">
        <v>123</v>
      </c>
      <c r="L20" s="3" t="s">
        <v>42</v>
      </c>
      <c r="M20">
        <v>1</v>
      </c>
    </row>
    <row r="21" spans="1:13" x14ac:dyDescent="0.25">
      <c r="A21" s="2">
        <v>46176</v>
      </c>
      <c r="B21" s="1" t="str">
        <f ca="1">IF(Información1[[#This Row],[Fecha]]='Ajuste de fechas'!$A$2,"Día actual","Día anterior")</f>
        <v>Día anterior</v>
      </c>
      <c r="C21" s="3" t="s">
        <v>28</v>
      </c>
      <c r="D21" t="s">
        <v>30</v>
      </c>
      <c r="E21" s="3" t="s">
        <v>124</v>
      </c>
      <c r="F21" s="3" t="s">
        <v>19</v>
      </c>
      <c r="G21" s="3" t="s">
        <v>122</v>
      </c>
      <c r="H21" s="3" t="s">
        <v>11</v>
      </c>
      <c r="I21" s="3" t="s">
        <v>7</v>
      </c>
      <c r="J21" s="3" t="s">
        <v>45</v>
      </c>
      <c r="K21" s="3" t="s">
        <v>29</v>
      </c>
      <c r="L21" s="3" t="s">
        <v>42</v>
      </c>
      <c r="M21">
        <v>1</v>
      </c>
    </row>
    <row r="22" spans="1:13" x14ac:dyDescent="0.25">
      <c r="A22" s="2">
        <v>46176</v>
      </c>
      <c r="B22" s="1" t="str">
        <f ca="1">IF(Información1[[#This Row],[Fecha]]='Ajuste de fechas'!$A$2,"Día actual","Día anterior")</f>
        <v>Día anterior</v>
      </c>
      <c r="C22" s="3" t="s">
        <v>125</v>
      </c>
      <c r="D22" t="s">
        <v>126</v>
      </c>
      <c r="E22" s="3" t="s">
        <v>127</v>
      </c>
      <c r="F22" s="3" t="s">
        <v>17</v>
      </c>
      <c r="G22" s="3" t="s">
        <v>82</v>
      </c>
      <c r="H22" s="3" t="s">
        <v>11</v>
      </c>
      <c r="I22" s="3" t="s">
        <v>7</v>
      </c>
      <c r="J22" s="3" t="s">
        <v>41</v>
      </c>
      <c r="K22" s="3" t="s">
        <v>128</v>
      </c>
      <c r="L22" s="3" t="s">
        <v>44</v>
      </c>
      <c r="M22">
        <v>1</v>
      </c>
    </row>
    <row r="23" spans="1:13" x14ac:dyDescent="0.25">
      <c r="A23" s="2">
        <v>46176</v>
      </c>
      <c r="B23" s="1" t="str">
        <f ca="1">IF(Información1[[#This Row],[Fecha]]='Ajuste de fechas'!$A$2,"Día actual","Día anterior")</f>
        <v>Día anterior</v>
      </c>
      <c r="C23" s="3" t="s">
        <v>28</v>
      </c>
      <c r="D23" t="s">
        <v>30</v>
      </c>
      <c r="E23" s="3" t="s">
        <v>129</v>
      </c>
      <c r="F23" s="3" t="s">
        <v>19</v>
      </c>
      <c r="G23" s="3" t="s">
        <v>63</v>
      </c>
      <c r="H23" s="3" t="s">
        <v>11</v>
      </c>
      <c r="I23" s="3" t="s">
        <v>7</v>
      </c>
      <c r="J23" s="3" t="s">
        <v>45</v>
      </c>
      <c r="K23" s="3" t="s">
        <v>29</v>
      </c>
      <c r="L23" s="3" t="s">
        <v>42</v>
      </c>
      <c r="M23">
        <v>1</v>
      </c>
    </row>
    <row r="24" spans="1:13" x14ac:dyDescent="0.25">
      <c r="A24" s="2">
        <v>46176</v>
      </c>
      <c r="B24" s="1" t="str">
        <f ca="1">IF(Información1[[#This Row],[Fecha]]='Ajuste de fechas'!$A$2,"Día actual","Día anterior")</f>
        <v>Día anterior</v>
      </c>
      <c r="C24" s="3" t="s">
        <v>8</v>
      </c>
      <c r="D24" t="s">
        <v>10</v>
      </c>
      <c r="E24" s="3" t="s">
        <v>20</v>
      </c>
      <c r="F24" s="3" t="s">
        <v>19</v>
      </c>
      <c r="G24" s="3" t="s">
        <v>34</v>
      </c>
      <c r="H24" s="3" t="s">
        <v>11</v>
      </c>
      <c r="I24" s="3" t="s">
        <v>12</v>
      </c>
      <c r="J24" s="3" t="s">
        <v>45</v>
      </c>
      <c r="K24" s="3" t="s">
        <v>14</v>
      </c>
      <c r="L24" s="3" t="s">
        <v>43</v>
      </c>
      <c r="M24">
        <v>1</v>
      </c>
    </row>
    <row r="25" spans="1:13" x14ac:dyDescent="0.25">
      <c r="A25" s="2">
        <v>46176</v>
      </c>
      <c r="B25" s="1" t="str">
        <f ca="1">IF(Información1[[#This Row],[Fecha]]='Ajuste de fechas'!$A$2,"Día actual","Día anterior")</f>
        <v>Día anterior</v>
      </c>
      <c r="C25" s="3" t="s">
        <v>8</v>
      </c>
      <c r="D25" t="s">
        <v>10</v>
      </c>
      <c r="E25" s="3" t="s">
        <v>18</v>
      </c>
      <c r="F25" s="3" t="s">
        <v>19</v>
      </c>
      <c r="G25" s="3" t="s">
        <v>34</v>
      </c>
      <c r="H25" s="3" t="s">
        <v>11</v>
      </c>
      <c r="I25" s="3" t="s">
        <v>12</v>
      </c>
      <c r="J25" s="3" t="s">
        <v>45</v>
      </c>
      <c r="K25" s="3" t="s">
        <v>14</v>
      </c>
      <c r="L25" s="3" t="s">
        <v>43</v>
      </c>
      <c r="M25">
        <v>1</v>
      </c>
    </row>
    <row r="26" spans="1:13" x14ac:dyDescent="0.25">
      <c r="A26" s="2">
        <v>46176</v>
      </c>
      <c r="B26" s="1" t="str">
        <f ca="1">IF(Información1[[#This Row],[Fecha]]='Ajuste de fechas'!$A$2,"Día actual","Día anterior")</f>
        <v>Día anterior</v>
      </c>
      <c r="C26" s="3" t="s">
        <v>8</v>
      </c>
      <c r="D26" t="s">
        <v>10</v>
      </c>
      <c r="E26" s="3" t="s">
        <v>57</v>
      </c>
      <c r="F26" s="3" t="s">
        <v>21</v>
      </c>
      <c r="G26" s="3" t="s">
        <v>34</v>
      </c>
      <c r="H26" s="3" t="s">
        <v>11</v>
      </c>
      <c r="I26" s="3" t="s">
        <v>12</v>
      </c>
      <c r="J26" s="3" t="s">
        <v>41</v>
      </c>
      <c r="K26" s="3" t="s">
        <v>14</v>
      </c>
      <c r="L26" s="3" t="s">
        <v>43</v>
      </c>
      <c r="M26">
        <v>1</v>
      </c>
    </row>
    <row r="27" spans="1:13" x14ac:dyDescent="0.25">
      <c r="A27" s="2">
        <v>46176</v>
      </c>
      <c r="B27" s="1" t="str">
        <f ca="1">IF(Información1[[#This Row],[Fecha]]='Ajuste de fechas'!$A$2,"Día actual","Día anterior")</f>
        <v>Día anterior</v>
      </c>
      <c r="C27" s="3" t="s">
        <v>8</v>
      </c>
      <c r="D27" t="s">
        <v>10</v>
      </c>
      <c r="E27" s="3" t="s">
        <v>13</v>
      </c>
      <c r="F27" s="3" t="s">
        <v>15</v>
      </c>
      <c r="G27" s="3" t="s">
        <v>34</v>
      </c>
      <c r="H27" s="3" t="s">
        <v>11</v>
      </c>
      <c r="I27" s="3" t="s">
        <v>12</v>
      </c>
      <c r="J27" s="3" t="s">
        <v>41</v>
      </c>
      <c r="K27" s="3" t="s">
        <v>14</v>
      </c>
      <c r="L27" s="3" t="s">
        <v>43</v>
      </c>
      <c r="M27">
        <v>1</v>
      </c>
    </row>
    <row r="28" spans="1:13" x14ac:dyDescent="0.25">
      <c r="A28" s="2">
        <v>46176</v>
      </c>
      <c r="B28" s="1" t="str">
        <f ca="1">IF(Información1[[#This Row],[Fecha]]='Ajuste de fechas'!$A$2,"Día actual","Día anterior")</f>
        <v>Día anterior</v>
      </c>
      <c r="C28" s="3" t="s">
        <v>8</v>
      </c>
      <c r="D28" t="s">
        <v>10</v>
      </c>
      <c r="E28" s="3" t="s">
        <v>16</v>
      </c>
      <c r="F28" s="3" t="s">
        <v>17</v>
      </c>
      <c r="G28" s="3" t="s">
        <v>34</v>
      </c>
      <c r="H28" s="3" t="s">
        <v>11</v>
      </c>
      <c r="I28" s="3" t="s">
        <v>12</v>
      </c>
      <c r="J28" s="3" t="s">
        <v>41</v>
      </c>
      <c r="K28" s="3" t="s">
        <v>14</v>
      </c>
      <c r="L28" s="3" t="s">
        <v>43</v>
      </c>
      <c r="M28">
        <v>1</v>
      </c>
    </row>
    <row r="29" spans="1:13" x14ac:dyDescent="0.25">
      <c r="A29" s="2">
        <v>46176</v>
      </c>
      <c r="B29" s="1" t="str">
        <f ca="1">IF(Información1[[#This Row],[Fecha]]='Ajuste de fechas'!$A$2,"Día actual","Día anterior")</f>
        <v>Día anterior</v>
      </c>
      <c r="C29" s="3" t="s">
        <v>8</v>
      </c>
      <c r="D29" t="s">
        <v>10</v>
      </c>
      <c r="E29" s="3" t="s">
        <v>58</v>
      </c>
      <c r="F29" s="3" t="s">
        <v>6</v>
      </c>
      <c r="G29" s="3" t="s">
        <v>34</v>
      </c>
      <c r="H29" s="3" t="s">
        <v>11</v>
      </c>
      <c r="I29" s="3" t="s">
        <v>12</v>
      </c>
      <c r="J29" s="3" t="s">
        <v>41</v>
      </c>
      <c r="K29" s="3" t="s">
        <v>14</v>
      </c>
      <c r="L29" s="3" t="s">
        <v>43</v>
      </c>
      <c r="M29">
        <v>1</v>
      </c>
    </row>
    <row r="30" spans="1:13" x14ac:dyDescent="0.25">
      <c r="A30" s="2">
        <v>46176</v>
      </c>
      <c r="B30" s="1" t="str">
        <f ca="1">IF(Información1[[#This Row],[Fecha]]='Ajuste de fechas'!$A$2,"Día actual","Día anterior")</f>
        <v>Día anterior</v>
      </c>
      <c r="C30" s="3" t="s">
        <v>8</v>
      </c>
      <c r="D30" t="s">
        <v>10</v>
      </c>
      <c r="E30" s="3" t="s">
        <v>130</v>
      </c>
      <c r="F30" s="3" t="s">
        <v>19</v>
      </c>
      <c r="G30" s="3" t="s">
        <v>66</v>
      </c>
      <c r="H30" s="3" t="s">
        <v>11</v>
      </c>
      <c r="I30" s="3" t="s">
        <v>7</v>
      </c>
      <c r="J30" s="3" t="s">
        <v>45</v>
      </c>
      <c r="K30" s="3" t="s">
        <v>9</v>
      </c>
      <c r="L30" s="3" t="s">
        <v>43</v>
      </c>
      <c r="M30">
        <v>1</v>
      </c>
    </row>
    <row r="31" spans="1:13" x14ac:dyDescent="0.25">
      <c r="A31" s="2">
        <v>46176</v>
      </c>
      <c r="B31" s="1" t="str">
        <f ca="1">IF(Información1[[#This Row],[Fecha]]='Ajuste de fechas'!$A$2,"Día actual","Día anterior")</f>
        <v>Día anterior</v>
      </c>
      <c r="C31" s="3" t="s">
        <v>8</v>
      </c>
      <c r="D31" t="s">
        <v>10</v>
      </c>
      <c r="E31" s="3" t="s">
        <v>131</v>
      </c>
      <c r="F31" s="3" t="s">
        <v>19</v>
      </c>
      <c r="G31" s="3" t="s">
        <v>132</v>
      </c>
      <c r="H31" s="3" t="s">
        <v>11</v>
      </c>
      <c r="I31" s="3" t="s">
        <v>25</v>
      </c>
      <c r="J31" s="3" t="s">
        <v>45</v>
      </c>
      <c r="K31" s="3" t="s">
        <v>9</v>
      </c>
      <c r="L31" s="3" t="s">
        <v>43</v>
      </c>
      <c r="M31">
        <v>1</v>
      </c>
    </row>
    <row r="32" spans="1:13" x14ac:dyDescent="0.25">
      <c r="A32" s="2">
        <v>46176</v>
      </c>
      <c r="B32" s="1" t="str">
        <f ca="1">IF(Información1[[#This Row],[Fecha]]='Ajuste de fechas'!$A$2,"Día actual","Día anterior")</f>
        <v>Día anterior</v>
      </c>
      <c r="C32" s="3" t="s">
        <v>133</v>
      </c>
      <c r="D32" t="s">
        <v>134</v>
      </c>
      <c r="E32" s="3" t="s">
        <v>135</v>
      </c>
      <c r="F32" s="3" t="s">
        <v>114</v>
      </c>
      <c r="G32" s="3" t="s">
        <v>115</v>
      </c>
      <c r="H32" s="3" t="s">
        <v>11</v>
      </c>
      <c r="I32" s="3" t="s">
        <v>7</v>
      </c>
      <c r="J32" s="3" t="s">
        <v>41</v>
      </c>
      <c r="K32" s="3" t="s">
        <v>136</v>
      </c>
      <c r="L32" s="3" t="s">
        <v>44</v>
      </c>
      <c r="M32">
        <v>1</v>
      </c>
    </row>
    <row r="33" spans="1:13" x14ac:dyDescent="0.25">
      <c r="A33" s="2">
        <v>46176</v>
      </c>
      <c r="B33" s="1" t="str">
        <f ca="1">IF(Información1[[#This Row],[Fecha]]='Ajuste de fechas'!$A$2,"Día actual","Día anterior")</f>
        <v>Día anterior</v>
      </c>
      <c r="C33" s="3" t="s">
        <v>8</v>
      </c>
      <c r="D33" t="s">
        <v>10</v>
      </c>
      <c r="E33" s="3" t="s">
        <v>86</v>
      </c>
      <c r="F33" s="3" t="s">
        <v>23</v>
      </c>
      <c r="G33" s="3" t="s">
        <v>87</v>
      </c>
      <c r="H33" s="3" t="s">
        <v>11</v>
      </c>
      <c r="I33" s="3" t="s">
        <v>7</v>
      </c>
      <c r="J33" s="3" t="s">
        <v>41</v>
      </c>
      <c r="K33" s="3" t="s">
        <v>14</v>
      </c>
      <c r="L33" s="3" t="s">
        <v>44</v>
      </c>
      <c r="M33">
        <v>1</v>
      </c>
    </row>
    <row r="34" spans="1:13" x14ac:dyDescent="0.25">
      <c r="A34" s="2">
        <v>46176</v>
      </c>
      <c r="B34" s="1" t="str">
        <f ca="1">IF(Información1[[#This Row],[Fecha]]='Ajuste de fechas'!$A$2,"Día actual","Día anterior")</f>
        <v>Día anterior</v>
      </c>
      <c r="C34" s="3" t="s">
        <v>28</v>
      </c>
      <c r="D34" t="s">
        <v>30</v>
      </c>
      <c r="E34" s="3" t="s">
        <v>137</v>
      </c>
      <c r="F34" s="3" t="s">
        <v>22</v>
      </c>
      <c r="G34" s="3" t="s">
        <v>138</v>
      </c>
      <c r="H34" s="3" t="s">
        <v>11</v>
      </c>
      <c r="I34" s="3" t="s">
        <v>7</v>
      </c>
      <c r="J34" s="3" t="s">
        <v>46</v>
      </c>
      <c r="K34" s="3" t="s">
        <v>29</v>
      </c>
      <c r="L34" s="3" t="s">
        <v>42</v>
      </c>
      <c r="M34">
        <v>1</v>
      </c>
    </row>
    <row r="35" spans="1:13" x14ac:dyDescent="0.25">
      <c r="A35" s="2">
        <v>46176</v>
      </c>
      <c r="B35" s="1" t="str">
        <f ca="1">IF(Información1[[#This Row],[Fecha]]='Ajuste de fechas'!$A$2,"Día actual","Día anterior")</f>
        <v>Día anterior</v>
      </c>
      <c r="C35" s="3" t="s">
        <v>8</v>
      </c>
      <c r="D35" t="s">
        <v>10</v>
      </c>
      <c r="E35" s="3" t="s">
        <v>139</v>
      </c>
      <c r="F35" s="3" t="s">
        <v>22</v>
      </c>
      <c r="G35" s="3" t="s">
        <v>138</v>
      </c>
      <c r="H35" s="3" t="s">
        <v>11</v>
      </c>
      <c r="I35" s="3" t="s">
        <v>7</v>
      </c>
      <c r="J35" s="3" t="s">
        <v>46</v>
      </c>
      <c r="K35" s="3" t="s">
        <v>14</v>
      </c>
      <c r="L35" s="3" t="s">
        <v>42</v>
      </c>
      <c r="M35">
        <v>1</v>
      </c>
    </row>
    <row r="36" spans="1:13" x14ac:dyDescent="0.25">
      <c r="A36" s="2">
        <v>46176</v>
      </c>
      <c r="B36" s="1" t="str">
        <f ca="1">IF(Información1[[#This Row],[Fecha]]='Ajuste de fechas'!$A$2,"Día actual","Día anterior")</f>
        <v>Día anterior</v>
      </c>
      <c r="C36" s="3" t="s">
        <v>28</v>
      </c>
      <c r="D36" t="s">
        <v>120</v>
      </c>
      <c r="E36" s="3" t="s">
        <v>140</v>
      </c>
      <c r="F36" s="3" t="s">
        <v>51</v>
      </c>
      <c r="G36" s="3" t="s">
        <v>141</v>
      </c>
      <c r="H36" s="3" t="s">
        <v>11</v>
      </c>
      <c r="I36" s="3" t="s">
        <v>25</v>
      </c>
      <c r="J36" s="3" t="s">
        <v>41</v>
      </c>
      <c r="K36" s="3" t="s">
        <v>123</v>
      </c>
      <c r="L36" s="3" t="s">
        <v>42</v>
      </c>
      <c r="M36">
        <v>1</v>
      </c>
    </row>
    <row r="37" spans="1:13" x14ac:dyDescent="0.25">
      <c r="A37" s="2">
        <v>46176</v>
      </c>
      <c r="B37" s="1" t="str">
        <f ca="1">IF(Información1[[#This Row],[Fecha]]='Ajuste de fechas'!$A$2,"Día actual","Día anterior")</f>
        <v>Día anterior</v>
      </c>
      <c r="C37" s="3" t="s">
        <v>8</v>
      </c>
      <c r="D37" t="s">
        <v>10</v>
      </c>
      <c r="E37" s="3" t="s">
        <v>142</v>
      </c>
      <c r="F37" s="3" t="s">
        <v>6</v>
      </c>
      <c r="G37" s="3" t="s">
        <v>143</v>
      </c>
      <c r="H37" s="3" t="s">
        <v>11</v>
      </c>
      <c r="I37" s="3" t="s">
        <v>25</v>
      </c>
      <c r="J37" s="3" t="s">
        <v>41</v>
      </c>
      <c r="K37" s="3" t="s">
        <v>9</v>
      </c>
      <c r="L37" s="3" t="s">
        <v>43</v>
      </c>
      <c r="M37">
        <v>1</v>
      </c>
    </row>
    <row r="38" spans="1:13" x14ac:dyDescent="0.25">
      <c r="A38" s="2">
        <v>46176</v>
      </c>
      <c r="B38" s="1" t="str">
        <f ca="1">IF(Información1[[#This Row],[Fecha]]='Ajuste de fechas'!$A$2,"Día actual","Día anterior")</f>
        <v>Día anterior</v>
      </c>
      <c r="C38" s="3" t="s">
        <v>133</v>
      </c>
      <c r="D38" t="s">
        <v>134</v>
      </c>
      <c r="E38" s="3" t="s">
        <v>144</v>
      </c>
      <c r="F38" s="3" t="s">
        <v>65</v>
      </c>
      <c r="G38" s="3" t="s">
        <v>97</v>
      </c>
      <c r="H38" s="3" t="s">
        <v>11</v>
      </c>
      <c r="I38" s="3" t="s">
        <v>7</v>
      </c>
      <c r="J38" s="3" t="s">
        <v>41</v>
      </c>
      <c r="K38" s="3" t="s">
        <v>136</v>
      </c>
      <c r="L38" s="3" t="s">
        <v>44</v>
      </c>
      <c r="M38">
        <v>1</v>
      </c>
    </row>
    <row r="39" spans="1:13" x14ac:dyDescent="0.25">
      <c r="A39" s="2">
        <v>46176</v>
      </c>
      <c r="B39" s="1" t="str">
        <f ca="1">IF(Información1[[#This Row],[Fecha]]='Ajuste de fechas'!$A$2,"Día actual","Día anterior")</f>
        <v>Día anterior</v>
      </c>
      <c r="C39" s="3" t="s">
        <v>28</v>
      </c>
      <c r="D39" t="s">
        <v>120</v>
      </c>
      <c r="E39" s="3" t="s">
        <v>145</v>
      </c>
      <c r="F39" s="3" t="s">
        <v>146</v>
      </c>
      <c r="G39" s="3" t="s">
        <v>147</v>
      </c>
      <c r="H39" s="3" t="s">
        <v>11</v>
      </c>
      <c r="I39" s="3" t="s">
        <v>7</v>
      </c>
      <c r="J39" s="3" t="s">
        <v>24</v>
      </c>
      <c r="K39" s="3" t="s">
        <v>123</v>
      </c>
      <c r="L39" s="3" t="s">
        <v>42</v>
      </c>
      <c r="M39">
        <v>1</v>
      </c>
    </row>
    <row r="40" spans="1:13" x14ac:dyDescent="0.25">
      <c r="A40" s="2">
        <v>46176</v>
      </c>
      <c r="B40" s="1" t="str">
        <f ca="1">IF(Información1[[#This Row],[Fecha]]='Ajuste de fechas'!$A$2,"Día actual","Día anterior")</f>
        <v>Día anterior</v>
      </c>
      <c r="C40" s="3" t="s">
        <v>8</v>
      </c>
      <c r="D40" t="s">
        <v>10</v>
      </c>
      <c r="E40" s="3" t="s">
        <v>148</v>
      </c>
      <c r="F40" s="3" t="s">
        <v>17</v>
      </c>
      <c r="G40" s="3" t="s">
        <v>68</v>
      </c>
      <c r="H40" s="3" t="s">
        <v>11</v>
      </c>
      <c r="I40" s="3" t="s">
        <v>25</v>
      </c>
      <c r="J40" s="3" t="s">
        <v>41</v>
      </c>
      <c r="K40" s="3" t="s">
        <v>9</v>
      </c>
      <c r="L40" s="3" t="s">
        <v>43</v>
      </c>
      <c r="M40">
        <v>1</v>
      </c>
    </row>
    <row r="41" spans="1:13" x14ac:dyDescent="0.25">
      <c r="A41" s="2">
        <v>46176</v>
      </c>
      <c r="B41" s="1" t="str">
        <f ca="1">IF(Información1[[#This Row],[Fecha]]='Ajuste de fechas'!$A$2,"Día actual","Día anterior")</f>
        <v>Día anterior</v>
      </c>
      <c r="C41" s="3" t="s">
        <v>8</v>
      </c>
      <c r="D41" t="s">
        <v>10</v>
      </c>
      <c r="E41" s="3" t="s">
        <v>149</v>
      </c>
      <c r="F41" s="3" t="s">
        <v>17</v>
      </c>
      <c r="G41" s="3" t="s">
        <v>68</v>
      </c>
      <c r="H41" s="3" t="s">
        <v>11</v>
      </c>
      <c r="I41" s="3" t="s">
        <v>25</v>
      </c>
      <c r="J41" s="3" t="s">
        <v>41</v>
      </c>
      <c r="K41" s="3" t="s">
        <v>9</v>
      </c>
      <c r="L41" s="3" t="s">
        <v>43</v>
      </c>
      <c r="M41">
        <v>1</v>
      </c>
    </row>
    <row r="42" spans="1:13" x14ac:dyDescent="0.25">
      <c r="A42" s="2">
        <v>46176</v>
      </c>
      <c r="B42" s="1" t="str">
        <f ca="1">IF(Información1[[#This Row],[Fecha]]='Ajuste de fechas'!$A$2,"Día actual","Día anterior")</f>
        <v>Día anterior</v>
      </c>
      <c r="C42" s="3" t="s">
        <v>28</v>
      </c>
      <c r="D42" t="s">
        <v>120</v>
      </c>
      <c r="E42" s="3" t="s">
        <v>150</v>
      </c>
      <c r="F42" s="3" t="s">
        <v>59</v>
      </c>
      <c r="G42" s="3" t="s">
        <v>56</v>
      </c>
      <c r="H42" s="3" t="s">
        <v>11</v>
      </c>
      <c r="I42" s="3" t="s">
        <v>7</v>
      </c>
      <c r="J42" s="3" t="s">
        <v>41</v>
      </c>
      <c r="K42" s="3" t="s">
        <v>123</v>
      </c>
      <c r="L42" s="3" t="s">
        <v>42</v>
      </c>
      <c r="M42">
        <v>1</v>
      </c>
    </row>
    <row r="43" spans="1:13" x14ac:dyDescent="0.25">
      <c r="A43" s="2">
        <v>46176</v>
      </c>
      <c r="B43" s="1" t="str">
        <f ca="1">IF(Información1[[#This Row],[Fecha]]='Ajuste de fechas'!$A$2,"Día actual","Día anterior")</f>
        <v>Día anterior</v>
      </c>
      <c r="C43" s="3" t="s">
        <v>28</v>
      </c>
      <c r="D43" t="s">
        <v>120</v>
      </c>
      <c r="E43" s="3" t="s">
        <v>151</v>
      </c>
      <c r="F43" s="3" t="s">
        <v>24</v>
      </c>
      <c r="G43" s="3" t="s">
        <v>56</v>
      </c>
      <c r="H43" s="3" t="s">
        <v>11</v>
      </c>
      <c r="I43" s="3" t="s">
        <v>7</v>
      </c>
      <c r="J43" s="3" t="s">
        <v>24</v>
      </c>
      <c r="K43" s="3" t="s">
        <v>123</v>
      </c>
      <c r="L43" s="3" t="s">
        <v>42</v>
      </c>
      <c r="M43">
        <v>1</v>
      </c>
    </row>
    <row r="44" spans="1:13" x14ac:dyDescent="0.25">
      <c r="A44" s="2">
        <v>46176</v>
      </c>
      <c r="B44" s="1" t="str">
        <f ca="1">IF(Información1[[#This Row],[Fecha]]='Ajuste de fechas'!$A$2,"Día actual","Día anterior")</f>
        <v>Día anterior</v>
      </c>
      <c r="C44" s="3" t="s">
        <v>28</v>
      </c>
      <c r="D44" t="s">
        <v>120</v>
      </c>
      <c r="E44" s="3" t="s">
        <v>152</v>
      </c>
      <c r="F44" s="3" t="s">
        <v>24</v>
      </c>
      <c r="G44" s="3" t="s">
        <v>56</v>
      </c>
      <c r="H44" s="3" t="s">
        <v>11</v>
      </c>
      <c r="I44" s="3" t="s">
        <v>7</v>
      </c>
      <c r="J44" s="3" t="s">
        <v>24</v>
      </c>
      <c r="K44" s="3" t="s">
        <v>123</v>
      </c>
      <c r="L44" s="3" t="s">
        <v>42</v>
      </c>
      <c r="M44">
        <v>1</v>
      </c>
    </row>
    <row r="45" spans="1:13" x14ac:dyDescent="0.25">
      <c r="A45" s="2">
        <v>46176</v>
      </c>
      <c r="B45" s="1" t="str">
        <f ca="1">IF(Información1[[#This Row],[Fecha]]='Ajuste de fechas'!$A$2,"Día actual","Día anterior")</f>
        <v>Día anterior</v>
      </c>
      <c r="C45" s="3" t="s">
        <v>28</v>
      </c>
      <c r="D45" t="s">
        <v>120</v>
      </c>
      <c r="E45" s="3" t="s">
        <v>153</v>
      </c>
      <c r="F45" s="3" t="s">
        <v>26</v>
      </c>
      <c r="G45" s="3" t="s">
        <v>56</v>
      </c>
      <c r="H45" s="3" t="s">
        <v>11</v>
      </c>
      <c r="I45" s="3" t="s">
        <v>7</v>
      </c>
      <c r="J45" s="3" t="s">
        <v>41</v>
      </c>
      <c r="K45" s="3" t="s">
        <v>123</v>
      </c>
      <c r="L45" s="3" t="s">
        <v>42</v>
      </c>
      <c r="M45">
        <v>1</v>
      </c>
    </row>
    <row r="46" spans="1:13" x14ac:dyDescent="0.25">
      <c r="A46" s="2">
        <v>46176</v>
      </c>
      <c r="B46" s="1" t="str">
        <f ca="1">IF(Información1[[#This Row],[Fecha]]='Ajuste de fechas'!$A$2,"Día actual","Día anterior")</f>
        <v>Día anterior</v>
      </c>
      <c r="C46" s="3" t="s">
        <v>28</v>
      </c>
      <c r="D46" t="s">
        <v>30</v>
      </c>
      <c r="E46" s="3" t="s">
        <v>154</v>
      </c>
      <c r="F46" s="3" t="s">
        <v>24</v>
      </c>
      <c r="G46" s="3" t="s">
        <v>56</v>
      </c>
      <c r="H46" s="3" t="s">
        <v>11</v>
      </c>
      <c r="I46" s="3" t="s">
        <v>7</v>
      </c>
      <c r="J46" s="3" t="s">
        <v>24</v>
      </c>
      <c r="K46" s="3" t="s">
        <v>29</v>
      </c>
      <c r="L46" s="3" t="s">
        <v>42</v>
      </c>
      <c r="M46">
        <v>1</v>
      </c>
    </row>
    <row r="47" spans="1:13" x14ac:dyDescent="0.25">
      <c r="A47" s="2">
        <v>46176</v>
      </c>
      <c r="B47" s="1" t="str">
        <f ca="1">IF(Información1[[#This Row],[Fecha]]='Ajuste de fechas'!$A$2,"Día actual","Día anterior")</f>
        <v>Día anterior</v>
      </c>
      <c r="C47" s="3" t="s">
        <v>28</v>
      </c>
      <c r="D47" t="s">
        <v>30</v>
      </c>
      <c r="E47" s="3" t="s">
        <v>155</v>
      </c>
      <c r="F47" s="3" t="s">
        <v>24</v>
      </c>
      <c r="G47" s="3" t="s">
        <v>56</v>
      </c>
      <c r="H47" s="3" t="s">
        <v>11</v>
      </c>
      <c r="I47" s="3" t="s">
        <v>7</v>
      </c>
      <c r="J47" s="3" t="s">
        <v>24</v>
      </c>
      <c r="K47" s="3" t="s">
        <v>29</v>
      </c>
      <c r="L47" s="3" t="s">
        <v>42</v>
      </c>
      <c r="M47">
        <v>1</v>
      </c>
    </row>
    <row r="48" spans="1:13" x14ac:dyDescent="0.25">
      <c r="A48" s="2">
        <v>46176</v>
      </c>
      <c r="B48" s="1" t="str">
        <f ca="1">IF(Información1[[#This Row],[Fecha]]='Ajuste de fechas'!$A$2,"Día actual","Día anterior")</f>
        <v>Día anterior</v>
      </c>
      <c r="C48" s="3" t="s">
        <v>28</v>
      </c>
      <c r="D48" t="s">
        <v>30</v>
      </c>
      <c r="E48" s="3" t="s">
        <v>156</v>
      </c>
      <c r="F48" s="3" t="s">
        <v>26</v>
      </c>
      <c r="G48" s="3" t="s">
        <v>56</v>
      </c>
      <c r="H48" s="3" t="s">
        <v>11</v>
      </c>
      <c r="I48" s="3" t="s">
        <v>7</v>
      </c>
      <c r="J48" s="3" t="s">
        <v>41</v>
      </c>
      <c r="K48" s="3" t="s">
        <v>29</v>
      </c>
      <c r="L48" s="3" t="s">
        <v>42</v>
      </c>
      <c r="M48">
        <v>1</v>
      </c>
    </row>
    <row r="49" spans="1:13" x14ac:dyDescent="0.25">
      <c r="A49" s="2">
        <v>46176</v>
      </c>
      <c r="B49" s="1" t="str">
        <f ca="1">IF(Información1[[#This Row],[Fecha]]='Ajuste de fechas'!$A$2,"Día actual","Día anterior")</f>
        <v>Día anterior</v>
      </c>
      <c r="C49" s="3" t="s">
        <v>8</v>
      </c>
      <c r="D49" t="s">
        <v>10</v>
      </c>
      <c r="E49" s="3" t="s">
        <v>157</v>
      </c>
      <c r="F49" s="3" t="s">
        <v>59</v>
      </c>
      <c r="G49" s="3" t="s">
        <v>56</v>
      </c>
      <c r="H49" s="3" t="s">
        <v>11</v>
      </c>
      <c r="I49" s="3" t="s">
        <v>7</v>
      </c>
      <c r="J49" s="3" t="s">
        <v>41</v>
      </c>
      <c r="K49" s="3" t="s">
        <v>14</v>
      </c>
      <c r="L49" s="3" t="s">
        <v>44</v>
      </c>
      <c r="M49">
        <v>1</v>
      </c>
    </row>
    <row r="50" spans="1:13" x14ac:dyDescent="0.25">
      <c r="A50" s="2">
        <v>46176</v>
      </c>
      <c r="B50" s="1" t="str">
        <f ca="1">IF(Información1[[#This Row],[Fecha]]='Ajuste de fechas'!$A$2,"Día actual","Día anterior")</f>
        <v>Día anterior</v>
      </c>
      <c r="C50" s="3" t="s">
        <v>28</v>
      </c>
      <c r="D50" t="s">
        <v>120</v>
      </c>
      <c r="E50" s="3" t="s">
        <v>158</v>
      </c>
      <c r="F50" s="3" t="s">
        <v>70</v>
      </c>
      <c r="G50" s="3" t="s">
        <v>84</v>
      </c>
      <c r="H50" s="3" t="s">
        <v>11</v>
      </c>
      <c r="I50" s="3" t="s">
        <v>7</v>
      </c>
      <c r="J50" s="3" t="s">
        <v>41</v>
      </c>
      <c r="K50" s="3" t="s">
        <v>123</v>
      </c>
      <c r="L50" s="3" t="s">
        <v>44</v>
      </c>
      <c r="M50">
        <v>1</v>
      </c>
    </row>
    <row r="51" spans="1:13" x14ac:dyDescent="0.25">
      <c r="A51" s="2">
        <v>46176</v>
      </c>
      <c r="B51" s="1" t="str">
        <f ca="1">IF(Información1[[#This Row],[Fecha]]='Ajuste de fechas'!$A$2,"Día actual","Día anterior")</f>
        <v>Día anterior</v>
      </c>
      <c r="C51" s="3" t="s">
        <v>8</v>
      </c>
      <c r="D51" t="s">
        <v>10</v>
      </c>
      <c r="E51" s="3" t="s">
        <v>159</v>
      </c>
      <c r="F51" s="3" t="s">
        <v>19</v>
      </c>
      <c r="G51" s="3" t="s">
        <v>84</v>
      </c>
      <c r="H51" s="3" t="s">
        <v>11</v>
      </c>
      <c r="I51" s="3" t="s">
        <v>7</v>
      </c>
      <c r="J51" s="3" t="s">
        <v>45</v>
      </c>
      <c r="K51" s="3" t="s">
        <v>14</v>
      </c>
      <c r="L51" s="3" t="s">
        <v>42</v>
      </c>
      <c r="M51">
        <v>1</v>
      </c>
    </row>
    <row r="52" spans="1:13" x14ac:dyDescent="0.25">
      <c r="A52" s="2">
        <v>46176</v>
      </c>
      <c r="B52" s="1" t="str">
        <f ca="1">IF(Información1[[#This Row],[Fecha]]='Ajuste de fechas'!$A$2,"Día actual","Día anterior")</f>
        <v>Día anterior</v>
      </c>
      <c r="C52" s="3" t="s">
        <v>8</v>
      </c>
      <c r="D52" t="s">
        <v>10</v>
      </c>
      <c r="E52" s="3" t="s">
        <v>160</v>
      </c>
      <c r="F52" s="3" t="s">
        <v>19</v>
      </c>
      <c r="G52" s="3" t="s">
        <v>84</v>
      </c>
      <c r="H52" s="3" t="s">
        <v>11</v>
      </c>
      <c r="I52" s="3" t="s">
        <v>7</v>
      </c>
      <c r="J52" s="3" t="s">
        <v>45</v>
      </c>
      <c r="K52" s="3" t="s">
        <v>14</v>
      </c>
      <c r="L52" s="3" t="s">
        <v>42</v>
      </c>
      <c r="M52">
        <v>1</v>
      </c>
    </row>
    <row r="53" spans="1:13" x14ac:dyDescent="0.25">
      <c r="A53" s="2">
        <v>46176</v>
      </c>
      <c r="B53" s="1" t="str">
        <f ca="1">IF(Información1[[#This Row],[Fecha]]='Ajuste de fechas'!$A$2,"Día actual","Día anterior")</f>
        <v>Día anterior</v>
      </c>
      <c r="C53" s="3" t="s">
        <v>8</v>
      </c>
      <c r="D53" t="s">
        <v>10</v>
      </c>
      <c r="E53" s="3" t="s">
        <v>161</v>
      </c>
      <c r="F53" s="3" t="s">
        <v>21</v>
      </c>
      <c r="G53" s="3" t="s">
        <v>162</v>
      </c>
      <c r="H53" s="3" t="s">
        <v>11</v>
      </c>
      <c r="I53" s="3" t="s">
        <v>25</v>
      </c>
      <c r="J53" s="3" t="s">
        <v>41</v>
      </c>
      <c r="K53" s="3" t="s">
        <v>9</v>
      </c>
      <c r="L53" s="3" t="s">
        <v>43</v>
      </c>
      <c r="M53">
        <v>1</v>
      </c>
    </row>
    <row r="54" spans="1:13" x14ac:dyDescent="0.25">
      <c r="A54" s="2">
        <v>46176</v>
      </c>
      <c r="B54" s="1" t="str">
        <f ca="1">IF(Información1[[#This Row],[Fecha]]='Ajuste de fechas'!$A$2,"Día actual","Día anterior")</f>
        <v>Día anterior</v>
      </c>
      <c r="C54" s="3" t="s">
        <v>8</v>
      </c>
      <c r="D54" t="s">
        <v>10</v>
      </c>
      <c r="E54" s="3" t="s">
        <v>163</v>
      </c>
      <c r="F54" s="3" t="s">
        <v>19</v>
      </c>
      <c r="G54" s="3" t="s">
        <v>164</v>
      </c>
      <c r="H54" s="3" t="s">
        <v>11</v>
      </c>
      <c r="I54" s="3" t="s">
        <v>7</v>
      </c>
      <c r="J54" s="3" t="s">
        <v>45</v>
      </c>
      <c r="K54" s="3" t="s">
        <v>9</v>
      </c>
      <c r="L54" s="3" t="s">
        <v>43</v>
      </c>
      <c r="M54">
        <v>1</v>
      </c>
    </row>
    <row r="55" spans="1:13" x14ac:dyDescent="0.25">
      <c r="A55" s="2">
        <v>46176</v>
      </c>
      <c r="B55" s="1" t="str">
        <f ca="1">IF(Información1[[#This Row],[Fecha]]='Ajuste de fechas'!$A$2,"Día actual","Día anterior")</f>
        <v>Día anterior</v>
      </c>
      <c r="C55" s="3" t="s">
        <v>28</v>
      </c>
      <c r="D55" t="s">
        <v>120</v>
      </c>
      <c r="E55" s="3" t="s">
        <v>165</v>
      </c>
      <c r="F55" s="3" t="s">
        <v>166</v>
      </c>
      <c r="G55" s="3" t="s">
        <v>167</v>
      </c>
      <c r="H55" s="3" t="s">
        <v>11</v>
      </c>
      <c r="I55" s="3" t="s">
        <v>7</v>
      </c>
      <c r="J55" s="3" t="s">
        <v>41</v>
      </c>
      <c r="K55" s="3" t="s">
        <v>123</v>
      </c>
      <c r="L55" s="3" t="s">
        <v>42</v>
      </c>
      <c r="M55">
        <v>1</v>
      </c>
    </row>
    <row r="56" spans="1:13" x14ac:dyDescent="0.25">
      <c r="A56" s="2">
        <v>46176</v>
      </c>
      <c r="B56" s="1" t="str">
        <f ca="1">IF(Información1[[#This Row],[Fecha]]='Ajuste de fechas'!$A$2,"Día actual","Día anterior")</f>
        <v>Día anterior</v>
      </c>
      <c r="C56" s="3" t="s">
        <v>28</v>
      </c>
      <c r="D56" t="s">
        <v>120</v>
      </c>
      <c r="E56" s="3" t="s">
        <v>165</v>
      </c>
      <c r="F56" s="3" t="s">
        <v>19</v>
      </c>
      <c r="G56" s="3" t="s">
        <v>167</v>
      </c>
      <c r="H56" s="3" t="s">
        <v>11</v>
      </c>
      <c r="I56" s="3" t="s">
        <v>7</v>
      </c>
      <c r="J56" s="3" t="s">
        <v>45</v>
      </c>
      <c r="K56" s="3" t="s">
        <v>123</v>
      </c>
      <c r="L56" s="3" t="s">
        <v>42</v>
      </c>
      <c r="M56">
        <v>1</v>
      </c>
    </row>
    <row r="57" spans="1:13" x14ac:dyDescent="0.25">
      <c r="A57" s="2">
        <v>46176</v>
      </c>
      <c r="B57" s="1" t="str">
        <f ca="1">IF(Información1[[#This Row],[Fecha]]='Ajuste de fechas'!$A$2,"Día actual","Día anterior")</f>
        <v>Día anterior</v>
      </c>
      <c r="C57" s="3" t="s">
        <v>8</v>
      </c>
      <c r="D57" t="s">
        <v>10</v>
      </c>
      <c r="E57" s="3" t="s">
        <v>168</v>
      </c>
      <c r="F57" s="3" t="s">
        <v>60</v>
      </c>
      <c r="G57" s="3" t="s">
        <v>107</v>
      </c>
      <c r="H57" s="3" t="s">
        <v>11</v>
      </c>
      <c r="I57" s="3" t="s">
        <v>7</v>
      </c>
      <c r="J57" s="3" t="s">
        <v>24</v>
      </c>
      <c r="K57" s="3" t="s">
        <v>14</v>
      </c>
      <c r="L57" s="3" t="s">
        <v>42</v>
      </c>
      <c r="M57">
        <v>1</v>
      </c>
    </row>
    <row r="58" spans="1:13" x14ac:dyDescent="0.25">
      <c r="A58" s="2">
        <v>46176</v>
      </c>
      <c r="B58" s="1" t="str">
        <f ca="1">IF(Información1[[#This Row],[Fecha]]='Ajuste de fechas'!$A$2,"Día actual","Día anterior")</f>
        <v>Día anterior</v>
      </c>
      <c r="C58" s="3" t="s">
        <v>28</v>
      </c>
      <c r="D58" t="s">
        <v>120</v>
      </c>
      <c r="E58" s="3" t="s">
        <v>169</v>
      </c>
      <c r="F58" s="3" t="s">
        <v>19</v>
      </c>
      <c r="G58" s="3" t="s">
        <v>103</v>
      </c>
      <c r="H58" s="3" t="s">
        <v>11</v>
      </c>
      <c r="I58" s="3" t="s">
        <v>7</v>
      </c>
      <c r="J58" s="3" t="s">
        <v>45</v>
      </c>
      <c r="K58" s="3" t="s">
        <v>123</v>
      </c>
      <c r="L58" s="3" t="s">
        <v>42</v>
      </c>
      <c r="M58">
        <v>1</v>
      </c>
    </row>
    <row r="59" spans="1:13" x14ac:dyDescent="0.25">
      <c r="A59" s="2">
        <v>46176</v>
      </c>
      <c r="B59" s="1" t="str">
        <f ca="1">IF(Información1[[#This Row],[Fecha]]='Ajuste de fechas'!$A$2,"Día actual","Día anterior")</f>
        <v>Día anterior</v>
      </c>
      <c r="C59" s="3" t="s">
        <v>28</v>
      </c>
      <c r="D59" t="s">
        <v>30</v>
      </c>
      <c r="E59" s="3" t="s">
        <v>170</v>
      </c>
      <c r="F59" s="3" t="s">
        <v>19</v>
      </c>
      <c r="G59" s="3" t="s">
        <v>103</v>
      </c>
      <c r="H59" s="3" t="s">
        <v>11</v>
      </c>
      <c r="I59" s="3" t="s">
        <v>7</v>
      </c>
      <c r="J59" s="3" t="s">
        <v>45</v>
      </c>
      <c r="K59" s="3" t="s">
        <v>29</v>
      </c>
      <c r="L59" s="3" t="s">
        <v>42</v>
      </c>
      <c r="M59">
        <v>1</v>
      </c>
    </row>
    <row r="60" spans="1:13" x14ac:dyDescent="0.25">
      <c r="A60" s="2">
        <v>46176</v>
      </c>
      <c r="B60" s="1" t="str">
        <f ca="1">IF(Información1[[#This Row],[Fecha]]='Ajuste de fechas'!$A$2,"Día actual","Día anterior")</f>
        <v>Día anterior</v>
      </c>
      <c r="C60" s="3" t="s">
        <v>28</v>
      </c>
      <c r="D60" t="s">
        <v>30</v>
      </c>
      <c r="E60" s="3" t="s">
        <v>171</v>
      </c>
      <c r="F60" s="3" t="s">
        <v>19</v>
      </c>
      <c r="G60" s="3" t="s">
        <v>103</v>
      </c>
      <c r="H60" s="3" t="s">
        <v>11</v>
      </c>
      <c r="I60" s="3" t="s">
        <v>25</v>
      </c>
      <c r="J60" s="3" t="s">
        <v>45</v>
      </c>
      <c r="K60" s="3" t="s">
        <v>29</v>
      </c>
      <c r="L60" s="3" t="s">
        <v>42</v>
      </c>
      <c r="M60">
        <v>1</v>
      </c>
    </row>
    <row r="61" spans="1:13" x14ac:dyDescent="0.25">
      <c r="A61" s="2">
        <v>46176</v>
      </c>
      <c r="B61" s="1" t="str">
        <f ca="1">IF(Información1[[#This Row],[Fecha]]='Ajuste de fechas'!$A$2,"Día actual","Día anterior")</f>
        <v>Día anterior</v>
      </c>
      <c r="C61" s="3" t="s">
        <v>8</v>
      </c>
      <c r="D61" t="s">
        <v>10</v>
      </c>
      <c r="E61" s="3" t="s">
        <v>172</v>
      </c>
      <c r="F61" s="3" t="s">
        <v>22</v>
      </c>
      <c r="G61" s="3" t="s">
        <v>173</v>
      </c>
      <c r="H61" s="3" t="s">
        <v>11</v>
      </c>
      <c r="I61" s="3" t="s">
        <v>7</v>
      </c>
      <c r="J61" s="3" t="s">
        <v>46</v>
      </c>
      <c r="K61" s="3" t="s">
        <v>9</v>
      </c>
      <c r="L61" s="3" t="s">
        <v>43</v>
      </c>
      <c r="M61">
        <v>1</v>
      </c>
    </row>
    <row r="62" spans="1:13" x14ac:dyDescent="0.25">
      <c r="A62" s="2">
        <v>46176</v>
      </c>
      <c r="B62" s="1" t="str">
        <f ca="1">IF(Información1[[#This Row],[Fecha]]='Ajuste de fechas'!$A$2,"Día actual","Día anterior")</f>
        <v>Día anterior</v>
      </c>
      <c r="C62" s="3" t="s">
        <v>8</v>
      </c>
      <c r="D62" t="s">
        <v>10</v>
      </c>
      <c r="E62" s="3" t="s">
        <v>174</v>
      </c>
      <c r="F62" s="3" t="s">
        <v>19</v>
      </c>
      <c r="G62" s="3" t="s">
        <v>175</v>
      </c>
      <c r="H62" s="3" t="s">
        <v>11</v>
      </c>
      <c r="I62" s="3" t="s">
        <v>7</v>
      </c>
      <c r="J62" s="3" t="s">
        <v>45</v>
      </c>
      <c r="K62" s="3" t="s">
        <v>14</v>
      </c>
      <c r="L62" s="3" t="s">
        <v>62</v>
      </c>
      <c r="M62">
        <v>1</v>
      </c>
    </row>
    <row r="63" spans="1:13" x14ac:dyDescent="0.25">
      <c r="A63" s="2">
        <v>46176</v>
      </c>
      <c r="B63" s="1" t="str">
        <f ca="1">IF(Información1[[#This Row],[Fecha]]='Ajuste de fechas'!$A$2,"Día actual","Día anterior")</f>
        <v>Día anterior</v>
      </c>
      <c r="C63" s="3" t="s">
        <v>28</v>
      </c>
      <c r="D63" t="s">
        <v>120</v>
      </c>
      <c r="E63" s="3" t="s">
        <v>176</v>
      </c>
      <c r="F63" s="3" t="s">
        <v>19</v>
      </c>
      <c r="G63" s="3" t="s">
        <v>177</v>
      </c>
      <c r="H63" s="3" t="s">
        <v>11</v>
      </c>
      <c r="I63" s="3" t="s">
        <v>7</v>
      </c>
      <c r="J63" s="3" t="s">
        <v>45</v>
      </c>
      <c r="K63" s="3" t="s">
        <v>123</v>
      </c>
      <c r="L63" s="3" t="s">
        <v>42</v>
      </c>
      <c r="M63">
        <v>1</v>
      </c>
    </row>
    <row r="64" spans="1:13" x14ac:dyDescent="0.25">
      <c r="A64" s="2">
        <v>46176</v>
      </c>
      <c r="B64" s="1" t="str">
        <f ca="1">IF(Información1[[#This Row],[Fecha]]='Ajuste de fechas'!$A$2,"Día actual","Día anterior")</f>
        <v>Día anterior</v>
      </c>
      <c r="C64" s="3" t="s">
        <v>28</v>
      </c>
      <c r="D64" t="s">
        <v>120</v>
      </c>
      <c r="E64" s="3" t="s">
        <v>178</v>
      </c>
      <c r="F64" s="3" t="s">
        <v>179</v>
      </c>
      <c r="G64" s="3" t="s">
        <v>180</v>
      </c>
      <c r="H64" s="3" t="s">
        <v>11</v>
      </c>
      <c r="I64" s="3" t="s">
        <v>7</v>
      </c>
      <c r="J64" s="3" t="s">
        <v>181</v>
      </c>
      <c r="K64" s="3" t="s">
        <v>123</v>
      </c>
      <c r="L64" s="3" t="s">
        <v>42</v>
      </c>
      <c r="M64">
        <v>1</v>
      </c>
    </row>
    <row r="65" spans="1:13" x14ac:dyDescent="0.25">
      <c r="A65" s="2">
        <v>46176</v>
      </c>
      <c r="B65" s="1" t="str">
        <f ca="1">IF(Información1[[#This Row],[Fecha]]='Ajuste de fechas'!$A$2,"Día actual","Día anterior")</f>
        <v>Día anterior</v>
      </c>
      <c r="C65" s="3" t="s">
        <v>8</v>
      </c>
      <c r="D65" t="s">
        <v>10</v>
      </c>
      <c r="E65" s="3" t="s">
        <v>182</v>
      </c>
      <c r="F65" s="3" t="s">
        <v>19</v>
      </c>
      <c r="G65" s="3" t="s">
        <v>77</v>
      </c>
      <c r="H65" s="3" t="s">
        <v>11</v>
      </c>
      <c r="I65" s="3" t="s">
        <v>25</v>
      </c>
      <c r="J65" s="3" t="s">
        <v>45</v>
      </c>
      <c r="K65" s="3" t="s">
        <v>9</v>
      </c>
      <c r="L65" s="3" t="s">
        <v>43</v>
      </c>
      <c r="M65">
        <v>1</v>
      </c>
    </row>
    <row r="66" spans="1:13" x14ac:dyDescent="0.25">
      <c r="A66" s="2">
        <v>46176</v>
      </c>
      <c r="B66" s="1" t="str">
        <f ca="1">IF(Información1[[#This Row],[Fecha]]='Ajuste de fechas'!$A$2,"Día actual","Día anterior")</f>
        <v>Día anterior</v>
      </c>
      <c r="C66" s="3" t="s">
        <v>28</v>
      </c>
      <c r="D66" t="s">
        <v>30</v>
      </c>
      <c r="E66" s="3" t="s">
        <v>183</v>
      </c>
      <c r="F66" s="3" t="s">
        <v>17</v>
      </c>
      <c r="G66" s="3" t="s">
        <v>184</v>
      </c>
      <c r="H66" s="3" t="s">
        <v>11</v>
      </c>
      <c r="I66" s="3" t="s">
        <v>7</v>
      </c>
      <c r="J66" s="3" t="s">
        <v>41</v>
      </c>
      <c r="K66" s="3" t="s">
        <v>29</v>
      </c>
      <c r="L66" s="3" t="s">
        <v>42</v>
      </c>
      <c r="M66">
        <v>1</v>
      </c>
    </row>
    <row r="67" spans="1:13" x14ac:dyDescent="0.25">
      <c r="A67" s="2">
        <v>46176</v>
      </c>
      <c r="B67" s="1" t="str">
        <f ca="1">IF(Información1[[#This Row],[Fecha]]='Ajuste de fechas'!$A$2,"Día actual","Día anterior")</f>
        <v>Día anterior</v>
      </c>
      <c r="C67" s="3" t="s">
        <v>28</v>
      </c>
      <c r="D67" t="s">
        <v>30</v>
      </c>
      <c r="E67" s="3" t="s">
        <v>185</v>
      </c>
      <c r="F67" s="3" t="s">
        <v>22</v>
      </c>
      <c r="G67" s="3" t="s">
        <v>83</v>
      </c>
      <c r="H67" s="3" t="s">
        <v>11</v>
      </c>
      <c r="I67" s="3" t="s">
        <v>7</v>
      </c>
      <c r="J67" s="3" t="s">
        <v>46</v>
      </c>
      <c r="K67" s="3" t="s">
        <v>29</v>
      </c>
      <c r="L67" s="3" t="s">
        <v>42</v>
      </c>
      <c r="M67">
        <v>1</v>
      </c>
    </row>
    <row r="68" spans="1:13" x14ac:dyDescent="0.25">
      <c r="A68" s="2">
        <v>46176</v>
      </c>
      <c r="B68" s="1" t="str">
        <f ca="1">IF(Información1[[#This Row],[Fecha]]='Ajuste de fechas'!$A$2,"Día actual","Día anterior")</f>
        <v>Día anterior</v>
      </c>
      <c r="C68" s="3" t="s">
        <v>28</v>
      </c>
      <c r="D68" t="s">
        <v>120</v>
      </c>
      <c r="E68" s="3" t="s">
        <v>186</v>
      </c>
      <c r="F68" s="3" t="s">
        <v>33</v>
      </c>
      <c r="G68" s="3" t="s">
        <v>187</v>
      </c>
      <c r="H68" s="3" t="s">
        <v>11</v>
      </c>
      <c r="I68" s="3" t="s">
        <v>7</v>
      </c>
      <c r="J68" s="3" t="s">
        <v>41</v>
      </c>
      <c r="K68" s="3" t="s">
        <v>123</v>
      </c>
      <c r="L68" s="3" t="s">
        <v>44</v>
      </c>
      <c r="M68">
        <v>1</v>
      </c>
    </row>
    <row r="69" spans="1:13" x14ac:dyDescent="0.25">
      <c r="A69" s="2">
        <v>46176</v>
      </c>
      <c r="B69" s="1" t="str">
        <f ca="1">IF(Información1[[#This Row],[Fecha]]='Ajuste de fechas'!$A$2,"Día actual","Día anterior")</f>
        <v>Día anterior</v>
      </c>
      <c r="C69" s="3" t="s">
        <v>133</v>
      </c>
      <c r="D69" t="s">
        <v>134</v>
      </c>
      <c r="E69" s="3" t="s">
        <v>186</v>
      </c>
      <c r="F69" s="3" t="s">
        <v>33</v>
      </c>
      <c r="G69" s="3" t="s">
        <v>187</v>
      </c>
      <c r="H69" s="3" t="s">
        <v>11</v>
      </c>
      <c r="I69" s="3" t="s">
        <v>7</v>
      </c>
      <c r="J69" s="3" t="s">
        <v>41</v>
      </c>
      <c r="K69" s="3" t="s">
        <v>136</v>
      </c>
      <c r="L69" s="3" t="s">
        <v>44</v>
      </c>
      <c r="M69">
        <v>1</v>
      </c>
    </row>
    <row r="70" spans="1:13" x14ac:dyDescent="0.25">
      <c r="A70" s="2">
        <v>46176</v>
      </c>
      <c r="B70" s="1" t="str">
        <f ca="1">IF(Información1[[#This Row],[Fecha]]='Ajuste de fechas'!$A$2,"Día actual","Día anterior")</f>
        <v>Día anterior</v>
      </c>
      <c r="C70" s="3" t="s">
        <v>8</v>
      </c>
      <c r="D70" t="s">
        <v>10</v>
      </c>
      <c r="E70" s="3" t="s">
        <v>188</v>
      </c>
      <c r="F70" s="3" t="s">
        <v>33</v>
      </c>
      <c r="G70" s="3" t="s">
        <v>187</v>
      </c>
      <c r="H70" s="3" t="s">
        <v>11</v>
      </c>
      <c r="I70" s="3" t="s">
        <v>7</v>
      </c>
      <c r="J70" s="3" t="s">
        <v>41</v>
      </c>
      <c r="K70" s="3" t="s">
        <v>14</v>
      </c>
      <c r="L70" s="3" t="s">
        <v>44</v>
      </c>
      <c r="M70">
        <v>1</v>
      </c>
    </row>
    <row r="71" spans="1:13" x14ac:dyDescent="0.25">
      <c r="A71" s="2">
        <v>46176</v>
      </c>
      <c r="B71" s="1" t="str">
        <f ca="1">IF(Información1[[#This Row],[Fecha]]='Ajuste de fechas'!$A$2,"Día actual","Día anterior")</f>
        <v>Día anterior</v>
      </c>
      <c r="C71" s="3" t="s">
        <v>28</v>
      </c>
      <c r="D71" t="s">
        <v>120</v>
      </c>
      <c r="E71" s="3" t="s">
        <v>111</v>
      </c>
      <c r="F71" s="3" t="s">
        <v>61</v>
      </c>
      <c r="G71" s="3" t="s">
        <v>112</v>
      </c>
      <c r="H71" s="3" t="s">
        <v>11</v>
      </c>
      <c r="I71" s="3" t="s">
        <v>7</v>
      </c>
      <c r="J71" s="3" t="s">
        <v>41</v>
      </c>
      <c r="K71" s="3" t="s">
        <v>123</v>
      </c>
      <c r="L71" s="3" t="s">
        <v>44</v>
      </c>
      <c r="M71">
        <v>1</v>
      </c>
    </row>
    <row r="72" spans="1:13" x14ac:dyDescent="0.25">
      <c r="A72" s="2">
        <v>46176</v>
      </c>
      <c r="B72" s="1" t="str">
        <f ca="1">IF(Información1[[#This Row],[Fecha]]='Ajuste de fechas'!$A$2,"Día actual","Día anterior")</f>
        <v>Día anterior</v>
      </c>
      <c r="C72" s="3" t="s">
        <v>28</v>
      </c>
      <c r="D72" t="s">
        <v>30</v>
      </c>
      <c r="E72" s="3" t="s">
        <v>189</v>
      </c>
      <c r="F72" s="3" t="s">
        <v>61</v>
      </c>
      <c r="G72" s="3" t="s">
        <v>112</v>
      </c>
      <c r="H72" s="3" t="s">
        <v>11</v>
      </c>
      <c r="I72" s="3" t="s">
        <v>7</v>
      </c>
      <c r="J72" s="3" t="s">
        <v>41</v>
      </c>
      <c r="K72" s="3" t="s">
        <v>29</v>
      </c>
      <c r="L72" s="3" t="s">
        <v>42</v>
      </c>
      <c r="M72">
        <v>1</v>
      </c>
    </row>
    <row r="73" spans="1:13" x14ac:dyDescent="0.25">
      <c r="A73" s="2">
        <v>46176</v>
      </c>
      <c r="B73" s="1" t="str">
        <f ca="1">IF(Información1[[#This Row],[Fecha]]='Ajuste de fechas'!$A$2,"Día actual","Día anterior")</f>
        <v>Día anterior</v>
      </c>
      <c r="C73" s="3" t="s">
        <v>28</v>
      </c>
      <c r="D73" t="s">
        <v>120</v>
      </c>
      <c r="E73" s="3" t="s">
        <v>190</v>
      </c>
      <c r="F73" s="3" t="s">
        <v>19</v>
      </c>
      <c r="G73" s="3" t="s">
        <v>191</v>
      </c>
      <c r="H73" s="3" t="s">
        <v>11</v>
      </c>
      <c r="I73" s="3" t="s">
        <v>7</v>
      </c>
      <c r="J73" s="3" t="s">
        <v>45</v>
      </c>
      <c r="K73" s="3" t="s">
        <v>123</v>
      </c>
      <c r="L73" s="3" t="s">
        <v>42</v>
      </c>
      <c r="M73">
        <v>1</v>
      </c>
    </row>
    <row r="74" spans="1:13" x14ac:dyDescent="0.25">
      <c r="A74" s="2">
        <v>46176</v>
      </c>
      <c r="B74" s="1" t="str">
        <f ca="1">IF(Información1[[#This Row],[Fecha]]='Ajuste de fechas'!$A$2,"Día actual","Día anterior")</f>
        <v>Día anterior</v>
      </c>
      <c r="C74" s="3" t="s">
        <v>28</v>
      </c>
      <c r="D74" t="s">
        <v>120</v>
      </c>
      <c r="E74" s="3" t="s">
        <v>192</v>
      </c>
      <c r="F74" s="3" t="s">
        <v>24</v>
      </c>
      <c r="G74" s="3" t="s">
        <v>191</v>
      </c>
      <c r="H74" s="3" t="s">
        <v>11</v>
      </c>
      <c r="I74" s="3" t="s">
        <v>7</v>
      </c>
      <c r="J74" s="3" t="s">
        <v>24</v>
      </c>
      <c r="K74" s="3" t="s">
        <v>123</v>
      </c>
      <c r="L74" s="3" t="s">
        <v>42</v>
      </c>
      <c r="M74">
        <v>1</v>
      </c>
    </row>
    <row r="75" spans="1:13" x14ac:dyDescent="0.25">
      <c r="A75" s="2">
        <v>46176</v>
      </c>
      <c r="B75" s="1" t="str">
        <f ca="1">IF(Información1[[#This Row],[Fecha]]='Ajuste de fechas'!$A$2,"Día actual","Día anterior")</f>
        <v>Día anterior</v>
      </c>
      <c r="C75" s="3" t="s">
        <v>8</v>
      </c>
      <c r="D75" t="s">
        <v>10</v>
      </c>
      <c r="E75" s="3" t="s">
        <v>193</v>
      </c>
      <c r="F75" s="3" t="s">
        <v>6</v>
      </c>
      <c r="G75" s="3" t="s">
        <v>194</v>
      </c>
      <c r="H75" s="3" t="s">
        <v>11</v>
      </c>
      <c r="I75" s="3" t="s">
        <v>25</v>
      </c>
      <c r="J75" s="3" t="s">
        <v>41</v>
      </c>
      <c r="K75" s="3" t="s">
        <v>9</v>
      </c>
      <c r="L75" s="3" t="s">
        <v>43</v>
      </c>
      <c r="M75">
        <v>1</v>
      </c>
    </row>
    <row r="76" spans="1:13" x14ac:dyDescent="0.25">
      <c r="A76" s="2">
        <v>46176</v>
      </c>
      <c r="B76" s="1" t="str">
        <f ca="1">IF(Información1[[#This Row],[Fecha]]='Ajuste de fechas'!$A$2,"Día actual","Día anterior")</f>
        <v>Día anterior</v>
      </c>
      <c r="C76" s="3" t="s">
        <v>28</v>
      </c>
      <c r="D76" t="s">
        <v>120</v>
      </c>
      <c r="E76" s="3" t="s">
        <v>195</v>
      </c>
      <c r="F76" s="3" t="s">
        <v>22</v>
      </c>
      <c r="G76" s="3" t="s">
        <v>88</v>
      </c>
      <c r="H76" s="3" t="s">
        <v>11</v>
      </c>
      <c r="I76" s="3" t="s">
        <v>7</v>
      </c>
      <c r="J76" s="3" t="s">
        <v>46</v>
      </c>
      <c r="K76" s="3" t="s">
        <v>123</v>
      </c>
      <c r="L76" s="3" t="s">
        <v>42</v>
      </c>
      <c r="M76">
        <v>1</v>
      </c>
    </row>
    <row r="77" spans="1:13" x14ac:dyDescent="0.25">
      <c r="A77" s="2">
        <v>46176</v>
      </c>
      <c r="B77" s="1" t="str">
        <f ca="1">IF(Información1[[#This Row],[Fecha]]='Ajuste de fechas'!$A$2,"Día actual","Día anterior")</f>
        <v>Día anterior</v>
      </c>
      <c r="C77" s="3" t="s">
        <v>71</v>
      </c>
      <c r="D77" t="s">
        <v>72</v>
      </c>
      <c r="E77" s="3" t="s">
        <v>196</v>
      </c>
      <c r="F77" s="3" t="s">
        <v>19</v>
      </c>
      <c r="G77" s="3" t="s">
        <v>197</v>
      </c>
      <c r="H77" s="3" t="s">
        <v>11</v>
      </c>
      <c r="I77" s="3" t="s">
        <v>7</v>
      </c>
      <c r="J77" s="3" t="s">
        <v>45</v>
      </c>
      <c r="K77" s="3" t="s">
        <v>73</v>
      </c>
      <c r="L77" s="3" t="s">
        <v>42</v>
      </c>
      <c r="M77">
        <v>1</v>
      </c>
    </row>
    <row r="78" spans="1:13" x14ac:dyDescent="0.25">
      <c r="A78" s="2">
        <v>46176</v>
      </c>
      <c r="B78" s="1" t="str">
        <f ca="1">IF(Información1[[#This Row],[Fecha]]='Ajuste de fechas'!$A$2,"Día actual","Día anterior")</f>
        <v>Día anterior</v>
      </c>
      <c r="C78" s="3" t="s">
        <v>71</v>
      </c>
      <c r="D78" t="s">
        <v>72</v>
      </c>
      <c r="E78" s="3" t="s">
        <v>198</v>
      </c>
      <c r="F78" s="3" t="s">
        <v>51</v>
      </c>
      <c r="G78" s="3" t="s">
        <v>63</v>
      </c>
      <c r="H78" s="3" t="s">
        <v>11</v>
      </c>
      <c r="I78" s="3" t="s">
        <v>25</v>
      </c>
      <c r="J78" s="3" t="s">
        <v>41</v>
      </c>
      <c r="K78" s="3" t="s">
        <v>73</v>
      </c>
      <c r="L78" s="3" t="s">
        <v>42</v>
      </c>
      <c r="M78">
        <v>1</v>
      </c>
    </row>
    <row r="79" spans="1:13" x14ac:dyDescent="0.25">
      <c r="A79" s="2">
        <v>46176</v>
      </c>
      <c r="B79" s="1" t="str">
        <f ca="1">IF(Información1[[#This Row],[Fecha]]='Ajuste de fechas'!$A$2,"Día actual","Día anterior")</f>
        <v>Día anterior</v>
      </c>
      <c r="C79" s="3" t="s">
        <v>71</v>
      </c>
      <c r="D79" t="s">
        <v>72</v>
      </c>
      <c r="E79" s="3" t="s">
        <v>199</v>
      </c>
      <c r="F79" s="3" t="s">
        <v>60</v>
      </c>
      <c r="G79" s="3" t="s">
        <v>200</v>
      </c>
      <c r="H79" s="3" t="s">
        <v>11</v>
      </c>
      <c r="I79" s="3" t="s">
        <v>7</v>
      </c>
      <c r="J79" s="3" t="s">
        <v>24</v>
      </c>
      <c r="K79" s="3" t="s">
        <v>73</v>
      </c>
      <c r="L79" s="3" t="s">
        <v>42</v>
      </c>
      <c r="M79">
        <v>1</v>
      </c>
    </row>
    <row r="80" spans="1:13" x14ac:dyDescent="0.25">
      <c r="A80" s="2">
        <v>46176</v>
      </c>
      <c r="B80" s="1" t="str">
        <f ca="1">IF(Información1[[#This Row],[Fecha]]='Ajuste de fechas'!$A$2,"Día actual","Día anterior")</f>
        <v>Día anterior</v>
      </c>
      <c r="C80" s="3" t="s">
        <v>71</v>
      </c>
      <c r="D80" t="s">
        <v>72</v>
      </c>
      <c r="E80" s="3" t="s">
        <v>201</v>
      </c>
      <c r="F80" s="3" t="s">
        <v>75</v>
      </c>
      <c r="G80" s="3" t="s">
        <v>191</v>
      </c>
      <c r="H80" s="3" t="s">
        <v>11</v>
      </c>
      <c r="I80" s="3" t="s">
        <v>7</v>
      </c>
      <c r="J80" s="3" t="s">
        <v>24</v>
      </c>
      <c r="K80" s="3" t="s">
        <v>73</v>
      </c>
      <c r="L80" s="3" t="s">
        <v>42</v>
      </c>
      <c r="M80">
        <v>1</v>
      </c>
    </row>
    <row r="81" spans="1:13" x14ac:dyDescent="0.25">
      <c r="A81" s="2">
        <v>46176</v>
      </c>
      <c r="B81" s="1" t="str">
        <f ca="1">IF(Información1[[#This Row],[Fecha]]='Ajuste de fechas'!$A$2,"Día actual","Día anterior")</f>
        <v>Día anterior</v>
      </c>
      <c r="C81" s="3" t="s">
        <v>71</v>
      </c>
      <c r="D81" t="s">
        <v>72</v>
      </c>
      <c r="E81" s="3" t="s">
        <v>202</v>
      </c>
      <c r="F81" s="3" t="s">
        <v>19</v>
      </c>
      <c r="G81" s="3" t="s">
        <v>203</v>
      </c>
      <c r="H81" s="3" t="s">
        <v>11</v>
      </c>
      <c r="I81" s="3" t="s">
        <v>12</v>
      </c>
      <c r="J81" s="3" t="s">
        <v>45</v>
      </c>
      <c r="K81" s="3" t="s">
        <v>73</v>
      </c>
      <c r="L81" s="3" t="s">
        <v>42</v>
      </c>
      <c r="M81">
        <v>1</v>
      </c>
    </row>
    <row r="82" spans="1:13" x14ac:dyDescent="0.25">
      <c r="A82" s="2">
        <v>46176</v>
      </c>
      <c r="B82" s="1" t="str">
        <f ca="1">IF(Información1[[#This Row],[Fecha]]='Ajuste de fechas'!$A$2,"Día actual","Día anterior")</f>
        <v>Día anterior</v>
      </c>
      <c r="C82" s="3" t="s">
        <v>71</v>
      </c>
      <c r="D82" t="s">
        <v>72</v>
      </c>
      <c r="E82" s="3" t="s">
        <v>204</v>
      </c>
      <c r="F82" s="3" t="s">
        <v>19</v>
      </c>
      <c r="G82" s="3" t="s">
        <v>205</v>
      </c>
      <c r="H82" s="3" t="s">
        <v>11</v>
      </c>
      <c r="I82" s="3" t="s">
        <v>7</v>
      </c>
      <c r="J82" s="3" t="s">
        <v>45</v>
      </c>
      <c r="K82" s="3" t="s">
        <v>73</v>
      </c>
      <c r="L82" s="3" t="s">
        <v>42</v>
      </c>
      <c r="M82">
        <v>1</v>
      </c>
    </row>
    <row r="83" spans="1:13" x14ac:dyDescent="0.25">
      <c r="A83" s="2">
        <v>46176</v>
      </c>
      <c r="B83" s="1" t="str">
        <f ca="1">IF(Información1[[#This Row],[Fecha]]='Ajuste de fechas'!$A$2,"Día actual","Día anterior")</f>
        <v>Día anterior</v>
      </c>
      <c r="C83" s="3" t="s">
        <v>71</v>
      </c>
      <c r="D83" t="s">
        <v>72</v>
      </c>
      <c r="E83" s="3" t="s">
        <v>206</v>
      </c>
      <c r="F83" s="3" t="s">
        <v>19</v>
      </c>
      <c r="G83" s="3" t="s">
        <v>207</v>
      </c>
      <c r="H83" s="3" t="s">
        <v>11</v>
      </c>
      <c r="I83" s="3" t="s">
        <v>7</v>
      </c>
      <c r="J83" s="3" t="s">
        <v>45</v>
      </c>
      <c r="K83" s="3" t="s">
        <v>73</v>
      </c>
      <c r="L83" s="3" t="s">
        <v>42</v>
      </c>
      <c r="M83">
        <v>1</v>
      </c>
    </row>
    <row r="84" spans="1:13" x14ac:dyDescent="0.25">
      <c r="A84" s="2">
        <v>46176</v>
      </c>
      <c r="B84" s="1" t="str">
        <f ca="1">IF(Información1[[#This Row],[Fecha]]='Ajuste de fechas'!$A$2,"Día actual","Día anterior")</f>
        <v>Día anterior</v>
      </c>
      <c r="C84" s="3" t="s">
        <v>71</v>
      </c>
      <c r="D84" t="s">
        <v>72</v>
      </c>
      <c r="E84" s="3" t="s">
        <v>208</v>
      </c>
      <c r="F84" s="3" t="s">
        <v>17</v>
      </c>
      <c r="G84" s="3" t="s">
        <v>209</v>
      </c>
      <c r="H84" s="3" t="s">
        <v>11</v>
      </c>
      <c r="I84" s="3" t="s">
        <v>7</v>
      </c>
      <c r="J84" s="3" t="s">
        <v>41</v>
      </c>
      <c r="K84" s="3" t="s">
        <v>73</v>
      </c>
      <c r="L84" s="3" t="s">
        <v>42</v>
      </c>
      <c r="M84">
        <v>1</v>
      </c>
    </row>
    <row r="85" spans="1:13" x14ac:dyDescent="0.25">
      <c r="A85" s="2">
        <v>46176</v>
      </c>
      <c r="B85" s="1" t="str">
        <f ca="1">IF(Información1[[#This Row],[Fecha]]='Ajuste de fechas'!$A$2,"Día actual","Día anterior")</f>
        <v>Día anterior</v>
      </c>
      <c r="C85" s="3" t="s">
        <v>71</v>
      </c>
      <c r="D85" t="s">
        <v>72</v>
      </c>
      <c r="E85" s="3" t="s">
        <v>210</v>
      </c>
      <c r="F85" s="3" t="s">
        <v>211</v>
      </c>
      <c r="G85" s="3" t="s">
        <v>68</v>
      </c>
      <c r="H85" s="3" t="s">
        <v>11</v>
      </c>
      <c r="I85" s="3" t="s">
        <v>7</v>
      </c>
      <c r="J85" s="3" t="s">
        <v>41</v>
      </c>
      <c r="K85" s="3" t="s">
        <v>73</v>
      </c>
      <c r="L85" s="3" t="s">
        <v>42</v>
      </c>
      <c r="M85">
        <v>1</v>
      </c>
    </row>
    <row r="86" spans="1:13" x14ac:dyDescent="0.25">
      <c r="A86" s="2">
        <v>46176</v>
      </c>
      <c r="B86" s="1" t="str">
        <f ca="1">IF(Información1[[#This Row],[Fecha]]='Ajuste de fechas'!$A$2,"Día actual","Día anterior")</f>
        <v>Día anterior</v>
      </c>
      <c r="C86" s="3" t="s">
        <v>71</v>
      </c>
      <c r="D86" t="s">
        <v>72</v>
      </c>
      <c r="E86" s="3" t="s">
        <v>212</v>
      </c>
      <c r="F86" s="3" t="s">
        <v>17</v>
      </c>
      <c r="G86" s="3" t="s">
        <v>68</v>
      </c>
      <c r="H86" s="3" t="s">
        <v>11</v>
      </c>
      <c r="I86" s="3" t="s">
        <v>25</v>
      </c>
      <c r="J86" s="3" t="s">
        <v>41</v>
      </c>
      <c r="K86" s="3" t="s">
        <v>73</v>
      </c>
      <c r="L86" s="3" t="s">
        <v>43</v>
      </c>
      <c r="M86">
        <v>1</v>
      </c>
    </row>
    <row r="87" spans="1:13" x14ac:dyDescent="0.25">
      <c r="A87" s="2">
        <v>46176</v>
      </c>
      <c r="B87" s="1" t="str">
        <f ca="1">IF(Información1[[#This Row],[Fecha]]='Ajuste de fechas'!$A$2,"Día actual","Día anterior")</f>
        <v>Día anterior</v>
      </c>
      <c r="C87" s="3" t="s">
        <v>71</v>
      </c>
      <c r="D87" t="s">
        <v>72</v>
      </c>
      <c r="E87" s="3" t="s">
        <v>213</v>
      </c>
      <c r="F87" s="3" t="s">
        <v>17</v>
      </c>
      <c r="G87" s="3" t="s">
        <v>214</v>
      </c>
      <c r="H87" s="3" t="s">
        <v>11</v>
      </c>
      <c r="I87" s="3" t="s">
        <v>7</v>
      </c>
      <c r="J87" s="3" t="s">
        <v>41</v>
      </c>
      <c r="K87" s="3" t="s">
        <v>73</v>
      </c>
      <c r="L87" s="3" t="s">
        <v>42</v>
      </c>
      <c r="M87">
        <v>1</v>
      </c>
    </row>
    <row r="88" spans="1:13" x14ac:dyDescent="0.25">
      <c r="A88" s="2">
        <v>46176</v>
      </c>
      <c r="B88" s="1" t="str">
        <f ca="1">IF(Información1[[#This Row],[Fecha]]='Ajuste de fechas'!$A$2,"Día actual","Día anterior")</f>
        <v>Día anterior</v>
      </c>
      <c r="C88" s="3" t="s">
        <v>71</v>
      </c>
      <c r="D88" t="s">
        <v>72</v>
      </c>
      <c r="E88" s="3" t="s">
        <v>215</v>
      </c>
      <c r="F88" s="3" t="s">
        <v>61</v>
      </c>
      <c r="G88" s="3" t="s">
        <v>216</v>
      </c>
      <c r="H88" s="3" t="s">
        <v>11</v>
      </c>
      <c r="I88" s="3" t="s">
        <v>7</v>
      </c>
      <c r="J88" s="3" t="s">
        <v>41</v>
      </c>
      <c r="K88" s="3" t="s">
        <v>73</v>
      </c>
      <c r="L88" s="3" t="s">
        <v>44</v>
      </c>
      <c r="M88">
        <v>1</v>
      </c>
    </row>
    <row r="89" spans="1:13" x14ac:dyDescent="0.25">
      <c r="A89" s="2">
        <v>46176</v>
      </c>
      <c r="B89" s="1" t="str">
        <f ca="1">IF(Información1[[#This Row],[Fecha]]='Ajuste de fechas'!$A$2,"Día actual","Día anterior")</f>
        <v>Día anterior</v>
      </c>
      <c r="C89" s="3" t="s">
        <v>71</v>
      </c>
      <c r="D89" t="s">
        <v>72</v>
      </c>
      <c r="E89" s="3" t="s">
        <v>217</v>
      </c>
      <c r="F89" s="3" t="s">
        <v>61</v>
      </c>
      <c r="G89" s="3" t="s">
        <v>112</v>
      </c>
      <c r="H89" s="3" t="s">
        <v>11</v>
      </c>
      <c r="I89" s="3" t="s">
        <v>7</v>
      </c>
      <c r="J89" s="3" t="s">
        <v>41</v>
      </c>
      <c r="K89" s="3" t="s">
        <v>73</v>
      </c>
      <c r="L89" s="3" t="s">
        <v>42</v>
      </c>
      <c r="M89">
        <v>1</v>
      </c>
    </row>
    <row r="90" spans="1:13" x14ac:dyDescent="0.25">
      <c r="A90" s="2">
        <v>46176</v>
      </c>
      <c r="B90" s="1" t="str">
        <f ca="1">IF(Información1[[#This Row],[Fecha]]='Ajuste de fechas'!$A$2,"Día actual","Día anterior")</f>
        <v>Día anterior</v>
      </c>
      <c r="C90" s="3" t="s">
        <v>71</v>
      </c>
      <c r="D90" t="s">
        <v>72</v>
      </c>
      <c r="E90" s="3" t="s">
        <v>218</v>
      </c>
      <c r="F90" s="3" t="s">
        <v>19</v>
      </c>
      <c r="G90" s="3" t="s">
        <v>219</v>
      </c>
      <c r="H90" s="3" t="s">
        <v>11</v>
      </c>
      <c r="I90" s="3" t="s">
        <v>7</v>
      </c>
      <c r="J90" s="3" t="s">
        <v>45</v>
      </c>
      <c r="K90" s="3" t="s">
        <v>73</v>
      </c>
      <c r="L90" s="3" t="s">
        <v>42</v>
      </c>
      <c r="M90">
        <v>1</v>
      </c>
    </row>
    <row r="91" spans="1:13" x14ac:dyDescent="0.25">
      <c r="A91" s="2">
        <v>46176</v>
      </c>
      <c r="B91" s="1" t="str">
        <f ca="1">IF(Información1[[#This Row],[Fecha]]='Ajuste de fechas'!$A$2,"Día actual","Día anterior")</f>
        <v>Día anterior</v>
      </c>
      <c r="C91" s="3" t="s">
        <v>71</v>
      </c>
      <c r="D91" t="s">
        <v>72</v>
      </c>
      <c r="E91" s="3" t="s">
        <v>74</v>
      </c>
      <c r="F91" s="3" t="s">
        <v>19</v>
      </c>
      <c r="G91" s="3" t="s">
        <v>66</v>
      </c>
      <c r="H91" s="3" t="s">
        <v>11</v>
      </c>
      <c r="I91" s="3" t="s">
        <v>7</v>
      </c>
      <c r="J91" s="3" t="s">
        <v>45</v>
      </c>
      <c r="K91" s="3" t="s">
        <v>73</v>
      </c>
      <c r="L91" s="3" t="s">
        <v>42</v>
      </c>
      <c r="M91">
        <v>1</v>
      </c>
    </row>
    <row r="92" spans="1:13" x14ac:dyDescent="0.25">
      <c r="A92" s="2">
        <v>46176</v>
      </c>
      <c r="B92" s="1" t="str">
        <f ca="1">IF(Información1[[#This Row],[Fecha]]='Ajuste de fechas'!$A$2,"Día actual","Día anterior")</f>
        <v>Día anterior</v>
      </c>
      <c r="C92" s="3" t="s">
        <v>71</v>
      </c>
      <c r="D92" t="s">
        <v>72</v>
      </c>
      <c r="E92" s="3" t="s">
        <v>220</v>
      </c>
      <c r="F92" s="3" t="s">
        <v>19</v>
      </c>
      <c r="G92" s="3" t="s">
        <v>103</v>
      </c>
      <c r="H92" s="3" t="s">
        <v>11</v>
      </c>
      <c r="I92" s="3" t="s">
        <v>7</v>
      </c>
      <c r="J92" s="3" t="s">
        <v>45</v>
      </c>
      <c r="K92" s="3" t="s">
        <v>73</v>
      </c>
      <c r="L92" s="3" t="s">
        <v>43</v>
      </c>
      <c r="M92">
        <v>1</v>
      </c>
    </row>
    <row r="93" spans="1:13" x14ac:dyDescent="0.25">
      <c r="A93" s="2">
        <v>46176</v>
      </c>
      <c r="B93" s="1" t="str">
        <f ca="1">IF(Información1[[#This Row],[Fecha]]='Ajuste de fechas'!$A$2,"Día actual","Día anterior")</f>
        <v>Día anterior</v>
      </c>
      <c r="C93" s="3" t="s">
        <v>71</v>
      </c>
      <c r="D93" t="s">
        <v>72</v>
      </c>
      <c r="E93" s="3" t="s">
        <v>221</v>
      </c>
      <c r="F93" s="3" t="s">
        <v>19</v>
      </c>
      <c r="G93" s="3" t="s">
        <v>103</v>
      </c>
      <c r="H93" s="3" t="s">
        <v>11</v>
      </c>
      <c r="I93" s="3" t="s">
        <v>7</v>
      </c>
      <c r="J93" s="3" t="s">
        <v>45</v>
      </c>
      <c r="K93" s="3" t="s">
        <v>73</v>
      </c>
      <c r="L93" s="3" t="s">
        <v>42</v>
      </c>
      <c r="M93">
        <v>1</v>
      </c>
    </row>
    <row r="94" spans="1:13" x14ac:dyDescent="0.25">
      <c r="A94" s="2">
        <v>46176</v>
      </c>
      <c r="B94" s="1" t="str">
        <f ca="1">IF(Información1[[#This Row],[Fecha]]='Ajuste de fechas'!$A$2,"Día actual","Día anterior")</f>
        <v>Día anterior</v>
      </c>
      <c r="C94" s="3" t="s">
        <v>71</v>
      </c>
      <c r="D94" t="s">
        <v>72</v>
      </c>
      <c r="E94" s="3" t="s">
        <v>222</v>
      </c>
      <c r="F94" s="3" t="s">
        <v>19</v>
      </c>
      <c r="G94" s="3" t="s">
        <v>103</v>
      </c>
      <c r="H94" s="3" t="s">
        <v>11</v>
      </c>
      <c r="I94" s="3" t="s">
        <v>25</v>
      </c>
      <c r="J94" s="3" t="s">
        <v>45</v>
      </c>
      <c r="K94" s="3" t="s">
        <v>73</v>
      </c>
      <c r="L94" s="3" t="s">
        <v>43</v>
      </c>
      <c r="M94">
        <v>1</v>
      </c>
    </row>
    <row r="95" spans="1:13" x14ac:dyDescent="0.25">
      <c r="A95" s="2">
        <v>46176</v>
      </c>
      <c r="B95" s="1" t="str">
        <f ca="1">IF(Información1[[#This Row],[Fecha]]='Ajuste de fechas'!$A$2,"Día actual","Día anterior")</f>
        <v>Día anterior</v>
      </c>
      <c r="C95" s="3" t="s">
        <v>71</v>
      </c>
      <c r="D95" t="s">
        <v>72</v>
      </c>
      <c r="E95" s="3" t="s">
        <v>188</v>
      </c>
      <c r="F95" s="3" t="s">
        <v>33</v>
      </c>
      <c r="G95" s="3" t="s">
        <v>187</v>
      </c>
      <c r="H95" s="3" t="s">
        <v>11</v>
      </c>
      <c r="I95" s="3" t="s">
        <v>7</v>
      </c>
      <c r="J95" s="3" t="s">
        <v>41</v>
      </c>
      <c r="K95" s="3" t="s">
        <v>73</v>
      </c>
      <c r="L95" s="3" t="s">
        <v>44</v>
      </c>
      <c r="M95">
        <v>1</v>
      </c>
    </row>
    <row r="96" spans="1:13" x14ac:dyDescent="0.25">
      <c r="A96" s="2">
        <v>46176</v>
      </c>
      <c r="B96" s="1" t="str">
        <f ca="1">IF(Información1[[#This Row],[Fecha]]='Ajuste de fechas'!$A$2,"Día actual","Día anterior")</f>
        <v>Día anterior</v>
      </c>
      <c r="C96" s="3" t="s">
        <v>71</v>
      </c>
      <c r="D96" t="s">
        <v>72</v>
      </c>
      <c r="E96" s="3" t="s">
        <v>223</v>
      </c>
      <c r="F96" s="3" t="s">
        <v>114</v>
      </c>
      <c r="G96" s="3" t="s">
        <v>224</v>
      </c>
      <c r="H96" s="3" t="s">
        <v>11</v>
      </c>
      <c r="I96" s="3" t="s">
        <v>7</v>
      </c>
      <c r="J96" s="3" t="s">
        <v>41</v>
      </c>
      <c r="K96" s="3" t="s">
        <v>73</v>
      </c>
      <c r="L96" s="3" t="s">
        <v>42</v>
      </c>
      <c r="M96">
        <v>1</v>
      </c>
    </row>
    <row r="97" spans="1:13" x14ac:dyDescent="0.25">
      <c r="A97" s="2">
        <v>46176</v>
      </c>
      <c r="B97" s="1" t="str">
        <f ca="1">IF(Información1[[#This Row],[Fecha]]='Ajuste de fechas'!$A$2,"Día actual","Día anterior")</f>
        <v>Día anterior</v>
      </c>
      <c r="C97" s="3" t="s">
        <v>71</v>
      </c>
      <c r="D97" t="s">
        <v>72</v>
      </c>
      <c r="E97" s="3" t="s">
        <v>225</v>
      </c>
      <c r="F97" s="3" t="s">
        <v>19</v>
      </c>
      <c r="G97" s="3" t="s">
        <v>226</v>
      </c>
      <c r="H97" s="3" t="s">
        <v>11</v>
      </c>
      <c r="I97" s="3" t="s">
        <v>25</v>
      </c>
      <c r="J97" s="3" t="s">
        <v>45</v>
      </c>
      <c r="K97" s="3" t="s">
        <v>73</v>
      </c>
      <c r="L97" s="3" t="s">
        <v>42</v>
      </c>
      <c r="M97">
        <v>1</v>
      </c>
    </row>
    <row r="98" spans="1:13" x14ac:dyDescent="0.25">
      <c r="A98" s="2">
        <v>46176</v>
      </c>
      <c r="B98" s="1" t="str">
        <f ca="1">IF(Información1[[#This Row],[Fecha]]='Ajuste de fechas'!$A$2,"Día actual","Día anterior")</f>
        <v>Día anterior</v>
      </c>
      <c r="C98" s="3" t="s">
        <v>31</v>
      </c>
      <c r="D98" t="s">
        <v>32</v>
      </c>
      <c r="E98" s="3" t="s">
        <v>227</v>
      </c>
      <c r="F98" s="3" t="s">
        <v>21</v>
      </c>
      <c r="G98" s="3" t="s">
        <v>228</v>
      </c>
      <c r="H98" s="3" t="s">
        <v>67</v>
      </c>
      <c r="I98" s="3" t="s">
        <v>7</v>
      </c>
      <c r="J98" s="3" t="s">
        <v>41</v>
      </c>
      <c r="K98" s="3" t="s">
        <v>27</v>
      </c>
      <c r="L98" s="3" t="s">
        <v>44</v>
      </c>
      <c r="M98">
        <v>1</v>
      </c>
    </row>
    <row r="99" spans="1:13" x14ac:dyDescent="0.25">
      <c r="A99" s="2">
        <v>46176</v>
      </c>
      <c r="B99" s="1" t="str">
        <f ca="1">IF(Información1[[#This Row],[Fecha]]='Ajuste de fechas'!$A$2,"Día actual","Día anterior")</f>
        <v>Día anterior</v>
      </c>
      <c r="C99" s="3" t="s">
        <v>31</v>
      </c>
      <c r="D99" t="s">
        <v>32</v>
      </c>
      <c r="E99" s="3" t="s">
        <v>188</v>
      </c>
      <c r="F99" s="3" t="s">
        <v>33</v>
      </c>
      <c r="G99" s="3" t="s">
        <v>187</v>
      </c>
      <c r="H99" s="3" t="s">
        <v>67</v>
      </c>
      <c r="I99" s="3" t="s">
        <v>7</v>
      </c>
      <c r="J99" s="3" t="s">
        <v>41</v>
      </c>
      <c r="K99" s="3" t="s">
        <v>27</v>
      </c>
      <c r="L99" s="3" t="s">
        <v>44</v>
      </c>
      <c r="M99">
        <v>1</v>
      </c>
    </row>
    <row r="100" spans="1:13" x14ac:dyDescent="0.25">
      <c r="A100" s="2">
        <v>46176</v>
      </c>
      <c r="B100" s="1" t="str">
        <f ca="1">IF(Información1[[#This Row],[Fecha]]='Ajuste de fechas'!$A$2,"Día actual","Día anterior")</f>
        <v>Día anterior</v>
      </c>
      <c r="C100" s="3" t="s">
        <v>31</v>
      </c>
      <c r="D100" t="s">
        <v>32</v>
      </c>
      <c r="E100" s="3" t="s">
        <v>99</v>
      </c>
      <c r="F100" s="3" t="s">
        <v>76</v>
      </c>
      <c r="G100" s="3" t="s">
        <v>100</v>
      </c>
      <c r="H100" s="3" t="s">
        <v>67</v>
      </c>
      <c r="I100" s="3" t="s">
        <v>7</v>
      </c>
      <c r="J100" s="3" t="s">
        <v>41</v>
      </c>
      <c r="K100" s="3" t="s">
        <v>27</v>
      </c>
      <c r="L100" s="3" t="s">
        <v>44</v>
      </c>
      <c r="M100">
        <v>1</v>
      </c>
    </row>
    <row r="101" spans="1:13" x14ac:dyDescent="0.25">
      <c r="A101" s="2">
        <v>46176</v>
      </c>
      <c r="B101" s="1" t="str">
        <f ca="1">IF(Información1[[#This Row],[Fecha]]='Ajuste de fechas'!$A$2,"Día actual","Día anterior")</f>
        <v>Día anterior</v>
      </c>
      <c r="C101" s="3" t="s">
        <v>31</v>
      </c>
      <c r="D101" t="s">
        <v>32</v>
      </c>
      <c r="E101" s="3" t="s">
        <v>229</v>
      </c>
      <c r="F101" s="3" t="s">
        <v>70</v>
      </c>
      <c r="G101" s="3" t="s">
        <v>230</v>
      </c>
      <c r="H101" s="3" t="s">
        <v>67</v>
      </c>
      <c r="I101" s="3" t="s">
        <v>7</v>
      </c>
      <c r="J101" s="3" t="s">
        <v>41</v>
      </c>
      <c r="K101" s="3" t="s">
        <v>27</v>
      </c>
      <c r="L101" s="3" t="s">
        <v>44</v>
      </c>
      <c r="M101">
        <v>1</v>
      </c>
    </row>
    <row r="102" spans="1:13" x14ac:dyDescent="0.25">
      <c r="A102" s="2">
        <v>46176</v>
      </c>
      <c r="B102" s="1" t="str">
        <f ca="1">IF(Información1[[#This Row],[Fecha]]='Ajuste de fechas'!$A$2,"Día actual","Día anterior")</f>
        <v>Día anterior</v>
      </c>
      <c r="C102" s="3" t="s">
        <v>31</v>
      </c>
      <c r="D102" t="s">
        <v>32</v>
      </c>
      <c r="E102" s="3" t="s">
        <v>231</v>
      </c>
      <c r="F102" s="3" t="s">
        <v>22</v>
      </c>
      <c r="G102" s="3" t="s">
        <v>85</v>
      </c>
      <c r="H102" s="3" t="s">
        <v>67</v>
      </c>
      <c r="I102" s="3" t="s">
        <v>25</v>
      </c>
      <c r="J102" s="3" t="s">
        <v>46</v>
      </c>
      <c r="K102" s="3" t="s">
        <v>27</v>
      </c>
      <c r="L102" s="3" t="s">
        <v>42</v>
      </c>
      <c r="M102">
        <v>1</v>
      </c>
    </row>
    <row r="103" spans="1:13" x14ac:dyDescent="0.25">
      <c r="A103" s="2">
        <v>46176</v>
      </c>
      <c r="B103" s="1" t="str">
        <f ca="1">IF(Información1[[#This Row],[Fecha]]='Ajuste de fechas'!$A$2,"Día actual","Día anterior")</f>
        <v>Día anterior</v>
      </c>
      <c r="C103" s="3" t="s">
        <v>31</v>
      </c>
      <c r="D103" t="s">
        <v>32</v>
      </c>
      <c r="E103" s="3" t="s">
        <v>232</v>
      </c>
      <c r="F103" s="3" t="s">
        <v>15</v>
      </c>
      <c r="G103" s="3" t="s">
        <v>233</v>
      </c>
      <c r="H103" s="3" t="s">
        <v>67</v>
      </c>
      <c r="I103" s="3" t="s">
        <v>7</v>
      </c>
      <c r="J103" s="3" t="s">
        <v>41</v>
      </c>
      <c r="K103" s="3" t="s">
        <v>27</v>
      </c>
      <c r="L103" s="3" t="s">
        <v>42</v>
      </c>
      <c r="M103">
        <v>1</v>
      </c>
    </row>
    <row r="104" spans="1:13" x14ac:dyDescent="0.25">
      <c r="A104" s="2">
        <v>46176</v>
      </c>
      <c r="B104" s="1" t="str">
        <f ca="1">IF(Información1[[#This Row],[Fecha]]='Ajuste de fechas'!$A$2,"Día actual","Día anterior")</f>
        <v>Día anterior</v>
      </c>
      <c r="C104" s="3" t="s">
        <v>31</v>
      </c>
      <c r="D104" t="s">
        <v>32</v>
      </c>
      <c r="E104" s="3" t="s">
        <v>234</v>
      </c>
      <c r="F104" s="3" t="s">
        <v>51</v>
      </c>
      <c r="G104" s="3" t="s">
        <v>122</v>
      </c>
      <c r="H104" s="3" t="s">
        <v>67</v>
      </c>
      <c r="I104" s="3" t="s">
        <v>7</v>
      </c>
      <c r="J104" s="3" t="s">
        <v>41</v>
      </c>
      <c r="K104" s="3" t="s">
        <v>27</v>
      </c>
      <c r="L104" s="3" t="s">
        <v>42</v>
      </c>
      <c r="M104">
        <v>1</v>
      </c>
    </row>
    <row r="105" spans="1:13" x14ac:dyDescent="0.25">
      <c r="A105" s="2">
        <v>46176</v>
      </c>
      <c r="B105" s="1" t="str">
        <f ca="1">IF(Información1[[#This Row],[Fecha]]='Ajuste de fechas'!$A$2,"Día actual","Día anterior")</f>
        <v>Día anterior</v>
      </c>
      <c r="C105" s="3" t="s">
        <v>31</v>
      </c>
      <c r="D105" t="s">
        <v>32</v>
      </c>
      <c r="E105" s="3" t="s">
        <v>235</v>
      </c>
      <c r="F105" s="3" t="s">
        <v>15</v>
      </c>
      <c r="G105" s="3" t="s">
        <v>69</v>
      </c>
      <c r="H105" s="3" t="s">
        <v>67</v>
      </c>
      <c r="I105" s="3" t="s">
        <v>25</v>
      </c>
      <c r="J105" s="3" t="s">
        <v>41</v>
      </c>
      <c r="K105" s="3" t="s">
        <v>27</v>
      </c>
      <c r="L105" s="3" t="s">
        <v>43</v>
      </c>
      <c r="M105">
        <v>1</v>
      </c>
    </row>
    <row r="106" spans="1:13" x14ac:dyDescent="0.25">
      <c r="A106" s="2">
        <v>46176</v>
      </c>
      <c r="B106" s="1" t="str">
        <f ca="1">IF(Información1[[#This Row],[Fecha]]='Ajuste de fechas'!$A$2,"Día actual","Día anterior")</f>
        <v>Día anterior</v>
      </c>
      <c r="C106" s="3" t="s">
        <v>31</v>
      </c>
      <c r="D106" t="s">
        <v>32</v>
      </c>
      <c r="E106" s="3" t="s">
        <v>236</v>
      </c>
      <c r="F106" s="3" t="s">
        <v>70</v>
      </c>
      <c r="G106" s="3" t="s">
        <v>84</v>
      </c>
      <c r="H106" s="3" t="s">
        <v>67</v>
      </c>
      <c r="I106" s="3" t="s">
        <v>7</v>
      </c>
      <c r="J106" s="3" t="s">
        <v>41</v>
      </c>
      <c r="K106" s="3" t="s">
        <v>237</v>
      </c>
      <c r="L106" s="3" t="s">
        <v>42</v>
      </c>
      <c r="M106">
        <v>1</v>
      </c>
    </row>
    <row r="107" spans="1:13" x14ac:dyDescent="0.25">
      <c r="A107" s="2">
        <v>46176</v>
      </c>
      <c r="B107" s="1" t="str">
        <f ca="1">IF(Información1[[#This Row],[Fecha]]='Ajuste de fechas'!$A$2,"Día actual","Día anterior")</f>
        <v>Día anterior</v>
      </c>
      <c r="C107" s="3" t="s">
        <v>31</v>
      </c>
      <c r="D107" t="s">
        <v>32</v>
      </c>
      <c r="E107" s="3" t="s">
        <v>238</v>
      </c>
      <c r="F107" s="3" t="s">
        <v>78</v>
      </c>
      <c r="G107" s="3" t="s">
        <v>239</v>
      </c>
      <c r="H107" s="3" t="s">
        <v>67</v>
      </c>
      <c r="I107" s="3" t="s">
        <v>7</v>
      </c>
      <c r="J107" s="3" t="s">
        <v>79</v>
      </c>
      <c r="K107" s="3" t="s">
        <v>27</v>
      </c>
      <c r="L107" s="3" t="s">
        <v>43</v>
      </c>
      <c r="M107">
        <v>1</v>
      </c>
    </row>
    <row r="108" spans="1:13" x14ac:dyDescent="0.25">
      <c r="A108" s="2">
        <v>46176</v>
      </c>
      <c r="B108" s="1" t="str">
        <f ca="1">IF(Información1[[#This Row],[Fecha]]='Ajuste de fechas'!$A$2,"Día actual","Día anterior")</f>
        <v>Día anterior</v>
      </c>
      <c r="C108" s="3" t="s">
        <v>31</v>
      </c>
      <c r="D108" t="s">
        <v>32</v>
      </c>
      <c r="E108" s="3" t="s">
        <v>240</v>
      </c>
      <c r="F108" s="3" t="s">
        <v>51</v>
      </c>
      <c r="G108" s="3" t="s">
        <v>80</v>
      </c>
      <c r="H108" s="3" t="s">
        <v>67</v>
      </c>
      <c r="I108" s="3" t="s">
        <v>25</v>
      </c>
      <c r="J108" s="3" t="s">
        <v>41</v>
      </c>
      <c r="K108" s="3" t="s">
        <v>27</v>
      </c>
      <c r="L108" s="3" t="s">
        <v>43</v>
      </c>
      <c r="M108">
        <v>1</v>
      </c>
    </row>
    <row r="109" spans="1:13" x14ac:dyDescent="0.25">
      <c r="A109" s="2">
        <v>46176</v>
      </c>
      <c r="B109" s="1" t="str">
        <f ca="1">IF(Información1[[#This Row],[Fecha]]='Ajuste de fechas'!$A$2,"Día actual","Día anterior")</f>
        <v>Día anterior</v>
      </c>
      <c r="C109" s="3" t="s">
        <v>31</v>
      </c>
      <c r="D109" t="s">
        <v>32</v>
      </c>
      <c r="E109" s="3" t="s">
        <v>241</v>
      </c>
      <c r="F109" s="3" t="s">
        <v>17</v>
      </c>
      <c r="G109" s="3" t="s">
        <v>242</v>
      </c>
      <c r="H109" s="3" t="s">
        <v>67</v>
      </c>
      <c r="I109" s="3" t="s">
        <v>25</v>
      </c>
      <c r="J109" s="3" t="s">
        <v>41</v>
      </c>
      <c r="K109" s="3" t="s">
        <v>9</v>
      </c>
      <c r="L109" s="3" t="s">
        <v>43</v>
      </c>
      <c r="M109">
        <v>1</v>
      </c>
    </row>
    <row r="110" spans="1:13" x14ac:dyDescent="0.25">
      <c r="A110" s="2">
        <v>46176</v>
      </c>
      <c r="B110" s="1" t="str">
        <f ca="1">IF(Información1[[#This Row],[Fecha]]='Ajuste de fechas'!$A$2,"Día actual","Día anterior")</f>
        <v>Día anterior</v>
      </c>
      <c r="C110" s="3" t="s">
        <v>31</v>
      </c>
      <c r="D110" t="s">
        <v>32</v>
      </c>
      <c r="E110" s="3" t="s">
        <v>111</v>
      </c>
      <c r="F110" s="3" t="s">
        <v>61</v>
      </c>
      <c r="G110" s="3" t="s">
        <v>112</v>
      </c>
      <c r="H110" s="3" t="s">
        <v>67</v>
      </c>
      <c r="I110" s="3" t="s">
        <v>7</v>
      </c>
      <c r="J110" s="3" t="s">
        <v>41</v>
      </c>
      <c r="K110" s="3" t="s">
        <v>27</v>
      </c>
      <c r="L110" s="3" t="s">
        <v>44</v>
      </c>
      <c r="M110">
        <v>1</v>
      </c>
    </row>
    <row r="111" spans="1:13" x14ac:dyDescent="0.25">
      <c r="A111" s="2">
        <v>46177</v>
      </c>
      <c r="B111" s="1" t="str">
        <f ca="1">IF(Información1[[#This Row],[Fecha]]='Ajuste de fechas'!$A$2,"Día actual","Día anterior")</f>
        <v>Día actual</v>
      </c>
      <c r="C111" s="3" t="s">
        <v>8</v>
      </c>
      <c r="D111" t="s">
        <v>10</v>
      </c>
      <c r="E111" s="3" t="s">
        <v>243</v>
      </c>
      <c r="F111" s="3" t="s">
        <v>6</v>
      </c>
      <c r="G111" s="3" t="s">
        <v>194</v>
      </c>
      <c r="H111" s="3" t="s">
        <v>11</v>
      </c>
      <c r="I111" s="3" t="s">
        <v>25</v>
      </c>
      <c r="J111" s="3" t="s">
        <v>41</v>
      </c>
      <c r="K111" s="3" t="s">
        <v>9</v>
      </c>
      <c r="L111" s="3" t="s">
        <v>43</v>
      </c>
      <c r="M111">
        <v>1</v>
      </c>
    </row>
    <row r="112" spans="1:13" x14ac:dyDescent="0.25">
      <c r="A112" s="2">
        <v>46177</v>
      </c>
      <c r="B112" s="1" t="str">
        <f ca="1">IF(Información1[[#This Row],[Fecha]]='Ajuste de fechas'!$A$2,"Día actual","Día anterior")</f>
        <v>Día actual</v>
      </c>
      <c r="C112" s="3" t="s">
        <v>8</v>
      </c>
      <c r="D112" t="s">
        <v>10</v>
      </c>
      <c r="E112" s="3" t="s">
        <v>111</v>
      </c>
      <c r="F112" s="3" t="s">
        <v>61</v>
      </c>
      <c r="G112" s="3" t="s">
        <v>112</v>
      </c>
      <c r="H112" s="3" t="s">
        <v>11</v>
      </c>
      <c r="I112" s="3" t="s">
        <v>7</v>
      </c>
      <c r="J112" s="3" t="s">
        <v>41</v>
      </c>
      <c r="K112" s="3" t="s">
        <v>14</v>
      </c>
      <c r="L112" s="3" t="s">
        <v>44</v>
      </c>
      <c r="M112">
        <v>1</v>
      </c>
    </row>
    <row r="113" spans="1:13" x14ac:dyDescent="0.25">
      <c r="A113" s="2">
        <v>46177</v>
      </c>
      <c r="B113" s="1" t="str">
        <f ca="1">IF(Información1[[#This Row],[Fecha]]='Ajuste de fechas'!$A$2,"Día actual","Día anterior")</f>
        <v>Día actual</v>
      </c>
      <c r="C113" s="3" t="s">
        <v>28</v>
      </c>
      <c r="D113" t="s">
        <v>30</v>
      </c>
      <c r="E113" s="3" t="s">
        <v>244</v>
      </c>
      <c r="F113" s="3" t="s">
        <v>60</v>
      </c>
      <c r="G113" s="3" t="s">
        <v>200</v>
      </c>
      <c r="H113" s="3" t="s">
        <v>11</v>
      </c>
      <c r="I113" s="3" t="s">
        <v>7</v>
      </c>
      <c r="J113" s="3" t="s">
        <v>24</v>
      </c>
      <c r="K113" s="3" t="s">
        <v>29</v>
      </c>
      <c r="L113" s="3" t="s">
        <v>42</v>
      </c>
      <c r="M113">
        <v>1</v>
      </c>
    </row>
    <row r="114" spans="1:13" x14ac:dyDescent="0.25">
      <c r="A114" s="2">
        <v>46177</v>
      </c>
      <c r="B114" s="1" t="str">
        <f ca="1">IF(Información1[[#This Row],[Fecha]]='Ajuste de fechas'!$A$2,"Día actual","Día anterior")</f>
        <v>Día actual</v>
      </c>
      <c r="C114" s="3" t="s">
        <v>28</v>
      </c>
      <c r="D114" t="s">
        <v>30</v>
      </c>
      <c r="E114" s="3" t="s">
        <v>245</v>
      </c>
      <c r="F114" s="3" t="s">
        <v>19</v>
      </c>
      <c r="G114" s="3" t="s">
        <v>246</v>
      </c>
      <c r="H114" s="3" t="s">
        <v>11</v>
      </c>
      <c r="I114" s="3" t="s">
        <v>7</v>
      </c>
      <c r="J114" s="3" t="s">
        <v>45</v>
      </c>
      <c r="K114" s="3" t="s">
        <v>29</v>
      </c>
      <c r="L114" s="3" t="s">
        <v>42</v>
      </c>
      <c r="M114">
        <v>1</v>
      </c>
    </row>
    <row r="115" spans="1:13" x14ac:dyDescent="0.25">
      <c r="A115" s="2">
        <v>46177</v>
      </c>
      <c r="B115" s="1" t="str">
        <f ca="1">IF(Información1[[#This Row],[Fecha]]='Ajuste de fechas'!$A$2,"Día actual","Día anterior")</f>
        <v>Día actual</v>
      </c>
      <c r="C115" s="3" t="s">
        <v>28</v>
      </c>
      <c r="D115" t="s">
        <v>120</v>
      </c>
      <c r="E115" s="3" t="s">
        <v>247</v>
      </c>
      <c r="F115" s="3" t="s">
        <v>248</v>
      </c>
      <c r="G115" s="3" t="s">
        <v>249</v>
      </c>
      <c r="H115" s="3" t="s">
        <v>11</v>
      </c>
      <c r="I115" s="3" t="s">
        <v>7</v>
      </c>
      <c r="J115" s="3" t="s">
        <v>41</v>
      </c>
      <c r="K115" s="3" t="s">
        <v>123</v>
      </c>
      <c r="L115" s="3" t="s">
        <v>44</v>
      </c>
      <c r="M115">
        <v>1</v>
      </c>
    </row>
    <row r="116" spans="1:13" x14ac:dyDescent="0.25">
      <c r="A116" s="2">
        <v>46177</v>
      </c>
      <c r="B116" s="1" t="str">
        <f ca="1">IF(Información1[[#This Row],[Fecha]]='Ajuste de fechas'!$A$2,"Día actual","Día anterior")</f>
        <v>Día actual</v>
      </c>
      <c r="C116" s="3" t="s">
        <v>133</v>
      </c>
      <c r="D116" t="s">
        <v>134</v>
      </c>
      <c r="E116" s="3" t="s">
        <v>250</v>
      </c>
      <c r="F116" s="3" t="s">
        <v>248</v>
      </c>
      <c r="G116" s="3" t="s">
        <v>249</v>
      </c>
      <c r="H116" s="3" t="s">
        <v>11</v>
      </c>
      <c r="I116" s="3" t="s">
        <v>7</v>
      </c>
      <c r="J116" s="3" t="s">
        <v>41</v>
      </c>
      <c r="K116" s="3" t="s">
        <v>136</v>
      </c>
      <c r="L116" s="3" t="s">
        <v>44</v>
      </c>
      <c r="M116">
        <v>1</v>
      </c>
    </row>
    <row r="117" spans="1:13" x14ac:dyDescent="0.25">
      <c r="A117" s="2">
        <v>46177</v>
      </c>
      <c r="B117" s="1" t="str">
        <f ca="1">IF(Información1[[#This Row],[Fecha]]='Ajuste de fechas'!$A$2,"Día actual","Día anterior")</f>
        <v>Día actual</v>
      </c>
      <c r="C117" s="3" t="s">
        <v>28</v>
      </c>
      <c r="D117" t="s">
        <v>120</v>
      </c>
      <c r="E117" s="3" t="s">
        <v>251</v>
      </c>
      <c r="F117" s="3" t="s">
        <v>22</v>
      </c>
      <c r="G117" s="3" t="s">
        <v>252</v>
      </c>
      <c r="H117" s="3" t="s">
        <v>11</v>
      </c>
      <c r="I117" s="3" t="s">
        <v>7</v>
      </c>
      <c r="J117" s="3" t="s">
        <v>46</v>
      </c>
      <c r="K117" s="3" t="s">
        <v>123</v>
      </c>
      <c r="L117" s="3" t="s">
        <v>42</v>
      </c>
      <c r="M117">
        <v>1</v>
      </c>
    </row>
    <row r="118" spans="1:13" x14ac:dyDescent="0.25">
      <c r="A118" s="2">
        <v>46177</v>
      </c>
      <c r="B118" s="1" t="str">
        <f ca="1">IF(Información1[[#This Row],[Fecha]]='Ajuste de fechas'!$A$2,"Día actual","Día anterior")</f>
        <v>Día actual</v>
      </c>
      <c r="C118" s="3" t="s">
        <v>28</v>
      </c>
      <c r="D118" t="s">
        <v>120</v>
      </c>
      <c r="E118" s="3" t="s">
        <v>253</v>
      </c>
      <c r="F118" s="3" t="s">
        <v>60</v>
      </c>
      <c r="G118" s="3" t="s">
        <v>107</v>
      </c>
      <c r="H118" s="3" t="s">
        <v>11</v>
      </c>
      <c r="I118" s="3" t="s">
        <v>7</v>
      </c>
      <c r="J118" s="3" t="s">
        <v>24</v>
      </c>
      <c r="K118" s="3" t="s">
        <v>123</v>
      </c>
      <c r="L118" s="3" t="s">
        <v>42</v>
      </c>
      <c r="M118">
        <v>1</v>
      </c>
    </row>
    <row r="119" spans="1:13" x14ac:dyDescent="0.25">
      <c r="A119" s="2">
        <v>46177</v>
      </c>
      <c r="B119" s="1" t="str">
        <f ca="1">IF(Información1[[#This Row],[Fecha]]='Ajuste de fechas'!$A$2,"Día actual","Día anterior")</f>
        <v>Día actual</v>
      </c>
      <c r="C119" s="3" t="s">
        <v>28</v>
      </c>
      <c r="D119" t="s">
        <v>30</v>
      </c>
      <c r="E119" s="3" t="s">
        <v>254</v>
      </c>
      <c r="F119" s="3" t="s">
        <v>19</v>
      </c>
      <c r="G119" s="3" t="s">
        <v>255</v>
      </c>
      <c r="H119" s="3" t="s">
        <v>11</v>
      </c>
      <c r="I119" s="3" t="s">
        <v>7</v>
      </c>
      <c r="J119" s="3" t="s">
        <v>45</v>
      </c>
      <c r="K119" s="3" t="s">
        <v>29</v>
      </c>
      <c r="L119" s="3" t="s">
        <v>42</v>
      </c>
      <c r="M119">
        <v>1</v>
      </c>
    </row>
    <row r="120" spans="1:13" x14ac:dyDescent="0.25">
      <c r="A120" s="2">
        <v>46177</v>
      </c>
      <c r="B120" s="1" t="str">
        <f ca="1">IF(Información1[[#This Row],[Fecha]]='Ajuste de fechas'!$A$2,"Día actual","Día anterior")</f>
        <v>Día actual</v>
      </c>
      <c r="C120" s="3" t="s">
        <v>8</v>
      </c>
      <c r="D120" t="s">
        <v>10</v>
      </c>
      <c r="E120" s="3" t="s">
        <v>256</v>
      </c>
      <c r="F120" s="3" t="s">
        <v>19</v>
      </c>
      <c r="G120" s="3" t="s">
        <v>164</v>
      </c>
      <c r="H120" s="3" t="s">
        <v>11</v>
      </c>
      <c r="I120" s="3" t="s">
        <v>25</v>
      </c>
      <c r="J120" s="3" t="s">
        <v>45</v>
      </c>
      <c r="K120" s="3" t="s">
        <v>9</v>
      </c>
      <c r="L120" s="3" t="s">
        <v>43</v>
      </c>
      <c r="M120">
        <v>1</v>
      </c>
    </row>
    <row r="121" spans="1:13" x14ac:dyDescent="0.25">
      <c r="A121" s="2">
        <v>46177</v>
      </c>
      <c r="B121" s="1" t="str">
        <f ca="1">IF(Información1[[#This Row],[Fecha]]='Ajuste de fechas'!$A$2,"Día actual","Día anterior")</f>
        <v>Día actual</v>
      </c>
      <c r="C121" s="3" t="s">
        <v>28</v>
      </c>
      <c r="D121" t="s">
        <v>30</v>
      </c>
      <c r="E121" s="3" t="s">
        <v>257</v>
      </c>
      <c r="F121" s="3" t="s">
        <v>21</v>
      </c>
      <c r="G121" s="3" t="s">
        <v>162</v>
      </c>
      <c r="H121" s="3" t="s">
        <v>11</v>
      </c>
      <c r="I121" s="3" t="s">
        <v>25</v>
      </c>
      <c r="J121" s="3" t="s">
        <v>41</v>
      </c>
      <c r="K121" s="3" t="s">
        <v>29</v>
      </c>
      <c r="L121" s="3" t="s">
        <v>42</v>
      </c>
      <c r="M121">
        <v>1</v>
      </c>
    </row>
    <row r="122" spans="1:13" x14ac:dyDescent="0.25">
      <c r="A122" s="2">
        <v>46177</v>
      </c>
      <c r="B122" s="1" t="str">
        <f ca="1">IF(Información1[[#This Row],[Fecha]]='Ajuste de fechas'!$A$2,"Día actual","Día anterior")</f>
        <v>Día actual</v>
      </c>
      <c r="C122" s="3" t="s">
        <v>28</v>
      </c>
      <c r="D122" t="s">
        <v>120</v>
      </c>
      <c r="E122" s="3" t="s">
        <v>258</v>
      </c>
      <c r="F122" s="3" t="s">
        <v>70</v>
      </c>
      <c r="G122" s="3" t="s">
        <v>259</v>
      </c>
      <c r="H122" s="3" t="s">
        <v>11</v>
      </c>
      <c r="I122" s="3" t="s">
        <v>7</v>
      </c>
      <c r="J122" s="3" t="s">
        <v>41</v>
      </c>
      <c r="K122" s="3" t="s">
        <v>123</v>
      </c>
      <c r="L122" s="3" t="s">
        <v>42</v>
      </c>
      <c r="M122">
        <v>1</v>
      </c>
    </row>
    <row r="123" spans="1:13" x14ac:dyDescent="0.25">
      <c r="A123" s="2">
        <v>46177</v>
      </c>
      <c r="B123" s="1" t="str">
        <f ca="1">IF(Información1[[#This Row],[Fecha]]='Ajuste de fechas'!$A$2,"Día actual","Día anterior")</f>
        <v>Día actual</v>
      </c>
      <c r="C123" s="3" t="s">
        <v>28</v>
      </c>
      <c r="D123" t="s">
        <v>120</v>
      </c>
      <c r="E123" s="3" t="s">
        <v>260</v>
      </c>
      <c r="F123" s="3" t="s">
        <v>70</v>
      </c>
      <c r="G123" s="3" t="s">
        <v>259</v>
      </c>
      <c r="H123" s="3" t="s">
        <v>11</v>
      </c>
      <c r="I123" s="3" t="s">
        <v>7</v>
      </c>
      <c r="J123" s="3" t="s">
        <v>41</v>
      </c>
      <c r="K123" s="3" t="s">
        <v>123</v>
      </c>
      <c r="L123" s="3" t="s">
        <v>44</v>
      </c>
      <c r="M123">
        <v>1</v>
      </c>
    </row>
    <row r="124" spans="1:13" x14ac:dyDescent="0.25">
      <c r="A124" s="2">
        <v>46177</v>
      </c>
      <c r="B124" s="1" t="str">
        <f ca="1">IF(Información1[[#This Row],[Fecha]]='Ajuste de fechas'!$A$2,"Día actual","Día anterior")</f>
        <v>Día actual</v>
      </c>
      <c r="C124" s="3" t="s">
        <v>28</v>
      </c>
      <c r="D124" t="s">
        <v>120</v>
      </c>
      <c r="E124" s="3" t="s">
        <v>261</v>
      </c>
      <c r="F124" s="3" t="s">
        <v>19</v>
      </c>
      <c r="G124" s="3" t="s">
        <v>262</v>
      </c>
      <c r="H124" s="3" t="s">
        <v>11</v>
      </c>
      <c r="I124" s="3" t="s">
        <v>7</v>
      </c>
      <c r="J124" s="3" t="s">
        <v>45</v>
      </c>
      <c r="K124" s="3" t="s">
        <v>123</v>
      </c>
      <c r="L124" s="3" t="s">
        <v>42</v>
      </c>
      <c r="M124">
        <v>1</v>
      </c>
    </row>
    <row r="125" spans="1:13" x14ac:dyDescent="0.25">
      <c r="A125" s="2">
        <v>46177</v>
      </c>
      <c r="B125" s="1" t="str">
        <f ca="1">IF(Información1[[#This Row],[Fecha]]='Ajuste de fechas'!$A$2,"Día actual","Día anterior")</f>
        <v>Día actual</v>
      </c>
      <c r="C125" s="3" t="s">
        <v>8</v>
      </c>
      <c r="D125" t="s">
        <v>10</v>
      </c>
      <c r="E125" s="3" t="s">
        <v>263</v>
      </c>
      <c r="F125" s="3" t="s">
        <v>6</v>
      </c>
      <c r="G125" s="3" t="s">
        <v>264</v>
      </c>
      <c r="H125" s="3" t="s">
        <v>11</v>
      </c>
      <c r="I125" s="3" t="s">
        <v>7</v>
      </c>
      <c r="J125" s="3" t="s">
        <v>41</v>
      </c>
      <c r="K125" s="3" t="s">
        <v>14</v>
      </c>
      <c r="L125" s="3" t="s">
        <v>44</v>
      </c>
      <c r="M125">
        <v>1</v>
      </c>
    </row>
    <row r="126" spans="1:13" x14ac:dyDescent="0.25">
      <c r="A126" s="2">
        <v>46177</v>
      </c>
      <c r="B126" s="1" t="str">
        <f ca="1">IF(Información1[[#This Row],[Fecha]]='Ajuste de fechas'!$A$2,"Día actual","Día anterior")</f>
        <v>Día actual</v>
      </c>
      <c r="C126" s="3" t="s">
        <v>28</v>
      </c>
      <c r="D126" t="s">
        <v>30</v>
      </c>
      <c r="E126" s="3" t="s">
        <v>265</v>
      </c>
      <c r="F126" s="3" t="s">
        <v>33</v>
      </c>
      <c r="G126" s="3" t="s">
        <v>266</v>
      </c>
      <c r="H126" s="3" t="s">
        <v>11</v>
      </c>
      <c r="I126" s="3" t="s">
        <v>7</v>
      </c>
      <c r="J126" s="3" t="s">
        <v>41</v>
      </c>
      <c r="K126" s="3" t="s">
        <v>29</v>
      </c>
      <c r="L126" s="3" t="s">
        <v>42</v>
      </c>
      <c r="M126">
        <v>1</v>
      </c>
    </row>
    <row r="127" spans="1:13" x14ac:dyDescent="0.25">
      <c r="A127" s="2">
        <v>46177</v>
      </c>
      <c r="B127" s="1" t="str">
        <f ca="1">IF(Información1[[#This Row],[Fecha]]='Ajuste de fechas'!$A$2,"Día actual","Día anterior")</f>
        <v>Día actual</v>
      </c>
      <c r="C127" s="3" t="s">
        <v>8</v>
      </c>
      <c r="D127" t="s">
        <v>10</v>
      </c>
      <c r="E127" s="3" t="s">
        <v>267</v>
      </c>
      <c r="F127" s="3" t="s">
        <v>19</v>
      </c>
      <c r="G127" s="3" t="s">
        <v>268</v>
      </c>
      <c r="H127" s="3" t="s">
        <v>11</v>
      </c>
      <c r="I127" s="3" t="s">
        <v>7</v>
      </c>
      <c r="J127" s="3" t="s">
        <v>45</v>
      </c>
      <c r="K127" s="3" t="s">
        <v>14</v>
      </c>
      <c r="L127" s="3" t="s">
        <v>42</v>
      </c>
      <c r="M127">
        <v>1</v>
      </c>
    </row>
    <row r="128" spans="1:13" x14ac:dyDescent="0.25">
      <c r="A128" s="2">
        <v>46177</v>
      </c>
      <c r="B128" s="1" t="str">
        <f ca="1">IF(Información1[[#This Row],[Fecha]]='Ajuste de fechas'!$A$2,"Día actual","Día anterior")</f>
        <v>Día actual</v>
      </c>
      <c r="C128" s="3" t="s">
        <v>8</v>
      </c>
      <c r="D128" t="s">
        <v>10</v>
      </c>
      <c r="E128" s="3" t="s">
        <v>269</v>
      </c>
      <c r="F128" s="3" t="s">
        <v>17</v>
      </c>
      <c r="G128" s="3" t="s">
        <v>68</v>
      </c>
      <c r="H128" s="3" t="s">
        <v>11</v>
      </c>
      <c r="I128" s="3" t="s">
        <v>25</v>
      </c>
      <c r="J128" s="3" t="s">
        <v>41</v>
      </c>
      <c r="K128" s="3" t="s">
        <v>9</v>
      </c>
      <c r="L128" s="3" t="s">
        <v>43</v>
      </c>
      <c r="M128">
        <v>1</v>
      </c>
    </row>
    <row r="129" spans="1:13" x14ac:dyDescent="0.25">
      <c r="A129" s="2">
        <v>46177</v>
      </c>
      <c r="B129" s="1" t="str">
        <f ca="1">IF(Información1[[#This Row],[Fecha]]='Ajuste de fechas'!$A$2,"Día actual","Día anterior")</f>
        <v>Día actual</v>
      </c>
      <c r="C129" s="3" t="s">
        <v>8</v>
      </c>
      <c r="D129" t="s">
        <v>10</v>
      </c>
      <c r="E129" s="3" t="s">
        <v>270</v>
      </c>
      <c r="F129" s="3" t="s">
        <v>60</v>
      </c>
      <c r="G129" s="3" t="s">
        <v>271</v>
      </c>
      <c r="H129" s="3" t="s">
        <v>11</v>
      </c>
      <c r="I129" s="3" t="s">
        <v>7</v>
      </c>
      <c r="J129" s="3" t="s">
        <v>24</v>
      </c>
      <c r="K129" s="3" t="s">
        <v>14</v>
      </c>
      <c r="L129" s="3" t="s">
        <v>42</v>
      </c>
      <c r="M129">
        <v>1</v>
      </c>
    </row>
    <row r="130" spans="1:13" x14ac:dyDescent="0.25">
      <c r="A130" s="2">
        <v>46177</v>
      </c>
      <c r="B130" s="1" t="str">
        <f ca="1">IF(Información1[[#This Row],[Fecha]]='Ajuste de fechas'!$A$2,"Día actual","Día anterior")</f>
        <v>Día actual</v>
      </c>
      <c r="C130" s="3" t="s">
        <v>28</v>
      </c>
      <c r="D130" t="s">
        <v>30</v>
      </c>
      <c r="E130" s="3" t="s">
        <v>272</v>
      </c>
      <c r="F130" s="3" t="s">
        <v>24</v>
      </c>
      <c r="G130" s="3" t="s">
        <v>81</v>
      </c>
      <c r="H130" s="3" t="s">
        <v>11</v>
      </c>
      <c r="I130" s="3" t="s">
        <v>7</v>
      </c>
      <c r="J130" s="3" t="s">
        <v>24</v>
      </c>
      <c r="K130" s="3" t="s">
        <v>29</v>
      </c>
      <c r="L130" s="3" t="s">
        <v>42</v>
      </c>
      <c r="M130">
        <v>1</v>
      </c>
    </row>
    <row r="131" spans="1:13" x14ac:dyDescent="0.25">
      <c r="A131" s="2">
        <v>46177</v>
      </c>
      <c r="B131" s="1" t="str">
        <f ca="1">IF(Información1[[#This Row],[Fecha]]='Ajuste de fechas'!$A$2,"Día actual","Día anterior")</f>
        <v>Día actual</v>
      </c>
      <c r="C131" s="3" t="s">
        <v>8</v>
      </c>
      <c r="D131" t="s">
        <v>10</v>
      </c>
      <c r="E131" s="3" t="s">
        <v>142</v>
      </c>
      <c r="F131" s="3" t="s">
        <v>6</v>
      </c>
      <c r="G131" s="3" t="s">
        <v>273</v>
      </c>
      <c r="H131" s="3" t="s">
        <v>11</v>
      </c>
      <c r="I131" s="3" t="s">
        <v>25</v>
      </c>
      <c r="J131" s="3" t="s">
        <v>41</v>
      </c>
      <c r="K131" s="3" t="s">
        <v>9</v>
      </c>
      <c r="L131" s="3" t="s">
        <v>43</v>
      </c>
      <c r="M131">
        <v>1</v>
      </c>
    </row>
    <row r="132" spans="1:13" x14ac:dyDescent="0.25">
      <c r="A132" s="2">
        <v>46177</v>
      </c>
      <c r="B132" s="1" t="str">
        <f ca="1">IF(Información1[[#This Row],[Fecha]]='Ajuste de fechas'!$A$2,"Día actual","Día anterior")</f>
        <v>Día actual</v>
      </c>
      <c r="C132" s="3" t="s">
        <v>8</v>
      </c>
      <c r="D132" t="s">
        <v>10</v>
      </c>
      <c r="E132" s="3" t="s">
        <v>274</v>
      </c>
      <c r="F132" s="3" t="s">
        <v>6</v>
      </c>
      <c r="G132" s="3" t="s">
        <v>273</v>
      </c>
      <c r="H132" s="3" t="s">
        <v>11</v>
      </c>
      <c r="I132" s="3" t="s">
        <v>25</v>
      </c>
      <c r="J132" s="3" t="s">
        <v>41</v>
      </c>
      <c r="K132" s="3" t="s">
        <v>9</v>
      </c>
      <c r="L132" s="3" t="s">
        <v>43</v>
      </c>
      <c r="M132">
        <v>1</v>
      </c>
    </row>
    <row r="133" spans="1:13" x14ac:dyDescent="0.25">
      <c r="A133" s="2">
        <v>46177</v>
      </c>
      <c r="B133" s="1" t="str">
        <f ca="1">IF(Información1[[#This Row],[Fecha]]='Ajuste de fechas'!$A$2,"Día actual","Día anterior")</f>
        <v>Día actual</v>
      </c>
      <c r="C133" s="3" t="s">
        <v>8</v>
      </c>
      <c r="D133" t="s">
        <v>10</v>
      </c>
      <c r="E133" s="3" t="s">
        <v>275</v>
      </c>
      <c r="F133" s="3" t="s">
        <v>6</v>
      </c>
      <c r="G133" s="3" t="s">
        <v>273</v>
      </c>
      <c r="H133" s="3" t="s">
        <v>11</v>
      </c>
      <c r="I133" s="3" t="s">
        <v>25</v>
      </c>
      <c r="J133" s="3" t="s">
        <v>41</v>
      </c>
      <c r="K133" s="3" t="s">
        <v>9</v>
      </c>
      <c r="L133" s="3" t="s">
        <v>43</v>
      </c>
      <c r="M133">
        <v>1</v>
      </c>
    </row>
    <row r="134" spans="1:13" x14ac:dyDescent="0.25">
      <c r="A134" s="2">
        <v>46177</v>
      </c>
      <c r="B134" s="1" t="str">
        <f ca="1">IF(Información1[[#This Row],[Fecha]]='Ajuste de fechas'!$A$2,"Día actual","Día anterior")</f>
        <v>Día actual</v>
      </c>
      <c r="C134" s="3" t="s">
        <v>28</v>
      </c>
      <c r="D134" t="s">
        <v>120</v>
      </c>
      <c r="E134" s="3" t="s">
        <v>276</v>
      </c>
      <c r="F134" s="3" t="s">
        <v>19</v>
      </c>
      <c r="G134" s="3" t="s">
        <v>277</v>
      </c>
      <c r="H134" s="3" t="s">
        <v>11</v>
      </c>
      <c r="I134" s="3" t="s">
        <v>25</v>
      </c>
      <c r="J134" s="3" t="s">
        <v>45</v>
      </c>
      <c r="K134" s="3" t="s">
        <v>123</v>
      </c>
      <c r="L134" s="3" t="s">
        <v>42</v>
      </c>
      <c r="M134">
        <v>1</v>
      </c>
    </row>
    <row r="135" spans="1:13" x14ac:dyDescent="0.25">
      <c r="A135" s="2">
        <v>46177</v>
      </c>
      <c r="B135" s="1" t="str">
        <f ca="1">IF(Información1[[#This Row],[Fecha]]='Ajuste de fechas'!$A$2,"Día actual","Día anterior")</f>
        <v>Día actual</v>
      </c>
      <c r="C135" s="3" t="s">
        <v>28</v>
      </c>
      <c r="D135" t="s">
        <v>30</v>
      </c>
      <c r="E135" s="3" t="s">
        <v>278</v>
      </c>
      <c r="F135" s="3" t="s">
        <v>51</v>
      </c>
      <c r="G135" s="3" t="s">
        <v>279</v>
      </c>
      <c r="H135" s="3" t="s">
        <v>11</v>
      </c>
      <c r="I135" s="3" t="s">
        <v>25</v>
      </c>
      <c r="J135" s="3" t="s">
        <v>41</v>
      </c>
      <c r="K135" s="3" t="s">
        <v>29</v>
      </c>
      <c r="L135" s="3" t="s">
        <v>42</v>
      </c>
      <c r="M135">
        <v>1</v>
      </c>
    </row>
    <row r="136" spans="1:13" x14ac:dyDescent="0.25">
      <c r="A136" s="2">
        <v>46177</v>
      </c>
      <c r="B136" s="1" t="str">
        <f ca="1">IF(Información1[[#This Row],[Fecha]]='Ajuste de fechas'!$A$2,"Día actual","Día anterior")</f>
        <v>Día actual</v>
      </c>
      <c r="C136" s="3" t="s">
        <v>8</v>
      </c>
      <c r="D136" t="s">
        <v>10</v>
      </c>
      <c r="E136" s="3" t="s">
        <v>280</v>
      </c>
      <c r="F136" s="3" t="s">
        <v>60</v>
      </c>
      <c r="G136" s="3" t="s">
        <v>281</v>
      </c>
      <c r="H136" s="3" t="s">
        <v>11</v>
      </c>
      <c r="I136" s="3" t="s">
        <v>7</v>
      </c>
      <c r="J136" s="3" t="s">
        <v>24</v>
      </c>
      <c r="K136" s="3" t="s">
        <v>14</v>
      </c>
      <c r="L136" s="3" t="s">
        <v>42</v>
      </c>
      <c r="M136">
        <v>1</v>
      </c>
    </row>
    <row r="137" spans="1:13" x14ac:dyDescent="0.25">
      <c r="A137" s="2">
        <v>46177</v>
      </c>
      <c r="B137" s="1" t="str">
        <f ca="1">IF(Información1[[#This Row],[Fecha]]='Ajuste de fechas'!$A$2,"Día actual","Día anterior")</f>
        <v>Día actual</v>
      </c>
      <c r="C137" s="3" t="s">
        <v>28</v>
      </c>
      <c r="D137" t="s">
        <v>120</v>
      </c>
      <c r="E137" s="3" t="s">
        <v>282</v>
      </c>
      <c r="F137" s="3" t="s">
        <v>19</v>
      </c>
      <c r="G137" s="3" t="s">
        <v>93</v>
      </c>
      <c r="H137" s="3" t="s">
        <v>11</v>
      </c>
      <c r="I137" s="3" t="s">
        <v>7</v>
      </c>
      <c r="J137" s="3" t="s">
        <v>45</v>
      </c>
      <c r="K137" s="3" t="s">
        <v>123</v>
      </c>
      <c r="L137" s="3" t="s">
        <v>42</v>
      </c>
      <c r="M137">
        <v>1</v>
      </c>
    </row>
    <row r="138" spans="1:13" x14ac:dyDescent="0.25">
      <c r="A138" s="2">
        <v>46177</v>
      </c>
      <c r="B138" s="1" t="str">
        <f ca="1">IF(Información1[[#This Row],[Fecha]]='Ajuste de fechas'!$A$2,"Día actual","Día anterior")</f>
        <v>Día actual</v>
      </c>
      <c r="C138" s="3" t="s">
        <v>28</v>
      </c>
      <c r="D138" t="s">
        <v>120</v>
      </c>
      <c r="E138" s="3" t="s">
        <v>283</v>
      </c>
      <c r="F138" s="3" t="s">
        <v>24</v>
      </c>
      <c r="G138" s="3" t="s">
        <v>138</v>
      </c>
      <c r="H138" s="3" t="s">
        <v>11</v>
      </c>
      <c r="I138" s="3" t="s">
        <v>7</v>
      </c>
      <c r="J138" s="3" t="s">
        <v>24</v>
      </c>
      <c r="K138" s="3" t="s">
        <v>123</v>
      </c>
      <c r="L138" s="3" t="s">
        <v>42</v>
      </c>
      <c r="M138">
        <v>1</v>
      </c>
    </row>
    <row r="139" spans="1:13" x14ac:dyDescent="0.25">
      <c r="A139" s="2">
        <v>46177</v>
      </c>
      <c r="B139" s="1" t="str">
        <f ca="1">IF(Información1[[#This Row],[Fecha]]='Ajuste de fechas'!$A$2,"Día actual","Día anterior")</f>
        <v>Día actual</v>
      </c>
      <c r="C139" s="3" t="s">
        <v>28</v>
      </c>
      <c r="D139" t="s">
        <v>30</v>
      </c>
      <c r="E139" s="3" t="s">
        <v>284</v>
      </c>
      <c r="F139" s="3" t="s">
        <v>24</v>
      </c>
      <c r="G139" s="3" t="s">
        <v>138</v>
      </c>
      <c r="H139" s="3" t="s">
        <v>11</v>
      </c>
      <c r="I139" s="3" t="s">
        <v>7</v>
      </c>
      <c r="J139" s="3" t="s">
        <v>24</v>
      </c>
      <c r="K139" s="3" t="s">
        <v>29</v>
      </c>
      <c r="L139" s="3" t="s">
        <v>42</v>
      </c>
      <c r="M139">
        <v>1</v>
      </c>
    </row>
    <row r="140" spans="1:13" x14ac:dyDescent="0.25">
      <c r="A140" s="2">
        <v>46177</v>
      </c>
      <c r="B140" s="1" t="str">
        <f ca="1">IF(Información1[[#This Row],[Fecha]]='Ajuste de fechas'!$A$2,"Día actual","Día anterior")</f>
        <v>Día actual</v>
      </c>
      <c r="C140" s="3" t="s">
        <v>28</v>
      </c>
      <c r="D140" t="s">
        <v>30</v>
      </c>
      <c r="E140" s="3" t="s">
        <v>285</v>
      </c>
      <c r="F140" s="3" t="s">
        <v>24</v>
      </c>
      <c r="G140" s="3" t="s">
        <v>286</v>
      </c>
      <c r="H140" s="3" t="s">
        <v>11</v>
      </c>
      <c r="I140" s="3" t="s">
        <v>7</v>
      </c>
      <c r="J140" s="3" t="s">
        <v>24</v>
      </c>
      <c r="K140" s="3" t="s">
        <v>29</v>
      </c>
      <c r="L140" s="3" t="s">
        <v>43</v>
      </c>
      <c r="M140">
        <v>1</v>
      </c>
    </row>
    <row r="141" spans="1:13" x14ac:dyDescent="0.25">
      <c r="A141" s="2">
        <v>46177</v>
      </c>
      <c r="B141" s="1" t="str">
        <f ca="1">IF(Información1[[#This Row],[Fecha]]='Ajuste de fechas'!$A$2,"Día actual","Día anterior")</f>
        <v>Día actual</v>
      </c>
      <c r="C141" s="3" t="s">
        <v>8</v>
      </c>
      <c r="D141" t="s">
        <v>10</v>
      </c>
      <c r="E141" s="3" t="s">
        <v>287</v>
      </c>
      <c r="F141" s="3" t="s">
        <v>23</v>
      </c>
      <c r="G141" s="3" t="s">
        <v>288</v>
      </c>
      <c r="H141" s="3" t="s">
        <v>11</v>
      </c>
      <c r="I141" s="3" t="s">
        <v>7</v>
      </c>
      <c r="J141" s="3" t="s">
        <v>41</v>
      </c>
      <c r="K141" s="3" t="s">
        <v>14</v>
      </c>
      <c r="L141" s="3" t="s">
        <v>44</v>
      </c>
      <c r="M141">
        <v>1</v>
      </c>
    </row>
    <row r="142" spans="1:13" x14ac:dyDescent="0.25">
      <c r="A142" s="2">
        <v>46177</v>
      </c>
      <c r="B142" s="1" t="str">
        <f ca="1">IF(Información1[[#This Row],[Fecha]]='Ajuste de fechas'!$A$2,"Día actual","Día anterior")</f>
        <v>Día actual</v>
      </c>
      <c r="C142" s="3" t="s">
        <v>8</v>
      </c>
      <c r="D142" t="s">
        <v>10</v>
      </c>
      <c r="E142" s="3" t="s">
        <v>20</v>
      </c>
      <c r="F142" s="3" t="s">
        <v>19</v>
      </c>
      <c r="G142" s="3" t="s">
        <v>34</v>
      </c>
      <c r="H142" s="3" t="s">
        <v>11</v>
      </c>
      <c r="I142" s="3" t="s">
        <v>12</v>
      </c>
      <c r="J142" s="3" t="s">
        <v>45</v>
      </c>
      <c r="K142" s="3" t="s">
        <v>14</v>
      </c>
      <c r="L142" s="3" t="s">
        <v>43</v>
      </c>
      <c r="M142">
        <v>1</v>
      </c>
    </row>
    <row r="143" spans="1:13" x14ac:dyDescent="0.25">
      <c r="A143" s="2">
        <v>46177</v>
      </c>
      <c r="B143" s="1" t="str">
        <f ca="1">IF(Información1[[#This Row],[Fecha]]='Ajuste de fechas'!$A$2,"Día actual","Día anterior")</f>
        <v>Día actual</v>
      </c>
      <c r="C143" s="3" t="s">
        <v>8</v>
      </c>
      <c r="D143" t="s">
        <v>10</v>
      </c>
      <c r="E143" s="3" t="s">
        <v>18</v>
      </c>
      <c r="F143" s="3" t="s">
        <v>19</v>
      </c>
      <c r="G143" s="3" t="s">
        <v>34</v>
      </c>
      <c r="H143" s="3" t="s">
        <v>11</v>
      </c>
      <c r="I143" s="3" t="s">
        <v>12</v>
      </c>
      <c r="J143" s="3" t="s">
        <v>45</v>
      </c>
      <c r="K143" s="3" t="s">
        <v>14</v>
      </c>
      <c r="L143" s="3" t="s">
        <v>43</v>
      </c>
      <c r="M143">
        <v>1</v>
      </c>
    </row>
    <row r="144" spans="1:13" x14ac:dyDescent="0.25">
      <c r="A144" s="2">
        <v>46177</v>
      </c>
      <c r="B144" s="1" t="str">
        <f ca="1">IF(Información1[[#This Row],[Fecha]]='Ajuste de fechas'!$A$2,"Día actual","Día anterior")</f>
        <v>Día actual</v>
      </c>
      <c r="C144" s="3" t="s">
        <v>8</v>
      </c>
      <c r="D144" t="s">
        <v>10</v>
      </c>
      <c r="E144" s="3" t="s">
        <v>289</v>
      </c>
      <c r="F144" s="3" t="s">
        <v>60</v>
      </c>
      <c r="G144" s="3" t="s">
        <v>34</v>
      </c>
      <c r="H144" s="3" t="s">
        <v>11</v>
      </c>
      <c r="I144" s="3" t="s">
        <v>12</v>
      </c>
      <c r="J144" s="3" t="s">
        <v>24</v>
      </c>
      <c r="K144" s="3" t="s">
        <v>14</v>
      </c>
      <c r="L144" s="3" t="s">
        <v>43</v>
      </c>
      <c r="M144">
        <v>1</v>
      </c>
    </row>
    <row r="145" spans="1:13" x14ac:dyDescent="0.25">
      <c r="A145" s="2">
        <v>46177</v>
      </c>
      <c r="B145" s="1" t="str">
        <f ca="1">IF(Información1[[#This Row],[Fecha]]='Ajuste de fechas'!$A$2,"Día actual","Día anterior")</f>
        <v>Día actual</v>
      </c>
      <c r="C145" s="3" t="s">
        <v>8</v>
      </c>
      <c r="D145" t="s">
        <v>10</v>
      </c>
      <c r="E145" s="3" t="s">
        <v>57</v>
      </c>
      <c r="F145" s="3" t="s">
        <v>21</v>
      </c>
      <c r="G145" s="3" t="s">
        <v>34</v>
      </c>
      <c r="H145" s="3" t="s">
        <v>11</v>
      </c>
      <c r="I145" s="3" t="s">
        <v>12</v>
      </c>
      <c r="J145" s="3" t="s">
        <v>41</v>
      </c>
      <c r="K145" s="3" t="s">
        <v>14</v>
      </c>
      <c r="L145" s="3" t="s">
        <v>43</v>
      </c>
      <c r="M145">
        <v>1</v>
      </c>
    </row>
    <row r="146" spans="1:13" x14ac:dyDescent="0.25">
      <c r="A146" s="2">
        <v>46177</v>
      </c>
      <c r="B146" s="1" t="str">
        <f ca="1">IF(Información1[[#This Row],[Fecha]]='Ajuste de fechas'!$A$2,"Día actual","Día anterior")</f>
        <v>Día actual</v>
      </c>
      <c r="C146" s="3" t="s">
        <v>8</v>
      </c>
      <c r="D146" t="s">
        <v>10</v>
      </c>
      <c r="E146" s="3" t="s">
        <v>13</v>
      </c>
      <c r="F146" s="3" t="s">
        <v>15</v>
      </c>
      <c r="G146" s="3" t="s">
        <v>34</v>
      </c>
      <c r="H146" s="3" t="s">
        <v>11</v>
      </c>
      <c r="I146" s="3" t="s">
        <v>12</v>
      </c>
      <c r="J146" s="3" t="s">
        <v>41</v>
      </c>
      <c r="K146" s="3" t="s">
        <v>14</v>
      </c>
      <c r="L146" s="3" t="s">
        <v>43</v>
      </c>
      <c r="M146">
        <v>1</v>
      </c>
    </row>
    <row r="147" spans="1:13" x14ac:dyDescent="0.25">
      <c r="A147" s="2">
        <v>46177</v>
      </c>
      <c r="B147" s="1" t="str">
        <f ca="1">IF(Información1[[#This Row],[Fecha]]='Ajuste de fechas'!$A$2,"Día actual","Día anterior")</f>
        <v>Día actual</v>
      </c>
      <c r="C147" s="3" t="s">
        <v>8</v>
      </c>
      <c r="D147" t="s">
        <v>10</v>
      </c>
      <c r="E147" s="3" t="s">
        <v>16</v>
      </c>
      <c r="F147" s="3" t="s">
        <v>17</v>
      </c>
      <c r="G147" s="3" t="s">
        <v>34</v>
      </c>
      <c r="H147" s="3" t="s">
        <v>11</v>
      </c>
      <c r="I147" s="3" t="s">
        <v>12</v>
      </c>
      <c r="J147" s="3" t="s">
        <v>41</v>
      </c>
      <c r="K147" s="3" t="s">
        <v>14</v>
      </c>
      <c r="L147" s="3" t="s">
        <v>43</v>
      </c>
      <c r="M147">
        <v>1</v>
      </c>
    </row>
    <row r="148" spans="1:13" x14ac:dyDescent="0.25">
      <c r="A148" s="2">
        <v>46177</v>
      </c>
      <c r="B148" s="1" t="str">
        <f ca="1">IF(Información1[[#This Row],[Fecha]]='Ajuste de fechas'!$A$2,"Día actual","Día anterior")</f>
        <v>Día actual</v>
      </c>
      <c r="C148" s="3" t="s">
        <v>8</v>
      </c>
      <c r="D148" t="s">
        <v>10</v>
      </c>
      <c r="E148" s="3" t="s">
        <v>58</v>
      </c>
      <c r="F148" s="3" t="s">
        <v>6</v>
      </c>
      <c r="G148" s="3" t="s">
        <v>34</v>
      </c>
      <c r="H148" s="3" t="s">
        <v>11</v>
      </c>
      <c r="I148" s="3" t="s">
        <v>12</v>
      </c>
      <c r="J148" s="3" t="s">
        <v>41</v>
      </c>
      <c r="K148" s="3" t="s">
        <v>14</v>
      </c>
      <c r="L148" s="3" t="s">
        <v>43</v>
      </c>
      <c r="M148">
        <v>1</v>
      </c>
    </row>
    <row r="149" spans="1:13" x14ac:dyDescent="0.25">
      <c r="A149" s="2">
        <v>46177</v>
      </c>
      <c r="B149" s="1" t="str">
        <f ca="1">IF(Información1[[#This Row],[Fecha]]='Ajuste de fechas'!$A$2,"Día actual","Día anterior")</f>
        <v>Día actual</v>
      </c>
      <c r="C149" s="3" t="s">
        <v>125</v>
      </c>
      <c r="D149" t="s">
        <v>126</v>
      </c>
      <c r="E149" s="3" t="s">
        <v>290</v>
      </c>
      <c r="F149" s="3" t="s">
        <v>291</v>
      </c>
      <c r="G149" s="3" t="s">
        <v>292</v>
      </c>
      <c r="H149" s="3" t="s">
        <v>11</v>
      </c>
      <c r="I149" s="3" t="s">
        <v>7</v>
      </c>
      <c r="J149" s="3" t="s">
        <v>41</v>
      </c>
      <c r="K149" s="3" t="s">
        <v>128</v>
      </c>
      <c r="L149" s="3" t="s">
        <v>44</v>
      </c>
      <c r="M149">
        <v>1</v>
      </c>
    </row>
    <row r="150" spans="1:13" x14ac:dyDescent="0.25">
      <c r="A150" s="2">
        <v>46177</v>
      </c>
      <c r="B150" s="1" t="str">
        <f ca="1">IF(Información1[[#This Row],[Fecha]]='Ajuste de fechas'!$A$2,"Día actual","Día anterior")</f>
        <v>Día actual</v>
      </c>
      <c r="C150" s="3" t="s">
        <v>133</v>
      </c>
      <c r="D150" t="s">
        <v>134</v>
      </c>
      <c r="E150" s="3" t="s">
        <v>290</v>
      </c>
      <c r="F150" s="3" t="s">
        <v>291</v>
      </c>
      <c r="G150" s="3" t="s">
        <v>292</v>
      </c>
      <c r="H150" s="3" t="s">
        <v>11</v>
      </c>
      <c r="I150" s="3" t="s">
        <v>7</v>
      </c>
      <c r="J150" s="3" t="s">
        <v>41</v>
      </c>
      <c r="K150" s="3" t="s">
        <v>136</v>
      </c>
      <c r="L150" s="3" t="s">
        <v>44</v>
      </c>
      <c r="M150">
        <v>1</v>
      </c>
    </row>
    <row r="151" spans="1:13" x14ac:dyDescent="0.25">
      <c r="A151" s="2">
        <v>46177</v>
      </c>
      <c r="B151" s="1" t="str">
        <f ca="1">IF(Información1[[#This Row],[Fecha]]='Ajuste de fechas'!$A$2,"Día actual","Día anterior")</f>
        <v>Día actual</v>
      </c>
      <c r="C151" s="3" t="s">
        <v>8</v>
      </c>
      <c r="D151" t="s">
        <v>10</v>
      </c>
      <c r="E151" s="3" t="s">
        <v>293</v>
      </c>
      <c r="F151" s="3" t="s">
        <v>17</v>
      </c>
      <c r="G151" s="3" t="s">
        <v>82</v>
      </c>
      <c r="H151" s="3" t="s">
        <v>11</v>
      </c>
      <c r="I151" s="3" t="s">
        <v>25</v>
      </c>
      <c r="J151" s="3" t="s">
        <v>41</v>
      </c>
      <c r="K151" s="3" t="s">
        <v>9</v>
      </c>
      <c r="L151" s="3" t="s">
        <v>43</v>
      </c>
      <c r="M151">
        <v>1</v>
      </c>
    </row>
    <row r="152" spans="1:13" x14ac:dyDescent="0.25">
      <c r="A152" s="2">
        <v>46177</v>
      </c>
      <c r="B152" s="1" t="str">
        <f ca="1">IF(Información1[[#This Row],[Fecha]]='Ajuste de fechas'!$A$2,"Día actual","Día anterior")</f>
        <v>Día actual</v>
      </c>
      <c r="C152" s="3" t="s">
        <v>8</v>
      </c>
      <c r="D152" t="s">
        <v>10</v>
      </c>
      <c r="E152" s="3" t="s">
        <v>294</v>
      </c>
      <c r="F152" s="3" t="s">
        <v>17</v>
      </c>
      <c r="G152" s="3" t="s">
        <v>82</v>
      </c>
      <c r="H152" s="3" t="s">
        <v>11</v>
      </c>
      <c r="I152" s="3" t="s">
        <v>7</v>
      </c>
      <c r="J152" s="3" t="s">
        <v>41</v>
      </c>
      <c r="K152" s="3" t="s">
        <v>14</v>
      </c>
      <c r="L152" s="3" t="s">
        <v>42</v>
      </c>
      <c r="M152">
        <v>1</v>
      </c>
    </row>
    <row r="153" spans="1:13" x14ac:dyDescent="0.25">
      <c r="A153" s="2">
        <v>46177</v>
      </c>
      <c r="B153" s="1" t="str">
        <f ca="1">IF(Información1[[#This Row],[Fecha]]='Ajuste de fechas'!$A$2,"Día actual","Día anterior")</f>
        <v>Día actual</v>
      </c>
      <c r="C153" s="3" t="s">
        <v>8</v>
      </c>
      <c r="D153" t="s">
        <v>10</v>
      </c>
      <c r="E153" s="3" t="s">
        <v>295</v>
      </c>
      <c r="F153" s="3" t="s">
        <v>17</v>
      </c>
      <c r="G153" s="3" t="s">
        <v>82</v>
      </c>
      <c r="H153" s="3" t="s">
        <v>11</v>
      </c>
      <c r="I153" s="3" t="s">
        <v>7</v>
      </c>
      <c r="J153" s="3" t="s">
        <v>41</v>
      </c>
      <c r="K153" s="3" t="s">
        <v>14</v>
      </c>
      <c r="L153" s="3" t="s">
        <v>44</v>
      </c>
      <c r="M153">
        <v>1</v>
      </c>
    </row>
    <row r="154" spans="1:13" x14ac:dyDescent="0.25">
      <c r="A154" s="2">
        <v>46176</v>
      </c>
      <c r="B154" s="1" t="str">
        <f ca="1">IF(Información1[[#This Row],[Fecha]]='Ajuste de fechas'!$A$2,"Día actual","Día anterior")</f>
        <v>Día anterior</v>
      </c>
      <c r="C154" s="3" t="s">
        <v>296</v>
      </c>
      <c r="D154" t="s">
        <v>297</v>
      </c>
      <c r="E154" s="3" t="s">
        <v>298</v>
      </c>
      <c r="F154" s="3" t="s">
        <v>114</v>
      </c>
      <c r="G154" s="3" t="s">
        <v>115</v>
      </c>
      <c r="H154" s="3" t="s">
        <v>67</v>
      </c>
      <c r="I154" s="3" t="s">
        <v>7</v>
      </c>
      <c r="J154" s="3" t="s">
        <v>41</v>
      </c>
      <c r="K154" s="3" t="s">
        <v>52</v>
      </c>
      <c r="L154" s="3" t="s">
        <v>44</v>
      </c>
      <c r="M154">
        <v>1</v>
      </c>
    </row>
    <row r="155" spans="1:13" x14ac:dyDescent="0.25">
      <c r="A155" s="2">
        <v>46176</v>
      </c>
      <c r="B155" s="1" t="str">
        <f ca="1">IF(Información1[[#This Row],[Fecha]]='Ajuste de fechas'!$A$2,"Día actual","Día anterior")</f>
        <v>Día anterior</v>
      </c>
      <c r="C155" s="3" t="s">
        <v>296</v>
      </c>
      <c r="D155" t="s">
        <v>297</v>
      </c>
      <c r="E155" s="3" t="s">
        <v>96</v>
      </c>
      <c r="F155" s="3" t="s">
        <v>65</v>
      </c>
      <c r="G155" s="3" t="s">
        <v>97</v>
      </c>
      <c r="H155" s="3" t="s">
        <v>67</v>
      </c>
      <c r="I155" s="3" t="s">
        <v>7</v>
      </c>
      <c r="J155" s="3" t="s">
        <v>41</v>
      </c>
      <c r="K155" s="3" t="s">
        <v>52</v>
      </c>
      <c r="L155" s="3" t="s">
        <v>44</v>
      </c>
      <c r="M155">
        <v>1</v>
      </c>
    </row>
    <row r="156" spans="1:13" x14ac:dyDescent="0.25">
      <c r="A156" s="2">
        <v>46176</v>
      </c>
      <c r="B156" s="1" t="str">
        <f ca="1">IF(Información1[[#This Row],[Fecha]]='Ajuste de fechas'!$A$2,"Día actual","Día anterior")</f>
        <v>Día anterior</v>
      </c>
      <c r="C156" s="3" t="s">
        <v>296</v>
      </c>
      <c r="D156" t="s">
        <v>297</v>
      </c>
      <c r="E156" s="3" t="s">
        <v>116</v>
      </c>
      <c r="F156" s="3" t="s">
        <v>21</v>
      </c>
      <c r="G156" s="3" t="s">
        <v>117</v>
      </c>
      <c r="H156" s="3" t="s">
        <v>67</v>
      </c>
      <c r="I156" s="3" t="s">
        <v>7</v>
      </c>
      <c r="J156" s="3" t="s">
        <v>41</v>
      </c>
      <c r="K156" s="3" t="s">
        <v>52</v>
      </c>
      <c r="L156" s="3" t="s">
        <v>44</v>
      </c>
      <c r="M156">
        <v>1</v>
      </c>
    </row>
    <row r="157" spans="1:13" x14ac:dyDescent="0.25">
      <c r="A157" s="2">
        <v>46176</v>
      </c>
      <c r="B157" s="1" t="str">
        <f ca="1">IF(Información1[[#This Row],[Fecha]]='Ajuste de fechas'!$A$2,"Día actual","Día anterior")</f>
        <v>Día anterior</v>
      </c>
      <c r="C157" s="3" t="s">
        <v>296</v>
      </c>
      <c r="D157" t="s">
        <v>297</v>
      </c>
      <c r="E157" s="3" t="s">
        <v>299</v>
      </c>
      <c r="F157" s="3" t="s">
        <v>19</v>
      </c>
      <c r="G157" s="3" t="s">
        <v>84</v>
      </c>
      <c r="H157" s="3" t="s">
        <v>67</v>
      </c>
      <c r="I157" s="3" t="s">
        <v>7</v>
      </c>
      <c r="J157" s="3" t="s">
        <v>45</v>
      </c>
      <c r="K157" s="3" t="s">
        <v>52</v>
      </c>
      <c r="L157" s="3" t="s">
        <v>42</v>
      </c>
      <c r="M157">
        <v>1</v>
      </c>
    </row>
    <row r="158" spans="1:13" x14ac:dyDescent="0.25">
      <c r="A158" s="2">
        <v>46176</v>
      </c>
      <c r="B158" s="1" t="str">
        <f ca="1">IF(Información1[[#This Row],[Fecha]]='Ajuste de fechas'!$A$2,"Día actual","Día anterior")</f>
        <v>Día anterior</v>
      </c>
      <c r="C158" s="3" t="s">
        <v>296</v>
      </c>
      <c r="D158" t="s">
        <v>297</v>
      </c>
      <c r="E158" s="3" t="s">
        <v>227</v>
      </c>
      <c r="F158" s="3" t="s">
        <v>21</v>
      </c>
      <c r="G158" s="3" t="s">
        <v>228</v>
      </c>
      <c r="H158" s="3" t="s">
        <v>67</v>
      </c>
      <c r="I158" s="3" t="s">
        <v>7</v>
      </c>
      <c r="J158" s="3" t="s">
        <v>41</v>
      </c>
      <c r="K158" s="3" t="s">
        <v>52</v>
      </c>
      <c r="L158" s="3" t="s">
        <v>44</v>
      </c>
      <c r="M158">
        <v>1</v>
      </c>
    </row>
    <row r="159" spans="1:13" x14ac:dyDescent="0.25">
      <c r="A159" s="2">
        <v>46176</v>
      </c>
      <c r="B159" s="1" t="str">
        <f ca="1">IF(Información1[[#This Row],[Fecha]]='Ajuste de fechas'!$A$2,"Día actual","Día anterior")</f>
        <v>Día anterior</v>
      </c>
      <c r="C159" s="3" t="s">
        <v>296</v>
      </c>
      <c r="D159" t="s">
        <v>297</v>
      </c>
      <c r="E159" s="3" t="s">
        <v>111</v>
      </c>
      <c r="F159" s="3" t="s">
        <v>61</v>
      </c>
      <c r="G159" s="3" t="s">
        <v>112</v>
      </c>
      <c r="H159" s="3" t="s">
        <v>67</v>
      </c>
      <c r="I159" s="3" t="s">
        <v>7</v>
      </c>
      <c r="J159" s="3" t="s">
        <v>41</v>
      </c>
      <c r="K159" s="3" t="s">
        <v>52</v>
      </c>
      <c r="L159" s="3" t="s">
        <v>44</v>
      </c>
      <c r="M159">
        <v>1</v>
      </c>
    </row>
    <row r="160" spans="1:13" x14ac:dyDescent="0.25">
      <c r="A160" s="2">
        <v>46176</v>
      </c>
      <c r="B160" s="1" t="str">
        <f ca="1">IF(Información1[[#This Row],[Fecha]]='Ajuste de fechas'!$A$2,"Día actual","Día anterior")</f>
        <v>Día anterior</v>
      </c>
      <c r="C160" s="3" t="s">
        <v>296</v>
      </c>
      <c r="D160" t="s">
        <v>297</v>
      </c>
      <c r="E160" s="3" t="s">
        <v>300</v>
      </c>
      <c r="F160" s="3" t="s">
        <v>301</v>
      </c>
      <c r="G160" s="3" t="s">
        <v>302</v>
      </c>
      <c r="H160" s="3" t="s">
        <v>67</v>
      </c>
      <c r="I160" s="3" t="s">
        <v>7</v>
      </c>
      <c r="J160" s="3" t="s">
        <v>41</v>
      </c>
      <c r="K160" s="3" t="s">
        <v>52</v>
      </c>
      <c r="L160" s="3" t="s">
        <v>44</v>
      </c>
      <c r="M160">
        <v>1</v>
      </c>
    </row>
    <row r="161" spans="1:13" x14ac:dyDescent="0.25">
      <c r="A161" s="2">
        <v>46176</v>
      </c>
      <c r="B161" s="1" t="str">
        <f ca="1">IF(Información1[[#This Row],[Fecha]]='Ajuste de fechas'!$A$2,"Día actual","Día anterior")</f>
        <v>Día anterior</v>
      </c>
      <c r="C161" s="3" t="s">
        <v>296</v>
      </c>
      <c r="D161" t="s">
        <v>297</v>
      </c>
      <c r="E161" s="3" t="s">
        <v>303</v>
      </c>
      <c r="F161" s="3" t="s">
        <v>114</v>
      </c>
      <c r="G161" s="3" t="s">
        <v>304</v>
      </c>
      <c r="H161" s="3" t="s">
        <v>67</v>
      </c>
      <c r="I161" s="3" t="s">
        <v>7</v>
      </c>
      <c r="J161" s="3" t="s">
        <v>41</v>
      </c>
      <c r="K161" s="3" t="s">
        <v>52</v>
      </c>
      <c r="L161" s="3" t="s">
        <v>44</v>
      </c>
      <c r="M161">
        <v>1</v>
      </c>
    </row>
    <row r="162" spans="1:13" x14ac:dyDescent="0.25">
      <c r="A162" s="2">
        <v>46176</v>
      </c>
      <c r="B162" s="1" t="str">
        <f ca="1">IF(Información1[[#This Row],[Fecha]]='Ajuste de fechas'!$A$2,"Día actual","Día anterior")</f>
        <v>Día anterior</v>
      </c>
      <c r="C162" s="3" t="s">
        <v>296</v>
      </c>
      <c r="D162" t="s">
        <v>297</v>
      </c>
      <c r="E162" s="3" t="s">
        <v>99</v>
      </c>
      <c r="F162" s="3" t="s">
        <v>76</v>
      </c>
      <c r="G162" s="3" t="s">
        <v>100</v>
      </c>
      <c r="H162" s="3" t="s">
        <v>67</v>
      </c>
      <c r="I162" s="3" t="s">
        <v>7</v>
      </c>
      <c r="J162" s="3" t="s">
        <v>41</v>
      </c>
      <c r="K162" s="3" t="s">
        <v>52</v>
      </c>
      <c r="L162" s="3" t="s">
        <v>44</v>
      </c>
      <c r="M162">
        <v>1</v>
      </c>
    </row>
    <row r="163" spans="1:13" x14ac:dyDescent="0.25">
      <c r="A163" s="2">
        <v>46176</v>
      </c>
      <c r="B163" s="1" t="str">
        <f ca="1">IF(Información1[[#This Row],[Fecha]]='Ajuste de fechas'!$A$2,"Día actual","Día anterior")</f>
        <v>Día anterior</v>
      </c>
      <c r="C163" s="3" t="s">
        <v>296</v>
      </c>
      <c r="D163" t="s">
        <v>297</v>
      </c>
      <c r="E163" s="3" t="s">
        <v>118</v>
      </c>
      <c r="F163" s="3" t="s">
        <v>70</v>
      </c>
      <c r="G163" s="3" t="s">
        <v>84</v>
      </c>
      <c r="H163" s="3" t="s">
        <v>67</v>
      </c>
      <c r="I163" s="3" t="s">
        <v>7</v>
      </c>
      <c r="J163" s="3" t="s">
        <v>41</v>
      </c>
      <c r="K163" s="3" t="s">
        <v>52</v>
      </c>
      <c r="L163" s="3" t="s">
        <v>44</v>
      </c>
      <c r="M163">
        <v>1</v>
      </c>
    </row>
    <row r="164" spans="1:13" x14ac:dyDescent="0.25">
      <c r="A164" s="2">
        <v>46176</v>
      </c>
      <c r="B164" s="1" t="str">
        <f ca="1">IF(Información1[[#This Row],[Fecha]]='Ajuste de fechas'!$A$2,"Día actual","Día anterior")</f>
        <v>Día anterior</v>
      </c>
      <c r="C164" s="3" t="s">
        <v>296</v>
      </c>
      <c r="D164" t="s">
        <v>297</v>
      </c>
      <c r="E164" s="3" t="s">
        <v>188</v>
      </c>
      <c r="F164" s="3" t="s">
        <v>33</v>
      </c>
      <c r="G164" s="3" t="s">
        <v>187</v>
      </c>
      <c r="H164" s="3" t="s">
        <v>67</v>
      </c>
      <c r="I164" s="3" t="s">
        <v>7</v>
      </c>
      <c r="J164" s="3" t="s">
        <v>41</v>
      </c>
      <c r="K164" s="3" t="s">
        <v>52</v>
      </c>
      <c r="L164" s="3" t="s">
        <v>44</v>
      </c>
      <c r="M164">
        <v>1</v>
      </c>
    </row>
    <row r="165" spans="1:13" x14ac:dyDescent="0.25">
      <c r="A165" s="2">
        <v>46176</v>
      </c>
      <c r="B165" s="1" t="str">
        <f ca="1">IF(Información1[[#This Row],[Fecha]]='Ajuste de fechas'!$A$2,"Día actual","Día anterior")</f>
        <v>Día anterior</v>
      </c>
      <c r="C165" s="3" t="s">
        <v>296</v>
      </c>
      <c r="D165" t="s">
        <v>297</v>
      </c>
      <c r="E165" s="3" t="s">
        <v>305</v>
      </c>
      <c r="F165" s="3" t="s">
        <v>24</v>
      </c>
      <c r="G165" s="3" t="s">
        <v>56</v>
      </c>
      <c r="H165" s="3" t="s">
        <v>67</v>
      </c>
      <c r="I165" s="3" t="s">
        <v>7</v>
      </c>
      <c r="J165" s="3" t="s">
        <v>24</v>
      </c>
      <c r="K165" s="3" t="s">
        <v>52</v>
      </c>
      <c r="L165" s="3" t="s">
        <v>306</v>
      </c>
      <c r="M165">
        <v>1</v>
      </c>
    </row>
    <row r="166" spans="1:13" x14ac:dyDescent="0.25">
      <c r="A166" s="2">
        <v>46176</v>
      </c>
      <c r="B166" s="1" t="str">
        <f ca="1">IF(Información1[[#This Row],[Fecha]]='Ajuste de fechas'!$A$2,"Día actual","Día anterior")</f>
        <v>Día anterior</v>
      </c>
      <c r="C166" s="3" t="s">
        <v>296</v>
      </c>
      <c r="D166" t="s">
        <v>297</v>
      </c>
      <c r="E166" s="3" t="s">
        <v>307</v>
      </c>
      <c r="F166" s="3" t="s">
        <v>59</v>
      </c>
      <c r="G166" s="3" t="s">
        <v>308</v>
      </c>
      <c r="H166" s="3" t="s">
        <v>67</v>
      </c>
      <c r="I166" s="3" t="s">
        <v>7</v>
      </c>
      <c r="J166" s="3" t="s">
        <v>41</v>
      </c>
      <c r="K166" s="3" t="s">
        <v>52</v>
      </c>
      <c r="L166" s="3" t="s">
        <v>42</v>
      </c>
      <c r="M166">
        <v>1</v>
      </c>
    </row>
    <row r="167" spans="1:13" x14ac:dyDescent="0.25">
      <c r="A167" s="2">
        <v>46176</v>
      </c>
      <c r="B167" s="1" t="str">
        <f ca="1">IF(Información1[[#This Row],[Fecha]]='Ajuste de fechas'!$A$2,"Día actual","Día anterior")</f>
        <v>Día anterior</v>
      </c>
      <c r="C167" s="3" t="s">
        <v>296</v>
      </c>
      <c r="D167" t="s">
        <v>297</v>
      </c>
      <c r="E167" s="3" t="s">
        <v>309</v>
      </c>
      <c r="F167" s="3" t="s">
        <v>59</v>
      </c>
      <c r="G167" s="3" t="s">
        <v>308</v>
      </c>
      <c r="H167" s="3" t="s">
        <v>67</v>
      </c>
      <c r="I167" s="3" t="s">
        <v>7</v>
      </c>
      <c r="J167" s="3" t="s">
        <v>41</v>
      </c>
      <c r="K167" s="3" t="s">
        <v>52</v>
      </c>
      <c r="L167" s="3" t="s">
        <v>42</v>
      </c>
      <c r="M167">
        <v>1</v>
      </c>
    </row>
    <row r="168" spans="1:13" x14ac:dyDescent="0.25">
      <c r="A168" s="2">
        <v>46177</v>
      </c>
      <c r="B168" s="1" t="str">
        <f ca="1">IF(Información1[[#This Row],[Fecha]]='Ajuste de fechas'!$A$2,"Día actual","Día anterior")</f>
        <v>Día actual</v>
      </c>
      <c r="C168" s="3" t="s">
        <v>71</v>
      </c>
      <c r="D168" t="s">
        <v>72</v>
      </c>
      <c r="E168" s="3" t="s">
        <v>310</v>
      </c>
      <c r="F168" s="3" t="s">
        <v>21</v>
      </c>
      <c r="G168" s="3" t="s">
        <v>311</v>
      </c>
      <c r="H168" s="3" t="s">
        <v>11</v>
      </c>
      <c r="I168" s="3" t="s">
        <v>7</v>
      </c>
      <c r="J168" s="3" t="s">
        <v>41</v>
      </c>
      <c r="K168" s="3" t="s">
        <v>73</v>
      </c>
      <c r="L168" s="3" t="s">
        <v>44</v>
      </c>
      <c r="M168">
        <v>1</v>
      </c>
    </row>
    <row r="169" spans="1:13" x14ac:dyDescent="0.25">
      <c r="A169" s="2">
        <v>46177</v>
      </c>
      <c r="B169" s="1" t="str">
        <f ca="1">IF(Información1[[#This Row],[Fecha]]='Ajuste de fechas'!$A$2,"Día actual","Día anterior")</f>
        <v>Día actual</v>
      </c>
      <c r="C169" s="3" t="s">
        <v>71</v>
      </c>
      <c r="D169" t="s">
        <v>72</v>
      </c>
      <c r="E169" s="3" t="s">
        <v>312</v>
      </c>
      <c r="F169" s="3" t="s">
        <v>19</v>
      </c>
      <c r="G169" s="3" t="s">
        <v>313</v>
      </c>
      <c r="H169" s="3" t="s">
        <v>11</v>
      </c>
      <c r="I169" s="3" t="s">
        <v>7</v>
      </c>
      <c r="J169" s="3" t="s">
        <v>45</v>
      </c>
      <c r="K169" s="3" t="s">
        <v>73</v>
      </c>
      <c r="L169" s="3" t="s">
        <v>42</v>
      </c>
      <c r="M169">
        <v>1</v>
      </c>
    </row>
    <row r="170" spans="1:13" x14ac:dyDescent="0.25">
      <c r="A170" s="2">
        <v>46177</v>
      </c>
      <c r="B170" s="1" t="str">
        <f ca="1">IF(Información1[[#This Row],[Fecha]]='Ajuste de fechas'!$A$2,"Día actual","Día anterior")</f>
        <v>Día actual</v>
      </c>
      <c r="C170" s="3" t="s">
        <v>71</v>
      </c>
      <c r="D170" t="s">
        <v>72</v>
      </c>
      <c r="E170" s="3" t="s">
        <v>250</v>
      </c>
      <c r="F170" s="3" t="s">
        <v>248</v>
      </c>
      <c r="G170" s="3" t="s">
        <v>249</v>
      </c>
      <c r="H170" s="3" t="s">
        <v>11</v>
      </c>
      <c r="I170" s="3" t="s">
        <v>7</v>
      </c>
      <c r="J170" s="3" t="s">
        <v>41</v>
      </c>
      <c r="K170" s="3" t="s">
        <v>73</v>
      </c>
      <c r="L170" s="3" t="s">
        <v>44</v>
      </c>
      <c r="M170">
        <v>1</v>
      </c>
    </row>
    <row r="171" spans="1:13" x14ac:dyDescent="0.25">
      <c r="A171" s="2">
        <v>46177</v>
      </c>
      <c r="B171" s="1" t="str">
        <f ca="1">IF(Información1[[#This Row],[Fecha]]='Ajuste de fechas'!$A$2,"Día actual","Día anterior")</f>
        <v>Día actual</v>
      </c>
      <c r="C171" s="3" t="s">
        <v>71</v>
      </c>
      <c r="D171" t="s">
        <v>72</v>
      </c>
      <c r="E171" s="3" t="s">
        <v>314</v>
      </c>
      <c r="F171" s="3" t="s">
        <v>19</v>
      </c>
      <c r="G171" s="3" t="s">
        <v>255</v>
      </c>
      <c r="H171" s="3" t="s">
        <v>11</v>
      </c>
      <c r="I171" s="3" t="s">
        <v>7</v>
      </c>
      <c r="J171" s="3" t="s">
        <v>45</v>
      </c>
      <c r="K171" s="3" t="s">
        <v>73</v>
      </c>
      <c r="L171" s="3" t="s">
        <v>42</v>
      </c>
      <c r="M171">
        <v>1</v>
      </c>
    </row>
    <row r="172" spans="1:13" x14ac:dyDescent="0.25">
      <c r="A172" s="2">
        <v>46177</v>
      </c>
      <c r="B172" s="1" t="str">
        <f ca="1">IF(Información1[[#This Row],[Fecha]]='Ajuste de fechas'!$A$2,"Día actual","Día anterior")</f>
        <v>Día actual</v>
      </c>
      <c r="C172" s="3" t="s">
        <v>71</v>
      </c>
      <c r="D172" t="s">
        <v>72</v>
      </c>
      <c r="E172" s="3" t="s">
        <v>287</v>
      </c>
      <c r="F172" s="3" t="s">
        <v>23</v>
      </c>
      <c r="G172" s="3" t="s">
        <v>288</v>
      </c>
      <c r="H172" s="3" t="s">
        <v>11</v>
      </c>
      <c r="I172" s="3" t="s">
        <v>7</v>
      </c>
      <c r="J172" s="3" t="s">
        <v>41</v>
      </c>
      <c r="K172" s="3" t="s">
        <v>73</v>
      </c>
      <c r="L172" s="3" t="s">
        <v>44</v>
      </c>
      <c r="M172">
        <v>1</v>
      </c>
    </row>
    <row r="173" spans="1:13" x14ac:dyDescent="0.25">
      <c r="A173" s="2">
        <v>46177</v>
      </c>
      <c r="B173" s="1" t="str">
        <f ca="1">IF(Información1[[#This Row],[Fecha]]='Ajuste de fechas'!$A$2,"Día actual","Día anterior")</f>
        <v>Día actual</v>
      </c>
      <c r="C173" s="3" t="s">
        <v>71</v>
      </c>
      <c r="D173" t="s">
        <v>72</v>
      </c>
      <c r="E173" s="3" t="s">
        <v>315</v>
      </c>
      <c r="F173" s="3" t="s">
        <v>23</v>
      </c>
      <c r="G173" s="3" t="s">
        <v>316</v>
      </c>
      <c r="H173" s="3" t="s">
        <v>11</v>
      </c>
      <c r="I173" s="3" t="s">
        <v>7</v>
      </c>
      <c r="J173" s="3" t="s">
        <v>41</v>
      </c>
      <c r="K173" s="3" t="s">
        <v>73</v>
      </c>
      <c r="L173" s="3" t="s">
        <v>42</v>
      </c>
      <c r="M173">
        <v>1</v>
      </c>
    </row>
    <row r="174" spans="1:13" x14ac:dyDescent="0.25">
      <c r="A174" s="2">
        <v>46177</v>
      </c>
      <c r="B174" s="1" t="str">
        <f ca="1">IF(Información1[[#This Row],[Fecha]]='Ajuste de fechas'!$A$2,"Día actual","Día anterior")</f>
        <v>Día actual</v>
      </c>
      <c r="C174" s="3" t="s">
        <v>71</v>
      </c>
      <c r="D174" t="s">
        <v>72</v>
      </c>
      <c r="E174" s="3" t="s">
        <v>317</v>
      </c>
      <c r="F174" s="3" t="s">
        <v>19</v>
      </c>
      <c r="G174" s="3" t="s">
        <v>318</v>
      </c>
      <c r="H174" s="3" t="s">
        <v>11</v>
      </c>
      <c r="I174" s="3" t="s">
        <v>7</v>
      </c>
      <c r="J174" s="3" t="s">
        <v>45</v>
      </c>
      <c r="K174" s="3" t="s">
        <v>73</v>
      </c>
      <c r="L174" s="3" t="s">
        <v>42</v>
      </c>
      <c r="M174">
        <v>1</v>
      </c>
    </row>
    <row r="175" spans="1:13" x14ac:dyDescent="0.25">
      <c r="A175" s="2">
        <v>46177</v>
      </c>
      <c r="B175" s="1" t="str">
        <f ca="1">IF(Información1[[#This Row],[Fecha]]='Ajuste de fechas'!$A$2,"Día actual","Día anterior")</f>
        <v>Día actual</v>
      </c>
      <c r="C175" s="3" t="s">
        <v>71</v>
      </c>
      <c r="D175" t="s">
        <v>72</v>
      </c>
      <c r="E175" s="3" t="s">
        <v>319</v>
      </c>
      <c r="F175" s="3" t="s">
        <v>19</v>
      </c>
      <c r="G175" s="3" t="s">
        <v>320</v>
      </c>
      <c r="H175" s="3" t="s">
        <v>11</v>
      </c>
      <c r="I175" s="3" t="s">
        <v>7</v>
      </c>
      <c r="J175" s="3" t="s">
        <v>45</v>
      </c>
      <c r="K175" s="3" t="s">
        <v>73</v>
      </c>
      <c r="L175" s="3" t="s">
        <v>42</v>
      </c>
      <c r="M175">
        <v>1</v>
      </c>
    </row>
    <row r="176" spans="1:13" x14ac:dyDescent="0.25">
      <c r="A176" s="2">
        <v>46177</v>
      </c>
      <c r="B176" s="1" t="str">
        <f ca="1">IF(Información1[[#This Row],[Fecha]]='Ajuste de fechas'!$A$2,"Día actual","Día anterior")</f>
        <v>Día actual</v>
      </c>
      <c r="C176" s="3" t="s">
        <v>71</v>
      </c>
      <c r="D176" t="s">
        <v>72</v>
      </c>
      <c r="E176" s="3" t="s">
        <v>321</v>
      </c>
      <c r="F176" s="3" t="s">
        <v>19</v>
      </c>
      <c r="G176" s="3" t="s">
        <v>322</v>
      </c>
      <c r="H176" s="3" t="s">
        <v>11</v>
      </c>
      <c r="I176" s="3" t="s">
        <v>25</v>
      </c>
      <c r="J176" s="3" t="s">
        <v>45</v>
      </c>
      <c r="K176" s="3" t="s">
        <v>73</v>
      </c>
      <c r="L176" s="3" t="s">
        <v>42</v>
      </c>
      <c r="M176">
        <v>1</v>
      </c>
    </row>
    <row r="177" spans="1:13" x14ac:dyDescent="0.25">
      <c r="A177" s="2">
        <v>46177</v>
      </c>
      <c r="B177" s="1" t="str">
        <f ca="1">IF(Información1[[#This Row],[Fecha]]='Ajuste de fechas'!$A$2,"Día actual","Día anterior")</f>
        <v>Día actual</v>
      </c>
      <c r="C177" s="3" t="s">
        <v>71</v>
      </c>
      <c r="D177" t="s">
        <v>72</v>
      </c>
      <c r="E177" s="3" t="s">
        <v>323</v>
      </c>
      <c r="F177" s="3" t="s">
        <v>19</v>
      </c>
      <c r="G177" s="3" t="s">
        <v>252</v>
      </c>
      <c r="H177" s="3" t="s">
        <v>11</v>
      </c>
      <c r="I177" s="3" t="s">
        <v>7</v>
      </c>
      <c r="J177" s="3" t="s">
        <v>45</v>
      </c>
      <c r="K177" s="3" t="s">
        <v>73</v>
      </c>
      <c r="L177" s="3" t="s">
        <v>42</v>
      </c>
      <c r="M177">
        <v>1</v>
      </c>
    </row>
    <row r="178" spans="1:13" x14ac:dyDescent="0.25">
      <c r="A178" s="2">
        <v>46177</v>
      </c>
      <c r="B178" s="1" t="str">
        <f ca="1">IF(Información1[[#This Row],[Fecha]]='Ajuste de fechas'!$A$2,"Día actual","Día anterior")</f>
        <v>Día actual</v>
      </c>
      <c r="C178" s="3" t="s">
        <v>71</v>
      </c>
      <c r="D178" t="s">
        <v>72</v>
      </c>
      <c r="E178" s="3" t="s">
        <v>324</v>
      </c>
      <c r="F178" s="3" t="s">
        <v>19</v>
      </c>
      <c r="G178" s="3" t="s">
        <v>325</v>
      </c>
      <c r="H178" s="3" t="s">
        <v>11</v>
      </c>
      <c r="I178" s="3" t="s">
        <v>25</v>
      </c>
      <c r="J178" s="3" t="s">
        <v>45</v>
      </c>
      <c r="K178" s="3" t="s">
        <v>73</v>
      </c>
      <c r="L178" s="3" t="s">
        <v>42</v>
      </c>
      <c r="M178">
        <v>1</v>
      </c>
    </row>
    <row r="179" spans="1:13" x14ac:dyDescent="0.25">
      <c r="A179" s="2">
        <v>46177</v>
      </c>
      <c r="B179" s="1" t="str">
        <f ca="1">IF(Información1[[#This Row],[Fecha]]='Ajuste de fechas'!$A$2,"Día actual","Día anterior")</f>
        <v>Día actual</v>
      </c>
      <c r="C179" s="3" t="s">
        <v>71</v>
      </c>
      <c r="D179" t="s">
        <v>72</v>
      </c>
      <c r="E179" s="3" t="s">
        <v>326</v>
      </c>
      <c r="F179" s="3" t="s">
        <v>61</v>
      </c>
      <c r="G179" s="3" t="s">
        <v>112</v>
      </c>
      <c r="H179" s="3" t="s">
        <v>11</v>
      </c>
      <c r="I179" s="3" t="s">
        <v>7</v>
      </c>
      <c r="J179" s="3" t="s">
        <v>41</v>
      </c>
      <c r="K179" s="3" t="s">
        <v>73</v>
      </c>
      <c r="L179" s="3" t="s">
        <v>44</v>
      </c>
      <c r="M179">
        <v>1</v>
      </c>
    </row>
    <row r="180" spans="1:13" x14ac:dyDescent="0.25">
      <c r="A180" s="2">
        <v>46177</v>
      </c>
      <c r="B180" s="1" t="str">
        <f ca="1">IF(Información1[[#This Row],[Fecha]]='Ajuste de fechas'!$A$2,"Día actual","Día anterior")</f>
        <v>Día actual</v>
      </c>
      <c r="C180" s="3" t="s">
        <v>71</v>
      </c>
      <c r="D180" t="s">
        <v>72</v>
      </c>
      <c r="E180" s="3" t="s">
        <v>327</v>
      </c>
      <c r="F180" s="3" t="s">
        <v>22</v>
      </c>
      <c r="G180" s="3" t="s">
        <v>173</v>
      </c>
      <c r="H180" s="3" t="s">
        <v>11</v>
      </c>
      <c r="I180" s="3" t="s">
        <v>7</v>
      </c>
      <c r="J180" s="3" t="s">
        <v>46</v>
      </c>
      <c r="K180" s="3" t="s">
        <v>73</v>
      </c>
      <c r="L180" s="3" t="s">
        <v>42</v>
      </c>
      <c r="M180">
        <v>1</v>
      </c>
    </row>
    <row r="181" spans="1:13" x14ac:dyDescent="0.25">
      <c r="A181" s="2">
        <v>46177</v>
      </c>
      <c r="B181" s="1" t="str">
        <f ca="1">IF(Información1[[#This Row],[Fecha]]='Ajuste de fechas'!$A$2,"Día actual","Día anterior")</f>
        <v>Día actual</v>
      </c>
      <c r="C181" s="3" t="s">
        <v>71</v>
      </c>
      <c r="D181" t="s">
        <v>72</v>
      </c>
      <c r="E181" s="3" t="s">
        <v>328</v>
      </c>
      <c r="F181" s="3" t="s">
        <v>22</v>
      </c>
      <c r="G181" s="3" t="s">
        <v>329</v>
      </c>
      <c r="H181" s="3" t="s">
        <v>11</v>
      </c>
      <c r="I181" s="3" t="s">
        <v>7</v>
      </c>
      <c r="J181" s="3" t="s">
        <v>46</v>
      </c>
      <c r="K181" s="3" t="s">
        <v>73</v>
      </c>
      <c r="L181" s="3" t="s">
        <v>42</v>
      </c>
      <c r="M181">
        <v>1</v>
      </c>
    </row>
    <row r="182" spans="1:13" x14ac:dyDescent="0.25">
      <c r="A182" s="2">
        <v>46177</v>
      </c>
      <c r="B182" s="1" t="str">
        <f ca="1">IF(Información1[[#This Row],[Fecha]]='Ajuste de fechas'!$A$2,"Día actual","Día anterior")</f>
        <v>Día actual</v>
      </c>
      <c r="C182" s="3" t="s">
        <v>71</v>
      </c>
      <c r="D182" t="s">
        <v>72</v>
      </c>
      <c r="E182" s="3" t="s">
        <v>330</v>
      </c>
      <c r="F182" s="3" t="s">
        <v>15</v>
      </c>
      <c r="G182" s="3" t="s">
        <v>331</v>
      </c>
      <c r="H182" s="3" t="s">
        <v>11</v>
      </c>
      <c r="I182" s="3" t="s">
        <v>7</v>
      </c>
      <c r="J182" s="3" t="s">
        <v>41</v>
      </c>
      <c r="K182" s="3" t="s">
        <v>73</v>
      </c>
      <c r="L182" s="3" t="s">
        <v>42</v>
      </c>
      <c r="M182">
        <v>1</v>
      </c>
    </row>
    <row r="183" spans="1:13" x14ac:dyDescent="0.25">
      <c r="A183" s="2">
        <v>46177</v>
      </c>
      <c r="B183" s="1" t="str">
        <f ca="1">IF(Información1[[#This Row],[Fecha]]='Ajuste de fechas'!$A$2,"Día actual","Día anterior")</f>
        <v>Día actual</v>
      </c>
      <c r="C183" s="3" t="s">
        <v>71</v>
      </c>
      <c r="D183" t="s">
        <v>72</v>
      </c>
      <c r="E183" s="3" t="s">
        <v>332</v>
      </c>
      <c r="F183" s="3" t="s">
        <v>19</v>
      </c>
      <c r="G183" s="3" t="s">
        <v>205</v>
      </c>
      <c r="H183" s="3" t="s">
        <v>11</v>
      </c>
      <c r="I183" s="3" t="s">
        <v>7</v>
      </c>
      <c r="J183" s="3" t="s">
        <v>45</v>
      </c>
      <c r="K183" s="3" t="s">
        <v>73</v>
      </c>
      <c r="L183" s="3" t="s">
        <v>42</v>
      </c>
      <c r="M183">
        <v>1</v>
      </c>
    </row>
    <row r="184" spans="1:13" x14ac:dyDescent="0.25">
      <c r="A184" s="2">
        <v>46177</v>
      </c>
      <c r="B184" s="1" t="str">
        <f ca="1">IF(Información1[[#This Row],[Fecha]]='Ajuste de fechas'!$A$2,"Día actual","Día anterior")</f>
        <v>Día actual</v>
      </c>
      <c r="C184" s="3" t="s">
        <v>71</v>
      </c>
      <c r="D184" t="s">
        <v>72</v>
      </c>
      <c r="E184" s="3" t="s">
        <v>74</v>
      </c>
      <c r="F184" s="3" t="s">
        <v>19</v>
      </c>
      <c r="G184" s="3" t="s">
        <v>66</v>
      </c>
      <c r="H184" s="3" t="s">
        <v>11</v>
      </c>
      <c r="I184" s="3" t="s">
        <v>7</v>
      </c>
      <c r="J184" s="3" t="s">
        <v>45</v>
      </c>
      <c r="K184" s="3" t="s">
        <v>73</v>
      </c>
      <c r="L184" s="3" t="s">
        <v>42</v>
      </c>
      <c r="M184">
        <v>1</v>
      </c>
    </row>
    <row r="185" spans="1:13" x14ac:dyDescent="0.25">
      <c r="A185" s="2">
        <v>46177</v>
      </c>
      <c r="B185" s="1" t="str">
        <f ca="1">IF(Información1[[#This Row],[Fecha]]='Ajuste de fechas'!$A$2,"Día actual","Día anterior")</f>
        <v>Día actual</v>
      </c>
      <c r="C185" s="3" t="s">
        <v>71</v>
      </c>
      <c r="D185" t="s">
        <v>72</v>
      </c>
      <c r="E185" s="3" t="s">
        <v>333</v>
      </c>
      <c r="F185" s="3" t="s">
        <v>60</v>
      </c>
      <c r="G185" s="3" t="s">
        <v>109</v>
      </c>
      <c r="H185" s="3" t="s">
        <v>11</v>
      </c>
      <c r="I185" s="3" t="s">
        <v>7</v>
      </c>
      <c r="J185" s="3" t="s">
        <v>24</v>
      </c>
      <c r="K185" s="3" t="s">
        <v>73</v>
      </c>
      <c r="L185" s="3" t="s">
        <v>42</v>
      </c>
      <c r="M185">
        <v>1</v>
      </c>
    </row>
    <row r="186" spans="1:13" x14ac:dyDescent="0.25">
      <c r="A186" s="2">
        <v>46177</v>
      </c>
      <c r="B186" s="1" t="str">
        <f ca="1">IF(Información1[[#This Row],[Fecha]]='Ajuste de fechas'!$A$2,"Día actual","Día anterior")</f>
        <v>Día actual</v>
      </c>
      <c r="C186" s="3" t="s">
        <v>71</v>
      </c>
      <c r="D186" t="s">
        <v>72</v>
      </c>
      <c r="E186" s="3" t="s">
        <v>334</v>
      </c>
      <c r="F186" s="3" t="s">
        <v>17</v>
      </c>
      <c r="G186" s="3" t="s">
        <v>82</v>
      </c>
      <c r="H186" s="3" t="s">
        <v>11</v>
      </c>
      <c r="I186" s="3" t="s">
        <v>25</v>
      </c>
      <c r="J186" s="3" t="s">
        <v>41</v>
      </c>
      <c r="K186" s="3" t="s">
        <v>73</v>
      </c>
      <c r="L186" s="3" t="s">
        <v>43</v>
      </c>
      <c r="M186">
        <v>1</v>
      </c>
    </row>
    <row r="187" spans="1:13" x14ac:dyDescent="0.25">
      <c r="A187" s="2">
        <v>46177</v>
      </c>
      <c r="B187" s="1" t="str">
        <f ca="1">IF(Información1[[#This Row],[Fecha]]='Ajuste de fechas'!$A$2,"Día actual","Día anterior")</f>
        <v>Día actual</v>
      </c>
      <c r="C187" s="3" t="s">
        <v>71</v>
      </c>
      <c r="D187" t="s">
        <v>72</v>
      </c>
      <c r="E187" s="3" t="s">
        <v>127</v>
      </c>
      <c r="F187" s="3" t="s">
        <v>17</v>
      </c>
      <c r="G187" s="3" t="s">
        <v>82</v>
      </c>
      <c r="H187" s="3" t="s">
        <v>11</v>
      </c>
      <c r="I187" s="3" t="s">
        <v>7</v>
      </c>
      <c r="J187" s="3" t="s">
        <v>41</v>
      </c>
      <c r="K187" s="3" t="s">
        <v>73</v>
      </c>
      <c r="L187" s="3" t="s">
        <v>44</v>
      </c>
      <c r="M187">
        <v>1</v>
      </c>
    </row>
    <row r="188" spans="1:13" x14ac:dyDescent="0.25">
      <c r="A188" s="2">
        <v>46177</v>
      </c>
      <c r="B188" s="1" t="str">
        <f ca="1">IF(Información1[[#This Row],[Fecha]]='Ajuste de fechas'!$A$2,"Día actual","Día anterior")</f>
        <v>Día actual</v>
      </c>
      <c r="C188" s="3" t="s">
        <v>71</v>
      </c>
      <c r="D188" t="s">
        <v>72</v>
      </c>
      <c r="E188" s="3" t="s">
        <v>295</v>
      </c>
      <c r="F188" s="3" t="s">
        <v>17</v>
      </c>
      <c r="G188" s="3" t="s">
        <v>82</v>
      </c>
      <c r="H188" s="3" t="s">
        <v>11</v>
      </c>
      <c r="I188" s="3" t="s">
        <v>7</v>
      </c>
      <c r="J188" s="3" t="s">
        <v>41</v>
      </c>
      <c r="K188" s="3" t="s">
        <v>73</v>
      </c>
      <c r="L188" s="3" t="s">
        <v>44</v>
      </c>
      <c r="M188">
        <v>1</v>
      </c>
    </row>
    <row r="189" spans="1:13" x14ac:dyDescent="0.25">
      <c r="A189" s="2">
        <v>46177</v>
      </c>
      <c r="B189" s="1" t="str">
        <f ca="1">IF(Información1[[#This Row],[Fecha]]='Ajuste de fechas'!$A$2,"Día actual","Día anterior")</f>
        <v>Día actual</v>
      </c>
      <c r="C189" s="3" t="s">
        <v>71</v>
      </c>
      <c r="D189" t="s">
        <v>72</v>
      </c>
      <c r="E189" s="3" t="s">
        <v>335</v>
      </c>
      <c r="F189" s="3" t="s">
        <v>17</v>
      </c>
      <c r="G189" s="3" t="s">
        <v>82</v>
      </c>
      <c r="H189" s="3" t="s">
        <v>11</v>
      </c>
      <c r="I189" s="3" t="s">
        <v>7</v>
      </c>
      <c r="J189" s="3" t="s">
        <v>41</v>
      </c>
      <c r="K189" s="3" t="s">
        <v>73</v>
      </c>
      <c r="L189" s="3" t="s">
        <v>44</v>
      </c>
      <c r="M189">
        <v>1</v>
      </c>
    </row>
    <row r="190" spans="1:13" x14ac:dyDescent="0.25">
      <c r="A190" s="2">
        <v>46177</v>
      </c>
      <c r="B190" s="1" t="str">
        <f ca="1">IF(Información1[[#This Row],[Fecha]]='Ajuste de fechas'!$A$2,"Día actual","Día anterior")</f>
        <v>Día actual</v>
      </c>
      <c r="C190" s="3" t="s">
        <v>71</v>
      </c>
      <c r="D190" t="s">
        <v>72</v>
      </c>
      <c r="E190" s="3" t="s">
        <v>336</v>
      </c>
      <c r="F190" s="3" t="s">
        <v>60</v>
      </c>
      <c r="G190" s="3" t="s">
        <v>107</v>
      </c>
      <c r="H190" s="3" t="s">
        <v>11</v>
      </c>
      <c r="I190" s="3" t="s">
        <v>7</v>
      </c>
      <c r="J190" s="3" t="s">
        <v>24</v>
      </c>
      <c r="K190" s="3" t="s">
        <v>73</v>
      </c>
      <c r="L190" s="3" t="s">
        <v>42</v>
      </c>
      <c r="M190">
        <v>1</v>
      </c>
    </row>
    <row r="191" spans="1:13" x14ac:dyDescent="0.25">
      <c r="A191" s="2">
        <v>46177</v>
      </c>
      <c r="B191" s="1" t="str">
        <f ca="1">IF(Información1[[#This Row],[Fecha]]='Ajuste de fechas'!$A$2,"Día actual","Día anterior")</f>
        <v>Día actual</v>
      </c>
      <c r="C191" s="3" t="s">
        <v>71</v>
      </c>
      <c r="D191" t="s">
        <v>72</v>
      </c>
      <c r="E191" s="3" t="s">
        <v>337</v>
      </c>
      <c r="F191" s="3" t="s">
        <v>24</v>
      </c>
      <c r="G191" s="3" t="s">
        <v>56</v>
      </c>
      <c r="H191" s="3" t="s">
        <v>11</v>
      </c>
      <c r="I191" s="3" t="s">
        <v>7</v>
      </c>
      <c r="J191" s="3" t="s">
        <v>24</v>
      </c>
      <c r="K191" s="3" t="s">
        <v>73</v>
      </c>
      <c r="L191" s="3" t="s">
        <v>42</v>
      </c>
      <c r="M191">
        <v>1</v>
      </c>
    </row>
    <row r="192" spans="1:13" x14ac:dyDescent="0.25">
      <c r="A192" s="2">
        <v>46177</v>
      </c>
      <c r="B192" s="1" t="str">
        <f ca="1">IF(Información1[[#This Row],[Fecha]]='Ajuste de fechas'!$A$2,"Día actual","Día anterior")</f>
        <v>Día actual</v>
      </c>
      <c r="C192" s="3" t="s">
        <v>31</v>
      </c>
      <c r="D192" t="s">
        <v>32</v>
      </c>
      <c r="E192" s="3" t="s">
        <v>338</v>
      </c>
      <c r="F192" s="3" t="s">
        <v>26</v>
      </c>
      <c r="G192" s="3" t="s">
        <v>339</v>
      </c>
      <c r="H192" s="3" t="s">
        <v>67</v>
      </c>
      <c r="I192" s="3" t="s">
        <v>12</v>
      </c>
      <c r="J192" s="3" t="s">
        <v>41</v>
      </c>
      <c r="K192" s="3" t="s">
        <v>237</v>
      </c>
      <c r="L192" s="3" t="s">
        <v>43</v>
      </c>
      <c r="M192">
        <v>1</v>
      </c>
    </row>
    <row r="193" spans="1:13" x14ac:dyDescent="0.25">
      <c r="A193" s="2">
        <v>46177</v>
      </c>
      <c r="B193" s="1" t="str">
        <f ca="1">IF(Información1[[#This Row],[Fecha]]='Ajuste de fechas'!$A$2,"Día actual","Día anterior")</f>
        <v>Día actual</v>
      </c>
      <c r="C193" s="3" t="s">
        <v>31</v>
      </c>
      <c r="D193" t="s">
        <v>32</v>
      </c>
      <c r="E193" s="3" t="s">
        <v>340</v>
      </c>
      <c r="F193" s="3" t="s">
        <v>15</v>
      </c>
      <c r="G193" s="3" t="s">
        <v>341</v>
      </c>
      <c r="H193" s="3" t="s">
        <v>67</v>
      </c>
      <c r="I193" s="3" t="s">
        <v>7</v>
      </c>
      <c r="J193" s="3" t="s">
        <v>41</v>
      </c>
      <c r="K193" s="3" t="s">
        <v>237</v>
      </c>
      <c r="L193" s="3" t="s">
        <v>42</v>
      </c>
      <c r="M193">
        <v>1</v>
      </c>
    </row>
    <row r="194" spans="1:13" x14ac:dyDescent="0.25">
      <c r="A194" s="2">
        <v>46177</v>
      </c>
      <c r="B194" s="1" t="str">
        <f ca="1">IF(Información1[[#This Row],[Fecha]]='Ajuste de fechas'!$A$2,"Día actual","Día anterior")</f>
        <v>Día actual</v>
      </c>
      <c r="C194" s="3" t="s">
        <v>31</v>
      </c>
      <c r="D194" t="s">
        <v>32</v>
      </c>
      <c r="E194" s="3" t="s">
        <v>342</v>
      </c>
      <c r="F194" s="3" t="s">
        <v>15</v>
      </c>
      <c r="G194" s="3" t="s">
        <v>343</v>
      </c>
      <c r="H194" s="3" t="s">
        <v>67</v>
      </c>
      <c r="I194" s="3" t="s">
        <v>25</v>
      </c>
      <c r="J194" s="3" t="s">
        <v>41</v>
      </c>
      <c r="K194" s="3" t="s">
        <v>27</v>
      </c>
      <c r="L194" s="3" t="s">
        <v>43</v>
      </c>
      <c r="M194">
        <v>1</v>
      </c>
    </row>
    <row r="195" spans="1:13" x14ac:dyDescent="0.25">
      <c r="A195" s="2">
        <v>46177</v>
      </c>
      <c r="B195" s="1" t="str">
        <f ca="1">IF(Información1[[#This Row],[Fecha]]='Ajuste de fechas'!$A$2,"Día actual","Día anterior")</f>
        <v>Día actual</v>
      </c>
      <c r="C195" s="3" t="s">
        <v>31</v>
      </c>
      <c r="D195" t="s">
        <v>32</v>
      </c>
      <c r="E195" s="3" t="s">
        <v>344</v>
      </c>
      <c r="F195" s="3" t="s">
        <v>15</v>
      </c>
      <c r="G195" s="3" t="s">
        <v>339</v>
      </c>
      <c r="H195" s="3" t="s">
        <v>67</v>
      </c>
      <c r="I195" s="3" t="s">
        <v>25</v>
      </c>
      <c r="J195" s="3" t="s">
        <v>41</v>
      </c>
      <c r="K195" s="3" t="s">
        <v>27</v>
      </c>
      <c r="L195" s="3" t="s">
        <v>42</v>
      </c>
      <c r="M195">
        <v>1</v>
      </c>
    </row>
    <row r="196" spans="1:13" x14ac:dyDescent="0.25">
      <c r="A196" s="2">
        <v>46177</v>
      </c>
      <c r="B196" s="1" t="str">
        <f ca="1">IF(Información1[[#This Row],[Fecha]]='Ajuste de fechas'!$A$2,"Día actual","Día anterior")</f>
        <v>Día actual</v>
      </c>
      <c r="C196" s="3" t="s">
        <v>31</v>
      </c>
      <c r="D196" t="s">
        <v>32</v>
      </c>
      <c r="E196" s="3" t="s">
        <v>345</v>
      </c>
      <c r="F196" s="3" t="s">
        <v>60</v>
      </c>
      <c r="G196" s="3" t="s">
        <v>346</v>
      </c>
      <c r="H196" s="3" t="s">
        <v>67</v>
      </c>
      <c r="I196" s="3" t="s">
        <v>7</v>
      </c>
      <c r="J196" s="3" t="s">
        <v>24</v>
      </c>
      <c r="K196" s="3" t="s">
        <v>27</v>
      </c>
      <c r="L196" s="3" t="s">
        <v>42</v>
      </c>
      <c r="M196">
        <v>1</v>
      </c>
    </row>
    <row r="197" spans="1:13" x14ac:dyDescent="0.25">
      <c r="A197" s="2">
        <v>46177</v>
      </c>
      <c r="B197" s="1" t="str">
        <f ca="1">IF(Información1[[#This Row],[Fecha]]='Ajuste de fechas'!$A$2,"Día actual","Día anterior")</f>
        <v>Día actual</v>
      </c>
      <c r="C197" s="3" t="s">
        <v>31</v>
      </c>
      <c r="D197" t="s">
        <v>32</v>
      </c>
      <c r="E197" s="3" t="s">
        <v>347</v>
      </c>
      <c r="F197" s="3" t="s">
        <v>60</v>
      </c>
      <c r="G197" s="3" t="s">
        <v>281</v>
      </c>
      <c r="H197" s="3" t="s">
        <v>67</v>
      </c>
      <c r="I197" s="3" t="s">
        <v>7</v>
      </c>
      <c r="J197" s="3" t="s">
        <v>24</v>
      </c>
      <c r="K197" s="3" t="s">
        <v>27</v>
      </c>
      <c r="L197" s="3" t="s">
        <v>42</v>
      </c>
      <c r="M197">
        <v>1</v>
      </c>
    </row>
    <row r="198" spans="1:13" x14ac:dyDescent="0.25">
      <c r="A198" s="2">
        <v>46177</v>
      </c>
      <c r="B198" s="1" t="str">
        <f ca="1">IF(Información1[[#This Row],[Fecha]]='Ajuste de fechas'!$A$2,"Día actual","Día anterior")</f>
        <v>Día actual</v>
      </c>
      <c r="C198" s="3" t="s">
        <v>31</v>
      </c>
      <c r="D198" t="s">
        <v>32</v>
      </c>
      <c r="E198" s="3" t="s">
        <v>348</v>
      </c>
      <c r="F198" s="3" t="s">
        <v>17</v>
      </c>
      <c r="G198" s="3" t="s">
        <v>349</v>
      </c>
      <c r="H198" s="3" t="s">
        <v>67</v>
      </c>
      <c r="I198" s="3" t="s">
        <v>25</v>
      </c>
      <c r="J198" s="3" t="s">
        <v>41</v>
      </c>
      <c r="K198" s="3" t="s">
        <v>9</v>
      </c>
      <c r="L198" s="3" t="s">
        <v>43</v>
      </c>
      <c r="M198">
        <v>1</v>
      </c>
    </row>
    <row r="199" spans="1:13" x14ac:dyDescent="0.25">
      <c r="A199" s="2">
        <v>46177</v>
      </c>
      <c r="B199" s="1" t="str">
        <f ca="1">IF(Información1[[#This Row],[Fecha]]='Ajuste de fechas'!$A$2,"Día actual","Día anterior")</f>
        <v>Día actual</v>
      </c>
      <c r="C199" s="3" t="s">
        <v>31</v>
      </c>
      <c r="D199" t="s">
        <v>32</v>
      </c>
      <c r="E199" s="3" t="s">
        <v>350</v>
      </c>
      <c r="F199" s="3" t="s">
        <v>17</v>
      </c>
      <c r="G199" s="3" t="s">
        <v>82</v>
      </c>
      <c r="H199" s="3" t="s">
        <v>67</v>
      </c>
      <c r="I199" s="3" t="s">
        <v>7</v>
      </c>
      <c r="J199" s="3" t="s">
        <v>41</v>
      </c>
      <c r="K199" s="3" t="s">
        <v>27</v>
      </c>
      <c r="L199" s="3" t="s">
        <v>42</v>
      </c>
      <c r="M199">
        <v>1</v>
      </c>
    </row>
    <row r="200" spans="1:13" x14ac:dyDescent="0.25">
      <c r="A200" s="2">
        <v>46177</v>
      </c>
      <c r="B200" s="1" t="str">
        <f ca="1">IF(Información1[[#This Row],[Fecha]]='Ajuste de fechas'!$A$2,"Día actual","Día anterior")</f>
        <v>Día actual</v>
      </c>
      <c r="C200" s="3" t="s">
        <v>31</v>
      </c>
      <c r="D200" t="s">
        <v>32</v>
      </c>
      <c r="E200" s="3" t="s">
        <v>351</v>
      </c>
      <c r="F200" s="3" t="s">
        <v>15</v>
      </c>
      <c r="G200" s="3" t="s">
        <v>352</v>
      </c>
      <c r="H200" s="3" t="s">
        <v>67</v>
      </c>
      <c r="I200" s="3" t="s">
        <v>7</v>
      </c>
      <c r="J200" s="3" t="s">
        <v>41</v>
      </c>
      <c r="K200" s="3" t="s">
        <v>27</v>
      </c>
      <c r="L200" s="3" t="s">
        <v>44</v>
      </c>
      <c r="M200">
        <v>1</v>
      </c>
    </row>
    <row r="201" spans="1:13" x14ac:dyDescent="0.25">
      <c r="A201" s="2">
        <v>46177</v>
      </c>
      <c r="B201" s="1" t="str">
        <f ca="1">IF(Información1[[#This Row],[Fecha]]='Ajuste de fechas'!$A$2,"Día actual","Día anterior")</f>
        <v>Día actual</v>
      </c>
      <c r="C201" s="3" t="s">
        <v>31</v>
      </c>
      <c r="D201" t="s">
        <v>32</v>
      </c>
      <c r="E201" s="3" t="s">
        <v>353</v>
      </c>
      <c r="F201" s="3" t="s">
        <v>15</v>
      </c>
      <c r="G201" s="3" t="s">
        <v>233</v>
      </c>
      <c r="H201" s="3" t="s">
        <v>67</v>
      </c>
      <c r="I201" s="3" t="s">
        <v>7</v>
      </c>
      <c r="J201" s="3" t="s">
        <v>41</v>
      </c>
      <c r="K201" s="3" t="s">
        <v>27</v>
      </c>
      <c r="L201" s="3" t="s">
        <v>42</v>
      </c>
      <c r="M201">
        <v>1</v>
      </c>
    </row>
    <row r="202" spans="1:13" x14ac:dyDescent="0.25">
      <c r="A202" s="2">
        <v>46177</v>
      </c>
      <c r="B202" s="1" t="str">
        <f ca="1">IF(Información1[[#This Row],[Fecha]]='Ajuste de fechas'!$A$2,"Día actual","Día anterior")</f>
        <v>Día actual</v>
      </c>
      <c r="C202" s="3" t="s">
        <v>31</v>
      </c>
      <c r="D202" t="s">
        <v>32</v>
      </c>
      <c r="E202" s="3" t="s">
        <v>354</v>
      </c>
      <c r="F202" s="3" t="s">
        <v>26</v>
      </c>
      <c r="G202" s="3" t="s">
        <v>355</v>
      </c>
      <c r="H202" s="3" t="s">
        <v>67</v>
      </c>
      <c r="I202" s="3" t="s">
        <v>7</v>
      </c>
      <c r="J202" s="3" t="s">
        <v>41</v>
      </c>
      <c r="K202" s="3" t="s">
        <v>27</v>
      </c>
      <c r="L202" s="3" t="s">
        <v>42</v>
      </c>
      <c r="M202">
        <v>1</v>
      </c>
    </row>
    <row r="203" spans="1:13" x14ac:dyDescent="0.25">
      <c r="A203" s="2">
        <v>46177</v>
      </c>
      <c r="B203" s="1" t="str">
        <f ca="1">IF(Información1[[#This Row],[Fecha]]='Ajuste de fechas'!$A$2,"Día actual","Día anterior")</f>
        <v>Día actual</v>
      </c>
      <c r="C203" s="3" t="s">
        <v>31</v>
      </c>
      <c r="D203" t="s">
        <v>32</v>
      </c>
      <c r="E203" s="3" t="s">
        <v>356</v>
      </c>
      <c r="F203" s="3" t="s">
        <v>33</v>
      </c>
      <c r="G203" s="3" t="s">
        <v>339</v>
      </c>
      <c r="H203" s="3" t="s">
        <v>67</v>
      </c>
      <c r="I203" s="3" t="s">
        <v>7</v>
      </c>
      <c r="J203" s="3" t="s">
        <v>41</v>
      </c>
      <c r="K203" s="3" t="s">
        <v>27</v>
      </c>
      <c r="L203" s="3" t="s">
        <v>42</v>
      </c>
      <c r="M203">
        <v>1</v>
      </c>
    </row>
    <row r="204" spans="1:13" x14ac:dyDescent="0.25">
      <c r="A204" s="2">
        <v>46177</v>
      </c>
      <c r="B204" s="1" t="str">
        <f ca="1">IF(Información1[[#This Row],[Fecha]]='Ajuste de fechas'!$A$2,"Día actual","Día anterior")</f>
        <v>Día actual</v>
      </c>
      <c r="C204" s="3" t="s">
        <v>31</v>
      </c>
      <c r="D204" t="s">
        <v>32</v>
      </c>
      <c r="E204" s="3" t="s">
        <v>357</v>
      </c>
      <c r="F204" s="3" t="s">
        <v>6</v>
      </c>
      <c r="G204" s="3" t="s">
        <v>262</v>
      </c>
      <c r="H204" s="3" t="s">
        <v>67</v>
      </c>
      <c r="I204" s="3" t="s">
        <v>7</v>
      </c>
      <c r="J204" s="3" t="s">
        <v>41</v>
      </c>
      <c r="K204" s="3" t="s">
        <v>27</v>
      </c>
      <c r="L204" s="3" t="s">
        <v>42</v>
      </c>
      <c r="M204">
        <v>1</v>
      </c>
    </row>
    <row r="205" spans="1:13" x14ac:dyDescent="0.25">
      <c r="A205" s="2">
        <v>46177</v>
      </c>
      <c r="B205" s="1" t="str">
        <f ca="1">IF(Información1[[#This Row],[Fecha]]='Ajuste de fechas'!$A$2,"Día actual","Día anterior")</f>
        <v>Día actual</v>
      </c>
      <c r="C205" s="3" t="s">
        <v>31</v>
      </c>
      <c r="D205" t="s">
        <v>32</v>
      </c>
      <c r="E205" s="3" t="s">
        <v>250</v>
      </c>
      <c r="F205" s="3" t="s">
        <v>248</v>
      </c>
      <c r="G205" s="3" t="s">
        <v>249</v>
      </c>
      <c r="H205" s="3" t="s">
        <v>67</v>
      </c>
      <c r="I205" s="3" t="s">
        <v>7</v>
      </c>
      <c r="J205" s="3" t="s">
        <v>41</v>
      </c>
      <c r="K205" s="3" t="s">
        <v>27</v>
      </c>
      <c r="L205" s="3" t="s">
        <v>44</v>
      </c>
      <c r="M205">
        <v>1</v>
      </c>
    </row>
    <row r="206" spans="1:13" x14ac:dyDescent="0.25">
      <c r="A206" s="2">
        <v>46177</v>
      </c>
      <c r="B206" s="1" t="str">
        <f ca="1">IF(Información1[[#This Row],[Fecha]]='Ajuste de fechas'!$A$2,"Día actual","Día anterior")</f>
        <v>Día actual</v>
      </c>
      <c r="C206" s="3" t="s">
        <v>31</v>
      </c>
      <c r="D206" t="s">
        <v>32</v>
      </c>
      <c r="E206" s="3" t="s">
        <v>358</v>
      </c>
      <c r="F206" s="3" t="s">
        <v>19</v>
      </c>
      <c r="G206" s="3" t="s">
        <v>103</v>
      </c>
      <c r="H206" s="3" t="s">
        <v>67</v>
      </c>
      <c r="I206" s="3" t="s">
        <v>7</v>
      </c>
      <c r="J206" s="3" t="s">
        <v>45</v>
      </c>
      <c r="K206" s="3" t="s">
        <v>27</v>
      </c>
      <c r="L206" s="3" t="s">
        <v>43</v>
      </c>
      <c r="M206">
        <v>1</v>
      </c>
    </row>
    <row r="207" spans="1:13" x14ac:dyDescent="0.25">
      <c r="A207" s="2">
        <v>46177</v>
      </c>
      <c r="B207" s="1" t="str">
        <f ca="1">IF(Información1[[#This Row],[Fecha]]='Ajuste de fechas'!$A$2,"Día actual","Día anterior")</f>
        <v>Día actual</v>
      </c>
      <c r="C207" s="3" t="s">
        <v>31</v>
      </c>
      <c r="D207" t="s">
        <v>32</v>
      </c>
      <c r="E207" s="3" t="s">
        <v>359</v>
      </c>
      <c r="F207" s="3" t="s">
        <v>19</v>
      </c>
      <c r="G207" s="3" t="s">
        <v>103</v>
      </c>
      <c r="H207" s="3" t="s">
        <v>67</v>
      </c>
      <c r="I207" s="3" t="s">
        <v>7</v>
      </c>
      <c r="J207" s="3" t="s">
        <v>45</v>
      </c>
      <c r="K207" s="3" t="s">
        <v>27</v>
      </c>
      <c r="L207" s="3" t="s">
        <v>42</v>
      </c>
      <c r="M207">
        <v>1</v>
      </c>
    </row>
    <row r="208" spans="1:13" x14ac:dyDescent="0.25">
      <c r="A208" s="2">
        <v>46177</v>
      </c>
      <c r="B208" s="1" t="str">
        <f ca="1">IF(Información1[[#This Row],[Fecha]]='Ajuste de fechas'!$A$2,"Día actual","Día anterior")</f>
        <v>Día actual</v>
      </c>
      <c r="C208" s="3" t="s">
        <v>31</v>
      </c>
      <c r="D208" t="s">
        <v>32</v>
      </c>
      <c r="E208" s="3" t="s">
        <v>360</v>
      </c>
      <c r="F208" s="3" t="s">
        <v>166</v>
      </c>
      <c r="G208" s="3" t="s">
        <v>361</v>
      </c>
      <c r="H208" s="3" t="s">
        <v>67</v>
      </c>
      <c r="I208" s="3" t="s">
        <v>7</v>
      </c>
      <c r="J208" s="3" t="s">
        <v>41</v>
      </c>
      <c r="K208" s="3" t="s">
        <v>27</v>
      </c>
      <c r="L208" s="3" t="s">
        <v>42</v>
      </c>
      <c r="M208">
        <v>1</v>
      </c>
    </row>
    <row r="209" spans="1:13" x14ac:dyDescent="0.25">
      <c r="A209" s="2">
        <v>46177</v>
      </c>
      <c r="B209" s="1" t="str">
        <f ca="1">IF(Información1[[#This Row],[Fecha]]='Ajuste de fechas'!$A$2,"Día actual","Día anterior")</f>
        <v>Día actual</v>
      </c>
      <c r="C209" s="3" t="s">
        <v>31</v>
      </c>
      <c r="D209" t="s">
        <v>32</v>
      </c>
      <c r="E209" s="3" t="s">
        <v>362</v>
      </c>
      <c r="F209" s="3" t="s">
        <v>17</v>
      </c>
      <c r="G209" s="3" t="s">
        <v>209</v>
      </c>
      <c r="H209" s="3" t="s">
        <v>67</v>
      </c>
      <c r="I209" s="3" t="s">
        <v>7</v>
      </c>
      <c r="J209" s="3" t="s">
        <v>41</v>
      </c>
      <c r="K209" s="3" t="s">
        <v>27</v>
      </c>
      <c r="L209" s="3" t="s">
        <v>42</v>
      </c>
      <c r="M209">
        <v>1</v>
      </c>
    </row>
    <row r="210" spans="1:13" x14ac:dyDescent="0.25">
      <c r="A210" s="2">
        <v>46177</v>
      </c>
      <c r="B210" s="1" t="str">
        <f ca="1">IF(Información1[[#This Row],[Fecha]]='Ajuste de fechas'!$A$2,"Día actual","Día anterior")</f>
        <v>Día actual</v>
      </c>
      <c r="C210" s="3" t="s">
        <v>31</v>
      </c>
      <c r="D210" t="s">
        <v>32</v>
      </c>
      <c r="E210" s="3" t="s">
        <v>363</v>
      </c>
      <c r="F210" s="3" t="s">
        <v>15</v>
      </c>
      <c r="G210" s="3" t="s">
        <v>69</v>
      </c>
      <c r="H210" s="3" t="s">
        <v>67</v>
      </c>
      <c r="I210" s="3" t="s">
        <v>7</v>
      </c>
      <c r="J210" s="3" t="s">
        <v>41</v>
      </c>
      <c r="K210" s="3" t="s">
        <v>27</v>
      </c>
      <c r="L210" s="3" t="s">
        <v>43</v>
      </c>
      <c r="M210">
        <v>1</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B2386-6258-484E-8101-12D045481F45}">
  <dimension ref="A1:B2"/>
  <sheetViews>
    <sheetView workbookViewId="0">
      <selection activeCell="A2" sqref="A2"/>
    </sheetView>
  </sheetViews>
  <sheetFormatPr baseColWidth="10" defaultRowHeight="15" x14ac:dyDescent="0.25"/>
  <sheetData>
    <row r="1" spans="1:2" x14ac:dyDescent="0.25">
      <c r="A1" t="s">
        <v>48</v>
      </c>
      <c r="B1" t="s">
        <v>49</v>
      </c>
    </row>
    <row r="2" spans="1:2" x14ac:dyDescent="0.25">
      <c r="A2" s="2">
        <f ca="1">TODAY()</f>
        <v>46177</v>
      </c>
      <c r="B2" s="2">
        <f ca="1">A2-1</f>
        <v>46176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B2EDC08-6C78-43A4-B375-F21756B4101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Radio</vt:lpstr>
      <vt:lpstr>Ajuste de fechas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2026-04-13T21:10:05Z</dcterms:created>
  <dcterms:modified xsi:type="dcterms:W3CDTF">2026-06-05T00:35:22Z</dcterms:modified>
</cp:coreProperties>
</file>