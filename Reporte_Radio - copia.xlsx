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B7F8243A-FFCB-4AA7-9B70-F1FB3FC78F3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127" i="2"/>
  <c r="B132" i="2"/>
  <c r="B135" i="2"/>
  <c r="B139" i="2"/>
  <c r="B142" i="2"/>
  <c r="B144" i="2"/>
  <c r="B148" i="2"/>
  <c r="B151" i="2"/>
  <c r="B153" i="2"/>
  <c r="B156"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123" i="2"/>
  <c r="B125" i="2"/>
  <c r="B129" i="2"/>
  <c r="B131" i="2"/>
  <c r="B134" i="2"/>
  <c r="B137" i="2"/>
  <c r="B140" i="2"/>
  <c r="B143" i="2"/>
  <c r="B146" i="2"/>
  <c r="B149" i="2"/>
  <c r="B154"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4" i="2"/>
  <c r="B126" i="2"/>
  <c r="B128" i="2"/>
  <c r="B130" i="2"/>
  <c r="B133" i="2"/>
  <c r="B136" i="2"/>
  <c r="B138" i="2"/>
  <c r="B141" i="2"/>
  <c r="B145" i="2"/>
  <c r="B147" i="2"/>
  <c r="B150" i="2"/>
  <c r="B152" i="2"/>
  <c r="B155" i="2"/>
  <c r="B15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<sst xmlns="http://schemas.openxmlformats.org/spreadsheetml/2006/main" count="1572" uniqueCount="290">
  <si>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</si>
  <si>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</si>
  <si>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</si>
  <si>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</si>
  <si>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</si>
  <si>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</si>
  <si>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</si>
  <si>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</si>
  <si>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</si>
  <si>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</si>
  <si>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</si>
  <si>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</si>
  <si>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</si>
  <si>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</si>
  <si>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</si>
  <si>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</si>
  <si>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</si>
  <si>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</si>
  <si>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</si>
  <si>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</si>
  <si>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</si>
  <si>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</si>
  <si>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</si>
  <si>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</si>
  <si>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</si>
  <si>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</si>
  <si>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</si>
  <si>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</si>
  <si>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</si>
  <si>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</si>
  <si>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</si>
  <si>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</si>
  <si>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Canal del Pueblo</t>
  </si>
  <si>
    <t>Vocales Radio</t>
  </si>
  <si>
    <t>Planeación</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</si>
  <si>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</si>
  <si>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</si>
  <si>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</si>
  <si>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</si>
  <si>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</si>
  <si>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</si>
  <si>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</si>
  <si>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</si>
  <si>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</si>
  <si>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</si>
  <si>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</si>
  <si>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</si>
  <si>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</si>
  <si>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</si>
  <si>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</si>
  <si>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</si>
  <si>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</si>
  <si>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</si>
  <si>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</si>
  <si>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</si>
  <si>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</si>
  <si>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</si>
  <si>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Ke Buena 106.7 FM</t>
  </si>
  <si>
    <t>Noticias 106.7</t>
  </si>
  <si>
    <t>David Cárdenas</t>
  </si>
  <si>
    <t>Enlace Hidalgo1</t>
  </si>
  <si>
    <t>Mundial De Futbol</t>
  </si>
  <si>
    <t>OCSAD</t>
  </si>
  <si>
    <t>Ruta de la Transformación</t>
  </si>
  <si>
    <t>Queja transporte público</t>
  </si>
  <si>
    <t>Eulalio Larrieta agradece a Edith Balderas de la Secretaria de Educación Pública.</t>
  </si>
  <si>
    <t>Eulalio Larrieta agradece Paola García y Lic. Sarahi Pineda, por estar atentas a los mensajes de la ciudadanía y por atenderlos.</t>
  </si>
  <si>
    <t>Turismo</t>
  </si>
  <si>
    <t>Congreso</t>
  </si>
  <si>
    <t>Tauromaquia</t>
  </si>
  <si>
    <t>Exigen Esclarecer Feminicidio</t>
  </si>
  <si>
    <t>Radioescucha Sr. Paredes sigue reportando que no funciona la lámpara que está en la esquina del callejón de Quintana Roo y Plaza de Patoni</t>
  </si>
  <si>
    <t>Luminarias</t>
  </si>
  <si>
    <t>Relleno Sanitario</t>
  </si>
  <si>
    <t>Accidente transporte público</t>
  </si>
  <si>
    <t>Tecnificación De Riego</t>
  </si>
  <si>
    <t>TSJEH</t>
  </si>
  <si>
    <t>Cultura</t>
  </si>
  <si>
    <t>Contraloría</t>
  </si>
  <si>
    <t>Padrón de proveedores</t>
  </si>
  <si>
    <t>Alerta Meteorológica</t>
  </si>
  <si>
    <t>Hidalgo fortalece la conservación de murciélagos tras registro relevante en cueva de Cuautepec</t>
  </si>
  <si>
    <t>Semarnath</t>
  </si>
  <si>
    <t>Conservación de especies</t>
  </si>
  <si>
    <t>Vinculación feminicida</t>
  </si>
  <si>
    <t>Combate Al Narcomenudeo</t>
  </si>
  <si>
    <t>SSH</t>
  </si>
  <si>
    <t>Accidente Tuzobús</t>
  </si>
  <si>
    <t>Desfogue De Presa</t>
  </si>
  <si>
    <t>Ejecuciones</t>
  </si>
  <si>
    <t>Mosco Culex</t>
  </si>
  <si>
    <t>Control lirio acuático</t>
  </si>
  <si>
    <t>Radio Lobo 96.7 FM</t>
  </si>
  <si>
    <t>Enlace Noticias</t>
  </si>
  <si>
    <t>Gina Lorenzo</t>
  </si>
  <si>
    <t>Fuga De Agua</t>
  </si>
  <si>
    <t>Llega a Huichapan la campaña “¡A ver… a ver!”</t>
  </si>
  <si>
    <t>Salud Visual</t>
  </si>
  <si>
    <t>Gobierno de Hidalgo invierte 7.6 mdp en escuelas de Chapantongo y Alfajayucan</t>
  </si>
  <si>
    <t>Entrega de infraestructura escolar</t>
  </si>
  <si>
    <t>Depura Contraloría padrón de proveedores</t>
  </si>
  <si>
    <t>Difícil jornada para el Tuzobús, por la mañana se volteó un camión en el bulevar Felipe Ángeles; por la tarde una falla mecánica generó la evacuación de la estación Tecnológico de Monterrey y por la noche, un adulto mayor fue arrollado frente a la central de autobuses.</t>
  </si>
  <si>
    <t>Protección Civil llama a reforzar medidas preventivas ante temporada de ciclones y lluvias intensas</t>
  </si>
  <si>
    <t>Prevención De Riesgos</t>
  </si>
  <si>
    <t>Gabinete de Seguridad captura a 28 personas señaladas por actos delictivos</t>
  </si>
  <si>
    <t>Reunión Gabinete De Seguridad</t>
  </si>
  <si>
    <t>La fiscalía general de la República (FGR) en Hidalgo obtuvo una sentencia condenatoria superior a los cinco años de prisión en contra de Jorge «N» y Carlos «N», así como de otra persona identificada como Edgar «N», por su plena responsabilidad en delitos relacionados con la portación ilegal de armas de fuego. [ De acuerdo con el informe oficial, los hechos ocurrieron en Tizayuca, Hidalgo, donde los ahora sentenciados fueron detenidos por autoridades locales y estatales con armas de fuego y cartuchos. A través de un procedimiento abreviado, se les dictó sentencia por portación de arma de fuego de uso exclusivo y sin licencia.</t>
  </si>
  <si>
    <t>Sentencia</t>
  </si>
  <si>
    <t>David Kershenobich, secretario de Salud federal, informó que en México no se ha registrado ningún caso de ébola y que el riesgo de propagación en el territorio nacional es “muy bajo”. En la conferencia matutina de Palacio Nacional, Kershenobich Stalnikowitz detalló una serie de medidas y recomendaciones de viaje ante el brote por dicha enfermedad, que se localiza principalmente en la República Democrática del Congo y Uganda. Kershenobich Stalnikowitz subrayó que México, como país coanfitrión del Mundial 2026, está comprometido a proporcionar el ambiente más seguro posible.</t>
  </si>
  <si>
    <t>Vigilancia Epidemiológica</t>
  </si>
  <si>
    <t>Ante el inicio de la temporada de lluvias, autoridades del municipio de Ixmiquilpan reforzarán las acciones de prevención en la localidad del Valante, una de las zonas que resultó afectada el año pasado tras el desbordamiento del arroyo Pallares, situación que dejó severas inundaciones y cuantiosas pérdidas en campos de siembra y cosecha. Este lunes el gobierno municipal informó que a partir de esta semana personal de Protección Civil y Seguridad Pública realizará recorridos de supervisión y análisis en la zona para detectar riesgos y definir estrategias que permitan evitar que el afluente vuelva a colapsar durante las precipitaciones más intensas. Entre las acciones contempladas también se encuentra la posibilidad de organizar faenas de limpieza en el arroyo Pallares, con el objetivo de retirar maleza, basura y material acumulado que pudiera obstruir el paso del agua y aumentar el riesgo de desbordamientos. Fue en el mes de julio del año pasado, cuando las precipitaciones provocaron el desborde del cauce, ocasionando daños a las localidades de la Colonia Miguel Hidalgo, El Valante, Humedades y El Tephe. Dejando pérdidas totales en parcelas de cultivo de maíz, alfalfa y lechuga, así como anegaciones en casas y carreteras.</t>
  </si>
  <si>
    <t>Elementos de la Agencia de Investigación Criminal detuvieron en Tlaxcoapan a un hombre en posesión de estupefacientes y cartuchos de arma de fuego.</t>
  </si>
  <si>
    <t>Llega a Huichapan la campaña “¡A ver… a ver!” (AUDIO MATV).</t>
  </si>
  <si>
    <t>Vinculado a proceso probable responsable de feminicidio ocurrido en Actopan.</t>
  </si>
  <si>
    <t>Protección Civil llama a reforzar medidas preventivas ante temporada de ciclones y lluvias intensas.</t>
  </si>
  <si>
    <t>Gabinete de Seguridad captura a 28 personas señaladas por actos delictivos.</t>
  </si>
  <si>
    <t>Gabinete de Seguridad</t>
  </si>
  <si>
    <t>Locutor David Cárdenas informó que, el gobernador Julio Menchaca llegó a Chilcuautla como parte de las rutas de la transformación, para entregar apoyos y realizar trámites a través de los servicios para el pueblo. (AUDIO JMS).</t>
  </si>
  <si>
    <t>La agencia S&amp;P National Ratings subió calificación del estado de Hidalgo a ‘mxAA-’</t>
  </si>
  <si>
    <t>Hacienda</t>
  </si>
  <si>
    <t>Calificación crediticia</t>
  </si>
  <si>
    <t>La evaluación sobre policías tampoco mostró una diferencia significativa respecto a la tendencia nacional. Hidalgo obtuvo 5.1 puntos frente a una media de 5.2. El dato coloca a la entidad lejos de estados con mejor percepción de seguridad pública como Yucatán, Coahuila o Nuevo León, donde las corporaciones policiales superaron los 6 puntos. La encuesta exhibe una constante nacional: la confianza ciudadana hacia policías estatales y municipales permanece baja, incluso en entidades con mejores indicadores.</t>
  </si>
  <si>
    <t>Percepción de inseguridad</t>
  </si>
  <si>
    <t>La peor calificación dada por habitantes del estado en cuanto a la evaluación de servicios básicos no tuvo que ver con la seguridad sino en algo que millones de personas circulan, pisan, esquivan y padecen todos los días: las calles. Con 3.8 puntos en una escala de 0 a 10, el estado de Hidalgo quedó en último lugar nacional en el rubro de calles y avenidas, ya que ninguna otra entidad recibió una evaluación tan baja, tanto que quedó muy por debajo de la media nacional que fue de 5.1 puntos de calificación. En pocas palabras: si el promedio nacional es una cifra reprobatoria, el estado quedó muy abajo. El dato coloca a la entidad por debajo, incluso de estados históricamente golpeados por rezagos urbanos; mientras que la percepción ciudadana retrata una realidad cotidiana marcada por baches, pavimento deteriorado, vialidades parchadas y trayectos cada vez más lentos y costosos que especialmente brotan cada temporada de lluvias. La evaluación del Inegi no mide únicamente el estado físico del asfalto, sino que también refleja desgaste urbano acumulado y la percepción de abandono en uno de los servicios públicos más visibles para la población. El deterioro vial aparece además como un problema que atraviesa prácticamente toda la dinámica urbana. Así, impacta transporte público, tiempos de traslado, movilidad laboral, desgaste vehicular y seguridad vial. De hecho, recientemente se publicó que moverse en la capital del estado hoy implica más tiempo, más dinero y mayor incertidumbre. En 15 años, el tiempo promedio de traslado pasó de 15 a 38 minutos, un incremento que refleja el deterioro del sistema de transporte público en la zona metropolitana. Pero no sólo las calles constituyen un problema, pues el segundo peor indicador para la entidad fue carreteras y caminos sin cuota; en este rubro la entidad obtuvo 5 puntos frente a una media nacional de 5.7. Sólo Zacatecas tuvo una evaluación más baja.</t>
  </si>
  <si>
    <t>Vialidad En Mal Estado</t>
  </si>
  <si>
    <t>Con sensibilidad, compromiso social y la convicción de que la inclusión transforma vidas, la presidenta municipal de Tulancingo, Lorena García Cázares, realizó este lunes 25 de mayo una visita al CRIT Hidalgo, en Pachuca, para formalizar un importante convenio de colaboración con Fundación Teletón en beneficio de las familias tulancinguenses. Durante este encuentro, Agustín Lagunas Oseguera, director general del CRIT Hidalgo, brindó la recepción y apertura al diálogo que permitió avanzar en gestiones enfocadas en apoyar a quienes más lo necesitan, fortaleciendo así una alianza con profundo sentido humano.</t>
  </si>
  <si>
    <t>Firma De Convenio</t>
  </si>
  <si>
    <t>Locutor Juan Carlos Santamaría informa que, como parte de la gira de las rutas de la transformación, el gobernador Julio Menchaca estará el día de hoy en el municipio de Chilcuautla.</t>
  </si>
  <si>
    <t>Agenda gobernador</t>
  </si>
  <si>
    <t>Entrevista vía telefónica Jesica Belén Enciso Cruz y Diana Judith Hernández Álvarez, estudiantes de la Maestría en Desarrollo Turístico y Gastronómico Sustentable por la Universidad Tecnológica del Valle del Mezquital: Hablaron sobre las cualidades y ventajas de que ofrecer la Maestría en Desarrollo Turístico y Gastronómico Sustentable, la cual está enfocada formar especialistas en la innovación, gestión y conservación del patrimonio cultural y natural durante el plan de estudios de seis cuatrimestres; el siguiente cuatrimestre inicia en el mes de septiembre, por lo que, invitaron a las y los interesados a ingresar a la página oficial de la de la Universidad Tecnológica del Valle del Mezquital para mayores informes sobre el proceso de admisión.</t>
  </si>
  <si>
    <t>Oferta educativa</t>
  </si>
  <si>
    <t>Entrevista</t>
  </si>
  <si>
    <t>Se reforzará la vacunación en Hidalgo durante la Semana Nacional de Salud Pública 2026.</t>
  </si>
  <si>
    <t>Vacunación</t>
  </si>
  <si>
    <t>Pobladores de distintas comunidades ribereñas de la presa Endhó se reunieron con autoridades de los diferentes niveles de gobierno, esto fue la comunidad de la comunidad de Michimaloya en Tula. Hugo García Reyes, delegado de Xitejé de Zapata en Tula, habló sobre los acuerdos alcanzados en esta reunión. Informó que el día de ayer tuvieron una reunión, en donde estan solicitando la presencia de los titulares ya que solo a reuniones se presentan puros subsecretario, pura gente que no puede dar ninguna solución a ese problema, AUDIO APOYO</t>
  </si>
  <si>
    <t>Con una inversión superior a los 3 millones de pesos, el presidente municipal Cristhian Martínez dio el banderazo de inicio a la remodelación de las canchas de tenis de la unidad deportiva, obra con la que se busca fortalecer la infraestructura deportiva y brindar espacios dignos para las y los deportistas.Durante el arranque de obra, el alcalde destacó que este proyecto permitirá mejorar las condiciones para la práctica del deporte y fomentar la sana convivencia entre niñas, niños, jóvenes y familias del municipio.Los trabajos contemplan la rehabilitación y mejoramiento integral de las canchas, con el objetivo de ofrecer instalaciones de mayor calidad para quienes utilizan este espacio deportivo.Cristhian Martínez reiteró que su administración continuará impulsando acciones y proyectos enfocados en el desarrollo del municipio y en promover estilos de vida saludables a través del deporte. AUDIO DE APOYO</t>
  </si>
  <si>
    <t>Radioescucha reporta falta de agua en Arizpe.</t>
  </si>
  <si>
    <t>Radioescucha reporta falta de agua en Santa Julia, en calle Nardo, en la Nueva Francisco I. Madero.</t>
  </si>
  <si>
    <t>Radioescucha reporta falta de agua en Valle del Palmar</t>
  </si>
  <si>
    <t>Nota de Nadime Ashane : En menos de una semana, dos hechos relacionados con el transporte han vuelto a encender la conversación pública sobre la seguridad vial en la capital hidalguense. Por un lado, una persona perdió la vida la noche de ayer tras ser atropellada por una unidad del sistema Tuzobús en el bulevar Rojo Gómez, a la altura de la estación central de autobuses en Pachuca. De acuerdo con información preliminar emitida por la Semot, la persona habría ingresado al arroyo vehicular y fue impactada por el transporte. Y otro caso es que la comunidad de la Universidad Autónoma del Estado de Hidalgo se mantiene de luto tras confirmarse el fallecimiento de Lloratzi N., estudiante del Instituto de Ciencias Económico-Administrativas, quien resultó lesionada en el accidente de transporte público registrado el pasado 20 de mayo sobre el bulevar Minero, en Pachuca</t>
  </si>
  <si>
    <t>El conductor presuntamente responsable del accidente de una urvan en el bulevar Minero, en Pachuca, permanecerá en prisión preventiva mientras continúan las investigaciones. El percance dejó ya dos personas fallecidas y 17 lesionadas. La audiencia para definir si el imputado será vinculado a proceso se reanudará el próximo 29 de mayo.</t>
  </si>
  <si>
    <t>Comenta el conductor Eulalio Larrieta: “Yo creo que ayer el Tuzobús se tenía que hacer una limpia, una limpia con avestruz negra, en la mañana, la volcadura de una alimentadora; más tarde, en una estación del Tuzobús, tuvieron que evacuar a la gente porque empezó a salir humo por todos lados; luego, un accidente en siglo XXI un carro se estrella en la estación; y luego, en la noche, en la central de autobuses, una alimentadora atropelló a una persona de la 3ra edad y perdió la vida. Una tras otra se registró; alguien le puso la maldición al Tuzobús</t>
  </si>
  <si>
    <t>Román Bernal, subsecretario de Protección Civil y Gestión de Riesgos del Estado de Hidalgo, detalló el panorama meteorológico previsto para las próximas semanas en el estado, así como los posibles efectos que podrían presentarse en la entidad ante la presencia del fenómeno climático del Niño, AUDIO APOYO</t>
  </si>
  <si>
    <t>Radioescucha, ¿cuándo movilidad va a checar el servicio de taxis? Están cobrando del C. Doria a Prepa 1 $100.00 pesos.</t>
  </si>
  <si>
    <t>Alteración tarifa de transporte</t>
  </si>
  <si>
    <t>Una nueva agresión armada se registró en el municipio de Progreso de Obregón, luego de que fuera asesinado un hombre identificado como testigo clave en la investigación que involucra a nueve elementos de la Dirección de Seguridad Pública Municipal, señalados por su presunta participación en un caso de homicidio y lesiones.Según los reportes, el ataque ocurrió la noche del domingo en la Colonia Centro de Progreso, Obregón, donde el hombre fue localizado sin vida al interior de un inmueble con impactos de arma de fuego. El hombre asesinado había sobrevivido previamente a los hechos registrados el pasado 11 de mayo en Nisquiahuala, donde otra persona fue localizada sin vida en un camino de terracería de la Colonia Jagüey Blanco,</t>
  </si>
  <si>
    <t>Ataque Armado</t>
  </si>
  <si>
    <t>Radioescucha reporta que la calle Fernando Ortiz Cortes en la colonia Doctores está en muy mal estado; pide bacheo por parte del municipio.</t>
  </si>
  <si>
    <t>Bacheo</t>
  </si>
  <si>
    <t>Productores de cebada de Hidalgo bloquearon los accesos a la planta de Grupo Modelo en Apan, pues solicitan la adquisición de su cereal; pero la empresa argumenta que esos actores no fueron parte del acuerdo para la compra de la cosecha del ciclo agrícola 2025. El 11 de mayo de 2026, en colaboración con la Secretaría de Agricultura y Desarrollo Rural, y de acuerdo con el Sistema Producto de Cebada, Grupo Modelo y agricultores del Altiplano llegaron a un acuerdo para la compra de cebada para el ciclo agrícola 2026. Se fijó el precio de comercialización de la cebada en 7 mil pesos por tonelada para el ciclo agrícola 2026."A pesar de concretar este acuerdo con el acompañamiento de autoridades federales, han surgido bloqueos reiterados a la cervecería en Apan, Hidalgo, por parte de productores que no formaron parte de las negociaciones", destacó la cervecera.</t>
  </si>
  <si>
    <t>Cebaderos</t>
  </si>
  <si>
    <t>El tema del Mosco-Culex del lirio acuático en la presa Endhó continúa, los vecinos y vecinas se siguen reuniendo siguen buscando diálogo de manera pacífica. Comenta conductor: “Conocemos a los pobladores de las comunidades ribereñas de la presa Endhó sabemos que es gente pacífica, gente que dialoga, gente que está cansada por supuesto de lo que está sucediendo, pero que también se presta al diálogo”. Pide no creer medios amarillistas que dicen que la gente es agresiva</t>
  </si>
  <si>
    <t>Ante la plaga del mosco Culex que lleva ya meses afectando de manera directa a 27 localidades de Tula y Tepetitlán, y de manera indirecta a otras 15 de municipios cercanos de Tlaxcoapan, Tezontepec de Aldama, la población señala que la invasión del lirio acuático es de un 80 por ciento de la superficie de la presa Endhó.Ante este problema, el gobernador de Hidalgo, Julio Menchaca Salazar, habló del compromiso que tienen los gobiernos para combatir esta problemática. AUDIO DE APOYO.</t>
  </si>
  <si>
    <t>Certificarán a trabajadoras del hogar en el cuidado de personas adultas mayores, AUDIO APOYO</t>
  </si>
  <si>
    <t>Cuidadores De Adultos Mayores</t>
  </si>
  <si>
    <t>Certificarán a trabajadoras del hogar en el cuidado de personas adultas mayores</t>
  </si>
  <si>
    <t>Con la finalidad de tener un mayor aprovechamiento del agua almacenada en los embalses, la Conagua, a través de su Dirección Local Hidalgo, realiza maniobras programadas y controladas de trasvase de la presa Javier Rojo Gómez a la presa Vicente Aguirre por medio de un desfogue controlado de hasta 15 metros cúbicos por segundo (m3/s).Dichas labores entre ambas presas ubicadas en el municipio de Alfajayucan se realizan de manera programada y vigilada, por lo que no representan riesgo alguno para la población.</t>
  </si>
  <si>
    <t>Una intensa movilización policíaca se registró hoy martes en la Colonia 16 de Enero, aquí en Tula, luego de que vecinos reportaban múltiples detonaciones de armas de fuego a plena luz del día. Tras el llamado de emergencia, corporaciones de seguridad implementaron un operativo de búsqueda en la zona y minutos más tarde fue localizado el cuerpo sin vida de un joven de aproximadamente 22 años de edad. De acuerdo con fuentes extraoficiales, la víctima sería habitante de la misma colonia la 16 de enero.Hasta el momento, las autoridades no han informado sobre personas detenidas ni los posibles motivos de este asesinato.</t>
  </si>
  <si>
    <t>Mientras que un grupo de mujeres se manifestaba afuera de los juzgados para exigir justicia. AUDIO DE APOYO</t>
  </si>
  <si>
    <t>Radioescucha Marco reporta fuga de agua en Piracantos y Caasim no hace nada</t>
  </si>
  <si>
    <t>Radioescucha señora Rebeca Zúñiga Bárcena, pide que los funcionarios que visiten las zonas ribereñas de la Presa Endhó, y que tengan conocimiento cuando hacen las reuniones, informó que utiliza mínimo tres latas de insecticida a la semana para intentar sobrevivir con el mosco</t>
  </si>
  <si>
    <t>En Hidalgo habrá... 20 municipios tendrán nuevas canchas de fútbol como parte de los proyectos ligados al mundial y al rescate social a través del deporte. AUDIO DE APOYO</t>
  </si>
  <si>
    <t>Con el proyecto "Murales para el Mundial", 17 municipios del estado tendrán obras urbanas inspiradas en el fútbol, la identidad local y la cultura hidalguense rumbo a la Copa Mundial 2026. Serán 24 murales en espacios públicos de municipios como Apan, Pachuca, Tulancingo, Real del Monte, Huejutla, Ixmiquilpan, Singuilucan, Tizayuca y más, llevando el ambiente mundialista a todo el estado. AUDIO DE APOYO</t>
  </si>
  <si>
    <t>Hidalgo se declara listo para vivir la fiesta mundialista Entra testimonial. Del 4 al 9 de junio, el estado recibirá a la delegación de Sudáfrica integrada por exjugadores, artistas y representantes culturales, quienes participarán en diversas actividades deportivas y culturales en municipios como Pachuca, Real del Monte, Tulancingo y Villa de Tezontepec. AUDIOS DE APOYO</t>
  </si>
  <si>
    <t>El Instituto Mexicano del Seguro Social (IMSS) en Hidalgo exhorta a las personas para tomar las precauciones necesarias, para evitar el golpe de calor debió a las altas temperaturas que son características de la temporada primavera de verano.Es importante evitar la exposición solar entre las 11:00 y 17:00 horas debido a que durante este horario la temperatura es más aun cuando se encuentre a la sombra, se debe prestar cuidado a niños, adultos mayores, mujeres embarazadas y enfermos crónicos debido a que son los que mayor riesgo presentan.“El golpe de calor ocurre cuando la temperatura corporal sube por encima de los 40 °C y el organismo pierde la capacidad de regularla, lo que puede provocar daños severos en órganos vitales como el cerebro, el corazón y los riñones”, destacó la coordinadora de Enfermería en salud pública del IMSS en Hidalgo, Yenny Leticia Pérez Corona.</t>
  </si>
  <si>
    <t>Prevención De Enfermedades</t>
  </si>
  <si>
    <t>Hidalgo enfrentará meses de calor extremo, sequías y lluvias intensas. Protección Civil del Estado alertó que el fenómeno de El Niño provocará condiciones severas durante el segundo semestre de 2026, con altas temperaturas históricas, tormentas fuertes y riesgo de deslaves, principalmente en la región Otomí-Tepehua. Julio y agosto traerán calor y sequía; septiembre y octubre podrían registrar lluvias torrenciales. También se espera una intensa temporada de ciclones. Los riesgos en algunas regiones del estado como la Otomí-Tepehua. AUDIOS DE APOYO</t>
  </si>
  <si>
    <t>Radioescucha, no es el mal del transporte público, es el mal manejo del transporte.</t>
  </si>
  <si>
    <t>Comenta el conductor Eulalio Larrieta: “Señores del transporte público, en especial los choferes de las urban, ya hagan su chamba y eviten accidentes, por favor”</t>
  </si>
  <si>
    <t>Bloqueos y caos vial en la carretera Tula-San Marcos.Colonos cerraron distintos puntos, uno frente al Infonavit San Marcos, otro en San Lorenzo y uno más a la altura del fraccionamiento Las Palmas, en protesta por la crisis de residuos sólidos urbanos que enfrenta el municipio.Los manifestantes exigen el restablecimiento inmediato del servicio de recolección de basura, suspendido oficialmente desde el martes de la semana pasada por el ayuntamiento, ante la falta de un espacio autorizado para el destino final de los desechos.La problemática se agravó luego de que la Semarnath clausuró el confinamiento temporal habilitado por la alcaldía en la comunidad de Bomintzhá, al determinar que no cumplía con la normatividad ambiental requerida.Durante su manifestación se registró una riña entre los propios vecinos.</t>
  </si>
  <si>
    <t>Recolección De Basura</t>
  </si>
  <si>
    <t>Radioescucha pregunta: ¿Cuándo es el último día del refrendo? Comenta el conductor que tiene hasta el último día de junio para realizar su pago.</t>
  </si>
  <si>
    <t>Refrendo Vehicular</t>
  </si>
  <si>
    <t>El presidente municipal de Tula, informó que el municipio podría contar en aproximadamente 15 días con un nuevo relleno sanitario, luego del colapso del relleno sanitario regional que afectó el servicio de recolección. El alcalde señaló que ya comenzó la recolección intermitente en colonias y comunidades de Tula, mientras los residuos sólidos urbanos están siendo trasladados al municipio de Zumpango en el Estado de México, hoy estamos resolviendo problemas de muchos años, AUDIO APOYO ENTREVISTA</t>
  </si>
  <si>
    <t>El Gabinete de Seguridad de Hidalgo reportó la detención de 28 personas relacionadas con diversos delitos durante la última semana, resultado de operativos coordinados entre autoridades de los tres niveles de gobierno, informó el gobernador Julio Menchaca Salazar. Entre las acciones destacadas en Atotonilco de Tula y Mineral de la Reforma fueron detenidas seis personas; además, se recuperaron más de 37 mil litros de combustible presuntamente robado, un tractocamión, un autotanque, 39 contenedores, mangueras y cuatro vehículos. También fue localizada una cisterna clandestina utilizada para almacenar hidrocarburo.En Tepeapulco, elementos de seguridad capturaron a un presunto generador de violencia que portaba armas de alto poder, una camioneta y más de 400 dosis de droga, Asimismo, en operativos realizados en 10 municipios fueron aseguradas 21 personas, ocho vehículos, un arma larga y más de 6 mil 500 dosis de distintos narcóticos. En Tepetitlán, fuerzas de seguridad desmantelaron un predio donde aseguraron armas largas, cartuchos, chalecos balísticos y 17 vehículos con reporte de robo y alteraciones en sus números de identificación.Finalmente, las autoridades informaron la localización de ocho personas con ficha de búsqueda y reportaron atención a afectaciones por lluvias en 20 municipios, donde se registraron árboles caídos, encharcamientos y anegaciones. Protección Civil mantiene vigilancia permanente ante el pronóstico de más precipitaciones</t>
  </si>
  <si>
    <t>Diversos bloqueos carreteros y afectaciones a la circulación fueron reportados este lunes en la región Huasteca, principalmente sobre la vía que conecta San Felipe Orizatlán con Huejutla.Pobladores de Coacuilo realizaron el cierre de la carretera como medida de protesta ante las constantes fallas en el suministro de energía eléctrica.</t>
  </si>
  <si>
    <t>Suministro eléctrico</t>
  </si>
  <si>
    <t>La actriz mexicana Kate del Castillo lanzó una campaña pública en video dirigida al gobernador de Hidalgo, Julio Menchaca Salazar, exigiéndole que apoye la prohibición de las corridas de toros en el estado. Calificó la tauromaquia como una práctica cruel y pidió a las autoridades actuar para garantizar el bienestar animal, AUDIO VIDEO</t>
  </si>
  <si>
    <t>Semanalmente se lleva acabo la mesa de análisis de Enfoque Regional, el diputado José Luis Rodríguez Higareda, presidente de la Comisión de Gobernación del Congreso de Hidalgo, dejó en claro que no han autorizado la tauromaquia en el Estado, sólo piden que la ciudadanía opinen en torno a este importante tema. El diputado menciono que el fin de semana se colocaron carteles que en Plaza Juárez , como si ya hubiéran aprobado que siga la tauromaquia en el Estado de Hidalgo, lo único que aprobaron es que se realice una consulta, AUDIO APOYO</t>
  </si>
  <si>
    <t>El desabasto de agua para riego agrícola volvió a colocarse en el centro de las demandas de productores del Valle del Mezquital, luego de que campesinos retomaran sus reuniones semanales para exponer las afectaciones derivadas de las obras en el canal de fuerza - Tlamaco-JuandhóDurante el encuentro, los productores manifestaron su inconformidad ante el presunto incumplimiento de la Conagua en los trabajos de revestimiento del canal, señalando que las deficiencias en la obra han generado problemas en el suministro de agua para uso agrícola, AUDIO APOYO</t>
  </si>
  <si>
    <t>La Procuraduría General de Justicia del Estado de Hidalgo obtuvo la vinculación a proceso de un hombre señalado como probable responsable del delito de feminicidio ocurrido en el municipio de Actopan.De acuerdo con las investigaciones, los hechos se registraron el pasado 17 de mayo, cuando la víctima fue atacada con disparos de arma de fuego, lesiones que posteriormente le provocaron la muerte. Durante la continuación de la audiencia, el Ministerio Público presentó datos de prueba suficientes para que un juez de control dictara el auto de vinculación a proceso contra el imputado.Además, se le impuso la medida cautelar de prisión preventiva y se fijó un plazo de tres meses para el cierre de la investigación complementaria</t>
  </si>
  <si>
    <t>Enlace Hidalgo2</t>
  </si>
  <si>
    <t>Saderh</t>
  </si>
  <si>
    <t>Combate Al Huachicol</t>
  </si>
  <si>
    <t>Día del maestro</t>
  </si>
  <si>
    <t>Afectaciones Por Lluvias</t>
  </si>
  <si>
    <t>STPSH</t>
  </si>
  <si>
    <t>Eulalio Larrieta agradece a Carlos Gamiño por estar al pendiente de temas</t>
  </si>
  <si>
    <t>Vamos a otros datos: crece el emprendimiento ante la falta de un empleo formal, la información con Claudia Alcántara.La falta de oportunidades laborales y la necesidad de generar ingresos hace que cada vez más personas opten por iniciar pequeños negocios y emprender por cuenta propia en distintas regiones de Hidalgo. De acuerdo con comerciantes y emprendedores locales, actividades como la venta de alimentos, ropa, productos por catálogo y servicios digitales han registrado un incremento en los últimos meses, principalmente entre jóvenes y jefas de familia. "Es muy buena, a veces nos va bien, es como todo: a veces ganamos bien, a veces sacamos lo de una semana y tardamos para volver, ganamos una semana así". Especialistas señalan que la informalidad y el autoempleo se han convertido en una alternativa para enfrentar la situación económica, aunque también advierten sobre los retos que implican en la capacitación. "Y vamos poco a poco, no estamos al 100 pero íbamos poquito a poquito, todos tenemos necesidades y de uno o de otro tenemos que ganarnos un peso para llevar a la casa. Algunos lo ven mal, algunos no lo ven de buena manera, pero si no hay trabajo entonces la gente tiene que buscar el pan de cada día, a como dé lugar, mientras tanto hay que trabajar para fortalecer los proyectos productivos y fomentar la formalización de negocios en la entidad". Para Enfoque Regional, informó Claudia Alcántara. AUDIOS DE APOYO</t>
  </si>
  <si>
    <t>Empleo informal</t>
  </si>
  <si>
    <t>Radioescucha reportó por vía WhatsApp haber sido víctima de un presunto intento de extorsión, por la modalidad de “montachoques” sobre la carretera Tula – Jorobas. La familia relató que solicitó apoyo al número de emergencia 911 y nunca llegó el apoyo. Ante la situación, lograron alejarse de los vehículos involucrados y comentaron que los autos portaban rotulación de taxi de Atotonilco de Tula. Hacen invitación a las autoridades para que tomen cartas en el asunto y frenen esta modalidad de extorsión.</t>
  </si>
  <si>
    <t>Inatención</t>
  </si>
  <si>
    <t>adioescucha falta de agua en Zona Plateada</t>
  </si>
  <si>
    <t>Radioescucha reporta que bombean poca presión de agua en Valle del Palmar; ojalá que nos hagan descuento en el recibo.</t>
  </si>
  <si>
    <t>Radioescucha reporta falta de agua en San Pedro Nopancalco y solo cae un chorrito</t>
  </si>
  <si>
    <t>Radioescucha reporta falta de agua en la calle de Arizpe</t>
  </si>
  <si>
    <t>Radioescucha reporta fuga de agua en Haciendas de Loreto en Pitayas</t>
  </si>
  <si>
    <t>dioescucha reporta fuga de agua en calle Manuel Tolsá en barrio de San Clemente,ya tenemos reporte. , pero no vienen arreglar</t>
  </si>
  <si>
    <t>Radioescucha reporta que los de Caasim se ponen a abrir calles para reparar y colocar tomas de agua y no tapan.</t>
  </si>
  <si>
    <t>Zanjas Caasim</t>
  </si>
  <si>
    <t>Eulalio Larrieta agradece a Edith Balderas de la Secretaria de Educación Pública</t>
  </si>
  <si>
    <t>La Poderosa Tuxpan 93.1 FM</t>
  </si>
  <si>
    <t>NN Nuestras Noticias Zona Norte</t>
  </si>
  <si>
    <t>Gobierno de Hidalgo invierte más de 25 mdp en la Universidad Tecnológica de Tula-Tepeji (AUDIO APOYO)</t>
  </si>
  <si>
    <t>Entrega De Equipo Escolar</t>
  </si>
  <si>
    <t>Liz Argüelles</t>
  </si>
  <si>
    <t>Con una inversión superior a los 25 millones de pesos, el gobierno de Hidalgo fortaleció la infraestructura, el equipamiento tecnológico, la movilidad estudiantil de la Universidad Tecnológica Tula-Tepeji. Esto como parte de las acciones orientadas al desarrollo académico de estudiantes y docentes. Durante una gira de trabajo en la institución, el secretario de Educación Pública de Hidalgo, Natividad Castrejón Valdez, realizó la entrega de obra, equipamiento especializado y nuevas unidades vehiculares destinadas al traslado estudiantil y actividades institucionales, AUDIO APOYO.</t>
  </si>
  <si>
    <t>Radioescucha reporta que la aplicación del Tuzobús no funciona y no hubo alimentadora de la ruta 17 por la mañana, “Qué mal servicio , van de mal en peor”.</t>
  </si>
  <si>
    <t>App Tuzobús</t>
  </si>
  <si>
    <t>Radioescucha reporta que conductor de la colectiva con matrícula A571174K no da su recorrido completo en Barrios Altos. Se llama el conductor Raimundo, es moreno de bigote.</t>
  </si>
  <si>
    <t>La SEMOT informó que inició un procedimiento administrativo contra la unidad de transporte público involucrada en el accidente registrado el pasado 20 de mayo sobre el Boulevard Minero en Pachuca. El acciddente dejó personas lesionadas y en el que posteriormente falleció una estudiante de la UAEH, de acuerdo con el reporte oficial el conductor contaba con tarjetón vigente al momento del accidente, sin embargo, durante la revisión detectaron que la unidad no presentó una póliza de seguro vigente, situación por la que se abrió un procedimiento jurídico administrativo correspondiente. La dependencia señaló que las sanciones podrían incluir incluso la revocación de la concesión. El caso reactivó el debate sobre las condiciones de operación del transporte colectivo y la supervisión de medidas obligatorias como seguros, documentación y zonas autorizadas para ascenso y descenso de pasajeros,</t>
  </si>
  <si>
    <t>En menos de una semana, en Hidalgo, durante tormentas eléctricas, dos rayos cayeron en una vivienda en Acaxochitlán y uno en una iglesia en Mineral del Monte. La Subsecretaría de Protección Civil de Hidalgo destacó que ya están realizando investigaciones para determinar las condiciones de riesgo. En relación a los dos casos, se está estableciendo, en el caso de Acaxochitlán, con el personal de protección civil y la regiduría de obras para ir a hacer un dictamen de la construcción para ver cuáles son las condiciones de riesgo que representa, o que presenta, mejor dicho; y en la iglesia en Mineral se va a hacer en coordinación con el INAH una inspección para evaluar alguna afectación que haya, AUDIO APOYO</t>
  </si>
  <si>
    <t>Refuerza Hidalgo autosuficiencia alimentaria en 24 municipios de diferentes regiones (AUDIO APOYO)</t>
  </si>
  <si>
    <t>Apoyo Al Agro</t>
  </si>
  <si>
    <t>Radioescucha reporta que va uno a recoger medicamentos al Hospital General y resulta que no tienen, y según dice la presidenta, ya no existe falta de medicamentos. “Todo eso es una mentira”</t>
  </si>
  <si>
    <t>Abasto De Medicamentos</t>
  </si>
  <si>
    <t>La Fiscalía General de la República realizó un cateo en un inmueble ubicado en la colonia Olímpica, en el municipio de Tenango de Doria, donde fueron asegurados aproximadamente mil litros de hidrocarburo presuntamente relacionado con venta ilícita.</t>
  </si>
  <si>
    <t>Los pobladores ya le hicieron llegar de hecho un documento a Semarnat federal para que atienda esta problemática. Aquí están los documentos. ¿Quiere que se los lea? Le doy lectura a su documento: POBLADORA DA LECTURA CARTA"Alicia Bárcena Ibarra, secretaria del Medio Ambiente y Recursos Naturales, presente. Las ciudadanas Felisa Camacho Ramírez y Erika Aguilar Ángeles, en representación de las 26 comunidades ribereñas afectadas por la presa Endhó, nos dirigimos a usted con el debido respeto para manifestarle que nos oponemos rotundamente al proyecto que traen las dependencias asignadas de la adquisición de máquinas que no son trituradoras de lirio acuático. No estamos dispuestos a aceptar caprichos de experimentos. ¿Qué es lo que estamos pidiendo? La presa Endhó ya se encuentra invadida de lirio en un 80% hasta el momento. Exigimos la contratación de 10 máquinas trituradoras, con ello en 3 meses nos quitan ese problema. Así también le solicitamos con carácter de urgencia nos pueda recibir para dialogar sobre este asunto y nos asigne una fecha en la cual se nos pueda atender. Sin más por el momento, esperamos una respuesta favorable, quedamos de usted". Félix Brambila ya dijo que las máquinas llegarían hasta septiembre para atender el problema del lirio acuático. Ya se fumigó, ya escuchó usted las cifras, lo que hizo Conagua, lo que se estaba trabajando en cuanto a fumigación y extracción, que se redujo de 900 hectáreas a 443 aproximadamente desde el retiro del lirio acuático y la fumigación para combatir el mosquito Culex.</t>
  </si>
  <si>
    <t>La Comisión Nacional del Agua presentó los resultados oficiales de los operativos de fumigación y extracción intensiva del lirio acuático en la presa Endhó como parte de la estrategia impulsada por el gobierno de México para proteger la salud de las familias y avanzar en la recuperación ambiental de la región, señaló Mayela Godínez Alarcón, gerente de planificación hídrica.Conagua destacó que en los últimos siete meses se han retirado 93,000 metros cúbicos del lirio acuático, reduciendo a la mitad la superficie afectada en la presa al pasar de cerca de 900 a 443 hectáreas. Autoridades federales aseguraron que las acciones continuarán de manera permanente y que el plan contempla también el aprovechamiento sustentable de la biomasa y la recuperación de espacios comunitarios. Estas son las cifras que presenta Conagua, pero el enojo social por la falta de soluciones a esta emergencia sanitaria y ambiental de la presa Endhó continúa. AUDIO DE APOYO</t>
  </si>
  <si>
    <t>AUDIO DE APOYO El 70%... después de siete meses ya de que se presentaron las lluvias en octubre pasado en la zona Sierra Alta, la Otomí-Tepehua y la Huasteca de nuestro estado, pues ya el 70% de las reubicaciones de viviendas afectadas por la vaguada monzónica en Hidalgo se concentra ya en seis municipios, informó la Sedatu. AUDIO DE APOYO</t>
  </si>
  <si>
    <t>Huracán Priscilla</t>
  </si>
  <si>
    <t>Elementos de la Agencia de Investigación Criminal detuvieron en Tlaxcoapan a un hombre en posesión de estupefacientes y cartuchos de arma de fuego</t>
  </si>
  <si>
    <t>Combate a la delincuencia</t>
  </si>
  <si>
    <t>Continúa la violencia contra las mujeres en nuestro estado: el hostigamiento sexual en Hidalgo mantiene cifras que generan preocupación. De acuerdo con datos del Secretariado Ejecutivo del Sistema Nacional de Seguridad Pública, la entidad ocupó el segundo lugar a nivel nacional en casos registrados de enero a abril de este año, con Pachuca y Tizayuca entre los municipios con más incidencia.</t>
  </si>
  <si>
    <t>Violencia De Género</t>
  </si>
  <si>
    <t>Participación semanal vía telefónica Lamán Carranza :”La ciencia del futbol". Comentó que estamos a pocos días de que se lleve a cabo uno de los eventos más importantes del mundo del futbol, y también a días de que llegue el equipo de Sudáfrica al estado de Hidalgo para su entrenamiento; será un evento muy tecnológico de la historia, será muy especialy de estadios capaces de monitorear en tiempo real.</t>
  </si>
  <si>
    <t>Es un tema que hay que analizar, bien lo dice el gobernador, ver cómo están los acuerdos y negociaciones con la FIFA, porque hay que mencionarlo que la FIFA tiene un estricto control del mundial. Si vende las transmisiones a las televisoras, en este caso Televisa adquirió el 100% de los partidos que se van a transmitir por ViX, TV Azteca también compró una parte, la mitad, un 50% aproximadamente de los partidos. Entonces estas dos televisoras tienen los derechos de transmisión del mundial, pero la FIFA es muy enfática y de hecho se ha hecho un llamado a las autoridades del gobierno federal para revisar mucho lo que es la piratería y las transmisiones piratas.Hay algunos canales, sobre todo de YouTube, que pretenden transmitir los partidos y que ahí se estaría cayendo en una situación de ilegalidad. Por eso, bien dice el gobernador, se tiene que analizar más allá del presupuesto, como ya lo escuchábamos en el segundo audio con la secretaria de Turismo, Elizabeth Quintanar. Más allá de lo costoso que esto podría ocasionarse por los derechos de transmisión de un millón doscientos mil aproximadamente, ya daba estas cifras al aire para poder transmitir un partido, pues también que la FIFA pudiera conceder estos derechos.</t>
  </si>
  <si>
    <t>Hidalgo alcanza su mejor calificación crediticia en veintiséis años y S&amp;P eleva la nota a MXAA, la información con Joselyn Sánchez.La agencia calificadora S&amp;P elevó la calificación crediticia del estado de Hidalgo a MXAA con perspectiva estable, la más alta otorgada a nuestra entidad en los últimos veintiséis años, así lo informó el gobierno estatal. De acuerdo con la publicación realizada este veinticinco de mayo en la Bolsa Mexicana de Valores, la mejora responde al fortalecimiento fiscal de Hidalgo, impulsado por una mayor eficiencia recaudatoria, control de gastos operativos y un incremento sostenido en la inversión en infraestructura. La calificadora destacó el crecimiento de los ingresos propios, especialmente en la recaudación del impuesto sobre nómina, que aumentó treinta y dos por ciento en los últimos tres años.Además, reconoció el desarrollo industrial y logístico de la entidad, derivado de inversiones en el corredor AIFA-Pachuca y el Parque Industrial Plata, factores que permitieron que Hidalgo creciera dos punto cuarenta y cinco por ciento por encima del promedio nacional de uno punto seis por ciento. La secretaria de Hacienda estatal, Esther Ramírez Vargas, señaló que durante la administración de Julio Menchaca Salazar se han conseguido dos incrementos en la calificación crediticia, posicionando a Hidalgo entre las entidades mejor evaluadas del país en materia financiera. AUDIOS DE APOYO</t>
  </si>
  <si>
    <t>Julio Menchaca encabeza la edición número 100 de las Ferias de Servicios para el Pueblo. (AUDIO JMS)</t>
  </si>
  <si>
    <t>Julio Menchaca encabeza la edición número 100 de las Ferias de Servicios para el Pueblo, AUDIO JMS y AUDIO SIPDUS</t>
  </si>
  <si>
    <t>El gobernador Julio Menchaca Salazar dijo que rumbo al Mundial de Fútbol dos mil veintiséis se analiza con proveedores la posibilidad de instalar pantallas gigantes en distintas plazas públicas, no solamente en la ciudad de Pachuca., AUDIO APOYO JMS Y EQ</t>
  </si>
  <si>
    <t>En otros temas, la edición número 100 de las Ferias de Servicios para el Pueblo fue encabezada por el gobernador Julio Menchaca Salazar durante las Rutas de la Transformación en Chilcuautla y Progreso de Obregón, donde destacó que esta estrategia ha brindado más de 190 mil atenciones ciudadanas desde 2023, mediante la participación de 31 dependencias estatales.El mandatario señaló que las ferias han recorrido los 84 municipios de Hidalgo para acercar trámites, asesorías y servicios directamente a la población. Además, informó que en Chilcuautla se han destinado más de 105 millones de pesos para 31 obras prioritarias de agua potable, drenaje, pavimentación y mejoramiento urbano. Más tarde, en Progreso de Obregón, el gobernador supervisó la pavimentación del acceso a la colonia La Peña, obra superior a los 9 millones de pesos. Ahí también se anunciaron proyectos de rehabilitación carretera, espacios culturales y mejoramiento urbano</t>
  </si>
  <si>
    <t>En sesión ordinaria, las y los legisladores Arturo Gómez Canales, Lizbeth lraís Ordaz Islas, Hilda Miranda Miranda, Paloma Barragán Santos, Alma Rosa Elías Paso, Diana Rangel Zúñiga, Andrés Velázquez Vázquez, Juan Pablo Escalante Urbán, Miguel Ángel Moreno Zamora (Morena), Jorge Argüelles Salazar y José María Alejandro Pérez Ramírez (Nueva Alianza) propusieron la iniciativa que reforma la Ley de Protección Civil para el Estado de Hidalgo, con el objetivo de fortalecer el marco jurídico e institucional mediante la adición de una atribución específica al Comité Estatal de Emergencias para coordinar la elaboración, implementación y actualización de protocolos, mecanismos y acciones orientados a la atención y traslado oportuno de personas afectadas en situaciones de emergencia.</t>
  </si>
  <si>
    <t>Iniciativa</t>
  </si>
  <si>
    <t>Los diputados José María Alejandro Pérez Ramírez y Jorge Argüelles Salazar (Nueva Alianza) detallaron la iniciativa que reforma la Ley de Educación del Estado de Hidalgo, con el propósito de considerar a la violencia cibernética como un tipo de violencia dirigida hacia el personal docente, que se presenta dentro o fuera de los planteles escolares en el contexto del ejercicio profesional, al igual que establecer el concepto de violencia cibernética y ampliar el espectro para la aplicación de las normas, incluyendo al personal de supervisión, dirección, apoyo y asistencia.</t>
  </si>
  <si>
    <t>La diputada local Johana Montcerrat Hernández Pérez expresó su pesar por la muerte de 3 jóvenes universitarias en distintos hechos registrados recientemente en Hidalgo, situaciones que calificó como acontecimientos que indignan y duelen profundamente. Manifestó su solidaridad con los familiares, amistades y comunidades estudiantiles de las jóvenes y llamó a no permanecer indiferentes a los hechos de violencia y situaciones que afectan a las mujeres en Hidalgo, AUDIO APOYO</t>
  </si>
  <si>
    <t>Abraham Mendoza Zenteno, delegado de programas para el desarrollo en el estado de Hidalgo, criticó la decisión legislativa de someter a una consulta ciudadana la continuación de las corridas de toros en Hidalgo; también comentó que se tienen temas más relevantes que se podrían considerar en una consulta ciudadana, tienen pendientes más relevantes que tratar. AUDIO APOYO</t>
  </si>
  <si>
    <t>El diputado local del PRI Marco Antonio Mendoza Bustamante criticó el pronunciamiento de la actriz Kate del Castillo, quien pidió al gobernador Julio Menchaca Salazar apoyar la abolición de la tauromaquia en Hidalgo, comento que la atriz no tiene la “solvencia moral” y no es hidalguense , AUDIO APOYO</t>
  </si>
  <si>
    <t>Elementos de la Secretaría de Seguridad Pública, Tránsito y Vialidad de Pachuca realizaron la detención de un masculino señalado presuntamente por el robo de una batería de vehículo en el fraccionamiento Renacimiento, como resultado de una oportuna intervención policial derivada de un reporte ciudadano.De acuerdo con el informe oficial, los hechos ocurrieron cuando un ciudadano solicitó apoyo a oficiales municipales, señalando directamente a un individuo como el probable responsable de haber sustraído la batería de su camioneta.</t>
  </si>
  <si>
    <t>Detención</t>
  </si>
  <si>
    <t>Como parte de los trabajos permanentes para mejorar la imagen urbana y recuperar el orden en el espacio público de la capital hidalguense, la Secretaría de Obras Públicas de Pachuca está retirando anuncios tipo banderín y autosoportados, instalados de forma irregular en la vía pública.Las acciones se llevan a cabo en los bulevares Luis Donaldo Colosio, Felipe Ángeles y El Minero, donde personal municipal interviene camellones, banquetas y áreas verdes, para retirar estructuras colocadas sin autorización, mismas que generan contaminación visual y afecta la funcionalidad de los espacios comunes.</t>
  </si>
  <si>
    <t>Imagen Urbana</t>
  </si>
  <si>
    <t>Radioescucha Carlos de Montesillos de Tula comenta que sería bueno que ayudemos al gobierno para invitar a la gente a separar la basura y que la gente que recolecta la basura tenga menos volumen.</t>
  </si>
  <si>
    <t>Durante el festejo por el Día del Maestro y la Maestra, el presidente municipal Cristian Martínez dirigió unas palabras de agradecimiento y reconocimiento a las y los docentes, destacando la importante labor que realizan en la educación y formación de las nuevas generaciones.El evento reunió a maestras y maestros del municipio en un ambiente de celebración, convivencia y reconocimiento, resaltando su compromiso, vocación y entrega dentro de las aulas , AUDIO APOYO</t>
  </si>
  <si>
    <t>Como parte de las acciones de promoción turística y gastronómica, autoridades de Tula entregaron un reconocimiento a Tacos Doña Chona.Esto por su participación y apoyo en el proceso mediante el cual Tula obtuvo el distintivo Pueblos con Sabor, AUDIO APOYO</t>
  </si>
  <si>
    <t>Pueblos con sabor</t>
  </si>
  <si>
    <t>La comunidad de San Salvador se prepara para celebrar una nueva edición de la fiesta patronal de Caxuxi, una festividad que mantiene viva una tradición taurina con más de nueve décadas de historia y que este año contará con la participación de figuras del toreo nacional e internacional.Ricardo Lozano Cortés, presidente del Comité Taurino, informó que dentro de las actividades programadas se contemplan dos corridas de toros, además de espectáculos ecuestres y la participación de destacadas ganaderías</t>
  </si>
  <si>
    <t>Y después de la intensa tromba que azotó el municipio de Francisco I. Madero la semana pasada, ahora comienza la evaluación de daños en cultivos. Productores agropecuarios mostraron su preocupación por perder toda su cosecha. AUDIO DE APOYO.</t>
  </si>
  <si>
    <t>Atitalaquia se colocó en el segundo lugar nacional entre 183 municipios del Grupo B, de acuerdo con el diagnóstico sobre presupuesto basado en resultados y sistema de evaluación del desempeño realizado por la Secretaría de Hacienda y Crédito Público. El gobierno municipal, encabezado por Claudia Sandoval, destacó que este reconocimiento evalúa la capacidad de los ayuntamientos para planear, ejercer y transparentar el gasto público, así como dar seguimiento a los resultados de los programas y acciones gubernamentales. Autoridades municipales señalaron que este resultado refleja una administración basada en la austeridad, la transparencia y el manejo responsable de los recursos públicos, con el objetivo de fortalecer el bienestar de la población. Con este posicionamiento, Atitalaquia se consolida como uno de los municipios mejor evaluados del país en materia de gestión pública y rendición de cuentas. AUDIO DE APOYO</t>
  </si>
  <si>
    <t>Índice de desempeño municipal</t>
  </si>
  <si>
    <t>Ayer en entrevista con el presidente municipal, Cristian Martínez señaló que en 15 días ya se tendría una solución para este problema de la basura, el relleno sanitario, y que ya en unos días se podrían restablecer las rutas habituales de la recolección de basura. Vamos con más información. AUDIO DE APOYO</t>
  </si>
  <si>
    <t>Radioescucha señora Alma Leticia Cervantes también nos pregunta cuándo pasa el camión de la basura en Santa María Asunción; no está contemplada, al menos hasta el próximo sábado, la ruta de Santa María Asunción en la recolección de basura.</t>
  </si>
  <si>
    <t>Radioescucha señor Juan Manuel TÉLLEZ. pregunta cuándo toca en la colonia Jalpa la recolección de basura: el sábado pasado fue que se incluyó en la ruta la recolección aquí en la colonia Jalpa, pero para los próximos días no se tiene contemplada en la ruta.</t>
  </si>
  <si>
    <t>La Ciudad de México registró el primer caso humano de gusano barrenador, una infección parasitaria que ya suma cinco contagios detectados en las alcaldías Tlalpan y Xochimilco, según reportes oficiales del Servicio Nacional de Sanidad, Inocuidad y Calidad Agroalimentaria (Senasica). El caso humano corresponde a una miasis causada por el Gusano Barrenador del Ganado (Cochliomyia hominivorax), una plaga que afecta animales y también puede invadir tejido humano a través de heridas abiertas. La detección ocurre mientras México mantiene vigilancia epidemiológica por el aumento de casos en distintas entidades del país. Datos actualizados de Senasica indican que existen más de dos mil casos activos en 26 estados. Autoridades sanitarias confirmaron que uno de los casos activos en la capital corresponde a una persona infectada por larvas del gusano barrenador. Hasta antes de este reporte, los únicos contagios detectados en la CDMX involucraban animales domésticos: un perro dóberman en Tlalpan y un pastor australiano en Xochimilco. Actualmente, los registros oficiales contabilizan cinco casos activos relacionados con esta plaga en la capital del país.</t>
  </si>
  <si>
    <t>Gusano barrenador</t>
  </si>
  <si>
    <t>Irving Sánchez</t>
  </si>
  <si>
    <t>El registro para obtener la credencial del Servicio Universal de Salud ya está disponible para adultos mayores y personas con discapacidad que reciben sus respectivas pensiones del Bienestar. Abraham Mendoza Zenteno, delegado de Programas Sociales del Bienestar en Hidalgo, señaló que el registro es presencial en los módulos designados que estarán habilitados hasta el 14 de noviembre de 2026. El servicio ya está disponible en este momento y debido a que transcurre la cuarta semana del mes de mayo, entonces podrán acudir los correspondientes a la calendarización mencionada. El funcionario federal Abraham Mendoza detalló que los módulos de cada municipio estarán instalados en clínicas médicas, centros de salud o en oficinas del Bienestar. Personas con discapacidad que sean menores de edad deberán ir acompañados de la madre, padre o tutor, también serán credencializados. Esta credencial es de alta importancia debido a que posterior al 2027 será un documento de identificación oficial, además, contará con un QR que mostrará el expediente clínico de las personas y recibirán atención sin importar la afiliación al IMSS o al ISSSTE.</t>
  </si>
  <si>
    <t>Delegación</t>
  </si>
  <si>
    <t>Salud universal</t>
  </si>
  <si>
    <t>Como parte de la dinámica de contacto ciudadano permanente que impulsa el gobierno municipal, la presidenta de Tulancingo, Lorena García Cázares, realizó una nueva visita de obra en la localidad de La Lagunilla, donde sostuvo un diálogo abierto con vecinos y beneficiarios de la construcción de guarniciones y banquetas en la calle Los Pinos. Las y los habitantes expresaron de manera directa sus inquietudes, necesidades y planteamientos relacionados con el desarrollo de la comunidad, mismos que fueron escuchados y atendidos por la alcaldesa y funcionarios municipales presentes. La presidenta municipal destacó que, cuando sociedad y gobierno trabajan de manera coordinada, los resultados se traducen en mejoras tangibles para la población y en una transformación construida con responsabilidad, visión social y cercanía ciudadana. Asimismo, señaló que esta obra representa un paso importante para continuar llevando bienestar y mejores condiciones de vida a las familias de La Lagunilla, particularmente en temas relacionados con seguridad peatonal, movilidad y orden urbano. Informó que se realizaron trabajos de construcción de guarniciones y banquetas, con una inversión total de 297 mil 529 pesos con 59 centavos. Además, como obra complementaria, anunció una inversión cercana a 1.4 millones de pesos para la construcción de pavimento hidráulico en la calle Los Pinos. Durante esta visita también se reconoció el compromiso de la Secretaría de Desarrollo Urbano, Obras Públicas y Medio Ambiente, así como la participación activa de las y los vecinos para consolidar este nuevo logro comunitario. En representación de los beneficiarios, Rubén Gayosso, enlace vecinal, y Diana Barrera Canseco, presidenta del comité de obra, agradecieron al gobierno municipal por impulsar obras que responden verdaderamente a las necesidades de la población y que generan un impacto positivo en la vida diaria de las familias.</t>
  </si>
  <si>
    <t>Supervía Colosio</t>
  </si>
  <si>
    <t>UECS obtiene sentencia de 78 años de prisión para responsable de secuestro y robo de vehículo</t>
  </si>
  <si>
    <t>El gobierno de Alfajayucan determinó cerrar de manera indefinida la carretera Alfajayucan–Chilcuautla, luego de que continuara la presencia de espuma derivada de aguas negras, fenómeno que desde el lunes ha generado riesgos para automovilistas, peatones y habitantes cercanos. La vialidad ya había sido cerrada desde la madrugada del pasado lunes 25 de mayo, cuando una gran cantidad de espuma cubrió por completo no solo la carretera, sino también terrenos aledaños, dificultando totalmente la visibilidad y el tránsito en la zona. Personal de Protección Civil municipal trabajó durante varias horas para retirar el material y reabrir el paso durante la tarde de ese mismo día. Sin embargo, el problema no desapareció y la espuma continuó presentándose diariamente, por lo que las autoridades decidieron volver a bloquear la circulación hasta que logren controlar la situación y garantizar condiciones seguras para la población. Además del peligro vial por la nula visibilidad en algunos tramos, existe preocupación por posibles riesgos de contaminación o intoxicación derivados del contacto con esta espuma, la cual proviene de aguas residuales que circulan por la región. La problemática es persistente en la zona, pues apenas en marzo de este año ocurrió una situación similar, mientras que durante 2025 también se reportaron episodios en los meses de junio y octubre.</t>
  </si>
  <si>
    <t>Con el objetivo de fomentar los hábitos de la escritura y la lectura entre la comunidad estudiantil adscrita a este subsistema, el Colegio de Bachilleres del Estado de Hidalgo realizó la presentación de la publicación de su segunda antología compilatoria denominada “Prisma”, en donde alumnos, personal docente y administrativo, contribuyeron en dicho proyecto al aportar sus ideas y vivencias mediante el lenguaje escrito. Dicho evento se llevó a cabo en las instalaciones de la Biblioteca Central del Estado de Hidalgo “Ricardo Garibay” ubicada en la capital hidalguense, en donde el Colegio de Bachilleres en conjunto con la Editorial Vórtice Creativo, coordinaron dicho evento que fue encabezado por el titular de Cobaeh, Rubén López Valdez, la Directora General de Diversidad Cultural y Fomento a la Lectura, Escritura y Oralidad, Patricia Rivera Erguía Lis, y Tania Martínez Suárez, dirigente de Vórtice Creativo y coordinadora de la publicación. Esta publicación es una compilación de 42 narraciones cortas que aluden las ideologías e inquietudes de los participantes, quienes abordaron temas que van desde la política, ficción, terror, educación y experiencias personales. Cabe mencionar que se llevó a cabo un riguroso proceso de selección habiendo recibido más de 300 solicitudes de participación, las cuales fueron sometidas a un proceso de asesoramiento y corrección de estilo que les permitió a los autores plasmar sus ideas en papel, esto mediante el Taller de Literatura y Escritura Creativa “Las Partes del Todo”, el cual fue impartido de forma virtual y coordinado por personal de la editorial.</t>
  </si>
  <si>
    <t>Presentación Editorial</t>
  </si>
  <si>
    <t>Con el objetivo de salvaguardar la integridad emocional y profesional del magisterio, diputados de Nueva Alianza Hidalgo presentaron ante el Congreso local una iniciativa de reforma educativa para tipificar y combatir la violencia cibernética dirigida hacia el personal docente. De ser aprobada, Hidalgo se convertirá en la primera entidad del país en contar con un andamiaje legal diseñado para proteger a los trabajadores de la educación frente al acoso digital.</t>
  </si>
  <si>
    <t>Gobierno de Hidalgo invierte más de 25 mdp en la Universidad Tecnológica de Tula-Tepeji.</t>
  </si>
  <si>
    <t>Refuerza Hidalgo autosuficiencia alimentaria en 24 municipios de diferentes regiones.</t>
  </si>
  <si>
    <t>Entrega Secturh certificaciones turísticas y constancias de RNT</t>
  </si>
  <si>
    <t>Certificación turística</t>
  </si>
  <si>
    <t>Julio Menchaca encabeza la edición número 100 de las Ferias de Servicios para el Pueblo. (AUDIO JMS).</t>
  </si>
  <si>
    <t>Vecinos de la zona metropolitana de Pachuca, piden a las autoridades atención ante la deficiente operación de lo servicios de drenaje.</t>
  </si>
  <si>
    <t>Drenaje</t>
  </si>
  <si>
    <t>Transformar Hidalgo implica construir entornos más ordenados y dignos para las familias: Miguel Tello</t>
  </si>
  <si>
    <t>Refuerza Hidalgo autosuficiencia alimentaria en 24 municipios de diferentes regiones</t>
  </si>
  <si>
    <t>Gobierno de Hidalgo invierte más de 25 mdp en la Universidad Tecnológica de Tula-Tepeji</t>
  </si>
  <si>
    <t>La agencia calificadora S&amp;P National Ratings subió calificación del Estado de Hidalgo a ‘mxAA-‘</t>
  </si>
  <si>
    <t>Julio Menchaca encabeza la edición número 100 de las Ferias de Servicios para el Pueblo</t>
  </si>
  <si>
    <t>Entrevista vía telefónica Julián Domínguez López Portillo, director general de la Financiera Nacional de Desarrollo Agropecuario Rural y Forestal y Pesquero en Liquidación - Habló sobre el anuncio que realizó la presidenta Claudia Sheinbaum respecto al programa “Volver a crecer” destinado a productoras y productores del campo que tengan adeudo con la extinta Financiera Nacional para el Desarrollo. El objetivo, es beneficiar a pequeños productores del campo, es este caso, hidalguenses, con deudas acumuladas con intereses excesivos.</t>
  </si>
  <si>
    <t>a fiscalía general de la República realizó un cateo en un inmueble ubicado en la colonia Olímpica, en el municipio de Tenango de Doria, donde fueron asegurados aproximadamente mil litros de hidrocarburo presuntamente relacionado con venta ilícita. De acuerdo con la información oficial, la intervención fue encabezada por la FGR, a través de la Fiscalía Especializada de Control Regional en Hidalgo, luego de que un juez de Control especializado en el Sistema Penal Acusatorio autorizara la técnica de cateo por el delito de posesión ilícita de hidrocarburo. El caso se originó a partir de un reporte del C5i, en el que se alertó sobre la posible operación de un taller donde presuntamente se comercializaba combustible de manera irregular. Con esta información, el Ministerio Público de la Federación inició la carpeta de investigación y solicitó la orden judicial para ingresar al inmueble señalado. Durante la diligencia, personal ministerial, policial y pericial de la Agencia de Investigación Criminal localizó y aseguró alrededor de mil litros de hidrocarburo, además de 28 contenedores de distintas capacidades, entre ellos garrafones y tambos. El inmueble también quedó asegurado y fue puesto a disposición del agente del Ministerio Público de la Federación, quien continuará con la integración de la carpeta de investigación para determinar responsabilidades y establecer el origen del combustible localizado. El cateo en Tenango de Doria se llevó a cabo con apoyo del Gabinete de Seguridad del Gobierno de México, por conducto de la Secretaría de la Defensa Nacional y la Guardia Nacional. También participaron elementos de la Policía Estatal, quienes colaboraron en el resguardo del área durante la intervención. La presencia de distintas corporaciones permitió realizar la diligencia de manera coordinada y asegurar tanto el hidrocarburo como los objetos localizados dentro del inmueble. Hasta el momento, no se informó sobre personas detenidas durante este cateo. Las investigaciones deberán precisar si el combustible era almacenado para venta directa, distribución o alguna otra actividad ilícita. También se revisará si el inmueble funcionaba como taller de manera regular o si era utilizado como punto de resguardo del hidrocarburo.</t>
  </si>
  <si>
    <t>Vecinos de la colonia Álvaro Obregón, Santiago Tulantepec, denunciaron cortes de luz por parte de la CFE pese a pagos al corriente. Habitantes de la colonia Álvaro Obregón, en el municipio de Santiago Tulantepec, denunciaron presuntas irregularidades por parte de personal de la Comisión Federal de Electricidad (CFE), luego de que varias viviendas fueran desconectadas del servicio eléctrico pese a encontrarse, aseguran, al corriente en sus pagos. De acuerdo con el testimonio de los vecinos afectados, el pasado 7 de mayo unidades de la CFE acudieron a la zona para realizar cortes de energía argumentando que el cableado cruzaba líneas de alta tensión, situación que representaba un riesgo. Los afectados sostienen que inicialmente en las oficinas de CFE Cuautepec les indicaron que podían reconectarse de manera inmediata, asegurando incluso que no volverían a cortar el servicio. No obstante, días después recibieron una versión distinta, donde se les informó que cualquier reconexión sería considerada ilegal y que debían esperar una nueva inspección. Según relataron, tras varias visitas y más de diez días de espera, personal de la paraestatal les notificó que la reconexión dependería de un análisis técnico por parte del área de planeación de Tulancingo, la cual determinaría si el servicio tendría que instalarse de forma aérea o subterránea. Los vecinos denunciaron además que el costo de los trabajos tendría que ser absorbido por las familias afectadas, quienes estiman gastos cercanos a los 15 mil pesos por vivienda para poder recuperar el suministro eléctrico. La situación, aseguran, afecta directamente a seis viviendas y cuatro nuevas bases de servicio, entre ellas hogares donde habitan niños pequeños, adultos mayores y una persona que requiere el uso constante de equipo médico y oxígeno para atender problemas de salud. Ante la falta de respuestas, los habitantes enviaron un oficio dirigido al ingeniero Gilberto León, superintendente de CFE Tulancingo, solicitando la reinstalación inmediata del servicio en la calle Avenida de las Torres, entre Paso de Agua y Mirasoles. En el documento, los vecinos argumentan que los cortes se realizaron sin notificación formal y rechazan que existieran conexiones ilegales, además de señalar que cuentan con comprobantes de pago correspondientes al bimestre febrero-abril. Los vecinos incluyeron los números de servicio afectados: 266230900884, 266210601104, 266260401149, 266210601112, 266210601121 y 266200200071. También acusaron presuntas inconsistencias en la atención brindada en oficinas de CFE, donde —afirman— las versiones sobre el procedimiento cambiaron constantemente y no recibieron una solución concreta a la problemática. Los afectados indicaron que continuarán buscando apoyo y difusión pública para visibilizar el caso y exigir una respuesta sobre la restitución del servicio eléctrico.</t>
  </si>
  <si>
    <t>La Secretaría de Seguridad Pública, Tránsito y Vialidad de Pachuca detuvo a un hombre y recuperó una motocicleta con reporte de robo vigente durante recorridos de vigilancia realizados en la colonia Piracantos.</t>
  </si>
  <si>
    <t>Recuperación De Vehículos Robados</t>
  </si>
  <si>
    <t>Locutor Jesús Riveros da lectura a comentario de radioescucha que reporta a un chofer de la ruta Habitacional en Tulancingo señala que habla por teléfono mientras conduce, hace un llamado a las autoridades correspondientes.</t>
  </si>
  <si>
    <t>Locutor Jesús Riveros da lectura a comentario de radioescucha que reporta a la directora de la escuela Pantaleón ubicada en Jaltepec, por acoso escolar a su hijo.</t>
  </si>
  <si>
    <t>Queja padres de familia</t>
  </si>
  <si>
    <t>En vivo desde el notimóvil, Rene Aguilar realiza un enlace telefónico con integrantes del comité de padres de familia en la escuela primaria Gregorio Torres Quintero ubicada en La Lagunilla, quienes expresan inconformidad con el trabajo del intendente de la escuela, debido a que no realiza su trabajo con la limpieza adecuada, lo cual, puede ser factor de infecciones. Señalan que, el intendente cuenta con los insumos necesarios para poder realizar su trabajo, pues padres de familia contribuyeron con una cooperación para surtir de insumos necesarios, asimismo, señalan, dicha situación ya fue planteada con el supervisor y director de la escuela, por lo que, esperan puedan tener una respuesta satisfactoria.</t>
  </si>
  <si>
    <t>En seguimiento al incidente ocurrido el pasado miércoles 20 de mayo de 2026, en el bulevar Minero de esta ciudad capital en el que se vio involucrada una unidad de transporte público colectivo, la Semot a través de su organismo sectorizado, el STCH, informa lo siguiente.</t>
  </si>
  <si>
    <t>Avanzan obras estratégicas para modernizar la infraestructura hidráulica.</t>
  </si>
  <si>
    <t>Infraestructura Hidráulica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</si>
</sst>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57" tableType="queryTable" totalsRowShown="0">
  <autoFilter ref="A1:M157"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57"/>
  <sheetViews>
    <sheetView tabSelected="1" topLeftCell="A122" workbookViewId="0">
      <selection activeCell="B157" sqref="B157"/>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20.85546875" bestFit="1" customWidth="1"/>
    <col min="7" max="7" width="33.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37</v>
      </c>
      <c r="C1" t="s">
        <v>38</v>
      </c>
      <c r="D1" t="s">
        <v>39</v>
      </c>
      <c r="E1" t="s">
        <v>1</v>
      </c>
      <c r="F1" t="s">
        <v>2</v>
      </c>
      <c r="G1" t="s">
        <v>4</v>
      </c>
      <c r="H1" t="s">
        <v>3</v>
      </c>
      <c r="I1" t="s">
        <v>5</v>
      </c>
      <c r="J1" t="s">
        <v>40</v>
      </c>
      <c r="K1" t="s">
        <v>41</v>
      </c>
      <c r="L1" t="s">
        <v>42</v>
      </c>
      <c r="M1" t="s">
        <v>49</v>
      </c>
    </row>
    <row r="2" spans="1:13" x14ac:dyDescent="0.25">
      <c r="A2" s="2">
        <v>46168</v>
      </c>
      <c r="B2" s="1" t="str">
        <f ca="1">IF(Información1[[#This Row],[Fecha]]='Ajuste de fechas'!$A$2,"Día actual","Día anterior")</f>
        <v>Día anterior</v>
      </c>
      <c r="C2" s="3" t="s">
        <v>32</v>
      </c>
      <c r="D2" t="s">
        <v>33</v>
      </c>
      <c r="E2" s="3" t="s">
        <v>96</v>
      </c>
      <c r="F2" s="3" t="s">
        <v>34</v>
      </c>
      <c r="G2" s="3" t="s">
        <v>97</v>
      </c>
      <c r="H2" s="3" t="s">
        <v>11</v>
      </c>
      <c r="I2" s="3" t="s">
        <v>7</v>
      </c>
      <c r="J2" s="3" t="s">
        <v>43</v>
      </c>
      <c r="K2" s="3" t="s">
        <v>27</v>
      </c>
      <c r="L2" s="3" t="s">
        <v>46</v>
      </c>
      <c r="M2">
        <v>1</v>
      </c>
    </row>
    <row r="3" spans="1:13" x14ac:dyDescent="0.25">
      <c r="A3" s="2">
        <v>46168</v>
      </c>
      <c r="B3" s="1" t="str">
        <f ca="1">IF(Información1[[#This Row],[Fecha]]='Ajuste de fechas'!$A$2,"Día actual","Día anterior")</f>
        <v>Día anterior</v>
      </c>
      <c r="C3" s="3" t="s">
        <v>32</v>
      </c>
      <c r="D3" t="s">
        <v>33</v>
      </c>
      <c r="E3" s="3" t="s">
        <v>98</v>
      </c>
      <c r="F3" s="3" t="s">
        <v>21</v>
      </c>
      <c r="G3" s="3" t="s">
        <v>99</v>
      </c>
      <c r="H3" s="3" t="s">
        <v>11</v>
      </c>
      <c r="I3" s="3" t="s">
        <v>7</v>
      </c>
      <c r="J3" s="3" t="s">
        <v>43</v>
      </c>
      <c r="K3" s="3" t="s">
        <v>27</v>
      </c>
      <c r="L3" s="3" t="s">
        <v>46</v>
      </c>
      <c r="M3">
        <v>1</v>
      </c>
    </row>
    <row r="4" spans="1:13" x14ac:dyDescent="0.25">
      <c r="A4" s="2">
        <v>46168</v>
      </c>
      <c r="B4" s="1" t="str">
        <f ca="1">IF(Información1[[#This Row],[Fecha]]='Ajuste de fechas'!$A$2,"Día actual","Día anterior")</f>
        <v>Día anterior</v>
      </c>
      <c r="C4" s="3" t="s">
        <v>32</v>
      </c>
      <c r="D4" t="s">
        <v>33</v>
      </c>
      <c r="E4" s="3" t="s">
        <v>100</v>
      </c>
      <c r="F4" s="3" t="s">
        <v>78</v>
      </c>
      <c r="G4" s="3" t="s">
        <v>79</v>
      </c>
      <c r="H4" s="3" t="s">
        <v>11</v>
      </c>
      <c r="I4" s="3" t="s">
        <v>7</v>
      </c>
      <c r="J4" s="3" t="s">
        <v>43</v>
      </c>
      <c r="K4" s="3" t="s">
        <v>27</v>
      </c>
      <c r="L4" s="3" t="s">
        <v>46</v>
      </c>
      <c r="M4">
        <v>1</v>
      </c>
    </row>
    <row r="5" spans="1:13" x14ac:dyDescent="0.25">
      <c r="A5" s="2">
        <v>46168</v>
      </c>
      <c r="B5" s="1" t="str">
        <f ca="1">IF(Información1[[#This Row],[Fecha]]='Ajuste de fechas'!$A$2,"Día actual","Día anterior")</f>
        <v>Día anterior</v>
      </c>
      <c r="C5" s="3" t="s">
        <v>32</v>
      </c>
      <c r="D5" t="s">
        <v>33</v>
      </c>
      <c r="E5" s="3" t="s">
        <v>101</v>
      </c>
      <c r="F5" s="3" t="s">
        <v>17</v>
      </c>
      <c r="G5" s="3" t="s">
        <v>87</v>
      </c>
      <c r="H5" s="3" t="s">
        <v>11</v>
      </c>
      <c r="I5" s="3" t="s">
        <v>25</v>
      </c>
      <c r="J5" s="3" t="s">
        <v>43</v>
      </c>
      <c r="K5" s="3" t="s">
        <v>27</v>
      </c>
      <c r="L5" s="3" t="s">
        <v>44</v>
      </c>
      <c r="M5">
        <v>1</v>
      </c>
    </row>
    <row r="6" spans="1:13" x14ac:dyDescent="0.25">
      <c r="A6" s="2">
        <v>46168</v>
      </c>
      <c r="B6" s="1" t="str">
        <f ca="1">IF(Información1[[#This Row],[Fecha]]='Ajuste de fechas'!$A$2,"Día actual","Día anterior")</f>
        <v>Día anterior</v>
      </c>
      <c r="C6" s="3" t="s">
        <v>32</v>
      </c>
      <c r="D6" t="s">
        <v>33</v>
      </c>
      <c r="E6" s="3" t="s">
        <v>102</v>
      </c>
      <c r="F6" s="3" t="s">
        <v>15</v>
      </c>
      <c r="G6" s="3" t="s">
        <v>103</v>
      </c>
      <c r="H6" s="3" t="s">
        <v>11</v>
      </c>
      <c r="I6" s="3" t="s">
        <v>7</v>
      </c>
      <c r="J6" s="3" t="s">
        <v>43</v>
      </c>
      <c r="K6" s="3" t="s">
        <v>27</v>
      </c>
      <c r="L6" s="3" t="s">
        <v>46</v>
      </c>
      <c r="M6">
        <v>1</v>
      </c>
    </row>
    <row r="7" spans="1:13" x14ac:dyDescent="0.25">
      <c r="A7" s="2">
        <v>46168</v>
      </c>
      <c r="B7" s="1" t="str">
        <f ca="1">IF(Información1[[#This Row],[Fecha]]='Ajuste de fechas'!$A$2,"Día actual","Día anterior")</f>
        <v>Día anterior</v>
      </c>
      <c r="C7" s="3" t="s">
        <v>32</v>
      </c>
      <c r="D7" t="s">
        <v>33</v>
      </c>
      <c r="E7" s="3" t="s">
        <v>104</v>
      </c>
      <c r="F7" s="3" t="s">
        <v>15</v>
      </c>
      <c r="G7" s="3" t="s">
        <v>105</v>
      </c>
      <c r="H7" s="3" t="s">
        <v>11</v>
      </c>
      <c r="I7" s="3" t="s">
        <v>7</v>
      </c>
      <c r="J7" s="3" t="s">
        <v>43</v>
      </c>
      <c r="K7" s="3" t="s">
        <v>27</v>
      </c>
      <c r="L7" s="3" t="s">
        <v>46</v>
      </c>
      <c r="M7">
        <v>1</v>
      </c>
    </row>
    <row r="8" spans="1:13" x14ac:dyDescent="0.25">
      <c r="A8" s="2">
        <v>46168</v>
      </c>
      <c r="B8" s="1" t="str">
        <f ca="1">IF(Información1[[#This Row],[Fecha]]='Ajuste de fechas'!$A$2,"Día actual","Día anterior")</f>
        <v>Día anterior</v>
      </c>
      <c r="C8" s="3" t="s">
        <v>57</v>
      </c>
      <c r="D8" t="s">
        <v>58</v>
      </c>
      <c r="E8" s="3" t="s">
        <v>106</v>
      </c>
      <c r="F8" s="3" t="s">
        <v>22</v>
      </c>
      <c r="G8" s="3" t="s">
        <v>107</v>
      </c>
      <c r="H8" s="3" t="s">
        <v>11</v>
      </c>
      <c r="I8" s="3" t="s">
        <v>7</v>
      </c>
      <c r="J8" s="3" t="s">
        <v>48</v>
      </c>
      <c r="K8" s="3" t="s">
        <v>59</v>
      </c>
      <c r="L8" s="3" t="s">
        <v>44</v>
      </c>
      <c r="M8">
        <v>1</v>
      </c>
    </row>
    <row r="9" spans="1:13" x14ac:dyDescent="0.25">
      <c r="A9" s="2">
        <v>46168</v>
      </c>
      <c r="B9" s="1" t="str">
        <f ca="1">IF(Información1[[#This Row],[Fecha]]='Ajuste de fechas'!$A$2,"Día actual","Día anterior")</f>
        <v>Día anterior</v>
      </c>
      <c r="C9" s="3" t="s">
        <v>57</v>
      </c>
      <c r="D9" t="s">
        <v>58</v>
      </c>
      <c r="E9" s="3" t="s">
        <v>108</v>
      </c>
      <c r="F9" s="3" t="s">
        <v>22</v>
      </c>
      <c r="G9" s="3" t="s">
        <v>109</v>
      </c>
      <c r="H9" s="3" t="s">
        <v>11</v>
      </c>
      <c r="I9" s="3" t="s">
        <v>7</v>
      </c>
      <c r="J9" s="3" t="s">
        <v>48</v>
      </c>
      <c r="K9" s="3" t="s">
        <v>59</v>
      </c>
      <c r="L9" s="3" t="s">
        <v>44</v>
      </c>
      <c r="M9">
        <v>1</v>
      </c>
    </row>
    <row r="10" spans="1:13" x14ac:dyDescent="0.25">
      <c r="A10" s="2">
        <v>46168</v>
      </c>
      <c r="B10" s="1" t="str">
        <f ca="1">IF(Información1[[#This Row],[Fecha]]='Ajuste de fechas'!$A$2,"Día actual","Día anterior")</f>
        <v>Día anterior</v>
      </c>
      <c r="C10" s="3" t="s">
        <v>57</v>
      </c>
      <c r="D10" t="s">
        <v>58</v>
      </c>
      <c r="E10" s="3" t="s">
        <v>110</v>
      </c>
      <c r="F10" s="3" t="s">
        <v>19</v>
      </c>
      <c r="G10" s="3" t="s">
        <v>103</v>
      </c>
      <c r="H10" s="3" t="s">
        <v>11</v>
      </c>
      <c r="I10" s="3" t="s">
        <v>7</v>
      </c>
      <c r="J10" s="3" t="s">
        <v>47</v>
      </c>
      <c r="K10" s="3" t="s">
        <v>59</v>
      </c>
      <c r="L10" s="3" t="s">
        <v>44</v>
      </c>
      <c r="M10">
        <v>1</v>
      </c>
    </row>
    <row r="11" spans="1:13" x14ac:dyDescent="0.25">
      <c r="A11" s="2">
        <v>46168</v>
      </c>
      <c r="B11" s="1" t="str">
        <f ca="1">IF(Información1[[#This Row],[Fecha]]='Ajuste de fechas'!$A$2,"Día actual","Día anterior")</f>
        <v>Día anterior</v>
      </c>
      <c r="C11" s="3" t="s">
        <v>57</v>
      </c>
      <c r="D11" t="s">
        <v>58</v>
      </c>
      <c r="E11" s="3" t="s">
        <v>111</v>
      </c>
      <c r="F11" s="3" t="s">
        <v>53</v>
      </c>
      <c r="G11" s="3" t="s">
        <v>85</v>
      </c>
      <c r="H11" s="3" t="s">
        <v>11</v>
      </c>
      <c r="I11" s="3" t="s">
        <v>7</v>
      </c>
      <c r="J11" s="3" t="s">
        <v>43</v>
      </c>
      <c r="K11" s="3" t="s">
        <v>59</v>
      </c>
      <c r="L11" s="3" t="s">
        <v>46</v>
      </c>
      <c r="M11">
        <v>1</v>
      </c>
    </row>
    <row r="12" spans="1:13" x14ac:dyDescent="0.25">
      <c r="A12" s="2">
        <v>46168</v>
      </c>
      <c r="B12" s="1" t="str">
        <f ca="1">IF(Información1[[#This Row],[Fecha]]='Ajuste de fechas'!$A$2,"Día actual","Día anterior")</f>
        <v>Día anterior</v>
      </c>
      <c r="C12" s="3" t="s">
        <v>57</v>
      </c>
      <c r="D12" t="s">
        <v>58</v>
      </c>
      <c r="E12" s="3" t="s">
        <v>112</v>
      </c>
      <c r="F12" s="3" t="s">
        <v>34</v>
      </c>
      <c r="G12" s="3" t="s">
        <v>97</v>
      </c>
      <c r="H12" s="3" t="s">
        <v>11</v>
      </c>
      <c r="I12" s="3" t="s">
        <v>7</v>
      </c>
      <c r="J12" s="3" t="s">
        <v>43</v>
      </c>
      <c r="K12" s="3" t="s">
        <v>59</v>
      </c>
      <c r="L12" s="3" t="s">
        <v>46</v>
      </c>
      <c r="M12">
        <v>1</v>
      </c>
    </row>
    <row r="13" spans="1:13" x14ac:dyDescent="0.25">
      <c r="A13" s="2">
        <v>46168</v>
      </c>
      <c r="B13" s="1" t="str">
        <f ca="1">IF(Información1[[#This Row],[Fecha]]='Ajuste de fechas'!$A$2,"Día actual","Día anterior")</f>
        <v>Día anterior</v>
      </c>
      <c r="C13" s="3" t="s">
        <v>57</v>
      </c>
      <c r="D13" t="s">
        <v>58</v>
      </c>
      <c r="E13" s="3" t="s">
        <v>113</v>
      </c>
      <c r="F13" s="3" t="s">
        <v>53</v>
      </c>
      <c r="G13" s="3" t="s">
        <v>84</v>
      </c>
      <c r="H13" s="3" t="s">
        <v>11</v>
      </c>
      <c r="I13" s="3" t="s">
        <v>7</v>
      </c>
      <c r="J13" s="3" t="s">
        <v>43</v>
      </c>
      <c r="K13" s="3" t="s">
        <v>59</v>
      </c>
      <c r="L13" s="3" t="s">
        <v>46</v>
      </c>
      <c r="M13">
        <v>1</v>
      </c>
    </row>
    <row r="14" spans="1:13" x14ac:dyDescent="0.25">
      <c r="A14" s="2">
        <v>46168</v>
      </c>
      <c r="B14" s="1" t="str">
        <f ca="1">IF(Información1[[#This Row],[Fecha]]='Ajuste de fechas'!$A$2,"Día actual","Día anterior")</f>
        <v>Día anterior</v>
      </c>
      <c r="C14" s="3" t="s">
        <v>57</v>
      </c>
      <c r="D14" t="s">
        <v>58</v>
      </c>
      <c r="E14" s="3" t="s">
        <v>114</v>
      </c>
      <c r="F14" s="3" t="s">
        <v>62</v>
      </c>
      <c r="G14" s="3" t="s">
        <v>103</v>
      </c>
      <c r="H14" s="3" t="s">
        <v>11</v>
      </c>
      <c r="I14" s="3" t="s">
        <v>7</v>
      </c>
      <c r="J14" s="3" t="s">
        <v>43</v>
      </c>
      <c r="K14" s="3" t="s">
        <v>59</v>
      </c>
      <c r="L14" s="3" t="s">
        <v>46</v>
      </c>
      <c r="M14">
        <v>1</v>
      </c>
    </row>
    <row r="15" spans="1:13" x14ac:dyDescent="0.25">
      <c r="A15" s="2">
        <v>46168</v>
      </c>
      <c r="B15" s="1" t="str">
        <f ca="1">IF(Información1[[#This Row],[Fecha]]='Ajuste de fechas'!$A$2,"Día actual","Día anterior")</f>
        <v>Día anterior</v>
      </c>
      <c r="C15" s="3" t="s">
        <v>57</v>
      </c>
      <c r="D15" t="s">
        <v>58</v>
      </c>
      <c r="E15" s="3" t="s">
        <v>115</v>
      </c>
      <c r="F15" s="3" t="s">
        <v>116</v>
      </c>
      <c r="G15" s="3" t="s">
        <v>105</v>
      </c>
      <c r="H15" s="3" t="s">
        <v>11</v>
      </c>
      <c r="I15" s="3" t="s">
        <v>7</v>
      </c>
      <c r="J15" s="3" t="s">
        <v>43</v>
      </c>
      <c r="K15" s="3" t="s">
        <v>59</v>
      </c>
      <c r="L15" s="3" t="s">
        <v>46</v>
      </c>
      <c r="M15">
        <v>1</v>
      </c>
    </row>
    <row r="16" spans="1:13" x14ac:dyDescent="0.25">
      <c r="A16" s="2">
        <v>46168</v>
      </c>
      <c r="B16" s="1" t="str">
        <f ca="1">IF(Información1[[#This Row],[Fecha]]='Ajuste de fechas'!$A$2,"Día actual","Día anterior")</f>
        <v>Día anterior</v>
      </c>
      <c r="C16" s="3" t="s">
        <v>57</v>
      </c>
      <c r="D16" t="s">
        <v>58</v>
      </c>
      <c r="E16" s="3" t="s">
        <v>117</v>
      </c>
      <c r="F16" s="3" t="s">
        <v>26</v>
      </c>
      <c r="G16" s="3" t="s">
        <v>63</v>
      </c>
      <c r="H16" s="3" t="s">
        <v>11</v>
      </c>
      <c r="I16" s="3" t="s">
        <v>12</v>
      </c>
      <c r="J16" s="3" t="s">
        <v>43</v>
      </c>
      <c r="K16" s="3" t="s">
        <v>59</v>
      </c>
      <c r="L16" s="3" t="s">
        <v>44</v>
      </c>
      <c r="M16">
        <v>1</v>
      </c>
    </row>
    <row r="17" spans="1:13" x14ac:dyDescent="0.25">
      <c r="A17" s="2">
        <v>46168</v>
      </c>
      <c r="B17" s="1" t="str">
        <f ca="1">IF(Información1[[#This Row],[Fecha]]='Ajuste de fechas'!$A$2,"Día actual","Día anterior")</f>
        <v>Día anterior</v>
      </c>
      <c r="C17" s="3" t="s">
        <v>57</v>
      </c>
      <c r="D17" t="s">
        <v>58</v>
      </c>
      <c r="E17" s="3" t="s">
        <v>118</v>
      </c>
      <c r="F17" s="3" t="s">
        <v>119</v>
      </c>
      <c r="G17" s="3" t="s">
        <v>120</v>
      </c>
      <c r="H17" s="3" t="s">
        <v>11</v>
      </c>
      <c r="I17" s="3" t="s">
        <v>7</v>
      </c>
      <c r="J17" s="3" t="s">
        <v>43</v>
      </c>
      <c r="K17" s="3" t="s">
        <v>59</v>
      </c>
      <c r="L17" s="3" t="s">
        <v>46</v>
      </c>
      <c r="M17">
        <v>1</v>
      </c>
    </row>
    <row r="18" spans="1:13" x14ac:dyDescent="0.25">
      <c r="A18" s="2">
        <v>46168</v>
      </c>
      <c r="B18" s="1" t="str">
        <f ca="1">IF(Información1[[#This Row],[Fecha]]='Ajuste de fechas'!$A$2,"Día actual","Día anterior")</f>
        <v>Día anterior</v>
      </c>
      <c r="C18" s="3" t="s">
        <v>55</v>
      </c>
      <c r="D18" t="s">
        <v>60</v>
      </c>
      <c r="E18" s="3" t="s">
        <v>121</v>
      </c>
      <c r="F18" s="3" t="s">
        <v>23</v>
      </c>
      <c r="G18" s="3" t="s">
        <v>122</v>
      </c>
      <c r="H18" s="3" t="s">
        <v>11</v>
      </c>
      <c r="I18" s="3" t="s">
        <v>25</v>
      </c>
      <c r="J18" s="3" t="s">
        <v>43</v>
      </c>
      <c r="K18" s="3" t="s">
        <v>56</v>
      </c>
      <c r="L18" s="3" t="s">
        <v>44</v>
      </c>
      <c r="M18">
        <v>1</v>
      </c>
    </row>
    <row r="19" spans="1:13" x14ac:dyDescent="0.25">
      <c r="A19" s="2">
        <v>46168</v>
      </c>
      <c r="B19" s="1" t="str">
        <f ca="1">IF(Información1[[#This Row],[Fecha]]='Ajuste de fechas'!$A$2,"Día actual","Día anterior")</f>
        <v>Día anterior</v>
      </c>
      <c r="C19" s="3" t="s">
        <v>55</v>
      </c>
      <c r="D19" t="s">
        <v>60</v>
      </c>
      <c r="E19" s="3" t="s">
        <v>123</v>
      </c>
      <c r="F19" s="3" t="s">
        <v>6</v>
      </c>
      <c r="G19" s="3" t="s">
        <v>124</v>
      </c>
      <c r="H19" s="3" t="s">
        <v>11</v>
      </c>
      <c r="I19" s="3" t="s">
        <v>25</v>
      </c>
      <c r="J19" s="3" t="s">
        <v>43</v>
      </c>
      <c r="K19" s="3" t="s">
        <v>56</v>
      </c>
      <c r="L19" s="3" t="s">
        <v>44</v>
      </c>
      <c r="M19">
        <v>1</v>
      </c>
    </row>
    <row r="20" spans="1:13" x14ac:dyDescent="0.25">
      <c r="A20" s="2">
        <v>46168</v>
      </c>
      <c r="B20" s="1" t="str">
        <f ca="1">IF(Información1[[#This Row],[Fecha]]='Ajuste de fechas'!$A$2,"Día actual","Día anterior")</f>
        <v>Día anterior</v>
      </c>
      <c r="C20" s="3" t="s">
        <v>55</v>
      </c>
      <c r="D20" t="s">
        <v>60</v>
      </c>
      <c r="E20" s="3" t="s">
        <v>125</v>
      </c>
      <c r="F20" s="3" t="s">
        <v>19</v>
      </c>
      <c r="G20" s="3" t="s">
        <v>126</v>
      </c>
      <c r="H20" s="3" t="s">
        <v>11</v>
      </c>
      <c r="I20" s="3" t="s">
        <v>7</v>
      </c>
      <c r="J20" s="3" t="s">
        <v>47</v>
      </c>
      <c r="K20" s="3" t="s">
        <v>56</v>
      </c>
      <c r="L20" s="3" t="s">
        <v>44</v>
      </c>
      <c r="M20">
        <v>1</v>
      </c>
    </row>
    <row r="21" spans="1:13" x14ac:dyDescent="0.25">
      <c r="A21" s="2">
        <v>46168</v>
      </c>
      <c r="B21" s="1" t="str">
        <f ca="1">IF(Información1[[#This Row],[Fecha]]='Ajuste de fechas'!$A$2,"Día actual","Día anterior")</f>
        <v>Día anterior</v>
      </c>
      <c r="C21" s="3" t="s">
        <v>55</v>
      </c>
      <c r="D21" t="s">
        <v>60</v>
      </c>
      <c r="E21" s="3" t="s">
        <v>127</v>
      </c>
      <c r="F21" s="3" t="s">
        <v>26</v>
      </c>
      <c r="G21" s="3" t="s">
        <v>128</v>
      </c>
      <c r="H21" s="3" t="s">
        <v>11</v>
      </c>
      <c r="I21" s="3" t="s">
        <v>7</v>
      </c>
      <c r="J21" s="3" t="s">
        <v>43</v>
      </c>
      <c r="K21" s="3" t="s">
        <v>54</v>
      </c>
      <c r="L21" s="3" t="s">
        <v>44</v>
      </c>
      <c r="M21">
        <v>1</v>
      </c>
    </row>
    <row r="22" spans="1:13" x14ac:dyDescent="0.25">
      <c r="A22" s="2">
        <v>46168</v>
      </c>
      <c r="B22" s="1" t="str">
        <f ca="1">IF(Información1[[#This Row],[Fecha]]='Ajuste de fechas'!$A$2,"Día actual","Día anterior")</f>
        <v>Día anterior</v>
      </c>
      <c r="C22" s="3" t="s">
        <v>55</v>
      </c>
      <c r="D22" t="s">
        <v>60</v>
      </c>
      <c r="E22" s="3" t="s">
        <v>113</v>
      </c>
      <c r="F22" s="3" t="s">
        <v>53</v>
      </c>
      <c r="G22" s="3" t="s">
        <v>84</v>
      </c>
      <c r="H22" s="3" t="s">
        <v>11</v>
      </c>
      <c r="I22" s="3" t="s">
        <v>7</v>
      </c>
      <c r="J22" s="3" t="s">
        <v>43</v>
      </c>
      <c r="K22" s="3" t="s">
        <v>54</v>
      </c>
      <c r="L22" s="3" t="s">
        <v>46</v>
      </c>
      <c r="M22">
        <v>1</v>
      </c>
    </row>
    <row r="23" spans="1:13" x14ac:dyDescent="0.25">
      <c r="A23" s="2">
        <v>46168</v>
      </c>
      <c r="B23" s="1" t="str">
        <f ca="1">IF(Información1[[#This Row],[Fecha]]='Ajuste de fechas'!$A$2,"Día actual","Día anterior")</f>
        <v>Día anterior</v>
      </c>
      <c r="C23" s="3" t="s">
        <v>55</v>
      </c>
      <c r="D23" t="s">
        <v>60</v>
      </c>
      <c r="E23" s="3" t="s">
        <v>129</v>
      </c>
      <c r="F23" s="3" t="s">
        <v>21</v>
      </c>
      <c r="G23" s="3" t="s">
        <v>130</v>
      </c>
      <c r="H23" s="3" t="s">
        <v>11</v>
      </c>
      <c r="I23" s="3" t="s">
        <v>7</v>
      </c>
      <c r="J23" s="3" t="s">
        <v>43</v>
      </c>
      <c r="K23" s="3" t="s">
        <v>54</v>
      </c>
      <c r="L23" s="3" t="s">
        <v>131</v>
      </c>
      <c r="M23">
        <v>1</v>
      </c>
    </row>
    <row r="24" spans="1:13" x14ac:dyDescent="0.25">
      <c r="A24" s="2">
        <v>46168</v>
      </c>
      <c r="B24" s="1" t="str">
        <f ca="1">IF(Información1[[#This Row],[Fecha]]='Ajuste de fechas'!$A$2,"Día actual","Día anterior")</f>
        <v>Día anterior</v>
      </c>
      <c r="C24" s="3" t="s">
        <v>55</v>
      </c>
      <c r="D24" t="s">
        <v>60</v>
      </c>
      <c r="E24" s="3" t="s">
        <v>132</v>
      </c>
      <c r="F24" s="3" t="s">
        <v>86</v>
      </c>
      <c r="G24" s="3" t="s">
        <v>133</v>
      </c>
      <c r="H24" s="3" t="s">
        <v>11</v>
      </c>
      <c r="I24" s="3" t="s">
        <v>7</v>
      </c>
      <c r="J24" s="3" t="s">
        <v>43</v>
      </c>
      <c r="K24" s="3" t="s">
        <v>54</v>
      </c>
      <c r="L24" s="3" t="s">
        <v>46</v>
      </c>
      <c r="M24">
        <v>1</v>
      </c>
    </row>
    <row r="25" spans="1:13" x14ac:dyDescent="0.25">
      <c r="A25" s="2">
        <v>46168</v>
      </c>
      <c r="B25" s="1" t="str">
        <f ca="1">IF(Información1[[#This Row],[Fecha]]='Ajuste de fechas'!$A$2,"Día actual","Día anterior")</f>
        <v>Día anterior</v>
      </c>
      <c r="C25" s="3" t="s">
        <v>28</v>
      </c>
      <c r="D25" t="s">
        <v>30</v>
      </c>
      <c r="E25" s="3" t="s">
        <v>134</v>
      </c>
      <c r="F25" s="3" t="s">
        <v>24</v>
      </c>
      <c r="G25" s="3"/>
      <c r="H25" s="3" t="s">
        <v>11</v>
      </c>
      <c r="I25" s="3" t="s">
        <v>7</v>
      </c>
      <c r="J25" s="3" t="s">
        <v>24</v>
      </c>
      <c r="K25" s="3" t="s">
        <v>36</v>
      </c>
      <c r="L25" s="3" t="s">
        <v>44</v>
      </c>
      <c r="M25">
        <v>1</v>
      </c>
    </row>
    <row r="26" spans="1:13" x14ac:dyDescent="0.25">
      <c r="A26" s="2">
        <v>46168</v>
      </c>
      <c r="B26" s="1" t="str">
        <f ca="1">IF(Información1[[#This Row],[Fecha]]='Ajuste de fechas'!$A$2,"Día actual","Día anterior")</f>
        <v>Día anterior</v>
      </c>
      <c r="C26" s="3" t="s">
        <v>28</v>
      </c>
      <c r="D26" t="s">
        <v>31</v>
      </c>
      <c r="E26" s="3" t="s">
        <v>135</v>
      </c>
      <c r="F26" s="3" t="s">
        <v>19</v>
      </c>
      <c r="G26" s="3"/>
      <c r="H26" s="3" t="s">
        <v>11</v>
      </c>
      <c r="I26" s="3" t="s">
        <v>7</v>
      </c>
      <c r="J26" s="3" t="s">
        <v>47</v>
      </c>
      <c r="K26" s="3" t="s">
        <v>29</v>
      </c>
      <c r="L26" s="3" t="s">
        <v>44</v>
      </c>
      <c r="M26">
        <v>1</v>
      </c>
    </row>
    <row r="27" spans="1:13" x14ac:dyDescent="0.25">
      <c r="A27" s="2">
        <v>46168</v>
      </c>
      <c r="B27" s="1" t="str">
        <f ca="1">IF(Información1[[#This Row],[Fecha]]='Ajuste de fechas'!$A$2,"Día actual","Día anterior")</f>
        <v>Día anterior</v>
      </c>
      <c r="C27" s="3" t="s">
        <v>8</v>
      </c>
      <c r="D27" t="s">
        <v>10</v>
      </c>
      <c r="E27" s="3" t="s">
        <v>136</v>
      </c>
      <c r="F27" s="3" t="s">
        <v>6</v>
      </c>
      <c r="G27" s="3" t="s">
        <v>52</v>
      </c>
      <c r="H27" s="3" t="s">
        <v>11</v>
      </c>
      <c r="I27" s="3" t="s">
        <v>25</v>
      </c>
      <c r="J27" s="3" t="s">
        <v>43</v>
      </c>
      <c r="K27" s="3" t="s">
        <v>9</v>
      </c>
      <c r="L27" s="3" t="s">
        <v>45</v>
      </c>
      <c r="M27">
        <v>1</v>
      </c>
    </row>
    <row r="28" spans="1:13" x14ac:dyDescent="0.25">
      <c r="A28" s="2">
        <v>46168</v>
      </c>
      <c r="B28" s="1" t="str">
        <f ca="1">IF(Información1[[#This Row],[Fecha]]='Ajuste de fechas'!$A$2,"Día actual","Día anterior")</f>
        <v>Día anterior</v>
      </c>
      <c r="C28" s="3" t="s">
        <v>8</v>
      </c>
      <c r="D28" t="s">
        <v>10</v>
      </c>
      <c r="E28" s="3" t="s">
        <v>137</v>
      </c>
      <c r="F28" s="3" t="s">
        <v>6</v>
      </c>
      <c r="G28" s="3" t="s">
        <v>52</v>
      </c>
      <c r="H28" s="3" t="s">
        <v>11</v>
      </c>
      <c r="I28" s="3" t="s">
        <v>25</v>
      </c>
      <c r="J28" s="3" t="s">
        <v>43</v>
      </c>
      <c r="K28" s="3" t="s">
        <v>9</v>
      </c>
      <c r="L28" s="3" t="s">
        <v>45</v>
      </c>
      <c r="M28">
        <v>1</v>
      </c>
    </row>
    <row r="29" spans="1:13" x14ac:dyDescent="0.25">
      <c r="A29" s="2">
        <v>46168</v>
      </c>
      <c r="B29" s="1" t="str">
        <f ca="1">IF(Información1[[#This Row],[Fecha]]='Ajuste de fechas'!$A$2,"Día actual","Día anterior")</f>
        <v>Día anterior</v>
      </c>
      <c r="C29" s="3" t="s">
        <v>8</v>
      </c>
      <c r="D29" t="s">
        <v>10</v>
      </c>
      <c r="E29" s="3" t="s">
        <v>138</v>
      </c>
      <c r="F29" s="3" t="s">
        <v>6</v>
      </c>
      <c r="G29" s="3" t="s">
        <v>52</v>
      </c>
      <c r="H29" s="3" t="s">
        <v>11</v>
      </c>
      <c r="I29" s="3" t="s">
        <v>25</v>
      </c>
      <c r="J29" s="3" t="s">
        <v>43</v>
      </c>
      <c r="K29" s="3" t="s">
        <v>9</v>
      </c>
      <c r="L29" s="3" t="s">
        <v>45</v>
      </c>
      <c r="M29">
        <v>1</v>
      </c>
    </row>
    <row r="30" spans="1:13" x14ac:dyDescent="0.25">
      <c r="A30" s="2">
        <v>46168</v>
      </c>
      <c r="B30" s="1" t="str">
        <f ca="1">IF(Información1[[#This Row],[Fecha]]='Ajuste de fechas'!$A$2,"Día actual","Día anterior")</f>
        <v>Día anterior</v>
      </c>
      <c r="C30" s="3" t="s">
        <v>28</v>
      </c>
      <c r="D30" t="s">
        <v>30</v>
      </c>
      <c r="E30" s="3" t="s">
        <v>139</v>
      </c>
      <c r="F30" s="3" t="s">
        <v>17</v>
      </c>
      <c r="G30" s="3" t="s">
        <v>74</v>
      </c>
      <c r="H30" s="3" t="s">
        <v>11</v>
      </c>
      <c r="I30" s="3" t="s">
        <v>25</v>
      </c>
      <c r="J30" s="3" t="s">
        <v>43</v>
      </c>
      <c r="K30" s="3" t="s">
        <v>36</v>
      </c>
      <c r="L30" s="3" t="s">
        <v>44</v>
      </c>
      <c r="M30">
        <v>1</v>
      </c>
    </row>
    <row r="31" spans="1:13" x14ac:dyDescent="0.25">
      <c r="A31" s="2">
        <v>46168</v>
      </c>
      <c r="B31" s="1" t="str">
        <f ca="1">IF(Información1[[#This Row],[Fecha]]='Ajuste de fechas'!$A$2,"Día actual","Día anterior")</f>
        <v>Día anterior</v>
      </c>
      <c r="C31" s="3" t="s">
        <v>28</v>
      </c>
      <c r="D31" t="s">
        <v>31</v>
      </c>
      <c r="E31" s="3" t="s">
        <v>140</v>
      </c>
      <c r="F31" s="3" t="s">
        <v>17</v>
      </c>
      <c r="G31" s="3" t="s">
        <v>74</v>
      </c>
      <c r="H31" s="3" t="s">
        <v>11</v>
      </c>
      <c r="I31" s="3" t="s">
        <v>7</v>
      </c>
      <c r="J31" s="3" t="s">
        <v>43</v>
      </c>
      <c r="K31" s="3" t="s">
        <v>29</v>
      </c>
      <c r="L31" s="3" t="s">
        <v>44</v>
      </c>
      <c r="M31">
        <v>1</v>
      </c>
    </row>
    <row r="32" spans="1:13" x14ac:dyDescent="0.25">
      <c r="A32" s="2">
        <v>46168</v>
      </c>
      <c r="B32" s="1" t="str">
        <f ca="1">IF(Información1[[#This Row],[Fecha]]='Ajuste de fechas'!$A$2,"Día actual","Día anterior")</f>
        <v>Día anterior</v>
      </c>
      <c r="C32" s="3" t="s">
        <v>28</v>
      </c>
      <c r="D32" t="s">
        <v>30</v>
      </c>
      <c r="E32" s="3" t="s">
        <v>139</v>
      </c>
      <c r="F32" s="3" t="s">
        <v>17</v>
      </c>
      <c r="G32" s="3" t="s">
        <v>87</v>
      </c>
      <c r="H32" s="3" t="s">
        <v>11</v>
      </c>
      <c r="I32" s="3" t="s">
        <v>25</v>
      </c>
      <c r="J32" s="3" t="s">
        <v>43</v>
      </c>
      <c r="K32" s="3" t="s">
        <v>36</v>
      </c>
      <c r="L32" s="3" t="s">
        <v>44</v>
      </c>
      <c r="M32">
        <v>1</v>
      </c>
    </row>
    <row r="33" spans="1:13" x14ac:dyDescent="0.25">
      <c r="A33" s="2">
        <v>46168</v>
      </c>
      <c r="B33" s="1" t="str">
        <f ca="1">IF(Información1[[#This Row],[Fecha]]='Ajuste de fechas'!$A$2,"Día actual","Día anterior")</f>
        <v>Día anterior</v>
      </c>
      <c r="C33" s="3" t="s">
        <v>8</v>
      </c>
      <c r="D33" t="s">
        <v>10</v>
      </c>
      <c r="E33" s="3" t="s">
        <v>141</v>
      </c>
      <c r="F33" s="3" t="s">
        <v>17</v>
      </c>
      <c r="G33" s="3" t="s">
        <v>87</v>
      </c>
      <c r="H33" s="3" t="s">
        <v>11</v>
      </c>
      <c r="I33" s="3" t="s">
        <v>25</v>
      </c>
      <c r="J33" s="3" t="s">
        <v>43</v>
      </c>
      <c r="K33" s="3" t="s">
        <v>14</v>
      </c>
      <c r="L33" s="3" t="s">
        <v>45</v>
      </c>
      <c r="M33">
        <v>1</v>
      </c>
    </row>
    <row r="34" spans="1:13" x14ac:dyDescent="0.25">
      <c r="A34" s="2">
        <v>46168</v>
      </c>
      <c r="B34" s="1" t="str">
        <f ca="1">IF(Información1[[#This Row],[Fecha]]='Ajuste de fechas'!$A$2,"Día actual","Día anterior")</f>
        <v>Día anterior</v>
      </c>
      <c r="C34" s="3" t="s">
        <v>28</v>
      </c>
      <c r="D34" t="s">
        <v>30</v>
      </c>
      <c r="E34" s="3" t="s">
        <v>142</v>
      </c>
      <c r="F34" s="3" t="s">
        <v>15</v>
      </c>
      <c r="G34" s="3" t="s">
        <v>80</v>
      </c>
      <c r="H34" s="3" t="s">
        <v>11</v>
      </c>
      <c r="I34" s="3" t="s">
        <v>7</v>
      </c>
      <c r="J34" s="3" t="s">
        <v>43</v>
      </c>
      <c r="K34" s="3" t="s">
        <v>36</v>
      </c>
      <c r="L34" s="3" t="s">
        <v>44</v>
      </c>
      <c r="M34">
        <v>1</v>
      </c>
    </row>
    <row r="35" spans="1:13" x14ac:dyDescent="0.25">
      <c r="A35" s="2">
        <v>46168</v>
      </c>
      <c r="B35" s="1" t="str">
        <f ca="1">IF(Información1[[#This Row],[Fecha]]='Ajuste de fechas'!$A$2,"Día actual","Día anterior")</f>
        <v>Día anterior</v>
      </c>
      <c r="C35" s="3" t="s">
        <v>8</v>
      </c>
      <c r="D35" t="s">
        <v>10</v>
      </c>
      <c r="E35" s="3" t="s">
        <v>143</v>
      </c>
      <c r="F35" s="3" t="s">
        <v>17</v>
      </c>
      <c r="G35" s="3" t="s">
        <v>144</v>
      </c>
      <c r="H35" s="3" t="s">
        <v>11</v>
      </c>
      <c r="I35" s="3" t="s">
        <v>25</v>
      </c>
      <c r="J35" s="3" t="s">
        <v>43</v>
      </c>
      <c r="K35" s="3" t="s">
        <v>9</v>
      </c>
      <c r="L35" s="3" t="s">
        <v>45</v>
      </c>
      <c r="M35">
        <v>1</v>
      </c>
    </row>
    <row r="36" spans="1:13" x14ac:dyDescent="0.25">
      <c r="A36" s="2">
        <v>46168</v>
      </c>
      <c r="B36" s="1" t="str">
        <f ca="1">IF(Información1[[#This Row],[Fecha]]='Ajuste de fechas'!$A$2,"Día actual","Día anterior")</f>
        <v>Día anterior</v>
      </c>
      <c r="C36" s="3" t="s">
        <v>28</v>
      </c>
      <c r="D36" t="s">
        <v>30</v>
      </c>
      <c r="E36" s="3" t="s">
        <v>145</v>
      </c>
      <c r="F36" s="3" t="s">
        <v>23</v>
      </c>
      <c r="G36" s="3" t="s">
        <v>146</v>
      </c>
      <c r="H36" s="3" t="s">
        <v>11</v>
      </c>
      <c r="I36" s="3" t="s">
        <v>25</v>
      </c>
      <c r="J36" s="3" t="s">
        <v>43</v>
      </c>
      <c r="K36" s="3" t="s">
        <v>36</v>
      </c>
      <c r="L36" s="3" t="s">
        <v>44</v>
      </c>
      <c r="M36">
        <v>1</v>
      </c>
    </row>
    <row r="37" spans="1:13" x14ac:dyDescent="0.25">
      <c r="A37" s="2">
        <v>46168</v>
      </c>
      <c r="B37" s="1" t="str">
        <f ca="1">IF(Información1[[#This Row],[Fecha]]='Ajuste de fechas'!$A$2,"Día actual","Día anterior")</f>
        <v>Día anterior</v>
      </c>
      <c r="C37" s="3" t="s">
        <v>8</v>
      </c>
      <c r="D37" t="s">
        <v>10</v>
      </c>
      <c r="E37" s="3" t="s">
        <v>20</v>
      </c>
      <c r="F37" s="3" t="s">
        <v>19</v>
      </c>
      <c r="G37" s="3" t="s">
        <v>35</v>
      </c>
      <c r="H37" s="3" t="s">
        <v>11</v>
      </c>
      <c r="I37" s="3" t="s">
        <v>12</v>
      </c>
      <c r="J37" s="3" t="s">
        <v>47</v>
      </c>
      <c r="K37" s="3" t="s">
        <v>14</v>
      </c>
      <c r="L37" s="3" t="s">
        <v>45</v>
      </c>
      <c r="M37">
        <v>1</v>
      </c>
    </row>
    <row r="38" spans="1:13" x14ac:dyDescent="0.25">
      <c r="A38" s="2">
        <v>46168</v>
      </c>
      <c r="B38" s="1" t="str">
        <f ca="1">IF(Información1[[#This Row],[Fecha]]='Ajuste de fechas'!$A$2,"Día actual","Día anterior")</f>
        <v>Día anterior</v>
      </c>
      <c r="C38" s="3" t="s">
        <v>8</v>
      </c>
      <c r="D38" t="s">
        <v>10</v>
      </c>
      <c r="E38" s="3" t="s">
        <v>18</v>
      </c>
      <c r="F38" s="3" t="s">
        <v>19</v>
      </c>
      <c r="G38" s="3" t="s">
        <v>35</v>
      </c>
      <c r="H38" s="3" t="s">
        <v>11</v>
      </c>
      <c r="I38" s="3" t="s">
        <v>12</v>
      </c>
      <c r="J38" s="3" t="s">
        <v>47</v>
      </c>
      <c r="K38" s="3" t="s">
        <v>14</v>
      </c>
      <c r="L38" s="3" t="s">
        <v>45</v>
      </c>
      <c r="M38">
        <v>1</v>
      </c>
    </row>
    <row r="39" spans="1:13" x14ac:dyDescent="0.25">
      <c r="A39" s="2">
        <v>46168</v>
      </c>
      <c r="B39" s="1" t="str">
        <f ca="1">IF(Información1[[#This Row],[Fecha]]='Ajuste de fechas'!$A$2,"Día actual","Día anterior")</f>
        <v>Día anterior</v>
      </c>
      <c r="C39" s="3" t="s">
        <v>8</v>
      </c>
      <c r="D39" t="s">
        <v>10</v>
      </c>
      <c r="E39" s="3" t="s">
        <v>65</v>
      </c>
      <c r="F39" s="3" t="s">
        <v>21</v>
      </c>
      <c r="G39" s="3" t="s">
        <v>35</v>
      </c>
      <c r="H39" s="3" t="s">
        <v>11</v>
      </c>
      <c r="I39" s="3" t="s">
        <v>12</v>
      </c>
      <c r="J39" s="3" t="s">
        <v>43</v>
      </c>
      <c r="K39" s="3" t="s">
        <v>14</v>
      </c>
      <c r="L39" s="3" t="s">
        <v>45</v>
      </c>
      <c r="M39">
        <v>1</v>
      </c>
    </row>
    <row r="40" spans="1:13" x14ac:dyDescent="0.25">
      <c r="A40" s="2">
        <v>46168</v>
      </c>
      <c r="B40" s="1" t="str">
        <f ca="1">IF(Información1[[#This Row],[Fecha]]='Ajuste de fechas'!$A$2,"Día actual","Día anterior")</f>
        <v>Día anterior</v>
      </c>
      <c r="C40" s="3" t="s">
        <v>8</v>
      </c>
      <c r="D40" t="s">
        <v>10</v>
      </c>
      <c r="E40" s="3" t="s">
        <v>13</v>
      </c>
      <c r="F40" s="3" t="s">
        <v>15</v>
      </c>
      <c r="G40" s="3" t="s">
        <v>35</v>
      </c>
      <c r="H40" s="3" t="s">
        <v>11</v>
      </c>
      <c r="I40" s="3" t="s">
        <v>12</v>
      </c>
      <c r="J40" s="3" t="s">
        <v>43</v>
      </c>
      <c r="K40" s="3" t="s">
        <v>14</v>
      </c>
      <c r="L40" s="3" t="s">
        <v>45</v>
      </c>
      <c r="M40">
        <v>1</v>
      </c>
    </row>
    <row r="41" spans="1:13" x14ac:dyDescent="0.25">
      <c r="A41" s="2">
        <v>46168</v>
      </c>
      <c r="B41" s="1" t="str">
        <f ca="1">IF(Información1[[#This Row],[Fecha]]='Ajuste de fechas'!$A$2,"Día actual","Día anterior")</f>
        <v>Día anterior</v>
      </c>
      <c r="C41" s="3" t="s">
        <v>8</v>
      </c>
      <c r="D41" t="s">
        <v>10</v>
      </c>
      <c r="E41" s="3" t="s">
        <v>16</v>
      </c>
      <c r="F41" s="3" t="s">
        <v>17</v>
      </c>
      <c r="G41" s="3" t="s">
        <v>35</v>
      </c>
      <c r="H41" s="3" t="s">
        <v>11</v>
      </c>
      <c r="I41" s="3" t="s">
        <v>12</v>
      </c>
      <c r="J41" s="3" t="s">
        <v>43</v>
      </c>
      <c r="K41" s="3" t="s">
        <v>14</v>
      </c>
      <c r="L41" s="3" t="s">
        <v>45</v>
      </c>
      <c r="M41">
        <v>1</v>
      </c>
    </row>
    <row r="42" spans="1:13" x14ac:dyDescent="0.25">
      <c r="A42" s="2">
        <v>46168</v>
      </c>
      <c r="B42" s="1" t="str">
        <f ca="1">IF(Información1[[#This Row],[Fecha]]='Ajuste de fechas'!$A$2,"Día actual","Día anterior")</f>
        <v>Día anterior</v>
      </c>
      <c r="C42" s="3" t="s">
        <v>8</v>
      </c>
      <c r="D42" t="s">
        <v>10</v>
      </c>
      <c r="E42" s="3" t="s">
        <v>66</v>
      </c>
      <c r="F42" s="3" t="s">
        <v>6</v>
      </c>
      <c r="G42" s="3" t="s">
        <v>35</v>
      </c>
      <c r="H42" s="3" t="s">
        <v>11</v>
      </c>
      <c r="I42" s="3" t="s">
        <v>12</v>
      </c>
      <c r="J42" s="3" t="s">
        <v>43</v>
      </c>
      <c r="K42" s="3" t="s">
        <v>14</v>
      </c>
      <c r="L42" s="3" t="s">
        <v>45</v>
      </c>
      <c r="M42">
        <v>1</v>
      </c>
    </row>
    <row r="43" spans="1:13" x14ac:dyDescent="0.25">
      <c r="A43" s="2">
        <v>46168</v>
      </c>
      <c r="B43" s="1" t="str">
        <f ca="1">IF(Información1[[#This Row],[Fecha]]='Ajuste de fechas'!$A$2,"Día actual","Día anterior")</f>
        <v>Día anterior</v>
      </c>
      <c r="C43" s="3" t="s">
        <v>8</v>
      </c>
      <c r="D43" t="s">
        <v>10</v>
      </c>
      <c r="E43" s="3" t="s">
        <v>147</v>
      </c>
      <c r="F43" s="3" t="s">
        <v>19</v>
      </c>
      <c r="G43" s="3" t="s">
        <v>148</v>
      </c>
      <c r="H43" s="3" t="s">
        <v>11</v>
      </c>
      <c r="I43" s="3" t="s">
        <v>25</v>
      </c>
      <c r="J43" s="3" t="s">
        <v>47</v>
      </c>
      <c r="K43" s="3" t="s">
        <v>9</v>
      </c>
      <c r="L43" s="3" t="s">
        <v>45</v>
      </c>
      <c r="M43">
        <v>1</v>
      </c>
    </row>
    <row r="44" spans="1:13" x14ac:dyDescent="0.25">
      <c r="A44" s="2">
        <v>46168</v>
      </c>
      <c r="B44" s="1" t="str">
        <f ca="1">IF(Información1[[#This Row],[Fecha]]='Ajuste de fechas'!$A$2,"Día actual","Día anterior")</f>
        <v>Día anterior</v>
      </c>
      <c r="C44" s="3" t="s">
        <v>28</v>
      </c>
      <c r="D44" t="s">
        <v>31</v>
      </c>
      <c r="E44" s="3" t="s">
        <v>149</v>
      </c>
      <c r="F44" s="3" t="s">
        <v>24</v>
      </c>
      <c r="G44" s="3" t="s">
        <v>150</v>
      </c>
      <c r="H44" s="3" t="s">
        <v>11</v>
      </c>
      <c r="I44" s="3" t="s">
        <v>7</v>
      </c>
      <c r="J44" s="3" t="s">
        <v>24</v>
      </c>
      <c r="K44" s="3" t="s">
        <v>29</v>
      </c>
      <c r="L44" s="3" t="s">
        <v>44</v>
      </c>
      <c r="M44">
        <v>1</v>
      </c>
    </row>
    <row r="45" spans="1:13" x14ac:dyDescent="0.25">
      <c r="A45" s="2">
        <v>46168</v>
      </c>
      <c r="B45" s="1" t="str">
        <f ca="1">IF(Información1[[#This Row],[Fecha]]='Ajuste de fechas'!$A$2,"Día actual","Día anterior")</f>
        <v>Día anterior</v>
      </c>
      <c r="C45" s="3" t="s">
        <v>8</v>
      </c>
      <c r="D45" t="s">
        <v>10</v>
      </c>
      <c r="E45" s="3" t="s">
        <v>81</v>
      </c>
      <c r="F45" s="3" t="s">
        <v>82</v>
      </c>
      <c r="G45" s="3" t="s">
        <v>83</v>
      </c>
      <c r="H45" s="3" t="s">
        <v>11</v>
      </c>
      <c r="I45" s="3" t="s">
        <v>7</v>
      </c>
      <c r="J45" s="3" t="s">
        <v>43</v>
      </c>
      <c r="K45" s="3" t="s">
        <v>14</v>
      </c>
      <c r="L45" s="3" t="s">
        <v>46</v>
      </c>
      <c r="M45">
        <v>1</v>
      </c>
    </row>
    <row r="46" spans="1:13" x14ac:dyDescent="0.25">
      <c r="A46" s="2">
        <v>46168</v>
      </c>
      <c r="B46" s="1" t="str">
        <f ca="1">IF(Información1[[#This Row],[Fecha]]='Ajuste de fechas'!$A$2,"Día actual","Día anterior")</f>
        <v>Día anterior</v>
      </c>
      <c r="C46" s="3" t="s">
        <v>28</v>
      </c>
      <c r="D46" t="s">
        <v>30</v>
      </c>
      <c r="E46" s="3" t="s">
        <v>151</v>
      </c>
      <c r="F46" s="3" t="s">
        <v>24</v>
      </c>
      <c r="G46" s="3" t="s">
        <v>91</v>
      </c>
      <c r="H46" s="3" t="s">
        <v>11</v>
      </c>
      <c r="I46" s="3" t="s">
        <v>7</v>
      </c>
      <c r="J46" s="3" t="s">
        <v>24</v>
      </c>
      <c r="K46" s="3" t="s">
        <v>36</v>
      </c>
      <c r="L46" s="3" t="s">
        <v>44</v>
      </c>
      <c r="M46">
        <v>1</v>
      </c>
    </row>
    <row r="47" spans="1:13" x14ac:dyDescent="0.25">
      <c r="A47" s="2">
        <v>46168</v>
      </c>
      <c r="B47" s="1" t="str">
        <f ca="1">IF(Información1[[#This Row],[Fecha]]='Ajuste de fechas'!$A$2,"Día actual","Día anterior")</f>
        <v>Día anterior</v>
      </c>
      <c r="C47" s="3" t="s">
        <v>28</v>
      </c>
      <c r="D47" t="s">
        <v>31</v>
      </c>
      <c r="E47" s="3" t="s">
        <v>152</v>
      </c>
      <c r="F47" s="3" t="s">
        <v>26</v>
      </c>
      <c r="G47" s="3" t="s">
        <v>91</v>
      </c>
      <c r="H47" s="3" t="s">
        <v>11</v>
      </c>
      <c r="I47" s="3" t="s">
        <v>7</v>
      </c>
      <c r="J47" s="3" t="s">
        <v>43</v>
      </c>
      <c r="K47" s="3" t="s">
        <v>29</v>
      </c>
      <c r="L47" s="3" t="s">
        <v>44</v>
      </c>
      <c r="M47">
        <v>1</v>
      </c>
    </row>
    <row r="48" spans="1:13" x14ac:dyDescent="0.25">
      <c r="A48" s="2">
        <v>46168</v>
      </c>
      <c r="B48" s="1" t="str">
        <f ca="1">IF(Información1[[#This Row],[Fecha]]='Ajuste de fechas'!$A$2,"Día actual","Día anterior")</f>
        <v>Día anterior</v>
      </c>
      <c r="C48" s="3" t="s">
        <v>28</v>
      </c>
      <c r="D48" t="s">
        <v>30</v>
      </c>
      <c r="E48" s="3" t="s">
        <v>153</v>
      </c>
      <c r="F48" s="3" t="s">
        <v>15</v>
      </c>
      <c r="G48" s="3" t="s">
        <v>154</v>
      </c>
      <c r="H48" s="3" t="s">
        <v>11</v>
      </c>
      <c r="I48" s="3" t="s">
        <v>7</v>
      </c>
      <c r="J48" s="3" t="s">
        <v>43</v>
      </c>
      <c r="K48" s="3" t="s">
        <v>36</v>
      </c>
      <c r="L48" s="3" t="s">
        <v>46</v>
      </c>
      <c r="M48">
        <v>1</v>
      </c>
    </row>
    <row r="49" spans="1:13" x14ac:dyDescent="0.25">
      <c r="A49" s="2">
        <v>46168</v>
      </c>
      <c r="B49" s="1" t="str">
        <f ca="1">IF(Información1[[#This Row],[Fecha]]='Ajuste de fechas'!$A$2,"Día actual","Día anterior")</f>
        <v>Día anterior</v>
      </c>
      <c r="C49" s="3" t="s">
        <v>92</v>
      </c>
      <c r="D49" t="s">
        <v>93</v>
      </c>
      <c r="E49" s="3" t="s">
        <v>155</v>
      </c>
      <c r="F49" s="3" t="s">
        <v>15</v>
      </c>
      <c r="G49" s="3" t="s">
        <v>154</v>
      </c>
      <c r="H49" s="3" t="s">
        <v>11</v>
      </c>
      <c r="I49" s="3" t="s">
        <v>7</v>
      </c>
      <c r="J49" s="3" t="s">
        <v>43</v>
      </c>
      <c r="K49" s="3" t="s">
        <v>94</v>
      </c>
      <c r="L49" s="3" t="s">
        <v>46</v>
      </c>
      <c r="M49">
        <v>1</v>
      </c>
    </row>
    <row r="50" spans="1:13" x14ac:dyDescent="0.25">
      <c r="A50" s="2">
        <v>46168</v>
      </c>
      <c r="B50" s="1" t="str">
        <f ca="1">IF(Información1[[#This Row],[Fecha]]='Ajuste de fechas'!$A$2,"Día actual","Día anterior")</f>
        <v>Día anterior</v>
      </c>
      <c r="C50" s="3" t="s">
        <v>8</v>
      </c>
      <c r="D50" t="s">
        <v>10</v>
      </c>
      <c r="E50" s="3" t="s">
        <v>156</v>
      </c>
      <c r="F50" s="3" t="s">
        <v>22</v>
      </c>
      <c r="G50" s="3" t="s">
        <v>88</v>
      </c>
      <c r="H50" s="3" t="s">
        <v>11</v>
      </c>
      <c r="I50" s="3" t="s">
        <v>7</v>
      </c>
      <c r="J50" s="3" t="s">
        <v>48</v>
      </c>
      <c r="K50" s="3" t="s">
        <v>14</v>
      </c>
      <c r="L50" s="3" t="s">
        <v>44</v>
      </c>
      <c r="M50">
        <v>1</v>
      </c>
    </row>
    <row r="51" spans="1:13" x14ac:dyDescent="0.25">
      <c r="A51" s="2">
        <v>46168</v>
      </c>
      <c r="B51" s="1" t="str">
        <f ca="1">IF(Información1[[#This Row],[Fecha]]='Ajuste de fechas'!$A$2,"Día actual","Día anterior")</f>
        <v>Día anterior</v>
      </c>
      <c r="C51" s="3" t="s">
        <v>28</v>
      </c>
      <c r="D51" t="s">
        <v>30</v>
      </c>
      <c r="E51" s="3" t="s">
        <v>157</v>
      </c>
      <c r="F51" s="3" t="s">
        <v>19</v>
      </c>
      <c r="G51" s="3" t="s">
        <v>89</v>
      </c>
      <c r="H51" s="3" t="s">
        <v>11</v>
      </c>
      <c r="I51" s="3" t="s">
        <v>25</v>
      </c>
      <c r="J51" s="3" t="s">
        <v>47</v>
      </c>
      <c r="K51" s="3" t="s">
        <v>36</v>
      </c>
      <c r="L51" s="3" t="s">
        <v>44</v>
      </c>
      <c r="M51">
        <v>1</v>
      </c>
    </row>
    <row r="52" spans="1:13" x14ac:dyDescent="0.25">
      <c r="A52" s="2">
        <v>46168</v>
      </c>
      <c r="B52" s="1" t="str">
        <f ca="1">IF(Información1[[#This Row],[Fecha]]='Ajuste de fechas'!$A$2,"Día actual","Día anterior")</f>
        <v>Día anterior</v>
      </c>
      <c r="C52" s="3" t="s">
        <v>28</v>
      </c>
      <c r="D52" t="s">
        <v>31</v>
      </c>
      <c r="E52" s="3" t="s">
        <v>158</v>
      </c>
      <c r="F52" s="3" t="s">
        <v>76</v>
      </c>
      <c r="G52" s="3" t="s">
        <v>70</v>
      </c>
      <c r="H52" s="3" t="s">
        <v>11</v>
      </c>
      <c r="I52" s="3" t="s">
        <v>25</v>
      </c>
      <c r="J52" s="3" t="s">
        <v>24</v>
      </c>
      <c r="K52" s="3" t="s">
        <v>29</v>
      </c>
      <c r="L52" s="3" t="s">
        <v>44</v>
      </c>
      <c r="M52">
        <v>1</v>
      </c>
    </row>
    <row r="53" spans="1:13" x14ac:dyDescent="0.25">
      <c r="A53" s="2">
        <v>46168</v>
      </c>
      <c r="B53" s="1" t="str">
        <f ca="1">IF(Información1[[#This Row],[Fecha]]='Ajuste de fechas'!$A$2,"Día actual","Día anterior")</f>
        <v>Día anterior</v>
      </c>
      <c r="C53" s="3" t="s">
        <v>8</v>
      </c>
      <c r="D53" t="s">
        <v>10</v>
      </c>
      <c r="E53" s="3" t="s">
        <v>159</v>
      </c>
      <c r="F53" s="3" t="s">
        <v>6</v>
      </c>
      <c r="G53" s="3" t="s">
        <v>95</v>
      </c>
      <c r="H53" s="3" t="s">
        <v>11</v>
      </c>
      <c r="I53" s="3" t="s">
        <v>25</v>
      </c>
      <c r="J53" s="3" t="s">
        <v>43</v>
      </c>
      <c r="K53" s="3" t="s">
        <v>9</v>
      </c>
      <c r="L53" s="3" t="s">
        <v>45</v>
      </c>
      <c r="M53">
        <v>1</v>
      </c>
    </row>
    <row r="54" spans="1:13" x14ac:dyDescent="0.25">
      <c r="A54" s="2">
        <v>46168</v>
      </c>
      <c r="B54" s="1" t="str">
        <f ca="1">IF(Información1[[#This Row],[Fecha]]='Ajuste de fechas'!$A$2,"Día actual","Día anterior")</f>
        <v>Día anterior</v>
      </c>
      <c r="C54" s="3" t="s">
        <v>8</v>
      </c>
      <c r="D54" t="s">
        <v>10</v>
      </c>
      <c r="E54" s="3" t="s">
        <v>71</v>
      </c>
      <c r="F54" s="3" t="s">
        <v>19</v>
      </c>
      <c r="G54" s="3" t="s">
        <v>72</v>
      </c>
      <c r="H54" s="3" t="s">
        <v>11</v>
      </c>
      <c r="I54" s="3" t="s">
        <v>25</v>
      </c>
      <c r="J54" s="3" t="s">
        <v>47</v>
      </c>
      <c r="K54" s="3" t="s">
        <v>9</v>
      </c>
      <c r="L54" s="3" t="s">
        <v>45</v>
      </c>
      <c r="M54">
        <v>1</v>
      </c>
    </row>
    <row r="55" spans="1:13" x14ac:dyDescent="0.25">
      <c r="A55" s="2">
        <v>46168</v>
      </c>
      <c r="B55" s="1" t="str">
        <f ca="1">IF(Información1[[#This Row],[Fecha]]='Ajuste de fechas'!$A$2,"Día actual","Día anterior")</f>
        <v>Día anterior</v>
      </c>
      <c r="C55" s="3" t="s">
        <v>28</v>
      </c>
      <c r="D55" t="s">
        <v>30</v>
      </c>
      <c r="E55" s="3" t="s">
        <v>160</v>
      </c>
      <c r="F55" s="3" t="s">
        <v>24</v>
      </c>
      <c r="G55" s="3" t="s">
        <v>90</v>
      </c>
      <c r="H55" s="3" t="s">
        <v>11</v>
      </c>
      <c r="I55" s="3" t="s">
        <v>25</v>
      </c>
      <c r="J55" s="3" t="s">
        <v>24</v>
      </c>
      <c r="K55" s="3" t="s">
        <v>9</v>
      </c>
      <c r="L55" s="3" t="s">
        <v>45</v>
      </c>
      <c r="M55">
        <v>1</v>
      </c>
    </row>
    <row r="56" spans="1:13" x14ac:dyDescent="0.25">
      <c r="A56" s="2">
        <v>46168</v>
      </c>
      <c r="B56" s="1" t="str">
        <f ca="1">IF(Información1[[#This Row],[Fecha]]='Ajuste de fechas'!$A$2,"Día actual","Día anterior")</f>
        <v>Día anterior</v>
      </c>
      <c r="C56" s="3" t="s">
        <v>28</v>
      </c>
      <c r="D56" t="s">
        <v>31</v>
      </c>
      <c r="E56" s="3" t="s">
        <v>161</v>
      </c>
      <c r="F56" s="3" t="s">
        <v>22</v>
      </c>
      <c r="G56" s="3" t="s">
        <v>61</v>
      </c>
      <c r="H56" s="3" t="s">
        <v>11</v>
      </c>
      <c r="I56" s="3" t="s">
        <v>7</v>
      </c>
      <c r="J56" s="3" t="s">
        <v>48</v>
      </c>
      <c r="K56" s="3" t="s">
        <v>29</v>
      </c>
      <c r="L56" s="3" t="s">
        <v>44</v>
      </c>
      <c r="M56">
        <v>1</v>
      </c>
    </row>
    <row r="57" spans="1:13" x14ac:dyDescent="0.25">
      <c r="A57" s="2">
        <v>46168</v>
      </c>
      <c r="B57" s="1" t="str">
        <f ca="1">IF(Información1[[#This Row],[Fecha]]='Ajuste de fechas'!$A$2,"Día actual","Día anterior")</f>
        <v>Día anterior</v>
      </c>
      <c r="C57" s="3" t="s">
        <v>28</v>
      </c>
      <c r="D57" t="s">
        <v>31</v>
      </c>
      <c r="E57" s="3" t="s">
        <v>162</v>
      </c>
      <c r="F57" s="3" t="s">
        <v>77</v>
      </c>
      <c r="G57" s="3" t="s">
        <v>61</v>
      </c>
      <c r="H57" s="3" t="s">
        <v>11</v>
      </c>
      <c r="I57" s="3" t="s">
        <v>7</v>
      </c>
      <c r="J57" s="3" t="s">
        <v>43</v>
      </c>
      <c r="K57" s="3" t="s">
        <v>29</v>
      </c>
      <c r="L57" s="3" t="s">
        <v>44</v>
      </c>
      <c r="M57">
        <v>1</v>
      </c>
    </row>
    <row r="58" spans="1:13" x14ac:dyDescent="0.25">
      <c r="A58" s="2">
        <v>46168</v>
      </c>
      <c r="B58" s="1" t="str">
        <f ca="1">IF(Información1[[#This Row],[Fecha]]='Ajuste de fechas'!$A$2,"Día actual","Día anterior")</f>
        <v>Día anterior</v>
      </c>
      <c r="C58" s="3" t="s">
        <v>28</v>
      </c>
      <c r="D58" t="s">
        <v>31</v>
      </c>
      <c r="E58" s="3" t="s">
        <v>163</v>
      </c>
      <c r="F58" s="3" t="s">
        <v>67</v>
      </c>
      <c r="G58" s="3" t="s">
        <v>61</v>
      </c>
      <c r="H58" s="3" t="s">
        <v>11</v>
      </c>
      <c r="I58" s="3" t="s">
        <v>7</v>
      </c>
      <c r="J58" s="3" t="s">
        <v>43</v>
      </c>
      <c r="K58" s="3" t="s">
        <v>29</v>
      </c>
      <c r="L58" s="3" t="s">
        <v>44</v>
      </c>
      <c r="M58">
        <v>1</v>
      </c>
    </row>
    <row r="59" spans="1:13" x14ac:dyDescent="0.25">
      <c r="A59" s="2">
        <v>46168</v>
      </c>
      <c r="B59" s="1" t="str">
        <f ca="1">IF(Información1[[#This Row],[Fecha]]='Ajuste de fechas'!$A$2,"Día actual","Día anterior")</f>
        <v>Día anterior</v>
      </c>
      <c r="C59" s="3" t="s">
        <v>8</v>
      </c>
      <c r="D59" t="s">
        <v>10</v>
      </c>
      <c r="E59" s="3" t="s">
        <v>164</v>
      </c>
      <c r="F59" s="3" t="s">
        <v>22</v>
      </c>
      <c r="G59" s="3" t="s">
        <v>165</v>
      </c>
      <c r="H59" s="3" t="s">
        <v>11</v>
      </c>
      <c r="I59" s="3" t="s">
        <v>7</v>
      </c>
      <c r="J59" s="3" t="s">
        <v>48</v>
      </c>
      <c r="K59" s="3" t="s">
        <v>14</v>
      </c>
      <c r="L59" s="3" t="s">
        <v>44</v>
      </c>
      <c r="M59">
        <v>1</v>
      </c>
    </row>
    <row r="60" spans="1:13" x14ac:dyDescent="0.25">
      <c r="A60" s="2">
        <v>46168</v>
      </c>
      <c r="B60" s="1" t="str">
        <f ca="1">IF(Información1[[#This Row],[Fecha]]='Ajuste de fechas'!$A$2,"Día actual","Día anterior")</f>
        <v>Día anterior</v>
      </c>
      <c r="C60" s="3" t="s">
        <v>28</v>
      </c>
      <c r="D60" t="s">
        <v>31</v>
      </c>
      <c r="E60" s="3" t="s">
        <v>166</v>
      </c>
      <c r="F60" s="3" t="s">
        <v>15</v>
      </c>
      <c r="G60" s="3" t="s">
        <v>103</v>
      </c>
      <c r="H60" s="3" t="s">
        <v>11</v>
      </c>
      <c r="I60" s="3" t="s">
        <v>7</v>
      </c>
      <c r="J60" s="3" t="s">
        <v>43</v>
      </c>
      <c r="K60" s="3" t="s">
        <v>29</v>
      </c>
      <c r="L60" s="3" t="s">
        <v>44</v>
      </c>
      <c r="M60">
        <v>1</v>
      </c>
    </row>
    <row r="61" spans="1:13" x14ac:dyDescent="0.25">
      <c r="A61" s="2">
        <v>46168</v>
      </c>
      <c r="B61" s="1" t="str">
        <f ca="1">IF(Información1[[#This Row],[Fecha]]='Ajuste de fechas'!$A$2,"Día actual","Día anterior")</f>
        <v>Día anterior</v>
      </c>
      <c r="C61" s="3" t="s">
        <v>8</v>
      </c>
      <c r="D61" t="s">
        <v>10</v>
      </c>
      <c r="E61" s="3" t="s">
        <v>102</v>
      </c>
      <c r="F61" s="3" t="s">
        <v>62</v>
      </c>
      <c r="G61" s="3" t="s">
        <v>103</v>
      </c>
      <c r="H61" s="3" t="s">
        <v>11</v>
      </c>
      <c r="I61" s="3" t="s">
        <v>7</v>
      </c>
      <c r="J61" s="3" t="s">
        <v>43</v>
      </c>
      <c r="K61" s="3" t="s">
        <v>14</v>
      </c>
      <c r="L61" s="3" t="s">
        <v>46</v>
      </c>
      <c r="M61">
        <v>1</v>
      </c>
    </row>
    <row r="62" spans="1:13" x14ac:dyDescent="0.25">
      <c r="A62" s="2">
        <v>46168</v>
      </c>
      <c r="B62" s="1" t="str">
        <f ca="1">IF(Información1[[#This Row],[Fecha]]='Ajuste de fechas'!$A$2,"Día actual","Día anterior")</f>
        <v>Día anterior</v>
      </c>
      <c r="C62" s="3" t="s">
        <v>8</v>
      </c>
      <c r="D62" t="s">
        <v>10</v>
      </c>
      <c r="E62" s="3" t="s">
        <v>167</v>
      </c>
      <c r="F62" s="3" t="s">
        <v>17</v>
      </c>
      <c r="G62" s="3" t="s">
        <v>64</v>
      </c>
      <c r="H62" s="3" t="s">
        <v>11</v>
      </c>
      <c r="I62" s="3" t="s">
        <v>25</v>
      </c>
      <c r="J62" s="3" t="s">
        <v>43</v>
      </c>
      <c r="K62" s="3" t="s">
        <v>9</v>
      </c>
      <c r="L62" s="3" t="s">
        <v>45</v>
      </c>
      <c r="M62">
        <v>1</v>
      </c>
    </row>
    <row r="63" spans="1:13" x14ac:dyDescent="0.25">
      <c r="A63" s="2">
        <v>46168</v>
      </c>
      <c r="B63" s="1" t="str">
        <f ca="1">IF(Información1[[#This Row],[Fecha]]='Ajuste de fechas'!$A$2,"Día actual","Día anterior")</f>
        <v>Día anterior</v>
      </c>
      <c r="C63" s="3" t="s">
        <v>8</v>
      </c>
      <c r="D63" t="s">
        <v>10</v>
      </c>
      <c r="E63" s="3" t="s">
        <v>168</v>
      </c>
      <c r="F63" s="3" t="s">
        <v>17</v>
      </c>
      <c r="G63" s="3" t="s">
        <v>64</v>
      </c>
      <c r="H63" s="3" t="s">
        <v>11</v>
      </c>
      <c r="I63" s="3" t="s">
        <v>25</v>
      </c>
      <c r="J63" s="3" t="s">
        <v>43</v>
      </c>
      <c r="K63" s="3" t="s">
        <v>14</v>
      </c>
      <c r="L63" s="3" t="s">
        <v>45</v>
      </c>
      <c r="M63">
        <v>1</v>
      </c>
    </row>
    <row r="64" spans="1:13" x14ac:dyDescent="0.25">
      <c r="A64" s="2">
        <v>46168</v>
      </c>
      <c r="B64" s="1" t="str">
        <f ca="1">IF(Información1[[#This Row],[Fecha]]='Ajuste de fechas'!$A$2,"Día actual","Día anterior")</f>
        <v>Día anterior</v>
      </c>
      <c r="C64" s="3" t="s">
        <v>28</v>
      </c>
      <c r="D64" t="s">
        <v>31</v>
      </c>
      <c r="E64" s="3" t="s">
        <v>169</v>
      </c>
      <c r="F64" s="3" t="s">
        <v>19</v>
      </c>
      <c r="G64" s="3" t="s">
        <v>170</v>
      </c>
      <c r="H64" s="3" t="s">
        <v>11</v>
      </c>
      <c r="I64" s="3" t="s">
        <v>25</v>
      </c>
      <c r="J64" s="3" t="s">
        <v>47</v>
      </c>
      <c r="K64" s="3" t="s">
        <v>29</v>
      </c>
      <c r="L64" s="3" t="s">
        <v>44</v>
      </c>
      <c r="M64">
        <v>1</v>
      </c>
    </row>
    <row r="65" spans="1:13" x14ac:dyDescent="0.25">
      <c r="A65" s="2">
        <v>46168</v>
      </c>
      <c r="B65" s="1" t="str">
        <f ca="1">IF(Información1[[#This Row],[Fecha]]='Ajuste de fechas'!$A$2,"Día actual","Día anterior")</f>
        <v>Día anterior</v>
      </c>
      <c r="C65" s="3" t="s">
        <v>8</v>
      </c>
      <c r="D65" t="s">
        <v>10</v>
      </c>
      <c r="E65" s="3" t="s">
        <v>171</v>
      </c>
      <c r="F65" s="3" t="s">
        <v>119</v>
      </c>
      <c r="G65" s="3" t="s">
        <v>172</v>
      </c>
      <c r="H65" s="3" t="s">
        <v>11</v>
      </c>
      <c r="I65" s="3" t="s">
        <v>7</v>
      </c>
      <c r="J65" s="3" t="s">
        <v>43</v>
      </c>
      <c r="K65" s="3" t="s">
        <v>9</v>
      </c>
      <c r="L65" s="3" t="s">
        <v>45</v>
      </c>
      <c r="M65">
        <v>1</v>
      </c>
    </row>
    <row r="66" spans="1:13" x14ac:dyDescent="0.25">
      <c r="A66" s="2">
        <v>46168</v>
      </c>
      <c r="B66" s="1" t="str">
        <f ca="1">IF(Información1[[#This Row],[Fecha]]='Ajuste de fechas'!$A$2,"Día actual","Día anterior")</f>
        <v>Día anterior</v>
      </c>
      <c r="C66" s="3" t="s">
        <v>28</v>
      </c>
      <c r="D66" t="s">
        <v>30</v>
      </c>
      <c r="E66" s="3" t="s">
        <v>173</v>
      </c>
      <c r="F66" s="3" t="s">
        <v>19</v>
      </c>
      <c r="G66" s="3" t="s">
        <v>73</v>
      </c>
      <c r="H66" s="3" t="s">
        <v>11</v>
      </c>
      <c r="I66" s="3" t="s">
        <v>7</v>
      </c>
      <c r="J66" s="3" t="s">
        <v>47</v>
      </c>
      <c r="K66" s="3" t="s">
        <v>36</v>
      </c>
      <c r="L66" s="3" t="s">
        <v>44</v>
      </c>
      <c r="M66">
        <v>1</v>
      </c>
    </row>
    <row r="67" spans="1:13" x14ac:dyDescent="0.25">
      <c r="A67" s="2">
        <v>46168</v>
      </c>
      <c r="B67" s="1" t="str">
        <f ca="1">IF(Información1[[#This Row],[Fecha]]='Ajuste de fechas'!$A$2,"Día actual","Día anterior")</f>
        <v>Día anterior</v>
      </c>
      <c r="C67" s="3" t="s">
        <v>28</v>
      </c>
      <c r="D67" t="s">
        <v>31</v>
      </c>
      <c r="E67" s="3" t="s">
        <v>174</v>
      </c>
      <c r="F67" s="3" t="s">
        <v>26</v>
      </c>
      <c r="G67" s="3" t="s">
        <v>105</v>
      </c>
      <c r="H67" s="3" t="s">
        <v>11</v>
      </c>
      <c r="I67" s="3" t="s">
        <v>7</v>
      </c>
      <c r="J67" s="3" t="s">
        <v>43</v>
      </c>
      <c r="K67" s="3" t="s">
        <v>29</v>
      </c>
      <c r="L67" s="3" t="s">
        <v>44</v>
      </c>
      <c r="M67">
        <v>1</v>
      </c>
    </row>
    <row r="68" spans="1:13" x14ac:dyDescent="0.25">
      <c r="A68" s="2">
        <v>46168</v>
      </c>
      <c r="B68" s="1" t="str">
        <f ca="1">IF(Información1[[#This Row],[Fecha]]='Ajuste de fechas'!$A$2,"Día actual","Día anterior")</f>
        <v>Día anterior</v>
      </c>
      <c r="C68" s="3" t="s">
        <v>8</v>
      </c>
      <c r="D68" t="s">
        <v>10</v>
      </c>
      <c r="E68" s="3" t="s">
        <v>104</v>
      </c>
      <c r="F68" s="3" t="s">
        <v>26</v>
      </c>
      <c r="G68" s="3" t="s">
        <v>105</v>
      </c>
      <c r="H68" s="3" t="s">
        <v>11</v>
      </c>
      <c r="I68" s="3" t="s">
        <v>7</v>
      </c>
      <c r="J68" s="3" t="s">
        <v>43</v>
      </c>
      <c r="K68" s="3" t="s">
        <v>14</v>
      </c>
      <c r="L68" s="3" t="s">
        <v>46</v>
      </c>
      <c r="M68">
        <v>1</v>
      </c>
    </row>
    <row r="69" spans="1:13" x14ac:dyDescent="0.25">
      <c r="A69" s="2">
        <v>46168</v>
      </c>
      <c r="B69" s="1" t="str">
        <f ca="1">IF(Información1[[#This Row],[Fecha]]='Ajuste de fechas'!$A$2,"Día actual","Día anterior")</f>
        <v>Día anterior</v>
      </c>
      <c r="C69" s="3" t="s">
        <v>28</v>
      </c>
      <c r="D69" t="s">
        <v>31</v>
      </c>
      <c r="E69" s="3" t="s">
        <v>175</v>
      </c>
      <c r="F69" s="3" t="s">
        <v>22</v>
      </c>
      <c r="G69" s="3" t="s">
        <v>176</v>
      </c>
      <c r="H69" s="3" t="s">
        <v>11</v>
      </c>
      <c r="I69" s="3" t="s">
        <v>25</v>
      </c>
      <c r="J69" s="3" t="s">
        <v>48</v>
      </c>
      <c r="K69" s="3" t="s">
        <v>29</v>
      </c>
      <c r="L69" s="3" t="s">
        <v>44</v>
      </c>
      <c r="M69">
        <v>1</v>
      </c>
    </row>
    <row r="70" spans="1:13" x14ac:dyDescent="0.25">
      <c r="A70" s="2">
        <v>46168</v>
      </c>
      <c r="B70" s="1" t="str">
        <f ca="1">IF(Información1[[#This Row],[Fecha]]='Ajuste de fechas'!$A$2,"Día actual","Día anterior")</f>
        <v>Día anterior</v>
      </c>
      <c r="C70" s="3" t="s">
        <v>28</v>
      </c>
      <c r="D70" t="s">
        <v>30</v>
      </c>
      <c r="E70" s="3" t="s">
        <v>177</v>
      </c>
      <c r="F70" s="3" t="s">
        <v>24</v>
      </c>
      <c r="G70" s="3" t="s">
        <v>69</v>
      </c>
      <c r="H70" s="3" t="s">
        <v>11</v>
      </c>
      <c r="I70" s="3" t="s">
        <v>7</v>
      </c>
      <c r="J70" s="3" t="s">
        <v>24</v>
      </c>
      <c r="K70" s="3" t="s">
        <v>36</v>
      </c>
      <c r="L70" s="3" t="s">
        <v>44</v>
      </c>
      <c r="M70">
        <v>1</v>
      </c>
    </row>
    <row r="71" spans="1:13" x14ac:dyDescent="0.25">
      <c r="A71" s="2">
        <v>46168</v>
      </c>
      <c r="B71" s="1" t="str">
        <f ca="1">IF(Información1[[#This Row],[Fecha]]='Ajuste de fechas'!$A$2,"Día actual","Día anterior")</f>
        <v>Día anterior</v>
      </c>
      <c r="C71" s="3" t="s">
        <v>28</v>
      </c>
      <c r="D71" t="s">
        <v>30</v>
      </c>
      <c r="E71" s="3" t="s">
        <v>178</v>
      </c>
      <c r="F71" s="3" t="s">
        <v>68</v>
      </c>
      <c r="G71" s="3" t="s">
        <v>69</v>
      </c>
      <c r="H71" s="3" t="s">
        <v>11</v>
      </c>
      <c r="I71" s="3" t="s">
        <v>7</v>
      </c>
      <c r="J71" s="3" t="s">
        <v>24</v>
      </c>
      <c r="K71" s="3" t="s">
        <v>36</v>
      </c>
      <c r="L71" s="3" t="s">
        <v>44</v>
      </c>
      <c r="M71">
        <v>1</v>
      </c>
    </row>
    <row r="72" spans="1:13" x14ac:dyDescent="0.25">
      <c r="A72" s="2">
        <v>46168</v>
      </c>
      <c r="B72" s="1" t="str">
        <f ca="1">IF(Información1[[#This Row],[Fecha]]='Ajuste de fechas'!$A$2,"Día actual","Día anterior")</f>
        <v>Día anterior</v>
      </c>
      <c r="C72" s="3" t="s">
        <v>28</v>
      </c>
      <c r="D72" t="s">
        <v>30</v>
      </c>
      <c r="E72" s="3" t="s">
        <v>179</v>
      </c>
      <c r="F72" s="3" t="s">
        <v>22</v>
      </c>
      <c r="G72" s="3" t="s">
        <v>75</v>
      </c>
      <c r="H72" s="3" t="s">
        <v>11</v>
      </c>
      <c r="I72" s="3" t="s">
        <v>25</v>
      </c>
      <c r="J72" s="3" t="s">
        <v>48</v>
      </c>
      <c r="K72" s="3" t="s">
        <v>36</v>
      </c>
      <c r="L72" s="3" t="s">
        <v>44</v>
      </c>
      <c r="M72">
        <v>1</v>
      </c>
    </row>
    <row r="73" spans="1:13" x14ac:dyDescent="0.25">
      <c r="A73" s="2">
        <v>46168</v>
      </c>
      <c r="B73" s="1" t="str">
        <f ca="1">IF(Información1[[#This Row],[Fecha]]='Ajuste de fechas'!$A$2,"Día actual","Día anterior")</f>
        <v>Día anterior</v>
      </c>
      <c r="C73" s="3" t="s">
        <v>28</v>
      </c>
      <c r="D73" t="s">
        <v>31</v>
      </c>
      <c r="E73" s="3" t="s">
        <v>180</v>
      </c>
      <c r="F73" s="3" t="s">
        <v>53</v>
      </c>
      <c r="G73" s="3" t="s">
        <v>84</v>
      </c>
      <c r="H73" s="3" t="s">
        <v>11</v>
      </c>
      <c r="I73" s="3" t="s">
        <v>7</v>
      </c>
      <c r="J73" s="3" t="s">
        <v>43</v>
      </c>
      <c r="K73" s="3" t="s">
        <v>29</v>
      </c>
      <c r="L73" s="3" t="s">
        <v>44</v>
      </c>
      <c r="M73">
        <v>1</v>
      </c>
    </row>
    <row r="74" spans="1:13" x14ac:dyDescent="0.25">
      <c r="A74" s="2">
        <v>46169</v>
      </c>
      <c r="B74" s="1" t="str">
        <f ca="1">IF(Información1[[#This Row],[Fecha]]='Ajuste de fechas'!$A$2,"Día actual","Día anterior")</f>
        <v>Día actual</v>
      </c>
      <c r="C74" s="3" t="s">
        <v>28</v>
      </c>
      <c r="D74" t="s">
        <v>31</v>
      </c>
      <c r="E74" s="3" t="s">
        <v>188</v>
      </c>
      <c r="F74" s="3" t="s">
        <v>186</v>
      </c>
      <c r="G74" s="3" t="s">
        <v>189</v>
      </c>
      <c r="H74" s="3" t="s">
        <v>11</v>
      </c>
      <c r="I74" s="3" t="s">
        <v>25</v>
      </c>
      <c r="J74" s="3" t="s">
        <v>43</v>
      </c>
      <c r="K74" s="3" t="s">
        <v>29</v>
      </c>
      <c r="L74" s="3" t="s">
        <v>44</v>
      </c>
      <c r="M74">
        <v>1</v>
      </c>
    </row>
    <row r="75" spans="1:13" x14ac:dyDescent="0.25">
      <c r="A75" s="2">
        <v>46169</v>
      </c>
      <c r="B75" s="1" t="str">
        <f ca="1">IF(Información1[[#This Row],[Fecha]]='Ajuste de fechas'!$A$2,"Día actual","Día anterior")</f>
        <v>Día actual</v>
      </c>
      <c r="C75" s="3" t="s">
        <v>28</v>
      </c>
      <c r="D75" t="s">
        <v>30</v>
      </c>
      <c r="E75" s="3" t="s">
        <v>190</v>
      </c>
      <c r="F75" s="3" t="s">
        <v>23</v>
      </c>
      <c r="G75" s="3" t="s">
        <v>191</v>
      </c>
      <c r="H75" s="3" t="s">
        <v>11</v>
      </c>
      <c r="I75" s="3" t="s">
        <v>25</v>
      </c>
      <c r="J75" s="3" t="s">
        <v>43</v>
      </c>
      <c r="K75" s="3" t="s">
        <v>36</v>
      </c>
      <c r="L75" s="3" t="s">
        <v>44</v>
      </c>
      <c r="M75">
        <v>1</v>
      </c>
    </row>
    <row r="76" spans="1:13" x14ac:dyDescent="0.25">
      <c r="A76" s="2">
        <v>46169</v>
      </c>
      <c r="B76" s="1" t="str">
        <f ca="1">IF(Información1[[#This Row],[Fecha]]='Ajuste de fechas'!$A$2,"Día actual","Día anterior")</f>
        <v>Día actual</v>
      </c>
      <c r="C76" s="3" t="s">
        <v>8</v>
      </c>
      <c r="D76" t="s">
        <v>10</v>
      </c>
      <c r="E76" s="3" t="s">
        <v>192</v>
      </c>
      <c r="F76" s="3" t="s">
        <v>6</v>
      </c>
      <c r="G76" s="3" t="s">
        <v>52</v>
      </c>
      <c r="H76" s="3" t="s">
        <v>11</v>
      </c>
      <c r="I76" s="3" t="s">
        <v>25</v>
      </c>
      <c r="J76" s="3" t="s">
        <v>43</v>
      </c>
      <c r="K76" s="3" t="s">
        <v>9</v>
      </c>
      <c r="L76" s="3" t="s">
        <v>45</v>
      </c>
      <c r="M76">
        <v>1</v>
      </c>
    </row>
    <row r="77" spans="1:13" x14ac:dyDescent="0.25">
      <c r="A77" s="2">
        <v>46169</v>
      </c>
      <c r="B77" s="1" t="str">
        <f ca="1">IF(Información1[[#This Row],[Fecha]]='Ajuste de fechas'!$A$2,"Día actual","Día anterior")</f>
        <v>Día actual</v>
      </c>
      <c r="C77" s="3" t="s">
        <v>8</v>
      </c>
      <c r="D77" t="s">
        <v>10</v>
      </c>
      <c r="E77" s="3" t="s">
        <v>193</v>
      </c>
      <c r="F77" s="3" t="s">
        <v>6</v>
      </c>
      <c r="G77" s="3" t="s">
        <v>52</v>
      </c>
      <c r="H77" s="3" t="s">
        <v>11</v>
      </c>
      <c r="I77" s="3" t="s">
        <v>25</v>
      </c>
      <c r="J77" s="3" t="s">
        <v>43</v>
      </c>
      <c r="K77" s="3" t="s">
        <v>9</v>
      </c>
      <c r="L77" s="3" t="s">
        <v>45</v>
      </c>
      <c r="M77">
        <v>1</v>
      </c>
    </row>
    <row r="78" spans="1:13" x14ac:dyDescent="0.25">
      <c r="A78" s="2">
        <v>46169</v>
      </c>
      <c r="B78" s="1" t="str">
        <f ca="1">IF(Información1[[#This Row],[Fecha]]='Ajuste de fechas'!$A$2,"Día actual","Día anterior")</f>
        <v>Día actual</v>
      </c>
      <c r="C78" s="3" t="s">
        <v>8</v>
      </c>
      <c r="D78" t="s">
        <v>10</v>
      </c>
      <c r="E78" s="3" t="s">
        <v>194</v>
      </c>
      <c r="F78" s="3" t="s">
        <v>6</v>
      </c>
      <c r="G78" s="3" t="s">
        <v>52</v>
      </c>
      <c r="H78" s="3" t="s">
        <v>11</v>
      </c>
      <c r="I78" s="3" t="s">
        <v>25</v>
      </c>
      <c r="J78" s="3" t="s">
        <v>43</v>
      </c>
      <c r="K78" s="3" t="s">
        <v>9</v>
      </c>
      <c r="L78" s="3" t="s">
        <v>45</v>
      </c>
      <c r="M78">
        <v>1</v>
      </c>
    </row>
    <row r="79" spans="1:13" x14ac:dyDescent="0.25">
      <c r="A79" s="2">
        <v>46169</v>
      </c>
      <c r="B79" s="1" t="str">
        <f ca="1">IF(Información1[[#This Row],[Fecha]]='Ajuste de fechas'!$A$2,"Día actual","Día anterior")</f>
        <v>Día actual</v>
      </c>
      <c r="C79" s="3" t="s">
        <v>8</v>
      </c>
      <c r="D79" t="s">
        <v>10</v>
      </c>
      <c r="E79" s="3" t="s">
        <v>195</v>
      </c>
      <c r="F79" s="3" t="s">
        <v>6</v>
      </c>
      <c r="G79" s="3" t="s">
        <v>52</v>
      </c>
      <c r="H79" s="3" t="s">
        <v>11</v>
      </c>
      <c r="I79" s="3" t="s">
        <v>25</v>
      </c>
      <c r="J79" s="3" t="s">
        <v>43</v>
      </c>
      <c r="K79" s="3" t="s">
        <v>9</v>
      </c>
      <c r="L79" s="3" t="s">
        <v>45</v>
      </c>
      <c r="M79">
        <v>1</v>
      </c>
    </row>
    <row r="80" spans="1:13" x14ac:dyDescent="0.25">
      <c r="A80" s="2">
        <v>46169</v>
      </c>
      <c r="B80" s="1" t="str">
        <f ca="1">IF(Información1[[#This Row],[Fecha]]='Ajuste de fechas'!$A$2,"Día actual","Día anterior")</f>
        <v>Día actual</v>
      </c>
      <c r="C80" s="3" t="s">
        <v>8</v>
      </c>
      <c r="D80" t="s">
        <v>10</v>
      </c>
      <c r="E80" s="3" t="s">
        <v>196</v>
      </c>
      <c r="F80" s="3" t="s">
        <v>6</v>
      </c>
      <c r="G80" s="3" t="s">
        <v>95</v>
      </c>
      <c r="H80" s="3" t="s">
        <v>11</v>
      </c>
      <c r="I80" s="3" t="s">
        <v>25</v>
      </c>
      <c r="J80" s="3" t="s">
        <v>43</v>
      </c>
      <c r="K80" s="3" t="s">
        <v>9</v>
      </c>
      <c r="L80" s="3" t="s">
        <v>45</v>
      </c>
      <c r="M80">
        <v>1</v>
      </c>
    </row>
    <row r="81" spans="1:13" x14ac:dyDescent="0.25">
      <c r="A81" s="2">
        <v>46169</v>
      </c>
      <c r="B81" s="1" t="str">
        <f ca="1">IF(Información1[[#This Row],[Fecha]]='Ajuste de fechas'!$A$2,"Día actual","Día anterior")</f>
        <v>Día actual</v>
      </c>
      <c r="C81" s="3" t="s">
        <v>8</v>
      </c>
      <c r="D81" t="s">
        <v>10</v>
      </c>
      <c r="E81" s="3" t="s">
        <v>197</v>
      </c>
      <c r="F81" s="3" t="s">
        <v>6</v>
      </c>
      <c r="G81" s="3" t="s">
        <v>95</v>
      </c>
      <c r="H81" s="3" t="s">
        <v>11</v>
      </c>
      <c r="I81" s="3" t="s">
        <v>25</v>
      </c>
      <c r="J81" s="3" t="s">
        <v>43</v>
      </c>
      <c r="K81" s="3" t="s">
        <v>9</v>
      </c>
      <c r="L81" s="3" t="s">
        <v>45</v>
      </c>
      <c r="M81">
        <v>1</v>
      </c>
    </row>
    <row r="82" spans="1:13" x14ac:dyDescent="0.25">
      <c r="A82" s="2">
        <v>46169</v>
      </c>
      <c r="B82" s="1" t="str">
        <f ca="1">IF(Información1[[#This Row],[Fecha]]='Ajuste de fechas'!$A$2,"Día actual","Día anterior")</f>
        <v>Día actual</v>
      </c>
      <c r="C82" s="3" t="s">
        <v>8</v>
      </c>
      <c r="D82" t="s">
        <v>10</v>
      </c>
      <c r="E82" s="3" t="s">
        <v>198</v>
      </c>
      <c r="F82" s="3" t="s">
        <v>6</v>
      </c>
      <c r="G82" s="3" t="s">
        <v>199</v>
      </c>
      <c r="H82" s="3" t="s">
        <v>11</v>
      </c>
      <c r="I82" s="3" t="s">
        <v>25</v>
      </c>
      <c r="J82" s="3" t="s">
        <v>43</v>
      </c>
      <c r="K82" s="3" t="s">
        <v>9</v>
      </c>
      <c r="L82" s="3" t="s">
        <v>45</v>
      </c>
      <c r="M82">
        <v>1</v>
      </c>
    </row>
    <row r="83" spans="1:13" x14ac:dyDescent="0.25">
      <c r="A83" s="2">
        <v>46169</v>
      </c>
      <c r="B83" s="1" t="str">
        <f ca="1">IF(Información1[[#This Row],[Fecha]]='Ajuste de fechas'!$A$2,"Día actual","Día anterior")</f>
        <v>Día actual</v>
      </c>
      <c r="C83" s="3" t="s">
        <v>8</v>
      </c>
      <c r="D83" t="s">
        <v>10</v>
      </c>
      <c r="E83" s="3" t="s">
        <v>66</v>
      </c>
      <c r="F83" s="3" t="s">
        <v>6</v>
      </c>
      <c r="G83" s="3" t="s">
        <v>35</v>
      </c>
      <c r="H83" s="3" t="s">
        <v>11</v>
      </c>
      <c r="I83" s="3" t="s">
        <v>12</v>
      </c>
      <c r="J83" s="3" t="s">
        <v>43</v>
      </c>
      <c r="K83" s="3" t="s">
        <v>14</v>
      </c>
      <c r="L83" s="3" t="s">
        <v>45</v>
      </c>
      <c r="M83">
        <v>1</v>
      </c>
    </row>
    <row r="84" spans="1:13" x14ac:dyDescent="0.25">
      <c r="A84" s="2">
        <v>46169</v>
      </c>
      <c r="B84" s="1" t="str">
        <f ca="1">IF(Información1[[#This Row],[Fecha]]='Ajuste de fechas'!$A$2,"Día actual","Día anterior")</f>
        <v>Día actual</v>
      </c>
      <c r="C84" s="3" t="s">
        <v>8</v>
      </c>
      <c r="D84" t="s">
        <v>10</v>
      </c>
      <c r="E84" s="3" t="s">
        <v>200</v>
      </c>
      <c r="F84" s="3" t="s">
        <v>21</v>
      </c>
      <c r="G84" s="3" t="s">
        <v>35</v>
      </c>
      <c r="H84" s="3" t="s">
        <v>11</v>
      </c>
      <c r="I84" s="3" t="s">
        <v>12</v>
      </c>
      <c r="J84" s="3" t="s">
        <v>43</v>
      </c>
      <c r="K84" s="3" t="s">
        <v>14</v>
      </c>
      <c r="L84" s="3" t="s">
        <v>45</v>
      </c>
      <c r="M84">
        <v>1</v>
      </c>
    </row>
    <row r="85" spans="1:13" x14ac:dyDescent="0.25">
      <c r="A85" s="2">
        <v>46169</v>
      </c>
      <c r="B85" s="1" t="str">
        <f ca="1">IF(Información1[[#This Row],[Fecha]]='Ajuste de fechas'!$A$2,"Día actual","Día anterior")</f>
        <v>Día actual</v>
      </c>
      <c r="C85" s="3" t="s">
        <v>201</v>
      </c>
      <c r="D85" t="s">
        <v>202</v>
      </c>
      <c r="E85" s="3" t="s">
        <v>203</v>
      </c>
      <c r="F85" s="3" t="s">
        <v>21</v>
      </c>
      <c r="G85" s="3" t="s">
        <v>204</v>
      </c>
      <c r="H85" s="3" t="s">
        <v>11</v>
      </c>
      <c r="I85" s="3" t="s">
        <v>7</v>
      </c>
      <c r="J85" s="3" t="s">
        <v>43</v>
      </c>
      <c r="K85" s="3" t="s">
        <v>205</v>
      </c>
      <c r="L85" s="3" t="s">
        <v>46</v>
      </c>
      <c r="M85">
        <v>1</v>
      </c>
    </row>
    <row r="86" spans="1:13" x14ac:dyDescent="0.25">
      <c r="A86" s="2">
        <v>46169</v>
      </c>
      <c r="B86" s="1" t="str">
        <f ca="1">IF(Información1[[#This Row],[Fecha]]='Ajuste de fechas'!$A$2,"Día actual","Día anterior")</f>
        <v>Día actual</v>
      </c>
      <c r="C86" s="3" t="s">
        <v>28</v>
      </c>
      <c r="D86" t="s">
        <v>30</v>
      </c>
      <c r="E86" s="3" t="s">
        <v>206</v>
      </c>
      <c r="F86" s="3" t="s">
        <v>21</v>
      </c>
      <c r="G86" s="3" t="s">
        <v>204</v>
      </c>
      <c r="H86" s="3" t="s">
        <v>11</v>
      </c>
      <c r="I86" s="3" t="s">
        <v>7</v>
      </c>
      <c r="J86" s="3" t="s">
        <v>43</v>
      </c>
      <c r="K86" s="3" t="s">
        <v>36</v>
      </c>
      <c r="L86" s="3" t="s">
        <v>44</v>
      </c>
      <c r="M86">
        <v>1</v>
      </c>
    </row>
    <row r="87" spans="1:13" x14ac:dyDescent="0.25">
      <c r="A87" s="2">
        <v>46169</v>
      </c>
      <c r="B87" s="1" t="str">
        <f ca="1">IF(Información1[[#This Row],[Fecha]]='Ajuste de fechas'!$A$2,"Día actual","Día anterior")</f>
        <v>Día actual</v>
      </c>
      <c r="C87" s="3" t="s">
        <v>8</v>
      </c>
      <c r="D87" t="s">
        <v>10</v>
      </c>
      <c r="E87" s="3" t="s">
        <v>207</v>
      </c>
      <c r="F87" s="3" t="s">
        <v>17</v>
      </c>
      <c r="G87" s="3" t="s">
        <v>208</v>
      </c>
      <c r="H87" s="3" t="s">
        <v>11</v>
      </c>
      <c r="I87" s="3" t="s">
        <v>25</v>
      </c>
      <c r="J87" s="3" t="s">
        <v>43</v>
      </c>
      <c r="K87" s="3" t="s">
        <v>9</v>
      </c>
      <c r="L87" s="3" t="s">
        <v>45</v>
      </c>
      <c r="M87">
        <v>1</v>
      </c>
    </row>
    <row r="88" spans="1:13" x14ac:dyDescent="0.25">
      <c r="A88" s="2">
        <v>46169</v>
      </c>
      <c r="B88" s="1" t="str">
        <f ca="1">IF(Información1[[#This Row],[Fecha]]='Ajuste de fechas'!$A$2,"Día actual","Día anterior")</f>
        <v>Día actual</v>
      </c>
      <c r="C88" s="3" t="s">
        <v>8</v>
      </c>
      <c r="D88" t="s">
        <v>10</v>
      </c>
      <c r="E88" s="3" t="s">
        <v>209</v>
      </c>
      <c r="F88" s="3" t="s">
        <v>17</v>
      </c>
      <c r="G88" s="3" t="s">
        <v>64</v>
      </c>
      <c r="H88" s="3" t="s">
        <v>11</v>
      </c>
      <c r="I88" s="3" t="s">
        <v>25</v>
      </c>
      <c r="J88" s="3" t="s">
        <v>43</v>
      </c>
      <c r="K88" s="3" t="s">
        <v>9</v>
      </c>
      <c r="L88" s="3" t="s">
        <v>45</v>
      </c>
      <c r="M88">
        <v>1</v>
      </c>
    </row>
    <row r="89" spans="1:13" x14ac:dyDescent="0.25">
      <c r="A89" s="2">
        <v>46169</v>
      </c>
      <c r="B89" s="1" t="str">
        <f ca="1">IF(Información1[[#This Row],[Fecha]]='Ajuste de fechas'!$A$2,"Día actual","Día anterior")</f>
        <v>Día actual</v>
      </c>
      <c r="C89" s="3" t="s">
        <v>8</v>
      </c>
      <c r="D89" t="s">
        <v>10</v>
      </c>
      <c r="E89" s="3" t="s">
        <v>16</v>
      </c>
      <c r="F89" s="3" t="s">
        <v>17</v>
      </c>
      <c r="G89" s="3" t="s">
        <v>35</v>
      </c>
      <c r="H89" s="3" t="s">
        <v>11</v>
      </c>
      <c r="I89" s="3" t="s">
        <v>12</v>
      </c>
      <c r="J89" s="3" t="s">
        <v>43</v>
      </c>
      <c r="K89" s="3" t="s">
        <v>14</v>
      </c>
      <c r="L89" s="3" t="s">
        <v>45</v>
      </c>
      <c r="M89">
        <v>1</v>
      </c>
    </row>
    <row r="90" spans="1:13" x14ac:dyDescent="0.25">
      <c r="A90" s="2">
        <v>46169</v>
      </c>
      <c r="B90" s="1" t="str">
        <f ca="1">IF(Información1[[#This Row],[Fecha]]='Ajuste de fechas'!$A$2,"Día actual","Día anterior")</f>
        <v>Día actual</v>
      </c>
      <c r="C90" s="3" t="s">
        <v>28</v>
      </c>
      <c r="D90" t="s">
        <v>30</v>
      </c>
      <c r="E90" s="3" t="s">
        <v>210</v>
      </c>
      <c r="F90" s="3" t="s">
        <v>17</v>
      </c>
      <c r="G90" s="3" t="s">
        <v>74</v>
      </c>
      <c r="H90" s="3" t="s">
        <v>11</v>
      </c>
      <c r="I90" s="3" t="s">
        <v>7</v>
      </c>
      <c r="J90" s="3" t="s">
        <v>43</v>
      </c>
      <c r="K90" s="3" t="s">
        <v>36</v>
      </c>
      <c r="L90" s="3" t="s">
        <v>44</v>
      </c>
      <c r="M90">
        <v>1</v>
      </c>
    </row>
    <row r="91" spans="1:13" x14ac:dyDescent="0.25">
      <c r="A91" s="2">
        <v>46169</v>
      </c>
      <c r="B91" s="1" t="str">
        <f ca="1">IF(Información1[[#This Row],[Fecha]]='Ajuste de fechas'!$A$2,"Día actual","Día anterior")</f>
        <v>Día actual</v>
      </c>
      <c r="C91" s="3" t="s">
        <v>8</v>
      </c>
      <c r="D91" t="s">
        <v>10</v>
      </c>
      <c r="E91" s="3" t="s">
        <v>13</v>
      </c>
      <c r="F91" s="3" t="s">
        <v>15</v>
      </c>
      <c r="G91" s="3" t="s">
        <v>35</v>
      </c>
      <c r="H91" s="3" t="s">
        <v>11</v>
      </c>
      <c r="I91" s="3" t="s">
        <v>12</v>
      </c>
      <c r="J91" s="3" t="s">
        <v>43</v>
      </c>
      <c r="K91" s="3" t="s">
        <v>14</v>
      </c>
      <c r="L91" s="3" t="s">
        <v>45</v>
      </c>
      <c r="M91">
        <v>1</v>
      </c>
    </row>
    <row r="92" spans="1:13" x14ac:dyDescent="0.25">
      <c r="A92" s="2">
        <v>46169</v>
      </c>
      <c r="B92" s="1" t="str">
        <f ca="1">IF(Información1[[#This Row],[Fecha]]='Ajuste de fechas'!$A$2,"Día actual","Día anterior")</f>
        <v>Día actual</v>
      </c>
      <c r="C92" s="3" t="s">
        <v>28</v>
      </c>
      <c r="D92" t="s">
        <v>31</v>
      </c>
      <c r="E92" s="3" t="s">
        <v>211</v>
      </c>
      <c r="F92" s="3" t="s">
        <v>15</v>
      </c>
      <c r="G92" s="3" t="s">
        <v>185</v>
      </c>
      <c r="H92" s="3" t="s">
        <v>11</v>
      </c>
      <c r="I92" s="3" t="s">
        <v>7</v>
      </c>
      <c r="J92" s="3" t="s">
        <v>43</v>
      </c>
      <c r="K92" s="3" t="s">
        <v>29</v>
      </c>
      <c r="L92" s="3" t="s">
        <v>44</v>
      </c>
      <c r="M92">
        <v>2</v>
      </c>
    </row>
    <row r="93" spans="1:13" x14ac:dyDescent="0.25">
      <c r="A93" s="2">
        <v>46169</v>
      </c>
      <c r="B93" s="1" t="str">
        <f ca="1">IF(Información1[[#This Row],[Fecha]]='Ajuste de fechas'!$A$2,"Día actual","Día anterior")</f>
        <v>Día actual</v>
      </c>
      <c r="C93" s="3" t="s">
        <v>201</v>
      </c>
      <c r="D93" t="s">
        <v>202</v>
      </c>
      <c r="E93" s="3" t="s">
        <v>212</v>
      </c>
      <c r="F93" s="3" t="s">
        <v>182</v>
      </c>
      <c r="G93" s="3" t="s">
        <v>213</v>
      </c>
      <c r="H93" s="3" t="s">
        <v>11</v>
      </c>
      <c r="I93" s="3" t="s">
        <v>7</v>
      </c>
      <c r="J93" s="3" t="s">
        <v>43</v>
      </c>
      <c r="K93" s="3" t="s">
        <v>205</v>
      </c>
      <c r="L93" s="3" t="s">
        <v>46</v>
      </c>
      <c r="M93">
        <v>1</v>
      </c>
    </row>
    <row r="94" spans="1:13" x14ac:dyDescent="0.25">
      <c r="A94" s="2">
        <v>46169</v>
      </c>
      <c r="B94" s="1" t="str">
        <f ca="1">IF(Información1[[#This Row],[Fecha]]='Ajuste de fechas'!$A$2,"Día actual","Día anterior")</f>
        <v>Día actual</v>
      </c>
      <c r="C94" s="3" t="s">
        <v>92</v>
      </c>
      <c r="D94" t="s">
        <v>93</v>
      </c>
      <c r="E94" s="3" t="s">
        <v>212</v>
      </c>
      <c r="F94" s="3" t="s">
        <v>182</v>
      </c>
      <c r="G94" s="3" t="s">
        <v>213</v>
      </c>
      <c r="H94" s="3" t="s">
        <v>11</v>
      </c>
      <c r="I94" s="3" t="s">
        <v>7</v>
      </c>
      <c r="J94" s="3" t="s">
        <v>43</v>
      </c>
      <c r="K94" s="3" t="s">
        <v>94</v>
      </c>
      <c r="L94" s="3" t="s">
        <v>46</v>
      </c>
      <c r="M94">
        <v>1</v>
      </c>
    </row>
    <row r="95" spans="1:13" x14ac:dyDescent="0.25">
      <c r="A95" s="2">
        <v>46169</v>
      </c>
      <c r="B95" s="1" t="str">
        <f ca="1">IF(Información1[[#This Row],[Fecha]]='Ajuste de fechas'!$A$2,"Día actual","Día anterior")</f>
        <v>Día actual</v>
      </c>
      <c r="C95" s="3" t="s">
        <v>8</v>
      </c>
      <c r="D95" t="s">
        <v>10</v>
      </c>
      <c r="E95" s="3" t="s">
        <v>214</v>
      </c>
      <c r="F95" s="3" t="s">
        <v>22</v>
      </c>
      <c r="G95" s="3" t="s">
        <v>215</v>
      </c>
      <c r="H95" s="3" t="s">
        <v>11</v>
      </c>
      <c r="I95" s="3" t="s">
        <v>25</v>
      </c>
      <c r="J95" s="3" t="s">
        <v>48</v>
      </c>
      <c r="K95" s="3" t="s">
        <v>9</v>
      </c>
      <c r="L95" s="3" t="s">
        <v>45</v>
      </c>
      <c r="M95">
        <v>1</v>
      </c>
    </row>
    <row r="96" spans="1:13" x14ac:dyDescent="0.25">
      <c r="A96" s="2">
        <v>46169</v>
      </c>
      <c r="B96" s="1" t="str">
        <f ca="1">IF(Información1[[#This Row],[Fecha]]='Ajuste de fechas'!$A$2,"Día actual","Día anterior")</f>
        <v>Día actual</v>
      </c>
      <c r="C96" s="3" t="s">
        <v>8</v>
      </c>
      <c r="D96" t="s">
        <v>10</v>
      </c>
      <c r="E96" s="3" t="s">
        <v>216</v>
      </c>
      <c r="F96" s="3" t="s">
        <v>22</v>
      </c>
      <c r="G96" s="3" t="s">
        <v>183</v>
      </c>
      <c r="H96" s="3" t="s">
        <v>11</v>
      </c>
      <c r="I96" s="3" t="s">
        <v>7</v>
      </c>
      <c r="J96" s="3" t="s">
        <v>48</v>
      </c>
      <c r="K96" s="3" t="s">
        <v>14</v>
      </c>
      <c r="L96" s="3" t="s">
        <v>44</v>
      </c>
      <c r="M96">
        <v>1</v>
      </c>
    </row>
    <row r="97" spans="1:13" x14ac:dyDescent="0.25">
      <c r="A97" s="2">
        <v>46169</v>
      </c>
      <c r="B97" s="1" t="str">
        <f ca="1">IF(Información1[[#This Row],[Fecha]]='Ajuste de fechas'!$A$2,"Día actual","Día anterior")</f>
        <v>Día actual</v>
      </c>
      <c r="C97" s="3" t="s">
        <v>28</v>
      </c>
      <c r="D97" t="s">
        <v>31</v>
      </c>
      <c r="E97" s="3" t="s">
        <v>217</v>
      </c>
      <c r="F97" s="3" t="s">
        <v>22</v>
      </c>
      <c r="G97" s="3" t="s">
        <v>91</v>
      </c>
      <c r="H97" s="3" t="s">
        <v>11</v>
      </c>
      <c r="I97" s="3" t="s">
        <v>25</v>
      </c>
      <c r="J97" s="3" t="s">
        <v>48</v>
      </c>
      <c r="K97" s="3" t="s">
        <v>29</v>
      </c>
      <c r="L97" s="3" t="s">
        <v>44</v>
      </c>
      <c r="M97">
        <v>1</v>
      </c>
    </row>
    <row r="98" spans="1:13" x14ac:dyDescent="0.25">
      <c r="A98" s="2">
        <v>46169</v>
      </c>
      <c r="B98" s="1" t="str">
        <f ca="1">IF(Información1[[#This Row],[Fecha]]='Ajuste de fechas'!$A$2,"Día actual","Día anterior")</f>
        <v>Día actual</v>
      </c>
      <c r="C98" s="3" t="s">
        <v>28</v>
      </c>
      <c r="D98" t="s">
        <v>31</v>
      </c>
      <c r="E98" s="3" t="s">
        <v>218</v>
      </c>
      <c r="F98" s="3" t="s">
        <v>22</v>
      </c>
      <c r="G98" s="3" t="s">
        <v>91</v>
      </c>
      <c r="H98" s="3" t="s">
        <v>11</v>
      </c>
      <c r="I98" s="3" t="s">
        <v>7</v>
      </c>
      <c r="J98" s="3" t="s">
        <v>48</v>
      </c>
      <c r="K98" s="3" t="s">
        <v>29</v>
      </c>
      <c r="L98" s="3" t="s">
        <v>44</v>
      </c>
      <c r="M98">
        <v>1</v>
      </c>
    </row>
    <row r="99" spans="1:13" x14ac:dyDescent="0.25">
      <c r="A99" s="2">
        <v>46169</v>
      </c>
      <c r="B99" s="1" t="str">
        <f ca="1">IF(Información1[[#This Row],[Fecha]]='Ajuste de fechas'!$A$2,"Día actual","Día anterior")</f>
        <v>Día actual</v>
      </c>
      <c r="C99" s="3" t="s">
        <v>28</v>
      </c>
      <c r="D99" t="s">
        <v>31</v>
      </c>
      <c r="E99" s="3" t="s">
        <v>219</v>
      </c>
      <c r="F99" s="3" t="s">
        <v>22</v>
      </c>
      <c r="G99" s="3" t="s">
        <v>220</v>
      </c>
      <c r="H99" s="3" t="s">
        <v>11</v>
      </c>
      <c r="I99" s="3" t="s">
        <v>7</v>
      </c>
      <c r="J99" s="3" t="s">
        <v>48</v>
      </c>
      <c r="K99" s="3" t="s">
        <v>29</v>
      </c>
      <c r="L99" s="3" t="s">
        <v>44</v>
      </c>
      <c r="M99">
        <v>1</v>
      </c>
    </row>
    <row r="100" spans="1:13" x14ac:dyDescent="0.25">
      <c r="A100" s="2">
        <v>46169</v>
      </c>
      <c r="B100" s="1" t="str">
        <f ca="1">IF(Información1[[#This Row],[Fecha]]='Ajuste de fechas'!$A$2,"Día actual","Día anterior")</f>
        <v>Día actual</v>
      </c>
      <c r="C100" s="3" t="s">
        <v>8</v>
      </c>
      <c r="D100" t="s">
        <v>10</v>
      </c>
      <c r="E100" s="3" t="s">
        <v>221</v>
      </c>
      <c r="F100" s="3" t="s">
        <v>53</v>
      </c>
      <c r="G100" s="3" t="s">
        <v>222</v>
      </c>
      <c r="H100" s="3" t="s">
        <v>11</v>
      </c>
      <c r="I100" s="3" t="s">
        <v>7</v>
      </c>
      <c r="J100" s="3" t="s">
        <v>43</v>
      </c>
      <c r="K100" s="3" t="s">
        <v>14</v>
      </c>
      <c r="L100" s="3" t="s">
        <v>46</v>
      </c>
      <c r="M100">
        <v>1</v>
      </c>
    </row>
    <row r="101" spans="1:13" x14ac:dyDescent="0.25">
      <c r="A101" s="2">
        <v>46169</v>
      </c>
      <c r="B101" s="1" t="str">
        <f ca="1">IF(Información1[[#This Row],[Fecha]]='Ajuste de fechas'!$A$2,"Día actual","Día anterior")</f>
        <v>Día actual</v>
      </c>
      <c r="C101" s="3" t="s">
        <v>28</v>
      </c>
      <c r="D101" t="s">
        <v>31</v>
      </c>
      <c r="E101" s="3" t="s">
        <v>223</v>
      </c>
      <c r="F101" s="3" t="s">
        <v>53</v>
      </c>
      <c r="G101" s="3" t="s">
        <v>224</v>
      </c>
      <c r="H101" s="3" t="s">
        <v>11</v>
      </c>
      <c r="I101" s="3" t="s">
        <v>25</v>
      </c>
      <c r="J101" s="3" t="s">
        <v>43</v>
      </c>
      <c r="K101" s="3" t="s">
        <v>29</v>
      </c>
      <c r="L101" s="3" t="s">
        <v>44</v>
      </c>
      <c r="M101">
        <v>1</v>
      </c>
    </row>
    <row r="102" spans="1:13" x14ac:dyDescent="0.25">
      <c r="A102" s="2">
        <v>46169</v>
      </c>
      <c r="B102" s="1" t="str">
        <f ca="1">IF(Información1[[#This Row],[Fecha]]='Ajuste de fechas'!$A$2,"Día actual","Día anterior")</f>
        <v>Día actual</v>
      </c>
      <c r="C102" s="3" t="s">
        <v>8</v>
      </c>
      <c r="D102" t="s">
        <v>10</v>
      </c>
      <c r="E102" s="3" t="s">
        <v>225</v>
      </c>
      <c r="F102" s="3" t="s">
        <v>24</v>
      </c>
      <c r="G102" s="3" t="s">
        <v>61</v>
      </c>
      <c r="H102" s="3" t="s">
        <v>11</v>
      </c>
      <c r="I102" s="3" t="s">
        <v>7</v>
      </c>
      <c r="J102" s="3" t="s">
        <v>24</v>
      </c>
      <c r="K102" s="3" t="s">
        <v>14</v>
      </c>
      <c r="L102" s="3" t="s">
        <v>45</v>
      </c>
      <c r="M102">
        <v>1</v>
      </c>
    </row>
    <row r="103" spans="1:13" x14ac:dyDescent="0.25">
      <c r="A103" s="2">
        <v>46169</v>
      </c>
      <c r="B103" s="1" t="str">
        <f ca="1">IF(Información1[[#This Row],[Fecha]]='Ajuste de fechas'!$A$2,"Día actual","Día anterior")</f>
        <v>Día actual</v>
      </c>
      <c r="C103" s="3" t="s">
        <v>28</v>
      </c>
      <c r="D103" t="s">
        <v>31</v>
      </c>
      <c r="E103" s="3" t="s">
        <v>226</v>
      </c>
      <c r="F103" s="3" t="s">
        <v>24</v>
      </c>
      <c r="G103" s="3" t="s">
        <v>61</v>
      </c>
      <c r="H103" s="3" t="s">
        <v>11</v>
      </c>
      <c r="I103" s="3" t="s">
        <v>7</v>
      </c>
      <c r="J103" s="3" t="s">
        <v>24</v>
      </c>
      <c r="K103" s="3" t="s">
        <v>29</v>
      </c>
      <c r="L103" s="3" t="s">
        <v>44</v>
      </c>
      <c r="M103">
        <v>1</v>
      </c>
    </row>
    <row r="104" spans="1:13" x14ac:dyDescent="0.25">
      <c r="A104" s="2">
        <v>46169</v>
      </c>
      <c r="B104" s="1" t="str">
        <f ca="1">IF(Información1[[#This Row],[Fecha]]='Ajuste de fechas'!$A$2,"Día actual","Día anterior")</f>
        <v>Día actual</v>
      </c>
      <c r="C104" s="3" t="s">
        <v>28</v>
      </c>
      <c r="D104" t="s">
        <v>31</v>
      </c>
      <c r="E104" s="3" t="s">
        <v>227</v>
      </c>
      <c r="F104" s="3" t="s">
        <v>119</v>
      </c>
      <c r="G104" s="3" t="s">
        <v>120</v>
      </c>
      <c r="H104" s="3" t="s">
        <v>11</v>
      </c>
      <c r="I104" s="3" t="s">
        <v>7</v>
      </c>
      <c r="J104" s="3" t="s">
        <v>43</v>
      </c>
      <c r="K104" s="3" t="s">
        <v>29</v>
      </c>
      <c r="L104" s="3" t="s">
        <v>44</v>
      </c>
      <c r="M104">
        <v>1</v>
      </c>
    </row>
    <row r="105" spans="1:13" x14ac:dyDescent="0.25">
      <c r="A105" s="2">
        <v>46169</v>
      </c>
      <c r="B105" s="1" t="str">
        <f ca="1">IF(Información1[[#This Row],[Fecha]]='Ajuste de fechas'!$A$2,"Día actual","Día anterior")</f>
        <v>Día actual</v>
      </c>
      <c r="C105" s="3" t="s">
        <v>201</v>
      </c>
      <c r="D105" t="s">
        <v>202</v>
      </c>
      <c r="E105" s="3" t="s">
        <v>228</v>
      </c>
      <c r="F105" s="3" t="s">
        <v>26</v>
      </c>
      <c r="G105" s="3" t="s">
        <v>63</v>
      </c>
      <c r="H105" s="3" t="s">
        <v>11</v>
      </c>
      <c r="I105" s="3" t="s">
        <v>7</v>
      </c>
      <c r="J105" s="3" t="s">
        <v>43</v>
      </c>
      <c r="K105" s="3" t="s">
        <v>205</v>
      </c>
      <c r="L105" s="3" t="s">
        <v>46</v>
      </c>
      <c r="M105">
        <v>1</v>
      </c>
    </row>
    <row r="106" spans="1:13" x14ac:dyDescent="0.25">
      <c r="A106" s="2">
        <v>46169</v>
      </c>
      <c r="B106" s="1" t="str">
        <f ca="1">IF(Información1[[#This Row],[Fecha]]='Ajuste de fechas'!$A$2,"Día actual","Día anterior")</f>
        <v>Día actual</v>
      </c>
      <c r="C106" s="3" t="s">
        <v>28</v>
      </c>
      <c r="D106" t="s">
        <v>30</v>
      </c>
      <c r="E106" s="3" t="s">
        <v>229</v>
      </c>
      <c r="F106" s="3" t="s">
        <v>26</v>
      </c>
      <c r="G106" s="3" t="s">
        <v>63</v>
      </c>
      <c r="H106" s="3" t="s">
        <v>11</v>
      </c>
      <c r="I106" s="3" t="s">
        <v>7</v>
      </c>
      <c r="J106" s="3" t="s">
        <v>43</v>
      </c>
      <c r="K106" s="3" t="s">
        <v>36</v>
      </c>
      <c r="L106" s="3" t="s">
        <v>46</v>
      </c>
      <c r="M106">
        <v>1</v>
      </c>
    </row>
    <row r="107" spans="1:13" x14ac:dyDescent="0.25">
      <c r="A107" s="2">
        <v>46169</v>
      </c>
      <c r="B107" s="1" t="str">
        <f ca="1">IF(Información1[[#This Row],[Fecha]]='Ajuste de fechas'!$A$2,"Día actual","Día anterior")</f>
        <v>Día actual</v>
      </c>
      <c r="C107" s="3" t="s">
        <v>28</v>
      </c>
      <c r="D107" t="s">
        <v>31</v>
      </c>
      <c r="E107" s="3" t="s">
        <v>230</v>
      </c>
      <c r="F107" s="3" t="s">
        <v>26</v>
      </c>
      <c r="G107" s="3" t="s">
        <v>61</v>
      </c>
      <c r="H107" s="3" t="s">
        <v>11</v>
      </c>
      <c r="I107" s="3" t="s">
        <v>7</v>
      </c>
      <c r="J107" s="3" t="s">
        <v>43</v>
      </c>
      <c r="K107" s="3" t="s">
        <v>29</v>
      </c>
      <c r="L107" s="3" t="s">
        <v>44</v>
      </c>
      <c r="M107">
        <v>1</v>
      </c>
    </row>
    <row r="108" spans="1:13" x14ac:dyDescent="0.25">
      <c r="A108" s="2">
        <v>46169</v>
      </c>
      <c r="B108" s="1" t="str">
        <f ca="1">IF(Información1[[#This Row],[Fecha]]='Ajuste de fechas'!$A$2,"Día actual","Día anterior")</f>
        <v>Día actual</v>
      </c>
      <c r="C108" s="3" t="s">
        <v>28</v>
      </c>
      <c r="D108" t="s">
        <v>31</v>
      </c>
      <c r="E108" s="3" t="s">
        <v>231</v>
      </c>
      <c r="F108" s="3" t="s">
        <v>26</v>
      </c>
      <c r="G108" s="3" t="s">
        <v>63</v>
      </c>
      <c r="H108" s="3" t="s">
        <v>11</v>
      </c>
      <c r="I108" s="3" t="s">
        <v>7</v>
      </c>
      <c r="J108" s="3" t="s">
        <v>43</v>
      </c>
      <c r="K108" s="3" t="s">
        <v>29</v>
      </c>
      <c r="L108" s="3" t="s">
        <v>44</v>
      </c>
      <c r="M108">
        <v>1</v>
      </c>
    </row>
    <row r="109" spans="1:13" x14ac:dyDescent="0.25">
      <c r="A109" s="2">
        <v>46169</v>
      </c>
      <c r="B109" s="1" t="str">
        <f ca="1">IF(Información1[[#This Row],[Fecha]]='Ajuste de fechas'!$A$2,"Día actual","Día anterior")</f>
        <v>Día actual</v>
      </c>
      <c r="C109" s="3" t="s">
        <v>8</v>
      </c>
      <c r="D109" t="s">
        <v>10</v>
      </c>
      <c r="E109" s="3" t="s">
        <v>187</v>
      </c>
      <c r="F109" s="3" t="s">
        <v>68</v>
      </c>
      <c r="G109" s="3" t="s">
        <v>35</v>
      </c>
      <c r="H109" s="3" t="s">
        <v>11</v>
      </c>
      <c r="I109" s="3" t="s">
        <v>12</v>
      </c>
      <c r="J109" s="3" t="s">
        <v>24</v>
      </c>
      <c r="K109" s="3" t="s">
        <v>14</v>
      </c>
      <c r="L109" s="3" t="s">
        <v>45</v>
      </c>
      <c r="M109">
        <v>1</v>
      </c>
    </row>
    <row r="110" spans="1:13" x14ac:dyDescent="0.25">
      <c r="A110" s="2">
        <v>46169</v>
      </c>
      <c r="B110" s="1" t="str">
        <f ca="1">IF(Información1[[#This Row],[Fecha]]='Ajuste de fechas'!$A$2,"Día actual","Día anterior")</f>
        <v>Día actual</v>
      </c>
      <c r="C110" s="3" t="s">
        <v>8</v>
      </c>
      <c r="D110" t="s">
        <v>10</v>
      </c>
      <c r="E110" s="3" t="s">
        <v>232</v>
      </c>
      <c r="F110" s="3" t="s">
        <v>68</v>
      </c>
      <c r="G110" s="3" t="s">
        <v>233</v>
      </c>
      <c r="H110" s="3" t="s">
        <v>11</v>
      </c>
      <c r="I110" s="3" t="s">
        <v>7</v>
      </c>
      <c r="J110" s="3" t="s">
        <v>24</v>
      </c>
      <c r="K110" s="3" t="s">
        <v>14</v>
      </c>
      <c r="L110" s="3" t="s">
        <v>44</v>
      </c>
      <c r="M110">
        <v>1</v>
      </c>
    </row>
    <row r="111" spans="1:13" x14ac:dyDescent="0.25">
      <c r="A111" s="2">
        <v>46169</v>
      </c>
      <c r="B111" s="1" t="str">
        <f ca="1">IF(Información1[[#This Row],[Fecha]]='Ajuste de fechas'!$A$2,"Día actual","Día anterior")</f>
        <v>Día actual</v>
      </c>
      <c r="C111" s="3" t="s">
        <v>8</v>
      </c>
      <c r="D111" t="s">
        <v>10</v>
      </c>
      <c r="E111" s="3" t="s">
        <v>234</v>
      </c>
      <c r="F111" s="3" t="s">
        <v>68</v>
      </c>
      <c r="G111" s="3" t="s">
        <v>233</v>
      </c>
      <c r="H111" s="3" t="s">
        <v>11</v>
      </c>
      <c r="I111" s="3" t="s">
        <v>7</v>
      </c>
      <c r="J111" s="3" t="s">
        <v>24</v>
      </c>
      <c r="K111" s="3" t="s">
        <v>14</v>
      </c>
      <c r="L111" s="3" t="s">
        <v>44</v>
      </c>
      <c r="M111">
        <v>1</v>
      </c>
    </row>
    <row r="112" spans="1:13" x14ac:dyDescent="0.25">
      <c r="A112" s="2">
        <v>46169</v>
      </c>
      <c r="B112" s="1" t="str">
        <f ca="1">IF(Información1[[#This Row],[Fecha]]='Ajuste de fechas'!$A$2,"Día actual","Día anterior")</f>
        <v>Día actual</v>
      </c>
      <c r="C112" s="3" t="s">
        <v>28</v>
      </c>
      <c r="D112" t="s">
        <v>30</v>
      </c>
      <c r="E112" s="3" t="s">
        <v>235</v>
      </c>
      <c r="F112" s="3" t="s">
        <v>68</v>
      </c>
      <c r="G112" s="3"/>
      <c r="H112" s="3" t="s">
        <v>11</v>
      </c>
      <c r="I112" s="3" t="s">
        <v>7</v>
      </c>
      <c r="J112" s="3" t="s">
        <v>24</v>
      </c>
      <c r="K112" s="3" t="s">
        <v>36</v>
      </c>
      <c r="L112" s="3" t="s">
        <v>44</v>
      </c>
      <c r="M112">
        <v>1</v>
      </c>
    </row>
    <row r="113" spans="1:13" x14ac:dyDescent="0.25">
      <c r="A113" s="2">
        <v>46169</v>
      </c>
      <c r="B113" s="1" t="str">
        <f ca="1">IF(Información1[[#This Row],[Fecha]]='Ajuste de fechas'!$A$2,"Día actual","Día anterior")</f>
        <v>Día actual</v>
      </c>
      <c r="C113" s="3" t="s">
        <v>28</v>
      </c>
      <c r="D113" t="s">
        <v>30</v>
      </c>
      <c r="E113" s="3" t="s">
        <v>236</v>
      </c>
      <c r="F113" s="3" t="s">
        <v>68</v>
      </c>
      <c r="G113" s="3" t="s">
        <v>69</v>
      </c>
      <c r="H113" s="3" t="s">
        <v>11</v>
      </c>
      <c r="I113" s="3" t="s">
        <v>25</v>
      </c>
      <c r="J113" s="3" t="s">
        <v>24</v>
      </c>
      <c r="K113" s="3" t="s">
        <v>36</v>
      </c>
      <c r="L113" s="3" t="s">
        <v>44</v>
      </c>
      <c r="M113">
        <v>1</v>
      </c>
    </row>
    <row r="114" spans="1:13" x14ac:dyDescent="0.25">
      <c r="A114" s="2">
        <v>46169</v>
      </c>
      <c r="B114" s="1" t="str">
        <f ca="1">IF(Información1[[#This Row],[Fecha]]='Ajuste de fechas'!$A$2,"Día actual","Día anterior")</f>
        <v>Día actual</v>
      </c>
      <c r="C114" s="3" t="s">
        <v>28</v>
      </c>
      <c r="D114" t="s">
        <v>30</v>
      </c>
      <c r="E114" s="3" t="s">
        <v>237</v>
      </c>
      <c r="F114" s="3" t="s">
        <v>68</v>
      </c>
      <c r="G114" s="3" t="s">
        <v>69</v>
      </c>
      <c r="H114" s="3" t="s">
        <v>11</v>
      </c>
      <c r="I114" s="3" t="s">
        <v>7</v>
      </c>
      <c r="J114" s="3" t="s">
        <v>24</v>
      </c>
      <c r="K114" s="3" t="s">
        <v>36</v>
      </c>
      <c r="L114" s="3" t="s">
        <v>44</v>
      </c>
      <c r="M114">
        <v>1</v>
      </c>
    </row>
    <row r="115" spans="1:13" x14ac:dyDescent="0.25">
      <c r="A115" s="2">
        <v>46169</v>
      </c>
      <c r="B115" s="1" t="str">
        <f ca="1">IF(Información1[[#This Row],[Fecha]]='Ajuste de fechas'!$A$2,"Día actual","Día anterior")</f>
        <v>Día actual</v>
      </c>
      <c r="C115" s="3" t="s">
        <v>8</v>
      </c>
      <c r="D115" t="s">
        <v>10</v>
      </c>
      <c r="E115" s="3" t="s">
        <v>20</v>
      </c>
      <c r="F115" s="3" t="s">
        <v>19</v>
      </c>
      <c r="G115" s="3" t="s">
        <v>35</v>
      </c>
      <c r="H115" s="3" t="s">
        <v>11</v>
      </c>
      <c r="I115" s="3" t="s">
        <v>12</v>
      </c>
      <c r="J115" s="3" t="s">
        <v>47</v>
      </c>
      <c r="K115" s="3" t="s">
        <v>14</v>
      </c>
      <c r="L115" s="3" t="s">
        <v>45</v>
      </c>
      <c r="M115">
        <v>1</v>
      </c>
    </row>
    <row r="116" spans="1:13" x14ac:dyDescent="0.25">
      <c r="A116" s="2">
        <v>46169</v>
      </c>
      <c r="B116" s="1" t="str">
        <f ca="1">IF(Información1[[#This Row],[Fecha]]='Ajuste de fechas'!$A$2,"Día actual","Día anterior")</f>
        <v>Día actual</v>
      </c>
      <c r="C116" s="3" t="s">
        <v>8</v>
      </c>
      <c r="D116" t="s">
        <v>10</v>
      </c>
      <c r="E116" s="3" t="s">
        <v>18</v>
      </c>
      <c r="F116" s="3" t="s">
        <v>19</v>
      </c>
      <c r="G116" s="3" t="s">
        <v>35</v>
      </c>
      <c r="H116" s="3" t="s">
        <v>11</v>
      </c>
      <c r="I116" s="3" t="s">
        <v>12</v>
      </c>
      <c r="J116" s="3" t="s">
        <v>47</v>
      </c>
      <c r="K116" s="3" t="s">
        <v>14</v>
      </c>
      <c r="L116" s="3" t="s">
        <v>45</v>
      </c>
      <c r="M116">
        <v>1</v>
      </c>
    </row>
    <row r="117" spans="1:13" x14ac:dyDescent="0.25">
      <c r="A117" s="2">
        <v>46169</v>
      </c>
      <c r="B117" s="1" t="str">
        <f ca="1">IF(Información1[[#This Row],[Fecha]]='Ajuste de fechas'!$A$2,"Día actual","Día anterior")</f>
        <v>Día actual</v>
      </c>
      <c r="C117" s="3" t="s">
        <v>8</v>
      </c>
      <c r="D117" t="s">
        <v>10</v>
      </c>
      <c r="E117" s="3" t="s">
        <v>238</v>
      </c>
      <c r="F117" s="3" t="s">
        <v>19</v>
      </c>
      <c r="G117" s="3" t="s">
        <v>239</v>
      </c>
      <c r="H117" s="3" t="s">
        <v>11</v>
      </c>
      <c r="I117" s="3" t="s">
        <v>7</v>
      </c>
      <c r="J117" s="3" t="s">
        <v>47</v>
      </c>
      <c r="K117" s="3" t="s">
        <v>14</v>
      </c>
      <c r="L117" s="3" t="s">
        <v>44</v>
      </c>
      <c r="M117">
        <v>1</v>
      </c>
    </row>
    <row r="118" spans="1:13" x14ac:dyDescent="0.25">
      <c r="A118" s="2">
        <v>46169</v>
      </c>
      <c r="B118" s="1" t="str">
        <f ca="1">IF(Información1[[#This Row],[Fecha]]='Ajuste de fechas'!$A$2,"Día actual","Día anterior")</f>
        <v>Día actual</v>
      </c>
      <c r="C118" s="3" t="s">
        <v>8</v>
      </c>
      <c r="D118" t="s">
        <v>10</v>
      </c>
      <c r="E118" s="3" t="s">
        <v>240</v>
      </c>
      <c r="F118" s="3" t="s">
        <v>19</v>
      </c>
      <c r="G118" s="3" t="s">
        <v>241</v>
      </c>
      <c r="H118" s="3" t="s">
        <v>11</v>
      </c>
      <c r="I118" s="3" t="s">
        <v>7</v>
      </c>
      <c r="J118" s="3" t="s">
        <v>47</v>
      </c>
      <c r="K118" s="3" t="s">
        <v>14</v>
      </c>
      <c r="L118" s="3" t="s">
        <v>44</v>
      </c>
      <c r="M118">
        <v>1</v>
      </c>
    </row>
    <row r="119" spans="1:13" x14ac:dyDescent="0.25">
      <c r="A119" s="2">
        <v>46169</v>
      </c>
      <c r="B119" s="1" t="str">
        <f ca="1">IF(Información1[[#This Row],[Fecha]]='Ajuste de fechas'!$A$2,"Día actual","Día anterior")</f>
        <v>Día actual</v>
      </c>
      <c r="C119" s="3" t="s">
        <v>28</v>
      </c>
      <c r="D119" t="s">
        <v>30</v>
      </c>
      <c r="E119" s="3" t="s">
        <v>242</v>
      </c>
      <c r="F119" s="3" t="s">
        <v>19</v>
      </c>
      <c r="G119" s="3" t="s">
        <v>170</v>
      </c>
      <c r="H119" s="3" t="s">
        <v>11</v>
      </c>
      <c r="I119" s="3" t="s">
        <v>7</v>
      </c>
      <c r="J119" s="3" t="s">
        <v>47</v>
      </c>
      <c r="K119" s="3" t="s">
        <v>9</v>
      </c>
      <c r="L119" s="3" t="s">
        <v>45</v>
      </c>
      <c r="M119">
        <v>1</v>
      </c>
    </row>
    <row r="120" spans="1:13" x14ac:dyDescent="0.25">
      <c r="A120" s="2">
        <v>46169</v>
      </c>
      <c r="B120" s="1" t="str">
        <f ca="1">IF(Información1[[#This Row],[Fecha]]='Ajuste de fechas'!$A$2,"Día actual","Día anterior")</f>
        <v>Día actual</v>
      </c>
      <c r="C120" s="3" t="s">
        <v>28</v>
      </c>
      <c r="D120" t="s">
        <v>30</v>
      </c>
      <c r="E120" s="3" t="s">
        <v>243</v>
      </c>
      <c r="F120" s="3" t="s">
        <v>19</v>
      </c>
      <c r="G120" s="3" t="s">
        <v>184</v>
      </c>
      <c r="H120" s="3" t="s">
        <v>11</v>
      </c>
      <c r="I120" s="3" t="s">
        <v>7</v>
      </c>
      <c r="J120" s="3" t="s">
        <v>47</v>
      </c>
      <c r="K120" s="3" t="s">
        <v>36</v>
      </c>
      <c r="L120" s="3" t="s">
        <v>44</v>
      </c>
      <c r="M120">
        <v>1</v>
      </c>
    </row>
    <row r="121" spans="1:13" x14ac:dyDescent="0.25">
      <c r="A121" s="2">
        <v>46169</v>
      </c>
      <c r="B121" s="1" t="str">
        <f ca="1">IF(Información1[[#This Row],[Fecha]]='Ajuste de fechas'!$A$2,"Día actual","Día anterior")</f>
        <v>Día actual</v>
      </c>
      <c r="C121" s="3" t="s">
        <v>28</v>
      </c>
      <c r="D121" t="s">
        <v>30</v>
      </c>
      <c r="E121" s="3" t="s">
        <v>244</v>
      </c>
      <c r="F121" s="3" t="s">
        <v>19</v>
      </c>
      <c r="G121" s="3" t="s">
        <v>245</v>
      </c>
      <c r="H121" s="3" t="s">
        <v>11</v>
      </c>
      <c r="I121" s="3" t="s">
        <v>7</v>
      </c>
      <c r="J121" s="3" t="s">
        <v>47</v>
      </c>
      <c r="K121" s="3" t="s">
        <v>36</v>
      </c>
      <c r="L121" s="3" t="s">
        <v>44</v>
      </c>
      <c r="M121">
        <v>1</v>
      </c>
    </row>
    <row r="122" spans="1:13" x14ac:dyDescent="0.25">
      <c r="A122" s="2">
        <v>46169</v>
      </c>
      <c r="B122" s="1" t="str">
        <f ca="1">IF(Información1[[#This Row],[Fecha]]='Ajuste de fechas'!$A$2,"Día actual","Día anterior")</f>
        <v>Día actual</v>
      </c>
      <c r="C122" s="3" t="s">
        <v>28</v>
      </c>
      <c r="D122" t="s">
        <v>30</v>
      </c>
      <c r="E122" s="3" t="s">
        <v>246</v>
      </c>
      <c r="F122" s="3" t="s">
        <v>19</v>
      </c>
      <c r="G122" s="3" t="s">
        <v>69</v>
      </c>
      <c r="H122" s="3" t="s">
        <v>11</v>
      </c>
      <c r="I122" s="3" t="s">
        <v>7</v>
      </c>
      <c r="J122" s="3" t="s">
        <v>47</v>
      </c>
      <c r="K122" s="3" t="s">
        <v>36</v>
      </c>
      <c r="L122" s="3" t="s">
        <v>44</v>
      </c>
      <c r="M122">
        <v>1</v>
      </c>
    </row>
    <row r="123" spans="1:13" x14ac:dyDescent="0.25">
      <c r="A123" s="2">
        <v>46169</v>
      </c>
      <c r="B123" s="1" t="str">
        <f ca="1">IF(Información1[[#This Row],[Fecha]]='Ajuste de fechas'!$A$2,"Día actual","Día anterior")</f>
        <v>Día actual</v>
      </c>
      <c r="C123" s="3" t="s">
        <v>28</v>
      </c>
      <c r="D123" t="s">
        <v>31</v>
      </c>
      <c r="E123" s="3" t="s">
        <v>247</v>
      </c>
      <c r="F123" s="3" t="s">
        <v>19</v>
      </c>
      <c r="G123" s="3" t="s">
        <v>185</v>
      </c>
      <c r="H123" s="3" t="s">
        <v>11</v>
      </c>
      <c r="I123" s="3" t="s">
        <v>7</v>
      </c>
      <c r="J123" s="3" t="s">
        <v>47</v>
      </c>
      <c r="K123" s="3" t="s">
        <v>29</v>
      </c>
      <c r="L123" s="3" t="s">
        <v>44</v>
      </c>
      <c r="M123">
        <v>1</v>
      </c>
    </row>
    <row r="124" spans="1:13" x14ac:dyDescent="0.25">
      <c r="A124" s="2">
        <v>46169</v>
      </c>
      <c r="B124" s="1" t="str">
        <f ca="1">IF(Información1[[#This Row],[Fecha]]='Ajuste de fechas'!$A$2,"Día actual","Día anterior")</f>
        <v>Día actual</v>
      </c>
      <c r="C124" s="3" t="s">
        <v>28</v>
      </c>
      <c r="D124" t="s">
        <v>31</v>
      </c>
      <c r="E124" s="3" t="s">
        <v>248</v>
      </c>
      <c r="F124" s="3" t="s">
        <v>19</v>
      </c>
      <c r="G124" s="3" t="s">
        <v>249</v>
      </c>
      <c r="H124" s="3" t="s">
        <v>11</v>
      </c>
      <c r="I124" s="3" t="s">
        <v>7</v>
      </c>
      <c r="J124" s="3" t="s">
        <v>47</v>
      </c>
      <c r="K124" s="3" t="s">
        <v>29</v>
      </c>
      <c r="L124" s="3" t="s">
        <v>44</v>
      </c>
      <c r="M124">
        <v>1</v>
      </c>
    </row>
    <row r="125" spans="1:13" x14ac:dyDescent="0.25">
      <c r="A125" s="2">
        <v>46169</v>
      </c>
      <c r="B125" s="1" t="str">
        <f ca="1">IF(Información1[[#This Row],[Fecha]]='Ajuste de fechas'!$A$2,"Día actual","Día anterior")</f>
        <v>Día actual</v>
      </c>
      <c r="C125" s="3" t="s">
        <v>28</v>
      </c>
      <c r="D125" t="s">
        <v>31</v>
      </c>
      <c r="E125" s="3" t="s">
        <v>250</v>
      </c>
      <c r="F125" s="3" t="s">
        <v>19</v>
      </c>
      <c r="G125" s="3" t="s">
        <v>73</v>
      </c>
      <c r="H125" s="3" t="s">
        <v>11</v>
      </c>
      <c r="I125" s="3" t="s">
        <v>7</v>
      </c>
      <c r="J125" s="3" t="s">
        <v>47</v>
      </c>
      <c r="K125" s="3" t="s">
        <v>29</v>
      </c>
      <c r="L125" s="3" t="s">
        <v>44</v>
      </c>
      <c r="M125">
        <v>1</v>
      </c>
    </row>
    <row r="126" spans="1:13" x14ac:dyDescent="0.25">
      <c r="A126" s="2">
        <v>46169</v>
      </c>
      <c r="B126" s="1" t="str">
        <f ca="1">IF(Información1[[#This Row],[Fecha]]='Ajuste de fechas'!$A$2,"Día actual","Día anterior")</f>
        <v>Día actual</v>
      </c>
      <c r="C126" s="3" t="s">
        <v>28</v>
      </c>
      <c r="D126" t="s">
        <v>31</v>
      </c>
      <c r="E126" s="3" t="s">
        <v>251</v>
      </c>
      <c r="F126" s="3" t="s">
        <v>19</v>
      </c>
      <c r="G126" s="3" t="s">
        <v>170</v>
      </c>
      <c r="H126" s="3" t="s">
        <v>11</v>
      </c>
      <c r="I126" s="3" t="s">
        <v>7</v>
      </c>
      <c r="J126" s="3" t="s">
        <v>47</v>
      </c>
      <c r="K126" s="3" t="s">
        <v>9</v>
      </c>
      <c r="L126" s="3" t="s">
        <v>45</v>
      </c>
      <c r="M126">
        <v>1</v>
      </c>
    </row>
    <row r="127" spans="1:13" x14ac:dyDescent="0.25">
      <c r="A127" s="2">
        <v>46169</v>
      </c>
      <c r="B127" s="1" t="str">
        <f ca="1">IF(Información1[[#This Row],[Fecha]]='Ajuste de fechas'!$A$2,"Día actual","Día anterior")</f>
        <v>Día actual</v>
      </c>
      <c r="C127" s="3" t="s">
        <v>28</v>
      </c>
      <c r="D127" t="s">
        <v>31</v>
      </c>
      <c r="E127" s="3" t="s">
        <v>252</v>
      </c>
      <c r="F127" s="3" t="s">
        <v>19</v>
      </c>
      <c r="G127" s="3" t="s">
        <v>170</v>
      </c>
      <c r="H127" s="3" t="s">
        <v>11</v>
      </c>
      <c r="I127" s="3" t="s">
        <v>7</v>
      </c>
      <c r="J127" s="3" t="s">
        <v>47</v>
      </c>
      <c r="K127" s="3" t="s">
        <v>9</v>
      </c>
      <c r="L127" s="3" t="s">
        <v>45</v>
      </c>
      <c r="M127">
        <v>1</v>
      </c>
    </row>
    <row r="128" spans="1:13" x14ac:dyDescent="0.25">
      <c r="A128" s="2">
        <v>46169</v>
      </c>
      <c r="B128" s="1" t="str">
        <f ca="1">IF(Información1[[#This Row],[Fecha]]='Ajuste de fechas'!$A$2,"Día actual","Día anterior")</f>
        <v>Día actual</v>
      </c>
      <c r="C128" s="3" t="s">
        <v>55</v>
      </c>
      <c r="D128" t="s">
        <v>181</v>
      </c>
      <c r="E128" s="3" t="s">
        <v>253</v>
      </c>
      <c r="F128" s="3" t="s">
        <v>22</v>
      </c>
      <c r="G128" s="3" t="s">
        <v>254</v>
      </c>
      <c r="H128" s="3" t="s">
        <v>11</v>
      </c>
      <c r="I128" s="3" t="s">
        <v>7</v>
      </c>
      <c r="J128" s="3" t="s">
        <v>48</v>
      </c>
      <c r="K128" s="3" t="s">
        <v>255</v>
      </c>
      <c r="L128" s="3" t="s">
        <v>44</v>
      </c>
      <c r="M128">
        <v>1</v>
      </c>
    </row>
    <row r="129" spans="1:13" x14ac:dyDescent="0.25">
      <c r="A129" s="2">
        <v>46169</v>
      </c>
      <c r="B129" s="1" t="str">
        <f ca="1">IF(Información1[[#This Row],[Fecha]]='Ajuste de fechas'!$A$2,"Día actual","Día anterior")</f>
        <v>Día actual</v>
      </c>
      <c r="C129" s="3" t="s">
        <v>55</v>
      </c>
      <c r="D129" t="s">
        <v>181</v>
      </c>
      <c r="E129" s="3" t="s">
        <v>256</v>
      </c>
      <c r="F129" s="3" t="s">
        <v>257</v>
      </c>
      <c r="G129" s="3" t="s">
        <v>258</v>
      </c>
      <c r="H129" s="3" t="s">
        <v>11</v>
      </c>
      <c r="I129" s="3" t="s">
        <v>7</v>
      </c>
      <c r="J129" s="3" t="s">
        <v>24</v>
      </c>
      <c r="K129" s="3" t="s">
        <v>56</v>
      </c>
      <c r="L129" s="3" t="s">
        <v>44</v>
      </c>
      <c r="M129">
        <v>1</v>
      </c>
    </row>
    <row r="130" spans="1:13" x14ac:dyDescent="0.25">
      <c r="A130" s="2">
        <v>46169</v>
      </c>
      <c r="B130" s="1" t="str">
        <f ca="1">IF(Información1[[#This Row],[Fecha]]='Ajuste de fechas'!$A$2,"Día actual","Día anterior")</f>
        <v>Día actual</v>
      </c>
      <c r="C130" s="3" t="s">
        <v>55</v>
      </c>
      <c r="D130" t="s">
        <v>181</v>
      </c>
      <c r="E130" s="3" t="s">
        <v>259</v>
      </c>
      <c r="F130" s="3" t="s">
        <v>19</v>
      </c>
      <c r="G130" s="3" t="s">
        <v>260</v>
      </c>
      <c r="H130" s="3" t="s">
        <v>11</v>
      </c>
      <c r="I130" s="3" t="s">
        <v>7</v>
      </c>
      <c r="J130" s="3" t="s">
        <v>47</v>
      </c>
      <c r="K130" s="3" t="s">
        <v>255</v>
      </c>
      <c r="L130" s="3" t="s">
        <v>44</v>
      </c>
      <c r="M130">
        <v>1</v>
      </c>
    </row>
    <row r="131" spans="1:13" x14ac:dyDescent="0.25">
      <c r="A131" s="2">
        <v>46169</v>
      </c>
      <c r="B131" s="1" t="str">
        <f ca="1">IF(Información1[[#This Row],[Fecha]]='Ajuste de fechas'!$A$2,"Día actual","Día anterior")</f>
        <v>Día actual</v>
      </c>
      <c r="C131" s="3" t="s">
        <v>55</v>
      </c>
      <c r="D131" t="s">
        <v>181</v>
      </c>
      <c r="E131" s="3" t="s">
        <v>261</v>
      </c>
      <c r="F131" s="3" t="s">
        <v>53</v>
      </c>
      <c r="G131" s="3" t="s">
        <v>107</v>
      </c>
      <c r="H131" s="3" t="s">
        <v>11</v>
      </c>
      <c r="I131" s="3" t="s">
        <v>7</v>
      </c>
      <c r="J131" s="3" t="s">
        <v>43</v>
      </c>
      <c r="K131" s="3" t="s">
        <v>56</v>
      </c>
      <c r="L131" s="3" t="s">
        <v>46</v>
      </c>
      <c r="M131">
        <v>1</v>
      </c>
    </row>
    <row r="132" spans="1:13" x14ac:dyDescent="0.25">
      <c r="A132" s="2">
        <v>46169</v>
      </c>
      <c r="B132" s="1" t="str">
        <f ca="1">IF(Información1[[#This Row],[Fecha]]='Ajuste de fechas'!$A$2,"Día actual","Día anterior")</f>
        <v>Día actual</v>
      </c>
      <c r="C132" s="3" t="s">
        <v>57</v>
      </c>
      <c r="D132" t="s">
        <v>58</v>
      </c>
      <c r="E132" s="3" t="s">
        <v>262</v>
      </c>
      <c r="F132" s="3" t="s">
        <v>19</v>
      </c>
      <c r="G132" s="3" t="s">
        <v>103</v>
      </c>
      <c r="H132" s="3" t="s">
        <v>11</v>
      </c>
      <c r="I132" s="3" t="s">
        <v>7</v>
      </c>
      <c r="J132" s="3" t="s">
        <v>47</v>
      </c>
      <c r="K132" s="3" t="s">
        <v>59</v>
      </c>
      <c r="L132" s="3" t="s">
        <v>44</v>
      </c>
      <c r="M132">
        <v>1</v>
      </c>
    </row>
    <row r="133" spans="1:13" x14ac:dyDescent="0.25">
      <c r="A133" s="2">
        <v>46169</v>
      </c>
      <c r="B133" s="1" t="str">
        <f ca="1">IF(Información1[[#This Row],[Fecha]]='Ajuste de fechas'!$A$2,"Día actual","Día anterior")</f>
        <v>Día actual</v>
      </c>
      <c r="C133" s="3" t="s">
        <v>57</v>
      </c>
      <c r="D133" t="s">
        <v>58</v>
      </c>
      <c r="E133" s="3" t="s">
        <v>263</v>
      </c>
      <c r="F133" s="3" t="s">
        <v>21</v>
      </c>
      <c r="G133" s="3" t="s">
        <v>264</v>
      </c>
      <c r="H133" s="3" t="s">
        <v>11</v>
      </c>
      <c r="I133" s="3" t="s">
        <v>7</v>
      </c>
      <c r="J133" s="3" t="s">
        <v>43</v>
      </c>
      <c r="K133" s="3" t="s">
        <v>59</v>
      </c>
      <c r="L133" s="3" t="s">
        <v>44</v>
      </c>
      <c r="M133">
        <v>1</v>
      </c>
    </row>
    <row r="134" spans="1:13" x14ac:dyDescent="0.25">
      <c r="A134" s="2">
        <v>46169</v>
      </c>
      <c r="B134" s="1" t="str">
        <f ca="1">IF(Información1[[#This Row],[Fecha]]='Ajuste de fechas'!$A$2,"Día actual","Día anterior")</f>
        <v>Día actual</v>
      </c>
      <c r="C134" s="3" t="s">
        <v>57</v>
      </c>
      <c r="D134" t="s">
        <v>58</v>
      </c>
      <c r="E134" s="3" t="s">
        <v>265</v>
      </c>
      <c r="F134" s="3" t="s">
        <v>68</v>
      </c>
      <c r="G134" s="3" t="s">
        <v>233</v>
      </c>
      <c r="H134" s="3" t="s">
        <v>11</v>
      </c>
      <c r="I134" s="3" t="s">
        <v>7</v>
      </c>
      <c r="J134" s="3" t="s">
        <v>24</v>
      </c>
      <c r="K134" s="3" t="s">
        <v>59</v>
      </c>
      <c r="L134" s="3" t="s">
        <v>44</v>
      </c>
      <c r="M134">
        <v>1</v>
      </c>
    </row>
    <row r="135" spans="1:13" x14ac:dyDescent="0.25">
      <c r="A135" s="2">
        <v>46169</v>
      </c>
      <c r="B135" s="1" t="str">
        <f ca="1">IF(Información1[[#This Row],[Fecha]]='Ajuste de fechas'!$A$2,"Día actual","Día anterior")</f>
        <v>Día actual</v>
      </c>
      <c r="C135" s="3" t="s">
        <v>57</v>
      </c>
      <c r="D135" t="s">
        <v>58</v>
      </c>
      <c r="E135" s="3" t="s">
        <v>266</v>
      </c>
      <c r="F135" s="3" t="s">
        <v>21</v>
      </c>
      <c r="G135" s="3" t="s">
        <v>204</v>
      </c>
      <c r="H135" s="3" t="s">
        <v>11</v>
      </c>
      <c r="I135" s="3" t="s">
        <v>7</v>
      </c>
      <c r="J135" s="3" t="s">
        <v>43</v>
      </c>
      <c r="K135" s="3" t="s">
        <v>59</v>
      </c>
      <c r="L135" s="3" t="s">
        <v>46</v>
      </c>
      <c r="M135">
        <v>1</v>
      </c>
    </row>
    <row r="136" spans="1:13" x14ac:dyDescent="0.25">
      <c r="A136" s="2">
        <v>46169</v>
      </c>
      <c r="B136" s="1" t="str">
        <f ca="1">IF(Información1[[#This Row],[Fecha]]='Ajuste de fechas'!$A$2,"Día actual","Día anterior")</f>
        <v>Día actual</v>
      </c>
      <c r="C136" s="3" t="s">
        <v>57</v>
      </c>
      <c r="D136" t="s">
        <v>58</v>
      </c>
      <c r="E136" s="3" t="s">
        <v>267</v>
      </c>
      <c r="F136" s="3" t="s">
        <v>182</v>
      </c>
      <c r="G136" s="3" t="s">
        <v>213</v>
      </c>
      <c r="H136" s="3" t="s">
        <v>11</v>
      </c>
      <c r="I136" s="3" t="s">
        <v>7</v>
      </c>
      <c r="J136" s="3" t="s">
        <v>43</v>
      </c>
      <c r="K136" s="3" t="s">
        <v>59</v>
      </c>
      <c r="L136" s="3" t="s">
        <v>46</v>
      </c>
      <c r="M136">
        <v>1</v>
      </c>
    </row>
    <row r="137" spans="1:13" x14ac:dyDescent="0.25">
      <c r="A137" s="2">
        <v>46169</v>
      </c>
      <c r="B137" s="1" t="str">
        <f ca="1">IF(Información1[[#This Row],[Fecha]]='Ajuste de fechas'!$A$2,"Día actual","Día anterior")</f>
        <v>Día actual</v>
      </c>
      <c r="C137" s="3" t="s">
        <v>57</v>
      </c>
      <c r="D137" t="s">
        <v>58</v>
      </c>
      <c r="E137" s="3" t="s">
        <v>268</v>
      </c>
      <c r="F137" s="3" t="s">
        <v>67</v>
      </c>
      <c r="G137" s="3" t="s">
        <v>269</v>
      </c>
      <c r="H137" s="3" t="s">
        <v>11</v>
      </c>
      <c r="I137" s="3" t="s">
        <v>7</v>
      </c>
      <c r="J137" s="3" t="s">
        <v>43</v>
      </c>
      <c r="K137" s="3" t="s">
        <v>59</v>
      </c>
      <c r="L137" s="3" t="s">
        <v>46</v>
      </c>
      <c r="M137">
        <v>1</v>
      </c>
    </row>
    <row r="138" spans="1:13" x14ac:dyDescent="0.25">
      <c r="A138" s="2">
        <v>46169</v>
      </c>
      <c r="B138" s="1" t="str">
        <f ca="1">IF(Información1[[#This Row],[Fecha]]='Ajuste de fechas'!$A$2,"Día actual","Día anterior")</f>
        <v>Día actual</v>
      </c>
      <c r="C138" s="3" t="s">
        <v>57</v>
      </c>
      <c r="D138" t="s">
        <v>58</v>
      </c>
      <c r="E138" s="3" t="s">
        <v>270</v>
      </c>
      <c r="F138" s="3" t="s">
        <v>26</v>
      </c>
      <c r="G138" s="3" t="s">
        <v>63</v>
      </c>
      <c r="H138" s="3" t="s">
        <v>11</v>
      </c>
      <c r="I138" s="3" t="s">
        <v>7</v>
      </c>
      <c r="J138" s="3" t="s">
        <v>43</v>
      </c>
      <c r="K138" s="3" t="s">
        <v>59</v>
      </c>
      <c r="L138" s="3" t="s">
        <v>46</v>
      </c>
      <c r="M138">
        <v>1</v>
      </c>
    </row>
    <row r="139" spans="1:13" x14ac:dyDescent="0.25">
      <c r="A139" s="2">
        <v>46169</v>
      </c>
      <c r="B139" s="1" t="str">
        <f ca="1">IF(Información1[[#This Row],[Fecha]]='Ajuste de fechas'!$A$2,"Día actual","Día anterior")</f>
        <v>Día actual</v>
      </c>
      <c r="C139" s="3" t="s">
        <v>32</v>
      </c>
      <c r="D139" t="s">
        <v>33</v>
      </c>
      <c r="E139" s="3" t="s">
        <v>271</v>
      </c>
      <c r="F139" s="3" t="s">
        <v>6</v>
      </c>
      <c r="G139" s="3" t="s">
        <v>272</v>
      </c>
      <c r="H139" s="3" t="s">
        <v>11</v>
      </c>
      <c r="I139" s="3" t="s">
        <v>25</v>
      </c>
      <c r="J139" s="3" t="s">
        <v>43</v>
      </c>
      <c r="K139" s="3" t="s">
        <v>27</v>
      </c>
      <c r="L139" s="3" t="s">
        <v>44</v>
      </c>
      <c r="M139">
        <v>1</v>
      </c>
    </row>
    <row r="140" spans="1:13" x14ac:dyDescent="0.25">
      <c r="A140" s="2">
        <v>46169</v>
      </c>
      <c r="B140" s="1" t="str">
        <f ca="1">IF(Información1[[#This Row],[Fecha]]='Ajuste de fechas'!$A$2,"Día actual","Día anterior")</f>
        <v>Día actual</v>
      </c>
      <c r="C140" s="3" t="s">
        <v>32</v>
      </c>
      <c r="D140" t="s">
        <v>33</v>
      </c>
      <c r="E140" s="3" t="s">
        <v>273</v>
      </c>
      <c r="F140" s="3" t="s">
        <v>34</v>
      </c>
      <c r="G140" s="3" t="s">
        <v>241</v>
      </c>
      <c r="H140" s="3" t="s">
        <v>11</v>
      </c>
      <c r="I140" s="3" t="s">
        <v>7</v>
      </c>
      <c r="J140" s="3" t="s">
        <v>43</v>
      </c>
      <c r="K140" s="3" t="s">
        <v>27</v>
      </c>
      <c r="L140" s="3" t="s">
        <v>46</v>
      </c>
      <c r="M140">
        <v>1</v>
      </c>
    </row>
    <row r="141" spans="1:13" x14ac:dyDescent="0.25">
      <c r="A141" s="2">
        <v>46169</v>
      </c>
      <c r="B141" s="1" t="str">
        <f ca="1">IF(Información1[[#This Row],[Fecha]]='Ajuste de fechas'!$A$2,"Día actual","Día anterior")</f>
        <v>Día actual</v>
      </c>
      <c r="C141" s="3" t="s">
        <v>32</v>
      </c>
      <c r="D141" t="s">
        <v>33</v>
      </c>
      <c r="E141" s="3" t="s">
        <v>274</v>
      </c>
      <c r="F141" s="3" t="s">
        <v>182</v>
      </c>
      <c r="G141" s="3" t="s">
        <v>213</v>
      </c>
      <c r="H141" s="3" t="s">
        <v>11</v>
      </c>
      <c r="I141" s="3" t="s">
        <v>7</v>
      </c>
      <c r="J141" s="3" t="s">
        <v>43</v>
      </c>
      <c r="K141" s="3" t="s">
        <v>27</v>
      </c>
      <c r="L141" s="3" t="s">
        <v>46</v>
      </c>
      <c r="M141">
        <v>1</v>
      </c>
    </row>
    <row r="142" spans="1:13" x14ac:dyDescent="0.25">
      <c r="A142" s="2">
        <v>46169</v>
      </c>
      <c r="B142" s="1" t="str">
        <f ca="1">IF(Información1[[#This Row],[Fecha]]='Ajuste de fechas'!$A$2,"Día actual","Día anterior")</f>
        <v>Día actual</v>
      </c>
      <c r="C142" s="3" t="s">
        <v>32</v>
      </c>
      <c r="D142" t="s">
        <v>33</v>
      </c>
      <c r="E142" s="3" t="s">
        <v>275</v>
      </c>
      <c r="F142" s="3" t="s">
        <v>21</v>
      </c>
      <c r="G142" s="3" t="s">
        <v>204</v>
      </c>
      <c r="H142" s="3" t="s">
        <v>11</v>
      </c>
      <c r="I142" s="3" t="s">
        <v>7</v>
      </c>
      <c r="J142" s="3" t="s">
        <v>43</v>
      </c>
      <c r="K142" s="3" t="s">
        <v>27</v>
      </c>
      <c r="L142" s="3" t="s">
        <v>46</v>
      </c>
      <c r="M142">
        <v>1</v>
      </c>
    </row>
    <row r="143" spans="1:13" x14ac:dyDescent="0.25">
      <c r="A143" s="2">
        <v>46169</v>
      </c>
      <c r="B143" s="1" t="str">
        <f ca="1">IF(Información1[[#This Row],[Fecha]]='Ajuste de fechas'!$A$2,"Día actual","Día anterior")</f>
        <v>Día actual</v>
      </c>
      <c r="C143" s="3" t="s">
        <v>32</v>
      </c>
      <c r="D143" t="s">
        <v>33</v>
      </c>
      <c r="E143" s="3" t="s">
        <v>276</v>
      </c>
      <c r="F143" s="3" t="s">
        <v>119</v>
      </c>
      <c r="G143" s="3" t="s">
        <v>120</v>
      </c>
      <c r="H143" s="3" t="s">
        <v>11</v>
      </c>
      <c r="I143" s="3" t="s">
        <v>7</v>
      </c>
      <c r="J143" s="3" t="s">
        <v>43</v>
      </c>
      <c r="K143" s="3" t="s">
        <v>27</v>
      </c>
      <c r="L143" s="3" t="s">
        <v>46</v>
      </c>
      <c r="M143">
        <v>1</v>
      </c>
    </row>
    <row r="144" spans="1:13" x14ac:dyDescent="0.25">
      <c r="A144" s="2">
        <v>46169</v>
      </c>
      <c r="B144" s="1" t="str">
        <f ca="1">IF(Información1[[#This Row],[Fecha]]='Ajuste de fechas'!$A$2,"Día actual","Día anterior")</f>
        <v>Día actual</v>
      </c>
      <c r="C144" s="3" t="s">
        <v>32</v>
      </c>
      <c r="D144" t="s">
        <v>33</v>
      </c>
      <c r="E144" s="3" t="s">
        <v>277</v>
      </c>
      <c r="F144" s="3" t="s">
        <v>26</v>
      </c>
      <c r="G144" s="3" t="s">
        <v>63</v>
      </c>
      <c r="H144" s="3" t="s">
        <v>11</v>
      </c>
      <c r="I144" s="3" t="s">
        <v>7</v>
      </c>
      <c r="J144" s="3" t="s">
        <v>43</v>
      </c>
      <c r="K144" s="3" t="s">
        <v>27</v>
      </c>
      <c r="L144" s="3" t="s">
        <v>46</v>
      </c>
      <c r="M144">
        <v>1</v>
      </c>
    </row>
    <row r="145" spans="1:13" x14ac:dyDescent="0.25">
      <c r="A145" s="2">
        <v>46169</v>
      </c>
      <c r="B145" s="1" t="str">
        <f ca="1">IF(Información1[[#This Row],[Fecha]]='Ajuste de fechas'!$A$2,"Día actual","Día anterior")</f>
        <v>Día actual</v>
      </c>
      <c r="C145" s="3" t="s">
        <v>55</v>
      </c>
      <c r="D145" t="s">
        <v>60</v>
      </c>
      <c r="E145" s="3" t="s">
        <v>278</v>
      </c>
      <c r="F145" s="3" t="s">
        <v>22</v>
      </c>
      <c r="G145" s="3" t="s">
        <v>213</v>
      </c>
      <c r="H145" s="3" t="s">
        <v>11</v>
      </c>
      <c r="I145" s="3" t="s">
        <v>7</v>
      </c>
      <c r="J145" s="3" t="s">
        <v>48</v>
      </c>
      <c r="K145" s="3" t="s">
        <v>54</v>
      </c>
      <c r="L145" s="3" t="s">
        <v>131</v>
      </c>
      <c r="M145">
        <v>1</v>
      </c>
    </row>
    <row r="146" spans="1:13" x14ac:dyDescent="0.25">
      <c r="A146" s="2">
        <v>46169</v>
      </c>
      <c r="B146" s="1" t="str">
        <f ca="1">IF(Información1[[#This Row],[Fecha]]='Ajuste de fechas'!$A$2,"Día actual","Día anterior")</f>
        <v>Día actual</v>
      </c>
      <c r="C146" s="3" t="s">
        <v>55</v>
      </c>
      <c r="D146" t="s">
        <v>60</v>
      </c>
      <c r="E146" s="3" t="s">
        <v>279</v>
      </c>
      <c r="F146" s="3" t="s">
        <v>22</v>
      </c>
      <c r="G146" s="3" t="s">
        <v>183</v>
      </c>
      <c r="H146" s="3" t="s">
        <v>11</v>
      </c>
      <c r="I146" s="3" t="s">
        <v>7</v>
      </c>
      <c r="J146" s="3" t="s">
        <v>48</v>
      </c>
      <c r="K146" s="3" t="s">
        <v>56</v>
      </c>
      <c r="L146" s="3" t="s">
        <v>44</v>
      </c>
      <c r="M146">
        <v>1</v>
      </c>
    </row>
    <row r="147" spans="1:13" x14ac:dyDescent="0.25">
      <c r="A147" s="2">
        <v>46169</v>
      </c>
      <c r="B147" s="1" t="str">
        <f ca="1">IF(Información1[[#This Row],[Fecha]]='Ajuste de fechas'!$A$2,"Día actual","Día anterior")</f>
        <v>Día actual</v>
      </c>
      <c r="C147" s="3" t="s">
        <v>55</v>
      </c>
      <c r="D147" t="s">
        <v>60</v>
      </c>
      <c r="E147" s="3" t="s">
        <v>280</v>
      </c>
      <c r="F147" s="3" t="s">
        <v>22</v>
      </c>
      <c r="G147" s="3" t="s">
        <v>176</v>
      </c>
      <c r="H147" s="3" t="s">
        <v>11</v>
      </c>
      <c r="I147" s="3" t="s">
        <v>25</v>
      </c>
      <c r="J147" s="3" t="s">
        <v>48</v>
      </c>
      <c r="K147" s="3" t="s">
        <v>56</v>
      </c>
      <c r="L147" s="3" t="s">
        <v>44</v>
      </c>
      <c r="M147">
        <v>1</v>
      </c>
    </row>
    <row r="148" spans="1:13" x14ac:dyDescent="0.25">
      <c r="A148" s="2">
        <v>46169</v>
      </c>
      <c r="B148" s="1" t="str">
        <f ca="1">IF(Información1[[#This Row],[Fecha]]='Ajuste de fechas'!$A$2,"Día actual","Día anterior")</f>
        <v>Día actual</v>
      </c>
      <c r="C148" s="3" t="s">
        <v>55</v>
      </c>
      <c r="D148" t="s">
        <v>60</v>
      </c>
      <c r="E148" s="3" t="s">
        <v>281</v>
      </c>
      <c r="F148" s="3" t="s">
        <v>19</v>
      </c>
      <c r="G148" s="3" t="s">
        <v>282</v>
      </c>
      <c r="H148" s="3" t="s">
        <v>11</v>
      </c>
      <c r="I148" s="3" t="s">
        <v>7</v>
      </c>
      <c r="J148" s="3" t="s">
        <v>47</v>
      </c>
      <c r="K148" s="3" t="s">
        <v>54</v>
      </c>
      <c r="L148" s="3" t="s">
        <v>44</v>
      </c>
      <c r="M148">
        <v>1</v>
      </c>
    </row>
    <row r="149" spans="1:13" x14ac:dyDescent="0.25">
      <c r="A149" s="2">
        <v>46169</v>
      </c>
      <c r="B149" s="1" t="str">
        <f ca="1">IF(Información1[[#This Row],[Fecha]]='Ajuste de fechas'!$A$2,"Día actual","Día anterior")</f>
        <v>Día actual</v>
      </c>
      <c r="C149" s="3" t="s">
        <v>55</v>
      </c>
      <c r="D149" t="s">
        <v>60</v>
      </c>
      <c r="E149" s="3" t="s">
        <v>283</v>
      </c>
      <c r="F149" s="3" t="s">
        <v>17</v>
      </c>
      <c r="G149" s="3" t="s">
        <v>64</v>
      </c>
      <c r="H149" s="3" t="s">
        <v>11</v>
      </c>
      <c r="I149" s="3" t="s">
        <v>25</v>
      </c>
      <c r="J149" s="3" t="s">
        <v>43</v>
      </c>
      <c r="K149" s="3" t="s">
        <v>9</v>
      </c>
      <c r="L149" s="3" t="s">
        <v>45</v>
      </c>
      <c r="M149">
        <v>1</v>
      </c>
    </row>
    <row r="150" spans="1:13" x14ac:dyDescent="0.25">
      <c r="A150" s="2">
        <v>46169</v>
      </c>
      <c r="B150" s="1" t="str">
        <f ca="1">IF(Información1[[#This Row],[Fecha]]='Ajuste de fechas'!$A$2,"Día actual","Día anterior")</f>
        <v>Día actual</v>
      </c>
      <c r="C150" s="3" t="s">
        <v>55</v>
      </c>
      <c r="D150" t="s">
        <v>60</v>
      </c>
      <c r="E150" s="3" t="s">
        <v>284</v>
      </c>
      <c r="F150" s="3" t="s">
        <v>21</v>
      </c>
      <c r="G150" s="3" t="s">
        <v>285</v>
      </c>
      <c r="H150" s="3" t="s">
        <v>11</v>
      </c>
      <c r="I150" s="3" t="s">
        <v>25</v>
      </c>
      <c r="J150" s="3" t="s">
        <v>43</v>
      </c>
      <c r="K150" s="3" t="s">
        <v>9</v>
      </c>
      <c r="L150" s="3" t="s">
        <v>45</v>
      </c>
      <c r="M150">
        <v>1</v>
      </c>
    </row>
    <row r="151" spans="1:13" x14ac:dyDescent="0.25">
      <c r="A151" s="2">
        <v>46169</v>
      </c>
      <c r="B151" s="1" t="str">
        <f ca="1">IF(Información1[[#This Row],[Fecha]]='Ajuste de fechas'!$A$2,"Día actual","Día anterior")</f>
        <v>Día actual</v>
      </c>
      <c r="C151" s="3" t="s">
        <v>55</v>
      </c>
      <c r="D151" t="s">
        <v>60</v>
      </c>
      <c r="E151" s="3" t="s">
        <v>286</v>
      </c>
      <c r="F151" s="3" t="s">
        <v>21</v>
      </c>
      <c r="G151" s="3" t="s">
        <v>285</v>
      </c>
      <c r="H151" s="3" t="s">
        <v>11</v>
      </c>
      <c r="I151" s="3" t="s">
        <v>7</v>
      </c>
      <c r="J151" s="3" t="s">
        <v>43</v>
      </c>
      <c r="K151" s="3" t="s">
        <v>56</v>
      </c>
      <c r="L151" s="3" t="s">
        <v>44</v>
      </c>
      <c r="M151">
        <v>1</v>
      </c>
    </row>
    <row r="152" spans="1:13" x14ac:dyDescent="0.25">
      <c r="A152" s="2">
        <v>46169</v>
      </c>
      <c r="B152" s="1" t="str">
        <f ca="1">IF(Información1[[#This Row],[Fecha]]='Ajuste de fechas'!$A$2,"Día actual","Día anterior")</f>
        <v>Día actual</v>
      </c>
      <c r="C152" s="3" t="s">
        <v>55</v>
      </c>
      <c r="D152" t="s">
        <v>60</v>
      </c>
      <c r="E152" s="3" t="s">
        <v>268</v>
      </c>
      <c r="F152" s="3" t="s">
        <v>67</v>
      </c>
      <c r="G152" s="3" t="s">
        <v>269</v>
      </c>
      <c r="H152" s="3" t="s">
        <v>11</v>
      </c>
      <c r="I152" s="3" t="s">
        <v>7</v>
      </c>
      <c r="J152" s="3" t="s">
        <v>43</v>
      </c>
      <c r="K152" s="3" t="s">
        <v>54</v>
      </c>
      <c r="L152" s="3" t="s">
        <v>46</v>
      </c>
      <c r="M152">
        <v>1</v>
      </c>
    </row>
    <row r="153" spans="1:13" x14ac:dyDescent="0.25">
      <c r="A153" s="2">
        <v>46169</v>
      </c>
      <c r="B153" s="1" t="str">
        <f ca="1">IF(Información1[[#This Row],[Fecha]]='Ajuste de fechas'!$A$2,"Día actual","Día anterior")</f>
        <v>Día actual</v>
      </c>
      <c r="C153" s="3" t="s">
        <v>55</v>
      </c>
      <c r="D153" t="s">
        <v>60</v>
      </c>
      <c r="E153" s="3" t="s">
        <v>287</v>
      </c>
      <c r="F153" s="3" t="s">
        <v>17</v>
      </c>
      <c r="G153" s="3" t="s">
        <v>74</v>
      </c>
      <c r="H153" s="3" t="s">
        <v>11</v>
      </c>
      <c r="I153" s="3" t="s">
        <v>7</v>
      </c>
      <c r="J153" s="3" t="s">
        <v>43</v>
      </c>
      <c r="K153" s="3" t="s">
        <v>54</v>
      </c>
      <c r="L153" s="3" t="s">
        <v>46</v>
      </c>
      <c r="M153">
        <v>1</v>
      </c>
    </row>
    <row r="154" spans="1:13" x14ac:dyDescent="0.25">
      <c r="A154" s="2">
        <v>46169</v>
      </c>
      <c r="B154" s="1" t="str">
        <f ca="1">IF(Información1[[#This Row],[Fecha]]='Ajuste de fechas'!$A$2,"Día actual","Día anterior")</f>
        <v>Día actual</v>
      </c>
      <c r="C154" s="3" t="s">
        <v>55</v>
      </c>
      <c r="D154" t="s">
        <v>60</v>
      </c>
      <c r="E154" s="3" t="s">
        <v>288</v>
      </c>
      <c r="F154" s="3" t="s">
        <v>6</v>
      </c>
      <c r="G154" s="3" t="s">
        <v>289</v>
      </c>
      <c r="H154" s="3" t="s">
        <v>11</v>
      </c>
      <c r="I154" s="3" t="s">
        <v>7</v>
      </c>
      <c r="J154" s="3" t="s">
        <v>43</v>
      </c>
      <c r="K154" s="3" t="s">
        <v>54</v>
      </c>
      <c r="L154" s="3" t="s">
        <v>46</v>
      </c>
      <c r="M154">
        <v>1</v>
      </c>
    </row>
    <row r="155" spans="1:13" x14ac:dyDescent="0.25">
      <c r="A155" s="2">
        <v>46169</v>
      </c>
      <c r="B155" s="1" t="str">
        <f ca="1">IF(Información1[[#This Row],[Fecha]]='Ajuste de fechas'!$A$2,"Día actual","Día anterior")</f>
        <v>Día actual</v>
      </c>
      <c r="C155" s="3" t="s">
        <v>55</v>
      </c>
      <c r="D155" t="s">
        <v>60</v>
      </c>
      <c r="E155" s="3" t="s">
        <v>267</v>
      </c>
      <c r="F155" s="3" t="s">
        <v>182</v>
      </c>
      <c r="G155" s="3" t="s">
        <v>213</v>
      </c>
      <c r="H155" s="3" t="s">
        <v>11</v>
      </c>
      <c r="I155" s="3" t="s">
        <v>7</v>
      </c>
      <c r="J155" s="3" t="s">
        <v>43</v>
      </c>
      <c r="K155" s="3" t="s">
        <v>54</v>
      </c>
      <c r="L155" s="3" t="s">
        <v>46</v>
      </c>
      <c r="M155">
        <v>1</v>
      </c>
    </row>
    <row r="156" spans="1:13" x14ac:dyDescent="0.25">
      <c r="A156" s="2">
        <v>46169</v>
      </c>
      <c r="B156" s="1" t="str">
        <f ca="1">IF(Información1[[#This Row],[Fecha]]='Ajuste de fechas'!$A$2,"Día actual","Día anterior")</f>
        <v>Día actual</v>
      </c>
      <c r="C156" s="3" t="s">
        <v>55</v>
      </c>
      <c r="D156" t="s">
        <v>60</v>
      </c>
      <c r="E156" s="3" t="s">
        <v>276</v>
      </c>
      <c r="F156" s="3" t="s">
        <v>119</v>
      </c>
      <c r="G156" s="3" t="s">
        <v>120</v>
      </c>
      <c r="H156" s="3" t="s">
        <v>11</v>
      </c>
      <c r="I156" s="3" t="s">
        <v>7</v>
      </c>
      <c r="J156" s="3" t="s">
        <v>43</v>
      </c>
      <c r="K156" s="3" t="s">
        <v>54</v>
      </c>
      <c r="L156" s="3" t="s">
        <v>46</v>
      </c>
      <c r="M156">
        <v>1</v>
      </c>
    </row>
    <row r="157" spans="1:13" x14ac:dyDescent="0.25">
      <c r="A157" s="2">
        <v>46169</v>
      </c>
      <c r="B157" s="1" t="str">
        <f ca="1">IF(Información1[[#This Row],[Fecha]]='Ajuste de fechas'!$A$2,"Día actual","Día anterior")</f>
        <v>Día actual</v>
      </c>
      <c r="C157" s="3" t="s">
        <v>55</v>
      </c>
      <c r="D157" t="s">
        <v>60</v>
      </c>
      <c r="E157" s="3" t="s">
        <v>228</v>
      </c>
      <c r="F157" s="3" t="s">
        <v>26</v>
      </c>
      <c r="G157" s="3" t="s">
        <v>63</v>
      </c>
      <c r="H157" s="3" t="s">
        <v>11</v>
      </c>
      <c r="I157" s="3" t="s">
        <v>7</v>
      </c>
      <c r="J157" s="3" t="s">
        <v>43</v>
      </c>
      <c r="K157" s="3" t="s">
        <v>54</v>
      </c>
      <c r="L157" s="3" t="s">
        <v>46</v>
      </c>
      <c r="M15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50</v>
      </c>
      <c r="B1" t="s">
        <v>51</v>
      </c>
    </row>
    <row r="2" spans="1:2" x14ac:dyDescent="0.25">
      <c r="A2" s="2">
        <f ca="1">TODAY()</f>
        <v>46169</v>
      </c>
      <c r="B2" s="2">
        <f ca="1">A2-1</f>
        <v>46168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2026-05-28T00:50:17Z</dcterms:modified>
</cp:coreProperties>
</file>