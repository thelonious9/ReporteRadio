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6B1AFA93-5A56-433B-B048-39295A5CD7B4}"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<sst xmlns="http://schemas.openxmlformats.org/spreadsheetml/2006/main" count="1495" uniqueCount="290">
  <si>
    <t>Fecha</t>
  </si>
  <si>
    <t>Titular</t>
  </si>
  <si>
    <t>Dependencia</t>
  </si>
  <si>
    <t>Canal</t>
  </si>
  <si>
    <t>Tema</t>
  </si>
  <si>
    <t>Estatus</t>
  </si>
  <si>
    <t>Sipdus</t>
  </si>
  <si>
    <t>Informativa</t>
  </si>
  <si>
    <t>Acir 92.5 FM</t>
  </si>
  <si>
    <t>Radioescucha</t>
  </si>
  <si>
    <t>Panorama Informativo Pachuca</t>
  </si>
  <si>
    <t>Radio local</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</si>
  <si>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</si>
  <si>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</si>
  <si>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</si>
  <si>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</si>
  <si>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</si>
  <si>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</si>
  <si>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</si>
  <si>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</si>
  <si>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</si>
  <si>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</si>
  <si>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</si>
  <si>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</si>
  <si>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</si>
  <si>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</si>
  <si>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</si>
  <si>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</si>
  <si>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</si>
  <si>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</si>
  <si>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</si>
  <si>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</si>
  <si>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</si>
  <si>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</si>
  <si>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</si>
  <si>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</si>
  <si>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</si>
  <si>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</si>
  <si>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</si>
  <si>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</si>
  <si>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</si>
  <si>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</si>
  <si>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</si>
  <si>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</si>
  <si>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</si>
  <si>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</si>
  <si>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Eulalio Larrieta agradece Paola García y Lic. Sarahi Pineda, por estar atentas a los mensajes de la ciudadanía y por atenderlos.</t>
  </si>
  <si>
    <t>Congreso</t>
  </si>
  <si>
    <t>TV local</t>
  </si>
  <si>
    <t>La Poderosa Tuxpan 93.1 FM</t>
  </si>
  <si>
    <t>NN Nuestras Noticias Zona Norte</t>
  </si>
  <si>
    <t>Entrevista</t>
  </si>
  <si>
    <t>Enfoque Regional Matutino</t>
  </si>
  <si>
    <t>Rodolfo López</t>
  </si>
  <si>
    <t>Radio Lobo 96.7 FM</t>
  </si>
  <si>
    <t>Turismo</t>
  </si>
  <si>
    <t>Enlace Noticias</t>
  </si>
  <si>
    <t>Eulalio Larrieta agradece a Carlos Gamiño por estar al pendiente de temas.</t>
  </si>
  <si>
    <t>Bienestar</t>
  </si>
  <si>
    <t>DIFH</t>
  </si>
  <si>
    <t>PGJEH</t>
  </si>
  <si>
    <t>Aldo Falcón</t>
  </si>
  <si>
    <t>Gina Lorenzo</t>
  </si>
  <si>
    <t>Ultra 102.9 FM</t>
  </si>
  <si>
    <t>Ultra Noticias1</t>
  </si>
  <si>
    <t>Combate a la delincuencia</t>
  </si>
  <si>
    <t>Izza Hernández</t>
  </si>
  <si>
    <t>Jessenia Romero</t>
  </si>
  <si>
    <t>Abner Yáñez</t>
  </si>
  <si>
    <t>Vía telefónica el reporte de Bombero y Protección Civil con Abner Yáñez informa de las diversas emergencias reportadas por la ciudadanía y que fueron atendidas.</t>
  </si>
  <si>
    <t>Auxilio a la ciudadanía</t>
  </si>
  <si>
    <t>Participación</t>
  </si>
  <si>
    <t>Localización de persona</t>
  </si>
  <si>
    <t>Combate Al Narcomenudeo</t>
  </si>
  <si>
    <t>Combate Al Huachicol</t>
  </si>
  <si>
    <t>Consejo Técnico</t>
  </si>
  <si>
    <t>Rutas de la Reconstrucción</t>
  </si>
  <si>
    <t>Gobierno</t>
  </si>
  <si>
    <t>Detención</t>
  </si>
  <si>
    <t>Fuga de hidrocarburo</t>
  </si>
  <si>
    <t>Cultura</t>
  </si>
  <si>
    <t>Zanjas Caasim</t>
  </si>
  <si>
    <t>Testamento</t>
  </si>
  <si>
    <t>Liz Argüelles</t>
  </si>
  <si>
    <t>IMSS Bienestar</t>
  </si>
  <si>
    <t>Fuga De Agua</t>
  </si>
  <si>
    <t>Fallas CFE</t>
  </si>
  <si>
    <t>Concierto Sinfónico</t>
  </si>
  <si>
    <t>Eulalio Larrieta agradece a Edith Balderas de la Secretaria de Educación Pública.</t>
  </si>
  <si>
    <t>Saderh</t>
  </si>
  <si>
    <t>Crimen Organizado</t>
  </si>
  <si>
    <t>Iza Hernández</t>
  </si>
  <si>
    <t>Reforestación</t>
  </si>
  <si>
    <t>ZMVM</t>
  </si>
  <si>
    <t>Milton Cortés</t>
  </si>
  <si>
    <t>Informe Legislativo</t>
  </si>
  <si>
    <t>Justicia Por Propia Mano</t>
  </si>
  <si>
    <t>Entrega de instalaciones</t>
  </si>
  <si>
    <t>Enfoque Regional Meridiano</t>
  </si>
  <si>
    <t>El gobernador Julio Menchaca Salazar se pronunció sobre la estrategia de seguridad que su gobierno mantiene en coordinación con las autoridades federales para el combate al robo de hidrocarburo en la entidad</t>
  </si>
  <si>
    <t>HUACHICOL</t>
  </si>
  <si>
    <t>Jesús González</t>
  </si>
  <si>
    <t>escuche esta información, pese a la captura de 20 personas presuntamente vinculadas al cártel Jalisco Nueva Generación en operativos realizados en Hidalgo, Jalisco y Michoacán, el secretario de Seguridad Pública del Estado, Salvador Cruzneri, evitó confirmar que ese grupo delictivo mantenga presencia establecida en la entidad.</t>
  </si>
  <si>
    <t>Muerte en Cereso</t>
  </si>
  <si>
    <t>La comunidad de Tlamaco, ayer de verdad que vivió una situación muy compleja, de verdad que estábamos checando todo lo que estaba sucediendo, porque ahí en Tlamaco, en el municipio de Atitalaquia, se registró la noche de ayer un nuevo ataque con arma de fuego contra una vivienda</t>
  </si>
  <si>
    <t>Ataque Armado</t>
  </si>
  <si>
    <t>Vamos a la información porque un operativo de vigilancia realizado el 25 de agosto en el municipio de Huichapan, derivó en la detención de seis personas y el aseguramiento de ocho armas de fuego, seis largas y dos cortas, además de dos vehículos, cargadores, cartuchos de diversos calibres y equipo táctico, la acción fue realizada por elementos de la Guardia Nacional y el Ejército Mexicano en coordinación con la Armada, la Secretaría de Seguridad y Protección Ciudadana, la Secretaría de Seguridad Pública de Hidalgo y la Fiscalía General de la República durante patrullajes de vigilancia y reconocimiento terrestre, los detenidos y lo asegurado fueron puestos a disposición de la Fiscalía General de la República en Pachuca, instancia que continuará con las diligencias correspondientes.</t>
  </si>
  <si>
    <t>También señaló que el 94% de los policías de Hidalgo están certificados. En otros cuestionamientos con este encuentro con medios de comunicación, Cruz Neri habló sobre las condiciones de las personas privadas de su libertad en los penales de Hidalgo, al ser cuestionado de las seis muertes dentro de los Cerezos durante la administración estatal.Finalmente e habló sobre los operativos y estrategias para desmantelar narcotienditas.</t>
  </si>
  <si>
    <t>Muerte interno</t>
  </si>
  <si>
    <t>Concluye con éxito el Curso Hidalgo de Envejecimiento Saludable en Tlaxcoapan</t>
  </si>
  <si>
    <t>Envejecimiento saludable</t>
  </si>
  <si>
    <t>Julio Menchaca inaugura Cuartel de la Policía Estatal Cubitos</t>
  </si>
  <si>
    <t>UNFPA-IHM coordinan “Diálogo Intersectorial” para atención de las violencias, en la región de Molango</t>
  </si>
  <si>
    <t>Segobh</t>
  </si>
  <si>
    <t>Cooperación UNFPA</t>
  </si>
  <si>
    <t>Vámonos a las regiones y comenzamos en la región Tezontepec y es que ayer personas armadas dispararon contra una vivienda durante la noche del miércoles en la comunidad de Tlamaca, municipio de Atitalaquia. Tras la agresión, una menor de edad presentó una crisis nerviosa. No se reportaron personas lesionadas por los disparos. Hasta el momento no hay detenidos por estos hechos. Las autoridades realizan las investigaciones para esclarecer el ataque y localizar a los responsables.</t>
  </si>
  <si>
    <t>En otros temas, el sistema DIFH entregó 32 proyectos productivos a personas con discapacidad, con una inversión cercana a los 2 millones de pesos para impulsar su inclusión laboral y generar ingresos para sus familias.</t>
  </si>
  <si>
    <t>Emprendimiento inclusivo</t>
  </si>
  <si>
    <t>En las últimas semanas ya se empieza a mover ahí la tómbola y es que muchos actores y actrices políticas, políticos, ya están levantando la mano. Se hablan de reelecciones, están en ayuntamientos, se habla de quién podía ir a la federal, quién podía ir a la diputación estatal, quién va a reelegirse en los ayuntamientos, pero ¿qué cree? Hasta el momento no hay nada claro. Ya el próximo mes inicia el proceso electoral de manera formal para renovar ayuntamientos, diputaciones estatales, federales y ya algunos están, que se le queman las manos, pero hasta el momento todavía no hay nada claro, no hay nada escrito. La reforma electoral de Hidalgo continúa en análisis y hasta el momento no presenta cambios respecto a lo propuesto originalmente, así lo informó la diputada Lisbeth Ordaz Islas. El proyecto mantiene la asignación de ayuntamientos por orden alfabético de la A a la M para candidatura de mujer y de la N a la Z de género indistinto. La legisladora aseguró que el Congreso se encuentra dentro del plazo legal, ya que la reforma deberá ser aprobada y publicada antes del 15 de septiembre para aplicarse en el próximo proceso electoral.En ese sentido, pues la iniciativa siempre va a estar en pro del apoyo de la paridad de género, es lo que se ha estado trabajando, no es un tema menor, ya es un derecho constitucional, la igualdad sustantiva, entonces pues bueno, se llegó a la determinación que se pudiera hacer efectivamente en estos dos bloques para darle claridad, para darle certeza, como lo habían estado solicitando los partidos políticos, entonces en ese sentido efectivamente están los dos bloques de la A a la M, son los primeros 42 que va para mujeres exclusivamente y los siguientes 42 son de, el nombre que pusimos fue de asignación libre, va a depender de cada uno de los partidos, de los partidos políticos.Así que tranquilos, aguanten las ganas, espérense tantito, respeten los tiempos electorales y nos vamos calmados hacia el proceso electoral 2027.</t>
  </si>
  <si>
    <t>Reforma Electoral</t>
  </si>
  <si>
    <t>El director del Centro de Integración Juvenil Pachuca, Cristian Ahued Hernández, informó que en los últimos cinco años se ha incrementado el uso de metanfetamina y cristal en los jóvenes.El problema de las adicciones está generando preocupación en todos los niveles, por supuesto a nivel mundial, a nivel nacional y a nivel local. Te puedo decir que en los últimos cinco años aquí en Pachuca estamos nosotros observando que la droga metanfetamina cristal es la que ha aumentado más. Prácticamente siete de cada diez pacientes que llegan a CIJ Pachuca llegan por el tema de cristal. Entonces ha tenido un gran aumento.Hable con sus hijos, mantenga comunicación constante con ellos, pregúntele qué es lo que sucede en sus escuelas, en los entornos donde ellos se desarrollan, tenga la confianza de hablar sobre drogas, sobre esta situación de adicciones, de abusos y también acérquese con especialistas. Si no tiene claro cómo abordar el tema con sus hijos, pues puede acercarse a estos centros de atención de adicciones con jóvenes, puede conocer historias de jóvenes que han sufrido pues esta situación y que puedan compartirle algo a sus hijos para que no caigan en las manos, en las garras de las adicciones.</t>
  </si>
  <si>
    <t>Consumo De Drogas</t>
  </si>
  <si>
    <t>En otros temas, la Secretaría de Educación Pública de Hidalgo reforzó la planeación académica para el ciclo escolar 2026-2027 durante la fase intensiva del Consejo Técnico Escolar.</t>
  </si>
  <si>
    <t>El secretario de Seguridad Pública habló desconoce detalles de los detenidos en un operativo contra el cártel Jalisco en Hidalgo, que informó en su momento García Harfuch. Salvador Cruz Neri señaló que las autoridades federales mantienen bajo reserva la información sobre los cateos y las 20 personas aprendidas.</t>
  </si>
  <si>
    <t>Tras ser reportado como desaparecido desde abril de 2025 en el estado de Hidalgo, un menor de 17 años de edad fue localizado anoche en el área del Mesón Estrella en Monterrey. Los hechos se registraron alrededor de las 22.10 horas en el cruce de las calles Colegio Civil y Aranberry, en la zona centro. En ese punto, oficiales de la Policía Municipal realizaban un patrullaje de rutina cuando observaron a un joven caminando solo por la vía pública, por lo que decidieron acercarse para verificar su situación. Al entrevistarlo, el menor se identificó como Ángel, de 17 años, y señaló ser originario de Tulancingo en el estado de Hidalgo. El adolescente relató que salió de su domicilio el 5 de abril de 2025 después de informar a su madre que acudiría a trabajar y regresaría más tarde. Sin embargo, ya no volvió a su hogar y comenzó a desplazarse por diversos estados del país junto a los propietarios de una feria itinerante. Según su testimonio, el joven permaneció viajando con dicho grupo durante varios meses hasta llegar al estado de Coahuila. Posteriormente, se separó de ellos en Saltillo y decidió trasladarse a Monterrey, donde permaneció aproximadamente un mes realizando trabajos ocasionales. Después de obtener sus datos, los oficiales solicitaron apoyo al personal de la central de radio del C4, quienes confirmaron que el menor contaba con un reporte de búsqueda activo emitido en Hidalgo desde el 7 de abril de 2025. Luego de practicarle una valoración médica para verificar su estado de salud, las autoridades dieron aviso y continuaron con los protocolos correspondientes y así coordinar su posible reencuentro con sus familiares en Hidalgo.</t>
  </si>
  <si>
    <t>Hidalgo no implementará durante este ciclo escolar el nuevo esquema denominado Mi Escuela, Mi Lugar</t>
  </si>
  <si>
    <t>Mi Escuela Mi Lugar</t>
  </si>
  <si>
    <t>En otra información, al menos 15 personas fueron desalojadas durante la madrugada de ayer miércoles en Xoloxtitla, Epazoyucan, luego de detectarse una fuga de hidrocarburo en la calle Morelos</t>
  </si>
  <si>
    <t>Un operativo interinstitucional dejó seis hombres detenidos en el municipio de Tecozautla además del aseguramiento de nueve armas de fuego y dos vehículos con reporte de robo.</t>
  </si>
  <si>
    <t>Cinco hombres fueron detenidos durante dos cateos realizados en igual número de inmuebles presuntamente utilizados como punto de venta de droga en la localidad Primera Ampliación General Felipe Ángeles, municipio de Tolcayuca.</t>
  </si>
  <si>
    <t>Y se acuerda de que el presidente municipal de San Salvador fue retenido por pobladores que estaban molestos por la supuesta falta de obra pública en su comunidad, pues ya sigue este tema y es que ya las siete personas que fueron detenidas ahora ya están vinculadas a proceso por los hechos ocurridos los días 18 y 19 de agosto en la comunidad de La Flor, allá en el municipio de San Salvador, de acuerdo con la Procuraduría de Hidalgo, son investigadas por privación ilegal de la libertad, lesiones, robo y daño en la propiedad.</t>
  </si>
  <si>
    <t>Retención alcalde</t>
  </si>
  <si>
    <t>En Ixmiquilpan, en el valle del Mezquital, un hombre de 38 años fue retenido y golpeado por pobladores de la colonia Media Luna, luego de ser señalado por presuntamente sustraer herramienta de un domicilio.Los hechos ocurrieron la noche del 26 de agosto en la calle Francisco Zarco. De acuerdo con el reporte policial, elementos municipales intentaron resguardar al señalado en una patrulla. Sin embargo, un grupo de personas, harto de las ratas, lo bajó de la unidad y continuó agrediéndolo. Posteriormente, los habitantes lo llevaron caminando hacia el centro de Ixmiquilpan con la intención de exhibirlo públicamente y se negaron a entregarlo a las autoridades. La delegada de la colonia Media Luna se designó de las acciones realizadas por los involucrados. Hasta el momento se desconoce el estado de salud del hombre y sí fue puesto a disposición de las autoridades correspondientes.</t>
  </si>
  <si>
    <t>En otra información el gobernador Julio Menchaca inauguró el cuartel de la policía estatal Cubitos y encabezó la toma de protesta de 116 nuevos elementos quienes recibieron más de mil horas de capacitación.</t>
  </si>
  <si>
    <t>En otro tema después de estar con medios de comunicación el gobernador destacó que ocho municipios de Hidalgo se incorporaron a la zona metropolitana ¿qué beneficios traerá? Por ejemplo Morelos tiene un municipio como tenía Hidalgo y nosotros solamente está Tizayuca.Nuestra propuesta yo creo que va a avanzar porque ya se ha trabajado en este tema en donde todo el impacto del desarrollo del Valle de México está incorporado eso implica desde luego presupuestos federales eso implica un ordenamiento de crecimiento urbano industrial y de servicios y también de transporte</t>
  </si>
  <si>
    <t>El gobernador habló de otro tema habló del relleno sanitario siete mezquites.</t>
  </si>
  <si>
    <t>Relleno Sanitario</t>
  </si>
  <si>
    <t>Vamos de lleno con lo que dijo el gobernador Julio Menchaca Salazar quien reconoció que el robo de hidrocarburo se mantiene en el estado de Hidalgo y es un problema que dijo se va arrastrando desde tiempo atrás</t>
  </si>
  <si>
    <t>Huachicol</t>
  </si>
  <si>
    <t>Radioescucha reporta lamparas fundidas en la Plutarco en avenida 8</t>
  </si>
  <si>
    <t>Luminarias</t>
  </si>
  <si>
    <t>Radioescucha reporta que en la colonia Miguel Hidalgo calle 12 Flores Magón, ya se reportaron varias ocaciones las lamparas y no las vienen arreglar</t>
  </si>
  <si>
    <t>Radioescucha reporta reporta reporta que las unidades del Tuzobús van súper llenas</t>
  </si>
  <si>
    <t>Quejas Tuzobús</t>
  </si>
  <si>
    <t>Radioescucha Dice aquí 7593 Mi reporte es que siempre engañan Caasim y sus pretextos nunca bombean el agua en Valle del Palmar , el recibo nunca falta, siempre llega y el agua nada más, nada y aquí sigue la fuga ,</t>
  </si>
  <si>
    <t>Mala atención</t>
  </si>
  <si>
    <t>Radioescucha reporta que en la carretera que viene a Pachuca, exactamente en puente La Noria, hay una fuga de agua desde hace una semana, ya se arreglo el bache pero sigie la fuga</t>
  </si>
  <si>
    <t>Radioescucha Raul manda audio y reporta que Caasim ya tiene como 3 meses que dejo sus piedras en la calle 12 en La Flores Magón</t>
  </si>
  <si>
    <t>Caasim ya esta arreglando en La Noría</t>
  </si>
  <si>
    <t>Eulalio Larrieta comenta : Ya tenemos respuesta por parte de Cacim, nos comentan que lo de ahí, el señor Fidel de ahí de Santa Julia, que ya fue reparado lo que es el taponamiento del drenaje, ya se hizo toda la supervisión, y que lo del asfalto pues no le compete a Cacim, entonces, porque es a la mitad de la calle, aparentemente, es lo que tenemos de reporte. Y de lo del Palmar, o allá rumbo a esta zona de Palmar, por ahí, por San Charbel, por la iglesia de San Charbel, nos comentan que ya tuvieron contacto con la persona para esta fuga y ver lo de la presión del agua, ¿sí? que van a hacer una supervisión el día de mañana. No, hoy. ¿Hoy ya se hizo? No, ah, bueno, se va a hacer la supervisión. Ya se van a poner de acuerdo con ello para... O ya se están poniendo de acuerdo porque ya nos dicen que ya tuvieron contacto con ella. Entonces, para ponerse de acuerdo bien, ¿para cuándo va a ser la supervisión? ¿De acuerdo? Bueno.</t>
  </si>
  <si>
    <t>A 11 años de ser atacada con ácido en pachuca a Leslie Moreno, sigue pidiendo justicia. Vaya, vaya. A ver si las autoridades hacen algo al respecto y la puedan apoyar.</t>
  </si>
  <si>
    <t>Leslie</t>
  </si>
  <si>
    <t>Radioescucha pregunta ¿ Una pregunta, ¿qué día es el homenaje de José José? No escuché, perdón, no, este, lo repito, ayer, ya aquí vamos a checarlo, de la Orquesta Sinfónica del Estado de Hidalgo.</t>
  </si>
  <si>
    <t>El Instituto Mexicano del Seguro Social (IMSS) en Hidalgo exhorta a la población a adoptar medidas preventivas contra el dengue, enfermedad característica de la temporada de lluvias y altas temperaturas.El dengue es causado por un virus transmitido exclusivamente, a través de la picadura del mosquito portador, sin posibilidad de contagio directo entre personas, los síntomas frecuentes son: fiebre, dolor de huesos, cefalea intensa, especialmente en la frente, dolor ocular, erupciones cutáneas, náuseas y vómito, insomnio, comezón intensa, falta de apetito y dolor abdominal.La epidemióloga de la Unidad de Medicina Familiar (UMF) No. 34 en Tulancingo, doctora Saraí Ruiz Lara, subrayó la importancia de mantener la higiene en tinacos, cisternas, floreros, llantas y objetos en desuso que acumulen agua, ya que estos constituyen criaderos del mosquito transmisor.</t>
  </si>
  <si>
    <t>Dengue</t>
  </si>
  <si>
    <t>Hidalgo será sede del 10*. Coloquio Internacional de Historia y Costubres Funerarias</t>
  </si>
  <si>
    <t>Conservación del Patrimonio Cultural</t>
  </si>
  <si>
    <t>Julio Menchaca inagura Cuartel de la Policía Estatal Cubitos</t>
  </si>
  <si>
    <t>SSPH detienen a cinco presuntos involucradps en distribución de droga en Tolcayuca</t>
  </si>
  <si>
    <t>Base de Operaciones Interinstitucionales (BOI), asegura a grupo generador de violencia en Tecozautla</t>
  </si>
  <si>
    <t>Como parte de las investigaciones realizadas en atención a una denuncia remitida a la Fiscalía General de la República en Hidalgo por parte de la apoderada legal de Petróleos Mexicanos, elementos de la Policía Federal Ministerial ejecutaron una orden de cateo y aseguraron aproximadamente 173.800 litros de una sustancia líquida con características propias de un petrolífero y dos mangueras. La Fiscalía Especializada de Control Regional en el Estado tuvo conocimiento sobre el probable robo de hidrocarburo en la colonia Exhacienda Rancho Cadena, municipio de Pinerán de la Reforma, por lo que el agente del Ministerio Público de la Federación inició una investigación y obtuvo autorización del juez de control del Centro de Justicia Penal Federal en la entidad para llevar a cabo un cateo en el inmueble señalado. La diligencia fue ejecutada por la Fiscalía Federal en coordinación con elementos de la Policía Federal Ministerial y peritos de la Agencia de Investigación Criminal, quienes aseguraron el combustible a unos 7 metros del inmueble. Localizaron sístomas clandestinas en un ducto de Pemex, tres de las cuales conectaban directamente hacia el predio. Lo asegurado se encuentra a disposición de la Fiscalía Federal en Hidalgo para continuar con las investigaciones correspondientes.</t>
  </si>
  <si>
    <t>Eulalio Larrieta agradece a Jair Martínez de la SEGOBH, porque esta al pendiente de lo que se necesite y los reportes.</t>
  </si>
  <si>
    <t>SEPH consolida la planeación académica para el ciclo escolar 2026-2027</t>
  </si>
  <si>
    <t>En cabina Abigail de la Cruz, titular de la Instancia de las Mujeres; Alexia Merchan, titular de CEAVIF y Dania Méndez, de la Instancia de la Juventud de Tulancingo, informaron que con el objetivo de sensibilizar a la población y fortalecer las acciones de prevención contra la violencia y el comercio con seres humanos, las autoridades municipales de Tulancingo han puesto en marcha la campaña de concientización «Personas no mercancía, Tulancingo unido contra la trata». La iniciativa, impulsada conjuntamente por la Instancia de las Mujeres, el Centro de Atención Acoso Violencia Intrafamiliar (CEAVIF) y la Instancia Municipal de la Juventud de Tulancingo, busca erradicar los tabúes en torno a este delito y llegar directamente a colonias y centros educativos. Del 31 de agosto al 2 de septiembre se pondrán módulos en diferentes puntos de Tulancingo. Como parte del programa, las dependencias ofrecerán capacitaciones dirigidas a docentes, alumnos y padres de familia sobre prevención, ciberseguridad y educación sexual. Aquellas instituciones educativas que completen las formaciones para estos tres sectores recibirán un distintivo de escuela segura. Todos los servicios brindados por el municipio son completamente gratuitos y confidenciales. Quienes requieran asesoría, resguardo o acompañamiento legal y psicológico pueden acudir a las siguientes instancias:</t>
  </si>
  <si>
    <t>Combate a trata de personas</t>
  </si>
  <si>
    <t>En lo que va de la presente administración, 17 ejemplares de fauna silvestre encontrados en la vía pública han sido canalizados al Zoológico de Tulancingo, donde reciben valoración y, de acuerdo con cada caso, son incorporados al recinto faunístico o se determina su destino conforme a los protocolos correspondientes. El caso más reciente ocurrió este martes en la colonia El Paraíso, cuando personal de recolección de residuos localizó entre las bolsas a un cocodrilo Moreletii de aproximadamente dos años de edad, por lo que notificó de inmediato a Bomberos Municipales. Posteriormente, el ejemplar fue trasladado y entregado al Zoológico de Tulancingo para su atención. Maricruz García Beltethon, titular del Zoológico de Tulancingo, explicó que, una vez recibido el reptil, este fue ingresado al área de cuarentena, donde se le realizó una revisión general de peso y estado de salud. Asimismo, se dio parte a la Procuraduría Federal de Protección al Ambiente (PROFEPA), cuyos inspectores realizarán el procedimiento correspondiente y levantarán el acta respectiva. Respecto a su condición, la funcionaria informó que el cocodrilo presenta bajo peso, aunque tiene buenas posibilidades de recuperarse en un periodo breve. Una vez concluida su cuarentena, y dependiendo de su evolución, se determinará su incorporación a un espacio de resguardo adecuado, sumándose a los otros seis reptiles que existen en el recinto. García Beltethon indicó que entre los ejemplares hallados con mayor frecuencia en la vía pública se encuentran las serpientes, aunque no todas permanecen en el zoológico. En el caso de los cencuates, por ejemplo, cuando las condiciones lo permiten, son liberados por los Bomberos Municipales en hábitats idóneos para su especie. También es común el hallazgo de aves, como ocurrió con dos loros tamaulipecos canalizados por personal de Seguridad Pública; otras especies detectadas con frecuencia en la vía pública son lechuzas y tortugas. La titular del zoológico destacó que los nuevos ejemplares integrados durante esta administración tienen distintos orígenes: algunos fueron encontrados en la vía pública, otros corresponden a donaciones ciudadanas y algunos más se recibieron en comodato tras ser decomisados por la PROFEPA, como ocurrió con una guacamaya.</t>
  </si>
  <si>
    <t>Rescate Animal</t>
  </si>
  <si>
    <t>Indagan si grupo detenido en Tecozautla buscaba ingresar a Hidalgo desde otros estados Las autoridades de Hidalgo mantienen abiertas las investigaciones para determinar si los seis hombres capturados recientemente en Tecozautla pertenecen a una organización delictiva con operaciones fuera de la entidad. El secretario de Seguridad Pública estatal, Salvador Cruz Neri, informó que los detenidos fueron ubicados durante los operativos coordinados que se realizan de manera permanente en distintas regiones de Hidalgo. La intervención ocurrió cuando los seis sujetos circulaban a bordo de dos vehículos que contaban con reporte de robo. Tras ser interceptados, las corporaciones localizaron nueve armas de fuego, municiones, chalecos y placas balísticas, además de 120 artefactos metálicos utilizados para dañar neumáticos. El funcionario explicó que una de las hipótesis es que los detenidos provengan de otra entidad y pretendieran trasladar sus actividades hacia Hidalgo, situación que será definida conforme avancen las indagatorias. Cruz Neri señaló que los operativos conjuntos buscan impedir que células u organizaciones delictivas externas logren establecerse en el estado, por lo que continuarán los recorridos y acciones de vigilancia en diferentes municipios.</t>
  </si>
  <si>
    <t>Detienen en Hidalgo a presunto líder del grupo Pueblo Unido, buscado en Tabasco Un presunto líder del grupo delictivo Pueblo Unido, identificado como Jorge Luis N., alias “Koki”, fue detenido en Hidalgo junto con dos personas señaladas como sus operadores, informó el secretario de Seguridad y Protección Ciudadana, Omar García Harfuch. De acuerdo con la información federal, la captura se concretó mediante trabajos de inteligencia del Centro Nacional de Inteligencia y un operativo en el que participaron autoridades federales y del estado de Tabasco. Jorge Luis N. era considerado un objetivo prioritario en Tabasco y contaba con una orden de aprehensión vigente emitida por la Fiscalía General de Justicia de esa entidad. Según las autoridades, “Koki” habría sido operador de Ulises N., conocido como “Pinto” y señalado como dirigente de La Barredora, quien fue detenido en junio de 2025. Posteriormente, Jorge Luis N. presuntamente se separó de dicha organización y habría asumido el liderazgo de Pueblo Unido. Las investigaciones oficiales lo relacionan con hechos violentos como quema de vehículos y ataques contra autoridades, además de posibles actividades de extorsión, secuestro, tráfico de personas y distribución de drogas en la zona centro de Nacajuca. La detención fue realizada mediante un despliegue conjunto de la Secretaría de Seguridad y Protección Ciudadana, Defensa, Marina, Guardia Nacional y autoridades de Tabasco. Los otros dos hombres detenidos durante el operativo fueron identificados como presuntos colaboradores de “Koki”; hasta el momento, las autoridades federales no han revelado sus nombres.</t>
  </si>
  <si>
    <t>repecto a que cerca del 20% de las iniciativas que han llegado a la Comisión de Legislación y Puntos Constitucionales del Congreso de Hidalgo no tienen condiciones para poder continuar su trámite, Izza Hernándes comenta que pues ahí hay tema, o sea, este tema sí deja varias preguntas sobre la mesa y yo, finalmente, ¿no? Porque eh presentar una iniciativa no debería ser solamente cumplir con una actividad legislativa o sumar propuestas a una estrategia, ¿no?, o una estadística. O sea, si cerca de 200 iniciativas no tienen posibilidades de avanzar porque no cumplen con los requisitos básicos, o sea, estamos hablando de los requisitos básicos. Entonces también habría que preguntarse pues qué tan cuidadoso está siendo el trabajo desde el momento en el que se elaboran o nada más es por el requisito. Uno de los principales problemas es la falta de estudio de de impacto presupuestal, por ejemplo, ¿no?, que lo hemos platicado también en diferentes propuestas y en eh muchas otras ocasiones. Pero sí, esto sí es muy importante porque pues muchas propuestas, Jess, pueden sonar positivas en el discurso, o sea, ah, suena súper bien, pero si implican gastos públicos y no se explica de dónde van a salir sus recursos esos recursos, ¿no?, difícilmente pueden convertirse en una ley aplicable, ¿no? Entonces, o sea, a mí me encantaría decir eh que pueda o que pueda hacer tal cosa, pero si no tengo el recurso, pues ¿cómo lo voy a realizar? O sea, se escucha muy bonito, pero no nada más por el requisito de realizar eh dichas propuestas o dichas iniciativas, pues eh vas a hacer cualquier cosa, ¿no?, que ni siquiera cuente con pues las características básicas, Jess. Y ya como punto final, o sea, creo que esto también debe servir para mejorar el trabajo legislativo finalmente, o sea, hm más que presentar muchas iniciativas, lo importante aquí debería ser presentar propuestas bien elaboradas, viables y con posibilidades reales de beneficiar a la ciudadanía, que eso es lo que pedimos como ciudadanos, ¿no? Porque una ley no se mide por el número de veces que se presenta, sino por el impacto que pues de alguna forma y realmente puede tener cuando se aprueba y se aplica. Entonces, o sea, tenemos que mejorar ahí el trabajo legislativo después de estas cifras que le estoy platicando, o sea, más que presentar muchas iniciativas, lo vuelvo a repetir, lo importante debería ser presentar propuestas bien elaboradas, o sea, simplemente. Pero bien, así el tema con el...</t>
  </si>
  <si>
    <t>Productividad legislativa</t>
  </si>
  <si>
    <t>Cerca del 20% de las iniciativas que han llegado a la Comisión de Legislación y Puntos Constitucionales del Congreso de Hidalgo no tienen condiciones para poder continuar su trámite, por lo que permanecen sin dictamen ni resolución. De hecho, la presidenta de la comisión, estamos hablando de Lizbeth Ordaz Islas, informó que durante la actual legislatura ha recibido entre 900 y 1,000 eh propuestas de las cuales alrededor de 200 presentan pues algún tipo de deficiencia, ¿no?, que las vuelven improcedentes o inviables. Entonces, eh uno de los problemas más frecuentes es la falta de un estudio sobre el impacto presupuestal que pues tendrían las modificaciones planteadas, requisito establecido también en el Reglamento de la Ley Orgánica del Poder Legislativo. Y aunque los equipos técnicos pues ya revisaron estas iniciativas y explicaron también a sus eh promoventes las razones precisamente por las que no podrían prosperar, pues la mayoría de los diputados optó por mantenerlas dentro de la agenda legislativa. Pero sí, de acuerdo con Ordaz Islas, solamente el 10%... bueno, las 10 propuestas o 10 propuestas han sido retiradas de manera voluntaria, mientras que las demás van a continuar en el rezago sin pasar pues a una etapa de un estudio o dictaminación, ¿no?, como tal. Pero sí, las iniciativas consideradas inviables pues fueron presentadas por diputados de distintas fuerzas políticas y abarcan también asuntos de salud, trabajo, procedimientos eh y materias también que corresponden al ámbito federal.</t>
  </si>
  <si>
    <t>Deportaciones de hidalguenses aumentan 49.7%, pero autoridades descartan situación alarmante Las deportaciones de hidalguenses desde Estados Unidos aumentaron 49.7 por ciento durante el primer semestre de 2026; sin embargo, autoridades estatales consideran que el comportamiento no representa una situación extraordinaria. De acuerdo con la Unidad de Política Migratoria, entre enero y junio fueron retornados 2 mil 848 hidalguenses, frente a una cifra menor registrada durante el mismo periodo de 2025. Manuel Aranda Montero, director de Atención al Migrante en Hidalgo, explicó que el incremento está relacionado principalmente con detenciones realizadas por el Servicio de Control de Inmigración y Aduanas (ICE) contra personas que ya tenían tiempo de residir en Estados Unidos. El funcionario señaló que, en contraste, disminuyeron las detenciones de migrantes durante los intentos de cruce fronterizo, debido a una menor cantidad de personas que buscan ingresar de manera irregular. Aunque el número de deportaciones aumentó casi 50 por ciento, Aranda Montero destacó que los 2 mil 848 retornos representan menos del 1 por ciento de los aproximadamente 466 mil 199 hidalguenses que viven en Estados Unidos. Ante el panorama migratorio, señaló que existe preocupación entre la comunidad hidalguense por los operativos de ICE, particularmente entre quienes llevan años establecidos en territorio estadounidense.</t>
  </si>
  <si>
    <t>Deportaciones</t>
  </si>
  <si>
    <t>Izza Hernández respecto a la información de que socios de parques acuáticos y balnearios de Ixmiquilpan informaron que en las últimas semanas registraron hasta un 80 por ciento de ocupación, destaca la importancia de Ixmiquilpan en el estado de Hidalgo, especialmente en el ámbito turístico. Menciona que un 80% de ocupación hotelera es un indicativo positivo para la economía local, ya que muchos negocios, como hoteles, restaurantes y comerciantes, dependen del turismo. La mayoría de los visitantes que llegan a Ixmiquilpan provienen de la Ciudad de México y del Estado de México. Hernández también resalta cómo eventos y ferias pueden atraer más turistas, aunque reconoce que factores externos, como lluvias o bloqueos carreteros, pueden afectar el sector. Además, enfatiza que Hidalgo debe ofrecer una oferta turística integral y no solo depender de las temporadas vacacionales. Los balnearios son atractivos principales, pero podrían complementarse con la gastronomía, cultura y otros eventos para atraer visitantes durante todo el año. Jessenia Romero añade que es crucial ofrecer un buen servicio al cliente para incentivar a los visitantes a regresar. Ella señala que Ixmiquilpan ha ganado relevancia como destino turístico en Hidalgo y que un adecuado enfoque en gastronomía y atención puede hacerlo aún más atractivo.</t>
  </si>
  <si>
    <t>Ocupación Hotelera</t>
  </si>
  <si>
    <t>Socios de parques acuáticos y balnearios de Ixmiquilpan informaron que en las últimas semanas registraron hasta un 80 por ciento de ocupación, tendencia que fue propiciada por la feria del municipio. El balance de esta temporada vacacional se dará a conocer en tres semanas, puesto que aún falta contabilizar la actual, en donde se espera todavía la presencia de visitantes, informó el presidente de la Asociación de Balnearios de Hidalgo, José Luis Castro Gómez. Respecto a una baja presencia de turistas, dijo que se puede atribuir al clima, ya que en semanas pasadas se registraron lluvias, además de que algunas familias hicieron gastos por el Mundial de Futbol y también destacó el bloqueo ocurrido en San Salvador que afectó dos carreteras que atraviesan el Valle del Mezquital. Por otra parte, a nivel estatal al corte del 16 de agosto, se registró más de un millón de visitantes en fiestas y ferias, de una proyección de un millón 300 mil turistas en la temporada. Ixmiquilpan, recordemos que es una zona que destaca por sus balnearios, pero también por su actividad gastronómica. Durante Semana Santa, el municipio fue identificado como uno de los principales destinos con potencial de consumo restaurantero en el estado de Hidalgo, con una derrama estimada de 800 mil pesos.</t>
  </si>
  <si>
    <t>Respecto a las declaraciones del gobernador, Julio Menchca sobre la incorporación de siete nuevos municipios de Hidalgo a la Zona Metropolitana del Valle de México (ZMVM), Izza Hernández opina que muchos de nosotros conocemos personas que se mueven mucho por motivos económicos y de movilidad. En el caso de Atotonilco de Tula y otros lugares cercanos, se está considerando su incorporación a un desarrollo económico más amplio. El gobernador apoya esta idea, buscando acceder a programas que mejoren el bienestar de la población. Hay una gran movilidad entre el Estado de Hidalgo y el Valle de México cada día, lo que se ve como una buena noticia. Sin embargo, algunas personas en redes sociales expresan su descontento porque piensan que hay demasiada gente y que se están asemejando al Estado de México y a la Ciudad de México. A pesar de esto, es importante destacar el crecimiento urbano y las oportunidades laborales que pueden surgir. Se espera más información en la publicación del diario oficial.</t>
  </si>
  <si>
    <t>“Ya no somos el patio trasero”: Menchaca destaca incorporación de Hidalgo a la ZMVM El gobernador Julio Menchaca Salazar destacó la incorporación de siete nuevos municipios de Hidalgo a la Zona Metropolitana del Valle de México (ZMVM) y aseguró que el estado dejó de ser considerado como el “patio trasero” de esta región. Tras la actualización oficial de la ZMVM, Hidalgo pasó de tener únicamente a Tizayuca dentro de esta estrategia de planeación a contar con ocho municipios. A Tizayuca se sumaron Atitalaquia, Atotonilco de Tula, Tepeji del Río, Tlaxcoapan, Tolcayuca, Tula de Allende y Villa de Tezontepec. Menchaca Salazar señaló que la incorporación permitirá que la influencia que tiene el Valle de México sobre Hidalgo sea tomada en cuenta dentro de la planeación regional, particularmente en temas de presupuesto federal, crecimiento urbano e industrial, servicios y transporte. “Durante mucho tiempo no se consideraba a Hidalgo, era como el patio trasero del Valle de México y ahora somos un activo muy importante”, afirmó el mandatario, quien destacó el crecimiento económico, industrial y laboral que ha registrado la entidad. El gobernador también adelantó que continuará la gestión para incorporar a más municipios hidalguenses a la zona metropolitana, para lo cual deberán integrarse los expedientes técnicos correspondientes. La nueva delimitación establece una ZMVM integrada por 84 demarcaciones: las 16 alcaldías de la Ciudad de México, 59 municipios del Estado de México, ocho de Hidalgo y Huitzilac, en Morelos. De acuerdo con Menchaca, esta integración representa una oportunidad para generar mejores condiciones de desarrollo y bienestar para la población hidalguense, ante la estrecha relación que mantiene el estado con el Valle de México.</t>
  </si>
  <si>
    <t>Respecto al boletín "Julio Menchaca inaugura Cuartel de la Policía Estatal Cubitos", Jessenia Romero emite la siguiente opinión</t>
  </si>
  <si>
    <t>Tulancingo lleva a cabo una nueva jornada de reforestación en el bulevar Emiliano Zapata, donde se plantan al menos 30 árboles de laurel de la India. La intervención se desarrolla en el tramo comprendido entre el crucero de Huapalcalco y la Central de Autobuses, donde cuadrillas de la Dirección de Medio Ambiente trabajan en espacios con ejemplares secos, dañados o irreparables, además de zonas donde anteriormente se encontraban magueyes. Los nuevos árboles tienen una altura de entre 1.50 y 1.80 metros, con la intención de generar una mayor cobertura vegetal y mejorar la imagen de esta importante vialidad. Autoridades municipales informan que la sustitución de los magueyes se realiza debido a que requieren un manejo especializado para su conservación. En su lugar, se utiliza el laurel de la India por su capacidad de adaptación a las condiciones climáticas de la región, además de su follaje y valor ornamental. Esta jornada forma parte de la estrategia ambiental del municipio, que busca diversificar las especies vegetales en espacios públicos con alrededor de 50 variedades de árboles, arbustos y plantas. De manera paralela, continúan las acciones para combatir la plaga conocida como heno motita, que afecta ramas y hojas del arbolado local. El programa municipal de reforestación mantiene hasta el momento una supervivencia del 90 por ciento de los árboles plantados durante este año en distintos puntos de Tulancingo, como Quebrachos, Santa Ana Hueytlalpan, el bulevar Nuevo San Nicolás, el Centro Cultural Ricardo Garibay y La Floresta. Las próximas acciones se contemplan en la zona del Magisterio y el fraccionamiento Los Pinos. Las autoridades recuerdan que la temporada de plantación concluye a mediados de septiembre, para posteriormente concentrarse en la planeación de las actividades ambientales de 2027.</t>
  </si>
  <si>
    <t>Radioescucha solicita bacheo en la entrada del ICAP</t>
  </si>
  <si>
    <t>Bacheo</t>
  </si>
  <si>
    <t>"Muy buenos días, yo quisiera hacer un reporte: de la carretera de Santiago está en muy mal estado, de verdad está... es un peligro para los que circulamos por ahí. Yo no sé si el gobernador solo nos vino a dar atole con el dedo con decir que iba a arreglar esta carretera, con decir que ya estaba listo a empezar el distribuidor y la presidenta. Eh de verdad no se ha hecho nada" y pues es lo que mencionan y pues básicamente lo que están mencionando es que hay baches también de gran tamaño, ya está muy feo, están pidiendo que se le dé atención, repito, a la carretera rumbo a Santiago Tulantepec, es el comentario que nos envían.</t>
  </si>
  <si>
    <t>Carretera En Mal Estado</t>
  </si>
  <si>
    <t>Aseguran casi 174 mil litros de presunto combustible robado en Mineral de la Reforma Un cateo realizado en un inmueble de la colonia Ex-Haciendas Rancho Cadena, en Mineral de la Reforma, derivó en el aseguramiento de aproximadamente 173 mil 800 litros de una sustancia con características similares a un petrolífero, informó la Fiscalía General de la República. La intervención federal se llevó a cabo como parte de una investigación iniciada a partir de una denuncia presentada por Pemex por la posible comisión de un delito relacionado con el robo de hidrocarburos. Además del líquido asegurado, dentro del predio fueron localizadas dos mangueras que quedaron bajo resguardo de las autoridades para continuar con las investigaciones. urante la inspección en los alrededores del inmueble, las autoridades detectaron seis tomas clandestinas conectadas a un ducto de Pemex, ubicadas a unos siete metros del lugar cateado. De acuerdo con la información oficial, tres de estas conexiones tenían comunicación directa con el inmueble intervenido, por lo que el hallazgo fue integrado a la carpeta de investigación. El operativo fue encabezado por la Fiscalía Especializada de Control Regional en Hidalgo, con la participación de agentes de la Policía Federal Ministerial y peritos de la Agencia de Investigación Criminal. También colaboraron elementos de la Defensa, Guardia Nacional, Policía Estatal y Policía Municipal, además de personal de Protección Civil y trabajadores de Pemex, quienes apoyaron en las labores de seguridad y prevención de riesgos. La sustancia y los objetos asegurados quedaron a disposición del Ministerio Público Federal, que continuará con las investigaciones para determinar el origen del combustible y establecer posibles responsabilidades.</t>
  </si>
  <si>
    <t>Algo que llama la atención es precisamente la percepción de inseguridad en Pachuca, o sea, lo hemos platicado en diferentes ocasiones. Las personas que viven en Pachuca, muchos de ellos no se sienten seguras precisamente ahí. Bien, yo creo que sí hay dos posturas importantes que se deben analizar en la información central de esto que les estoy platicando. Por un lado, es entendible que la diputada considere que la comparecencia ordinaria de octubre sería un espacio adecuado para cuestionar al secretario de Seguridad sobre este y otros temas a lo mejor, pero también hay que recordar que la ciudadanía espera respuestas, lo que hablábamos el día de ayer, especialmente cuando se habla de detenciones relacionadas con un grupo delictivo, como el Cártel Jalisco Nueva Generación, que hacían en el estado de Hidalgo. y de operativos también que alcanzan territorio de alguien, entre ellos y otras cosas. Pero bueno, vamos a ver qué es lo que pasa. Mientras tanto no lo ven necesario no creen necesario que se den m declaraciones al respecto Y aparte ayer también lo comento Jess pues son bastante delicadas que también pues debemos esperar de alguna forma que nos den información y de hecho lo compartían las mismas autoridades, ayer lo platicábamos que no tenían más detalles al respecto porque finalmente pues la investigación se estaba dando por parte de las autoridades federales que a ellos simplemente se les notificó que se llevaría a cabo el operativo y que no se les dio tampoco detalles más a profundidad. Entonces mencionaban, pues no tenemos nosotros más información. Sin embargo, pues si estamos hablando, Isa, lo decías, de un tema sumamente delicado en donde por supuesto se quiere conocer la información, pues necesitan también dar datos porque son temas finalmente de seguridad pública pero bueno, pues hasta el momento es lo que mencionan es el posicionamiento también de Mónica Reyes y bueno, vamos a ver también qué es lo que se da a conocer también por parte de Salvador Cruznero</t>
  </si>
  <si>
    <t>Estrategia de seguridad</t>
  </si>
  <si>
    <t>Diputada descarta comparecencia extraordinaria de titular de Seguridad por operativo contra CJNG La diputada local Mónica Reyes Martínez descartó que el secretario de Seguridad Pública de Hidalgo, Salvador Cruz Neri, tenga que acudir de manera extraordinaria al Congreso para explicar el reciente operativo federal que derivó en la detención de presuntos integrantes del Cártel Jalisco Nueva Generación (CJNG). La presidenta de la Comisión de Seguridad y Justicia señaló que los detalles de este operativo y otros asuntos relacionados con la seguridad estatal podrán ser revisados durante la comparecencia ordinaria del funcionario, prevista para octubre. Reyes Martínez coincidió con la postura del gobernador Julio Menchaca Salazar, quien ha señalado que la detención de personas vinculadas con un grupo delictivo en territorio hidalguense no significa necesariamente que estuvieran realizando actividades criminales dentro del estado. La legisladora consideró que las acciones de las corporaciones de seguridad han permitido enfrentar distintos hechos delictivos y rechazó que sea necesario convocar de inmediato al titular de la SSPH. Entre los temas que podrían abordarse en octubre se encuentran el aseguramiento de una presunta minirrefinería, las investigaciones relacionadas con el huachicol fiscal y el incremento en la percepción de inseguridad en Pachuca. Respecto al robo de hidrocarburos, Reyes Martínez afirmó que Hidalgo habría dejado de ocupar los primeros lugares nacionales en este delito, aunque no precisó la fuente de dicha información. También destacó el respaldo de las autoridades federales en las zonas donde se registra mayor incidencia. La diputada sostuvo que la comparecencia de octubre será el espacio para revisar las estrategias de seguridad, la coordinación entre el estado y los municipios, así como los resultados obtenidos frente a los distintos delitos que afectan a Hidalgo.</t>
  </si>
  <si>
    <t>Siete personas acusadas por los hechos ocurridos en la comunidad de La Flor, en San Salvador, fueron vinculadas a proceso por los delitos de privación ilegal de la libertad, lesiones, robo y daño en la propiedad, informó la Procuraduría General de Justicia de Hidalgo. Los cuatro hombres y tres mujeres fueron detenidos tras los acontecimientos registrados el 18 y 19 de agosto, cuando habitantes de la comunidad acudieron a la presidencia municipal para exigir obras públicas. De acuerdo con la investigación, durante la movilización el alcalde Norberto Martínez Cruz fue sacado por la fuerza del inmueble y trasladado al auditorio de La Flor. Posteriormente, integrantes del cabildo también fueron retenidos. Para liberar a los servidores públicos fue desplegado un operativo de la Secretaría de Seguridad Pública de Hidalgo. Durante la intervención, 10 policías estatales resultaron lesionados tras ser agredidos por habitantes de la comunidad. Este 26 de agosto, durante la continuación de la audiencia inicial, un juez determinó vincular a proceso a las siete personas. Como medida cautelar, enfrentarán el procedimiento bajo resguardo domiciliario. La autoridad judicial fijó además un plazo de tres meses para el cierre de la investigación complementaria, periodo en el que continuarán las diligencias y la recopilación de elementos relacionados con el caso.</t>
  </si>
  <si>
    <t>María Guadalupe, hola, muy buenos días. Mi mamá les manda una felicitación por su programa, los escucha a diario. También quería pedir, por favor, hacerle llegar un mensaje al gobernador Julio Menchaca. Es una persona con discapacidad, es ciega, ella quiere pedirle el apoyo para una loza, ya que se viene la temporada de lluvias y se nos suele filtrar el agua. Muy bien, bueno, primero que nada, muchas gracias a Lupita, que nos escribe, y un saludo también para su mamá. Por supuesto que si pasamos tu mensaje Estoy seguro que en alguna de las dependencias del gobierno del estado de Hidalgo Nos están escuchando, nos están siguiendo Y pasaremos tu mensaje para que a través de alguna de estas instancias Te den respuesta y ojalá puedan apoyarte con esta obra Con este requerimiento que tu mamá nos pide.</t>
  </si>
  <si>
    <t>Solicitud de apoyo</t>
  </si>
  <si>
    <t>Un ratito más, el gobernador de nuestro estado, Julio Menchaca, va a estar allá en la colonia La Palma, en la bellísima Jacala del Ledezma o, donde tenemos nuestra estación en 91.1 de frecuencia modulada. Allá va a encabezar una fecha más de las rutas de la transformación. Ando Falcón. Así es, Andrés. Al mediodía, el gobernador Julio Menchaca Salazar encabezará las rutas de la transformación para la reconstrucción y supervisión de obra. Como bien mencionas, eso se va a desarrollar en la avenida La Palma, ahí en Jacala de Ledezma. Muy bien, vamos a estar muy pendientes.</t>
  </si>
  <si>
    <t>Andrés Torres menciona que los habitantes de Tolcayuca y Tizayuca están preocupados por los problemas de seguridad en sus municipios, los cuales no son cubiertos por los medios de comunicación. Los residentes están preocupados por detonaciones en el centro de Tolcayuca y la falta de cobertura mediática sobre los problemas de inseguridad en la región. Se menciona que es complicado el tema de seguridad en áreas como Tizayuca, Villa de Tezontepec, Tolcayuca, Zapotlán y Acayuca. También se reporta un operativo de seguridad en la zona limítrofe entre Tizayuca y Tolcayuca que movilizó a elementos de seguridad pública y contó con el apoyo de perros y drones. La comunidad está inquieta por estos sucesos y expresa su deseo de recibir información más clara y precisa sobre la situación de seguridad en Tolcayuca.</t>
  </si>
  <si>
    <t>Inseguridad</t>
  </si>
  <si>
    <t>Ayer en Tulancingo fue localizado un cocodrilo en la basura. En la colonia Paraíso fue donde fue localizado este hallazgo, este cocodrilo, de acuerdo con un boletín emitido por la Presidencia. Cuando personal de recolección de residuos localizó en una bolsa de plástico el cocodrilo de aproximadamente 2 años de edad, por lo que se notificó de inmediato a bomberos municipales; posteriormente, el ejemplar fue trasladado y entregado al Zoológico de Tulancingo para su atención.</t>
  </si>
  <si>
    <t>Andaba de gira don José Antonio Rojo, parece que nos escuchó y le mandaron el "A-I-O-U" y, y ahora sí, ¿qué crees que dijo allá en la Huasteca en San Felipe? Que sí va a ser... Que sí, que sí va a ser candidato a gobernador. Que sí, que ya se definió y que no es ni una cuestión de presidentes municipales, ni de diputados locales, ni de otra cosa; él quiere ser candidato a gobernador. Bueno, pues ya ahí va respondiendo poco a poco y gracias por estar tan pendiente de Las Vocales, don José Antonio. Ahora díganos ¿por qué partido, no? Ahora díganos ¿por qué partido? Siguiente pregunta: ¿por qué partido?, ¿no? Porque pues usted tiene pausada su militancia tricolor, ¿no? Díganos por qué partido y, bueno, pues si ya no es mucho abusar de su de su confianza y de su amabilidad, pues también díganos: ¿va usted a ser candidato a gobernador de Hidalgo para un periodo de dos años? En esta... en esta que viene del 2028, ¿usted piensa participar? Nada más porque este... bueno, pues ahorita en la del 2027, pues que es nada más para presidentes municipales, diputados federales y locales, pues entonces usted nada más va a estar como espectador, ¿no? Quizás le dé tiempo para definir por qué partido, ¿no?</t>
  </si>
  <si>
    <t>Sucesión Gubernamental</t>
  </si>
  <si>
    <t>El gobierno de Pachuca ha llevado la atención directa a cinco zonas de la ciudad a través del programa ColoniaXColonia, que ya alcanzó las 2 mil 500 atenciones ciudadanas. Las jornadas se han realizado en San Miguel El Cerezo, Santa Matilde, Santa Julia, San Antonio y el Cerro de Cubitos, donde habitantes han tenido acceso, en un mismo espacio, a servicios, trámites, asesorías y atención de distintas áreas del Ayuntamiento. El presidente municipal, Jorge Reyes, destacó que la cercanía con la ciudadanía es una prioridad de su administración y aseguró que el trabajo en territorio continuará: “Seguiremos recorriendo las colonias y trabajando de la mano con las y los vecinos. Seguiremos siendo un gobierno cercano, que escucha, atiende y está presente en el territorio”.</t>
  </si>
  <si>
    <t>Andrés Torres: Bueno, la señora Edda Vite Ramos, presidenta del Patronato DIF Hidalgo, lo que en resumen dijo fue que hay un programa dirigido a el tema laboral de personas con discapacidad, por eso se eh pre- eh inicia esta participación con la pregunta: «¿Qué va a pasar el día que yo no esté?, ¿qué va a pasar el día de mañana cuando mi hija o hijo se encuentre solo?». Esto quiere decir que los padres de jóvenes, niños con discapacidad pues piensan a futuro y saben perfectamente que algún día pues no van a estar. Para ello, el programa DIF Hidalgo, el DIF Hidalgo, el Patronato DIF Hidalgo prepara programas de capacitación para personas con alguna discapacidad y que a través de estos programas garanticen que tengan o no tengan a alguien que los cuide, los respalde, los apoye, incluso pues los mantenga, puedan ellos con el paso del tiempo hacerse cargo de sí mismos. Esto es lo que dice así expresamente [delipsis] lo que nos está diciendo. La finalidad es proporcionar herramientas que permitan a las personas con discapacidad mantenerse activas laboralmente, desarrollar sus habilidades y contribuir a la economía de sus hogares. Este es un pensamiento general globalizado, un pensamiento mucho más amplio de la perspectiva de la discapacidad que obviamente el Patronato DIF de nuestro estado eh tiene pe- tiene muy claro y prepara desde esta perspectiva programas asistenciales, programas que tienen un respaldo económico para que las personas con discapacidad pues tengan estos apoyos y beneficios de largo, de largo plazo. Muchas gracias a toda la gente que nos escribió, muchas gracias a toda la gente que nos sigue a través de las diferentes redes sociales. Déjenme saludar porque tengo aquí todavía varios mensajes y preguntas.</t>
  </si>
  <si>
    <t>Edda Vite llama a generar oportunidades para personas con discapacidad</t>
  </si>
  <si>
    <t>Andrés Torres en respuesta a un radioescucha que señala a José Antonio Rojo como candidato del PRD a la Gubernatura en, comenta si el PRD va a tener registro para el 2028, pues el PRD es un partido local y necesita un mínimo de votación en las próximas elecciones municipales y federales para renovar el Congreso local y las diputaciones federales. Si no logra más del 3% de la votación en 2027, no tendrá registro para 2028. Según la lógica de don José Antonio Rojo, si el PRD no tiene registro, él no podrá ser candidato a la gubernatura por ese partido. La situación es incierta, ya que el PRD debe enfrentar elecciones importantes en 2027.</t>
  </si>
  <si>
    <t>PRD</t>
  </si>
  <si>
    <t>Partidos</t>
  </si>
  <si>
    <t>Andrés Torres habla sobre un mensaje que recibió de una persona desconocida a través de WhatsApp, comenta que este mensaje era de una sola vista y se borró después de ser leído. Mediante el mensaje le pide a Andrés Torres que investigue una queja en la Contraloría respecto a la entrega de apoyos de Vientres bovinos del año 2025., pues el secretario de la Saderh, Napoleón González no ha finalizado la entrega de estos apoyos y sugiere comprobar la situación entre los beneficiarios, Le envió una lista de beneficiarios que cubre 31 páginas, mayormente de la zona de Tulancingo, la Sierra y la Huasteca. Torres también recibió un folio relacionado con una denuncia ante la Contraloría sobre la entrega de equipamiento. Agradece a las personas que confían en él para hacer esta investigación y asegura que ya ha comenzado a preguntar sobre este tema en la Secretaría de Agricultura. Pide a quienes deseen proporcionar más información que lo hagan, asegurando que protegerá su identidad si así lo prefieren. Finalmente, expresa su gratitud hacia la persona que envió el mensaje, ya que tiene la intención de investigar el asunto a fondo. Asegura ha respaldado la información que le proporcionaron.</t>
  </si>
  <si>
    <t>Apoyo ganadero</t>
  </si>
  <si>
    <t>Muy negativo</t>
  </si>
  <si>
    <t>Estudiantes del ITESA desarrollan go-karts eléctricos</t>
  </si>
  <si>
    <t>Investigación académica</t>
  </si>
  <si>
    <t>Andrés Torres comenta que se está preparando el cuarto informe del gobernador Julio Menchaca, quien ofrecerá un mensaje sobre su trabajo en el gobierno. Desde meses antes del 5 de septiembre, se han creado videos y películas para mostrar los logros del gobierno, especialmente en inversión y desarrollo de infraestructura. El Secretario de Gobierno, Guillermo Olivares Reyna, entregará la información al Congreso del Estado, como lo exige la ley. Torres promete más detalles del informe mañana, sugiriendo que no pueden revelarlo todo aún. Actualmente hay un receso en el Congreso, y el periodo ordinario de sesiones se reanuda en septiembre, cuando se conocerán más sobre los eventos del informe.</t>
  </si>
  <si>
    <t>Informe De Gobierno</t>
  </si>
  <si>
    <t>El secretario de Gobierno, Guillermo Olivares Reyna, va a entregar el documento que contiene todas las actividades del cuarto año de trabajo del gobierno de Julio Menchaca, lo va a entregar allá en el Congreso el día 5 de septiembre, esto es sábado 5 de septiembre, y voy a darle otros detallitos de cómo inicia el próximo periodo ordinario de la 66 Legislatura.</t>
  </si>
  <si>
    <t>Andrés Torres agradece a las personas que los escuchan y llaman sobre el progreso en la seguridad pública. Comenta que la Policía Estatal y las policías municipales están mejorando gracias al apoyo del gobierno de Julio Menchaca. Cada vez hay más elementos de seguridad, mejor uniformados y capacitados, así como más patrullas. Sin embargo, menciona que hay desafíos, como en Actopan, donde las patrullas inteligentes no se utilizan porque los policías no están capacitados para usarlas. También destaca la reciente graduación de 116 cadetes como una inversión significativa en la seguridad. Recalca que estas tareas van más allá del combate al crimen y son parte de un enfoque más amplio sobre la seguridad, que considera uno de los pilares de la administración de Menchaca. Sugiere escuchar las palabras del gobernador sobre este tema.</t>
  </si>
  <si>
    <t>En Zaporlán, hoy a las 12 horas se va a inaugurar una cancha de fútbol rápido y fútbol 7, donde estará presente Ramón Ramírez, el famoso jugador de fútbol. Es conocido por jugar con las Chivas.</t>
  </si>
  <si>
    <t>Esta madrugada en Tlamaco, Atitalaquia, hubo una intensa movilización policial debido a una balacera y la explosión de un artefacto afuera de una vivienda. Los vecinos reportaron disparos y una gran explosión que causó daños a la casa que quedó llena de orificios por balas. La policía municipal y estatal llegó al lugar, pero no se detuvo a nadie y no se conocen los responsables. No hubo heridos, solo daños al inmueble. Ya en la zona están elementos de la Procuraduría General de Justicia del Estado y acordonaron el lugar ahí en la comunidad de Tlamaco.</t>
  </si>
  <si>
    <t>Entre recuerdos, reconocimiento y orgullo por una profesión marcada por el riesgo y la entrega, integrantes del Heroico Cuerpo de Bomberos de Tulancingo conmemoraron el Día Nacional del Bombero, en una jornada dedicada a reconocer su labor en la protección de la vida y el patrimonio de las familias del municipio. Las actividades comenzaron con una misa de agradecimiento, seguida de una guardia de honor en memoria de las y los bomberos que perdieron la vida en cumplimiento de su deber. Posteriormente, elementos de la corporación y sus familias participaron en una convivencia organizada por el Gobierno Municipal. Durante el encuentro se entregaron reconocimientos y presentes a bomberos que han dedicado parte de su vida al servicio de Tulancingo. Entre ellos destacó Ezequiel Romero Castro, quien acumula 34 años de servicio. Actualmente, el Cuerpo de Bomberos de Tulancingo está integrado por 49 elementos, entre ellos tres mujeres operativas, quienes participan en las labores de atención de emergencias y representan también la incorporación de más mujeres a una actividad históricamente dominada por hombres. Uno de los momentos más emotivos de la jornada fue el reconocimiento a las familias de bomberos que perdieron la vida mientras se encontraban al servicio del municipio. Durante la ceremonia, la alcaldesa de Tulancingo, Lorena García Cázares, destacó que detrás de cada elemento que sale a atender una emergencia también existe una familia que enfrenta la incertidumbre cada vez que suena la alarma y que acompaña, desde casa, una profesión que implica riesgos permanentes. La celebración sirvió también para refrendar el compromiso de continuar fortaleciendo las capacidades y condiciones de trabajo de la corporación, considerada uno de los pilares de la atención a emergencias y de la protección de la población.</t>
  </si>
  <si>
    <t>Entrega de reconocimientos</t>
  </si>
  <si>
    <t>El Ayuntamiento de Pachuca analiza nuevas medidas para mejorar la distribución del comercio en la ciudad, ante dos situaciones que han generado preocupación: la ocupación de espacios públicos alrededor de hospitales y la baja afluencia de compradores en el mercado Benito Juárez. Joaquín Valdez Sandoval, director de Comercio y Abasto, informó que actualmente se tienen detectados 40 puestos ambulantes en las inmediaciones del IMSS y ISSSTE. La intención es establecer acuerdos con los vendedores para evitar que obstruyan zonas de paso utilizadas por pacientes y personas con discapacidad. El funcionario aclaró que la estrategia no pretende eliminar estas actividades económicas, sino encontrar ubicaciones que permitan a los comerciantes continuar trabajando sin afectar los accesos a las instituciones médicas. En el mercado Benito Juárez, el panorama es diferente: existen espacios disponibles que podrían ser aprovechados para incrementar la actividad comercial. De los 126 lugares destinados a vendedores reubicados de Plaza Constitución, alrededor de 96 se encuentran ocupados. Ante esta situación, el municipio contempla dialogar con líderes de comerciantes para determinar si los espacios que permanecen vacíos pueden ser asignados a otras personas interesadas en vender. La medida cobra relevancia debido a que comerciantes trasladados al mercado han reportado pérdidas de hasta 65 por ciento en sus ventas. El Ayuntamiento reconoció la reducción y señaló que las lluvias también han contribuido a disminuir la afluencia de compradores. Así, mientras se busca ordenar el comercio en las zonas hospitalarias, las autoridades también intentan generar mayor movimiento en el mercado para recuperar la actividad económica.</t>
  </si>
  <si>
    <t>Ambulantaje</t>
  </si>
  <si>
    <t>El Ayuntamiento de Pachuca prepara una propuesta para establecer bajo qué condiciones los ciudadanos podrán reparar por cuenta propia los baches de las calles, ante la proliferación de este tipo de acciones en distintos puntos de la ciudad. Francisco Lugo Espinosa, secretario de Obras Públicas y Desarrollo Urbano, explicó que actualmente no existe una disposición que prohíba expresamente a los particulares realizar trabajos de este tipo, por lo que no se contempla detener a quienes los llevan a cabo. Sin embargo, señaló que el municipio busca establecer criterios técnicos para evitar reparaciones deficientes. Una de las opciones planteadas es que los ciudadanos avisen previamente al Ayuntamiento e informen qué materiales utilizarán para intervenir la vialidad. El funcionario advirtió que algunos trabajos realizados por particulares tienen una duración muy corta, principalmente cuando se llevan a cabo durante la temporada de lluvias, debido a que el material puede ser arrastrado en poco tiempo. A diferencia de estas reparaciones, Lugo Espinosa explicó que el municipio realiza procesos de corte y perfilado, utiliza materiales determinados y cuenta con supervisión de laboratorio para garantizar la calidad de las obras. La propuesta, que se trabaja junto con el alcalde Jorge Reyes, busca establecer reglas claras para quienes quieran realizar bacheos voluntarios y evitar que estas intervenciones terminen generando problemas mayores en las vialidades.</t>
  </si>
  <si>
    <t>Una resolución del Tribunal Electoral del Estado de Hidalgo (TEEH) derivó en una amonestación pública contra cuatro integrantes del gobierno municipal de Zempoala, luego de que incumplieran la orden de responder a solicitudes de información realizadas por la síndica hacendaria. Entre las personas sancionadas se encuentra el presidente municipal, Francisco Sinuhé Ramírez Oviedo, junto con el secretario general, Gabriel Gildardo Vargas Godínez; la secretaria de Tesorería, Lorena Adrián Chávez Oviedo, y la titular de Desarrollo Urbano y Obras Públicas, Zyanya Aleyda Vargas Vite. El conflicto inició después de que la síndica Guadalupe Karla Mariana Gutiérrez Gutiérrez promoviera un juicio ante el Tribunal por la falta de respuesta a diversos oficios. El pasado 16 de julio, los magistrados ordenaron al Ayuntamiento entregar la información solicitada. Al no acreditarse el cumplimiento de esa sentencia, el TEEH determinó aplicar una medida de apremio. El acuerdo fue emitido el 13 de agosto y la amonestación se hizo pública durante la sesión celebrada este jueves. El magistrado presidente del Tribunal, Leodegario Hernández Cortez, explicó que este tipo de medidas buscan garantizar que las autoridades atiendan y cumplan las resoluciones judiciales. En caso de que exista una nueva falta al cumplimiento de las determinaciones del órgano electoral, los servidores públicos podrían enfrentar medidas más severas.</t>
  </si>
  <si>
    <t>Amonestación Publica</t>
  </si>
  <si>
    <t>El gobierno municipal de Zempoala aseguró que cuenta con documentos y acuses para demostrar que atendió las solicitudes de información realizadas por la síndica hacendaria, luego de que el Tribunal Electoral del Estado de Hidalgo amonestó públicamente al alcalde Francisco Sinuhé Ramírez Oviedo y a tres funcionarios. A través de un posicionamiento, el Ayuntamiento rechazó que hubiera existido una negativa deliberada para entregar la documentación requerida por la síndica Guadalupe Karla Mariana Gutiérrez Gutiérrez y adelantó que presentará los elementos con los que cuenta ante las instancias correspondientes. La postura surge después de la resolución relacionada con el expediente TEEH-JDC-066/2026, en el que el Tribunal determinó el incumplimiento de una sentencia que ordenaba atender las solicitudes de información. Respecto a las versiones sobre un posible arresto de hasta 36 horas contra el presidente municipal, la administración aclaró que actualmente no existe una orden de arresto ejecutada. Explicó que la referencia corresponde a un apercibimiento, es decir, una advertencia sobre una medida de apremio que podría aplicarse únicamente en caso de que se incumpla alguna determinación jurisdiccional. El Ayuntamiento también reconoció las atribuciones de la Sindicatura Hacendaria para vigilar y revisar la información municipal, al tiempo que aseguró que mantendrá su disposición para atender las solicitudes conforme a los procedimientos legales. Finalmente, el gobierno de Zempoala señaló que evitará convertir el caso en una confrontación pública, aunque defenderá su derecho a aclarar lo que considera información que podría generar una interpretación distinta de los hechos.</t>
  </si>
  <si>
    <t>Said Vargas, dirigente de la Sección 15 del SNTE, informó que no habrá renovación en la Sección 15 del SNTE, porque es el interés superior, vamos a llamarlo así, el proceso electoral que tendremos para renovar presidencias municipales, diputaciones locales y diputaciones federales, el que está sobre el proceso del SNTE.</t>
  </si>
  <si>
    <t>Elección sindical</t>
  </si>
  <si>
    <t>Andrés Torres y Milton Cortés comentan que la gestión del alcalde de Zempoala, Francisco Sinuhé Ramírez Oviedo ha estado marcada por la controversia y el descontento de la población, mencionando un probable mal manejo de la comunicación y ejecución de obras. Señalan que el equipo del alcalde está compuesto en gran parte por personas foráneas, lo cual puede haber afectado su conexión con la comunidad local. El Ayuntamiento de Zempoala enfrenta un periodo complicado, marcado por la negativa a proporcionar información pública y la falta de transparencia. La comunidad espera respuestas y un manejo más eficaz de la situación por parte del alcalde, cuya gestión se ha visto rodeada de críticas y descontento generalizado en la cabecera municipal y fraccionamientos debido a la escasez de agua, falta de obras e incumplimiento de compromisos de campaña. La atención se centrará en cómo se desarrollen los próximos eventos, incluido el segundo informe de actividades del alcalde.</t>
  </si>
  <si>
    <t>Mal Desempeño</t>
  </si>
  <si>
    <t>Vía telefónica Milton Cortés informó que el Tribunal Electoral del Estado de Hidalgo (TEEH) amonestó al presidente municipal de Zempoala, Francisco Sinuhé Ramírez Oviedo, así como a varios miembros de su gabinete, por incumplir la sentencia dictada en el expediente TEEH-JDC-066/2026. La resolución obedece a la falta de entrega de información relacionada con finanzas públicas y obra pública, la cual fue solicitada formalmente por la síndica hacendaria Karla Mariana Gutiérrez. Entre los funcionarios amonestados se encuentran también el secretario municipal, Gabriel Vargas Ovando; la tesorera, Lorena Chávez Oviedo; y la titular de la Secretaría de Desarrollo Urbano y Obras Públicas, Cianya Aleyda Vargas. De acuerdo con el reporte del periodista Milton Cortés durante el programa Las Vocales Radio, el órgano electoral determinó una nueva intervención tras persistir la negativa del Ayuntamiento para cumplir con la sentencia principal. Ante las medidas de apremio aprobadas por el Pleno del TEEH, la administración municipal emitió un comunicado oficial en el que calificó de inexactos los señalamientos de opacidad. El Ayuntamiento sostuvo que cuenta con los acuses y la documentación que demuestran la atención a las solicitudes. Asimismo, aclaró que la mención de un arresto por 36 horas corresponde únicamente a un apercibimiento legal o advertencia procedimental, y no a una orden de detención ejecutoria contra el edil, asegurando que darán seguimiento jurídico al caso.</t>
  </si>
  <si>
    <t>Andrés Torres informa sobre la celebración del séptimo aniversario de la CATEM, presidida por el diputado federal Pedro Haces Barba, que tendrá lugar en el Teatro Gota de Plata en Pachuca. Se anticipa una gran presencia de personas y un posible anuncio político relevante. El gobernador del estado ha sido invitado al evento, que contará con la asistencia de entre 3,000 y 4,000 personas, incluyendo importantes figuras de Morena. Se espera que el evento arroje pistas sobre candidaturas para las elecciones municipales de Pachuca en 2027. Torres menciona que puede haber un pronunciamiento en favor de algún candidato de Morena: Ricardo Crespo, diputado federal por el distrito de Pachuca, es un posible candidato. Andrés Velázquez, diputado local y presidente de la Junta Legislativa, también sería un perfil a considerar. Jorge Reyes, actual presidente municipal de Pachuca, también estará presente en el evento. Asimismo, menciona que el evento es clave para entender las intenciones y estrategias del partido Morena en relación a su candidato para la presidencia municipal. El evento de la CATEM será significativo para el futuro político en Pachuca. Se sugiere estar atentos a los anuncios y declaraciones que se realicen, ya que podrían definir el escenario electoral para la próxima presidencia municipal. La información será discutida más a fondo en el próximo programa el lunes.</t>
  </si>
  <si>
    <t>Aspirantes</t>
  </si>
  <si>
    <t>Andrés Torres: Sí, pues ya estamos celebrando hoy 3 años que eh están al aire. Para muchos eh les gusta decir que se recuperaron las estaciones, no, no se recuperaron las estaciones. Las 11 estaciones que se perdieron en la administración gubernamental pasada no se recuperaron, se consiguieron nuevas frecuencias. ¿Qué recuperamos?, ¿qué logramos eh rescatar?: parte del equipo, por supuesto el personal, y parte de las instalaciones, así que tenemos nuevas nuevas eh denominaciones para Jacala, que hoy cumple 3 años en el 91.1 de Frecuencia Modulada, y en La Huasteca FM donde, déjeme decirle, tenemos solamente dos personas trabajando, solamente hay dos compañeros en Jacala en Huejutla FM, bueno ahí en el 92.7 estamos transmitiendo de manera ininterrumpida desde hace 3 años. Muchas, muchas felicidades y sobre todo mi reconocimiento a mis compañeras y compañeros que hacen posible esta transmisión y que siempre, siempre están eh pues al pie del cañón derrochando profesionalismo, responsabilidad y por supuesto, sí, congruencia con su compromiso con el auditorio de nuestro estado. Felicidades, es todo el mérito de ellos, todo el mérito de mis compañeros, del personal técnico y por supuesto del personal de cada una de estas estaciones. Saludos y muchas, muchas felicidades.</t>
  </si>
  <si>
    <t>Radiodifusoras</t>
  </si>
  <si>
    <t>SEPH y SNTE reconocen trayectoria de mil 912 trabajadoras y trabajadores de la educación</t>
  </si>
  <si>
    <t>Atendemos cada rincón de Hidalgo; hay obra en los 84 municipios: Menchaca Salazar</t>
  </si>
  <si>
    <t>Desde Jacala, Julio Menchaca concluye Rutas para la Reconstrucción</t>
  </si>
  <si>
    <t>Hemos hablado a lo largo de esta semana y ya de las últimas dos sobre la incorporación de ocho municipios del estado de Hidalgo a la zona metropolitana del Valle de México. Esta zona es muy importante por lo que representa en cuanto a empleos, inversiones por parte de diversas empresas privadas en la zona centro del país. Estamos hablando que la zona del Valle de México, la zona metropolitana, comprende la Ciudad de México, son 16 alcaldías, además de 59 municipios del Estado de México y hasta hace unos meses solamente Tizayuca pertenecía a esta región, pero ya se sumaron siete municipios más del Estado de Hidalgo y además uno de Morelos. ¿Pero qué implica que la zona metropolitana del Valle de México se extienda hacia el Estado de Hidalgo?</t>
  </si>
  <si>
    <t>Radioescucha Sr Fidel manda fotos de la calle de Canal ampliación Santa Julia y comenta que son imágenes de las obras eh supuestamente que vino a hacer Caasim, quedaron inconclusas.</t>
  </si>
  <si>
    <t>También quiero invitarlo para que usted se dé un espacio este fin de semana y pueda disfrutar del 28 al 30 de agosto la feria en Tepetitlán, la Feria de la Alfarería. Va a haber distintos grupos musicales como El Poder del Norte, también Los Primos de Durango, la Sonora Dinamita y distintas actividades culturales para que usted pueda acudir al municipio de Tepetitlán este fin de semana. Si no tiene plan, tiene tiempo, pues dese una vuelta por esta Feria de la Alfarería. Será del 28 al 30 de agosto, eventos gratuitos, va a ser en la zona centro. Usted puede degustar también de la gastronomía de este bello municipio, disfrutar de música, pasar una tarde agradable con su familia y aprovechar este último fin de semana antes de entrar ya al inicio del curso escolar.</t>
  </si>
  <si>
    <t>Turismo cultural</t>
  </si>
  <si>
    <t>Ayer llamó mucho la atención un operativo que se llevó a cabo en Mixquiahuala en el Cereso de ese lugar</t>
  </si>
  <si>
    <t>Traslado de reos</t>
  </si>
  <si>
    <t>Y tomaron protesta el Consejo Directivo de la Asociación Mexicana de Mujeres Empresarias de la región Tula-Tepeji. La información con Joselyn Sánchez.—Ayer se llevó a cabo la toma de protesta del Consejo Directivo de la Asociación Mexicana de Mujeres Empresarias de la región Tula-Tepeji. Alma Delia Álvarez será la presidenta de AMJE durante el periodo 2026-2028.—Es el momento en el que una mujer empresaria acepta públicamente la responsabilidad de representar, conducir y fortalecer los intereses de una comunidad de mujeres que contribuyen activamente al desarrollo económico y social de nuestra sociedad. Rendir protesta significa asumir un compromiso de honor, trabajar con visión, unidad, institucionalidad y resultados.—Entre los invitados estuvo el alcalde de Tula, Cristian Martínez, quien destacó el papel importante de los empresarios para el desarrollo de esta región.—Así que hoy bienvenidos a la inversión, bienvenidas sean las mujeres emprendedoras, empresarias. Enhorabuena porque hoy, como dice nuestra presidenta de la República, es tiempo de mujeres. Muchas felicidades a todas las mujeres que hoy encabezan estas empresas. Enhorabuena y aquí tienen su municipio.—Por su parte, el representante del gobernador de Hidalgo, el maestro Horacio Francisco Ríos, subsecretario de Fomento Económico, señaló el liderazgo de la mujer para el crecimiento de las familias y de México.—Quiero felicitar, les dejo el reconocimiento, les dejo los los buenos deseos del gobierno del estado para que su organización sea exitosa, que rinda frutos, que sea para bien de las integrantes en lo particular, para bien de sus familias y, desde luego, para bien del estado de Hidalgo. Así es que muchas felicidades, enhorabuena y que en el futuro se recuerde esta fecha como una fecha virtuosa para el desarrollo de Hidalgo.—Para Enfoque Regional informó Joselyn Sánchez.</t>
  </si>
  <si>
    <t>Toma de protesta</t>
  </si>
  <si>
    <t>Participación semanal Dr. Juan Esquerra con el mes del tesmamento comentó que en el mes de septiembre y octubre se va a llevar a cabo la campaña del «Mes del Testamento» en Hidalgo ofreciendo eh costos especiales. Lo anterior, desde luego, a que existe un convenio de colaboración impulsado por el titular del Ejecutivo con el eh Colegio de Notarios del Estado de Hidalgo. Se ofrecen costos reducidos, los cuales omito referirme por no corresponder a mi persona el ofertarlos, pero sí quiero destacar que se tiene conocimiento que se va a aplicar sólo en testamentos públicos abiertos; es decir, los que amparan herencias universales o designación de herederos en general, dejando fuera los testamentos que implican legados específicos de bienes determinados.</t>
  </si>
  <si>
    <t>Radioescucha reporta que el semáforo de Boulevard Santa Catarina no funciona y no hay nadie que dirija el tráfico frente a Pitayas.</t>
  </si>
  <si>
    <t>Semaforización</t>
  </si>
  <si>
    <t>Vía telefónica comandante Óscar Sánchez Director General de Tránsito y Vialidad del Municipio de Pachuca con el tema: Las nuevas fases semafóricas que se encuentran en Bulevar G. Bonfil, a la altura del Puente de Hierro como a la altura de la iglesia San Charbel.</t>
  </si>
  <si>
    <t>Vamos a la información porque el gobernador de Hidalgo, Julio Menchaca Salazar continuó con las rutas de la transformación</t>
  </si>
  <si>
    <t>El gobernador Julio Menchaca concluyó en Jacala de Ledezma esta etapa de las Rutas de la Transformación para la reconstrucción,</t>
  </si>
  <si>
    <t>El gobernador Julio Menchaca encabezó por quinta ocasión una gira de trabajo en La Misión</t>
  </si>
  <si>
    <t>Vamos a otros temas porque pues ante la visita del senador Adán Augusto López, coordinador político de Morena en la región y en el estado, el gobernador Julio Menchaca afirmó que cada quien debe responder por su trayectoria y aclaró que no será aval de nadie</t>
  </si>
  <si>
    <t>Reunión con actores políticos</t>
  </si>
  <si>
    <t>La Comisión Nacional del Agua, a través de la Dirección Local Hidalgo, se sumó a la jornada de limpieza en el río Rosas llevada a cabo en el municipio de Tula de Allende, donde se recolectaron alrededor de 6 toneladas de basura en la ribera del cauce. Además, se llevaron a cabo trabajos de barrido de calles y poda de pasto.En esta jornada, impulsada por la Secretaría de Medio Ambiente y Recursos Naturales, también participaron elementos de la Guardia Nacional, así como integrantes de la Comisión Nacional de Áreas Naturales Protegidas (Conanp) y la Comisión Nacional Forestal (Conafor). Asimismo, colaboraron personal del área de Limpias del municipio de Tula e integrantes de la iniciativa privada y universidades locales.Esta actividad forma parte de la estrategia del Gobierno de México a través de la Conagua para el saneamiento y restauración de las tres cuencas prioritarias del centro del país: Alto Atoyac, Lerma-Santiago y Tula. La Conagua participará este viernes en una jornada de limpieza en el municipio de Tepetitlan</t>
  </si>
  <si>
    <t>Restauración Ecológica</t>
  </si>
  <si>
    <t>El próximo lunes 31 de agosto se dará el regreso a clases en todo el país. En Hidalgo serán alrededor de 650.000 alumnos de educación básica quienes regresarán a las aulas para comenzar el ciclo escolar 2026-2027. El secretario de Educación Pública de Hidalgo, Natividad Castrejón Valdez, informó que directivos, docentes y personal administrativo se encuentran preparados para recibir a los estudiantes en las 7.500 escuelas de la entidad.</t>
  </si>
  <si>
    <t>Regreso A Clases</t>
  </si>
  <si>
    <t>Radioescucha dice : «Minimizanan el problema del transporte del Tuzobús, es insuficiente».</t>
  </si>
  <si>
    <t>Como parte de los resultados del gobierno, el gobernador Julio Menchaca Salazar, para consolidar a la entidad como una potencia turística, la Secretaría de Turismo promueve el desarrollo de producciones audiovisuales ocupando diferentes escenarios que durante la actual administración suman más de 95, por lo que Hidalgo se perfila para ser uno de los destinos fílmicos con mayor proyección de este país.</t>
  </si>
  <si>
    <t>Producción audiovisual</t>
  </si>
  <si>
    <t>Consolida Hidalgo estrategia de impulso a producciónes audiovisuales y liderazgo en locaciones</t>
  </si>
  <si>
    <t>Polo del Bienestar en Zapotlán impulsará la industria médica y farmacéutica de Hidalgo:Migel Tello</t>
  </si>
  <si>
    <t>Polos del Bienestar</t>
  </si>
  <si>
    <t>Radioescucha pide al ayuntamiento limpieza de la malesa en Valle del Sol y el tereno que se dono, sigue saliendo animalitos, manda fotos</t>
  </si>
  <si>
    <t>Limpieza Urbana</t>
  </si>
  <si>
    <t>La senadora, Simey Olvera, que ha hecho informes en el Estado, o ya se vienen los informes de los presidentes municipales, y también la próxima semana será el informe de la Presidente de México. Dentro de los informes han ocurrido situaciones que han llamado la atención de la prensa nacional. Uno de ellos ocurrió en la presentación del segundo informe legislativo de la senadora Simey Olvera, senadora de Morena, generó críticas y comentarios en redes sociales, luego de que una invitada pareciera caracterizada como la Presidenta de México, Claudia Sheinbaum, durante el cierre de sus asambleas informativas en Hidalgo. El acto se llevó a cabo en Ixmiquilpan, en el Valle del Mezquital, con la asistencia de simpatizantes, autoridades locales, y el senador Gerardo Fernández Noroña. La gente llegó y veía la imagen de esta persona, una mujer que tenemos entendido es nieta de Gaspar Enayne Capulina, se apellida Enayne, y que se parece mucho a la presidenta de México, se llama Tamara Enayne, y de verdad que da todo el físico de la presidenta, y habló incluso, la presentaron, dio un discurso, y eso ha causado mucha controversia, ha causado de verdad opiniones encontraras. Ante esta controversia, el dirigente estatal de Morena, Marco Antonio Rico Mercado, defendió el formato utilizado por Siméi Olvera, y consideró que la política pueda alejarse de los actos tradicionales.</t>
  </si>
  <si>
    <t>Sucesión gubernamental</t>
  </si>
  <si>
    <t>Participación semanal de Mtro. Julio Valera con el tema : Anunció de la presidenta de de México, Claudia Sheinbaum Sistema Universitario de Salud</t>
  </si>
  <si>
    <t>Y al menos nueve localidades de Tezontepec de Aldama se quedaron sin servicio de agua de forma temporal derivado de una fuga de dicho líquido, la cual se registró en un camino de terracería de la comunidad El Tinaco, cuya altura alcanzó más de 10 metros y pudo verse desde lugares aledaños de la carretera Tlahuelilpan-Mixquiahuala. En algún momento se pensó que era una fuga de hidrocarburo, pero las autoridades indicaron que no, que se trataba de una fuga de agua que iba a ser controlada y que había que tener paciencia en estas localidades que se quedaron sin servicio de manera temporal.</t>
  </si>
  <si>
    <t>Radioescucha Sra Cruz, manda audio y reporta falta de agua limpia, agua potable, en la calle de San Martín de Porres</t>
  </si>
  <si>
    <t>Buenas noticias este 28, 29 y 30 de agosto Atotonilco el Grande abre sus puertas para celebrar una de las tradiciones gastronómicas más representativas, el Décimo Tercer Festival del Cocol.</t>
  </si>
  <si>
    <t>Festival Gastronómico</t>
  </si>
  <si>
    <t>Más de 130 hidalguenses participarán en el pabellón artesanal y gastronómico de la Feria de San Francisco Pachuca 2026</t>
  </si>
  <si>
    <t>Feria Pachuca</t>
  </si>
  <si>
    <t>Mensaje de voz a través de nuestro WhatsApp al 773. Nos reportan un poste a punto de colapsar en el bulevar Tula-Iturbe, frente a Pinturas Ipesa. Dicen que ya se ha reportado en diversas ocasiones, pero pues no han hecho caso; con el aire y el peso, pues ya empieza a tronar la varilla y pues la base de este poste que está a punto de colapsar es un poste de energía eléctrica de alta tensión. Entonces hacemos el llamado a la Comisión Federal de Electricidad, sabemos que nos escuchan, sabemos que están atentos a los llamados ciudadanos que puedan atender esta situación. Es sobre el bulevar Tula-Iturbe, frente a Pinturas Ipesa, y también pues a los elementos y saludamos con gusto esta mañana a los elementos y a la Dirección de Protección Civil de Tula de Allende, que también está atenta a los llamados ciudadanos, que sabemos que nos escuchan, que puedan revisar esta situación que nos reporta nuestro radioescucha. Gracias a ellos, al Director de Protección Civil, a la Dirección de Protección Civil y también a la Comisión Federal de Electricidad.</t>
  </si>
  <si>
    <t>Vía telefónica a Iván Hernández Mendoza, quien coordina el evento Contracorriente en Tula, un evento cultural independiente muy interesante en el municipio de Tula de Allende</t>
  </si>
  <si>
    <t>Evento Cultural</t>
  </si>
  <si>
    <t>En otra información, la Secretaría de Educación Pública de Hidalgo y el SNTE reconocieron a mil novecientos doce trabajadoras y trabajadores de la educación por cumplir entre veinte y cincuenta años de servicio.</t>
  </si>
  <si>
    <t>El Sistema para el Desarrollo Integral de la Familia en Hidalgo entregó 32 proyectos productivos con una inversión de 1,962,626 pesos</t>
  </si>
  <si>
    <t>Una la tarde con 51 minutos. Vamos a información de carácter estatal allá en Hidalgo. Ya el gobernador del estado, Julio Menchaca Salazar, sigue trabajando en medida de los apoyos junto con el DIF estatal. Por ejemplo, el Sistema DIF Hidalgo entregó 32 proyectos productivos con una inversión de 1,962,626.44 pesos.</t>
  </si>
  <si>
    <t>Realizarán Feria del Emprendimiento para Personas con Discapacidad</t>
  </si>
  <si>
    <t>Va bien el tema de la educación en Hidalgo y cómo se encuentran los profesores en materia sindical. Se hablaba de un cambio de líder sindical a nivel estatal en la sección 15, de manera particular, que es la que se encuentra en Hidalgo. Le informo que el Consejo Nacional del Sindicato Nacional de Trabajadores de la Educación determinará si se aplazan las convocatorias para la renovación de sus secciones sindicales, entre ellas la sección 15 de Hidalgo, así le informó el secretario general de la organización, Alfonso Cepeda Salas. El líder gremial explicó que la posible medida busca evitar la intromisión de candidatos a puestos de elección popular interesados en colocar representantes magisteriales afines a sus intereses políticos. —Secretario, ¿cuándo se lanzará la convocatoria para la renovación de las secciones, entre ellas la 15? Vamos a tener un evento estatutario, un consejo nacional, donde determinemos los tiempos del sindicato, porque se están empalmando con los tiempos electorales. Y luego, aunque ya tenemos una ley de autonomía sindical, quienes son candidatos a gobernadores, o quienes quieren ser diputados federales, por ejemplo, o presidentes municipales, buscan a los maestros para que los apoyen. Si lanzamos las convocatorias, seguramente van a querer que quede alguien que esté de acuerdo a sus intereses y a lo que ellos tienen como proyecto político. Entonces, en el Consejo se determinará si detenemos las convocatorias, porque sí, sí es algo innegable. El proceso electoral puede afectar el proceso interno de elecciones en el Centro, y nosotros queremos preservar nuestra autonomía, nuestra independencia, y que los compañeros libremente y sin presiones puedan elegir a los dirigentes que ellos consideren los más adecuados para sus secciones sindicales.</t>
  </si>
  <si>
    <t>Y autoridades federales detuvieron en la carretera México-Pachuca a tres sujetos, entre ellos un objetivo prioritario de Tabasco identificado como líder de un grupo delictivo y generador de violencia. El sujeto contaba con dos órdenes de aprehensión por asociación delictuosa y robo a casa habitación. Los tres detenidos quedaron a disposición del Ministerio Público.</t>
  </si>
  <si>
    <t>Oiga, el próximo 30 de agosto, este fin de semana, es el Día Internacional de las Víctimas de Desaparición Forzada. Se conmemora cada 30 de agosto, es una fecha que establece la Asamblea General de las Naciones Unidas desde 2010 para recordar a las personas desaparecidas en todo el mundo. Hay dos grandes objetivos en esta fecha: el primero, pues seguir haciendo un llamado para exigir justicia, que se diga la verdad y que se respete la memoria de las personas desaparecidas; y también es un día para el reconocimiento a la labor de los colectivos de búsqueda y defensores de derechos humanos.Hay diversos casos en nuestro estado que siguen haciendo eco, como el de estos familiares que solicitan apoyo para localizar a un adolescente de 17 años reportado como desaparecido desde el pasado jueves 20 de agosto en Soyaniquilpan, Estado de México. Dentro de las investigaciones que se han realizado, existe la posibilidad de que haya sido víctima de un delito y temen que sus restos pudieran encontrarse en la zona limítrofe entre el Estado de México y el Estado de Hidalgo</t>
  </si>
  <si>
    <t>Desapariciones</t>
  </si>
  <si>
    <t>Y vamos al reporte de Huachicol, y es que dos personas fueron detenidas en el barrio de Santana, en Ixmiquilpan</t>
  </si>
  <si>
    <t>En otra información, la Fiscalía General de la República aseguró e inhabilitó seis tomas clandestinas, esto en el municipio de Mineral de la Reforma. Tres de ellas estaban conectadas directamente a un inmueble cateado en la colonia Ex hacienda Rancho Cadena. En el predio fueron decomisados cerca de 174 mil litros de presunto hidrocarburo y dos mangueras. Hasta el momento no hay personas detenidas.</t>
  </si>
  <si>
    <t>Radioescucha pide al municipio de Mineral de la Reforma, solicita atención a la vialidad en Pachuquilla a Plaza Universidad, ya que todos los días hay vehículos pesados.</t>
  </si>
  <si>
    <t>Auxilio vial</t>
  </si>
  <si>
    <t>Lamentablemente una mujer que se desempeñaba como checadora de obra perdió la vida tras ser atropellada por un camión tipo Torton, mientras realizaba sus labores en la carretera México-Tuxpan en Tulancingo. El conductor señalado como responsable fue detenido por las autoridades.</t>
  </si>
  <si>
    <t>Atropellamiento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</si>
</sst>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9" tableType="queryTable" totalsRowShown="0">
  <autoFilter ref="A1:M149"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9"/>
  <sheetViews>
    <sheetView tabSelected="1" workbookViewId="0">
      <selection activeCell="B1" sqref="B1"/>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34.42578125" bestFit="1" customWidth="1"/>
    <col min="8" max="8" width="11" bestFit="1" customWidth="1"/>
    <col min="9" max="9" width="12.42578125" bestFit="1" customWidth="1"/>
    <col min="10" max="10" width="25.7109375" bestFit="1" customWidth="1"/>
    <col min="11" max="11" width="15.8554687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31</v>
      </c>
      <c r="C1" t="s">
        <v>32</v>
      </c>
      <c r="D1" t="s">
        <v>33</v>
      </c>
      <c r="E1" t="s">
        <v>1</v>
      </c>
      <c r="F1" t="s">
        <v>2</v>
      </c>
      <c r="G1" t="s">
        <v>4</v>
      </c>
      <c r="H1" t="s">
        <v>3</v>
      </c>
      <c r="I1" t="s">
        <v>5</v>
      </c>
      <c r="J1" t="s">
        <v>34</v>
      </c>
      <c r="K1" t="s">
        <v>35</v>
      </c>
      <c r="L1" t="s">
        <v>36</v>
      </c>
      <c r="M1" t="s">
        <v>43</v>
      </c>
    </row>
    <row r="2" spans="1:13" x14ac:dyDescent="0.25">
      <c r="A2" s="2">
        <v>46261</v>
      </c>
      <c r="B2" s="1" t="str">
        <f ca="1">IF(Información1[[#This Row],[Fecha]]='Ajuste de fechas'!$A$2,"Día actual","Día anterior")</f>
        <v>Día anterior</v>
      </c>
      <c r="C2" s="3" t="s">
        <v>26</v>
      </c>
      <c r="D2" t="s">
        <v>98</v>
      </c>
      <c r="E2" s="3" t="s">
        <v>99</v>
      </c>
      <c r="F2" s="3" t="s">
        <v>24</v>
      </c>
      <c r="G2" s="3" t="s">
        <v>100</v>
      </c>
      <c r="H2" s="3" t="s">
        <v>11</v>
      </c>
      <c r="I2" s="3" t="s">
        <v>7</v>
      </c>
      <c r="J2" s="3" t="s">
        <v>37</v>
      </c>
      <c r="K2" s="3" t="s">
        <v>101</v>
      </c>
      <c r="L2" s="3" t="s">
        <v>38</v>
      </c>
      <c r="M2">
        <v>1</v>
      </c>
    </row>
    <row r="3" spans="1:13" x14ac:dyDescent="0.25">
      <c r="A3" s="2">
        <v>46261</v>
      </c>
      <c r="B3" s="1" t="str">
        <f ca="1">IF(Información1[[#This Row],[Fecha]]='Ajuste de fechas'!$A$2,"Día actual","Día anterior")</f>
        <v>Día anterior</v>
      </c>
      <c r="C3" s="3" t="s">
        <v>26</v>
      </c>
      <c r="D3" t="s">
        <v>98</v>
      </c>
      <c r="E3" s="3" t="s">
        <v>102</v>
      </c>
      <c r="F3" s="3" t="s">
        <v>21</v>
      </c>
      <c r="G3" s="3" t="s">
        <v>103</v>
      </c>
      <c r="H3" s="3" t="s">
        <v>11</v>
      </c>
      <c r="I3" s="3" t="s">
        <v>7</v>
      </c>
      <c r="J3" s="3" t="s">
        <v>37</v>
      </c>
      <c r="K3" s="3" t="s">
        <v>101</v>
      </c>
      <c r="L3" s="3" t="s">
        <v>38</v>
      </c>
      <c r="M3">
        <v>1</v>
      </c>
    </row>
    <row r="4" spans="1:13" x14ac:dyDescent="0.25">
      <c r="A4" s="2">
        <v>46261</v>
      </c>
      <c r="B4" s="1" t="str">
        <f ca="1">IF(Información1[[#This Row],[Fecha]]='Ajuste de fechas'!$A$2,"Día actual","Día anterior")</f>
        <v>Día anterior</v>
      </c>
      <c r="C4" s="3" t="s">
        <v>26</v>
      </c>
      <c r="D4" t="s">
        <v>98</v>
      </c>
      <c r="E4" s="3" t="s">
        <v>102</v>
      </c>
      <c r="F4" s="3" t="s">
        <v>21</v>
      </c>
      <c r="G4" s="3" t="s">
        <v>90</v>
      </c>
      <c r="H4" s="3" t="s">
        <v>11</v>
      </c>
      <c r="I4" s="3" t="s">
        <v>7</v>
      </c>
      <c r="J4" s="3" t="s">
        <v>37</v>
      </c>
      <c r="K4" s="3" t="s">
        <v>101</v>
      </c>
      <c r="L4" s="3" t="s">
        <v>38</v>
      </c>
      <c r="M4">
        <v>1</v>
      </c>
    </row>
    <row r="5" spans="1:13" x14ac:dyDescent="0.25">
      <c r="A5" s="2">
        <v>46261</v>
      </c>
      <c r="B5" s="1" t="str">
        <f ca="1">IF(Información1[[#This Row],[Fecha]]='Ajuste de fechas'!$A$2,"Día actual","Día anterior")</f>
        <v>Día anterior</v>
      </c>
      <c r="C5" s="3" t="s">
        <v>26</v>
      </c>
      <c r="D5" t="s">
        <v>98</v>
      </c>
      <c r="E5" s="3" t="s">
        <v>104</v>
      </c>
      <c r="F5" s="3" t="s">
        <v>60</v>
      </c>
      <c r="G5" s="3" t="s">
        <v>105</v>
      </c>
      <c r="H5" s="3" t="s">
        <v>11</v>
      </c>
      <c r="I5" s="3" t="s">
        <v>7</v>
      </c>
      <c r="J5" s="3" t="s">
        <v>37</v>
      </c>
      <c r="K5" s="3" t="s">
        <v>101</v>
      </c>
      <c r="L5" s="3" t="s">
        <v>38</v>
      </c>
      <c r="M5">
        <v>1</v>
      </c>
    </row>
    <row r="6" spans="1:13" x14ac:dyDescent="0.25">
      <c r="A6" s="2">
        <v>46261</v>
      </c>
      <c r="B6" s="1" t="str">
        <f ca="1">IF(Información1[[#This Row],[Fecha]]='Ajuste de fechas'!$A$2,"Día actual","Día anterior")</f>
        <v>Día anterior</v>
      </c>
      <c r="C6" s="3" t="s">
        <v>26</v>
      </c>
      <c r="D6" t="s">
        <v>98</v>
      </c>
      <c r="E6" s="3" t="s">
        <v>106</v>
      </c>
      <c r="F6" s="3" t="s">
        <v>20</v>
      </c>
      <c r="G6" s="3" t="s">
        <v>65</v>
      </c>
      <c r="H6" s="3" t="s">
        <v>11</v>
      </c>
      <c r="I6" s="3" t="s">
        <v>7</v>
      </c>
      <c r="J6" s="3" t="s">
        <v>42</v>
      </c>
      <c r="K6" s="3" t="s">
        <v>101</v>
      </c>
      <c r="L6" s="3" t="s">
        <v>38</v>
      </c>
      <c r="M6">
        <v>1</v>
      </c>
    </row>
    <row r="7" spans="1:13" x14ac:dyDescent="0.25">
      <c r="A7" s="2">
        <v>46261</v>
      </c>
      <c r="B7" s="1" t="str">
        <f ca="1">IF(Información1[[#This Row],[Fecha]]='Ajuste de fechas'!$A$2,"Día actual","Día anterior")</f>
        <v>Día anterior</v>
      </c>
      <c r="C7" s="3" t="s">
        <v>26</v>
      </c>
      <c r="D7" t="s">
        <v>52</v>
      </c>
      <c r="E7" s="3" t="s">
        <v>107</v>
      </c>
      <c r="F7" s="3" t="s">
        <v>21</v>
      </c>
      <c r="G7" s="3" t="s">
        <v>108</v>
      </c>
      <c r="H7" s="3" t="s">
        <v>11</v>
      </c>
      <c r="I7" s="3" t="s">
        <v>7</v>
      </c>
      <c r="J7" s="3" t="s">
        <v>37</v>
      </c>
      <c r="K7" s="3" t="s">
        <v>53</v>
      </c>
      <c r="L7" s="3" t="s">
        <v>38</v>
      </c>
      <c r="M7">
        <v>1</v>
      </c>
    </row>
    <row r="8" spans="1:13" x14ac:dyDescent="0.25">
      <c r="A8" s="2">
        <v>46261</v>
      </c>
      <c r="B8" s="1" t="str">
        <f ca="1">IF(Información1[[#This Row],[Fecha]]='Ajuste de fechas'!$A$2,"Día actual","Día anterior")</f>
        <v>Día anterior</v>
      </c>
      <c r="C8" s="3" t="s">
        <v>49</v>
      </c>
      <c r="D8" t="s">
        <v>50</v>
      </c>
      <c r="E8" s="3" t="s">
        <v>109</v>
      </c>
      <c r="F8" s="3" t="s">
        <v>58</v>
      </c>
      <c r="G8" s="3" t="s">
        <v>110</v>
      </c>
      <c r="H8" s="3" t="s">
        <v>11</v>
      </c>
      <c r="I8" s="3" t="s">
        <v>7</v>
      </c>
      <c r="J8" s="3" t="s">
        <v>37</v>
      </c>
      <c r="K8" s="3" t="s">
        <v>83</v>
      </c>
      <c r="L8" s="3" t="s">
        <v>40</v>
      </c>
      <c r="M8">
        <v>1</v>
      </c>
    </row>
    <row r="9" spans="1:13" x14ac:dyDescent="0.25">
      <c r="A9" s="2">
        <v>46261</v>
      </c>
      <c r="B9" s="1" t="str">
        <f ca="1">IF(Información1[[#This Row],[Fecha]]='Ajuste de fechas'!$A$2,"Día actual","Día anterior")</f>
        <v>Día anterior</v>
      </c>
      <c r="C9" s="3" t="s">
        <v>49</v>
      </c>
      <c r="D9" t="s">
        <v>50</v>
      </c>
      <c r="E9" s="3" t="s">
        <v>111</v>
      </c>
      <c r="F9" s="3" t="s">
        <v>24</v>
      </c>
      <c r="G9" s="3" t="s">
        <v>97</v>
      </c>
      <c r="H9" s="3" t="s">
        <v>11</v>
      </c>
      <c r="I9" s="3" t="s">
        <v>7</v>
      </c>
      <c r="J9" s="3" t="s">
        <v>37</v>
      </c>
      <c r="K9" s="3" t="s">
        <v>83</v>
      </c>
      <c r="L9" s="3" t="s">
        <v>40</v>
      </c>
      <c r="M9">
        <v>1</v>
      </c>
    </row>
    <row r="10" spans="1:13" x14ac:dyDescent="0.25">
      <c r="A10" s="2">
        <v>46261</v>
      </c>
      <c r="B10" s="1" t="str">
        <f ca="1">IF(Información1[[#This Row],[Fecha]]='Ajuste de fechas'!$A$2,"Día actual","Día anterior")</f>
        <v>Día anterior</v>
      </c>
      <c r="C10" s="3" t="s">
        <v>49</v>
      </c>
      <c r="D10" t="s">
        <v>50</v>
      </c>
      <c r="E10" s="3" t="s">
        <v>112</v>
      </c>
      <c r="F10" s="3" t="s">
        <v>113</v>
      </c>
      <c r="G10" s="3" t="s">
        <v>114</v>
      </c>
      <c r="H10" s="3" t="s">
        <v>11</v>
      </c>
      <c r="I10" s="3" t="s">
        <v>7</v>
      </c>
      <c r="J10" s="3" t="s">
        <v>37</v>
      </c>
      <c r="K10" s="3" t="s">
        <v>83</v>
      </c>
      <c r="L10" s="3" t="s">
        <v>40</v>
      </c>
      <c r="M10">
        <v>1</v>
      </c>
    </row>
    <row r="11" spans="1:13" x14ac:dyDescent="0.25">
      <c r="A11" s="2">
        <v>46261</v>
      </c>
      <c r="B11" s="1" t="str">
        <f ca="1">IF(Información1[[#This Row],[Fecha]]='Ajuste de fechas'!$A$2,"Día actual","Día anterior")</f>
        <v>Día anterior</v>
      </c>
      <c r="C11" s="3" t="s">
        <v>26</v>
      </c>
      <c r="D11" t="s">
        <v>52</v>
      </c>
      <c r="E11" s="3" t="s">
        <v>115</v>
      </c>
      <c r="F11" s="3" t="s">
        <v>17</v>
      </c>
      <c r="G11" s="3" t="s">
        <v>105</v>
      </c>
      <c r="H11" s="3" t="s">
        <v>11</v>
      </c>
      <c r="I11" s="3" t="s">
        <v>23</v>
      </c>
      <c r="J11" s="3" t="s">
        <v>41</v>
      </c>
      <c r="K11" s="3" t="s">
        <v>53</v>
      </c>
      <c r="L11" s="3" t="s">
        <v>38</v>
      </c>
      <c r="M11">
        <v>1</v>
      </c>
    </row>
    <row r="12" spans="1:13" x14ac:dyDescent="0.25">
      <c r="A12" s="2">
        <v>46261</v>
      </c>
      <c r="B12" s="1" t="str">
        <f ca="1">IF(Información1[[#This Row],[Fecha]]='Ajuste de fechas'!$A$2,"Día actual","Día anterior")</f>
        <v>Día anterior</v>
      </c>
      <c r="C12" s="3" t="s">
        <v>26</v>
      </c>
      <c r="D12" t="s">
        <v>52</v>
      </c>
      <c r="E12" s="3" t="s">
        <v>116</v>
      </c>
      <c r="F12" s="3" t="s">
        <v>59</v>
      </c>
      <c r="G12" s="3" t="s">
        <v>117</v>
      </c>
      <c r="H12" s="3" t="s">
        <v>11</v>
      </c>
      <c r="I12" s="3" t="s">
        <v>7</v>
      </c>
      <c r="J12" s="3" t="s">
        <v>37</v>
      </c>
      <c r="K12" s="3" t="s">
        <v>53</v>
      </c>
      <c r="L12" s="3" t="s">
        <v>38</v>
      </c>
      <c r="M12">
        <v>1</v>
      </c>
    </row>
    <row r="13" spans="1:13" x14ac:dyDescent="0.25">
      <c r="A13" s="2">
        <v>46261</v>
      </c>
      <c r="B13" s="1" t="str">
        <f ca="1">IF(Información1[[#This Row],[Fecha]]='Ajuste de fechas'!$A$2,"Día actual","Día anterior")</f>
        <v>Día anterior</v>
      </c>
      <c r="C13" s="3" t="s">
        <v>26</v>
      </c>
      <c r="D13" t="s">
        <v>52</v>
      </c>
      <c r="E13" s="3" t="s">
        <v>118</v>
      </c>
      <c r="F13" s="3" t="s">
        <v>47</v>
      </c>
      <c r="G13" s="3" t="s">
        <v>119</v>
      </c>
      <c r="H13" s="3" t="s">
        <v>11</v>
      </c>
      <c r="I13" s="3" t="s">
        <v>7</v>
      </c>
      <c r="J13" s="3" t="s">
        <v>22</v>
      </c>
      <c r="K13" s="3" t="s">
        <v>53</v>
      </c>
      <c r="L13" s="3" t="s">
        <v>38</v>
      </c>
      <c r="M13">
        <v>1</v>
      </c>
    </row>
    <row r="14" spans="1:13" x14ac:dyDescent="0.25">
      <c r="A14" s="2">
        <v>46261</v>
      </c>
      <c r="B14" s="1" t="str">
        <f ca="1">IF(Información1[[#This Row],[Fecha]]='Ajuste de fechas'!$A$2,"Día actual","Día anterior")</f>
        <v>Día anterior</v>
      </c>
      <c r="C14" s="3" t="s">
        <v>26</v>
      </c>
      <c r="D14" t="s">
        <v>52</v>
      </c>
      <c r="E14" s="3" t="s">
        <v>120</v>
      </c>
      <c r="F14" s="3" t="s">
        <v>22</v>
      </c>
      <c r="G14" s="3" t="s">
        <v>121</v>
      </c>
      <c r="H14" s="3" t="s">
        <v>11</v>
      </c>
      <c r="I14" s="3" t="s">
        <v>23</v>
      </c>
      <c r="J14" s="3" t="s">
        <v>22</v>
      </c>
      <c r="K14" s="3" t="s">
        <v>53</v>
      </c>
      <c r="L14" s="3" t="s">
        <v>38</v>
      </c>
      <c r="M14">
        <v>1</v>
      </c>
    </row>
    <row r="15" spans="1:13" x14ac:dyDescent="0.25">
      <c r="A15" s="2">
        <v>46261</v>
      </c>
      <c r="B15" s="1" t="str">
        <f ca="1">IF(Información1[[#This Row],[Fecha]]='Ajuste de fechas'!$A$2,"Día actual","Día anterior")</f>
        <v>Día anterior</v>
      </c>
      <c r="C15" s="3" t="s">
        <v>26</v>
      </c>
      <c r="D15" t="s">
        <v>52</v>
      </c>
      <c r="E15" s="3" t="s">
        <v>122</v>
      </c>
      <c r="F15" s="3" t="s">
        <v>19</v>
      </c>
      <c r="G15" s="3" t="s">
        <v>75</v>
      </c>
      <c r="H15" s="3" t="s">
        <v>11</v>
      </c>
      <c r="I15" s="3" t="s">
        <v>7</v>
      </c>
      <c r="J15" s="3" t="s">
        <v>37</v>
      </c>
      <c r="K15" s="3" t="s">
        <v>53</v>
      </c>
      <c r="L15" s="3" t="s">
        <v>38</v>
      </c>
      <c r="M15">
        <v>1</v>
      </c>
    </row>
    <row r="16" spans="1:13" x14ac:dyDescent="0.25">
      <c r="A16" s="2">
        <v>46261</v>
      </c>
      <c r="B16" s="1" t="str">
        <f ca="1">IF(Información1[[#This Row],[Fecha]]='Ajuste de fechas'!$A$2,"Día actual","Día anterior")</f>
        <v>Día anterior</v>
      </c>
      <c r="C16" s="3" t="s">
        <v>26</v>
      </c>
      <c r="D16" t="s">
        <v>52</v>
      </c>
      <c r="E16" s="3" t="s">
        <v>123</v>
      </c>
      <c r="F16" s="3" t="s">
        <v>21</v>
      </c>
      <c r="G16" s="3" t="s">
        <v>90</v>
      </c>
      <c r="H16" s="3" t="s">
        <v>11</v>
      </c>
      <c r="I16" s="3" t="s">
        <v>7</v>
      </c>
      <c r="J16" s="3" t="s">
        <v>37</v>
      </c>
      <c r="K16" s="3" t="s">
        <v>53</v>
      </c>
      <c r="L16" s="3" t="s">
        <v>38</v>
      </c>
      <c r="M16">
        <v>1</v>
      </c>
    </row>
    <row r="17" spans="1:13" x14ac:dyDescent="0.25">
      <c r="A17" s="2">
        <v>46261</v>
      </c>
      <c r="B17" s="1" t="str">
        <f ca="1">IF(Información1[[#This Row],[Fecha]]='Ajuste de fechas'!$A$2,"Día actual","Día anterior")</f>
        <v>Día anterior</v>
      </c>
      <c r="C17" s="3" t="s">
        <v>26</v>
      </c>
      <c r="D17" t="s">
        <v>52</v>
      </c>
      <c r="E17" s="3" t="s">
        <v>124</v>
      </c>
      <c r="F17" s="3" t="s">
        <v>22</v>
      </c>
      <c r="G17" s="3" t="s">
        <v>72</v>
      </c>
      <c r="H17" s="3" t="s">
        <v>11</v>
      </c>
      <c r="I17" s="3" t="s">
        <v>7</v>
      </c>
      <c r="J17" s="3" t="s">
        <v>22</v>
      </c>
      <c r="K17" s="3" t="s">
        <v>53</v>
      </c>
      <c r="L17" s="3" t="s">
        <v>38</v>
      </c>
      <c r="M17">
        <v>1</v>
      </c>
    </row>
    <row r="18" spans="1:13" x14ac:dyDescent="0.25">
      <c r="A18" s="2">
        <v>46261</v>
      </c>
      <c r="B18" s="1" t="str">
        <f ca="1">IF(Información1[[#This Row],[Fecha]]='Ajuste de fechas'!$A$2,"Día actual","Día anterior")</f>
        <v>Día anterior</v>
      </c>
      <c r="C18" s="3" t="s">
        <v>26</v>
      </c>
      <c r="D18" t="s">
        <v>52</v>
      </c>
      <c r="E18" s="3" t="s">
        <v>125</v>
      </c>
      <c r="F18" s="3" t="s">
        <v>19</v>
      </c>
      <c r="G18" s="3" t="s">
        <v>126</v>
      </c>
      <c r="H18" s="3" t="s">
        <v>11</v>
      </c>
      <c r="I18" s="3" t="s">
        <v>7</v>
      </c>
      <c r="J18" s="3" t="s">
        <v>37</v>
      </c>
      <c r="K18" s="3" t="s">
        <v>53</v>
      </c>
      <c r="L18" s="3" t="s">
        <v>38</v>
      </c>
      <c r="M18">
        <v>1</v>
      </c>
    </row>
    <row r="19" spans="1:13" x14ac:dyDescent="0.25">
      <c r="A19" s="2">
        <v>46261</v>
      </c>
      <c r="B19" s="1" t="str">
        <f ca="1">IF(Información1[[#This Row],[Fecha]]='Ajuste de fechas'!$A$2,"Día actual","Día anterior")</f>
        <v>Día anterior</v>
      </c>
      <c r="C19" s="3" t="s">
        <v>26</v>
      </c>
      <c r="D19" t="s">
        <v>52</v>
      </c>
      <c r="E19" s="3" t="s">
        <v>127</v>
      </c>
      <c r="F19" s="3" t="s">
        <v>21</v>
      </c>
      <c r="G19" s="3" t="s">
        <v>79</v>
      </c>
      <c r="H19" s="3" t="s">
        <v>11</v>
      </c>
      <c r="I19" s="3" t="s">
        <v>7</v>
      </c>
      <c r="J19" s="3" t="s">
        <v>37</v>
      </c>
      <c r="K19" s="3" t="s">
        <v>53</v>
      </c>
      <c r="L19" s="3" t="s">
        <v>38</v>
      </c>
      <c r="M19">
        <v>1</v>
      </c>
    </row>
    <row r="20" spans="1:13" x14ac:dyDescent="0.25">
      <c r="A20" s="2">
        <v>46261</v>
      </c>
      <c r="B20" s="1" t="str">
        <f ca="1">IF(Información1[[#This Row],[Fecha]]='Ajuste de fechas'!$A$2,"Día actual","Día anterior")</f>
        <v>Día anterior</v>
      </c>
      <c r="C20" s="3" t="s">
        <v>26</v>
      </c>
      <c r="D20" t="s">
        <v>52</v>
      </c>
      <c r="E20" s="3" t="s">
        <v>128</v>
      </c>
      <c r="F20" s="3" t="s">
        <v>21</v>
      </c>
      <c r="G20" s="3" t="s">
        <v>65</v>
      </c>
      <c r="H20" s="3" t="s">
        <v>11</v>
      </c>
      <c r="I20" s="3" t="s">
        <v>7</v>
      </c>
      <c r="J20" s="3" t="s">
        <v>37</v>
      </c>
      <c r="K20" s="3" t="s">
        <v>53</v>
      </c>
      <c r="L20" s="3" t="s">
        <v>38</v>
      </c>
      <c r="M20">
        <v>1</v>
      </c>
    </row>
    <row r="21" spans="1:13" x14ac:dyDescent="0.25">
      <c r="A21" s="2">
        <v>46261</v>
      </c>
      <c r="B21" s="1" t="str">
        <f ca="1">IF(Información1[[#This Row],[Fecha]]='Ajuste de fechas'!$A$2,"Día actual","Día anterior")</f>
        <v>Día anterior</v>
      </c>
      <c r="C21" s="3" t="s">
        <v>26</v>
      </c>
      <c r="D21" t="s">
        <v>52</v>
      </c>
      <c r="E21" s="3" t="s">
        <v>129</v>
      </c>
      <c r="F21" s="3" t="s">
        <v>21</v>
      </c>
      <c r="G21" s="3" t="s">
        <v>73</v>
      </c>
      <c r="H21" s="3" t="s">
        <v>11</v>
      </c>
      <c r="I21" s="3" t="s">
        <v>7</v>
      </c>
      <c r="J21" s="3" t="s">
        <v>37</v>
      </c>
      <c r="K21" s="3" t="s">
        <v>53</v>
      </c>
      <c r="L21" s="3" t="s">
        <v>38</v>
      </c>
      <c r="M21">
        <v>1</v>
      </c>
    </row>
    <row r="22" spans="1:13" x14ac:dyDescent="0.25">
      <c r="A22" s="2">
        <v>46261</v>
      </c>
      <c r="B22" s="1" t="str">
        <f ca="1">IF(Información1[[#This Row],[Fecha]]='Ajuste de fechas'!$A$2,"Día actual","Día anterior")</f>
        <v>Día anterior</v>
      </c>
      <c r="C22" s="3" t="s">
        <v>26</v>
      </c>
      <c r="D22" t="s">
        <v>52</v>
      </c>
      <c r="E22" s="3" t="s">
        <v>130</v>
      </c>
      <c r="F22" s="3" t="s">
        <v>60</v>
      </c>
      <c r="G22" s="3" t="s">
        <v>131</v>
      </c>
      <c r="H22" s="3" t="s">
        <v>11</v>
      </c>
      <c r="I22" s="3" t="s">
        <v>7</v>
      </c>
      <c r="J22" s="3" t="s">
        <v>37</v>
      </c>
      <c r="K22" s="3" t="s">
        <v>53</v>
      </c>
      <c r="L22" s="3" t="s">
        <v>38</v>
      </c>
      <c r="M22">
        <v>1</v>
      </c>
    </row>
    <row r="23" spans="1:13" x14ac:dyDescent="0.25">
      <c r="A23" s="2">
        <v>46261</v>
      </c>
      <c r="B23" s="1" t="str">
        <f ca="1">IF(Información1[[#This Row],[Fecha]]='Ajuste de fechas'!$A$2,"Día actual","Día anterior")</f>
        <v>Día anterior</v>
      </c>
      <c r="C23" s="3" t="s">
        <v>26</v>
      </c>
      <c r="D23" t="s">
        <v>52</v>
      </c>
      <c r="E23" s="3" t="s">
        <v>132</v>
      </c>
      <c r="F23" s="3" t="s">
        <v>17</v>
      </c>
      <c r="G23" s="3" t="s">
        <v>96</v>
      </c>
      <c r="H23" s="3" t="s">
        <v>11</v>
      </c>
      <c r="I23" s="3" t="s">
        <v>7</v>
      </c>
      <c r="J23" s="3" t="s">
        <v>41</v>
      </c>
      <c r="K23" s="3" t="s">
        <v>53</v>
      </c>
      <c r="L23" s="3" t="s">
        <v>38</v>
      </c>
      <c r="M23">
        <v>1</v>
      </c>
    </row>
    <row r="24" spans="1:13" x14ac:dyDescent="0.25">
      <c r="A24" s="2">
        <v>46261</v>
      </c>
      <c r="B24" s="1" t="str">
        <f ca="1">IF(Información1[[#This Row],[Fecha]]='Ajuste de fechas'!$A$2,"Día actual","Día anterior")</f>
        <v>Día anterior</v>
      </c>
      <c r="C24" s="3" t="s">
        <v>26</v>
      </c>
      <c r="D24" t="s">
        <v>52</v>
      </c>
      <c r="E24" s="3" t="s">
        <v>133</v>
      </c>
      <c r="F24" s="3" t="s">
        <v>24</v>
      </c>
      <c r="G24" s="3" t="s">
        <v>97</v>
      </c>
      <c r="H24" s="3" t="s">
        <v>11</v>
      </c>
      <c r="I24" s="3" t="s">
        <v>7</v>
      </c>
      <c r="J24" s="3" t="s">
        <v>37</v>
      </c>
      <c r="K24" s="3" t="s">
        <v>53</v>
      </c>
      <c r="L24" s="3" t="s">
        <v>38</v>
      </c>
      <c r="M24">
        <v>1</v>
      </c>
    </row>
    <row r="25" spans="1:13" x14ac:dyDescent="0.25">
      <c r="A25" s="2">
        <v>46261</v>
      </c>
      <c r="B25" s="1" t="str">
        <f ca="1">IF(Información1[[#This Row],[Fecha]]='Ajuste de fechas'!$A$2,"Día actual","Día anterior")</f>
        <v>Día anterior</v>
      </c>
      <c r="C25" s="3" t="s">
        <v>26</v>
      </c>
      <c r="D25" t="s">
        <v>52</v>
      </c>
      <c r="E25" s="3" t="s">
        <v>134</v>
      </c>
      <c r="F25" s="3" t="s">
        <v>24</v>
      </c>
      <c r="G25" s="3" t="s">
        <v>93</v>
      </c>
      <c r="H25" s="3" t="s">
        <v>11</v>
      </c>
      <c r="I25" s="3" t="s">
        <v>7</v>
      </c>
      <c r="J25" s="3" t="s">
        <v>37</v>
      </c>
      <c r="K25" s="3" t="s">
        <v>53</v>
      </c>
      <c r="L25" s="3" t="s">
        <v>38</v>
      </c>
      <c r="M25">
        <v>1</v>
      </c>
    </row>
    <row r="26" spans="1:13" x14ac:dyDescent="0.25">
      <c r="A26" s="2">
        <v>46261</v>
      </c>
      <c r="B26" s="1" t="str">
        <f ca="1">IF(Información1[[#This Row],[Fecha]]='Ajuste de fechas'!$A$2,"Día actual","Día anterior")</f>
        <v>Día anterior</v>
      </c>
      <c r="C26" s="3" t="s">
        <v>26</v>
      </c>
      <c r="D26" t="s">
        <v>52</v>
      </c>
      <c r="E26" s="3" t="s">
        <v>135</v>
      </c>
      <c r="F26" s="3" t="s">
        <v>24</v>
      </c>
      <c r="G26" s="3" t="s">
        <v>136</v>
      </c>
      <c r="H26" s="3" t="s">
        <v>11</v>
      </c>
      <c r="I26" s="3" t="s">
        <v>7</v>
      </c>
      <c r="J26" s="3" t="s">
        <v>37</v>
      </c>
      <c r="K26" s="3" t="s">
        <v>53</v>
      </c>
      <c r="L26" s="3" t="s">
        <v>38</v>
      </c>
      <c r="M26">
        <v>1</v>
      </c>
    </row>
    <row r="27" spans="1:13" x14ac:dyDescent="0.25">
      <c r="A27" s="2">
        <v>46261</v>
      </c>
      <c r="B27" s="1" t="str">
        <f ca="1">IF(Información1[[#This Row],[Fecha]]='Ajuste de fechas'!$A$2,"Día actual","Día anterior")</f>
        <v>Día anterior</v>
      </c>
      <c r="C27" s="3" t="s">
        <v>26</v>
      </c>
      <c r="D27" t="s">
        <v>52</v>
      </c>
      <c r="E27" s="3" t="s">
        <v>137</v>
      </c>
      <c r="F27" s="3" t="s">
        <v>24</v>
      </c>
      <c r="G27" s="3" t="s">
        <v>138</v>
      </c>
      <c r="H27" s="3" t="s">
        <v>11</v>
      </c>
      <c r="I27" s="3" t="s">
        <v>7</v>
      </c>
      <c r="J27" s="3" t="s">
        <v>37</v>
      </c>
      <c r="K27" s="3" t="s">
        <v>53</v>
      </c>
      <c r="L27" s="3" t="s">
        <v>38</v>
      </c>
      <c r="M27">
        <v>1</v>
      </c>
    </row>
    <row r="28" spans="1:13" x14ac:dyDescent="0.25">
      <c r="A28" s="2">
        <v>46261</v>
      </c>
      <c r="B28" s="1" t="str">
        <f ca="1">IF(Información1[[#This Row],[Fecha]]='Ajuste de fechas'!$A$2,"Día actual","Día anterior")</f>
        <v>Día anterior</v>
      </c>
      <c r="C28" s="3" t="s">
        <v>8</v>
      </c>
      <c r="D28" t="s">
        <v>10</v>
      </c>
      <c r="E28" s="3" t="s">
        <v>139</v>
      </c>
      <c r="F28" s="3" t="s">
        <v>17</v>
      </c>
      <c r="G28" s="3" t="s">
        <v>140</v>
      </c>
      <c r="H28" s="3" t="s">
        <v>11</v>
      </c>
      <c r="I28" s="3" t="s">
        <v>23</v>
      </c>
      <c r="J28" s="3" t="s">
        <v>41</v>
      </c>
      <c r="K28" s="3" t="s">
        <v>9</v>
      </c>
      <c r="L28" s="3" t="s">
        <v>39</v>
      </c>
      <c r="M28">
        <v>1</v>
      </c>
    </row>
    <row r="29" spans="1:13" x14ac:dyDescent="0.25">
      <c r="A29" s="2">
        <v>46261</v>
      </c>
      <c r="B29" s="1" t="str">
        <f ca="1">IF(Información1[[#This Row],[Fecha]]='Ajuste de fechas'!$A$2,"Día actual","Día anterior")</f>
        <v>Día anterior</v>
      </c>
      <c r="C29" s="3" t="s">
        <v>8</v>
      </c>
      <c r="D29" t="s">
        <v>10</v>
      </c>
      <c r="E29" s="3" t="s">
        <v>141</v>
      </c>
      <c r="F29" s="3" t="s">
        <v>17</v>
      </c>
      <c r="G29" s="3" t="s">
        <v>140</v>
      </c>
      <c r="H29" s="3" t="s">
        <v>11</v>
      </c>
      <c r="I29" s="3" t="s">
        <v>23</v>
      </c>
      <c r="J29" s="3" t="s">
        <v>41</v>
      </c>
      <c r="K29" s="3" t="s">
        <v>9</v>
      </c>
      <c r="L29" s="3" t="s">
        <v>39</v>
      </c>
      <c r="M29">
        <v>1</v>
      </c>
    </row>
    <row r="30" spans="1:13" x14ac:dyDescent="0.25">
      <c r="A30" s="2">
        <v>46261</v>
      </c>
      <c r="B30" s="1" t="str">
        <f ca="1">IF(Información1[[#This Row],[Fecha]]='Ajuste de fechas'!$A$2,"Día actual","Día anterior")</f>
        <v>Día anterior</v>
      </c>
      <c r="C30" s="3" t="s">
        <v>8</v>
      </c>
      <c r="D30" t="s">
        <v>10</v>
      </c>
      <c r="E30" s="3" t="s">
        <v>142</v>
      </c>
      <c r="F30" s="3" t="s">
        <v>15</v>
      </c>
      <c r="G30" s="3" t="s">
        <v>143</v>
      </c>
      <c r="H30" s="3" t="s">
        <v>11</v>
      </c>
      <c r="I30" s="3" t="s">
        <v>23</v>
      </c>
      <c r="J30" s="3" t="s">
        <v>37</v>
      </c>
      <c r="K30" s="3" t="s">
        <v>9</v>
      </c>
      <c r="L30" s="3" t="s">
        <v>39</v>
      </c>
      <c r="M30">
        <v>1</v>
      </c>
    </row>
    <row r="31" spans="1:13" x14ac:dyDescent="0.25">
      <c r="A31" s="2">
        <v>46261</v>
      </c>
      <c r="B31" s="1" t="str">
        <f ca="1">IF(Información1[[#This Row],[Fecha]]='Ajuste de fechas'!$A$2,"Día actual","Día anterior")</f>
        <v>Día anterior</v>
      </c>
      <c r="C31" s="3" t="s">
        <v>8</v>
      </c>
      <c r="D31" t="s">
        <v>10</v>
      </c>
      <c r="E31" s="3" t="s">
        <v>144</v>
      </c>
      <c r="F31" s="3" t="s">
        <v>6</v>
      </c>
      <c r="G31" s="3" t="s">
        <v>145</v>
      </c>
      <c r="H31" s="3" t="s">
        <v>11</v>
      </c>
      <c r="I31" s="3" t="s">
        <v>23</v>
      </c>
      <c r="J31" s="3" t="s">
        <v>37</v>
      </c>
      <c r="K31" s="3" t="s">
        <v>9</v>
      </c>
      <c r="L31" s="3" t="s">
        <v>39</v>
      </c>
      <c r="M31">
        <v>1</v>
      </c>
    </row>
    <row r="32" spans="1:13" x14ac:dyDescent="0.25">
      <c r="A32" s="2">
        <v>46261</v>
      </c>
      <c r="B32" s="1" t="str">
        <f ca="1">IF(Información1[[#This Row],[Fecha]]='Ajuste de fechas'!$A$2,"Día actual","Día anterior")</f>
        <v>Día anterior</v>
      </c>
      <c r="C32" s="3" t="s">
        <v>8</v>
      </c>
      <c r="D32" t="s">
        <v>10</v>
      </c>
      <c r="E32" s="3" t="s">
        <v>146</v>
      </c>
      <c r="F32" s="3" t="s">
        <v>6</v>
      </c>
      <c r="G32" s="3" t="s">
        <v>85</v>
      </c>
      <c r="H32" s="3" t="s">
        <v>11</v>
      </c>
      <c r="I32" s="3" t="s">
        <v>23</v>
      </c>
      <c r="J32" s="3" t="s">
        <v>37</v>
      </c>
      <c r="K32" s="3" t="s">
        <v>9</v>
      </c>
      <c r="L32" s="3" t="s">
        <v>39</v>
      </c>
      <c r="M32">
        <v>1</v>
      </c>
    </row>
    <row r="33" spans="1:13" x14ac:dyDescent="0.25">
      <c r="A33" s="2">
        <v>46261</v>
      </c>
      <c r="B33" s="1" t="str">
        <f ca="1">IF(Información1[[#This Row],[Fecha]]='Ajuste de fechas'!$A$2,"Día actual","Día anterior")</f>
        <v>Día anterior</v>
      </c>
      <c r="C33" s="3" t="s">
        <v>8</v>
      </c>
      <c r="D33" t="s">
        <v>10</v>
      </c>
      <c r="E33" s="3" t="s">
        <v>147</v>
      </c>
      <c r="F33" s="3" t="s">
        <v>6</v>
      </c>
      <c r="G33" s="3" t="s">
        <v>81</v>
      </c>
      <c r="H33" s="3" t="s">
        <v>11</v>
      </c>
      <c r="I33" s="3" t="s">
        <v>23</v>
      </c>
      <c r="J33" s="3" t="s">
        <v>37</v>
      </c>
      <c r="K33" s="3" t="s">
        <v>9</v>
      </c>
      <c r="L33" s="3" t="s">
        <v>39</v>
      </c>
      <c r="M33">
        <v>1</v>
      </c>
    </row>
    <row r="34" spans="1:13" x14ac:dyDescent="0.25">
      <c r="A34" s="2">
        <v>46261</v>
      </c>
      <c r="B34" s="1" t="str">
        <f ca="1">IF(Información1[[#This Row],[Fecha]]='Ajuste de fechas'!$A$2,"Día actual","Día anterior")</f>
        <v>Día anterior</v>
      </c>
      <c r="C34" s="3" t="s">
        <v>8</v>
      </c>
      <c r="D34" t="s">
        <v>10</v>
      </c>
      <c r="E34" s="3" t="s">
        <v>148</v>
      </c>
      <c r="F34" s="3" t="s">
        <v>6</v>
      </c>
      <c r="G34" s="3" t="s">
        <v>30</v>
      </c>
      <c r="H34" s="3" t="s">
        <v>11</v>
      </c>
      <c r="I34" s="3" t="s">
        <v>12</v>
      </c>
      <c r="J34" s="3" t="s">
        <v>37</v>
      </c>
      <c r="K34" s="3" t="s">
        <v>9</v>
      </c>
      <c r="L34" s="3" t="s">
        <v>39</v>
      </c>
      <c r="M34">
        <v>1</v>
      </c>
    </row>
    <row r="35" spans="1:13" x14ac:dyDescent="0.25">
      <c r="A35" s="2">
        <v>46261</v>
      </c>
      <c r="B35" s="1" t="str">
        <f ca="1">IF(Información1[[#This Row],[Fecha]]='Ajuste de fechas'!$A$2,"Día actual","Día anterior")</f>
        <v>Día anterior</v>
      </c>
      <c r="C35" s="3" t="s">
        <v>8</v>
      </c>
      <c r="D35" t="s">
        <v>10</v>
      </c>
      <c r="E35" s="3" t="s">
        <v>149</v>
      </c>
      <c r="F35" s="3" t="s">
        <v>6</v>
      </c>
      <c r="G35" s="3" t="s">
        <v>30</v>
      </c>
      <c r="H35" s="3" t="s">
        <v>11</v>
      </c>
      <c r="I35" s="3" t="s">
        <v>7</v>
      </c>
      <c r="J35" s="3" t="s">
        <v>37</v>
      </c>
      <c r="K35" s="3" t="s">
        <v>13</v>
      </c>
      <c r="L35" s="3" t="s">
        <v>39</v>
      </c>
      <c r="M35">
        <v>1</v>
      </c>
    </row>
    <row r="36" spans="1:13" x14ac:dyDescent="0.25">
      <c r="A36" s="2">
        <v>46261</v>
      </c>
      <c r="B36" s="1" t="str">
        <f ca="1">IF(Información1[[#This Row],[Fecha]]='Ajuste de fechas'!$A$2,"Día actual","Día anterior")</f>
        <v>Día anterior</v>
      </c>
      <c r="C36" s="3" t="s">
        <v>8</v>
      </c>
      <c r="D36" t="s">
        <v>10</v>
      </c>
      <c r="E36" s="3" t="s">
        <v>150</v>
      </c>
      <c r="F36" s="3" t="s">
        <v>60</v>
      </c>
      <c r="G36" s="3" t="s">
        <v>151</v>
      </c>
      <c r="H36" s="3" t="s">
        <v>11</v>
      </c>
      <c r="I36" s="3" t="s">
        <v>7</v>
      </c>
      <c r="J36" s="3" t="s">
        <v>37</v>
      </c>
      <c r="K36" s="3" t="s">
        <v>13</v>
      </c>
      <c r="L36" s="3" t="s">
        <v>38</v>
      </c>
      <c r="M36">
        <v>1</v>
      </c>
    </row>
    <row r="37" spans="1:13" x14ac:dyDescent="0.25">
      <c r="A37" s="2">
        <v>46261</v>
      </c>
      <c r="B37" s="1" t="str">
        <f ca="1">IF(Información1[[#This Row],[Fecha]]='Ajuste de fechas'!$A$2,"Día actual","Día anterior")</f>
        <v>Día anterior</v>
      </c>
      <c r="C37" s="3" t="s">
        <v>8</v>
      </c>
      <c r="D37" t="s">
        <v>10</v>
      </c>
      <c r="E37" s="3" t="s">
        <v>152</v>
      </c>
      <c r="F37" s="3" t="s">
        <v>80</v>
      </c>
      <c r="G37" s="3" t="s">
        <v>87</v>
      </c>
      <c r="H37" s="3" t="s">
        <v>11</v>
      </c>
      <c r="I37" s="3" t="s">
        <v>7</v>
      </c>
      <c r="J37" s="3" t="s">
        <v>37</v>
      </c>
      <c r="K37" s="3" t="s">
        <v>9</v>
      </c>
      <c r="L37" s="3" t="s">
        <v>39</v>
      </c>
      <c r="M37">
        <v>1</v>
      </c>
    </row>
    <row r="38" spans="1:13" x14ac:dyDescent="0.25">
      <c r="A38" s="2">
        <v>46261</v>
      </c>
      <c r="B38" s="1" t="str">
        <f ca="1">IF(Información1[[#This Row],[Fecha]]='Ajuste de fechas'!$A$2,"Día actual","Día anterior")</f>
        <v>Día anterior</v>
      </c>
      <c r="C38" s="3" t="s">
        <v>8</v>
      </c>
      <c r="D38" t="s">
        <v>10</v>
      </c>
      <c r="E38" s="3" t="s">
        <v>153</v>
      </c>
      <c r="F38" s="3" t="s">
        <v>20</v>
      </c>
      <c r="G38" s="3" t="s">
        <v>154</v>
      </c>
      <c r="H38" s="3" t="s">
        <v>11</v>
      </c>
      <c r="I38" s="3" t="s">
        <v>7</v>
      </c>
      <c r="J38" s="3" t="s">
        <v>42</v>
      </c>
      <c r="K38" s="3" t="s">
        <v>13</v>
      </c>
      <c r="L38" s="3" t="s">
        <v>38</v>
      </c>
      <c r="M38">
        <v>1</v>
      </c>
    </row>
    <row r="39" spans="1:13" x14ac:dyDescent="0.25">
      <c r="A39" s="2">
        <v>46261</v>
      </c>
      <c r="B39" s="1" t="str">
        <f ca="1">IF(Información1[[#This Row],[Fecha]]='Ajuste de fechas'!$A$2,"Día actual","Día anterior")</f>
        <v>Día anterior</v>
      </c>
      <c r="C39" s="3" t="s">
        <v>8</v>
      </c>
      <c r="D39" t="s">
        <v>10</v>
      </c>
      <c r="E39" s="3" t="s">
        <v>155</v>
      </c>
      <c r="F39" s="3" t="s">
        <v>80</v>
      </c>
      <c r="G39" s="3" t="s">
        <v>156</v>
      </c>
      <c r="H39" s="3" t="s">
        <v>11</v>
      </c>
      <c r="I39" s="3" t="s">
        <v>7</v>
      </c>
      <c r="J39" s="3" t="s">
        <v>37</v>
      </c>
      <c r="K39" s="3" t="s">
        <v>13</v>
      </c>
      <c r="L39" s="3" t="s">
        <v>40</v>
      </c>
      <c r="M39">
        <v>1</v>
      </c>
    </row>
    <row r="40" spans="1:13" x14ac:dyDescent="0.25">
      <c r="A40" s="2">
        <v>46261</v>
      </c>
      <c r="B40" s="1" t="str">
        <f ca="1">IF(Información1[[#This Row],[Fecha]]='Ajuste de fechas'!$A$2,"Día actual","Día anterior")</f>
        <v>Día anterior</v>
      </c>
      <c r="C40" s="3" t="s">
        <v>8</v>
      </c>
      <c r="D40" t="s">
        <v>10</v>
      </c>
      <c r="E40" s="3" t="s">
        <v>157</v>
      </c>
      <c r="F40" s="3" t="s">
        <v>24</v>
      </c>
      <c r="G40" s="3" t="s">
        <v>97</v>
      </c>
      <c r="H40" s="3" t="s">
        <v>11</v>
      </c>
      <c r="I40" s="3" t="s">
        <v>7</v>
      </c>
      <c r="J40" s="3" t="s">
        <v>37</v>
      </c>
      <c r="K40" s="3" t="s">
        <v>13</v>
      </c>
      <c r="L40" s="3" t="s">
        <v>40</v>
      </c>
      <c r="M40">
        <v>1</v>
      </c>
    </row>
    <row r="41" spans="1:13" x14ac:dyDescent="0.25">
      <c r="A41" s="2">
        <v>46261</v>
      </c>
      <c r="B41" s="1" t="str">
        <f ca="1">IF(Información1[[#This Row],[Fecha]]='Ajuste de fechas'!$A$2,"Día actual","Día anterior")</f>
        <v>Día anterior</v>
      </c>
      <c r="C41" s="3" t="s">
        <v>8</v>
      </c>
      <c r="D41" t="s">
        <v>10</v>
      </c>
      <c r="E41" s="3" t="s">
        <v>158</v>
      </c>
      <c r="F41" s="3" t="s">
        <v>21</v>
      </c>
      <c r="G41" s="3" t="s">
        <v>73</v>
      </c>
      <c r="H41" s="3" t="s">
        <v>11</v>
      </c>
      <c r="I41" s="3" t="s">
        <v>7</v>
      </c>
      <c r="J41" s="3" t="s">
        <v>37</v>
      </c>
      <c r="K41" s="3" t="s">
        <v>13</v>
      </c>
      <c r="L41" s="3" t="s">
        <v>40</v>
      </c>
      <c r="M41">
        <v>1</v>
      </c>
    </row>
    <row r="42" spans="1:13" x14ac:dyDescent="0.25">
      <c r="A42" s="2">
        <v>46261</v>
      </c>
      <c r="B42" s="1" t="str">
        <f ca="1">IF(Información1[[#This Row],[Fecha]]='Ajuste de fechas'!$A$2,"Día actual","Día anterior")</f>
        <v>Día anterior</v>
      </c>
      <c r="C42" s="3" t="s">
        <v>8</v>
      </c>
      <c r="D42" t="s">
        <v>10</v>
      </c>
      <c r="E42" s="3" t="s">
        <v>159</v>
      </c>
      <c r="F42" s="3" t="s">
        <v>21</v>
      </c>
      <c r="G42" s="3" t="s">
        <v>65</v>
      </c>
      <c r="H42" s="3" t="s">
        <v>11</v>
      </c>
      <c r="I42" s="3" t="s">
        <v>7</v>
      </c>
      <c r="J42" s="3" t="s">
        <v>37</v>
      </c>
      <c r="K42" s="3" t="s">
        <v>13</v>
      </c>
      <c r="L42" s="3" t="s">
        <v>40</v>
      </c>
      <c r="M42">
        <v>1</v>
      </c>
    </row>
    <row r="43" spans="1:13" x14ac:dyDescent="0.25">
      <c r="A43" s="2">
        <v>46261</v>
      </c>
      <c r="B43" s="1" t="str">
        <f ca="1">IF(Información1[[#This Row],[Fecha]]='Ajuste de fechas'!$A$2,"Día actual","Día anterior")</f>
        <v>Día anterior</v>
      </c>
      <c r="C43" s="3" t="s">
        <v>8</v>
      </c>
      <c r="D43" t="s">
        <v>10</v>
      </c>
      <c r="E43" s="3" t="s">
        <v>160</v>
      </c>
      <c r="F43" s="3" t="s">
        <v>20</v>
      </c>
      <c r="G43" s="3" t="s">
        <v>74</v>
      </c>
      <c r="H43" s="3" t="s">
        <v>11</v>
      </c>
      <c r="I43" s="3" t="s">
        <v>7</v>
      </c>
      <c r="J43" s="3" t="s">
        <v>42</v>
      </c>
      <c r="K43" s="3" t="s">
        <v>13</v>
      </c>
      <c r="L43" s="3" t="s">
        <v>38</v>
      </c>
      <c r="M43">
        <v>1</v>
      </c>
    </row>
    <row r="44" spans="1:13" x14ac:dyDescent="0.25">
      <c r="A44" s="2">
        <v>46261</v>
      </c>
      <c r="B44" s="1" t="str">
        <f ca="1">IF(Información1[[#This Row],[Fecha]]='Ajuste de fechas'!$A$2,"Día actual","Día anterior")</f>
        <v>Día anterior</v>
      </c>
      <c r="C44" s="3" t="s">
        <v>8</v>
      </c>
      <c r="D44" t="s">
        <v>10</v>
      </c>
      <c r="E44" s="3" t="s">
        <v>18</v>
      </c>
      <c r="F44" s="3" t="s">
        <v>17</v>
      </c>
      <c r="G44" s="3" t="s">
        <v>30</v>
      </c>
      <c r="H44" s="3" t="s">
        <v>11</v>
      </c>
      <c r="I44" s="3" t="s">
        <v>12</v>
      </c>
      <c r="J44" s="3" t="s">
        <v>41</v>
      </c>
      <c r="K44" s="3" t="s">
        <v>13</v>
      </c>
      <c r="L44" s="3" t="s">
        <v>39</v>
      </c>
      <c r="M44">
        <v>1</v>
      </c>
    </row>
    <row r="45" spans="1:13" x14ac:dyDescent="0.25">
      <c r="A45" s="2">
        <v>46261</v>
      </c>
      <c r="B45" s="1" t="str">
        <f ca="1">IF(Información1[[#This Row],[Fecha]]='Ajuste de fechas'!$A$2,"Día actual","Día anterior")</f>
        <v>Día anterior</v>
      </c>
      <c r="C45" s="3" t="s">
        <v>8</v>
      </c>
      <c r="D45" t="s">
        <v>10</v>
      </c>
      <c r="E45" s="3" t="s">
        <v>16</v>
      </c>
      <c r="F45" s="3" t="s">
        <v>17</v>
      </c>
      <c r="G45" s="3" t="s">
        <v>30</v>
      </c>
      <c r="H45" s="3" t="s">
        <v>11</v>
      </c>
      <c r="I45" s="3" t="s">
        <v>12</v>
      </c>
      <c r="J45" s="3" t="s">
        <v>41</v>
      </c>
      <c r="K45" s="3" t="s">
        <v>13</v>
      </c>
      <c r="L45" s="3" t="s">
        <v>39</v>
      </c>
      <c r="M45">
        <v>1</v>
      </c>
    </row>
    <row r="46" spans="1:13" x14ac:dyDescent="0.25">
      <c r="A46" s="2">
        <v>46261</v>
      </c>
      <c r="B46" s="1" t="str">
        <f ca="1">IF(Información1[[#This Row],[Fecha]]='Ajuste de fechas'!$A$2,"Día actual","Día anterior")</f>
        <v>Día anterior</v>
      </c>
      <c r="C46" s="3" t="s">
        <v>8</v>
      </c>
      <c r="D46" t="s">
        <v>10</v>
      </c>
      <c r="E46" s="3" t="s">
        <v>57</v>
      </c>
      <c r="F46" s="3" t="s">
        <v>47</v>
      </c>
      <c r="G46" s="3" t="s">
        <v>30</v>
      </c>
      <c r="H46" s="3" t="s">
        <v>11</v>
      </c>
      <c r="I46" s="3" t="s">
        <v>12</v>
      </c>
      <c r="J46" s="3" t="s">
        <v>22</v>
      </c>
      <c r="K46" s="3" t="s">
        <v>13</v>
      </c>
      <c r="L46" s="3" t="s">
        <v>39</v>
      </c>
      <c r="M46">
        <v>1</v>
      </c>
    </row>
    <row r="47" spans="1:13" x14ac:dyDescent="0.25">
      <c r="A47" s="2">
        <v>46261</v>
      </c>
      <c r="B47" s="1" t="str">
        <f ca="1">IF(Información1[[#This Row],[Fecha]]='Ajuste de fechas'!$A$2,"Día actual","Día anterior")</f>
        <v>Día anterior</v>
      </c>
      <c r="C47" s="3" t="s">
        <v>8</v>
      </c>
      <c r="D47" t="s">
        <v>10</v>
      </c>
      <c r="E47" s="3" t="s">
        <v>88</v>
      </c>
      <c r="F47" s="3" t="s">
        <v>19</v>
      </c>
      <c r="G47" s="3" t="s">
        <v>30</v>
      </c>
      <c r="H47" s="3" t="s">
        <v>11</v>
      </c>
      <c r="I47" s="3" t="s">
        <v>12</v>
      </c>
      <c r="J47" s="3" t="s">
        <v>37</v>
      </c>
      <c r="K47" s="3" t="s">
        <v>13</v>
      </c>
      <c r="L47" s="3" t="s">
        <v>39</v>
      </c>
      <c r="M47">
        <v>1</v>
      </c>
    </row>
    <row r="48" spans="1:13" x14ac:dyDescent="0.25">
      <c r="A48" s="2">
        <v>46261</v>
      </c>
      <c r="B48" s="1" t="str">
        <f ca="1">IF(Información1[[#This Row],[Fecha]]='Ajuste de fechas'!$A$2,"Día actual","Día anterior")</f>
        <v>Día anterior</v>
      </c>
      <c r="C48" s="3" t="s">
        <v>8</v>
      </c>
      <c r="D48" t="s">
        <v>10</v>
      </c>
      <c r="E48" s="3" t="s">
        <v>161</v>
      </c>
      <c r="F48" s="3" t="s">
        <v>113</v>
      </c>
      <c r="G48" s="3" t="s">
        <v>30</v>
      </c>
      <c r="H48" s="3" t="s">
        <v>11</v>
      </c>
      <c r="I48" s="3" t="s">
        <v>12</v>
      </c>
      <c r="J48" s="3" t="s">
        <v>37</v>
      </c>
      <c r="K48" s="3" t="s">
        <v>13</v>
      </c>
      <c r="L48" s="3" t="s">
        <v>39</v>
      </c>
      <c r="M48">
        <v>1</v>
      </c>
    </row>
    <row r="49" spans="1:13" x14ac:dyDescent="0.25">
      <c r="A49" s="2">
        <v>46261</v>
      </c>
      <c r="B49" s="1" t="str">
        <f ca="1">IF(Información1[[#This Row],[Fecha]]='Ajuste de fechas'!$A$2,"Día actual","Día anterior")</f>
        <v>Día anterior</v>
      </c>
      <c r="C49" s="3" t="s">
        <v>8</v>
      </c>
      <c r="D49" t="s">
        <v>10</v>
      </c>
      <c r="E49" s="3" t="s">
        <v>14</v>
      </c>
      <c r="F49" s="3" t="s">
        <v>15</v>
      </c>
      <c r="G49" s="3" t="s">
        <v>30</v>
      </c>
      <c r="H49" s="3" t="s">
        <v>11</v>
      </c>
      <c r="I49" s="3" t="s">
        <v>12</v>
      </c>
      <c r="J49" s="3" t="s">
        <v>37</v>
      </c>
      <c r="K49" s="3" t="s">
        <v>13</v>
      </c>
      <c r="L49" s="3" t="s">
        <v>39</v>
      </c>
      <c r="M49">
        <v>1</v>
      </c>
    </row>
    <row r="50" spans="1:13" x14ac:dyDescent="0.25">
      <c r="A50" s="2">
        <v>46261</v>
      </c>
      <c r="B50" s="1" t="str">
        <f ca="1">IF(Información1[[#This Row],[Fecha]]='Ajuste de fechas'!$A$2,"Día actual","Día anterior")</f>
        <v>Día anterior</v>
      </c>
      <c r="C50" s="3" t="s">
        <v>8</v>
      </c>
      <c r="D50" t="s">
        <v>10</v>
      </c>
      <c r="E50" s="3" t="s">
        <v>46</v>
      </c>
      <c r="F50" s="3" t="s">
        <v>6</v>
      </c>
      <c r="G50" s="3" t="s">
        <v>30</v>
      </c>
      <c r="H50" s="3" t="s">
        <v>11</v>
      </c>
      <c r="I50" s="3" t="s">
        <v>12</v>
      </c>
      <c r="J50" s="3" t="s">
        <v>37</v>
      </c>
      <c r="K50" s="3" t="s">
        <v>13</v>
      </c>
      <c r="L50" s="3" t="s">
        <v>39</v>
      </c>
      <c r="M50">
        <v>1</v>
      </c>
    </row>
    <row r="51" spans="1:13" x14ac:dyDescent="0.25">
      <c r="A51" s="2">
        <v>46261</v>
      </c>
      <c r="B51" s="1" t="str">
        <f ca="1">IF(Información1[[#This Row],[Fecha]]='Ajuste de fechas'!$A$2,"Día actual","Día anterior")</f>
        <v>Día anterior</v>
      </c>
      <c r="C51" s="3" t="s">
        <v>63</v>
      </c>
      <c r="D51" t="s">
        <v>64</v>
      </c>
      <c r="E51" s="3" t="s">
        <v>162</v>
      </c>
      <c r="F51" s="3" t="s">
        <v>19</v>
      </c>
      <c r="G51" s="3" t="s">
        <v>75</v>
      </c>
      <c r="H51" s="3" t="s">
        <v>11</v>
      </c>
      <c r="I51" s="3" t="s">
        <v>7</v>
      </c>
      <c r="J51" s="3" t="s">
        <v>37</v>
      </c>
      <c r="K51" s="3" t="s">
        <v>67</v>
      </c>
      <c r="L51" s="3" t="s">
        <v>40</v>
      </c>
      <c r="M51">
        <v>1</v>
      </c>
    </row>
    <row r="52" spans="1:13" x14ac:dyDescent="0.25">
      <c r="A52" s="2">
        <v>46261</v>
      </c>
      <c r="B52" s="1" t="str">
        <f ca="1">IF(Información1[[#This Row],[Fecha]]='Ajuste de fechas'!$A$2,"Día actual","Día anterior")</f>
        <v>Día anterior</v>
      </c>
      <c r="C52" s="3" t="s">
        <v>63</v>
      </c>
      <c r="D52" t="s">
        <v>64</v>
      </c>
      <c r="E52" s="3" t="s">
        <v>163</v>
      </c>
      <c r="F52" s="3" t="s">
        <v>17</v>
      </c>
      <c r="G52" s="3" t="s">
        <v>164</v>
      </c>
      <c r="H52" s="3" t="s">
        <v>11</v>
      </c>
      <c r="I52" s="3" t="s">
        <v>7</v>
      </c>
      <c r="J52" s="3" t="s">
        <v>41</v>
      </c>
      <c r="K52" s="3" t="s">
        <v>66</v>
      </c>
      <c r="L52" s="3" t="s">
        <v>51</v>
      </c>
      <c r="M52">
        <v>1</v>
      </c>
    </row>
    <row r="53" spans="1:13" x14ac:dyDescent="0.25">
      <c r="A53" s="2">
        <v>46261</v>
      </c>
      <c r="B53" s="1" t="str">
        <f ca="1">IF(Información1[[#This Row],[Fecha]]='Ajuste de fechas'!$A$2,"Día actual","Día anterior")</f>
        <v>Día anterior</v>
      </c>
      <c r="C53" s="3" t="s">
        <v>63</v>
      </c>
      <c r="D53" t="s">
        <v>64</v>
      </c>
      <c r="E53" s="3" t="s">
        <v>165</v>
      </c>
      <c r="F53" s="3" t="s">
        <v>20</v>
      </c>
      <c r="G53" s="3" t="s">
        <v>166</v>
      </c>
      <c r="H53" s="3" t="s">
        <v>11</v>
      </c>
      <c r="I53" s="3" t="s">
        <v>7</v>
      </c>
      <c r="J53" s="3" t="s">
        <v>42</v>
      </c>
      <c r="K53" s="3" t="s">
        <v>66</v>
      </c>
      <c r="L53" s="3" t="s">
        <v>38</v>
      </c>
      <c r="M53">
        <v>1</v>
      </c>
    </row>
    <row r="54" spans="1:13" x14ac:dyDescent="0.25">
      <c r="A54" s="2">
        <v>46261</v>
      </c>
      <c r="B54" s="1" t="str">
        <f ca="1">IF(Información1[[#This Row],[Fecha]]='Ajuste de fechas'!$A$2,"Día actual","Día anterior")</f>
        <v>Día anterior</v>
      </c>
      <c r="C54" s="3" t="s">
        <v>63</v>
      </c>
      <c r="D54" t="s">
        <v>64</v>
      </c>
      <c r="E54" s="3" t="s">
        <v>167</v>
      </c>
      <c r="F54" s="3" t="s">
        <v>21</v>
      </c>
      <c r="G54" s="3" t="s">
        <v>65</v>
      </c>
      <c r="H54" s="3" t="s">
        <v>11</v>
      </c>
      <c r="I54" s="3" t="s">
        <v>7</v>
      </c>
      <c r="J54" s="3" t="s">
        <v>37</v>
      </c>
      <c r="K54" s="3" t="s">
        <v>67</v>
      </c>
      <c r="L54" s="3" t="s">
        <v>38</v>
      </c>
      <c r="M54">
        <v>1</v>
      </c>
    </row>
    <row r="55" spans="1:13" x14ac:dyDescent="0.25">
      <c r="A55" s="2">
        <v>46261</v>
      </c>
      <c r="B55" s="1" t="str">
        <f ca="1">IF(Información1[[#This Row],[Fecha]]='Ajuste de fechas'!$A$2,"Día actual","Día anterior")</f>
        <v>Día anterior</v>
      </c>
      <c r="C55" s="3" t="s">
        <v>63</v>
      </c>
      <c r="D55" t="s">
        <v>64</v>
      </c>
      <c r="E55" s="3" t="s">
        <v>159</v>
      </c>
      <c r="F55" s="3" t="s">
        <v>21</v>
      </c>
      <c r="G55" s="3" t="s">
        <v>65</v>
      </c>
      <c r="H55" s="3" t="s">
        <v>11</v>
      </c>
      <c r="I55" s="3" t="s">
        <v>7</v>
      </c>
      <c r="J55" s="3" t="s">
        <v>37</v>
      </c>
      <c r="K55" s="3" t="s">
        <v>67</v>
      </c>
      <c r="L55" s="3" t="s">
        <v>40</v>
      </c>
      <c r="M55">
        <v>1</v>
      </c>
    </row>
    <row r="56" spans="1:13" x14ac:dyDescent="0.25">
      <c r="A56" s="2">
        <v>46261</v>
      </c>
      <c r="B56" s="1" t="str">
        <f ca="1">IF(Información1[[#This Row],[Fecha]]='Ajuste de fechas'!$A$2,"Día actual","Día anterior")</f>
        <v>Día anterior</v>
      </c>
      <c r="C56" s="3" t="s">
        <v>63</v>
      </c>
      <c r="D56" t="s">
        <v>64</v>
      </c>
      <c r="E56" s="3" t="s">
        <v>168</v>
      </c>
      <c r="F56" s="3" t="s">
        <v>20</v>
      </c>
      <c r="G56" s="3" t="s">
        <v>78</v>
      </c>
      <c r="H56" s="3" t="s">
        <v>11</v>
      </c>
      <c r="I56" s="3" t="s">
        <v>7</v>
      </c>
      <c r="J56" s="3" t="s">
        <v>42</v>
      </c>
      <c r="K56" s="3" t="s">
        <v>66</v>
      </c>
      <c r="L56" s="3" t="s">
        <v>38</v>
      </c>
      <c r="M56">
        <v>1</v>
      </c>
    </row>
    <row r="57" spans="1:13" x14ac:dyDescent="0.25">
      <c r="A57" s="2">
        <v>46261</v>
      </c>
      <c r="B57" s="1" t="str">
        <f ca="1">IF(Información1[[#This Row],[Fecha]]='Ajuste de fechas'!$A$2,"Día actual","Día anterior")</f>
        <v>Día anterior</v>
      </c>
      <c r="C57" s="3" t="s">
        <v>63</v>
      </c>
      <c r="D57" t="s">
        <v>64</v>
      </c>
      <c r="E57" s="3" t="s">
        <v>169</v>
      </c>
      <c r="F57" s="3" t="s">
        <v>47</v>
      </c>
      <c r="G57" s="3" t="s">
        <v>170</v>
      </c>
      <c r="H57" s="3" t="s">
        <v>11</v>
      </c>
      <c r="I57" s="3" t="s">
        <v>23</v>
      </c>
      <c r="J57" s="3" t="s">
        <v>22</v>
      </c>
      <c r="K57" s="3" t="s">
        <v>66</v>
      </c>
      <c r="L57" s="3" t="s">
        <v>39</v>
      </c>
      <c r="M57">
        <v>1</v>
      </c>
    </row>
    <row r="58" spans="1:13" x14ac:dyDescent="0.25">
      <c r="A58" s="2">
        <v>46261</v>
      </c>
      <c r="B58" s="1" t="str">
        <f ca="1">IF(Información1[[#This Row],[Fecha]]='Ajuste de fechas'!$A$2,"Día actual","Día anterior")</f>
        <v>Día anterior</v>
      </c>
      <c r="C58" s="3" t="s">
        <v>63</v>
      </c>
      <c r="D58" t="s">
        <v>64</v>
      </c>
      <c r="E58" s="3" t="s">
        <v>171</v>
      </c>
      <c r="F58" s="3" t="s">
        <v>47</v>
      </c>
      <c r="G58" s="3" t="s">
        <v>170</v>
      </c>
      <c r="H58" s="3" t="s">
        <v>11</v>
      </c>
      <c r="I58" s="3" t="s">
        <v>7</v>
      </c>
      <c r="J58" s="3" t="s">
        <v>22</v>
      </c>
      <c r="K58" s="3" t="s">
        <v>66</v>
      </c>
      <c r="L58" s="3" t="s">
        <v>38</v>
      </c>
      <c r="M58">
        <v>1</v>
      </c>
    </row>
    <row r="59" spans="1:13" x14ac:dyDescent="0.25">
      <c r="A59" s="2">
        <v>46261</v>
      </c>
      <c r="B59" s="1" t="str">
        <f ca="1">IF(Información1[[#This Row],[Fecha]]='Ajuste de fechas'!$A$2,"Día actual","Día anterior")</f>
        <v>Día anterior</v>
      </c>
      <c r="C59" s="3" t="s">
        <v>63</v>
      </c>
      <c r="D59" t="s">
        <v>64</v>
      </c>
      <c r="E59" s="3" t="s">
        <v>172</v>
      </c>
      <c r="F59" s="3" t="s">
        <v>58</v>
      </c>
      <c r="G59" s="3" t="s">
        <v>173</v>
      </c>
      <c r="H59" s="3" t="s">
        <v>11</v>
      </c>
      <c r="I59" s="3" t="s">
        <v>7</v>
      </c>
      <c r="J59" s="3" t="s">
        <v>37</v>
      </c>
      <c r="K59" s="3" t="s">
        <v>66</v>
      </c>
      <c r="L59" s="3" t="s">
        <v>38</v>
      </c>
      <c r="M59">
        <v>1</v>
      </c>
    </row>
    <row r="60" spans="1:13" x14ac:dyDescent="0.25">
      <c r="A60" s="2">
        <v>46261</v>
      </c>
      <c r="B60" s="1" t="str">
        <f ca="1">IF(Información1[[#This Row],[Fecha]]='Ajuste de fechas'!$A$2,"Día actual","Día anterior")</f>
        <v>Día anterior</v>
      </c>
      <c r="C60" s="3" t="s">
        <v>63</v>
      </c>
      <c r="D60" t="s">
        <v>64</v>
      </c>
      <c r="E60" s="3" t="s">
        <v>174</v>
      </c>
      <c r="F60" s="3" t="s">
        <v>55</v>
      </c>
      <c r="G60" s="3" t="s">
        <v>175</v>
      </c>
      <c r="H60" s="3" t="s">
        <v>11</v>
      </c>
      <c r="I60" s="3" t="s">
        <v>12</v>
      </c>
      <c r="J60" s="3" t="s">
        <v>37</v>
      </c>
      <c r="K60" s="3" t="s">
        <v>66</v>
      </c>
      <c r="L60" s="3" t="s">
        <v>39</v>
      </c>
      <c r="M60">
        <v>1</v>
      </c>
    </row>
    <row r="61" spans="1:13" x14ac:dyDescent="0.25">
      <c r="A61" s="2">
        <v>46261</v>
      </c>
      <c r="B61" s="1" t="str">
        <f ca="1">IF(Información1[[#This Row],[Fecha]]='Ajuste de fechas'!$A$2,"Día actual","Día anterior")</f>
        <v>Día anterior</v>
      </c>
      <c r="C61" s="3" t="s">
        <v>63</v>
      </c>
      <c r="D61" t="s">
        <v>64</v>
      </c>
      <c r="E61" s="3" t="s">
        <v>176</v>
      </c>
      <c r="F61" s="3" t="s">
        <v>55</v>
      </c>
      <c r="G61" s="3" t="s">
        <v>175</v>
      </c>
      <c r="H61" s="3" t="s">
        <v>11</v>
      </c>
      <c r="I61" s="3" t="s">
        <v>12</v>
      </c>
      <c r="J61" s="3" t="s">
        <v>37</v>
      </c>
      <c r="K61" s="3" t="s">
        <v>67</v>
      </c>
      <c r="L61" s="3" t="s">
        <v>38</v>
      </c>
      <c r="M61">
        <v>1</v>
      </c>
    </row>
    <row r="62" spans="1:13" x14ac:dyDescent="0.25">
      <c r="A62" s="2">
        <v>46261</v>
      </c>
      <c r="B62" s="1" t="str">
        <f ca="1">IF(Información1[[#This Row],[Fecha]]='Ajuste de fechas'!$A$2,"Día actual","Día anterior")</f>
        <v>Día anterior</v>
      </c>
      <c r="C62" s="3" t="s">
        <v>63</v>
      </c>
      <c r="D62" t="s">
        <v>64</v>
      </c>
      <c r="E62" s="3" t="s">
        <v>177</v>
      </c>
      <c r="F62" s="3" t="s">
        <v>24</v>
      </c>
      <c r="G62" s="3" t="s">
        <v>93</v>
      </c>
      <c r="H62" s="3" t="s">
        <v>11</v>
      </c>
      <c r="I62" s="3" t="s">
        <v>12</v>
      </c>
      <c r="J62" s="3" t="s">
        <v>37</v>
      </c>
      <c r="K62" s="3" t="s">
        <v>66</v>
      </c>
      <c r="L62" s="3" t="s">
        <v>39</v>
      </c>
      <c r="M62">
        <v>1</v>
      </c>
    </row>
    <row r="63" spans="1:13" x14ac:dyDescent="0.25">
      <c r="A63" s="2">
        <v>46261</v>
      </c>
      <c r="B63" s="1" t="str">
        <f ca="1">IF(Información1[[#This Row],[Fecha]]='Ajuste de fechas'!$A$2,"Día actual","Día anterior")</f>
        <v>Día anterior</v>
      </c>
      <c r="C63" s="3" t="s">
        <v>63</v>
      </c>
      <c r="D63" t="s">
        <v>64</v>
      </c>
      <c r="E63" s="3" t="s">
        <v>178</v>
      </c>
      <c r="F63" s="3" t="s">
        <v>24</v>
      </c>
      <c r="G63" s="3" t="s">
        <v>93</v>
      </c>
      <c r="H63" s="3" t="s">
        <v>11</v>
      </c>
      <c r="I63" s="3" t="s">
        <v>12</v>
      </c>
      <c r="J63" s="3" t="s">
        <v>37</v>
      </c>
      <c r="K63" s="3" t="s">
        <v>66</v>
      </c>
      <c r="L63" s="3" t="s">
        <v>38</v>
      </c>
      <c r="M63">
        <v>1</v>
      </c>
    </row>
    <row r="64" spans="1:13" x14ac:dyDescent="0.25">
      <c r="A64" s="2">
        <v>46261</v>
      </c>
      <c r="B64" s="1" t="str">
        <f ca="1">IF(Información1[[#This Row],[Fecha]]='Ajuste de fechas'!$A$2,"Día actual","Día anterior")</f>
        <v>Día anterior</v>
      </c>
      <c r="C64" s="3" t="s">
        <v>63</v>
      </c>
      <c r="D64" t="s">
        <v>64</v>
      </c>
      <c r="E64" s="3" t="s">
        <v>179</v>
      </c>
      <c r="F64" s="3" t="s">
        <v>24</v>
      </c>
      <c r="G64" s="3" t="s">
        <v>97</v>
      </c>
      <c r="H64" s="3" t="s">
        <v>11</v>
      </c>
      <c r="I64" s="3" t="s">
        <v>12</v>
      </c>
      <c r="J64" s="3" t="s">
        <v>37</v>
      </c>
      <c r="K64" s="3" t="s">
        <v>67</v>
      </c>
      <c r="L64" s="3" t="s">
        <v>39</v>
      </c>
      <c r="M64">
        <v>1</v>
      </c>
    </row>
    <row r="65" spans="1:13" x14ac:dyDescent="0.25">
      <c r="A65" s="2">
        <v>46261</v>
      </c>
      <c r="B65" s="1" t="str">
        <f ca="1">IF(Información1[[#This Row],[Fecha]]='Ajuste de fechas'!$A$2,"Día actual","Día anterior")</f>
        <v>Día anterior</v>
      </c>
      <c r="C65" s="3" t="s">
        <v>63</v>
      </c>
      <c r="D65" t="s">
        <v>64</v>
      </c>
      <c r="E65" s="3" t="s">
        <v>111</v>
      </c>
      <c r="F65" s="3" t="s">
        <v>24</v>
      </c>
      <c r="G65" s="3" t="s">
        <v>97</v>
      </c>
      <c r="H65" s="3" t="s">
        <v>11</v>
      </c>
      <c r="I65" s="3" t="s">
        <v>7</v>
      </c>
      <c r="J65" s="3" t="s">
        <v>37</v>
      </c>
      <c r="K65" s="3" t="s">
        <v>67</v>
      </c>
      <c r="L65" s="3" t="s">
        <v>40</v>
      </c>
      <c r="M65">
        <v>1</v>
      </c>
    </row>
    <row r="66" spans="1:13" x14ac:dyDescent="0.25">
      <c r="A66" s="2">
        <v>46261</v>
      </c>
      <c r="B66" s="1" t="str">
        <f ca="1">IF(Información1[[#This Row],[Fecha]]='Ajuste de fechas'!$A$2,"Día actual","Día anterior")</f>
        <v>Día anterior</v>
      </c>
      <c r="C66" s="3" t="s">
        <v>63</v>
      </c>
      <c r="D66" t="s">
        <v>64</v>
      </c>
      <c r="E66" s="3" t="s">
        <v>180</v>
      </c>
      <c r="F66" s="3" t="s">
        <v>17</v>
      </c>
      <c r="G66" s="3" t="s">
        <v>92</v>
      </c>
      <c r="H66" s="3" t="s">
        <v>11</v>
      </c>
      <c r="I66" s="3" t="s">
        <v>7</v>
      </c>
      <c r="J66" s="3" t="s">
        <v>41</v>
      </c>
      <c r="K66" s="3" t="s">
        <v>91</v>
      </c>
      <c r="L66" s="3" t="s">
        <v>38</v>
      </c>
      <c r="M66">
        <v>1</v>
      </c>
    </row>
    <row r="67" spans="1:13" x14ac:dyDescent="0.25">
      <c r="A67" s="2">
        <v>46261</v>
      </c>
      <c r="B67" s="1" t="str">
        <f ca="1">IF(Información1[[#This Row],[Fecha]]='Ajuste de fechas'!$A$2,"Día actual","Día anterior")</f>
        <v>Día anterior</v>
      </c>
      <c r="C67" s="3" t="s">
        <v>63</v>
      </c>
      <c r="D67" t="s">
        <v>64</v>
      </c>
      <c r="E67" s="3" t="s">
        <v>181</v>
      </c>
      <c r="F67" s="3" t="s">
        <v>17</v>
      </c>
      <c r="G67" s="3" t="s">
        <v>182</v>
      </c>
      <c r="H67" s="3" t="s">
        <v>11</v>
      </c>
      <c r="I67" s="3" t="s">
        <v>7</v>
      </c>
      <c r="J67" s="3" t="s">
        <v>41</v>
      </c>
      <c r="K67" s="3" t="s">
        <v>9</v>
      </c>
      <c r="L67" s="3" t="s">
        <v>39</v>
      </c>
      <c r="M67">
        <v>1</v>
      </c>
    </row>
    <row r="68" spans="1:13" x14ac:dyDescent="0.25">
      <c r="A68" s="2">
        <v>46261</v>
      </c>
      <c r="B68" s="1" t="str">
        <f ca="1">IF(Información1[[#This Row],[Fecha]]='Ajuste de fechas'!$A$2,"Día actual","Día anterior")</f>
        <v>Día anterior</v>
      </c>
      <c r="C68" s="3" t="s">
        <v>63</v>
      </c>
      <c r="D68" t="s">
        <v>64</v>
      </c>
      <c r="E68" s="3" t="s">
        <v>183</v>
      </c>
      <c r="F68" s="3" t="s">
        <v>24</v>
      </c>
      <c r="G68" s="3" t="s">
        <v>184</v>
      </c>
      <c r="H68" s="3" t="s">
        <v>11</v>
      </c>
      <c r="I68" s="3" t="s">
        <v>23</v>
      </c>
      <c r="J68" s="3" t="s">
        <v>37</v>
      </c>
      <c r="K68" s="3" t="s">
        <v>9</v>
      </c>
      <c r="L68" s="3" t="s">
        <v>39</v>
      </c>
      <c r="M68">
        <v>1</v>
      </c>
    </row>
    <row r="69" spans="1:13" x14ac:dyDescent="0.25">
      <c r="A69" s="2">
        <v>46261</v>
      </c>
      <c r="B69" s="1" t="str">
        <f ca="1">IF(Información1[[#This Row],[Fecha]]='Ajuste de fechas'!$A$2,"Día actual","Día anterior")</f>
        <v>Día anterior</v>
      </c>
      <c r="C69" s="3" t="s">
        <v>63</v>
      </c>
      <c r="D69" t="s">
        <v>64</v>
      </c>
      <c r="E69" s="3" t="s">
        <v>185</v>
      </c>
      <c r="F69" s="3" t="s">
        <v>20</v>
      </c>
      <c r="G69" s="3" t="s">
        <v>74</v>
      </c>
      <c r="H69" s="3" t="s">
        <v>11</v>
      </c>
      <c r="I69" s="3" t="s">
        <v>7</v>
      </c>
      <c r="J69" s="3" t="s">
        <v>42</v>
      </c>
      <c r="K69" s="3" t="s">
        <v>67</v>
      </c>
      <c r="L69" s="3" t="s">
        <v>38</v>
      </c>
      <c r="M69">
        <v>1</v>
      </c>
    </row>
    <row r="70" spans="1:13" x14ac:dyDescent="0.25">
      <c r="A70" s="2">
        <v>46261</v>
      </c>
      <c r="B70" s="1" t="str">
        <f ca="1">IF(Información1[[#This Row],[Fecha]]='Ajuste de fechas'!$A$2,"Día actual","Día anterior")</f>
        <v>Día anterior</v>
      </c>
      <c r="C70" s="3" t="s">
        <v>63</v>
      </c>
      <c r="D70" t="s">
        <v>64</v>
      </c>
      <c r="E70" s="3" t="s">
        <v>186</v>
      </c>
      <c r="F70" s="3" t="s">
        <v>21</v>
      </c>
      <c r="G70" s="3" t="s">
        <v>187</v>
      </c>
      <c r="H70" s="3" t="s">
        <v>11</v>
      </c>
      <c r="I70" s="3" t="s">
        <v>23</v>
      </c>
      <c r="J70" s="3" t="s">
        <v>37</v>
      </c>
      <c r="K70" s="3" t="s">
        <v>66</v>
      </c>
      <c r="L70" s="3" t="s">
        <v>39</v>
      </c>
      <c r="M70">
        <v>1</v>
      </c>
    </row>
    <row r="71" spans="1:13" x14ac:dyDescent="0.25">
      <c r="A71" s="2">
        <v>46261</v>
      </c>
      <c r="B71" s="1" t="str">
        <f ca="1">IF(Información1[[#This Row],[Fecha]]='Ajuste de fechas'!$A$2,"Día actual","Día anterior")</f>
        <v>Día anterior</v>
      </c>
      <c r="C71" s="3" t="s">
        <v>63</v>
      </c>
      <c r="D71" t="s">
        <v>64</v>
      </c>
      <c r="E71" s="3" t="s">
        <v>188</v>
      </c>
      <c r="F71" s="3" t="s">
        <v>21</v>
      </c>
      <c r="G71" s="3" t="s">
        <v>187</v>
      </c>
      <c r="H71" s="3" t="s">
        <v>11</v>
      </c>
      <c r="I71" s="3" t="s">
        <v>12</v>
      </c>
      <c r="J71" s="3" t="s">
        <v>37</v>
      </c>
      <c r="K71" s="3" t="s">
        <v>66</v>
      </c>
      <c r="L71" s="3" t="s">
        <v>38</v>
      </c>
      <c r="M71">
        <v>1</v>
      </c>
    </row>
    <row r="72" spans="1:13" x14ac:dyDescent="0.25">
      <c r="A72" s="2">
        <v>46261</v>
      </c>
      <c r="B72" s="1" t="str">
        <f ca="1">IF(Información1[[#This Row],[Fecha]]='Ajuste de fechas'!$A$2,"Día actual","Día anterior")</f>
        <v>Día anterior</v>
      </c>
      <c r="C72" s="3" t="s">
        <v>63</v>
      </c>
      <c r="D72" t="s">
        <v>64</v>
      </c>
      <c r="E72" s="3" t="s">
        <v>189</v>
      </c>
      <c r="F72" s="3" t="s">
        <v>60</v>
      </c>
      <c r="G72" s="3" t="s">
        <v>131</v>
      </c>
      <c r="H72" s="3" t="s">
        <v>11</v>
      </c>
      <c r="I72" s="3" t="s">
        <v>7</v>
      </c>
      <c r="J72" s="3" t="s">
        <v>37</v>
      </c>
      <c r="K72" s="3" t="s">
        <v>67</v>
      </c>
      <c r="L72" s="3" t="s">
        <v>38</v>
      </c>
      <c r="M72">
        <v>1</v>
      </c>
    </row>
    <row r="73" spans="1:13" x14ac:dyDescent="0.25">
      <c r="A73" s="2">
        <v>46261</v>
      </c>
      <c r="B73" s="1" t="str">
        <f ca="1">IF(Información1[[#This Row],[Fecha]]='Ajuste de fechas'!$A$2,"Día actual","Día anterior")</f>
        <v>Día anterior</v>
      </c>
      <c r="C73" s="3" t="s">
        <v>27</v>
      </c>
      <c r="D73" t="s">
        <v>28</v>
      </c>
      <c r="E73" s="3" t="s">
        <v>190</v>
      </c>
      <c r="F73" s="3" t="s">
        <v>24</v>
      </c>
      <c r="G73" s="3" t="s">
        <v>191</v>
      </c>
      <c r="H73" s="3" t="s">
        <v>48</v>
      </c>
      <c r="I73" s="3" t="s">
        <v>7</v>
      </c>
      <c r="J73" s="3" t="s">
        <v>37</v>
      </c>
      <c r="K73" s="3" t="s">
        <v>9</v>
      </c>
      <c r="L73" s="3" t="s">
        <v>39</v>
      </c>
      <c r="M73">
        <v>1</v>
      </c>
    </row>
    <row r="74" spans="1:13" x14ac:dyDescent="0.25">
      <c r="A74" s="2">
        <v>46261</v>
      </c>
      <c r="B74" s="1" t="str">
        <f ca="1">IF(Información1[[#This Row],[Fecha]]='Ajuste de fechas'!$A$2,"Día actual","Día anterior")</f>
        <v>Día anterior</v>
      </c>
      <c r="C74" s="3" t="s">
        <v>27</v>
      </c>
      <c r="D74" t="s">
        <v>28</v>
      </c>
      <c r="E74" s="3" t="s">
        <v>192</v>
      </c>
      <c r="F74" s="3" t="s">
        <v>24</v>
      </c>
      <c r="G74" s="3" t="s">
        <v>76</v>
      </c>
      <c r="H74" s="3" t="s">
        <v>48</v>
      </c>
      <c r="I74" s="3" t="s">
        <v>7</v>
      </c>
      <c r="J74" s="3" t="s">
        <v>37</v>
      </c>
      <c r="K74" s="3" t="s">
        <v>25</v>
      </c>
      <c r="L74" s="3" t="s">
        <v>38</v>
      </c>
      <c r="M74">
        <v>1</v>
      </c>
    </row>
    <row r="75" spans="1:13" x14ac:dyDescent="0.25">
      <c r="A75" s="2">
        <v>46261</v>
      </c>
      <c r="B75" s="1" t="str">
        <f ca="1">IF(Información1[[#This Row],[Fecha]]='Ajuste de fechas'!$A$2,"Día actual","Día anterior")</f>
        <v>Día anterior</v>
      </c>
      <c r="C75" s="3" t="s">
        <v>27</v>
      </c>
      <c r="D75" t="s">
        <v>28</v>
      </c>
      <c r="E75" s="3" t="s">
        <v>193</v>
      </c>
      <c r="F75" s="3" t="s">
        <v>21</v>
      </c>
      <c r="G75" s="3" t="s">
        <v>194</v>
      </c>
      <c r="H75" s="3" t="s">
        <v>48</v>
      </c>
      <c r="I75" s="3" t="s">
        <v>23</v>
      </c>
      <c r="J75" s="3" t="s">
        <v>37</v>
      </c>
      <c r="K75" s="3" t="s">
        <v>25</v>
      </c>
      <c r="L75" s="3" t="s">
        <v>38</v>
      </c>
      <c r="M75">
        <v>1</v>
      </c>
    </row>
    <row r="76" spans="1:13" x14ac:dyDescent="0.25">
      <c r="A76" s="2">
        <v>46261</v>
      </c>
      <c r="B76" s="1" t="str">
        <f ca="1">IF(Información1[[#This Row],[Fecha]]='Ajuste de fechas'!$A$2,"Día actual","Día anterior")</f>
        <v>Día anterior</v>
      </c>
      <c r="C76" s="3" t="s">
        <v>27</v>
      </c>
      <c r="D76" t="s">
        <v>28</v>
      </c>
      <c r="E76" s="3" t="s">
        <v>195</v>
      </c>
      <c r="F76" s="3" t="s">
        <v>17</v>
      </c>
      <c r="G76" s="3" t="s">
        <v>166</v>
      </c>
      <c r="H76" s="3" t="s">
        <v>48</v>
      </c>
      <c r="I76" s="3" t="s">
        <v>7</v>
      </c>
      <c r="J76" s="3" t="s">
        <v>41</v>
      </c>
      <c r="K76" s="3" t="s">
        <v>61</v>
      </c>
      <c r="L76" s="3" t="s">
        <v>38</v>
      </c>
      <c r="M76">
        <v>1</v>
      </c>
    </row>
    <row r="77" spans="1:13" x14ac:dyDescent="0.25">
      <c r="A77" s="2">
        <v>46261</v>
      </c>
      <c r="B77" s="1" t="str">
        <f ca="1">IF(Información1[[#This Row],[Fecha]]='Ajuste de fechas'!$A$2,"Día actual","Día anterior")</f>
        <v>Día anterior</v>
      </c>
      <c r="C77" s="3" t="s">
        <v>27</v>
      </c>
      <c r="D77" t="s">
        <v>28</v>
      </c>
      <c r="E77" s="3" t="s">
        <v>196</v>
      </c>
      <c r="F77" s="3" t="s">
        <v>22</v>
      </c>
      <c r="G77" s="3" t="s">
        <v>197</v>
      </c>
      <c r="H77" s="3" t="s">
        <v>48</v>
      </c>
      <c r="I77" s="3" t="s">
        <v>7</v>
      </c>
      <c r="J77" s="3" t="s">
        <v>22</v>
      </c>
      <c r="K77" s="3" t="s">
        <v>25</v>
      </c>
      <c r="L77" s="3" t="s">
        <v>38</v>
      </c>
      <c r="M77">
        <v>1</v>
      </c>
    </row>
    <row r="78" spans="1:13" x14ac:dyDescent="0.25">
      <c r="A78" s="2">
        <v>46261</v>
      </c>
      <c r="B78" s="1" t="str">
        <f ca="1">IF(Información1[[#This Row],[Fecha]]='Ajuste de fechas'!$A$2,"Día actual","Día anterior")</f>
        <v>Día anterior</v>
      </c>
      <c r="C78" s="3" t="s">
        <v>27</v>
      </c>
      <c r="D78" t="s">
        <v>28</v>
      </c>
      <c r="E78" s="3" t="s">
        <v>198</v>
      </c>
      <c r="F78" s="3" t="s">
        <v>17</v>
      </c>
      <c r="G78" s="3" t="s">
        <v>30</v>
      </c>
      <c r="H78" s="3" t="s">
        <v>48</v>
      </c>
      <c r="I78" s="3" t="s">
        <v>7</v>
      </c>
      <c r="J78" s="3" t="s">
        <v>41</v>
      </c>
      <c r="K78" s="3" t="s">
        <v>25</v>
      </c>
      <c r="L78" s="3" t="s">
        <v>38</v>
      </c>
      <c r="M78">
        <v>1</v>
      </c>
    </row>
    <row r="79" spans="1:13" x14ac:dyDescent="0.25">
      <c r="A79" s="2">
        <v>46261</v>
      </c>
      <c r="B79" s="1" t="str">
        <f ca="1">IF(Información1[[#This Row],[Fecha]]='Ajuste de fechas'!$A$2,"Día actual","Día anterior")</f>
        <v>Día anterior</v>
      </c>
      <c r="C79" s="3" t="s">
        <v>27</v>
      </c>
      <c r="D79" t="s">
        <v>28</v>
      </c>
      <c r="E79" s="3" t="s">
        <v>199</v>
      </c>
      <c r="F79" s="3" t="s">
        <v>59</v>
      </c>
      <c r="G79" s="3" t="s">
        <v>117</v>
      </c>
      <c r="H79" s="3" t="s">
        <v>48</v>
      </c>
      <c r="I79" s="3" t="s">
        <v>12</v>
      </c>
      <c r="J79" s="3" t="s">
        <v>37</v>
      </c>
      <c r="K79" s="3" t="s">
        <v>25</v>
      </c>
      <c r="L79" s="3" t="s">
        <v>39</v>
      </c>
      <c r="M79">
        <v>1</v>
      </c>
    </row>
    <row r="80" spans="1:13" x14ac:dyDescent="0.25">
      <c r="A80" s="2">
        <v>46261</v>
      </c>
      <c r="B80" s="1" t="str">
        <f ca="1">IF(Información1[[#This Row],[Fecha]]='Ajuste de fechas'!$A$2,"Día actual","Día anterior")</f>
        <v>Día anterior</v>
      </c>
      <c r="C80" s="3" t="s">
        <v>27</v>
      </c>
      <c r="D80" t="s">
        <v>28</v>
      </c>
      <c r="E80" s="3" t="s">
        <v>200</v>
      </c>
      <c r="F80" s="3" t="s">
        <v>59</v>
      </c>
      <c r="G80" s="3" t="s">
        <v>117</v>
      </c>
      <c r="H80" s="3" t="s">
        <v>48</v>
      </c>
      <c r="I80" s="3" t="s">
        <v>7</v>
      </c>
      <c r="J80" s="3" t="s">
        <v>37</v>
      </c>
      <c r="K80" s="3" t="s">
        <v>61</v>
      </c>
      <c r="L80" s="3" t="s">
        <v>40</v>
      </c>
      <c r="M80">
        <v>1</v>
      </c>
    </row>
    <row r="81" spans="1:13" x14ac:dyDescent="0.25">
      <c r="A81" s="2">
        <v>46261</v>
      </c>
      <c r="B81" s="1" t="str">
        <f ca="1">IF(Información1[[#This Row],[Fecha]]='Ajuste de fechas'!$A$2,"Día actual","Día anterior")</f>
        <v>Día anterior</v>
      </c>
      <c r="C81" s="3" t="s">
        <v>27</v>
      </c>
      <c r="D81" t="s">
        <v>28</v>
      </c>
      <c r="E81" s="3" t="s">
        <v>201</v>
      </c>
      <c r="F81" s="3" t="s">
        <v>202</v>
      </c>
      <c r="G81" s="3" t="s">
        <v>197</v>
      </c>
      <c r="H81" s="3" t="s">
        <v>48</v>
      </c>
      <c r="I81" s="3" t="s">
        <v>7</v>
      </c>
      <c r="J81" s="3" t="s">
        <v>203</v>
      </c>
      <c r="K81" s="3" t="s">
        <v>25</v>
      </c>
      <c r="L81" s="3" t="s">
        <v>39</v>
      </c>
      <c r="M81">
        <v>1</v>
      </c>
    </row>
    <row r="82" spans="1:13" x14ac:dyDescent="0.25">
      <c r="A82" s="2">
        <v>46261</v>
      </c>
      <c r="B82" s="1" t="str">
        <f ca="1">IF(Información1[[#This Row],[Fecha]]='Ajuste de fechas'!$A$2,"Día actual","Día anterior")</f>
        <v>Día anterior</v>
      </c>
      <c r="C82" s="3" t="s">
        <v>27</v>
      </c>
      <c r="D82" t="s">
        <v>28</v>
      </c>
      <c r="E82" s="3" t="s">
        <v>204</v>
      </c>
      <c r="F82" s="3" t="s">
        <v>89</v>
      </c>
      <c r="G82" s="3" t="s">
        <v>205</v>
      </c>
      <c r="H82" s="3" t="s">
        <v>48</v>
      </c>
      <c r="I82" s="3" t="s">
        <v>206</v>
      </c>
      <c r="J82" s="3" t="s">
        <v>37</v>
      </c>
      <c r="K82" s="3" t="s">
        <v>25</v>
      </c>
      <c r="L82" s="3" t="s">
        <v>39</v>
      </c>
      <c r="M82">
        <v>1</v>
      </c>
    </row>
    <row r="83" spans="1:13" x14ac:dyDescent="0.25">
      <c r="A83" s="2">
        <v>46261</v>
      </c>
      <c r="B83" s="1" t="str">
        <f ca="1">IF(Información1[[#This Row],[Fecha]]='Ajuste de fechas'!$A$2,"Día actual","Día anterior")</f>
        <v>Día anterior</v>
      </c>
      <c r="C83" s="3" t="s">
        <v>27</v>
      </c>
      <c r="D83" t="s">
        <v>28</v>
      </c>
      <c r="E83" s="3" t="s">
        <v>207</v>
      </c>
      <c r="F83" s="3" t="s">
        <v>19</v>
      </c>
      <c r="G83" s="3" t="s">
        <v>208</v>
      </c>
      <c r="H83" s="3" t="s">
        <v>48</v>
      </c>
      <c r="I83" s="3" t="s">
        <v>7</v>
      </c>
      <c r="J83" s="3" t="s">
        <v>37</v>
      </c>
      <c r="K83" s="3" t="s">
        <v>61</v>
      </c>
      <c r="L83" s="3" t="s">
        <v>40</v>
      </c>
      <c r="M83">
        <v>1</v>
      </c>
    </row>
    <row r="84" spans="1:13" x14ac:dyDescent="0.25">
      <c r="A84" s="2">
        <v>46261</v>
      </c>
      <c r="B84" s="1" t="str">
        <f ca="1">IF(Información1[[#This Row],[Fecha]]='Ajuste de fechas'!$A$2,"Día actual","Día anterior")</f>
        <v>Día anterior</v>
      </c>
      <c r="C84" s="3" t="s">
        <v>27</v>
      </c>
      <c r="D84" t="s">
        <v>28</v>
      </c>
      <c r="E84" s="3" t="s">
        <v>209</v>
      </c>
      <c r="F84" s="3" t="s">
        <v>24</v>
      </c>
      <c r="G84" s="3" t="s">
        <v>210</v>
      </c>
      <c r="H84" s="3" t="s">
        <v>48</v>
      </c>
      <c r="I84" s="3" t="s">
        <v>7</v>
      </c>
      <c r="J84" s="3" t="s">
        <v>37</v>
      </c>
      <c r="K84" s="3" t="s">
        <v>25</v>
      </c>
      <c r="L84" s="3" t="s">
        <v>38</v>
      </c>
      <c r="M84">
        <v>1</v>
      </c>
    </row>
    <row r="85" spans="1:13" x14ac:dyDescent="0.25">
      <c r="A85" s="2">
        <v>46261</v>
      </c>
      <c r="B85" s="1" t="str">
        <f ca="1">IF(Información1[[#This Row],[Fecha]]='Ajuste de fechas'!$A$2,"Día actual","Día anterior")</f>
        <v>Día anterior</v>
      </c>
      <c r="C85" s="3" t="s">
        <v>27</v>
      </c>
      <c r="D85" t="s">
        <v>28</v>
      </c>
      <c r="E85" s="3" t="s">
        <v>211</v>
      </c>
      <c r="F85" s="3" t="s">
        <v>113</v>
      </c>
      <c r="G85" s="3" t="s">
        <v>210</v>
      </c>
      <c r="H85" s="3" t="s">
        <v>48</v>
      </c>
      <c r="I85" s="3" t="s">
        <v>12</v>
      </c>
      <c r="J85" s="3" t="s">
        <v>37</v>
      </c>
      <c r="K85" s="3" t="s">
        <v>25</v>
      </c>
      <c r="L85" s="3" t="s">
        <v>38</v>
      </c>
      <c r="M85">
        <v>1</v>
      </c>
    </row>
    <row r="86" spans="1:13" x14ac:dyDescent="0.25">
      <c r="A86" s="2">
        <v>46261</v>
      </c>
      <c r="B86" s="1" t="str">
        <f ca="1">IF(Información1[[#This Row],[Fecha]]='Ajuste de fechas'!$A$2,"Día actual","Día anterior")</f>
        <v>Día anterior</v>
      </c>
      <c r="C86" s="3" t="s">
        <v>27</v>
      </c>
      <c r="D86" t="s">
        <v>28</v>
      </c>
      <c r="E86" s="3" t="s">
        <v>212</v>
      </c>
      <c r="F86" s="3" t="s">
        <v>24</v>
      </c>
      <c r="G86" s="3" t="s">
        <v>97</v>
      </c>
      <c r="H86" s="3" t="s">
        <v>48</v>
      </c>
      <c r="I86" s="3" t="s">
        <v>12</v>
      </c>
      <c r="J86" s="3" t="s">
        <v>37</v>
      </c>
      <c r="K86" s="3" t="s">
        <v>25</v>
      </c>
      <c r="L86" s="3" t="s">
        <v>39</v>
      </c>
      <c r="M86">
        <v>1</v>
      </c>
    </row>
    <row r="87" spans="1:13" x14ac:dyDescent="0.25">
      <c r="A87" s="2">
        <v>46261</v>
      </c>
      <c r="B87" s="1" t="str">
        <f ca="1">IF(Información1[[#This Row],[Fecha]]='Ajuste de fechas'!$A$2,"Día actual","Día anterior")</f>
        <v>Día anterior</v>
      </c>
      <c r="C87" s="3" t="s">
        <v>27</v>
      </c>
      <c r="D87" t="s">
        <v>28</v>
      </c>
      <c r="E87" s="3" t="s">
        <v>111</v>
      </c>
      <c r="F87" s="3" t="s">
        <v>24</v>
      </c>
      <c r="G87" s="3" t="s">
        <v>97</v>
      </c>
      <c r="H87" s="3" t="s">
        <v>48</v>
      </c>
      <c r="I87" s="3" t="s">
        <v>12</v>
      </c>
      <c r="J87" s="3" t="s">
        <v>37</v>
      </c>
      <c r="K87" s="3" t="s">
        <v>25</v>
      </c>
      <c r="L87" s="3" t="s">
        <v>40</v>
      </c>
      <c r="M87">
        <v>1</v>
      </c>
    </row>
    <row r="88" spans="1:13" x14ac:dyDescent="0.25">
      <c r="A88" s="2">
        <v>46261</v>
      </c>
      <c r="B88" s="1" t="str">
        <f ca="1">IF(Información1[[#This Row],[Fecha]]='Ajuste de fechas'!$A$2,"Día actual","Día anterior")</f>
        <v>Día anterior</v>
      </c>
      <c r="C88" s="3" t="s">
        <v>27</v>
      </c>
      <c r="D88" t="s">
        <v>28</v>
      </c>
      <c r="E88" s="3" t="s">
        <v>213</v>
      </c>
      <c r="F88" s="3" t="s">
        <v>17</v>
      </c>
      <c r="G88" s="3" t="s">
        <v>97</v>
      </c>
      <c r="H88" s="3" t="s">
        <v>48</v>
      </c>
      <c r="I88" s="3" t="s">
        <v>7</v>
      </c>
      <c r="J88" s="3" t="s">
        <v>41</v>
      </c>
      <c r="K88" s="3" t="s">
        <v>25</v>
      </c>
      <c r="L88" s="3" t="s">
        <v>38</v>
      </c>
      <c r="M88">
        <v>1</v>
      </c>
    </row>
    <row r="89" spans="1:13" x14ac:dyDescent="0.25">
      <c r="A89" s="2">
        <v>46261</v>
      </c>
      <c r="B89" s="1" t="str">
        <f ca="1">IF(Información1[[#This Row],[Fecha]]='Ajuste de fechas'!$A$2,"Día actual","Día anterior")</f>
        <v>Día anterior</v>
      </c>
      <c r="C89" s="3" t="s">
        <v>27</v>
      </c>
      <c r="D89" t="s">
        <v>28</v>
      </c>
      <c r="E89" s="3" t="s">
        <v>214</v>
      </c>
      <c r="F89" s="3" t="s">
        <v>60</v>
      </c>
      <c r="G89" s="3" t="s">
        <v>105</v>
      </c>
      <c r="H89" s="3" t="s">
        <v>48</v>
      </c>
      <c r="I89" s="3" t="s">
        <v>23</v>
      </c>
      <c r="J89" s="3" t="s">
        <v>37</v>
      </c>
      <c r="K89" s="3" t="s">
        <v>25</v>
      </c>
      <c r="L89" s="3" t="s">
        <v>38</v>
      </c>
      <c r="M89">
        <v>1</v>
      </c>
    </row>
    <row r="90" spans="1:13" x14ac:dyDescent="0.25">
      <c r="A90" s="2">
        <v>46262</v>
      </c>
      <c r="B90" s="1" t="str">
        <f ca="1">IF(Información1[[#This Row],[Fecha]]='Ajuste de fechas'!$A$2,"Día actual","Día anterior")</f>
        <v>Día actual</v>
      </c>
      <c r="C90" s="3" t="s">
        <v>63</v>
      </c>
      <c r="D90" t="s">
        <v>64</v>
      </c>
      <c r="E90" s="3" t="s">
        <v>215</v>
      </c>
      <c r="F90" s="3" t="s">
        <v>17</v>
      </c>
      <c r="G90" s="3" t="s">
        <v>216</v>
      </c>
      <c r="H90" s="3" t="s">
        <v>11</v>
      </c>
      <c r="I90" s="3" t="s">
        <v>7</v>
      </c>
      <c r="J90" s="3" t="s">
        <v>41</v>
      </c>
      <c r="K90" s="3" t="s">
        <v>66</v>
      </c>
      <c r="L90" s="3" t="s">
        <v>38</v>
      </c>
      <c r="M90">
        <v>1</v>
      </c>
    </row>
    <row r="91" spans="1:13" x14ac:dyDescent="0.25">
      <c r="A91" s="2">
        <v>46262</v>
      </c>
      <c r="B91" s="1" t="str">
        <f ca="1">IF(Información1[[#This Row],[Fecha]]='Ajuste de fechas'!$A$2,"Día actual","Día anterior")</f>
        <v>Día actual</v>
      </c>
      <c r="C91" s="3" t="s">
        <v>63</v>
      </c>
      <c r="D91" t="s">
        <v>64</v>
      </c>
      <c r="E91" s="3" t="s">
        <v>69</v>
      </c>
      <c r="F91" s="3" t="s">
        <v>17</v>
      </c>
      <c r="G91" s="3" t="s">
        <v>70</v>
      </c>
      <c r="H91" s="3" t="s">
        <v>11</v>
      </c>
      <c r="I91" s="3" t="s">
        <v>7</v>
      </c>
      <c r="J91" s="3" t="s">
        <v>41</v>
      </c>
      <c r="K91" s="3" t="s">
        <v>68</v>
      </c>
      <c r="L91" s="3" t="s">
        <v>71</v>
      </c>
      <c r="M91">
        <v>1</v>
      </c>
    </row>
    <row r="92" spans="1:13" x14ac:dyDescent="0.25">
      <c r="A92" s="2">
        <v>46262</v>
      </c>
      <c r="B92" s="1" t="str">
        <f ca="1">IF(Información1[[#This Row],[Fecha]]='Ajuste de fechas'!$A$2,"Día actual","Día anterior")</f>
        <v>Día actual</v>
      </c>
      <c r="C92" s="3" t="s">
        <v>63</v>
      </c>
      <c r="D92" t="s">
        <v>64</v>
      </c>
      <c r="E92" s="3" t="s">
        <v>217</v>
      </c>
      <c r="F92" s="3" t="s">
        <v>17</v>
      </c>
      <c r="G92" s="3" t="s">
        <v>218</v>
      </c>
      <c r="H92" s="3" t="s">
        <v>11</v>
      </c>
      <c r="I92" s="3" t="s">
        <v>7</v>
      </c>
      <c r="J92" s="3" t="s">
        <v>41</v>
      </c>
      <c r="K92" s="3" t="s">
        <v>67</v>
      </c>
      <c r="L92" s="3" t="s">
        <v>38</v>
      </c>
      <c r="M92">
        <v>1</v>
      </c>
    </row>
    <row r="93" spans="1:13" x14ac:dyDescent="0.25">
      <c r="A93" s="2">
        <v>46262</v>
      </c>
      <c r="B93" s="1" t="str">
        <f ca="1">IF(Información1[[#This Row],[Fecha]]='Ajuste de fechas'!$A$2,"Día actual","Día anterior")</f>
        <v>Día actual</v>
      </c>
      <c r="C93" s="3" t="s">
        <v>63</v>
      </c>
      <c r="D93" t="s">
        <v>64</v>
      </c>
      <c r="E93" s="3" t="s">
        <v>219</v>
      </c>
      <c r="F93" s="3" t="s">
        <v>17</v>
      </c>
      <c r="G93" s="3" t="s">
        <v>182</v>
      </c>
      <c r="H93" s="3" t="s">
        <v>11</v>
      </c>
      <c r="I93" s="3" t="s">
        <v>7</v>
      </c>
      <c r="J93" s="3" t="s">
        <v>41</v>
      </c>
      <c r="K93" s="3" t="s">
        <v>66</v>
      </c>
      <c r="L93" s="3" t="s">
        <v>38</v>
      </c>
      <c r="M93">
        <v>1</v>
      </c>
    </row>
    <row r="94" spans="1:13" x14ac:dyDescent="0.25">
      <c r="A94" s="2">
        <v>46262</v>
      </c>
      <c r="B94" s="1" t="str">
        <f ca="1">IF(Información1[[#This Row],[Fecha]]='Ajuste de fechas'!$A$2,"Día actual","Día anterior")</f>
        <v>Día actual</v>
      </c>
      <c r="C94" s="3" t="s">
        <v>63</v>
      </c>
      <c r="D94" t="s">
        <v>64</v>
      </c>
      <c r="E94" s="3" t="s">
        <v>220</v>
      </c>
      <c r="F94" s="3" t="s">
        <v>17</v>
      </c>
      <c r="G94" s="3" t="s">
        <v>221</v>
      </c>
      <c r="H94" s="3" t="s">
        <v>11</v>
      </c>
      <c r="I94" s="3" t="s">
        <v>7</v>
      </c>
      <c r="J94" s="3" t="s">
        <v>41</v>
      </c>
      <c r="K94" s="3" t="s">
        <v>67</v>
      </c>
      <c r="L94" s="3" t="s">
        <v>38</v>
      </c>
      <c r="M94">
        <v>1</v>
      </c>
    </row>
    <row r="95" spans="1:13" x14ac:dyDescent="0.25">
      <c r="A95" s="2">
        <v>46262</v>
      </c>
      <c r="B95" s="1" t="str">
        <f ca="1">IF(Información1[[#This Row],[Fecha]]='Ajuste de fechas'!$A$2,"Día actual","Día anterior")</f>
        <v>Día actual</v>
      </c>
      <c r="C95" s="3" t="s">
        <v>63</v>
      </c>
      <c r="D95" t="s">
        <v>64</v>
      </c>
      <c r="E95" s="3" t="s">
        <v>222</v>
      </c>
      <c r="F95" s="3" t="s">
        <v>17</v>
      </c>
      <c r="G95" s="3" t="s">
        <v>221</v>
      </c>
      <c r="H95" s="3" t="s">
        <v>11</v>
      </c>
      <c r="I95" s="3" t="s">
        <v>7</v>
      </c>
      <c r="J95" s="3" t="s">
        <v>41</v>
      </c>
      <c r="K95" s="3" t="s">
        <v>66</v>
      </c>
      <c r="L95" s="3" t="s">
        <v>38</v>
      </c>
      <c r="M95">
        <v>1</v>
      </c>
    </row>
    <row r="96" spans="1:13" x14ac:dyDescent="0.25">
      <c r="A96" s="2">
        <v>46262</v>
      </c>
      <c r="B96" s="1" t="str">
        <f ca="1">IF(Información1[[#This Row],[Fecha]]='Ajuste de fechas'!$A$2,"Día actual","Día anterior")</f>
        <v>Día actual</v>
      </c>
      <c r="C96" s="3" t="s">
        <v>27</v>
      </c>
      <c r="D96" t="s">
        <v>28</v>
      </c>
      <c r="E96" s="3" t="s">
        <v>223</v>
      </c>
      <c r="F96" s="3" t="s">
        <v>22</v>
      </c>
      <c r="G96" s="3" t="s">
        <v>224</v>
      </c>
      <c r="H96" s="3" t="s">
        <v>48</v>
      </c>
      <c r="I96" s="3" t="s">
        <v>7</v>
      </c>
      <c r="J96" s="3" t="s">
        <v>22</v>
      </c>
      <c r="K96" s="3" t="s">
        <v>25</v>
      </c>
      <c r="L96" s="3" t="s">
        <v>38</v>
      </c>
      <c r="M96">
        <v>1</v>
      </c>
    </row>
    <row r="97" spans="1:13" x14ac:dyDescent="0.25">
      <c r="A97" s="2">
        <v>46262</v>
      </c>
      <c r="B97" s="1" t="str">
        <f ca="1">IF(Información1[[#This Row],[Fecha]]='Ajuste de fechas'!$A$2,"Día actual","Día anterior")</f>
        <v>Día actual</v>
      </c>
      <c r="C97" s="3" t="s">
        <v>27</v>
      </c>
      <c r="D97" t="s">
        <v>28</v>
      </c>
      <c r="E97" s="3" t="s">
        <v>225</v>
      </c>
      <c r="F97" s="3" t="s">
        <v>17</v>
      </c>
      <c r="G97" s="3" t="s">
        <v>226</v>
      </c>
      <c r="H97" s="3" t="s">
        <v>48</v>
      </c>
      <c r="I97" s="3" t="s">
        <v>23</v>
      </c>
      <c r="J97" s="3" t="s">
        <v>41</v>
      </c>
      <c r="K97" s="3" t="s">
        <v>25</v>
      </c>
      <c r="L97" s="3" t="s">
        <v>39</v>
      </c>
      <c r="M97">
        <v>1</v>
      </c>
    </row>
    <row r="98" spans="1:13" x14ac:dyDescent="0.25">
      <c r="A98" s="2">
        <v>46262</v>
      </c>
      <c r="B98" s="1" t="str">
        <f ca="1">IF(Información1[[#This Row],[Fecha]]='Ajuste de fechas'!$A$2,"Día actual","Día anterior")</f>
        <v>Día actual</v>
      </c>
      <c r="C98" s="3" t="s">
        <v>27</v>
      </c>
      <c r="D98" t="s">
        <v>28</v>
      </c>
      <c r="E98" s="3" t="s">
        <v>227</v>
      </c>
      <c r="F98" s="3" t="s">
        <v>17</v>
      </c>
      <c r="G98" s="3" t="s">
        <v>221</v>
      </c>
      <c r="H98" s="3" t="s">
        <v>48</v>
      </c>
      <c r="I98" s="3" t="s">
        <v>7</v>
      </c>
      <c r="J98" s="3" t="s">
        <v>41</v>
      </c>
      <c r="K98" s="3" t="s">
        <v>94</v>
      </c>
      <c r="L98" s="3" t="s">
        <v>71</v>
      </c>
      <c r="M98">
        <v>1</v>
      </c>
    </row>
    <row r="99" spans="1:13" x14ac:dyDescent="0.25">
      <c r="A99" s="2">
        <v>46262</v>
      </c>
      <c r="B99" s="1" t="str">
        <f ca="1">IF(Información1[[#This Row],[Fecha]]='Ajuste de fechas'!$A$2,"Día actual","Día anterior")</f>
        <v>Día actual</v>
      </c>
      <c r="C99" s="3" t="s">
        <v>27</v>
      </c>
      <c r="D99" t="s">
        <v>28</v>
      </c>
      <c r="E99" s="3" t="s">
        <v>228</v>
      </c>
      <c r="F99" s="3" t="s">
        <v>24</v>
      </c>
      <c r="G99" s="3" t="s">
        <v>229</v>
      </c>
      <c r="H99" s="3" t="s">
        <v>48</v>
      </c>
      <c r="I99" s="3" t="s">
        <v>7</v>
      </c>
      <c r="J99" s="3" t="s">
        <v>37</v>
      </c>
      <c r="K99" s="3" t="s">
        <v>25</v>
      </c>
      <c r="L99" s="3" t="s">
        <v>39</v>
      </c>
      <c r="M99">
        <v>1</v>
      </c>
    </row>
    <row r="100" spans="1:13" x14ac:dyDescent="0.25">
      <c r="A100" s="2">
        <v>46262</v>
      </c>
      <c r="B100" s="1" t="str">
        <f ca="1">IF(Información1[[#This Row],[Fecha]]='Ajuste de fechas'!$A$2,"Día actual","Día anterior")</f>
        <v>Día actual</v>
      </c>
      <c r="C100" s="3" t="s">
        <v>27</v>
      </c>
      <c r="D100" t="s">
        <v>28</v>
      </c>
      <c r="E100" s="3" t="s">
        <v>230</v>
      </c>
      <c r="F100" s="3" t="s">
        <v>113</v>
      </c>
      <c r="G100" s="3" t="s">
        <v>231</v>
      </c>
      <c r="H100" s="3" t="s">
        <v>48</v>
      </c>
      <c r="I100" s="3" t="s">
        <v>7</v>
      </c>
      <c r="J100" s="3" t="s">
        <v>37</v>
      </c>
      <c r="K100" s="3" t="s">
        <v>25</v>
      </c>
      <c r="L100" s="3" t="s">
        <v>38</v>
      </c>
      <c r="M100">
        <v>1</v>
      </c>
    </row>
    <row r="101" spans="1:13" x14ac:dyDescent="0.25">
      <c r="A101" s="2">
        <v>46262</v>
      </c>
      <c r="B101" s="1" t="str">
        <f ca="1">IF(Información1[[#This Row],[Fecha]]='Ajuste de fechas'!$A$2,"Día actual","Día anterior")</f>
        <v>Día actual</v>
      </c>
      <c r="C101" s="3" t="s">
        <v>27</v>
      </c>
      <c r="D101" t="s">
        <v>28</v>
      </c>
      <c r="E101" s="3" t="s">
        <v>232</v>
      </c>
      <c r="F101" s="3" t="s">
        <v>19</v>
      </c>
      <c r="G101" s="3" t="s">
        <v>216</v>
      </c>
      <c r="H101" s="3" t="s">
        <v>48</v>
      </c>
      <c r="I101" s="3" t="s">
        <v>7</v>
      </c>
      <c r="J101" s="3" t="s">
        <v>37</v>
      </c>
      <c r="K101" s="3" t="s">
        <v>25</v>
      </c>
      <c r="L101" s="3" t="s">
        <v>40</v>
      </c>
      <c r="M101">
        <v>1</v>
      </c>
    </row>
    <row r="102" spans="1:13" x14ac:dyDescent="0.25">
      <c r="A102" s="2">
        <v>46262</v>
      </c>
      <c r="B102" s="1" t="str">
        <f ca="1">IF(Información1[[#This Row],[Fecha]]='Ajuste de fechas'!$A$2,"Día actual","Día anterior")</f>
        <v>Día actual</v>
      </c>
      <c r="C102" s="3" t="s">
        <v>27</v>
      </c>
      <c r="D102" t="s">
        <v>28</v>
      </c>
      <c r="E102" s="3" t="s">
        <v>233</v>
      </c>
      <c r="F102" s="3" t="s">
        <v>24</v>
      </c>
      <c r="G102" s="3" t="s">
        <v>76</v>
      </c>
      <c r="H102" s="3" t="s">
        <v>48</v>
      </c>
      <c r="I102" s="3" t="s">
        <v>7</v>
      </c>
      <c r="J102" s="3" t="s">
        <v>37</v>
      </c>
      <c r="K102" s="3" t="s">
        <v>25</v>
      </c>
      <c r="L102" s="3" t="s">
        <v>40</v>
      </c>
      <c r="M102">
        <v>1</v>
      </c>
    </row>
    <row r="103" spans="1:13" x14ac:dyDescent="0.25">
      <c r="A103" s="2">
        <v>46262</v>
      </c>
      <c r="B103" s="1" t="str">
        <f ca="1">IF(Información1[[#This Row],[Fecha]]='Ajuste de fechas'!$A$2,"Día actual","Día anterior")</f>
        <v>Día actual</v>
      </c>
      <c r="C103" s="3" t="s">
        <v>27</v>
      </c>
      <c r="D103" t="s">
        <v>28</v>
      </c>
      <c r="E103" s="3" t="s">
        <v>234</v>
      </c>
      <c r="F103" s="3" t="s">
        <v>24</v>
      </c>
      <c r="G103" s="3" t="s">
        <v>76</v>
      </c>
      <c r="H103" s="3" t="s">
        <v>48</v>
      </c>
      <c r="I103" s="3" t="s">
        <v>7</v>
      </c>
      <c r="J103" s="3" t="s">
        <v>37</v>
      </c>
      <c r="K103" s="3" t="s">
        <v>25</v>
      </c>
      <c r="L103" s="3" t="s">
        <v>40</v>
      </c>
      <c r="M103">
        <v>1</v>
      </c>
    </row>
    <row r="104" spans="1:13" x14ac:dyDescent="0.25">
      <c r="A104" s="2">
        <v>46262</v>
      </c>
      <c r="B104" s="1" t="str">
        <f ca="1">IF(Información1[[#This Row],[Fecha]]='Ajuste de fechas'!$A$2,"Día actual","Día anterior")</f>
        <v>Día actual</v>
      </c>
      <c r="C104" s="3" t="s">
        <v>26</v>
      </c>
      <c r="D104" t="s">
        <v>52</v>
      </c>
      <c r="E104" s="3" t="s">
        <v>235</v>
      </c>
      <c r="F104" s="3" t="s">
        <v>22</v>
      </c>
      <c r="G104" s="3" t="s">
        <v>93</v>
      </c>
      <c r="H104" s="3" t="s">
        <v>11</v>
      </c>
      <c r="I104" s="3" t="s">
        <v>7</v>
      </c>
      <c r="J104" s="3" t="s">
        <v>22</v>
      </c>
      <c r="K104" s="3" t="s">
        <v>53</v>
      </c>
      <c r="L104" s="3" t="s">
        <v>38</v>
      </c>
      <c r="M104">
        <v>1</v>
      </c>
    </row>
    <row r="105" spans="1:13" x14ac:dyDescent="0.25">
      <c r="A105" s="2">
        <v>46262</v>
      </c>
      <c r="B105" s="1" t="str">
        <f ca="1">IF(Información1[[#This Row],[Fecha]]='Ajuste de fechas'!$A$2,"Día actual","Día anterior")</f>
        <v>Día actual</v>
      </c>
      <c r="C105" s="3" t="s">
        <v>8</v>
      </c>
      <c r="D105" t="s">
        <v>10</v>
      </c>
      <c r="E105" s="3" t="s">
        <v>236</v>
      </c>
      <c r="F105" s="3" t="s">
        <v>6</v>
      </c>
      <c r="G105" s="3" t="s">
        <v>81</v>
      </c>
      <c r="H105" s="3" t="s">
        <v>11</v>
      </c>
      <c r="I105" s="3" t="s">
        <v>23</v>
      </c>
      <c r="J105" s="3" t="s">
        <v>37</v>
      </c>
      <c r="K105" s="3" t="s">
        <v>9</v>
      </c>
      <c r="L105" s="3" t="s">
        <v>39</v>
      </c>
      <c r="M105">
        <v>1</v>
      </c>
    </row>
    <row r="106" spans="1:13" x14ac:dyDescent="0.25">
      <c r="A106" s="2">
        <v>46262</v>
      </c>
      <c r="B106" s="1" t="str">
        <f ca="1">IF(Información1[[#This Row],[Fecha]]='Ajuste de fechas'!$A$2,"Día actual","Día anterior")</f>
        <v>Día actual</v>
      </c>
      <c r="C106" s="3" t="s">
        <v>26</v>
      </c>
      <c r="D106" t="s">
        <v>52</v>
      </c>
      <c r="E106" s="3" t="s">
        <v>237</v>
      </c>
      <c r="F106" s="3" t="s">
        <v>17</v>
      </c>
      <c r="G106" s="3" t="s">
        <v>238</v>
      </c>
      <c r="H106" s="3" t="s">
        <v>11</v>
      </c>
      <c r="I106" s="3" t="s">
        <v>7</v>
      </c>
      <c r="J106" s="3" t="s">
        <v>41</v>
      </c>
      <c r="K106" s="3" t="s">
        <v>53</v>
      </c>
      <c r="L106" s="3" t="s">
        <v>38</v>
      </c>
      <c r="M106">
        <v>1</v>
      </c>
    </row>
    <row r="107" spans="1:13" x14ac:dyDescent="0.25">
      <c r="A107" s="2">
        <v>46262</v>
      </c>
      <c r="B107" s="1" t="str">
        <f ca="1">IF(Información1[[#This Row],[Fecha]]='Ajuste de fechas'!$A$2,"Día actual","Día anterior")</f>
        <v>Día actual</v>
      </c>
      <c r="C107" s="3" t="s">
        <v>26</v>
      </c>
      <c r="D107" t="s">
        <v>98</v>
      </c>
      <c r="E107" s="3" t="s">
        <v>239</v>
      </c>
      <c r="F107" s="3" t="s">
        <v>21</v>
      </c>
      <c r="G107" s="3" t="s">
        <v>240</v>
      </c>
      <c r="H107" s="3" t="s">
        <v>11</v>
      </c>
      <c r="I107" s="3" t="s">
        <v>7</v>
      </c>
      <c r="J107" s="3" t="s">
        <v>37</v>
      </c>
      <c r="K107" s="3" t="s">
        <v>101</v>
      </c>
      <c r="L107" s="3" t="s">
        <v>38</v>
      </c>
      <c r="M107">
        <v>1</v>
      </c>
    </row>
    <row r="108" spans="1:13" x14ac:dyDescent="0.25">
      <c r="A108" s="2">
        <v>46262</v>
      </c>
      <c r="B108" s="1" t="str">
        <f ca="1">IF(Información1[[#This Row],[Fecha]]='Ajuste de fechas'!$A$2,"Día actual","Día anterior")</f>
        <v>Día actual</v>
      </c>
      <c r="C108" s="3" t="s">
        <v>26</v>
      </c>
      <c r="D108" t="s">
        <v>52</v>
      </c>
      <c r="E108" s="3" t="s">
        <v>241</v>
      </c>
      <c r="F108" s="3" t="s">
        <v>17</v>
      </c>
      <c r="G108" s="3" t="s">
        <v>242</v>
      </c>
      <c r="H108" s="3" t="s">
        <v>11</v>
      </c>
      <c r="I108" s="3" t="s">
        <v>7</v>
      </c>
      <c r="J108" s="3" t="s">
        <v>41</v>
      </c>
      <c r="K108" s="3" t="s">
        <v>53</v>
      </c>
      <c r="L108" s="3" t="s">
        <v>38</v>
      </c>
      <c r="M108">
        <v>1</v>
      </c>
    </row>
    <row r="109" spans="1:13" x14ac:dyDescent="0.25">
      <c r="A109" s="2">
        <v>46262</v>
      </c>
      <c r="B109" s="1" t="str">
        <f ca="1">IF(Información1[[#This Row],[Fecha]]='Ajuste de fechas'!$A$2,"Día actual","Día anterior")</f>
        <v>Día actual</v>
      </c>
      <c r="C109" s="3" t="s">
        <v>8</v>
      </c>
      <c r="D109" t="s">
        <v>10</v>
      </c>
      <c r="E109" s="3" t="s">
        <v>243</v>
      </c>
      <c r="F109" s="3" t="s">
        <v>77</v>
      </c>
      <c r="G109" s="3" t="s">
        <v>82</v>
      </c>
      <c r="H109" s="3" t="s">
        <v>11</v>
      </c>
      <c r="I109" s="3" t="s">
        <v>12</v>
      </c>
      <c r="J109" s="3" t="s">
        <v>37</v>
      </c>
      <c r="K109" s="3" t="s">
        <v>13</v>
      </c>
      <c r="L109" s="3" t="s">
        <v>39</v>
      </c>
      <c r="M109">
        <v>1</v>
      </c>
    </row>
    <row r="110" spans="1:13" x14ac:dyDescent="0.25">
      <c r="A110" s="2">
        <v>46262</v>
      </c>
      <c r="B110" s="1" t="str">
        <f ca="1">IF(Información1[[#This Row],[Fecha]]='Ajuste de fechas'!$A$2,"Día actual","Día anterior")</f>
        <v>Día actual</v>
      </c>
      <c r="C110" s="3" t="s">
        <v>8</v>
      </c>
      <c r="D110" t="s">
        <v>10</v>
      </c>
      <c r="E110" s="3" t="s">
        <v>244</v>
      </c>
      <c r="F110" s="3" t="s">
        <v>17</v>
      </c>
      <c r="G110" s="3" t="s">
        <v>245</v>
      </c>
      <c r="H110" s="3" t="s">
        <v>11</v>
      </c>
      <c r="I110" s="3" t="s">
        <v>23</v>
      </c>
      <c r="J110" s="3" t="s">
        <v>41</v>
      </c>
      <c r="K110" s="3" t="s">
        <v>9</v>
      </c>
      <c r="L110" s="3" t="s">
        <v>39</v>
      </c>
      <c r="M110">
        <v>1</v>
      </c>
    </row>
    <row r="111" spans="1:13" x14ac:dyDescent="0.25">
      <c r="A111" s="2">
        <v>46262</v>
      </c>
      <c r="B111" s="1" t="str">
        <f ca="1">IF(Información1[[#This Row],[Fecha]]='Ajuste de fechas'!$A$2,"Día actual","Día anterior")</f>
        <v>Día actual</v>
      </c>
      <c r="C111" s="3" t="s">
        <v>8</v>
      </c>
      <c r="D111" t="s">
        <v>10</v>
      </c>
      <c r="E111" s="3" t="s">
        <v>246</v>
      </c>
      <c r="F111" s="3" t="s">
        <v>17</v>
      </c>
      <c r="G111" s="3" t="s">
        <v>245</v>
      </c>
      <c r="H111" s="3" t="s">
        <v>11</v>
      </c>
      <c r="I111" s="3" t="s">
        <v>7</v>
      </c>
      <c r="J111" s="3" t="s">
        <v>41</v>
      </c>
      <c r="K111" s="3" t="s">
        <v>13</v>
      </c>
      <c r="L111" s="3" t="s">
        <v>51</v>
      </c>
      <c r="M111">
        <v>1</v>
      </c>
    </row>
    <row r="112" spans="1:13" x14ac:dyDescent="0.25">
      <c r="A112" s="2">
        <v>46262</v>
      </c>
      <c r="B112" s="1" t="str">
        <f ca="1">IF(Información1[[#This Row],[Fecha]]='Ajuste de fechas'!$A$2,"Día actual","Día anterior")</f>
        <v>Día actual</v>
      </c>
      <c r="C112" s="3" t="s">
        <v>26</v>
      </c>
      <c r="D112" t="s">
        <v>98</v>
      </c>
      <c r="E112" s="3" t="s">
        <v>247</v>
      </c>
      <c r="F112" s="3" t="s">
        <v>24</v>
      </c>
      <c r="G112" s="3" t="s">
        <v>76</v>
      </c>
      <c r="H112" s="3" t="s">
        <v>11</v>
      </c>
      <c r="I112" s="3" t="s">
        <v>7</v>
      </c>
      <c r="J112" s="3" t="s">
        <v>37</v>
      </c>
      <c r="K112" s="3" t="s">
        <v>101</v>
      </c>
      <c r="L112" s="3" t="s">
        <v>38</v>
      </c>
      <c r="M112">
        <v>1</v>
      </c>
    </row>
    <row r="113" spans="1:13" x14ac:dyDescent="0.25">
      <c r="A113" s="2">
        <v>46262</v>
      </c>
      <c r="B113" s="1" t="str">
        <f ca="1">IF(Información1[[#This Row],[Fecha]]='Ajuste de fechas'!$A$2,"Día actual","Día anterior")</f>
        <v>Día actual</v>
      </c>
      <c r="C113" s="3" t="s">
        <v>26</v>
      </c>
      <c r="D113" t="s">
        <v>52</v>
      </c>
      <c r="E113" s="3" t="s">
        <v>248</v>
      </c>
      <c r="F113" s="3" t="s">
        <v>24</v>
      </c>
      <c r="G113" s="3" t="s">
        <v>76</v>
      </c>
      <c r="H113" s="3" t="s">
        <v>11</v>
      </c>
      <c r="I113" s="3" t="s">
        <v>7</v>
      </c>
      <c r="J113" s="3" t="s">
        <v>37</v>
      </c>
      <c r="K113" s="3" t="s">
        <v>53</v>
      </c>
      <c r="L113" s="3" t="s">
        <v>38</v>
      </c>
      <c r="M113">
        <v>1</v>
      </c>
    </row>
    <row r="114" spans="1:13" x14ac:dyDescent="0.25">
      <c r="A114" s="2">
        <v>46262</v>
      </c>
      <c r="B114" s="1" t="str">
        <f ca="1">IF(Información1[[#This Row],[Fecha]]='Ajuste de fechas'!$A$2,"Día actual","Día anterior")</f>
        <v>Día actual</v>
      </c>
      <c r="C114" s="3" t="s">
        <v>26</v>
      </c>
      <c r="D114" t="s">
        <v>52</v>
      </c>
      <c r="E114" s="3" t="s">
        <v>249</v>
      </c>
      <c r="F114" s="3" t="s">
        <v>24</v>
      </c>
      <c r="G114" s="3" t="s">
        <v>76</v>
      </c>
      <c r="H114" s="3" t="s">
        <v>11</v>
      </c>
      <c r="I114" s="3" t="s">
        <v>7</v>
      </c>
      <c r="J114" s="3" t="s">
        <v>37</v>
      </c>
      <c r="K114" s="3" t="s">
        <v>53</v>
      </c>
      <c r="L114" s="3" t="s">
        <v>38</v>
      </c>
      <c r="M114">
        <v>1</v>
      </c>
    </row>
    <row r="115" spans="1:13" x14ac:dyDescent="0.25">
      <c r="A115" s="2">
        <v>46262</v>
      </c>
      <c r="B115" s="1" t="str">
        <f ca="1">IF(Información1[[#This Row],[Fecha]]='Ajuste de fechas'!$A$2,"Día actual","Día anterior")</f>
        <v>Día actual</v>
      </c>
      <c r="C115" s="3" t="s">
        <v>8</v>
      </c>
      <c r="D115" t="s">
        <v>10</v>
      </c>
      <c r="E115" s="3" t="s">
        <v>234</v>
      </c>
      <c r="F115" s="3" t="s">
        <v>24</v>
      </c>
      <c r="G115" s="3" t="s">
        <v>76</v>
      </c>
      <c r="H115" s="3" t="s">
        <v>11</v>
      </c>
      <c r="I115" s="3" t="s">
        <v>7</v>
      </c>
      <c r="J115" s="3" t="s">
        <v>37</v>
      </c>
      <c r="K115" s="3" t="s">
        <v>13</v>
      </c>
      <c r="L115" s="3" t="s">
        <v>38</v>
      </c>
      <c r="M115">
        <v>1</v>
      </c>
    </row>
    <row r="116" spans="1:13" x14ac:dyDescent="0.25">
      <c r="A116" s="2">
        <v>46262</v>
      </c>
      <c r="B116" s="1" t="str">
        <f ca="1">IF(Información1[[#This Row],[Fecha]]='Ajuste de fechas'!$A$2,"Día actual","Día anterior")</f>
        <v>Día actual</v>
      </c>
      <c r="C116" s="3" t="s">
        <v>26</v>
      </c>
      <c r="D116" t="s">
        <v>52</v>
      </c>
      <c r="E116" s="3" t="s">
        <v>250</v>
      </c>
      <c r="F116" s="3" t="s">
        <v>24</v>
      </c>
      <c r="G116" s="3" t="s">
        <v>251</v>
      </c>
      <c r="H116" s="3" t="s">
        <v>11</v>
      </c>
      <c r="I116" s="3" t="s">
        <v>7</v>
      </c>
      <c r="J116" s="3" t="s">
        <v>37</v>
      </c>
      <c r="K116" s="3" t="s">
        <v>53</v>
      </c>
      <c r="L116" s="3" t="s">
        <v>38</v>
      </c>
      <c r="M116">
        <v>1</v>
      </c>
    </row>
    <row r="117" spans="1:13" x14ac:dyDescent="0.25">
      <c r="A117" s="2">
        <v>46262</v>
      </c>
      <c r="B117" s="1" t="str">
        <f ca="1">IF(Información1[[#This Row],[Fecha]]='Ajuste de fechas'!$A$2,"Día actual","Día anterior")</f>
        <v>Día actual</v>
      </c>
      <c r="C117" s="3" t="s">
        <v>8</v>
      </c>
      <c r="D117" t="s">
        <v>10</v>
      </c>
      <c r="E117" s="3" t="s">
        <v>252</v>
      </c>
      <c r="F117" s="3" t="s">
        <v>20</v>
      </c>
      <c r="G117" s="3" t="s">
        <v>253</v>
      </c>
      <c r="H117" s="3" t="s">
        <v>11</v>
      </c>
      <c r="I117" s="3" t="s">
        <v>7</v>
      </c>
      <c r="J117" s="3" t="s">
        <v>42</v>
      </c>
      <c r="K117" s="3" t="s">
        <v>13</v>
      </c>
      <c r="L117" s="3" t="s">
        <v>38</v>
      </c>
      <c r="M117">
        <v>1</v>
      </c>
    </row>
    <row r="118" spans="1:13" x14ac:dyDescent="0.25">
      <c r="A118" s="2">
        <v>46262</v>
      </c>
      <c r="B118" s="1" t="str">
        <f ca="1">IF(Información1[[#This Row],[Fecha]]='Ajuste de fechas'!$A$2,"Día actual","Día anterior")</f>
        <v>Día actual</v>
      </c>
      <c r="C118" s="3" t="s">
        <v>26</v>
      </c>
      <c r="D118" t="s">
        <v>98</v>
      </c>
      <c r="E118" s="3" t="s">
        <v>254</v>
      </c>
      <c r="F118" s="3" t="s">
        <v>19</v>
      </c>
      <c r="G118" s="3" t="s">
        <v>255</v>
      </c>
      <c r="H118" s="3" t="s">
        <v>11</v>
      </c>
      <c r="I118" s="3" t="s">
        <v>7</v>
      </c>
      <c r="J118" s="3" t="s">
        <v>37</v>
      </c>
      <c r="K118" s="3" t="s">
        <v>101</v>
      </c>
      <c r="L118" s="3" t="s">
        <v>38</v>
      </c>
      <c r="M118">
        <v>1</v>
      </c>
    </row>
    <row r="119" spans="1:13" x14ac:dyDescent="0.25">
      <c r="A119" s="2">
        <v>46262</v>
      </c>
      <c r="B119" s="1" t="str">
        <f ca="1">IF(Información1[[#This Row],[Fecha]]='Ajuste de fechas'!$A$2,"Día actual","Día anterior")</f>
        <v>Día actual</v>
      </c>
      <c r="C119" s="3" t="s">
        <v>8</v>
      </c>
      <c r="D119" t="s">
        <v>10</v>
      </c>
      <c r="E119" s="3" t="s">
        <v>256</v>
      </c>
      <c r="F119" s="3" t="s">
        <v>15</v>
      </c>
      <c r="G119" s="3" t="s">
        <v>143</v>
      </c>
      <c r="H119" s="3" t="s">
        <v>11</v>
      </c>
      <c r="I119" s="3" t="s">
        <v>7</v>
      </c>
      <c r="J119" s="3" t="s">
        <v>37</v>
      </c>
      <c r="K119" s="3" t="s">
        <v>9</v>
      </c>
      <c r="L119" s="3" t="s">
        <v>39</v>
      </c>
      <c r="M119">
        <v>1</v>
      </c>
    </row>
    <row r="120" spans="1:13" x14ac:dyDescent="0.25">
      <c r="A120" s="2">
        <v>46262</v>
      </c>
      <c r="B120" s="1" t="str">
        <f ca="1">IF(Información1[[#This Row],[Fecha]]='Ajuste de fechas'!$A$2,"Día actual","Día anterior")</f>
        <v>Día actual</v>
      </c>
      <c r="C120" s="3" t="s">
        <v>49</v>
      </c>
      <c r="D120" t="s">
        <v>50</v>
      </c>
      <c r="E120" s="3" t="s">
        <v>257</v>
      </c>
      <c r="F120" s="3" t="s">
        <v>55</v>
      </c>
      <c r="G120" s="3" t="s">
        <v>258</v>
      </c>
      <c r="H120" s="3" t="s">
        <v>11</v>
      </c>
      <c r="I120" s="3" t="s">
        <v>7</v>
      </c>
      <c r="J120" s="3" t="s">
        <v>37</v>
      </c>
      <c r="K120" s="3" t="s">
        <v>83</v>
      </c>
      <c r="L120" s="3" t="s">
        <v>38</v>
      </c>
      <c r="M120">
        <v>1</v>
      </c>
    </row>
    <row r="121" spans="1:13" x14ac:dyDescent="0.25">
      <c r="A121" s="2">
        <v>46262</v>
      </c>
      <c r="B121" s="1" t="str">
        <f ca="1">IF(Información1[[#This Row],[Fecha]]='Ajuste de fechas'!$A$2,"Día actual","Día anterior")</f>
        <v>Día actual</v>
      </c>
      <c r="C121" s="3" t="s">
        <v>8</v>
      </c>
      <c r="D121" t="s">
        <v>10</v>
      </c>
      <c r="E121" s="3" t="s">
        <v>259</v>
      </c>
      <c r="F121" s="3" t="s">
        <v>55</v>
      </c>
      <c r="G121" s="3" t="s">
        <v>258</v>
      </c>
      <c r="H121" s="3" t="s">
        <v>11</v>
      </c>
      <c r="I121" s="3" t="s">
        <v>7</v>
      </c>
      <c r="J121" s="3" t="s">
        <v>37</v>
      </c>
      <c r="K121" s="3" t="s">
        <v>13</v>
      </c>
      <c r="L121" s="3" t="s">
        <v>38</v>
      </c>
      <c r="M121">
        <v>1</v>
      </c>
    </row>
    <row r="122" spans="1:13" x14ac:dyDescent="0.25">
      <c r="A122" s="2">
        <v>46262</v>
      </c>
      <c r="B122" s="1" t="str">
        <f ca="1">IF(Información1[[#This Row],[Fecha]]='Ajuste de fechas'!$A$2,"Día actual","Día anterior")</f>
        <v>Día actual</v>
      </c>
      <c r="C122" s="3" t="s">
        <v>8</v>
      </c>
      <c r="D122" t="s">
        <v>10</v>
      </c>
      <c r="E122" s="3" t="s">
        <v>260</v>
      </c>
      <c r="F122" s="3" t="s">
        <v>29</v>
      </c>
      <c r="G122" s="3" t="s">
        <v>261</v>
      </c>
      <c r="H122" s="3" t="s">
        <v>11</v>
      </c>
      <c r="I122" s="3" t="s">
        <v>7</v>
      </c>
      <c r="J122" s="3" t="s">
        <v>37</v>
      </c>
      <c r="K122" s="3" t="s">
        <v>13</v>
      </c>
      <c r="L122" s="3" t="s">
        <v>40</v>
      </c>
      <c r="M122">
        <v>1</v>
      </c>
    </row>
    <row r="123" spans="1:13" x14ac:dyDescent="0.25">
      <c r="A123" s="2">
        <v>46262</v>
      </c>
      <c r="B123" s="1" t="str">
        <f ca="1">IF(Información1[[#This Row],[Fecha]]='Ajuste de fechas'!$A$2,"Día actual","Día anterior")</f>
        <v>Día actual</v>
      </c>
      <c r="C123" s="3" t="s">
        <v>8</v>
      </c>
      <c r="D123" t="s">
        <v>10</v>
      </c>
      <c r="E123" s="3" t="s">
        <v>262</v>
      </c>
      <c r="F123" s="3" t="s">
        <v>17</v>
      </c>
      <c r="G123" s="3" t="s">
        <v>263</v>
      </c>
      <c r="H123" s="3" t="s">
        <v>11</v>
      </c>
      <c r="I123" s="3" t="s">
        <v>7</v>
      </c>
      <c r="J123" s="3" t="s">
        <v>41</v>
      </c>
      <c r="K123" s="3" t="s">
        <v>9</v>
      </c>
      <c r="L123" s="3" t="s">
        <v>39</v>
      </c>
      <c r="M123">
        <v>1</v>
      </c>
    </row>
    <row r="124" spans="1:13" x14ac:dyDescent="0.25">
      <c r="A124" s="2">
        <v>46262</v>
      </c>
      <c r="B124" s="1" t="str">
        <f ca="1">IF(Información1[[#This Row],[Fecha]]='Ajuste de fechas'!$A$2,"Día actual","Día anterior")</f>
        <v>Día actual</v>
      </c>
      <c r="C124" s="3" t="s">
        <v>26</v>
      </c>
      <c r="D124" t="s">
        <v>98</v>
      </c>
      <c r="E124" s="3" t="s">
        <v>264</v>
      </c>
      <c r="F124" s="3" t="s">
        <v>229</v>
      </c>
      <c r="G124" s="3" t="s">
        <v>95</v>
      </c>
      <c r="H124" s="3" t="s">
        <v>11</v>
      </c>
      <c r="I124" s="3" t="s">
        <v>7</v>
      </c>
      <c r="J124" s="3" t="s">
        <v>265</v>
      </c>
      <c r="K124" s="3" t="s">
        <v>101</v>
      </c>
      <c r="L124" s="3" t="s">
        <v>38</v>
      </c>
      <c r="M124">
        <v>1</v>
      </c>
    </row>
    <row r="125" spans="1:13" x14ac:dyDescent="0.25">
      <c r="A125" s="2">
        <v>46262</v>
      </c>
      <c r="B125" s="1" t="str">
        <f ca="1">IF(Información1[[#This Row],[Fecha]]='Ajuste de fechas'!$A$2,"Día actual","Día anterior")</f>
        <v>Día actual</v>
      </c>
      <c r="C125" s="3" t="s">
        <v>8</v>
      </c>
      <c r="D125" t="s">
        <v>10</v>
      </c>
      <c r="E125" s="3" t="s">
        <v>266</v>
      </c>
      <c r="F125" s="3" t="s">
        <v>20</v>
      </c>
      <c r="G125" s="3" t="s">
        <v>84</v>
      </c>
      <c r="H125" s="3" t="s">
        <v>11</v>
      </c>
      <c r="I125" s="3" t="s">
        <v>7</v>
      </c>
      <c r="J125" s="3" t="s">
        <v>42</v>
      </c>
      <c r="K125" s="3" t="s">
        <v>13</v>
      </c>
      <c r="L125" s="3" t="s">
        <v>39</v>
      </c>
      <c r="M125">
        <v>1</v>
      </c>
    </row>
    <row r="126" spans="1:13" x14ac:dyDescent="0.25">
      <c r="A126" s="2">
        <v>46262</v>
      </c>
      <c r="B126" s="1" t="str">
        <f ca="1">IF(Información1[[#This Row],[Fecha]]='Ajuste de fechas'!$A$2,"Día actual","Día anterior")</f>
        <v>Día actual</v>
      </c>
      <c r="C126" s="3" t="s">
        <v>26</v>
      </c>
      <c r="D126" t="s">
        <v>52</v>
      </c>
      <c r="E126" s="3" t="s">
        <v>267</v>
      </c>
      <c r="F126" s="3" t="s">
        <v>17</v>
      </c>
      <c r="G126" s="3" t="s">
        <v>85</v>
      </c>
      <c r="H126" s="3" t="s">
        <v>11</v>
      </c>
      <c r="I126" s="3" t="s">
        <v>7</v>
      </c>
      <c r="J126" s="3" t="s">
        <v>41</v>
      </c>
      <c r="K126" s="3" t="s">
        <v>53</v>
      </c>
      <c r="L126" s="3" t="s">
        <v>38</v>
      </c>
      <c r="M126">
        <v>1</v>
      </c>
    </row>
    <row r="127" spans="1:13" x14ac:dyDescent="0.25">
      <c r="A127" s="2">
        <v>46262</v>
      </c>
      <c r="B127" s="1" t="str">
        <f ca="1">IF(Información1[[#This Row],[Fecha]]='Ajuste de fechas'!$A$2,"Día actual","Día anterior")</f>
        <v>Día actual</v>
      </c>
      <c r="C127" s="3" t="s">
        <v>8</v>
      </c>
      <c r="D127" t="s">
        <v>10</v>
      </c>
      <c r="E127" s="3" t="s">
        <v>268</v>
      </c>
      <c r="F127" s="3" t="s">
        <v>6</v>
      </c>
      <c r="G127" s="3" t="s">
        <v>85</v>
      </c>
      <c r="H127" s="3" t="s">
        <v>11</v>
      </c>
      <c r="I127" s="3" t="s">
        <v>23</v>
      </c>
      <c r="J127" s="3" t="s">
        <v>37</v>
      </c>
      <c r="K127" s="3" t="s">
        <v>9</v>
      </c>
      <c r="L127" s="3" t="s">
        <v>39</v>
      </c>
      <c r="M127">
        <v>1</v>
      </c>
    </row>
    <row r="128" spans="1:13" x14ac:dyDescent="0.25">
      <c r="A128" s="2">
        <v>46262</v>
      </c>
      <c r="B128" s="1" t="str">
        <f ca="1">IF(Información1[[#This Row],[Fecha]]='Ajuste de fechas'!$A$2,"Día actual","Día anterior")</f>
        <v>Día actual</v>
      </c>
      <c r="C128" s="3" t="s">
        <v>26</v>
      </c>
      <c r="D128" t="s">
        <v>52</v>
      </c>
      <c r="E128" s="3" t="s">
        <v>269</v>
      </c>
      <c r="F128" s="3" t="s">
        <v>17</v>
      </c>
      <c r="G128" s="3" t="s">
        <v>270</v>
      </c>
      <c r="H128" s="3" t="s">
        <v>11</v>
      </c>
      <c r="I128" s="3" t="s">
        <v>7</v>
      </c>
      <c r="J128" s="3" t="s">
        <v>41</v>
      </c>
      <c r="K128" s="3" t="s">
        <v>53</v>
      </c>
      <c r="L128" s="3" t="s">
        <v>38</v>
      </c>
      <c r="M128">
        <v>1</v>
      </c>
    </row>
    <row r="129" spans="1:13" x14ac:dyDescent="0.25">
      <c r="A129" s="2">
        <v>46262</v>
      </c>
      <c r="B129" s="1" t="str">
        <f ca="1">IF(Información1[[#This Row],[Fecha]]='Ajuste de fechas'!$A$2,"Día actual","Día anterior")</f>
        <v>Día actual</v>
      </c>
      <c r="C129" s="3" t="s">
        <v>8</v>
      </c>
      <c r="D129" t="s">
        <v>10</v>
      </c>
      <c r="E129" s="3" t="s">
        <v>271</v>
      </c>
      <c r="F129" s="3" t="s">
        <v>58</v>
      </c>
      <c r="G129" s="3" t="s">
        <v>272</v>
      </c>
      <c r="H129" s="3" t="s">
        <v>11</v>
      </c>
      <c r="I129" s="3" t="s">
        <v>7</v>
      </c>
      <c r="J129" s="3" t="s">
        <v>37</v>
      </c>
      <c r="K129" s="3" t="s">
        <v>13</v>
      </c>
      <c r="L129" s="3" t="s">
        <v>40</v>
      </c>
      <c r="M129">
        <v>1</v>
      </c>
    </row>
    <row r="130" spans="1:13" x14ac:dyDescent="0.25">
      <c r="A130" s="2">
        <v>46262</v>
      </c>
      <c r="B130" s="1" t="str">
        <f ca="1">IF(Información1[[#This Row],[Fecha]]='Ajuste de fechas'!$A$2,"Día actual","Día anterior")</f>
        <v>Día actual</v>
      </c>
      <c r="C130" s="3" t="s">
        <v>26</v>
      </c>
      <c r="D130" t="s">
        <v>52</v>
      </c>
      <c r="E130" s="3" t="s">
        <v>273</v>
      </c>
      <c r="F130" s="3" t="s">
        <v>20</v>
      </c>
      <c r="G130" s="3" t="s">
        <v>86</v>
      </c>
      <c r="H130" s="3" t="s">
        <v>11</v>
      </c>
      <c r="I130" s="3" t="s">
        <v>7</v>
      </c>
      <c r="J130" s="3" t="s">
        <v>42</v>
      </c>
      <c r="K130" s="3" t="s">
        <v>53</v>
      </c>
      <c r="L130" s="3" t="s">
        <v>38</v>
      </c>
      <c r="M130">
        <v>1</v>
      </c>
    </row>
    <row r="131" spans="1:13" x14ac:dyDescent="0.25">
      <c r="A131" s="2">
        <v>46262</v>
      </c>
      <c r="B131" s="1" t="str">
        <f ca="1">IF(Información1[[#This Row],[Fecha]]='Ajuste de fechas'!$A$2,"Día actual","Día anterior")</f>
        <v>Día actual</v>
      </c>
      <c r="C131" s="3" t="s">
        <v>26</v>
      </c>
      <c r="D131" t="s">
        <v>52</v>
      </c>
      <c r="E131" s="3" t="s">
        <v>274</v>
      </c>
      <c r="F131" s="3" t="s">
        <v>22</v>
      </c>
      <c r="G131" s="3" t="s">
        <v>275</v>
      </c>
      <c r="H131" s="3" t="s">
        <v>11</v>
      </c>
      <c r="I131" s="3" t="s">
        <v>7</v>
      </c>
      <c r="J131" s="3" t="s">
        <v>22</v>
      </c>
      <c r="K131" s="3" t="s">
        <v>53</v>
      </c>
      <c r="L131" s="3" t="s">
        <v>51</v>
      </c>
      <c r="M131">
        <v>1</v>
      </c>
    </row>
    <row r="132" spans="1:13" x14ac:dyDescent="0.25">
      <c r="A132" s="2">
        <v>46262</v>
      </c>
      <c r="B132" s="1" t="str">
        <f ca="1">IF(Información1[[#This Row],[Fecha]]='Ajuste de fechas'!$A$2,"Día actual","Día anterior")</f>
        <v>Día actual</v>
      </c>
      <c r="C132" s="3" t="s">
        <v>26</v>
      </c>
      <c r="D132" t="s">
        <v>52</v>
      </c>
      <c r="E132" s="3" t="s">
        <v>276</v>
      </c>
      <c r="F132" s="3" t="s">
        <v>19</v>
      </c>
      <c r="G132" s="3" t="s">
        <v>216</v>
      </c>
      <c r="H132" s="3" t="s">
        <v>11</v>
      </c>
      <c r="I132" s="3" t="s">
        <v>7</v>
      </c>
      <c r="J132" s="3" t="s">
        <v>37</v>
      </c>
      <c r="K132" s="3" t="s">
        <v>53</v>
      </c>
      <c r="L132" s="3" t="s">
        <v>38</v>
      </c>
      <c r="M132">
        <v>1</v>
      </c>
    </row>
    <row r="133" spans="1:13" x14ac:dyDescent="0.25">
      <c r="A133" s="2">
        <v>46262</v>
      </c>
      <c r="B133" s="1" t="str">
        <f ca="1">IF(Información1[[#This Row],[Fecha]]='Ajuste de fechas'!$A$2,"Día actual","Día anterior")</f>
        <v>Día actual</v>
      </c>
      <c r="C133" s="3" t="s">
        <v>54</v>
      </c>
      <c r="D133" t="s">
        <v>56</v>
      </c>
      <c r="E133" s="3" t="s">
        <v>277</v>
      </c>
      <c r="F133" s="3" t="s">
        <v>59</v>
      </c>
      <c r="G133" s="3" t="s">
        <v>117</v>
      </c>
      <c r="H133" s="3" t="s">
        <v>11</v>
      </c>
      <c r="I133" s="3" t="s">
        <v>7</v>
      </c>
      <c r="J133" s="3" t="s">
        <v>37</v>
      </c>
      <c r="K133" s="3" t="s">
        <v>62</v>
      </c>
      <c r="L133" s="3" t="s">
        <v>38</v>
      </c>
      <c r="M133">
        <v>1</v>
      </c>
    </row>
    <row r="134" spans="1:13" x14ac:dyDescent="0.25">
      <c r="A134" s="2">
        <v>46262</v>
      </c>
      <c r="B134" s="1" t="str">
        <f ca="1">IF(Información1[[#This Row],[Fecha]]='Ajuste de fechas'!$A$2,"Día actual","Día anterior")</f>
        <v>Día actual</v>
      </c>
      <c r="C134" s="3" t="s">
        <v>49</v>
      </c>
      <c r="D134" t="s">
        <v>50</v>
      </c>
      <c r="E134" s="3" t="s">
        <v>278</v>
      </c>
      <c r="F134" s="3" t="s">
        <v>59</v>
      </c>
      <c r="G134" s="3" t="s">
        <v>117</v>
      </c>
      <c r="H134" s="3" t="s">
        <v>11</v>
      </c>
      <c r="I134" s="3" t="s">
        <v>7</v>
      </c>
      <c r="J134" s="3" t="s">
        <v>37</v>
      </c>
      <c r="K134" s="3" t="s">
        <v>83</v>
      </c>
      <c r="L134" s="3" t="s">
        <v>38</v>
      </c>
      <c r="M134">
        <v>1</v>
      </c>
    </row>
    <row r="135" spans="1:13" x14ac:dyDescent="0.25">
      <c r="A135" s="2">
        <v>46262</v>
      </c>
      <c r="B135" s="1" t="str">
        <f ca="1">IF(Información1[[#This Row],[Fecha]]='Ajuste de fechas'!$A$2,"Día actual","Día anterior")</f>
        <v>Día actual</v>
      </c>
      <c r="C135" s="3" t="s">
        <v>8</v>
      </c>
      <c r="D135" t="s">
        <v>10</v>
      </c>
      <c r="E135" s="3" t="s">
        <v>279</v>
      </c>
      <c r="F135" s="3" t="s">
        <v>58</v>
      </c>
      <c r="G135" s="3" t="s">
        <v>117</v>
      </c>
      <c r="H135" s="3" t="s">
        <v>11</v>
      </c>
      <c r="I135" s="3" t="s">
        <v>7</v>
      </c>
      <c r="J135" s="3" t="s">
        <v>37</v>
      </c>
      <c r="K135" s="3" t="s">
        <v>13</v>
      </c>
      <c r="L135" s="3" t="s">
        <v>40</v>
      </c>
      <c r="M135">
        <v>1</v>
      </c>
    </row>
    <row r="136" spans="1:13" x14ac:dyDescent="0.25">
      <c r="A136" s="2">
        <v>46262</v>
      </c>
      <c r="B136" s="1" t="str">
        <f ca="1">IF(Información1[[#This Row],[Fecha]]='Ajuste de fechas'!$A$2,"Día actual","Día anterior")</f>
        <v>Día actual</v>
      </c>
      <c r="C136" s="3" t="s">
        <v>26</v>
      </c>
      <c r="D136" t="s">
        <v>98</v>
      </c>
      <c r="E136" s="3" t="s">
        <v>280</v>
      </c>
      <c r="F136" s="3" t="s">
        <v>22</v>
      </c>
      <c r="G136" s="3" t="s">
        <v>224</v>
      </c>
      <c r="H136" s="3" t="s">
        <v>11</v>
      </c>
      <c r="I136" s="3" t="s">
        <v>7</v>
      </c>
      <c r="J136" s="3" t="s">
        <v>22</v>
      </c>
      <c r="K136" s="3" t="s">
        <v>101</v>
      </c>
      <c r="L136" s="3" t="s">
        <v>38</v>
      </c>
      <c r="M136">
        <v>1</v>
      </c>
    </row>
    <row r="137" spans="1:13" x14ac:dyDescent="0.25">
      <c r="A137" s="2">
        <v>46262</v>
      </c>
      <c r="B137" s="1" t="str">
        <f ca="1">IF(Información1[[#This Row],[Fecha]]='Ajuste de fechas'!$A$2,"Día actual","Día anterior")</f>
        <v>Día actual</v>
      </c>
      <c r="C137" s="3" t="s">
        <v>26</v>
      </c>
      <c r="D137" t="s">
        <v>52</v>
      </c>
      <c r="E137" s="3" t="s">
        <v>281</v>
      </c>
      <c r="F137" s="3" t="s">
        <v>20</v>
      </c>
      <c r="G137" s="3" t="s">
        <v>78</v>
      </c>
      <c r="H137" s="3" t="s">
        <v>11</v>
      </c>
      <c r="I137" s="3" t="s">
        <v>7</v>
      </c>
      <c r="J137" s="3" t="s">
        <v>42</v>
      </c>
      <c r="K137" s="3" t="s">
        <v>53</v>
      </c>
      <c r="L137" s="3" t="s">
        <v>38</v>
      </c>
      <c r="M137">
        <v>1</v>
      </c>
    </row>
    <row r="138" spans="1:13" x14ac:dyDescent="0.25">
      <c r="A138" s="2">
        <v>46262</v>
      </c>
      <c r="B138" s="1" t="str">
        <f ca="1">IF(Información1[[#This Row],[Fecha]]='Ajuste de fechas'!$A$2,"Día actual","Día anterior")</f>
        <v>Día actual</v>
      </c>
      <c r="C138" s="3" t="s">
        <v>26</v>
      </c>
      <c r="D138" t="s">
        <v>52</v>
      </c>
      <c r="E138" s="3" t="s">
        <v>282</v>
      </c>
      <c r="F138" s="3" t="s">
        <v>60</v>
      </c>
      <c r="G138" s="3" t="s">
        <v>283</v>
      </c>
      <c r="H138" s="3" t="s">
        <v>11</v>
      </c>
      <c r="I138" s="3" t="s">
        <v>7</v>
      </c>
      <c r="J138" s="3" t="s">
        <v>37</v>
      </c>
      <c r="K138" s="3" t="s">
        <v>53</v>
      </c>
      <c r="L138" s="3" t="s">
        <v>38</v>
      </c>
      <c r="M138">
        <v>1</v>
      </c>
    </row>
    <row r="139" spans="1:13" x14ac:dyDescent="0.25">
      <c r="A139" s="2">
        <v>46262</v>
      </c>
      <c r="B139" s="1" t="str">
        <f ca="1">IF(Información1[[#This Row],[Fecha]]='Ajuste de fechas'!$A$2,"Día actual","Día anterior")</f>
        <v>Día actual</v>
      </c>
      <c r="C139" s="3" t="s">
        <v>26</v>
      </c>
      <c r="D139" t="s">
        <v>52</v>
      </c>
      <c r="E139" s="3" t="s">
        <v>284</v>
      </c>
      <c r="F139" s="3" t="s">
        <v>21</v>
      </c>
      <c r="G139" s="3" t="s">
        <v>74</v>
      </c>
      <c r="H139" s="3" t="s">
        <v>11</v>
      </c>
      <c r="I139" s="3" t="s">
        <v>7</v>
      </c>
      <c r="J139" s="3" t="s">
        <v>37</v>
      </c>
      <c r="K139" s="3" t="s">
        <v>53</v>
      </c>
      <c r="L139" s="3" t="s">
        <v>38</v>
      </c>
      <c r="M139">
        <v>1</v>
      </c>
    </row>
    <row r="140" spans="1:13" x14ac:dyDescent="0.25">
      <c r="A140" s="2">
        <v>46262</v>
      </c>
      <c r="B140" s="1" t="str">
        <f ca="1">IF(Información1[[#This Row],[Fecha]]='Ajuste de fechas'!$A$2,"Día actual","Día anterior")</f>
        <v>Día actual</v>
      </c>
      <c r="C140" s="3" t="s">
        <v>26</v>
      </c>
      <c r="D140" t="s">
        <v>52</v>
      </c>
      <c r="E140" s="3" t="s">
        <v>285</v>
      </c>
      <c r="F140" s="3" t="s">
        <v>20</v>
      </c>
      <c r="G140" s="3" t="s">
        <v>74</v>
      </c>
      <c r="H140" s="3" t="s">
        <v>11</v>
      </c>
      <c r="I140" s="3" t="s">
        <v>7</v>
      </c>
      <c r="J140" s="3" t="s">
        <v>42</v>
      </c>
      <c r="K140" s="3" t="s">
        <v>53</v>
      </c>
      <c r="L140" s="3" t="s">
        <v>38</v>
      </c>
      <c r="M140">
        <v>1</v>
      </c>
    </row>
    <row r="141" spans="1:13" x14ac:dyDescent="0.25">
      <c r="A141" s="2">
        <v>46262</v>
      </c>
      <c r="B141" s="1" t="str">
        <f ca="1">IF(Información1[[#This Row],[Fecha]]='Ajuste de fechas'!$A$2,"Día actual","Día anterior")</f>
        <v>Día actual</v>
      </c>
      <c r="C141" s="3" t="s">
        <v>8</v>
      </c>
      <c r="D141" t="s">
        <v>10</v>
      </c>
      <c r="E141" s="3" t="s">
        <v>286</v>
      </c>
      <c r="F141" s="3" t="s">
        <v>17</v>
      </c>
      <c r="G141" s="3" t="s">
        <v>287</v>
      </c>
      <c r="H141" s="3" t="s">
        <v>11</v>
      </c>
      <c r="I141" s="3" t="s">
        <v>23</v>
      </c>
      <c r="J141" s="3" t="s">
        <v>41</v>
      </c>
      <c r="K141" s="3" t="s">
        <v>9</v>
      </c>
      <c r="L141" s="3" t="s">
        <v>39</v>
      </c>
      <c r="M141">
        <v>1</v>
      </c>
    </row>
    <row r="142" spans="1:13" x14ac:dyDescent="0.25">
      <c r="A142" s="2">
        <v>46262</v>
      </c>
      <c r="B142" s="1" t="str">
        <f ca="1">IF(Información1[[#This Row],[Fecha]]='Ajuste de fechas'!$A$2,"Día actual","Día anterior")</f>
        <v>Día actual</v>
      </c>
      <c r="C142" s="3" t="s">
        <v>26</v>
      </c>
      <c r="D142" t="s">
        <v>52</v>
      </c>
      <c r="E142" s="3" t="s">
        <v>288</v>
      </c>
      <c r="F142" s="3" t="s">
        <v>17</v>
      </c>
      <c r="G142" s="3" t="s">
        <v>289</v>
      </c>
      <c r="H142" s="3" t="s">
        <v>11</v>
      </c>
      <c r="I142" s="3" t="s">
        <v>7</v>
      </c>
      <c r="J142" s="3" t="s">
        <v>41</v>
      </c>
      <c r="K142" s="3" t="s">
        <v>53</v>
      </c>
      <c r="L142" s="3" t="s">
        <v>38</v>
      </c>
      <c r="M142">
        <v>1</v>
      </c>
    </row>
    <row r="143" spans="1:13" x14ac:dyDescent="0.25">
      <c r="A143" s="2">
        <v>46262</v>
      </c>
      <c r="B143" s="1" t="str">
        <f ca="1">IF(Información1[[#This Row],[Fecha]]='Ajuste de fechas'!$A$2,"Día actual","Día anterior")</f>
        <v>Día actual</v>
      </c>
      <c r="C143" s="3" t="s">
        <v>8</v>
      </c>
      <c r="D143" t="s">
        <v>10</v>
      </c>
      <c r="E143" s="3" t="s">
        <v>18</v>
      </c>
      <c r="F143" s="3" t="s">
        <v>17</v>
      </c>
      <c r="G143" s="3" t="s">
        <v>30</v>
      </c>
      <c r="H143" s="3" t="s">
        <v>11</v>
      </c>
      <c r="I143" s="3" t="s">
        <v>12</v>
      </c>
      <c r="J143" s="3" t="s">
        <v>41</v>
      </c>
      <c r="K143" s="3" t="s">
        <v>13</v>
      </c>
      <c r="L143" s="3" t="s">
        <v>39</v>
      </c>
      <c r="M143">
        <v>1</v>
      </c>
    </row>
    <row r="144" spans="1:13" x14ac:dyDescent="0.25">
      <c r="A144" s="2">
        <v>46262</v>
      </c>
      <c r="B144" s="1" t="str">
        <f ca="1">IF(Información1[[#This Row],[Fecha]]='Ajuste de fechas'!$A$2,"Día actual","Día anterior")</f>
        <v>Día actual</v>
      </c>
      <c r="C144" s="3" t="s">
        <v>8</v>
      </c>
      <c r="D144" t="s">
        <v>10</v>
      </c>
      <c r="E144" s="3" t="s">
        <v>16</v>
      </c>
      <c r="F144" s="3" t="s">
        <v>17</v>
      </c>
      <c r="G144" s="3" t="s">
        <v>30</v>
      </c>
      <c r="H144" s="3" t="s">
        <v>11</v>
      </c>
      <c r="I144" s="3" t="s">
        <v>12</v>
      </c>
      <c r="J144" s="3" t="s">
        <v>41</v>
      </c>
      <c r="K144" s="3" t="s">
        <v>13</v>
      </c>
      <c r="L144" s="3" t="s">
        <v>39</v>
      </c>
      <c r="M144">
        <v>1</v>
      </c>
    </row>
    <row r="145" spans="1:13" x14ac:dyDescent="0.25">
      <c r="A145" s="2">
        <v>46262</v>
      </c>
      <c r="B145" s="1" t="str">
        <f ca="1">IF(Información1[[#This Row],[Fecha]]='Ajuste de fechas'!$A$2,"Día actual","Día anterior")</f>
        <v>Día actual</v>
      </c>
      <c r="C145" s="3" t="s">
        <v>8</v>
      </c>
      <c r="D145" t="s">
        <v>10</v>
      </c>
      <c r="E145" s="3" t="s">
        <v>57</v>
      </c>
      <c r="F145" s="3" t="s">
        <v>47</v>
      </c>
      <c r="G145" s="3" t="s">
        <v>30</v>
      </c>
      <c r="H145" s="3" t="s">
        <v>11</v>
      </c>
      <c r="I145" s="3" t="s">
        <v>12</v>
      </c>
      <c r="J145" s="3" t="s">
        <v>22</v>
      </c>
      <c r="K145" s="3" t="s">
        <v>13</v>
      </c>
      <c r="L145" s="3" t="s">
        <v>39</v>
      </c>
      <c r="M145">
        <v>1</v>
      </c>
    </row>
    <row r="146" spans="1:13" x14ac:dyDescent="0.25">
      <c r="A146" s="2">
        <v>46262</v>
      </c>
      <c r="B146" s="1" t="str">
        <f ca="1">IF(Información1[[#This Row],[Fecha]]='Ajuste de fechas'!$A$2,"Día actual","Día anterior")</f>
        <v>Día actual</v>
      </c>
      <c r="C146" s="3" t="s">
        <v>8</v>
      </c>
      <c r="D146" t="s">
        <v>10</v>
      </c>
      <c r="E146" s="3" t="s">
        <v>88</v>
      </c>
      <c r="F146" s="3" t="s">
        <v>19</v>
      </c>
      <c r="G146" s="3" t="s">
        <v>30</v>
      </c>
      <c r="H146" s="3" t="s">
        <v>11</v>
      </c>
      <c r="I146" s="3" t="s">
        <v>12</v>
      </c>
      <c r="J146" s="3" t="s">
        <v>37</v>
      </c>
      <c r="K146" s="3" t="s">
        <v>13</v>
      </c>
      <c r="L146" s="3" t="s">
        <v>39</v>
      </c>
      <c r="M146">
        <v>1</v>
      </c>
    </row>
    <row r="147" spans="1:13" x14ac:dyDescent="0.25">
      <c r="A147" s="2">
        <v>46262</v>
      </c>
      <c r="B147" s="1" t="str">
        <f ca="1">IF(Información1[[#This Row],[Fecha]]='Ajuste de fechas'!$A$2,"Día actual","Día anterior")</f>
        <v>Día actual</v>
      </c>
      <c r="C147" s="3" t="s">
        <v>8</v>
      </c>
      <c r="D147" t="s">
        <v>10</v>
      </c>
      <c r="E147" s="3" t="s">
        <v>161</v>
      </c>
      <c r="F147" s="3" t="s">
        <v>113</v>
      </c>
      <c r="G147" s="3" t="s">
        <v>30</v>
      </c>
      <c r="H147" s="3" t="s">
        <v>11</v>
      </c>
      <c r="I147" s="3" t="s">
        <v>12</v>
      </c>
      <c r="J147" s="3" t="s">
        <v>37</v>
      </c>
      <c r="K147" s="3" t="s">
        <v>13</v>
      </c>
      <c r="L147" s="3" t="s">
        <v>39</v>
      </c>
      <c r="M147">
        <v>1</v>
      </c>
    </row>
    <row r="148" spans="1:13" x14ac:dyDescent="0.25">
      <c r="A148" s="2">
        <v>46262</v>
      </c>
      <c r="B148" s="1" t="str">
        <f ca="1">IF(Información1[[#This Row],[Fecha]]='Ajuste de fechas'!$A$2,"Día actual","Día anterior")</f>
        <v>Día actual</v>
      </c>
      <c r="C148" s="3" t="s">
        <v>8</v>
      </c>
      <c r="D148" t="s">
        <v>10</v>
      </c>
      <c r="E148" s="3" t="s">
        <v>14</v>
      </c>
      <c r="F148" s="3" t="s">
        <v>15</v>
      </c>
      <c r="G148" s="3" t="s">
        <v>30</v>
      </c>
      <c r="H148" s="3" t="s">
        <v>11</v>
      </c>
      <c r="I148" s="3" t="s">
        <v>12</v>
      </c>
      <c r="J148" s="3" t="s">
        <v>37</v>
      </c>
      <c r="K148" s="3" t="s">
        <v>13</v>
      </c>
      <c r="L148" s="3" t="s">
        <v>39</v>
      </c>
      <c r="M148">
        <v>1</v>
      </c>
    </row>
    <row r="149" spans="1:13" x14ac:dyDescent="0.25">
      <c r="A149" s="2">
        <v>46262</v>
      </c>
      <c r="B149" s="1" t="str">
        <f ca="1">IF(Información1[[#This Row],[Fecha]]='Ajuste de fechas'!$A$2,"Día actual","Día anterior")</f>
        <v>Día actual</v>
      </c>
      <c r="C149" s="3" t="s">
        <v>8</v>
      </c>
      <c r="D149" t="s">
        <v>10</v>
      </c>
      <c r="E149" s="3" t="s">
        <v>46</v>
      </c>
      <c r="F149" s="3" t="s">
        <v>6</v>
      </c>
      <c r="G149" s="3" t="s">
        <v>30</v>
      </c>
      <c r="H149" s="3" t="s">
        <v>11</v>
      </c>
      <c r="I149" s="3" t="s">
        <v>12</v>
      </c>
      <c r="J149" s="3" t="s">
        <v>37</v>
      </c>
      <c r="K149" s="3" t="s">
        <v>13</v>
      </c>
      <c r="L149" s="3" t="s">
        <v>39</v>
      </c>
      <c r="M14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44</v>
      </c>
      <c r="B1" t="s">
        <v>45</v>
      </c>
    </row>
    <row r="2" spans="1:2" x14ac:dyDescent="0.25">
      <c r="A2" s="2">
        <f ca="1">TODAY()</f>
        <v>46262</v>
      </c>
      <c r="B2" s="2">
        <f ca="1">A2-1</f>
        <v>46261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2026-08-29T00:12:43Z</dcterms:modified>
</cp:coreProperties>
</file>