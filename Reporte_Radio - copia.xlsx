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35C05496-7888-4303-B9E9-209050130908}"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66" i="2"/>
  <c r="B69" i="2"/>
  <c r="B70" i="2"/>
  <c r="B73" i="2"/>
  <c r="B75" i="2"/>
  <c r="B77" i="2"/>
  <c r="B79" i="2"/>
  <c r="B81" i="2"/>
  <c r="B83" i="2"/>
  <c r="B85" i="2"/>
  <c r="B87" i="2"/>
  <c r="B89" i="2"/>
  <c r="B91" i="2"/>
  <c r="B93" i="2"/>
  <c r="B95" i="2"/>
  <c r="B97" i="2"/>
  <c r="B99" i="2"/>
  <c r="B101" i="2"/>
  <c r="B103" i="2"/>
  <c r="B105" i="2"/>
  <c r="B106" i="2"/>
  <c r="B108" i="2"/>
  <c r="B110" i="2"/>
  <c r="B112" i="2"/>
  <c r="B114" i="2"/>
  <c r="B116" i="2"/>
  <c r="B118" i="2"/>
  <c r="B120" i="2"/>
  <c r="B122" i="2"/>
  <c r="B124" i="2"/>
  <c r="B126" i="2"/>
  <c r="B129"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7" i="2"/>
  <c r="B68" i="2"/>
  <c r="B71" i="2"/>
  <c r="B72" i="2"/>
  <c r="B74" i="2"/>
  <c r="B76" i="2"/>
  <c r="B78" i="2"/>
  <c r="B80" i="2"/>
  <c r="B82" i="2"/>
  <c r="B84" i="2"/>
  <c r="B86" i="2"/>
  <c r="B88" i="2"/>
  <c r="B90" i="2"/>
  <c r="B92" i="2"/>
  <c r="B94" i="2"/>
  <c r="B96" i="2"/>
  <c r="B98" i="2"/>
  <c r="B100" i="2"/>
  <c r="B102" i="2"/>
  <c r="B104" i="2"/>
  <c r="B107" i="2"/>
  <c r="B109" i="2"/>
  <c r="B111" i="2"/>
  <c r="B113" i="2"/>
  <c r="B115" i="2"/>
  <c r="B117" i="2"/>
  <c r="B119" i="2"/>
  <c r="B121" i="2"/>
  <c r="B123" i="2"/>
  <c r="B125" i="2"/>
  <c r="B127" i="2"/>
  <c r="B12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<sst xmlns="http://schemas.openxmlformats.org/spreadsheetml/2006/main" count="1293" uniqueCount="283">
  <si>
    <t>Fecha</t>
  </si>
  <si>
    <t>Titular</t>
  </si>
  <si>
    <t>Dependencia</t>
  </si>
  <si>
    <t>Canal</t>
  </si>
  <si>
    <t>Tema</t>
  </si>
  <si>
    <t>Estatus</t>
  </si>
  <si>
    <t>Sipdus</t>
  </si>
  <si>
    <t>Informativa</t>
  </si>
  <si>
    <t>Acir 92.5 FM</t>
  </si>
  <si>
    <t>Radioescucha</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</si>
  <si>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</si>
  <si>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</si>
  <si>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</si>
  <si>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</si>
  <si>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</si>
  <si>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</si>
  <si>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</si>
  <si>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</si>
  <si>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</si>
  <si>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</si>
  <si>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</si>
  <si>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</si>
  <si>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</si>
  <si>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</si>
  <si>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</si>
  <si>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</si>
  <si>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</si>
  <si>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</si>
  <si>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</si>
  <si>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</si>
  <si>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</si>
  <si>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</si>
  <si>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</si>
  <si>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</si>
  <si>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</si>
  <si>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</si>
  <si>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</si>
  <si>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</si>
  <si>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</si>
  <si>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</si>
  <si>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</si>
  <si>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</si>
  <si>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Eulalio Larrieta agradece a Carlos Gamiño por estar al pendiente de temas.</t>
  </si>
  <si>
    <t>Segobh</t>
  </si>
  <si>
    <t>Eulalio Larrieta agradece a Jair Martínez de la SEGOBH, porque esta al pendiente de lo que se necesite y los reportes.</t>
  </si>
  <si>
    <t>Abasto de agua</t>
  </si>
  <si>
    <t>SSH</t>
  </si>
  <si>
    <t>RADIO LOCAL</t>
  </si>
  <si>
    <t>NQ 90.1 FM</t>
  </si>
  <si>
    <t>Enlace Hidalgo1</t>
  </si>
  <si>
    <t>Jesús Riveros</t>
  </si>
  <si>
    <t>Juan Carlos Santamaría</t>
  </si>
  <si>
    <t>Ultra 102.9 FM</t>
  </si>
  <si>
    <t>Ultra Noticias1</t>
  </si>
  <si>
    <t>Vialidad En Mal Estado</t>
  </si>
  <si>
    <t>Daniel Martínez</t>
  </si>
  <si>
    <t>Canal del Pueblo</t>
  </si>
  <si>
    <t>Vocales Radio</t>
  </si>
  <si>
    <t>Saderh</t>
  </si>
  <si>
    <t>TV LOCAL</t>
  </si>
  <si>
    <t>Aldo Falcón</t>
  </si>
  <si>
    <t>Andrés Torres</t>
  </si>
  <si>
    <t>Planeación</t>
  </si>
  <si>
    <t>Jessenia Romero</t>
  </si>
  <si>
    <t>Vía telefónica el reporte de Bombero y Protección Civil con Abner Yáñez informa de las diversas emergencias reportadas por la ciudadanía y que fueron atendidas.</t>
  </si>
  <si>
    <t>Auxilio a la ciudadanía</t>
  </si>
  <si>
    <t>Abner Yáñez</t>
  </si>
  <si>
    <t>Participación</t>
  </si>
  <si>
    <t>Súper Stéreo 100.5 FM</t>
  </si>
  <si>
    <t>Enfoque Regional Matutino</t>
  </si>
  <si>
    <t>Rodolfo López</t>
  </si>
  <si>
    <t>PGJEH</t>
  </si>
  <si>
    <t>Enlace Hidalgo2</t>
  </si>
  <si>
    <t>Combate a la delincuencia</t>
  </si>
  <si>
    <t>Iza Hernández</t>
  </si>
  <si>
    <t>Prevención De Riesgos</t>
  </si>
  <si>
    <t>Turismo</t>
  </si>
  <si>
    <t>TEEH</t>
  </si>
  <si>
    <t>Órgano Interno de Control</t>
  </si>
  <si>
    <t>Informe Alcalde</t>
  </si>
  <si>
    <t>Ataque Armado</t>
  </si>
  <si>
    <t>Milton Cortés</t>
  </si>
  <si>
    <t>Reforma Electoral</t>
  </si>
  <si>
    <t>Carretera Huasca</t>
  </si>
  <si>
    <t>Mal Desempeño</t>
  </si>
  <si>
    <t>Grito De Independencia</t>
  </si>
  <si>
    <t>Queja transporte público</t>
  </si>
  <si>
    <t>Paquete de apoyos escolares</t>
  </si>
  <si>
    <t>Fuga De Agua</t>
  </si>
  <si>
    <t>Relleno Sanitario</t>
  </si>
  <si>
    <t>Rehabilitación Vial</t>
  </si>
  <si>
    <t>Semarnath</t>
  </si>
  <si>
    <t>PVEM</t>
  </si>
  <si>
    <t>Partidos</t>
  </si>
  <si>
    <t>Morena</t>
  </si>
  <si>
    <t>Centro de acopio lechero</t>
  </si>
  <si>
    <t>Visita Sheinbaum</t>
  </si>
  <si>
    <t>Cultura</t>
  </si>
  <si>
    <t>Concierto Sinfónico</t>
  </si>
  <si>
    <t>Entrevista pautada</t>
  </si>
  <si>
    <t>Queja padres de familia</t>
  </si>
  <si>
    <t>Iniciativa</t>
  </si>
  <si>
    <t>Miled 97.1 FM</t>
  </si>
  <si>
    <t>Línea En Alta Tensión</t>
  </si>
  <si>
    <t>En entrevista vía telefónica, el maestro Héctor Javier Reyes Bonilla, director de la Orquesta Sinfónica del Estado de Hidalgo (OSEH), extendió una invitación al público en general para asistir al concierto José José Sinfónico, un homenaje al «Príncipe de la Canción». El evento se llevará a cabo el jueves 17 de septiembre a las 19:00 horas en el Auditorio Gota de Plata, con un costo de entrada de 300 pesos. La presentación contará con la interpretación de casi 60 músicos de la OSEH y cuatro solistas invitados: Armando Gómez Márquez, Julio Trejo, David Argel Cruz Ortega y el cantante coreano Yoon Yoon. El repertorio incluirá temas emblemáticos como Buenos días, amor, Amar y querer, No me platiques más, Mi niña, 40 y 20, La nave del olvido, El triste, así como un medley del disco Secretos con temas como El amor acaba y Lo dudo. Los boletos se encuentran a la venta en el Teatro Hidalgo Bartolomé de Medina (Plaza Juárez), el Centro Cultural del Ferrocarril y el Centro Cultural Digital del Estado de Hidalgo (Río de las Avenidas #200, Col. Periodistas). Se enfatizó que las entradas se están agotando rápidamente, por lo que se recomienda a la ciudadanía adquirirlas con anticipación.</t>
  </si>
  <si>
    <t>María Antonieta Islas</t>
  </si>
  <si>
    <t>Locutor Juan Carlos Santamaría da lectura a comentario de radioescucha que reporta las deficientes condiciones de higiene en los sanitarios del estacionamiento ubicado sobre el bulevar Primero de Mayo, en la zona adyacente a la tienda El Mayorista. De acuerdo con el testimonio recibido, las instalaciones se encuentran extremadamente sucias y percudidas, representando no solo una incomodidad para los usuarios, sino un potencial riesgo sanitario. Al presentar la queja directamente en el lugar, el encargo de los baños argumentó que la falta de mantenimiento se debe a que carecen de personal destinado a las labores de limpieza. Por ello, se hizo un llamado a los administradores o autoridades responsables para atender de manera urgente la salubridad del sitio.</t>
  </si>
  <si>
    <t>Citnova invita al Segundo Curso Básico de Astronomía</t>
  </si>
  <si>
    <t>Proyecto de relleno sanitario en 7 Mezquites permanecerá cerrado, reitera Gobierno del Estado</t>
  </si>
  <si>
    <t>Locutor Juan Carlos Santamaría da lectura a comentario de radioescucha que reporta lo siguiente: Le comparto algunos otros de los reportes que nos han llegado esta mañana: 'Quisiera hacer un reporte: en la escuela primaria Juan Escutia, en la colonia San Juan en Tulancingo, no se cuenta con clases de inglés. La maestra tiene tiempo que no se presenta y hay personas ajenas a la plantilla realizando labores dentro de la escuela. La escuela se encuentra en malas condiciones de infraestructura, aun y contando con mucho personal'". Un llamado a las autoridades educativas; compartimos este llamado a las autoridades educativas.</t>
  </si>
  <si>
    <t>Entrevista vía telefónica Héctor Javier Reyes Bonilla, director artistico Banda Sinfónica de Hidalgo - Habló sobre la realización del concierto especial "José José Sinfónico", un homenaje al "Príncipe de la Canción" que se llevará a cabo el próximo jueves 17 de septiembre a las 19:00 horas en el Auditorio Gota de Plata en Pachuca. La iniciativa, promovida por la Secretaría de Cultura del Estado de Hidalgo y el Consejo Estatal para la Cultura y las Artes de Hidalgo (CECULTAH), busca acercar la música popular a la ciudadanía en un formato sinfónico de alto nivel artístico. El espectáculo contará con la participación de cuatro solistas: Armando Gómez Márquez, Julio Trejo, David Argel Cruz Ortega y el cantante coreano Hyun Jun. Durante la entrevista, el director Reyes Bonilla detalló que el repertorio incluye cerca de 10 arreglos orquestales de su propia autoría, elaborados a partir de su formación académica en la Escuela Nacional de Música de la UNAM. Los boletos se encuentran disponibles en puntos físicos como el Teatro Bartolomé de Medina, el Centro Cultural del Ferrocarril y el Centro de Cultura Digital, así como en la plataforma digital oficial (taquilla.seculta.gob.mx).</t>
  </si>
  <si>
    <t>Locutor Juan Carlos Santamaría da lectura a comentario de una madre de familia denunció casos de exclusión y burlas sistemáticas disfrazadas de bromas en contra de su hija dentro de la Universidad Politécnica de Tulancingo (UPT). La denunciante señaló que esta problemática se ha extendido a lo largo de tres cuatrimestres y acusó que la conducta está normalizada no solo entre los estudiantes, sino también entre el cuerpo docente, afirmando que algunos maestros se suman a las mofas en lugar de reprimirlas. Asimismo, la madre de la estudiante refirió que la situación ya había sido informada previamente a los directivos del plantel sin que se tomaran medidas efectivas, recordando que la institución ha registrado antecedentes de violencia, como la agresión a una docente ocurrida en meses pasados. Ante el reporte, se hizo un llamado a las autoridades universitarias para intervenir de manera inmediata, así como a la comunidad estudiantil para priorizar un entorno académico profesional y respetuoso.</t>
  </si>
  <si>
    <t>Supervisión sanitaria</t>
  </si>
  <si>
    <t>Hidalgo se ratifica como el motor industrial de México.</t>
  </si>
  <si>
    <t>Sedeco</t>
  </si>
  <si>
    <t>La Comisión de Agua y Alcantarillado de Sistemas Intermunicipales (CAASIM) emitió un comunicado para alertar a la población sobre la suspensión temporal del servicio de agua potable en el sector oriente, abarcando desde el centro hasta el sur de la zona metropolitana de Pachuca. Esta afectación es derivada de los trabajos que ejecutará la Secretaría de la Defensa Nacional (SEDENA) para la construcción del Tren AIFA-Pachuca. Las maniobras darán inicio el lunes 14 de septiembre a partir de las 7:00 AM, por lo que se exhorta a los usuarios a tomar previsiones. Entre las colonias afectadas se encuentran Bosques del Peñar, Colonia Militar, Ávila Camacho, Colinas de Plata, Campestre, Villas del Álamo (parte alta), Azoyatla, Carboneras, Apulco, Pedregal de los Ángeles, Las Cruces, Minerva, La Alcantarilla y Cruz de los Ciegos, entre otras. De acuerdo con el organismo, el restablecimiento del suministro comenzará de forma paulatina a partir del martes 15 de septiembre a las 3:00 PM, calculando que la recuperación total del servicio tome hasta un máximo de 96 horas en algunos sectores.</t>
  </si>
  <si>
    <t>CAASIM atiende afectación en infraestructura sanitaria sobre el bulevar Colosio</t>
  </si>
  <si>
    <t>Socavón</t>
  </si>
  <si>
    <t>Durante su colaboración matutina de este viernes 11 de septiembre, David Cárdenas informó sobre la próxima visita de la presidenta Claudia Sheinbaum al estado de Hidalgo durante el fin de semana.</t>
  </si>
  <si>
    <t>Fortalece SEPH seguimiento académico en Educación Básica</t>
  </si>
  <si>
    <t>Fortalecimiento educativo</t>
  </si>
  <si>
    <t>El secretario de Agricultura y Desarrollo de Hidalgo, Napoleón González Pérez, encabezó la entrega regional de apoyos agrícolas y acuícolas en el Centro Cívico Social de Tulancingo. Con una inversión total de 8,596,155 pesos, se benefició a 179 productores de diversos municipios de la región a través de tres programas: la dotación de 200,000 crías de peces (tilapia y carpa), el impulso a huertos familiares para mujeres rurales, y la entrega de equipamiento e infraestructura intraagrícola como sistemas fotovoltaicos móviles.</t>
  </si>
  <si>
    <t>Apoyo Al Agro</t>
  </si>
  <si>
    <t>El presidente municipal de Cuautepec de Hinojosa, Jorge Hernández Arauz, rindió su segundo informe de gobierno ante autoridades estatales, municipales y ciudadanos en el jardín municipal. Durante su intervención, destacó logros en materia de infraestructura pública (agua potable, drenajes, electrificación y vialidades), seguridad (videovigilancia y proximidad policial) y bienestar social (apoyo a grupos vulnerables a través del sistema DIF). El evento contó con la representación del gobierno estatal y concluyó con el llamado del alcalde a mantener el trabajo coordinado y sin descanso por el desarrollo del municipio.</t>
  </si>
  <si>
    <t>Informe De Gobierno</t>
  </si>
  <si>
    <t>Tulancingo se prepara para celebrar las Fiestas Patrias 2026 con una agenda que reunirá a las familias en el centro de la ciudad el día 15, en una jornada dedicada a las tradiciones, la música y el orgullo de ser mexicanos. El Gobierno Municipal, a través de la Secretaría de Cultura, Educación, Deporte y Juventud, dio a conocer que el escenario principal será el Jardín La Floresta, donde se instalará la tradicional verbena popular con antojitos mexicanos, artesanías y actividades para toda la familia. Para esta celebración se prevé una asistencia de entre 8 mil y 10 mil personas. La noche del 15 de septiembre tendrá como atractivo principal la presentación de Cadetes de Linares, agrupación que acompañará el festejo con música y nostalgia. Las actividades del 15 de septiembre comenzarán a las 15:00 horas con una programación cultural distribuida en dos escenarios. En el Jardín La Floresta se desarrollará la ceremonia del Grito de Independencia, que será encabezada por la presidenta municipal, Lorena García Cázares, mientras que el Centro Cultural Ricardo Garibay recibirá entre ocho y diez agrupaciones locales, que mostrarán el talento artístico de Tulancingo. A esta programación se sumará la tradicional Carrera Nocturna del 15 de septiembre, cuya convocatoria ya se encuentra abierta y que contempla la participación de alrededor de 300 corredores. Minutos antes de las 23:00 horas se realizará el protocolo del Grito de Independencia, acompañado de la lectura del Acta de Independencia y el tradicional vitoreo a las heroínas y héroes que contribuyeron a la libertad de México. La jornada concluirá con un espectáculo sorpresa de cantantes y música mexicana, para mantener el ambiente festivo en una noche pensada para convivir y celebrar las raíces que unen a las familias tulancinguenses.</t>
  </si>
  <si>
    <t>Entrega SEPH útiles, uniformes, calzado y libros a estudiantes de Tizayuca</t>
  </si>
  <si>
    <t>Locutor Jesús Riveros da lectura a comentario de radioescucha que reporta, que desde hace dos semanas se encuentra fundida la luminaria del alumbrado público en la colonia Francisco I. Madero, hacen un llamado a las autoridades correspondientes, ya que en la noche esta zona es muy insegura.</t>
  </si>
  <si>
    <t>alumbrado público</t>
  </si>
  <si>
    <t>En el reporte de los servicios de emergencia, Abner Yáñez, de bomberos y protección civil, informó sobre la atención de diversos incidentes, destacando incendios de llantas y pasto, rescates de animales, fugas de gas, atención a personas enfermas, enjambres y cables caídos. Asimismo, reportó accidentes viales ocurridos durante el fin de semana, entre ellos un choque automovilístico en la colonia Emiliano Zapata y dos accidentes graves de motocicleta en la carretera México-Tuxpan (a la altura del nuevo Tulancingo y en Zapotlán de Allende) que dejaron a varios jóvenes con traumatismo de cráneo, señalando que ninguno portaba casco de protección. Finalmente, en el pronóstico del clima, indicó que se espera cielo despejado por la mañana, nublado por la tarde, baja probabilidad de lluvia, temperatura máxima de 22°C y mínima de 10°C.</t>
  </si>
  <si>
    <t>Durante la visita de la presidenta Claudia Sheinbaum en Hidalgo, se registró la irrupción de normalistas del Mëshë y de la escuela normal rural Luis Villarreal en el templete de prensa. Los manifestantes exigieron el cumplimiento de acuerdos para la apertura total de su escuela, el esclarecimiento del homicidio de un compañero ocurrido la semana anterior, la repartición de tierras y la mejora de sus instalaciones en mal estado. A pesar de que el acto se adelantó una hora y de la presencia de seguridad, los estudiantes lograron ingresar empujando las vallas metálicas justo al finalizar el evento mientras se entonaba el himno nacional, debido también a las condiciones climáticas. Por su parte, la Secretaría de Gobernación Federal indicó que atenderá las demandas planteadas por los normalistas.</t>
  </si>
  <si>
    <t>Durante el fin de semana, la presidenta Claudia Sheinbaum realizó una visita al estado de Hidalgo, donde encabezó la asamblea "Honestidad y Resultados" en el Domo de las Estrellas de Pachuca. La mandataria informó que más de 1.1 millones de hidalguenses reciben apoyos a través de los programas para el bienestar, destacando pensiones para adultos mayores y personas con discapacidad, becas educativas (como Benito Juárez y Rita Cetina), entrega de leche, y el programa La Escuela es Nuestra. Asimismo, anunció importantes proyectos de infraestructura, que incluyen la construcción de 10 bachilleratos nacionales Margarita Maza, un campus de la Universidad Rosario Castellanos, la ampliación de hospitales del IMSS y del ISSSTE, el desarrollo de miles de viviendas del Bienestar, y obras de conectividad regional como el tren Ciudad de México-Pachuca y la modernización de carreteras y sistemas de riego en la entidad.</t>
  </si>
  <si>
    <t>Entrevista en cabina, el biólogo Rolando Arturo Pérez García informó sobre las actividades y el funcionamiento de los módulos del Instituto Nacional Electoral (INE) de la Junta Distrital 04 en Tulancingo. Detalló que el miércoles 16 de septiembre los módulos permanecerán cerrados por ser día festivo, reanudando labores el 17 de septiembre. Asimismo, especificó los domicilios y horarios del módulo fijo ubicado en la Colonia Los Pinos segunda sección, así como las rutas y fechas de atención de los módulos itinerantes que visitarán Acaxochitlán, Metepec y Agua Blanca. Finalmente, recordó los requisitos para trámites como inscripción de jóvenes de 17 años que cumplirán la mayoría de edad antes del 6 de junio de 2027, reincorporación, cambio de domicilio y reemplazo por vencimiento de vigencia, cuya fecha límite para actualización es el 25 de enero de 2027.</t>
  </si>
  <si>
    <t>Credencialización</t>
  </si>
  <si>
    <t>Durante la conferencia matutina, el subsecretario de Protección Civil y Gestión de Riesgos del Estado, Román Bernal Díaz, emitió una serie de recomendaciones preventivas para los festejos patrios del 15 y 16 de septiembre, orientadas a salvaguardar la integridad de la ciudadanía tanto en plazas públicas como en hogares. Entre las pautas principales para eventos masivos destacó la identificación de rutas de evacuación, salidas de emergencia, el establecimiento de puntos de reunión familiares, el cuidado especial de niños y adultos mayores mediante tarjetas de identificación, y la prohibición de ciertos objetos. Asimismo, se recordó la participación estelar del cantante Carlos Rivera en las celebraciones y se subrayaron las recomendaciones emitidas por la secretaría de Salud para prevenir incidentes que afecten la seguridad y la salud pública.</t>
  </si>
  <si>
    <t>Mañanera de Hidalgo</t>
  </si>
  <si>
    <t>Durante la conferencia de prensa, Edmundo Pineda, titular de la Oficina de Comunicación Digital del Gobierno del Estado, destacó que Hidalgo cuenta con 84 municipios, pero posee una cantidad aún mayor de lienzos charros distribuidos en su geografía debido al profundo arraigo de la charrería, coincidiendo con la conmemoración del día dedicado a este deporte nacional. Asimismo, envió una felicitación a los locutores en su día —reconociendo la labor en plataformas de radio, televisión y medios multimedia— y se reconoció la labor de enlaces de comunicación regional como Juan Carlos Santa María desde Tulancingo a través de la XNQ.</t>
  </si>
  <si>
    <t>OCSAD</t>
  </si>
  <si>
    <t>Durante la conferencia matutina del Gobierno del Estado, la titular de la Secretaría de Movilidad y Transporte, Lizbeth Robles Gutiérrez, informó que la ruta troncal atiende actualmente a más de 61,000 usuarios diarios con una eficiencia operativa del 99%, logrando además reducir los siniestros viales y la frecuencia de paso. No obstante, detalló que el bulevar Felipe Ángeles enfrenta una alta saturación vehicular debido a su dinamismo económico, la concentración de centros comerciales, hospitales y escuelas, así como por obras públicas y la baja ocupación de vehículos particulares. Para mitigar esta problemática, se anunció la instalación de cámaras con inteligencia artificial en paraderos clave como el Tecnológico de Pachuca, la Procuraduría de Justicia y Téllez, las cuales analizarán el flujo vehicular y evaluarán soluciones, en coordinación con el exhorto emitido por el Congreso del Estado para revisar las restricciones en los carriles confinados.</t>
  </si>
  <si>
    <t>Durante la conferencia matutina semanal del Gobierno del Estado, realizada desde el Parque Cultural Hidalguense, intervino el presidente municipal de Pachuca, Jorge Alberto Reyes Hernández. El alcalde informó sobre los cierres viales implementados por las fiestas patrias en calles como Belisario Domínguez y Vicente Segura, en las inmediaciones de Plaza Juárez y la Glorieta Revolución, donde ya se instalan los juegos mecánicos. Asimismo, detalló que se realizarán labores de limpieza en la madrugada del 16 de septiembre y destacó la coordinación con dependencias como la Secretaría de Seguridad Pública de Hidalgo, la Oficialía Mayor y la Procuraduría para garantizar la seguridad y el desarrollo de los festejos.</t>
  </si>
  <si>
    <t>Durante la cobertura de la conferencia matutina del Gobierno del Estado desde el Parque Cultural Hidalguense, se informó sobre la intervención de Edgard Orlando Ángeles Pérez, titular de la Oficialía Mayor. El funcionario detalló que el sistema de transporte metropolitano incrementó su promedio de usuarios diarios de 68,000 en junio a más de 91,000, gracias a la incorporación de nuevas unidades impulsadas por la administración estatal. Esta mejora busca reducir el uso de vehículos particulares en Pachuca y mitigar el tráfico vehicular. Asimismo, se anunciaron trabajos constantes de mantenimiento en unidades y estaciones de la ruta troncal, destacando la coordinación con la Secretaría de Movilidad y Transporte encabezada por Lizbeth Robles Gutiérrez para eficientar el servicio por instrucción del gobernador Julio Menchaca Salazar.</t>
  </si>
  <si>
    <t>Oficialía Mayor</t>
  </si>
  <si>
    <t>Durante la conferencia matutina semanal del Gobierno del Estado de Hidalgo, se presentaron extractos de los "Círculos de diálogo" encabezados por el gobernador Julio Menchaca Salazar con habitantes de la entidad. En estos espacios se destacó el potencial turístico y económico del estado, posicionándolo más allá del turismo tradicional al resaltar su riqueza cultural, gastronómica, artesanal e histórica (como cuna de la charrería y del fútbol, además de contar con un geoparque). Asimismo, se enfatizó la importancia de la profesionalización, la capacitación y el impulso al turismo comunitario para generar empleos, arraigar a las poblaciones locales y revalorizar la identidad ancestral y artesanal hidalguense. La transmisión también adelantó los temas que se abordarían posteriormente en la agenda estatal, tales como movilidad, protección civil, asuntos del municipio de Pachuca, oficialía mayor y deporte.</t>
  </si>
  <si>
    <t>En la sección "La vida hoy", el doctor Luis Téllez Reyes reflexiona sobre los acontecimientos más destacados en el estado de Hidalgo durante la semana del 7 al 12 de septiembre de 2026. Analiza positivamente el proyecto de presupuesto federal para 2027 con obras como el tren AIFA-Pachuca, el crecimiento económico histórico del 8.2% en el primer trimestre, el inicio del ciclo escolar para más de 69,000 jóvenes, las acciones de protección sanitaria y la entrega de apoyos sociales. Luis Téllez Reyes concluye que todas estas áreas convergen en la aspiración común de generar mejores oportunidades y calidad de vida para las familias hidalguenses mediante la autonomía y el desarrollo integral.</t>
  </si>
  <si>
    <t>Hidalgo participó en la 20.ª Cumbre de Gobierno y Tecnología.</t>
  </si>
  <si>
    <t>Mejora regulatoria</t>
  </si>
  <si>
    <t>La Secretaría de Seguridad Pública de Hidalgo desplegará un operativo especial en los 84 municipios durante las celebraciones patrias del 15 y 16 de septiembre</t>
  </si>
  <si>
    <t>Fiestas Patrias</t>
  </si>
  <si>
    <t>Y en Tepeapulco, policías estatales con apoyo de elementos municipales detuvieron a un hombre presuntamente relacionado con al menos siete asaltos a tiendas de conveniencia cometidos en Hidalgo y el Estado de México.</t>
  </si>
  <si>
    <t>Secretaría de Salud llama a celebrar las Fiestas Patrias con responsabilidad .</t>
  </si>
  <si>
    <t>La Fundación Elena Poniatowska Amor donó 2000 libros de lectura a la Secretaría de Educación Pública de Hidalgo destinados a niñas y niños de educación básica. Estos ejemplares serán distribuidos por la Subsecretaría de Educación Básica a través de la Dirección General de Desarrollo Curricular para acercar materiales literarios a las comunidades escolares y fomentar el gusto por la lectura.</t>
  </si>
  <si>
    <t>Donación de libros</t>
  </si>
  <si>
    <t>La Secretaría de Educación Pública de Hidalgo presentó el procedimiento para registrar en el sistema CONEST los resultados de los ejercicios integradores del aprendizaje correspondientes al ciclo escolar 2026-2027.</t>
  </si>
  <si>
    <t>La Poderosa Tuxpan 93.1 FM</t>
  </si>
  <si>
    <t>Nn Nuestras Noticias Zona Norte</t>
  </si>
  <si>
    <t>El secretario de Educación Pública de Hidalgo, Natividad Castrejón Valdez, encabezó la entrega de uniformes, útiles escolares, calzado y libros de texto a estudiantes de la escuela Secundaria General “Ismael Villaseñor Ramírez”, en Tizayuca.</t>
  </si>
  <si>
    <t>Liz Argüelles</t>
  </si>
  <si>
    <t>Durante la trigésima novena sesión del sistema estatal para prevenir, atender, sancionar y erradicar la violencia contra las mujeres, realizada en Tepeapulco, autoridades informaron avances registrados de enero a junio de 2026. En este informe se dio a conocer que 600 escuelas aplican el programa de igualdad sustantiva y 100 policías violetas fueron capacitados en protocolos de atención. El objetivo de esta jornada es dar seguimiento a los trabajos de ambos mecanismos de coordinación mediante la presentación de los informes correspondientes a sus condiciones y subsistemas, con el propósito de fortalecer la conjunción de esfuerzos, instrumentos, políticas, servicios y acciones interinstitucionales.</t>
  </si>
  <si>
    <t>Erradicación Violencia De Género</t>
  </si>
  <si>
    <t>Radio Lobo 96.7 FM</t>
  </si>
  <si>
    <t>Enlace Noticias</t>
  </si>
  <si>
    <t>Hidalgo impulsa el turismo cinematográfico con segundo recorrido de locaciones para casas productoras</t>
  </si>
  <si>
    <t>Producción audiovisual</t>
  </si>
  <si>
    <t>Gina Lorenzo</t>
  </si>
  <si>
    <t>En representación del gobernador, el secretario de Bienestar e Inclusión Social, Ricardo Gómez Moreno, recibió el segundo informe de gobierno del Ayuntamiento de Mixquiahuala.</t>
  </si>
  <si>
    <t>Bienestar</t>
  </si>
  <si>
    <t>El gobernador Julio Menchaca Salazar dio la bienvenida a la presidenta de México este fin de semana, donde presentó su segundo informe de gobierno.</t>
  </si>
  <si>
    <t>Informe Sheinbaum</t>
  </si>
  <si>
    <t>El gobernador Julio Menchaca Salazar acompañó a la presidenta de México, Claudia Sheinbaum Pardo, durante su rendición de cuentas ante miles de hidalguenses a quienes le refrendó su compromiso de seguir trabajando en la transformación de la entidad.Hoy, con su gobierno, con los megaproyectos que usted va a anunciar, con ese cariño que le tiene a Hidalgo y a cada una de las regiones de nuestro país, demuestra que la primera mujer presidenta de los Estados Unidos mexicanos está respondiendo con resultados, con cariño, con valentía. Nos representa, presidenta. Estamos orgullosos, de Usted.</t>
  </si>
  <si>
    <t>La Orquesta Sinfónica del Estado de Hidalgo realizará un homenaje al Príncipe de la Canción José José en el Auditorio Gota de Plata</t>
  </si>
  <si>
    <t>Es cierto lo que dice esta persona, que muchos municipios se lavan las manos para atender el problema de violencia contra las mujeres. Y ya lo escuchamos, 25 municipios cuentan con centros libres y 8 con espacios temporales. Somos 84 municipios a nivel estatal. Estamos hablando que ni el 25% del Estado tiene condiciones idóneas para atender los casos de violencia contra las mujeres. Es importante tocar el tema, es importante hablar de esto en el Cabildo, además de esos chismes de que si se equivocan en la reunión de Cabildo, que si llegan, que si hay pique entre regidores y presidentes o presidentas municipales, y hay que siempre votan en contra. Estos temas no se hablan, no se tocan en los ayuntamientos. Si fuera así, si se hablaran, si hubiera un proyecto integral, estamos hablando que también hay representación de mujeres en las alcaldías, hay presidentas municipales. Ellos tendrían que ser empáticas con las mismas mujeres de sus municipios y no se tocan estos temas. 25 municipios solamente cuentan con sistema para atender la violencia contra las mujeres y 8 con espacios temporales. Porque cuando una mujer decide denunciar, ya no hay vuelta atrás, pero tampoco después de la denuncia puede regresar a su casa, donde está el violentador. ¿Imagina usted el miedo, la incertidumbre, todo lo que esta persona, esta mujer puede llegar a sufrir, únicamente con solo denunciar? Por eso es importante tocar el tema, por eso es importante también hoy la reforma electoral. Si estamos hablando que se pretende que 42 mujeres lleguen a los cabildos, lleguen a las presidencias municipales en Estado, pues al menos esta cifra tendría que duplicarse. Tendríamos que tener al menos mínimo 50 centros especializados que atiendan y que tengan sus centros, sus espacios temporales. Más de la mitad del Estado tendríamos que tener para el 2028. Las elecciones son en 2027. Ahí está un punto que usted tiene que tomar en cuenta a la hora de votar.</t>
  </si>
  <si>
    <t>Y al menos un grupo de treinta normalistas irrumpieron con gritos y pancartas el evento que la presidenta Claudia Sheinbaum Pardo realizaba este domingo en Pachuca. Casi al finalizar el evento, el grupo proveniente de la Escuela Normal Rural Luis Villarreal El Mexe derribó las vallas impuestas por la organización de la mandataria federal. Patearon las divisiones metálicas y forcejearon con los elementos de seguridad para lograr ingresar al templete donde estaba localizada la prensa.</t>
  </si>
  <si>
    <t>El Mexe</t>
  </si>
  <si>
    <t>Ahora sí, vamos con otros temas. Una mujer de 46 años, que se encontraba en el interior de su auto, fue asesinada a balazos la tarde del pasado viernes en el municipio de Tula de Allende.</t>
  </si>
  <si>
    <t>Y un hombre que caminaba por el centro de Pachuca con una boa sobre los hombros fue interceptado por policías municipales tras un reporte ciudadano. Vaya, vaya situación. Durante la revisión no pudo acreditar la legal procedencia del reptil, por lo que fue puesto a disposición de la Fiscalía General de la República. La Profepa ya atiende el caso para determinar responsabilidades. La boa fue valorada por especialistas y presentó lesiones en la boca, nódulos en el cuerpo, baja temperatura y poca reacción. Autoridades recordaron que la tenencia de fauna silvestre requiere documentos y autorizaciones y que está prohibido pasear a estos animales en la vía pública.</t>
  </si>
  <si>
    <t>Rescate de especies</t>
  </si>
  <si>
    <t>Y un trágico accidente vial registrado el fin de semana cobró la vida de un motociclista en el primer cuadro de la capital hidalguense. El percance ocurrió en la colonia centro, donde la motocicleta del hoy fallecido colisionó contra una unidad del transporte público tipo urban de la ruta Tulipanes-Centro. Paramédicos acudieron al sitio para brindarle los primeros auxilios, sin embargo, confirmaron que el motociclista ya no contaba con signos vitales.</t>
  </si>
  <si>
    <t>Accidente Carretero</t>
  </si>
  <si>
    <t>Y en otros temas, en otra información, siete hombres fueron detenidos luego del asalto a un camión repartidor de la empresa Coca-Cola ocurrido este fin de semana en la localidad de Jaguay Blanco, en el municipio de Mixquiahuala.</t>
  </si>
  <si>
    <t>Detención</t>
  </si>
  <si>
    <t>Y entre 5 y 6 personas privadas de la libertad en Hidalgo podrán obtener su preliberación el próximo 15 de septiembre debido a su edad avanzada o por motivos de salud, así lo informó el secretario de Gobierno, Guillermo Olivares Reina, quien explicó que el Estado ya trabaja en la identificación de posibles beneficiarios desde antes de la reunión del pasado 8 de septiembre con Rosa Icela Rodríguez Velázquez, secretaria de Gobernación Federal.</t>
  </si>
  <si>
    <t>Liberación de detenidos</t>
  </si>
  <si>
    <t>Y es hoy, es hoy, ahora sí como el meme, es hoy, es hoy, el presidente de la Junta de Gobierno del Congreso Estatal, Andrés Velázquez Vázquez, informó que hoy lunes 14 de septiembre se prevé discutir ante el Pleno la reforma electoral en Hidalgo.</t>
  </si>
  <si>
    <t>Pero bueno, la secretaria de Gobernación aseguró que revisará las demandas y dará seguimiento a las denuncias del grupo de estudiantes normalistas del Mexe. De acuerdo con la dependencia, los alumnos buscan que se atiendan demandas de infraestructura y equipamiento de la Escuela Normal Rural Luis Villarreal, como la delimitación del predio y la continuación de la segunda etapa del internado. La SEGOB aseguró que se trata de demandas históricas que se analizarán en conjunto con autoridades educativas federales y estatales para definir las acciones que corresponden. La secretaria de Gobernación, encabezada por Rosa Icela Rodríguez Velázquez, afirmó que, en compromiso con su deber, dará seguimiento a ambos temas.</t>
  </si>
  <si>
    <t>Radioescucha reporta calle del panteón municipal esta en muy mal estado</t>
  </si>
  <si>
    <t>Radioescucha dice una fuga muy grande de agua potable en Parque de Poblamiento, ojalá nos hagan caso, ya nos enviaron la fotografía y todas las cosas aquí</t>
  </si>
  <si>
    <t>Radioescucha dice: «Feliz Día del Locutor, Lalo, para ti, para todos los loc- los colaboradores. Buen día. Me gustaría reportar a Caasim que en la colonia Loma, en especial en la calle Flamingos, solamente cae agua los sábados una hora. En realidad no nos alcanza para llenar nada. Por favor, que Caasim la ponga a tiempo. Somos muchas familias»</t>
  </si>
  <si>
    <t>Radioescucha Lic. Najar agradece a las autoridades, ya que despúes de año y medio abrieron la calle en de Sonora en San Bartólo</t>
  </si>
  <si>
    <t>Liberación de vía</t>
  </si>
  <si>
    <t>Hidalgo acumula 175 casos de COVID y 15 fallecimientos. Adelante, vamos a escuchar a Jaqueline Servín.Secretaría de Salud con corte al 7 de septiembre, en Hidalgo se han registrado 175 casos de COVID-19 y 15 fallecimientos por esta causa. En la última semana se registraron nueve contagios y tres fallecimientos. A nivel nacional, Hidalgo se ubica como la entidad con más fallecimientos por COVID-19 y en tercer lugar con más contagios. En cuanto a casos de influenza, se registran 26 casos y un fallecimiento</t>
  </si>
  <si>
    <t>Covid 19</t>
  </si>
  <si>
    <t>La Secretaría de Infraestructura Pública y Desarrollo Urbano Sostenible informó que a partir de este lunes 14 de septiembre habrá cierre vehicular en el bulevar Felipe Ángeles, en el tramo lateral de Venta Prieta hacia el acceso al Tecnológico de Pachuca, con una duración estimada de 45 días. Para facilitar la circulación, se habilitará un carril en la bajada del puente vehicular de Venta Prieta como vía alterna. Por ello se recomienda anticipar traslados, considerar tiempo adicional y respetar el señalamiento vial en la zona.</t>
  </si>
  <si>
    <t>En el marco del Día Nacional del Charro, que se celebra cada 14 de septiembre, el Congreso del Estado de Hidalgo realizó un acto en el que legisladores y representantes de la comunidad charra destacaron la importancia de preservar esta tradición y transmitirla a las nuevas generaciones.Durante el encuentro, el presidente de la Junta de Gobierno del Congreso local, Andrés Velázquez Vázquez, destacó el vínculo histórico de Hidalgo con la charrería y señaló que la entidad ocupa un lugar especial dentro de esta tradición al ser considerada su cuna.Asimismo, el legislador reconoció la labor de charros, escaramuzas, familias, asociaciones e instructores que contribuyen a mantener vigente esta expresión cultural y refrendó el compromiso del Poder Legislativo con la preservación de las tradiciones.</t>
  </si>
  <si>
    <t>Día del Charro</t>
  </si>
  <si>
    <t>Eulalio Larrieta agradece a Sarahi Pineda, por estar atentas a los mensajes de la ciudadanía y por atenderlos.</t>
  </si>
  <si>
    <t>Andrés Torres y Milton Cortés hablan de los asistentes y ausentes en un informe de Jorge Reyes, destacando que la falta de asistencia también comunica un mensaje. Mencionan a Cuauhtémoc Ochoa, quien asistió vestido de charro, tomándose fotos con varios asistentes, incluida Simey Olvera, fotografías que fueron muy bien elegidas y mostradas en sus redes sociales; lo que hablan sobre el cuidado que tiene el equipo de comunicación en seleccionar las fotos ideales para transmitir una imagen positiva, en contraste con otros que no tienen el mismo cuidado. Aseguran que las fotos escogidas transmiten mensajes importantes, incluyendo una imagen de Jorge Reyes y Ochoa abrazándose. Además, subrayan que las interpretaciones son múltiples, pero los mensajes detrás de las acciones son claros. Resaltan que, aunque oficialmente el Instituto Estatal Electoral maneje un calendario, en realidad el proceso electoral ha comenzado hace tiempo.</t>
  </si>
  <si>
    <t>Aspirantes</t>
  </si>
  <si>
    <t>Sucesión Gubernamental</t>
  </si>
  <si>
    <t>Sucesión gubernamental</t>
  </si>
  <si>
    <t>Vía telefónica Milton Cortés describe el informe de Jorge Retes, alcalde Pachuca como una mezcla de despedida y posible lanzamiento político. Durante la presentación, Jorge Reyes no descartó la idea de repetir en el cargo, pero dejó claro que depende de su partido y de la opinión del público sobre su gestión. Reyes se mostró tranquilo y afirmó que su prioridad es terminar su mandato como presidente municipal. Cuando los reporteros le preguntaron sobre su futuro político, mencionó que la decisión no solo depende de él, sino también de la calificación que la población le dé a su administración, que ya lleva dos años. Milton concluye que Reyes está dispuesto a esperar los tiempos electorales para considerar su futuro, ya sea continuando en el cargo o cumpliendo con lo que establece la Constitución al finalizar su mandato.</t>
  </si>
  <si>
    <t>Reelección</t>
  </si>
  <si>
    <t>Hablábamos sobre temas de medio ambiente y la situación en un espacio natural del bosque en el municipio de Mineral del Chico. Este espacio ha sido cerrado temporalmente por autoridades ambientales, que están revisando los permisos relacionados. La revisión se inició debido a la construcción de cabañas en esa área, las cuales no son consideradas adecuadas. Por ello, se decidió cerrar el espacio mientras se lleva a cabo esta revisión. El cierre será temporal y se mantendrá hasta que se emita un dictamen que determine si las cabañas pueden funcionar y si los servicios turísticos en el lugar son permitidos. Así queda la situación, al menos por el momento.</t>
  </si>
  <si>
    <t>Clausura de obra</t>
  </si>
  <si>
    <t>Por malas prácticas, bajas de oficiales Tránsito y Movilidad en Tulancingo Por “malas prácticas”, oficiales de Movilidad y Tránsito en Tulancingo se han dado de baja, sobre todo por faltar en forma constante a realizar sus labores. dato fue ofrecido por Enrique Romero Alcántar, titular de la Secretaría municipal de Seguridad Ciudadana, señalando que hayan existido baja de dichos elementos por prácticas de corrupción, entre ellas, aceptar dádivas. Aseguró que detectaron casos de oficiales de Tránsito y Movilidad que “ya habían agarrado el modo” de faltar a sus labores, `por lo que al revisar sus bitácoras de trabajo, fueron dados de baja, de acuerdo a las normativas laborales de la corporación. Señaló que actualmente ya existe mayor orden para el cumplimiento de las labores por parte de los oficiales municipales, sin establecer la cantidad de bajas realizadas hasta el momento. El mando municipal estableció que si alguna persona resulta víctima de corrupción, acuda ante las autoridades municipales para realizar denuncia formal y con ello iniciar investigación. Respecto a bajas de elementos de Seguridad Pública municipal, Romero Alcántar dijo que han sido de manera voluntaria por parte de los elementos, sin que tampoco en este caso diera a conocer la cantidad. Señaló que entre las causas que ofrecen los oficiales de seguridad pública municipal para solicitar su baja, es para aceptar otras oportunidades de trabajo, tanto en diversos puntos del país, como dentro de la misma región. En momentos anteriores, autoridades en materia de seguridad pública en Tulancingo, han declarado que al darse de baja un elemento adscrito al municipio, no se permite que se contrate en otra demarcación. Ello debido a que se habría realizado inversiones en sus capacitaciones, cursos y talleres de profesionalización, que finalmente los elementos policiacos aplicaban en otros municipios donde se contrataban. Al respecto, Romero Alcántar señaló que de acuerdo a los protocolos implementados por el Mando Coordinado de Seguridad Pública del Estado de Hidalgo, al que el municipio de Tulancingo está adherido, los elementos policiacos que se dan de baja deben esperar un tiempo para ser contratados en otra demarcación. Pero al momento de buscar una nueva alta en otra corporación de seguridad pública, deben aplicar los requisitos y protocolos como un nuevo ingreso.</t>
  </si>
  <si>
    <t>Despido</t>
  </si>
  <si>
    <t>Daniel Martínez: Ayer por la mañana resulta que se terminó de abrir un socavón que ya existía sobre la Supervía Colosio, que ya no es tan súper que digamos, a la altura precisamente del Cuartel La Paz, el reporte que se viene dando desde el día de ayer, y resulta que la Comisión de Agua y Alcantarillado de Sistemas Intermunicipales, la CAASIM, señala que esto ha sido derivado de un daño que han encontrado en el sistema hidráulico sumado al desgaste por ahí dice el comunicado, al material poco adecuado que se utilizó en otras administraciones. Pues sí, pero les toca a ustedes... este, o les ha tocado desde hace 4 años, ¿no?, hacer la revisión correspondiente. Yo entiendo la parte que este... que les toca atender y que lo que les tocó este recibir, ¿eh? Pero pues ahorita les toca a ustedes, muchachos. Bueno, va a estar este acordonado, cerrado, cerrado como tal no, pero sí va a estar</t>
  </si>
  <si>
    <t>Sin casos de intoxicación por monóxido en Santiago Tulantepec; piden extremar precauciones Hasta el momento, Santiago Tulantepec no registra casos de intoxicación por monóxido de carbono atendidos por Bomberos y Protección Civil durante este año; sin embargo, ante la próxima temporada de frío, las autoridades pidieron a la población extremar precauciones con el uso de leña, carbón y otros equipos de combustión. Edmundo Chinal, director de Bomberos y Protección Civil municipal, recomendó evitar encender leña o carbón dentro de viviendas y espacios cerrados, además de mantener fuera de las casas los motores de combustión interna, principalmente en lugares con poca ventilación. Señaló que el llamado cobra especial importancia en comunidades de la zona alta, como Las Lajas, Sangre de Cristo, Paxtepec, Los Romeros y Altepemila, donde algunas familias utilizan estufas de leña o carbón, aunque cuenten con chimeneas. Las recomendaciones también son difundidas mediante los delegados y comisariados de las comunidades, así como a través de grupos de WhatsApp de la estación de Bomberos, con el objetivo de prevenir incidentes durante los meses de bajas temperaturas. Protección Civil recordó que el monóxido de carbono es un gas incoloro e inodoro que puede acumularse en espacios cerrados, por lo que insistió en mantener una ventilación adecuada y evitar cualquier fuente de combustión dentro de las viviendas.</t>
  </si>
  <si>
    <t>Incremento presupuestal fortalece apoyos al campo en Tulancingo El incremento de casi 400 por ciento en el presupuesto operativo de la Secretaría del Campo de Tulancingo, durante la presente administración, permitió ampliar la atención a productores y fortalecer las actividades agropecuarias. Hugo Flores Jiménez, titular de la dependencia, informó que de 2025 a la fecha se han atendido mil 426 solicitudes de apoyo agropecuario, vinculadas con programas de la Secretaría de Agricultura y Desarrollo Rural de Hidalgo (SADERH). A través de las Escuelas de Campo de leche, miel y agricultura, operadas por la Secretaría de Agricultura y Desarrollo Rural federal y el INIFAP, se capacitó a 580 productores, promoviendo prácticas que contribuyen a reducir el uso de agroquímicos. Asimismo, se consolidó la atención permanente de la ventanilla del Sistema Nacional de Identificación Individual de Ganado (SINIIGA), que anteriormente operaba de manera itinerante. En materia forestal, mediante recursos gestionados ante la CONAFOR, se atendieron zonas afectadas por gusano descortezador y plantas parásitas en los ejidos de Tulancingo y La Lagunilla. Como parte de estas acciones, se plantaron 2 mil pinos para contribuir a la recuperación de áreas dañadas. Desde la Dirección de Desarrollo Rural se instalaron 97 huertos de traspatio, beneficiando a 500 familias de colonias, ejidos y escuelas. También se realizaron jornadas zoosanitarias gratuitas, con más de 250 animales atendidos, además de acciones relacionadas con el gusano barrenador. A estas acciones se suman módulos demostrativos de cultivos alternativos como pitahaya, cempasúchil y nochebuena; la preservación del maguey, con 500 plantas madre y más de 450 hijuelos entregados, así como 45 talleres de transformación de alimentos, en los que se capacitó a productores en la elaboración de chorizo, chicharrón prensado, queso, yogurt, conservas de frutas y chiles en escabeche, entre otros productos, fortaleciendo sus capacidades productivas y las oportunidades de generar ingresos para sus familias.</t>
  </si>
  <si>
    <t>En cabina Carlos Durán Marmolejo, consejero del Instituto Estatal Electoral de Hidalgo explica que realización de foros indígenas tienen como objetivo recoger la opinión de las comunidades indígenas sobre su representación, debido a un vacío legal tras una sentencia de la Suprema Corte de Justicia de la Nación que afectó el Código Electoral. La Corte demandó al Congreso del Estado que reinstaure la parte de consulta indígena, que había sido inhabilitada. Carlos Durán menciona que ya se habían realizado consultas en el pasado, pero que fueron inhabilitadas. Es crucial escuchar a las comunidades indígenas para determinar la mejor forma de representación antes del 15 de septiembre, ya que el Congreso tiene este plazo para modificar la legislación electoral. Se han aprobado 13 foros regionales, y se ha contado con el apoyo de las presidencias municipales para convocar a las comunidades indígenas reconocidas. Los foros serán presenciales, y se realizarán en diferentes municipios, teniendo en cuenta la población indígena. Por ejemplo, Huejutla será una sede única y en Tulancingo se invitará a localidades de Acaxochitlán y Metepec. La fecha del foro en Tulancingo está programada para el 18 de septiembre en el Auditorio Municipal, donde se espera la participación de todas las representaciones indígenas. Daniel Martínez pregunta si el objetivo es que las comunidades expresen cómo desean ser representadas, a lo que Durán confirma que habrá preguntas guía. Se aclarará que estas discusiones se darán bajo el régimen de partidos políticos y en relación a las reglas de postulación establecidas por el Consejo General, que deben consensuarse con los partidos políticos en cada localidad. Durán reconoce que actualmente existe un vacío legal, subrayando la necesidad de conocer si basta con la autoadscripción como indígena o si es necesario un documento de autoridades comunitarias para representar a estas comunidades en cabildos, presidencias municipales y distritos reservados para indígenas. Martínez menciona algunos distritos como Orizatlán y Metepec, y pregunta si las conclusiones de los foros impactarán en el próximo proceso electoral. Durán destaca que escucharán y sistematizarán las opiniones recogidas, las cuales se presentarán ante los partidos políticos después del plazo legal del Congreso, que va del 15 de septiembre al 15 de octubre. Esto permitirá que el Instituto emita las reglas de postulación para asegurar que la comunidad indígena tenga voz en cómo desean ser representados. Daniel Martínez y Carlos Durán Marmolejo discuten la representación de las comunidades indígenas en procesos electorales. Carlos menciona la necesidad de definir qué documentos son necesarios para que las comunidades se autoidentifiquen y representen. Destaca la importancia de escuchar a las comunidades a través de foros donde se puede expresar libremente. A pesar de la crítica del Movimiento Indígena del Estado de Hidalgo sobre la falta de representación, Carlos invita a esas comunidades a participar en los foros para que se pueda incorporar su opinión en las futuras reglas de postulación. Carlos también informa que, desde su llegada al Instituto Electoral, no ha tenido conocimiento de propuestas formales del Movimiento Indígena. Discuten la apertura de una convocatoria para integrar 18 Consejos Distritales. Estos consejos son cruciales para la organización de las elecciones, ya que se encargan de recibir, integrar y contar los votos, así como de emitir constancias. Se solicitan cinco figuras por Consejo Distrital, sumando un total de 180 personas. Carlos anima a los ciudadanos interesados en temas electorales a revisar la convocatoria en la página del Instituto para participar. Abordan también el proceso de selección, que incluye la presentación de perfiles, un examen de conocimientos, y entrevistas. Detallan que la selección se basará en un sistema de calificación. Se menciona que las actividades de organización de las elecciones comenzarán formalmente el 15 de diciembre, con una ceremonia en Pachuca y la instalación de los Consejos en enero. También se empezará a coordinar con el Instituto Nacional Electoral. Se hace referencia a la necesidad de organizar una consulta sobre corridas de toros, que requerirá recursos públicos y logística adicional en el proceso electoral. Carlos informa que el presupuesto para dicha consulta está siendo elaborado y será presentado a las instancias correspondientes.</t>
  </si>
  <si>
    <t>IEEH</t>
  </si>
  <si>
    <t>Fondo Indígena</t>
  </si>
  <si>
    <t>Comité Estatal de Formación valora propuestas de instrucción docente</t>
  </si>
  <si>
    <t>Prodep</t>
  </si>
  <si>
    <t>Buscan impedir candidaturas a personas sancionadas por corrupción o delitos dolosos El Congreso de Hidalgo presentó una iniciativa que pretende prohibir la postulación a cargos de elección popular, de personas que hayan cometido delitos dolosos por los que fueron presos, o que resultaron inhabilitadas por actos de corrupción. Durante sesión ordinaria, legisladores locales subieron al pleno la propuesta que reforma el tercer párrafo de la fracción I del artículo 27 de la Constitución Política del de Hidalgo, para fortalecer los requisitos de elegibilidad para cargos de elección popular. En la exposición de la iniciativa se señaló que permitir que personas sancionadas por delitos dolosos o actos de corrupción, accedan nuevamente a cargos de representación popular podría debilitar la credibilidad del sistema democrático y normalizar prácticas contrarias a los principios de legalidad, honradez, imparcialidad y rendición de cuentas. La diputada Diana Rangel Zúñiga, en representación de los legisladores promoventes, mencionó que cuando los recursos públicos se utilizan indebidamente, cuando existe tráfico de influencias, sobornos o cualquier práctica que anteponga intereses particulares al bienestar colectivo, las consecuencias las resienten las familias y comunidades. Expuso que quien solicita la confianza de la ciudadanía para ocupar un cargo público debe comprender que el poder público no constituye un privilegio personal, sino una encomienda otorgada por el pueblo. “No podemos hablar de fortalecimiento democrático mientras normalizamos que personas sancionadas por conductas que afectan gravemente la legalidad o la función pública puedan regresar a posiciones desde las cuales se administra, decide o representa el interés colectivo”, expresó. Agregó que, lo que se busca es que quienes aspiren a representar al pueblo de Hidalgo no solamente cumplan con requisitos formales, sino también con condiciones mínimas de responsabilidad frente al orden jurídico y frente a la sociedad. La adición indica que no podrán ser postuladas a cargos de elección popular las personas que estén cumpliendo sentencia ejecutoriada por delitos dolosos que ameriten pena privativa de la libertad o por hechos de corrupción que ameriten la inhabilitación para ocupar cargos públicos. Actualmente el mismo párrafo niega la postulación a cargos de elección popular a las personas que cometieron violencia familiar, y violencia política contra las mujeres en razón de género.</t>
  </si>
  <si>
    <t>Con el objetivo de proteger el patrimonio de las y los hidalguenses y población vulnerable, la diputada del Partido del Trabajo (PT), Orquídea Larragoiti Osorio, presentó una reforma al Código Penal del estado para que se impongan hasta 15 años de prisión a quienes sean autores del inicio de un despojo. De acuerdo con la legisladora, se busca que la sanción aplique para quienes organicen, dirijan, financien o coordinen la comisión del despojo, así como a quienes participen en la comercialización de los inmuebles sabiendo que su ocupación tuvo un origen ilícito. En caso de que el inmueble corresponda a la vivienda habitual de la víctima, esté destinado a servicios públicos, salud, educación o asistencia social, o sea ocupado por tres o más personas de manera coordinada, se plantea una pena de tres a 10 años de prisión y una multa económica. La propuesta contempla una agravante de hasta 12 años de prisión cuando las víctimas sean personas adultas mayores, personas con discapacidad, menores de edad, mujeres embarazadas, integrantes de comunidades indígenas o afromexicanas, así como personas en situación de dependencia. La diputada petista precisó que se plantean mecanismos de protección para las víctimas y la posibilidad de solicitar la restitución provisional del inmueble, así como la reparación por daños y perjuicios, gastos de alojamiento temporal, rentas y costos derivados de la regularización documental y registral. De acuerdo con la diputada Orquídea Larragoiti, durante el primer semestre de 2026 se iniciaron 574 carpetas de investigación por despojo en Hidalgo, mientras que en el mismo periodo de 2025 fueron 456, lo cual representó un incremento de 25.9 por ciento, equivalente a 118 investigaciones más. El delito se extendió a 74 de los 84 municipios del estado. Del total de carpetas iniciadas este año, 222 se concentraron en Pachuca, con 64 casos; Tizayuca, 63; Mineral de la Reforma, 40; Tula de Allende, 30, y Tulancingo de Bravo, 25.</t>
  </si>
  <si>
    <t>Reportan disminución de 71 por ciento de robos consumados en Autopista Arco Norte Los asaltos consumados sobre la autopista Arco Norte disminuyeron en 71 por ciento en el primer semestre de este año, en el comparativo con el mismo periodo de tiempo del año pasado. El dato fue ofrecido durante la Décima Mesa de Trabajo Interestatal, con la presencia de Hidalgo, Estado de México, Tlaxcala, Puebla y Querétaro, autoridades federales y la Concesionaria IDEAL Arco Norte. Se señaló que entre enero a junio del año pasado se registraron en la vialidad 77 asaltos consumados, mientras que en el mismo periodo de tiempo de este 2026, el registro ha sido de 22. En intentos de asalto, la disminución fue del 67 por ciento, al pasar de 129 a 42 casos, en el comparativo del primer semestre de los años 2025 y 2026, respectivamente. A estas acciones se suman 97 operativos realizados, en los que fueron revisados 2 mil 604 vehículos y 3 mil 136 personas. Asimismo, se reportó la recuperación de seis vehículos con reporte de robo y la clausura de 25 accesos irregulares entre diciembre de 2025 y julio de 2026. Entre los temas a los que se dio seguimiento se encuentran el fortalecimiento del patrullaje y la presencia de seguridad en carretera. Así como la instalación y operación de cámaras y lectores de placas conectados a los centros de seguridad; el cierre de accesos irregulares; y la incorporación de unidades tecnológicas para reforzar la vigilancia. También se abordó la posibilidad de establecer bases de operación coordinada en puntos estratégicos, así como mejorar la cobertura de telefonía celular. En materia de infraestructura, se revisaron los trabajos de conservación de la vía, iluminación y protección de paradores y reparación de losas de concreto. Para este año se contempla una inversión de 181 millones de pesos en conservación, cifra que representa más del triple de los recursos destinados durante 2025. Se acordó continuar con acciones relacionadas con sistemas de pesaje, supervisión de pesos y dimensiones, regularización de grúas y corralones. Así como mejorar la información sobre los tramos que se encuentren en reparación para facilitar la movilidad y reducir riesgos para las y los conductores.</t>
  </si>
  <si>
    <t>Coordinación interestatal</t>
  </si>
  <si>
    <t>Baja percepción de inseguridad en Hidalgo, pero aumentan los delitos Aunque cada vez menos habitantes de Hidalgo consideran inseguro vivir en el estado, los datos de victimización muestran un escenario distinto: durante 2025 aumentó la incidencia delictiva y también el número de hogares afectados por algún delito, de acuerdo con la Encuesta Nacional de Victimización y Percepción sobre Seguridad Pública (ENVIPE) 2026 del INEGI. La percepción de inseguridad entre la población de 18 años y más pasó de 65.5% en 2025 a 61.3% este año. La disminución fue todavía mayor al preguntar por el municipio, donde bajó 6.6 puntos porcentuales, mientras que en colonias o localidades cayó ocho puntos. Sin embargo, los indicadores de victimización correspondientes a 2025 registraron un incremento. La tasa de delitos llegó a 34 mil 791 por cada 100 mil habitantes, frente a 26 mil 113 del año anterior, lo que representó un aumento de aproximadamente 33.2%. También creció el porcentaje de hogares que tuvieron al menos una víctima de delito, al pasar de 23.8% a 27.5%, equivalente a alrededor de 289 mil 481 hogares en Hidalgo. Entre los delitos con mayor incidencia destacaron el fraude y la extorsión. El primero alcanzó una tasa de 8 mil 169 casos por cada 100 mil habitantes, mientras que la extorsión llegó a 7 mil 492. En este último delito se registró uno de los incrementos más marcados, al pasar de 3 mil 915 casos en 2024 a 7 mil 492 en 2025. El problema también se refleja en el bajo nivel de denuncia. La encuesta estima que únicamente 9.7% de los delitos ocurridos durante 2025 fue denunciado ante el Ministerio Público o la Fiscalía, mientras que 92.7% quedó dentro de la denominada cifra oculta, es decir, sin denuncia o sin una carpeta de investigación iniciada. Pese a este panorama, la percepción sobre algunas corporaciones locales mejoró. La confianza en la Policía Estatal aumentó de 56.9% a 61.8%, mientras que la Policía Preventiva Municipal pasó de 55.5% a 59.7%. No obstante, persiste una elevada percepción de corrupción: 73% de la población que identifica a la Policía de Tránsito considera que esta corporación es corrupta, seguida por los jueces, con 69.3%, y la Policía Estatal, con 67.2%. La ENVIPE también muestra diferencias importantes por género. Mientras 59.4% de los hombres dijo sentirse seguro al caminar solo de noche cerca de su vivienda, entre las mujeres el porcentaje fue de apenas 40.5%. Así, los resultados de la encuesta muestran dos realidades que avanzan en sentidos distintos: la percepción de inseguridad disminuyó en Hidalgo, pero los delitos estimados y la victimización aumentaron, mientras una proporción importante de los hechos continúa sin llegar a las autoridades.</t>
  </si>
  <si>
    <t>Percepción de inseguridad</t>
  </si>
  <si>
    <t>Bacheo y seguridad concentran pendientes para Pachuca en el cierre de la administración A un año de concluir su administración, el presidente municipal de Pachuca, Jorge Alberto Reyes Hernández, identificó el mantenimiento de las vialidades y la seguridad como dos de los principales asuntos que deberán mantenerse en atención durante el último periodo de gobierno. Al presentar su Segundo Informe de Resultados ante el Cabildo, el alcalde informó que se han canalizado 352 millones de pesos a 114 obras de pavimentación y servicios básicos, aunque reconoció que el estado de las calles continúa entre los principales reclamos de la población. En materia de seguridad, el municipio prevé continuar con la incorporación de nuevos elementos a la corporación y mejorar las condiciones laborales de los policías, con prestaciones como seguridad social y mejores salarios. Como parte del equipamiento incorporado durante la administración, Reyes Hernández reportó 256 cámaras adicionales distribuidas en 73 puntos de monitoreo. De acuerdo con el funcionario, este sistema fue utilizado recientemente en una acción que derivó en la detención de una presunta banda dedicada al robo de vehículos. También anunció que para enero de 2027 se prevé entregar viviendas a policías municipales y sus familias, como parte de las acciones relacionadas con las condiciones laborales de la corporación. Por otra parte, el alcalde dejó abierta la posibilidad de participar en el próximo proceso electoral, ya sea para buscar la continuidad en la Presidencia Municipal o para contender por otro cargo. Reyes Hernández señaló que cualquier decisión dependerá de la definición de Morena y posteriormente de la valoración de la ciudadanía, mientras que por ahora afirmó que su prioridad es concluir el actual periodo de gobierno.</t>
  </si>
  <si>
    <t>El gobierno municipal de Tulancingo está evaluando opciones para la ubicación temporal de estudiantes de la escuela primaria “Aquiles Serdán”, ubicada en el centro de la ciudad. Lo anterior fue señalado por la alcaldesa Lorena García Cázares, ante la demolición y posterior reconstrucción del edificio, en el cual fueron detectadas fisuras en parte de los salones, en octubre del año pasado. A partir de la evaluación que realice el gobierno municipal de las propuestas de sedes provisionales para dicha comunidad educativa, que incluiría a la escuela primaria “Rafael Ramírez”, que presta servicio durante las tardes, serán presentadas ante la Secretaría de Educación Pública del Estado de Hidalgo. Por lo que serán funcionarios de la institución estatal quienes tomarán la decisión respecto a la sede provisional, que sería usado durante prácticamente un año, en tanto se desarrollan las obras de demolición y posterior reconstrucción del plantel educativo. A inicios de la semana pasada, el titular de la SEPH, Natividad Castrejón Valdez, señaló que la búsqueda y decisión de sede provisional para la institución de educación básica debería ser en conjunto entre la instancia estatal y el gobierno de Tulancingo. La alcaldesa de Tulancingo descartó que el edificio que actualmente ocupa la escuela secundaria “José María Lezama”, así como la Escuela Municipal de Artes, pueda usarse como sede temporal. Ello debido a la gran cantidad de personas que constantemente usan las instalaciones, además que estas no están adecuadas para las necesidades tanto educativas como de infraestructura para las y los estudiantes de nivel primaria. García Cázares señaló que para tomar la decisión adecuada, se deben tomar en cuenta factores como condiciones físicas de la sede temporal, distancia de domicilios, entre otros. Se estableció acuerdo entre autoridades educativas y padres de familia que será a mediados del próximo mes de octubre cuando se determine dicha sede temporal del plantel educativo.</t>
  </si>
  <si>
    <t>Reconstrucción de escuela</t>
  </si>
  <si>
    <t>Andrés Torres comenta que en el Partido Verde Ecologista en Hidalgo se dio la bienvenida a Guillermo Peredo, quien dejó Movimiento Ciudadano. Torres sugiere que el Partido Verde está intentando formar una alianza con Morena para las próximas elecciones municipales. Señala que se rumorea que Benjamín Rico podría ser el candidato de esta alianza para Pachuca. Aunque en Morena a nivel local no se expresan a favor de esta unión, a nivel nacional podría haber presiones para concretarla. También menciona que, en el contexto de la reelección del presidente municipal de Pachuca, el Partido Verde muestra su fuerza política al presentar a Peredo como posible candidato a diputado local. Torres cree que los eventos recientes no son casuales y que hay un mensaje político en juego. Por su parte, Milton Cortés confirma lo que dice Torres, señalando que en un par de horas después de la conferencia de prensa del presidente municipal, el Partido Verde presentó a Guillermo Peredo como miembro. Resalta que la intención de fortalecer el partido en Hidalgo es clara. Asimismo, menciona la notable presencia de figuras clave durante la presentación, lo que indica mensajes políticos relevantes. Ambos señalan la potencial candidatura de Jorge Alberto Reyes en la boleta electoral.</t>
  </si>
  <si>
    <t>Vía telefónica Milton Cortés informó que en el marco de su Segundo Informe de Resultados, el presidente municipal de Pachuca, Jorge Alberto Reyes, destacó las acciones emprendidas durante su administración en materia de obras públicas, seguridad y manejo transparente de los recursos. El edil afirmó que, tras recibir un municipio con diversas problemáticas, el combate a la corrupción y la disciplina financiera han permitido devolver el rumbo a la capital hidalguense. Acompañado por el secretario de Gobierno del Estado, Guillermo Olivares Reyna, la asamblea municipal, legisladores locales, federales y representantes del sector productivo y vecinal, Reyes subrayó que el trabajo conjunto con el gobierno estatal encabezado por Julio Menchaca Salazar ha sido determinante para concretar inversiones históricas. Entre los principales avances presentados, el alcalde resaltó el desarrollo de un ambicioso programa de bacheo, la rehabilitación de vialidades principales y el alumbrado público, superando las metas alcanzadas por las dos administraciones anteriores. Asimismo, enfatizó que Pachuca debe gestionarse bajo un enfoque metropolitano. Detalló que mantener una agenda coordinada con demarcaciones colindantes como Mineral de la Reforma, Zempoala, Real del Monte, San Agustín Tlaxiaca y Zapotlán resulta indispensable para atender de manera integral problemáticas de seguridad y ordenamiento. Durante el evento, se dieron a conocer los compromisos y proyectos para el ciclo de trabajo que inicia en materia de seguridad, Infraestructura y la apertura de nuevas oficinas operativas para mejorar la capacidad de respuesta ante contingencias. En el marco de las actividades del informe, celebradas previamente en la sesión solemne de la Asamblea Municipal en la Casa Rulle, el presidente municipal fue cuestionado sobre sus aspiraciones políticas de cara a un eventual proceso de reelección o participación en otros frentes. Al respecto, Jorge Reyes señaló que la decisión quedará en manos de la ciudadanía a partir de sus resultados, así como de los tiempos y valoraciones de su partido, Movimiento Regeneración Nacional (Morena). Destaca Milton la buena labor y que se cumplió con las expectativas, pues entregó buenos resultados.</t>
  </si>
  <si>
    <t>Andrés Torres: Muy muy complicada hablando de eh pues presidentes municipales que están envueltos en polémicas. La presidenta municipal de Apan pues sí, envuelta en un tremendo lío porque pues hay un montón de protestas, incumplimiento de obras, falta de agua potable y ahora pues con el tema de los rellenos sanitarios allá, la cuestión está muy muy grave. La doctora Zoraida, ¿no? Zoraida Robles. Este bueno, pues no, no ve la suya. Muchas, muchas protestas en Apan debido a esto.</t>
  </si>
  <si>
    <t>Andrés Torres: Ya el Bulevar Santa Catarina, bueno pues es un enorme desahogo. Está abierto prácticamente en su totalidad la obra. Ya se abrió también su entronque con el Bulevar Ramón G. Bonfil y esto de verdad que desahoga muchísimo. Increíblemente, después de muchos meses de vivir verdaderamente un infierno en cuestiones de tránsito acá al sur de Pachuca, y se lo digo textual, a mí no me importa, yo no tengo que quedar bien con nadie, este vivimos meses de verdadero infierno vial en el sur de Pachuca, muchos meses. Y ahora que ya concluyó la obra o que está prácticamente concluida la obra en el Bulevar Santa Catarina, se nota la diferencia. El Bulevar Felipe Ángeles ¡se desahogó! Como en aquellos lejanos años noventas cuando pues uno hacía recorridos de 10 minutos del del sur de la ciudad al centro, ¿no? Hoy este, guardando todas las honrosas excepciones, bueno pues el tránsito está muy desahogado y esto abona muchísimo al tránsito también en la carretera México-Pachuca, en la en el Bulevar Nuevo Hidalgo también muy desahogado gracias a que ya concluyó esta obra. El bulevar también este estos entronques temporales que se hicieron para en llegar al Ramón G. Bonfil que pues pasaban por terrenos y lotes baldíos. Bueno pues ya este se abrió la obra y terminó esta obra y hoy de verdad se ve la diferencia. Vaya que es ha sido un gran beneficio, lo es un gran beneficio esta esta nueva vía este con asfalto hidráulico, con concreto hidráulico. Concreto hidráulico y bueno pues ya se nota de verdad la diferencia. ¡Qué bueno! Qué bueno que ya concluyeron esta obra y que ya se desahogó, ¡de verdad! Se desahogó el sur de la ciudad con esta esta</t>
  </si>
  <si>
    <t>Andrés Torres comenta que la presidenta municipal de Tepeji, ha enfrentado muchas protestas y problemas en su gestión. A pesar de recibir apoyo del gobierno, las cosas no mejoran. Por esto, han decidido cambiar su estrategia: en lugar de gastar más de un millón de pesos en un informe de actividades, el dinero se destinará a obras y servicios que la comunidad necesita. Ellos planean dar un informe corto de cinco minutos y entregar un documento al cabildo, evitando gastos en eventos lujosos y servicios de comunicación. Sin embargo, las protestas continúan, y la gente sigue descontenta con su gestión. Aunque la decisión de no gastar en el informe parece positiva para fomentar la austeridad, esto obedece a una estrategia para no exponerse a reclamos y pasar u mal rato por la falta de respuestas a las demandas de la comunidad. Esto ha generado un ambiente de enojo en el municipio. La presidenta ha sido objeto de muchas críticas, y la semana pasada estuvo a punto de ser tomada por la fuerza en la presidencia, lo que la llevó a abandonar una sesión. La gente estaba muy enfadada porque no recibieron respuestas durante esa reunión. A pesar de su intento de esquivar las críticas y la presión, la situación sigue siendo complicada para la presidenta municipal. Su salida de la sesión de cabildo fue solo una medida temporal para evitar el enfrentamiento directo con los ciudadanos descontentos, y el informe que supuestamente no tiene relevancia parece no resolver los problemas reales del municipio. En definitiva, la alcaldesa se encuentra con un panorama difícil y con una población enojada que exige atención.</t>
  </si>
  <si>
    <t>Ayer el Secretario de Gobierno, Guillermo Olivares Reyna, estuvo en la región, estuvo en la zona del Arco Norte, en esta reunión interestatal con la con concesionaria Arco Norte. El Secretario de Gobierno, Guillermo Olivares, estuvo acompañado por elementos del Ejército Mexicano, representantes de las concesionarias, encargados del mantenimiento, construcción, rehabilitación de esta vía tan importante como es el Arco Norte. Por supuesto, también representantes del Gobierno del Estado de México, del Gobierno de Morelos, del Gobierno de Tlaxcala, todos los que tienen que ver con esta importante vía que cruza buena parte del centro del país, toca territorio hidalguense y ahí se afinaron las estrategias, se discute y se pone eh sobre la mesa qué hacer para combatir la inseguridad, para generar todas las condiciones, de sobre todo, garantías para las empresas que transportan productos a través de esta importante carretera. El Secretario de Gobierno encabezó ayer estos trabajos. Es el Estado de Hidalgo quien está tomando un papel preponderante en estas tareas y bueno, muy buenas noticias en cuanto a lo que es el trabajo para fortalecer la seguridad en el Arco Norte.</t>
  </si>
  <si>
    <t>Andrés Torrres recuerda que el domingo Luciano Cornejo, quien intentaba dialogar con los jóvenes del Mexe, pero en 1999, él era quien azuzaba a los estudiantes de la Normal, cuando amarraron y desnudaron a policías en la Plaza de la Revolución en Francisco I. Madero en Tepatepec durante el gobierno de Manuel Ángel Núñez y con Miguel Osorio como secretario de Gobierno. Señala que Luciano Cornejo en su juventud era "incendiario" y ahora actúa como "apagafuegos", reflejando cómo las circunstancias y roles de las personas pueden cambiar con el tiempo.</t>
  </si>
  <si>
    <t>Sobre los alumnos del Mexe, quienes el fin de semana durante el evento de la presidenta Claudia Sheinbaum se manifestaron y se saltaron las vallas de seguridad, Alberto González lo califica de un asunto menor y plantea la pregunta sobre la falta de acción de las huestes o los policías bajo el mando de Salvador Cruz Neri, a diferencia de su intervención en una manifestación de médicos del ISSSTE. Por su parte Andrés Torres menciona un conflicto entre el procurador de justicia, Francisco Fernández Hasbun, y Cruz Neri, esto cuando los del Mexe hicieron lo propio en las instalaciones de la SEPH, y fue esto lo que trascendió y quedó registrado ante los medios. ahí, dijeron que los dos se deslindaban del tema.</t>
  </si>
  <si>
    <t>Andrés Torres Y Alberto Gonzálezz</t>
  </si>
  <si>
    <t>Andrés torres y Alberto González comentan que ayer durante su visita la presidenta Claudia Sheinbaum mencionó que más de 1,100,000 hidalguenses se benefician de un programa social. Se plantea que, hipotéticamente, un millón podría representar el voto fiel de Morena en las próximas elecciones. Sin embargo, se cuestiona si todos esos beneficiarios votarán, ya que podrían sentirse amenazados con la posibilidad de que se les quite el programa, que constitucionalmente no puede ser eliminado. Se observa que el número de beneficiarios ha crecido mucho desde 2023, cuando había solo 500,000. Esto es relevante porque se acercan las elecciones. Se sugiere que quizás Morena tenga más simpatizantes que los registrados, y que sería útil encontrar otra manera de contarlos con precisión. También se menciona que otros partidos, como el PRI y el PRD, están intentando reposicionarse, aunque manteniendo las comparaciones en su debido contexto. Además, hay un sector de la población que está descontento con los gobiernos de Morena, especialmente a nivel municipal. Se menciona la situación de varios municipios en Hidalgo, como Tulancingo, Ixmiquilpan y Actopan, donde la insatisfacción se siente y podría afectar a Morena en las elecciones. Se considera que los malos gobiernos municipales les pasarán factura. Se comenta sobre un incidente en Tula donde se vio un conflicto entre el alcalde y regidores, y se observa que este tipo de problemas podría impactar negativamente en el partido.</t>
  </si>
  <si>
    <t>Mal desempeño de alcaldes</t>
  </si>
  <si>
    <t>Andrés torres y Alberto González hacen referencia a eventos recientes en Acaxochitlán y Tepeapulco, donde figuras del PT estuvieron involucradas, lo que destaca la relevancia de sus declaraciones. Se analizó el impacto de una alianza previa entre Morena, PT, PVEM y Panalh en las elecciones pasadas, sugiriendo que si hubieran competido solos, habrían ganado con facilidad. También se discutió la situación actual de los partidos y sus líderes, y cómo el PT y el Grupo Universidad que están todavía activos en el mapa electoral, preparándose para las elecciones de 2027. Damián Sosa fue mencionado al declarar que no irán en alianza, lo que puede influir en el futuro político. El contexto acreditado a nivel nacional entre el PT y Morena indica que ambos partidos podrían seguir colaborando, pero hay incertidumbre sobre cómo esto se traducirá en el estado de Hidalgo. En relación a las alcaldías actuales, hay dudas sobre si Morena podrá mantener su base de apoyo.</t>
  </si>
  <si>
    <t>PT</t>
  </si>
  <si>
    <t>Alianzas Electorales</t>
  </si>
  <si>
    <t>Sobre la visita de Alejandro Moreno en Pachuca, Alberto González la calificó como estridente y escandalosa por el lenguaje que usó, y que observó que el único alcalde priista que ganó en las últimas elecciones estaba a un lado de Carolina Viggiano, pero no lo vi vestido con los colores del partido, lo que llamó la atención, pues es de los alcaldes que apoya y habla bien del gobernador. Andrés Torres critica la frase de Alito, al decir que el PRI es inmortal y destacan que, a pesar de la pérdida de militancia, el partido conserva una estructura organizada.</t>
  </si>
  <si>
    <t>PRI</t>
  </si>
  <si>
    <t>Evento partidista</t>
  </si>
  <si>
    <t>Comenta Andrés Torres que para lo que sí se coordinaron los diputados fue para no asistir al informe del presidente del Tribunal Electoral en Hidalgo, Leodegario Hernández Cortés. Ahí sí hubo acuerdo, ya que hay un conflicto por un auditor interno. La relación no fluye adecuadamente y eso es evidente. Sin embargo, el presidente de la junta legislativa parece más preocupado por otros asuntos. Ayer estuvo recorriendo las calles de Pachuca, que son parte de su distrito. Está bien que haga eso, pero la ley electoral les afecta y les costará en el futuro, especialmente a quienes quieren reelegirse. Al ver la situación, muchos decidieron que lo mejor era quedarse en su puesto y no arriesgarse a moverse a otro lugar.</t>
  </si>
  <si>
    <t>Desaire</t>
  </si>
  <si>
    <t>Alberto González y Andrés Torres, respecto a la reforma electoral comentan que tal como se había adelantado en Las Vocales Radio, esta iniciativa nació muerta y habrá que ver cuál es la justificación para no haberla aprobado. Señalan que llevamos tres legislaturas desde aquella discusión en vivo cuando el ex rector de la UAEH fue atacado y los diputados saltaron a defender al presídium. Esta forma de actuar de los diputados de Morena no ha cambiado y queda claro que no han aprendido. Si supieran que las iniciativas requieren más que solo una idea rápida, no estarían en esta situación. En esta iniciativa, nadie la leyó y todos pensaron que iba a ser aprobada sin revisión. Al tratar de revisarla, se dieron cuenta de que no estaba cabildeada ni discutida con otros partidos, lo cual no refleja la realidad del Estado.</t>
  </si>
  <si>
    <t>Estuvo en Pachuca Alejandro Moreno, quien en el evento en el Cubo de Colosio dijo que "el PRI es inmortal." En este vento se dijeron listos para las próximas elecciones y se le fuero con todo al gobernador Julio Menchca.</t>
  </si>
  <si>
    <t>Andrés Torres informa que en la sesión de hoy en el Congreso se desechará la iniciativa de reforma electoral en la LXVI Legislatura de Hidalgo. Esta reforma incluía un apartado que garantizaba un 50% de candidaturas exclusivamente para mujeres, pero esta propuesta será desechada. Torres había anticipado esta noticia en sus columnas anteriores y confirma que en lugar de esta exclusividad, los partidos deberán presentar un 50% de candidatos hombres y un 50% de candidatas mujeres, según su propia conveniencia y circunstancias. Esto significa que los partidos tienen libertad para decidir cómo distribuir sus candidaturas. Expresa su interés por escuchar las justificaciones que presentarán los diputados sobre el fracaso de la iniciativa. Él señala que los mismos diputados fueron quienes presentaron la propuesta y se pregunta por qué finalmente no recibió apoyo. Opina que se dieron cuenta de que la iniciativa estaba desconectada de la realidad política de Hidalgo, lo que lo llevó a concluir que "nació muerta". Además, critica la forma en que algunas personas suelen abordar la comunicación y la promoción de su imagen, comparándolos con la propaganda de la antigua Unión Soviética. Menciona que en su programa de radio, Las Vocales, no siguen ese tipo de prácticas sensacionalistas o demagógicas y se comprometen a hacer un periodismo serio. Torres concluye expresando su curiosidad por cómo los legisladores explicarán la falta de respaldo para una iniciativa que consideraba completamente vacía.</t>
  </si>
  <si>
    <t>Al final de un evento del informe de la presidenta Glaudia Sheinbaum en las instalaciones de la feria, un grupo de estudiantes de la Normal Rural del El Mexe interrumpió la ceremonia cuando la gente se estaba retirando. Durante los honores a la bandera y la interpretación del Himno Nacional, los jóvenes lograron entrar al recinto de manera difícil, lo que generó un momento de crisis e incertidumbre. El equipo de logística del evento intentó detener su avance y hubo algunos empujones. El Secretario de Gobierno, Guillermo Olivares Reyna, y el delegado de la Secretaría de Gobernación, Luciano Cornejo, pidieron a los estudiantes que formaran una delegación para dialogar. Los jóvenes querían hablar con la Presidenta Claudia Sheinbaum y solicitar apoyo para su escuela. Ellos deseaban ver también al Secretario de Educación para preguntar sobre el futuro de su normal, que ha estado cerrada desde hace varios años. El presidente Andrés Manuel López Obrador había prometido la reapertura de la Normal, pero esta ha luchado por recuperar sus actividades desde entonces. La principal dificultad es que no hay presupuesto federal asignado. Cada año, el pago de los maestros y otros gastos dependen del Gobierno Federal, y la respuesta recurrente de las autoridades es que están haciendo lo que les corresponde a nivel local. La Escuela Normal Rural Luis Villarreal El Mexe, como otras normales, tiene un perfil federal, por lo que su financiamiento proviene de las arcas del gobierno nacional. Los estudiantes expresaron su insatisfacción con el lento avance de la normal y recordaron que la situación es un asunto que debe ser resuelto a nivel federal. Además, existe un problema más amplio: el formato del maestro rural ya no es tan relevante en el país, y las cifras de nuevos alumnos en las normales están disminuyendo cada año. Esto se debe a que hay menos demanda de maestros. Durante el incidente en el evento, las redes sociales se llenaron de comentarios sobre lo que estaba ocurriendo. A pesar del momento de tensión, al final se pudo entablar una conversación con los jóvenes. Aunque no se formaron mesas para el diálogo, todos estuvieron de pie discutiendo el tema. Finalmente, los estudiantes fueron atendidos, y el incidente concluyó sin que la situación se tornara más grave.</t>
  </si>
  <si>
    <t>“En Hidalgo tiene un ejército de mujeres y hombres con gran disposición”, afirma Menchaca a Sheinbaum</t>
  </si>
  <si>
    <t>Nuevamente este fin de semana hubo una balacera a la salida de un centro comercial, en donde una mujer resultó con heridas, que le costaron la vida. Al parecer, unas personas armadas esperaban a esta persona que salió de un centro comercial cerca del Río Rosas</t>
  </si>
  <si>
    <t>Ejecuciones</t>
  </si>
  <si>
    <t>En Acaxochitlán, estuvo presente Agustín Sosa Castelán, dirigente del PT a quien se le cuestionó si para las próximas elecciones irán en alianza con algún partido, a lo que respondió que irán solos</t>
  </si>
  <si>
    <t>Ayer se presentó un percance ahí en la avenida Juárez donde un automóvil, el conductor de un automóvil particular dio vuelta a la izquierda, no sacó el espejo, no volteó ni siquiera. Impactó contra el Tuzobús dejando al menos cinco personas lesionadas. Al lugar arribaron paramédicos quienes atendieron a estas personas y también personal de la Secretaría de Seguridad Pública dialogó con los involucrados para deslindar responsabilidades.</t>
  </si>
  <si>
    <t>Accidente Tuzobús</t>
  </si>
  <si>
    <t>La CAAMT informa que hay una fuga de agua que se está atendiendo por lo que el servicio de agua en la colonia Rojo Gómez se ha visto afectado y será que hasta la tarde ya se cuente con el abasto de agua.</t>
  </si>
  <si>
    <t>Reparación De Tubería</t>
  </si>
  <si>
    <t>SSPH captura a sujeto relacionado con asaltos a tiendas de conveniencia</t>
  </si>
  <si>
    <t>Una persona resultó lesionada durante un choque registrado entre dos motocicletas ocurrido al mediodía del sábado 12 de septiembre en la colonia Jalpa, dentro del municipio de Tula de Allende. Una de las motocicletas era conducida por una mujer, mientras que en la segunda viajaba un repartidor de tortillas. Al sitio acudió personal de atención de emergencias, quienes tras revisar al joven determinaron que requería atención médica especializada, por lo cual fue trasladado al Hospital Regional de Tula. En cuanto a la mujer que conducía la otra motocicleta, la información no se tiene en más detalles sobre su estado físico y de salud. Será a partir de las investigaciones respectivas cuando se determinen las responsabilidades legales en el caso.</t>
  </si>
  <si>
    <t>Un conductor resultó lesionado luego de perder el control de su vehículo y protagonizar también un aparatoso accidente sobre la carretera Federal Pachuca-Ciudad Sahagún, a la altura del poblado de Tepeyahualco, esto en el municipio de Zempoala. De acuerdo con los primeros reportes, el automóvil salió de la cinta asfáltica, volcó y dio varias volteretas hasta terminar a varios metros fuera de la carretera. El conductor resultó lesionado y fue atendido también por paramédicos de Protección Civil, quienes posteriormente lo trasladaron a un hospital en Ciudad Sahagún para poder recibir atención médica. Policías municipales y elementos de la Guardia Nacional acudieron al sitio y se hicieron cargo de las diligencias correspondientes.</t>
  </si>
  <si>
    <t>*Un motociclista falleció en un accidente vial ocurrido la tarde del sábado 12 de septiembre sobre la calle Belisario Domínguez, esquina con Viaducto Nuevo Hidalgo, en el centro de Pachuca. La Secretaría de Movilidad y Transporte en Hidalgo, a través de sus organismos autorizados, el Sistema de Transporte Convencional de Hidalgo, informó que elementos de la Secretaría de Seguridad Pública y del Cuerpo de Bomberos Estatal atendieron el siniestro como primeros respondientes para brindar atención a las personas involucradas. De acuerdo con la información proporcionada por la Secretaría de Seguridad, el conductor de la motocicleta derrapó sobre la carpeta asfáltica proyectándose hacia la unidad de transporte público, quedando debajo de ella. Fueron paramédicos del Heroico Cuerpo de Bomberos los cuales realizaron maniobras para liberar al motociclista; sin embargo, ya no contaba con signos vitales. Al lugar acudieron elementos de la Agencia de Investigación Criminal de la Procuraduría General de Justicia del Estado de Hidalgo para realizar las diligencias correspondientes. Personal del Sistema de Transporte Convencional de Hidalgo dio seguimiento al caso para conocer el desarrollo de los hechos e implementar las acciones correspondientes en el ámbito de su competencia, de lo que se desprende que la persona conductora y la unidad de transporte contaban con documentación en regla. La persona conductora involucrada, así como la unidad de transporte con placas de circulación A-55844-K, fueron puestas a disposición de la Secretaría de Seguridad para el deslinde de responsabilidades.</t>
  </si>
  <si>
    <t>Una mujer fue atacada con arma de fuego, esto por personas que pues se acercaron hasta el vehículo en donde ella se encontraba a bordo. La situación se registró la tarde del viernes 11 de septiembre ubicada en la zona... en la sobre la calle, perdón, José María de los Reyes, esto en la colonia La Malinche dentro del municipio de Tula de Allende. Se conoció que la mujer viajaba en automóvil, un automóvil Volkswagen Jetta azul, descendiéndome de hecho de esta para poder acudir a una tienda de abarrotes ubicada en la zona señalada. Tras realizar precisamente unas compras, la mujer abordó de nuevo el vehículo y en ese momento pues se acercaron precisamente personas que viajaban en otro vehículo automotor, quienes le dispararon de manera directa para poder huir inmediatamente del sitio. Vecinos de la demarcación reportaron la situación ante corporaciones de seguridad pública, acudiendo policías y elementos de Protección Civil al sitio de hecho donde se registró esta situación, al tiempo también que se confirmó que la mujer ya no contaba con signos vitales. Se implementó un operativo para la búsqueda y localización de los responsables del ataque, sin que hasta el momento se reporten resultados al respecto, pero la Procuraduría General de Justicia del Estado de Hidalgo inició las investigaciones respectivas al caso.</t>
  </si>
  <si>
    <t>Un hombre fue lesionado en un ataque con arma de fuego la mañana del pasado viernes 11 de septiembre en el barrio Tejanicapa, este perteneciente a la localidad de Santa María Asunción, dentro del municipio de Tulancingo. De acuerdo con testigos, dos individuos realizaron el ataque para poder huir de inmediato del sitio y fuentes policiales señalaron que se presume que el ataque hacia el hombre, de aproximadamente 40 años de edad, fue directo. De hecho, el lesionado fue trasladado a la clínica particular para poder recibir atención médica especializada, informándose el mismo viernes 11 que pues había fallecido. Tras este reporte, fue implementado un operativo para la localización de los responsables del ataque, sin que hasta el momento se reporte alguna detención. De hecho, la Procuraduría General de Justicia del Estado de Hidalgo inició las investigaciones respectivas al caso para poder determinar las responsabilidades...</t>
  </si>
  <si>
    <t>Radioescucha: están haciendo una obra a la altura de Valle Verde, ojalá y vieran que lo que hace falta ahí es un puente peatonal para los jóvenes que estudian el bachillerato. Eso sí sería una obra que se agradecería para que los jóvenes no estén arriesgando la vida cada vez que cruzan la carretera. Daniel Martínez: Es un tema que se ha solicitado desde prácticamente desde que se abrió el CECyTE ahí en Valle Verde, ¿eh? Este... y sí, en algún momento incluso el gobernador en turno, que era Omar Fayad, señaló de que se iba a hacer el puente, nada más que nos pasó como el son de La Negra: no nos dijo para cuándo.</t>
  </si>
  <si>
    <t>Solicitud de puentes</t>
  </si>
  <si>
    <t>Daniel Martínez: "Que por cierto ya estamos cruzando la primera quincena, las primeras dos semanas de... este... haber iniciado el ciclo escolar 2026-2027 y entiendo de que por lo tanto están en los plazos para... que han puesto las propias autoridades para hacer la entrega tanto de los paquetes de útiles escolares como de los uniformes y calzado escolar este... es que no me gusta usar la palabra gratuita... en base a el pago de los impuestos que cubrimos todas y todos."</t>
  </si>
  <si>
    <t>Irrumpen estudiantes de El Mexe en evento de la Presidenta Sheinbaum Exigiendo el esclarecimiento de uno de sus compañeros localizados sin vida, así como la apertura total del plantel, estudiantes de la Escuela Normal Rural Luis Villarreal irrumpieron en el evento donde la Presidenta de México, Claudia Sheinbaum, ofrecía datos y estadísticas de acciones realizadas en el Estado de Hidalgo. Prácticamente al finalizar el evento, el grupo de estudiantes logró burlar la seguridad y derribar una valla para acceder al área destinada a la prensa, en tanto que otro grupo de trabajadores oficiales intentaba una nueva contención. El evento donde la Presidenta de México se encontraba con el Gobernador del Estado de Hidalgo, Julio Menchaca Salazar, además de funcionarios federales, estatales y municipales, se llevaba a cabo en las instalaciones de la feria de Pachuca. Al tiempo que se escuchaban las notas del Himno Nacional Mexicano, los estudiantes arremetían hacia las vallas, al tiempo que lanzaban consignas y reclamos. Previo a la situación, ya habían lanzado consignas, además de exhibir mensajes donde reclamaban atención a los temas planteados. Señalaron que en una de las visitas realizadas por la Presidenta Sheinbaum Pardo al Estado de Hidalgo, concretamente a Tulancingo, ya habían solicitado que se les atendiera en cuanto al tema de la apertura total de las instalaciones de la Escuela Normal. seguraron que no han tenido respuesta alguna, sumando ahora el reclamo por la muerte de unos de sus compañeros, quien fue localizado hace unos días. No se conoce de personas detenidas por las acciones de protesta, salvo los daños que se registraron durante la situación.</t>
  </si>
  <si>
    <t>Daniel Martínez menciona su preocupación por el hecho de que, más de cinco años después de que comenzó la construcción del Centro de Acopio lechero en Tulancingo, aún no se ha completado el proceso de donación del terreno necesario para el proyecto. Señala que tanto el gobierno estatal como el federal tienen responsabilidades en la construcción y equipamiento. Se pregunta si se está revisando el estatus legal del terreno para avanzar en la donación. Jessenia Romero coincide en que hay un tema pendiente y asegura que darán seguimiento a esta situación. Martínez espera que las gestiones se concreten para finalizar dos centros de acopio lechero. Romero resalta la importancia de estos centros para los productores, quienes fueron prometidos beneficios, y lamenta que, después de tantos años, no se ha visto progreso. Ambos expresan preocupación por la falta de avances. Daniel Martínez: "Pues a esperar. No sé si sentados, pero esperar este... para ver si se concretan las gestiones y culminar estos dos centros de acopio lechero, Jess."</t>
  </si>
  <si>
    <t>Daniel Martínez: Nos soltamos el tema acerca del centro de acopio lechero de Tulancingo. Incluyamos el de Tizayuca, que también está pendiente concretar su construcción y equipamiento, o reconstrucción en ambos casos, porque por lo menos el de Tulancingo, francamente no conozco mucho la situación que tiene el de Tizayuca, pero por lo menos el de Tulancingo está saqueado, vandalizado, por momentos ocupado por momentos por personas aparentemente en situación de calle y convertido en bodega de basuras y trastos por parte de esas personas en situación de calle.</t>
  </si>
  <si>
    <t>Radioescucha: Cuándo habrá agua en a calle Francisco Villa de la Colonia Rojo Gómez</t>
  </si>
  <si>
    <t>Hoy a mediodía se inaugurará la tienda Hidarte en Tulancingo, un proyecto anunciado en octubre del año pasado por la alcaldesa Lorena García Cázares. En aquel momento, se había indicado que se estaban realizando gestiones para establecer esta tienda, que forma parte de una serie de tiendas presentes en el estado de Hidalgo. Desde marzo se había anticipado la llegada de la tienda. La tienda Hidarte será manejada por la Secretaría de Bienestar e Inclusión Social del Estado de Hidalgo (SEBISO) y estará ubicada en la planta baja del Centro Cultural Ricardo Garibay. Además, habrá dos personas encargadas de este espacio. Se mencionó que en un futuro se inaugurará el Paseo Artesanal, el cual se encuentra frente a la Cineteca y contará con aproximadamente 32 espacios para artesanos. Este Paseo está destinado a emprendedores que aún no están formalizados y no tienen registro en Hacienda. La alcaldesa ha destacado que este será el primer paso hacia su profesionalización, lo que les permitirá formar parte de Hidarte y hasta exportar sus creaciones.</t>
  </si>
  <si>
    <t>Hidarte</t>
  </si>
  <si>
    <t>Desde octubre del 2022 la Comisión de Agua y Alcantarillado de Sistemas Intermunicipales, la CAASIM, ha localizado 13,794 tomas clandestinas de agua principalmente en la capital hidalguense y también en Mineral de la Reforma. Esto fue lo que informó el titular del organismo, Juan Evel Chávez Trovamala. El funcionario explicó que el denominado "huachicoleo del agua" representa uno de los principales problemas que enfrenta el organismo operador, particularmente en sectores donde el acceso y la supervisión de la infraestructura resulta más complicado. "Casi siempre tenemos lo que le llamamos ahora el huachicoleo del agua y lo tenemos más sobre todo en las zonas altas, en las partes alejadas donde también el acceso es más complicado para nosotros". De acuerdo con la cifra proporcionada por Chávez Trovamala, las 13,794 tomas clandestinas han sido detectadas desde que asumió el cargo el 7 de octubre del 2022 hasta septiembre del 2026. Los datos ofrecidos señalan que durante la presente administración diariamente personal de la CAASIM, así como de la Policía Hídrica, han detectado 9.6 tomas clandestinas que toman el flujo de agua de manera ilegal. La Policía Hídrica es un organismo creado precisamente para atender reportes sobre el uso ilegal de la infraestructura a cargo de la CAASIM, entre ellos vandalización y robo a instalaciones, así como realización de conexiones ilegales. Chávez Trovamala señaló que Pachuca y Mineral de la Reforma son los municipios a cargo del organismo operador donde se han detectado la mayor cantidad de tomas clandestinas hacia las redes para surtido de agua potable, esto debido a que cuentan con la cantidad de infraestructura y usuarios de todos los municipios que atiende el organismo operador, lo que provoca que el número de atenciones aumente de forma importante.</t>
  </si>
  <si>
    <t>Robo De Agua</t>
  </si>
  <si>
    <t>Secretaría de Salud llama a celebrar las Fiestas Patrias con responsabilidad</t>
  </si>
  <si>
    <t>Presenta gobierno de Tulancingo, programa de Fiestas Patrias 2026 Los eventos por fiestas patrias se desarrollarán desde la tarde del martes 15 de septiembre con una serie de espectáculos, así como el tradicional Grito de Independencia, siguiendo con el desfile cívico durante la mañana del día 16. La Secretaría municipal de Cultura, Educación, Deporte y Juventud estará a cargo de los eventos que se desarrollarán desde la tarde del martes 15 en el Centro Cultural Ricardo Garibay. En dicho espacio se instalará un foro abierto para la presentación de artistas locales, extendiendo sus actuaciones hasta la noche, previo al evento del Tradicional Grito de Independencia. De manera paralela, en las inmediaciones del Jardín La Floresta se instalará una verbena popular con venta de comida mexicana y participación de artesanos. La organización de esta zona estará a cargo de Servicios Municipales y la Dirección de Mercados. A esta programación se sumará la tradicional Carrera Nocturna de Independencia, donde se contempla la participación de alrededor de 300 corredores, quienes recorrerán un circuito de competencia. Poco antes de las once de la noche se llevará a cabo la Ceremonia de Grito de Independencia en un templete que será instalado en Callejón de San Vicente, en el centro de la ciudad de Tulancingo. Como es tradicional, el Secretario General del Ayuntamiento, Edmundo Aguilar Aranda, leerá el Acta de Independencia, para que posteriormente la alcaldesa de Tulancingo, Lorena García Cázares, dé el Tradicional Grito de Independencia, así como las arengas a los héroes patrios. También en el perímetro del jardín La Floresta, se llevará a cabo una verbena popular, con venta de antojitos, así como de objetos relacionados con los festejos patrios. Durante la ceremonia del Grito de Independencia se espera una asistencia entre 8 mil a 10 mil asistentes. Mientras que el 16 de septiembre se desarrollará el tradicional desfile cívico de Independencia, iniciando a las nueve de la mañana, iniciando en la zona del ferrocarril, para recorrer calles del centro de la ciudad de Tulancingo. Se contempla la participación de alrededor de 30 contingentes, entre corporaciones de Seguridad Pública, dependencias municipales, asociaciones de charros y escuelas; además, fueron convocadas 25 instituciones de educación media superior y superior.</t>
  </si>
  <si>
    <t>Tres integrantes independientes del Ayuntamiento de Tula se colocaron cruces de papel sobre la boca durante el segundo informe de gobierno del presidente municipal, Cristhian Martínez, para denunciar lo que calificaron como censura y falta de apertura dentro del Cabildo. La protesta fue realizada por la síndica jurídica Guadalupe Rodríguez Cruz y las regidoras Janeth Martínez Mendoza e Ivonne Ponce Sobrevilla, quienes acudieron al acto con una “X” visible sobre los labios. Mientras el alcalde presentaba los resultados de su segundo año al frente del municipio, las representantes mantuvieron la protesta desde sus lugares. Con esta acción buscaron exponer públicamente las diferencias que existen entre la fracción independiente y la administración municipal encabezada por Morena. De acuerdo con la postura difundida por las ediles, la cruz representó las presuntas limitaciones que enfrentan para expresar opiniones, presentar cuestionamientos y fijar posicionamientos distintos a los del gobierno municipal durante las sesiones del Ayuntamiento. La protesta también fue planteada como una respuesta a lo que consideran indiferencia por parte de la administración ante los señalamientos formulados desde el Cabildo. Sin embargo, no se detalló si existe alguna sesión, intervención o propuesta específica que haya motivado la manifestación durante el informe. Rodríguez Cruz, Martínez Mendoza y Ponce Sobrevilla han expresado diferencias en distintas asambleas municipales. En esta ocasión trasladaron su inconformidad a un acto público para llamar la atención de quienes asistieron a la presentación.</t>
  </si>
  <si>
    <t>El Tribunal Electoral del Estado de Hidalgo anunció que va a acatar la determinación de la Sala Superior del Tribunal Electoral del Poder Judicial de la Federación relacionado con la designación del Órgano Interno de Control, el titular, realizada por el Poder Legislativo. Esto lo informó Leodegario Hernández Cortés, magistrado presidente del órgano jurisdiccional, luego de presentar su tercer informe de actividades. A su vez, detalló que mantendrá acéfala la titularidad del Órgano Interno de Control debido a que no realizará una designación provisional y esperará a que el Congreso Local emita una nueva convocatoria. Con ello, se va a sustituir a Jonathan Pérez Ledesma, quien había sido designado para ocupar la titularidad del órgano de control, pero presentó su renuncia. Recordemos que el ahora excontralor señaló que prácticamente desde que llegó no le habían dado oportunidad de hacer su chamba, es decir, revisar las cuentas, asuntos y administración interna del Tribunal Estatal Electoral de Hidalgo. De hecho, eh... eh... Leodegario este... Hernández, el presidente del Tribunal Electoral del Estado de Hidalgo, negó que tenga un enfrentamiento con el Congreso del Estado de Hidalgo y que es el origen de situaciones como la cuestión del rechazo a un Órgano Interno de Control que lo designe el propio Congreso del Estado de Hidalgo.</t>
  </si>
  <si>
    <t>Congreso estatal discutiría Reforma Electoral para Hidalgo el lunes 14 de septiembre Podría ser este lunes 14 de septiembre cuando se presente y discuta en el Pleno del Congreso de Hidalgo la propuesta de Reforma Electoral estatal; la fecha límite para que sea aprobada, es al día siguiente. Pachuca de Soto, Hidalgo.- Al respecto, el presidente de la Junta de Gobierno del Congreso estatal, Andrés Velázquez Vázquez, señaló que “el lunes (14 de septiembre) tendremos la sesión y definiremos qué es lo que se ha vertido en torno a la iniciativa”. Previamente, el sábado 12, debió realizarse reunión entre los integrantes de la Comisión de Legislación y Puntos Constitucionales, en donde se encuentra radicada la reforma, con objetivo de revisar detalles de esta. Entre los temas que se incluirían en dicha reforma, se encuentra en materia de integración y paridad de género en los Ayuntamientos del Estado de Hidalgo. La iniciativa plantea que los partidos políticos postulen únicamente a mujeres para gobernar en 42 de los 84 municipios durante el proceso electoral de 2027, divididos en dos bloques alfabéticos. De aprobarse la Reforma en los términos en que ha sido presentada, los municipios con letra inicial de la A a la M, serían con candidaturas exclusivas para mujeres, mientras que de las letras N a la Z, las postulaciones podrán ser de ambos géneros. “Lo estamos resolviendo, hay un orden, por eso se llama orden alfabético, sin embargo, como todas las iniciativas pueden ser perfectibles, se pueden subir, se pueden bajar, se pueden acomodar, e incluso pudieran ser presentadas en otro momento por otros”, señaló al respecto Velázquez Vázquez. Además, se plantea modificar la integración de los ayuntamientos mediante la eliminación de las sindicaturas de primera minoría, por lo que los cabildos contarían con una sola sindicatura. También se busca reordenar el número de regidurías de acuerdo con la población de cada demarcación, además de incluir a grupos vulnerables. Durante la última sesión del Congreso estatal, celebrada el jueves 10 de septiembre, la presidenta de la Mesa Directiva del Congreso estatal, Yarabi Martínez, dio a conocer que el lunes 14 de septiembre habrá sesión a las 11:30 de la mañana.</t>
  </si>
  <si>
    <t>Con alianzas o no, el PRI está listo para competir, señala Alejandro Moreno Con alianzas con otros institutos políticos, o sin ellas, el Partido Revolucionario Institucional (PRI), está listo para competir, afirmó su presidente nacional, Alejandro Moreno Cárdenas. Lo anterior en visita al Estado de Hidalgo, este domingo 13 de septiembre, para tomarle la protesta a 300 “Defensores de Hidalgo”, provenientes de los 84 municipios de la entidad. En el acto también rindieron protesta dirigentes de los Comités Directivos Municipales, todos los que estarán dedicados a los trabajos de organización para el proceso electoral tanto federal como estatal 2026-2027. Moreno Cárdenas señaló que Comité Directivo del PRI Hidalgo se encargará de buscar los acuerdos para que se establezcan las posibles alianzas electorales con otros partidos políticos que no formen parte del oficialismo. Enfatizó que las condiciones de cada región serán determinantes para definir si el partido participa mediante coaliciones o compite en solitario en cada caso. “Donde haya coalición y alianza, ir juntos; y donde vayamos solos, solos a competir”, afirmó. Criticó particularmente al partido Movimiento Ciudadano, señalando que se está encargando de dividir a los partidos políticos que no forman parte del oficialismo. “Movimiento Ciudadano es el encargado de tratar de dividir a la oposición”, afirmó Moreno Cárdenas, quien llamó a los electores a no votar por dicho partido, pues señaló que sería lo mismo que votar por Movimiento de Regeneración Nacional (Morena). El dirigente nacional del PRI insistió que están listos para competir en los 300 distritos electorales federales en los que se divide el país. Dijo que los recientes resultados electorales confirman que el PRI es un partido político competitivo a nivel nacional. “Nosotros regresamos, ganamos, el PRI es inmortal”, afirmó, al tiempo de insistir que con alianzas electorales o sin estas, serán competitivos durante el proceso electoral. Respecto a las candidaturas a los diversos cargos de elección popular en ambos procesos electorales (federal y estatal), señalo que “Las candidaturas, los espacios, los deciden los hidalguenses”.</t>
  </si>
  <si>
    <t>Toma de protesta</t>
  </si>
  <si>
    <t>Sheinbaum destaca para Hidalgo, trenes y entrega de apoyos sociales El paso de parte de los trenes de pasajeros México-Nuevo Laredo y México-Guadalajara por territorio del Estado de Hidalgo, así como el tren México-Pachuca, también en construcción actualmente, fue destacado por la Presidenta de México, Claudia Sheinbaum Pardo. Lo anterior durante su visita a la entidad, donde ofreció datos, cifras y estadísticas específicas para la entidad, en el marco de su segundo año como titular del Poder Ejecutivo Federal. También señaló que uno de cada tres hidalguenses son beneficiarios de alguno de los programas sociales a cargo del Gobierno de México; entre ellos, la Pensión para Adultos Mayores, Mujeres del Bienestar y Pensión para Personas con Discapacidad. Así como Jóvenes Construyendo su Futuro, junto con las becas para estudiantes de diversos educativos, así como el apoyo especial que se brindó para la compra de útiles y uniformes escolares. Acompañada del Gobernador de Hidalgo, Julio Menchaca Salazar, así como por funcionarios federales, estatales y municipales, Sheinbaum Pardo inició su mensaje con una semblanza sobre la historia de México. Lo anterior recordando los festejos patrios del presente mes de septiembre, destacando que la entidad lleva el nombre “del Padre de la Patria, el personaje fundamental de nuestra historia”. Durante su discurso, la Presidenta de México también destacó el Polo de Desarrollo Zapotlán, que actualmente se encuentra en desarrollo, con objetivo de potencializar la economía de la entidad. También destacó que actualmente se atienden los caminos y vialidades dañados por la vaguada monzónica registrada en el Estado de Hidalgo en octubre del año pasado, y que dejó afectaciones sobre todo en 28 municipios de la entidad. Destacó la construcción de la carretera Huejutla-Tamazunchale, que actualmente se desarrolla, y que es parte de un eje carretero que permitirá comunicar al norte del Estado de Hidalgo con Tamaulipas. Debido a la intensa lluvia que se registró durante la presentación de su mensaje, en el recinto ferial de Pachuca, Sheinbaum Pardo apuró la lectura de este, para posteriormente dar por terminado el evento.</t>
  </si>
  <si>
    <t>PC de Tulancingo atendió 4 mil 436 servicios de emergencia y se capacitó a 600 personas para prevenir riesgos y actuar ante una eventualidad. Del 1 de septiembre de 2025 al 25 de agosto de 2026, Bomberos y Protección Civil de Tulancingo atendieron 4 mil 436 servicios de emergencia, fortaleciendo la capacidad de respuesta ante situaciones que pueden poner en riesgo la vida, la integridad de las personas y su patrimonio. La atención comprende emergencias de distinta naturaleza, entre ellas, incendios, accidentes, rescates, fugas y otras situaciones de riesgo, en las que la intervención oportuna de los cuerpos especializados resulta fundamental para proteger a la población. La capacidad de atención también requiere contar con vehículos y equipo adecuados para llegar a donde se necesita. Durante este año se incorporaron siete nuevas unidades para fortalecer las labores de Bomberos y Protección Civil: un RZR, cuatro motocicletas, una pick-up y una mini-bomba. Pero atender una emergencia también significa trabajar para evitar que ocurra o para disminuir sus consecuencias. Por ello, el Gobierno Municipal reforzó las acciones de prevención y capacitación, preparando a 600 personas para responder de mejor manera ante una eventualidad mediante simulacros. 120 integrantes de brigadas de evacuación fueron capacitados para la realización de simulacros; 60 funcionarios públicos recibieron capacitación en el uso y manejo de extintores; 90 personas fueron preparadas en primeros auxilios básicos y otras 60 como primeros respondientes. La prevención también se llevó a espacios donde diariamente existe concentración de personas. 180 comerciantes de la feria recibieron capacitación en el uso y manejo de extintores, mientras que 90 comerciantes de tianguis participaron en esta misma preparación.</t>
  </si>
  <si>
    <t>Una boa que era llevada por una persona en la vía pública fue asegurada en el Centro de Pachuca, luego de que una denuncia ciudadana alertara sobre la presencia del reptil. Personal de la Secretaría de Seguridad Pública de Hidalgo atendió el reporte y localizó a la persona junto con el ejemplar. Durante la intervención se solicitó la documentación que permitiera acreditar la procedencia legal del animal y las autorizaciones aplicables para mantenerlo bajo cuidado. Debido a que la persona no presentó los documentos requeridos, la boa quedó asegurada y el civil fue puesto a disposición de la Fiscalía General de la República (FGR). Será esta autoridad la que determine su situación jurídica y establezca si existe alguna responsabilidad relacionada con la posesión del ejemplar. Asimismo, la Procuraduría Federal de Protección al Ambiente (Profepa) asumió la atención del caso y la custodia especializada del reptil. El organismo deberá revisar las condiciones en las que se encontraba y continuar con el procedimiento administrativo correspondiente. Después del aseguramiento, especialistas realizaron una valoración médica del ejemplar. De acuerdo con la información difundida por la Unidad de Rehabilitación de Fauna Silvestre de Pachuca, la boa se encontraba en condiciones delicadas de salud. Durante la revisión fueron detectadas múltiples lesiones dentro de la cavidad bucal, además de nódulos distribuidos en diferentes partes del cuerpo. El reptil también presentaba una temperatura corporal baja y poca reacción ante los estímulos de su entorno. Aunque estos animales sean reptiles de sangre fría, conocidos como ectotermos, si su temperatura desciende demasiado (por debajo de los 20 °C o 68 °F de forma prolongada), se vuelven muy vulnerables a enfermedades respiratorias graves. Es por eso que, después de notar estos indicios fue necesaria su canalización a un espacio donde pueda permanecer bajo observación y recibir cuidados especializados. Debido a su estado de salud, la boa no podrá ser liberada o trasladada a otro sitio sin que antes se determine si se encuentra en condiciones adecuadas. Su destino dependerá de la valoración de las autoridades ambientales y del avance del procedimiento.</t>
  </si>
  <si>
    <t>Rescate Animal</t>
  </si>
  <si>
    <t>Espera SICT resultados de estudios para rehabilitar carretera Real del Monte-Huasca La deformación en el pavimento registrado en un tramo de la carretera Real del Monte-Huasca es consecuencia de una falla geológica e hidrológica asociada con la saturación de agua en la parte alta de la montaña. Lo anterior fue explicado por Pablo Octavio Olvera Sánchez, titular de la delegación en el Estado de Hidalgo de la Secretaría de Infraestructura, Comunicaciones y Transportes (SICT). Fue a inicios de la semana pasada cuando se anunció el cierre de la vialidad, entre los kilómetros 18+900 y 19+140; en este punto se encuentra un muro de contención de aproximadamente 150 metros de longitud. El funcionario explicó que el movimiento del terreno no fue por obras relacionadas con la carretera, sino por escurrimientos naturales y la acumulación de agua en la zona, condiciones que, con el paso del tiempo, provocaron las afectaciones. Señaló que en un par de semanas se tendrán resultados de los estudios que se están realizando, con los cuales se definirán las acciones que deberán realizarse para la rehabilitación del tramo carretero. El titular de la SICT Hidalgo también señaló que una vivienda ubicada en la parte alta de la zona representaba un riesgo e incluso fue afectada. Aclaró que la propiedad fue previamente adquirida por la dependencia federal como parte de los trabajos para obtener el derecho de vía, pero actualmente se encontraba deshabitada. La carretera Real del Monte-Huasca, que forma parte de la vialidad Pachuca-Huejutla, fue inaugurada a finales del mes de marzo del año pasado por la Presidenta de México, Claudia Sheinbaum Pardo. La inversión realizada fue de 5,500 millones de pesos, para la construcción de la vialidad de diez kilómetros de extensión, con dos entronques de 7.8 kilómetros. La vialidad cuenta con 18 estructuras, cuatro carriles, así como dos túneles que suman más de un kilómetro, uno de ellos el segundo más grande del país. En su momento se señaló que la obra beneficiaría a aproximadamente 351 mil habitantes de los municipios Real del Monte, Omitlán de Juárez y Huasca al disminuir los tiempos de traslado en unos 4 minutos.</t>
  </si>
  <si>
    <t>Asegura titular de Saderh que sigue gestión para concretar centro de acopio lechero en Tizayuca y Tulancingo El Gobierno de Hidalgo sigue en gestiones para contar con recursos para retomar y culminar la construcción del Centro de Acopio Lechero de Tulancingo, aseguró en entrevista Napoleón González Pérez, titular de la Secretaría de Agricultura y Desarrollo Rural estatal. Tras visita de trabajo a la región para la entrega de apoyos a productores, el funcionario señaló que se calcula requerir recursos por aproximadamente 70 millones de pesos para continuar y finalizar las obras de los centros de acopio lechero en Tizayuca y Tulancingo. “No puedo decir que es un tema ya cerrado, olvidado, se está trabajando”, señaló el funcionario estatal, reconociendo que el espacio es importante para garantizar la comercialización del alimento por parte de los productores en la región. La construcción del Centro de Acopio Lechero regional de Tulancingo, fue iniciada en el mes de julio del 2020, con una inversión de 12 millones de pesos, en un terreno ubicado en la localidad de San Nicolás el Chico. Durante la ceremonia de inicio de construcción, se informó que el espacio tendría capacidad para recibir hasta 30 mil litros de leche diariamente, garantizando a más de 450 productores en la región recibir un precio de garantía adecuado por el alimento. Para el proyecto, el Municipio de Tulancingo aportó el terreno, el gobierno de Hidalgo se encargó de la construcción del inmueble, y el equipamiento especializado correspondía al entonces organismo federal (Seguridad Alimentaria Mexicana) Segalmex. Pero las instalaciones están abandonadas desde hace por lo menos 4 años, incluso siendo ya saqueadas y vandalizadas; testimonios de vecinos en la zona señalan que incluso personas se quedan a pernoctar en el interior. González Pérez recordó que ambos centros de acopios son proyectos que se desarrollaron durante el anterior sexenio federal, y que por “ciertas anomalías” detectadas, no se continuó. Insistió que siguen las gestiones para contar con recursos que permitan finalizar la construcción y equipamiento de ambos espacios, en Tizayuca y Tulancingo. Enfatizó que junto con dichas gestiones, se revisan detalles legales; en el caso de Tulancingo, por ejemplo, la propiedad del terreno, para tener la certeza de aplicar los eventuales recursos públicos en forma adecuada.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</si>
</sst>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29" tableType="queryTable" totalsRowShown="0">
  <autoFilter ref="A1:M129"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29"/>
  <sheetViews>
    <sheetView tabSelected="1" topLeftCell="A94" workbookViewId="0">
      <selection activeCell="A129" sqref="A129"/>
    </sheetView>
  </sheetViews>
  <sheetFormatPr baseColWidth="10" defaultRowHeight="15" x14ac:dyDescent="0.25"/>
  <cols>
    <col min="1" max="1" width="8.5703125" bestFit="1" customWidth="1"/>
    <col min="2" max="2" width="11.42578125" bestFit="1" customWidth="1"/>
    <col min="3" max="3" width="26" bestFit="1" customWidth="1"/>
    <col min="4" max="4" width="30.42578125" bestFit="1" customWidth="1"/>
    <col min="5" max="5" width="81.140625" bestFit="1" customWidth="1"/>
    <col min="6" max="6" width="15.28515625" bestFit="1" customWidth="1"/>
    <col min="7" max="7" width="30.85546875" bestFit="1" customWidth="1"/>
    <col min="8" max="8" width="12.42578125" bestFit="1" customWidth="1"/>
    <col min="9" max="9" width="11.140625" bestFit="1" customWidth="1"/>
    <col min="10" max="10" width="25.7109375" bestFit="1" customWidth="1"/>
    <col min="11" max="11" width="31"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25</v>
      </c>
      <c r="C1" t="s">
        <v>26</v>
      </c>
      <c r="D1" t="s">
        <v>27</v>
      </c>
      <c r="E1" t="s">
        <v>1</v>
      </c>
      <c r="F1" t="s">
        <v>2</v>
      </c>
      <c r="G1" t="s">
        <v>4</v>
      </c>
      <c r="H1" t="s">
        <v>3</v>
      </c>
      <c r="I1" t="s">
        <v>5</v>
      </c>
      <c r="J1" t="s">
        <v>28</v>
      </c>
      <c r="K1" t="s">
        <v>29</v>
      </c>
      <c r="L1" t="s">
        <v>30</v>
      </c>
      <c r="M1" t="s">
        <v>37</v>
      </c>
    </row>
    <row r="2" spans="1:13" x14ac:dyDescent="0.25">
      <c r="A2" s="2">
        <v>46276</v>
      </c>
      <c r="B2" s="1" t="str">
        <f ca="1">IF(Información1[[#This Row],[Fecha]]='Ajuste de fechas'!$A$2,"Día actual","Día anterior")</f>
        <v>Día anterior</v>
      </c>
      <c r="C2" t="s">
        <v>102</v>
      </c>
      <c r="D2" t="s">
        <v>103</v>
      </c>
      <c r="E2" t="s">
        <v>104</v>
      </c>
      <c r="F2" t="s">
        <v>97</v>
      </c>
      <c r="G2" t="s">
        <v>98</v>
      </c>
      <c r="H2" t="s">
        <v>47</v>
      </c>
      <c r="I2" t="s">
        <v>11</v>
      </c>
      <c r="J2" t="s">
        <v>31</v>
      </c>
      <c r="K2" t="s">
        <v>105</v>
      </c>
      <c r="L2" t="s">
        <v>99</v>
      </c>
      <c r="M2">
        <v>1</v>
      </c>
    </row>
    <row r="3" spans="1:13" x14ac:dyDescent="0.25">
      <c r="A3" s="2">
        <v>46276</v>
      </c>
      <c r="B3" s="1" t="str">
        <f ca="1">IF(Información1[[#This Row],[Fecha]]='Ajuste de fechas'!$A$2,"Día actual","Día anterior")</f>
        <v>Día anterior</v>
      </c>
      <c r="C3" t="s">
        <v>48</v>
      </c>
      <c r="D3" t="s">
        <v>49</v>
      </c>
      <c r="E3" t="s">
        <v>106</v>
      </c>
      <c r="F3" t="s">
        <v>14</v>
      </c>
      <c r="G3" t="s">
        <v>86</v>
      </c>
      <c r="H3" t="s">
        <v>47</v>
      </c>
      <c r="I3" t="s">
        <v>22</v>
      </c>
      <c r="J3" t="s">
        <v>31</v>
      </c>
      <c r="K3" t="s">
        <v>9</v>
      </c>
      <c r="L3" t="s">
        <v>33</v>
      </c>
      <c r="M3">
        <v>1</v>
      </c>
    </row>
    <row r="4" spans="1:13" x14ac:dyDescent="0.25">
      <c r="A4" s="2">
        <v>46276</v>
      </c>
      <c r="B4" s="1" t="str">
        <f ca="1">IF(Información1[[#This Row],[Fecha]]='Ajuste de fechas'!$A$2,"Día actual","Día anterior")</f>
        <v>Día anterior</v>
      </c>
      <c r="C4" t="s">
        <v>48</v>
      </c>
      <c r="D4" t="s">
        <v>49</v>
      </c>
      <c r="E4" t="s">
        <v>107</v>
      </c>
      <c r="F4" t="s">
        <v>62</v>
      </c>
      <c r="H4" t="s">
        <v>47</v>
      </c>
      <c r="I4" t="s">
        <v>7</v>
      </c>
      <c r="J4" t="s">
        <v>31</v>
      </c>
      <c r="K4" t="s">
        <v>51</v>
      </c>
      <c r="L4" t="s">
        <v>34</v>
      </c>
      <c r="M4">
        <v>1</v>
      </c>
    </row>
    <row r="5" spans="1:13" x14ac:dyDescent="0.25">
      <c r="A5" s="2">
        <v>46276</v>
      </c>
      <c r="B5" s="1" t="str">
        <f ca="1">IF(Información1[[#This Row],[Fecha]]='Ajuste de fechas'!$A$2,"Día actual","Día anterior")</f>
        <v>Día anterior</v>
      </c>
      <c r="C5" t="s">
        <v>48</v>
      </c>
      <c r="D5" t="s">
        <v>49</v>
      </c>
      <c r="E5" t="s">
        <v>108</v>
      </c>
      <c r="F5" t="s">
        <v>91</v>
      </c>
      <c r="G5" t="s">
        <v>89</v>
      </c>
      <c r="H5" t="s">
        <v>47</v>
      </c>
      <c r="I5" t="s">
        <v>7</v>
      </c>
      <c r="J5" t="s">
        <v>31</v>
      </c>
      <c r="K5" t="s">
        <v>51</v>
      </c>
      <c r="L5" t="s">
        <v>34</v>
      </c>
      <c r="M5">
        <v>1</v>
      </c>
    </row>
    <row r="6" spans="1:13" x14ac:dyDescent="0.25">
      <c r="A6" s="2">
        <v>46276</v>
      </c>
      <c r="B6" s="1" t="str">
        <f ca="1">IF(Información1[[#This Row],[Fecha]]='Ajuste de fechas'!$A$2,"Día actual","Día anterior")</f>
        <v>Día anterior</v>
      </c>
      <c r="C6" t="s">
        <v>48</v>
      </c>
      <c r="D6" t="s">
        <v>49</v>
      </c>
      <c r="E6" t="s">
        <v>109</v>
      </c>
      <c r="F6" t="s">
        <v>18</v>
      </c>
      <c r="G6" t="s">
        <v>100</v>
      </c>
      <c r="H6" t="s">
        <v>47</v>
      </c>
      <c r="I6" t="s">
        <v>22</v>
      </c>
      <c r="J6" t="s">
        <v>31</v>
      </c>
      <c r="K6" t="s">
        <v>9</v>
      </c>
      <c r="L6" t="s">
        <v>33</v>
      </c>
      <c r="M6">
        <v>1</v>
      </c>
    </row>
    <row r="7" spans="1:13" x14ac:dyDescent="0.25">
      <c r="A7" s="2">
        <v>46276</v>
      </c>
      <c r="B7" s="1" t="str">
        <f ca="1">IF(Información1[[#This Row],[Fecha]]='Ajuste de fechas'!$A$2,"Día actual","Día anterior")</f>
        <v>Día anterior</v>
      </c>
      <c r="C7" t="s">
        <v>48</v>
      </c>
      <c r="D7" t="s">
        <v>49</v>
      </c>
      <c r="E7" t="s">
        <v>110</v>
      </c>
      <c r="F7" t="s">
        <v>97</v>
      </c>
      <c r="G7" t="s">
        <v>98</v>
      </c>
      <c r="H7" t="s">
        <v>47</v>
      </c>
      <c r="I7" t="s">
        <v>11</v>
      </c>
      <c r="J7" t="s">
        <v>31</v>
      </c>
      <c r="K7" t="s">
        <v>51</v>
      </c>
      <c r="L7" t="s">
        <v>99</v>
      </c>
      <c r="M7">
        <v>1</v>
      </c>
    </row>
    <row r="8" spans="1:13" x14ac:dyDescent="0.25">
      <c r="A8" s="2">
        <v>46276</v>
      </c>
      <c r="B8" s="1" t="str">
        <f ca="1">IF(Información1[[#This Row],[Fecha]]='Ajuste de fechas'!$A$2,"Día actual","Día anterior")</f>
        <v>Día anterior</v>
      </c>
      <c r="C8" t="s">
        <v>48</v>
      </c>
      <c r="D8" t="s">
        <v>49</v>
      </c>
      <c r="E8" t="s">
        <v>111</v>
      </c>
      <c r="F8" t="s">
        <v>18</v>
      </c>
      <c r="G8" t="s">
        <v>100</v>
      </c>
      <c r="H8" t="s">
        <v>47</v>
      </c>
      <c r="I8" t="s">
        <v>22</v>
      </c>
      <c r="J8" t="s">
        <v>31</v>
      </c>
      <c r="K8" t="s">
        <v>9</v>
      </c>
      <c r="L8" t="s">
        <v>33</v>
      </c>
      <c r="M8">
        <v>1</v>
      </c>
    </row>
    <row r="9" spans="1:13" x14ac:dyDescent="0.25">
      <c r="A9" s="2">
        <v>46276</v>
      </c>
      <c r="B9" s="1" t="str">
        <f ca="1">IF(Información1[[#This Row],[Fecha]]='Ajuste de fechas'!$A$2,"Día actual","Día anterior")</f>
        <v>Día anterior</v>
      </c>
      <c r="C9" t="s">
        <v>48</v>
      </c>
      <c r="D9" t="s">
        <v>49</v>
      </c>
      <c r="E9" t="s">
        <v>106</v>
      </c>
      <c r="F9" t="s">
        <v>16</v>
      </c>
      <c r="G9" t="s">
        <v>112</v>
      </c>
      <c r="H9" t="s">
        <v>47</v>
      </c>
      <c r="I9" t="s">
        <v>22</v>
      </c>
      <c r="J9" t="s">
        <v>35</v>
      </c>
      <c r="K9" t="s">
        <v>9</v>
      </c>
      <c r="L9" t="s">
        <v>33</v>
      </c>
      <c r="M9">
        <v>1</v>
      </c>
    </row>
    <row r="10" spans="1:13" x14ac:dyDescent="0.25">
      <c r="A10" s="2">
        <v>46276</v>
      </c>
      <c r="B10" s="1" t="str">
        <f ca="1">IF(Información1[[#This Row],[Fecha]]='Ajuste de fechas'!$A$2,"Día actual","Día anterior")</f>
        <v>Día anterior</v>
      </c>
      <c r="C10" t="s">
        <v>48</v>
      </c>
      <c r="D10" t="s">
        <v>49</v>
      </c>
      <c r="E10" t="s">
        <v>113</v>
      </c>
      <c r="F10" t="s">
        <v>114</v>
      </c>
      <c r="H10" t="s">
        <v>47</v>
      </c>
      <c r="I10" t="s">
        <v>7</v>
      </c>
      <c r="J10" t="s">
        <v>31</v>
      </c>
      <c r="K10" t="s">
        <v>51</v>
      </c>
      <c r="L10" t="s">
        <v>34</v>
      </c>
      <c r="M10">
        <v>1</v>
      </c>
    </row>
    <row r="11" spans="1:13" x14ac:dyDescent="0.25">
      <c r="A11" s="2">
        <v>46276</v>
      </c>
      <c r="B11" s="1" t="str">
        <f ca="1">IF(Información1[[#This Row],[Fecha]]='Ajuste de fechas'!$A$2,"Día actual","Día anterior")</f>
        <v>Día anterior</v>
      </c>
      <c r="C11" t="s">
        <v>48</v>
      </c>
      <c r="D11" t="s">
        <v>49</v>
      </c>
      <c r="E11" t="s">
        <v>115</v>
      </c>
      <c r="F11" t="s">
        <v>6</v>
      </c>
      <c r="G11" t="s">
        <v>45</v>
      </c>
      <c r="H11" t="s">
        <v>47</v>
      </c>
      <c r="I11" t="s">
        <v>7</v>
      </c>
      <c r="J11" t="s">
        <v>31</v>
      </c>
      <c r="K11" t="s">
        <v>51</v>
      </c>
      <c r="L11" t="s">
        <v>32</v>
      </c>
      <c r="M11">
        <v>1</v>
      </c>
    </row>
    <row r="12" spans="1:13" x14ac:dyDescent="0.25">
      <c r="A12" s="2">
        <v>46276</v>
      </c>
      <c r="B12" s="1" t="str">
        <f ca="1">IF(Información1[[#This Row],[Fecha]]='Ajuste de fechas'!$A$2,"Día actual","Día anterior")</f>
        <v>Día anterior</v>
      </c>
      <c r="C12" t="s">
        <v>48</v>
      </c>
      <c r="D12" t="s">
        <v>49</v>
      </c>
      <c r="E12" t="s">
        <v>116</v>
      </c>
      <c r="F12" t="s">
        <v>6</v>
      </c>
      <c r="G12" t="s">
        <v>117</v>
      </c>
      <c r="H12" t="s">
        <v>47</v>
      </c>
      <c r="I12" t="s">
        <v>7</v>
      </c>
      <c r="J12" t="s">
        <v>31</v>
      </c>
      <c r="K12" t="s">
        <v>51</v>
      </c>
      <c r="L12" t="s">
        <v>34</v>
      </c>
      <c r="M12">
        <v>1</v>
      </c>
    </row>
    <row r="13" spans="1:13" x14ac:dyDescent="0.25">
      <c r="A13" s="2">
        <v>46276</v>
      </c>
      <c r="B13" s="1" t="str">
        <f ca="1">IF(Información1[[#This Row],[Fecha]]='Ajuste de fechas'!$A$2,"Día actual","Día anterior")</f>
        <v>Día anterior</v>
      </c>
      <c r="C13" t="s">
        <v>48</v>
      </c>
      <c r="D13" t="s">
        <v>49</v>
      </c>
      <c r="E13" t="s">
        <v>118</v>
      </c>
      <c r="F13" t="s">
        <v>19</v>
      </c>
      <c r="G13" t="s">
        <v>96</v>
      </c>
      <c r="H13" t="s">
        <v>47</v>
      </c>
      <c r="I13" t="s">
        <v>7</v>
      </c>
      <c r="J13" t="s">
        <v>36</v>
      </c>
      <c r="K13" t="s">
        <v>51</v>
      </c>
      <c r="L13" t="s">
        <v>32</v>
      </c>
      <c r="M13">
        <v>1</v>
      </c>
    </row>
    <row r="14" spans="1:13" x14ac:dyDescent="0.25">
      <c r="A14" s="2">
        <v>46279</v>
      </c>
      <c r="B14" s="1" t="str">
        <f ca="1">IF(Información1[[#This Row],[Fecha]]='Ajuste de fechas'!$A$2,"Día actual","Día anterior")</f>
        <v>Día actual</v>
      </c>
      <c r="C14" t="s">
        <v>48</v>
      </c>
      <c r="D14" t="s">
        <v>72</v>
      </c>
      <c r="E14" t="s">
        <v>119</v>
      </c>
      <c r="F14" t="s">
        <v>18</v>
      </c>
      <c r="G14" t="s">
        <v>120</v>
      </c>
      <c r="H14" t="s">
        <v>47</v>
      </c>
      <c r="I14" t="s">
        <v>7</v>
      </c>
      <c r="J14" t="s">
        <v>31</v>
      </c>
      <c r="K14" t="s">
        <v>50</v>
      </c>
      <c r="L14" t="s">
        <v>34</v>
      </c>
      <c r="M14">
        <v>1</v>
      </c>
    </row>
    <row r="15" spans="1:13" x14ac:dyDescent="0.25">
      <c r="A15" s="2">
        <v>46279</v>
      </c>
      <c r="B15" s="1" t="str">
        <f ca="1">IF(Información1[[#This Row],[Fecha]]='Ajuste de fechas'!$A$2,"Día actual","Día anterior")</f>
        <v>Día actual</v>
      </c>
      <c r="C15" t="s">
        <v>48</v>
      </c>
      <c r="D15" t="s">
        <v>72</v>
      </c>
      <c r="E15" t="s">
        <v>121</v>
      </c>
      <c r="F15" t="s">
        <v>58</v>
      </c>
      <c r="G15" t="s">
        <v>122</v>
      </c>
      <c r="H15" t="s">
        <v>47</v>
      </c>
      <c r="I15" t="s">
        <v>7</v>
      </c>
      <c r="J15" t="s">
        <v>31</v>
      </c>
      <c r="K15" t="s">
        <v>50</v>
      </c>
      <c r="L15" t="s">
        <v>32</v>
      </c>
      <c r="M15">
        <v>1</v>
      </c>
    </row>
    <row r="16" spans="1:13" x14ac:dyDescent="0.25">
      <c r="A16" s="2">
        <v>46279</v>
      </c>
      <c r="B16" s="1" t="str">
        <f ca="1">IF(Información1[[#This Row],[Fecha]]='Ajuste de fechas'!$A$2,"Día actual","Día anterior")</f>
        <v>Día actual</v>
      </c>
      <c r="C16" t="s">
        <v>48</v>
      </c>
      <c r="D16" t="s">
        <v>72</v>
      </c>
      <c r="E16" t="s">
        <v>123</v>
      </c>
      <c r="F16" t="s">
        <v>16</v>
      </c>
      <c r="G16" t="s">
        <v>124</v>
      </c>
      <c r="H16" t="s">
        <v>47</v>
      </c>
      <c r="I16" t="s">
        <v>7</v>
      </c>
      <c r="J16" t="s">
        <v>35</v>
      </c>
      <c r="K16" t="s">
        <v>50</v>
      </c>
      <c r="L16" t="s">
        <v>32</v>
      </c>
      <c r="M16">
        <v>1</v>
      </c>
    </row>
    <row r="17" spans="1:13" x14ac:dyDescent="0.25">
      <c r="A17" s="2">
        <v>46279</v>
      </c>
      <c r="B17" s="1" t="str">
        <f ca="1">IF(Información1[[#This Row],[Fecha]]='Ajuste de fechas'!$A$2,"Día actual","Día anterior")</f>
        <v>Día actual</v>
      </c>
      <c r="C17" t="s">
        <v>48</v>
      </c>
      <c r="D17" t="s">
        <v>72</v>
      </c>
      <c r="E17" t="s">
        <v>125</v>
      </c>
      <c r="F17" t="s">
        <v>16</v>
      </c>
      <c r="G17" t="s">
        <v>85</v>
      </c>
      <c r="H17" t="s">
        <v>47</v>
      </c>
      <c r="I17" t="s">
        <v>7</v>
      </c>
      <c r="J17" t="s">
        <v>35</v>
      </c>
      <c r="K17" t="s">
        <v>50</v>
      </c>
      <c r="L17" t="s">
        <v>32</v>
      </c>
      <c r="M17">
        <v>1</v>
      </c>
    </row>
    <row r="18" spans="1:13" x14ac:dyDescent="0.25">
      <c r="A18" s="2">
        <v>46279</v>
      </c>
      <c r="B18" s="1" t="str">
        <f ca="1">IF(Información1[[#This Row],[Fecha]]='Ajuste de fechas'!$A$2,"Día actual","Día anterior")</f>
        <v>Día actual</v>
      </c>
      <c r="C18" t="s">
        <v>48</v>
      </c>
      <c r="D18" t="s">
        <v>72</v>
      </c>
      <c r="E18" t="s">
        <v>126</v>
      </c>
      <c r="F18" t="s">
        <v>18</v>
      </c>
      <c r="G18" t="s">
        <v>87</v>
      </c>
      <c r="H18" t="s">
        <v>47</v>
      </c>
      <c r="I18" t="s">
        <v>7</v>
      </c>
      <c r="J18" t="s">
        <v>31</v>
      </c>
      <c r="K18" t="s">
        <v>50</v>
      </c>
      <c r="L18" t="s">
        <v>34</v>
      </c>
      <c r="M18">
        <v>1</v>
      </c>
    </row>
    <row r="19" spans="1:13" x14ac:dyDescent="0.25">
      <c r="A19" s="2">
        <v>46279</v>
      </c>
      <c r="B19" s="1" t="str">
        <f ca="1">IF(Información1[[#This Row],[Fecha]]='Ajuste de fechas'!$A$2,"Día actual","Día anterior")</f>
        <v>Día actual</v>
      </c>
      <c r="C19" t="s">
        <v>48</v>
      </c>
      <c r="D19" t="s">
        <v>49</v>
      </c>
      <c r="E19" t="s">
        <v>127</v>
      </c>
      <c r="F19" t="s">
        <v>16</v>
      </c>
      <c r="G19" t="s">
        <v>128</v>
      </c>
      <c r="H19" t="s">
        <v>47</v>
      </c>
      <c r="I19" t="s">
        <v>22</v>
      </c>
      <c r="J19" t="s">
        <v>35</v>
      </c>
      <c r="K19" t="s">
        <v>9</v>
      </c>
      <c r="L19" t="s">
        <v>33</v>
      </c>
      <c r="M19">
        <v>1</v>
      </c>
    </row>
    <row r="20" spans="1:13" x14ac:dyDescent="0.25">
      <c r="A20" s="2">
        <v>46279</v>
      </c>
      <c r="B20" s="1" t="str">
        <f ca="1">IF(Información1[[#This Row],[Fecha]]='Ajuste de fechas'!$A$2,"Día actual","Día anterior")</f>
        <v>Día actual</v>
      </c>
      <c r="C20" t="s">
        <v>48</v>
      </c>
      <c r="D20" t="s">
        <v>49</v>
      </c>
      <c r="E20" t="s">
        <v>129</v>
      </c>
      <c r="F20" t="s">
        <v>16</v>
      </c>
      <c r="G20" t="s">
        <v>65</v>
      </c>
      <c r="H20" t="s">
        <v>47</v>
      </c>
      <c r="I20" t="s">
        <v>7</v>
      </c>
      <c r="J20" t="s">
        <v>35</v>
      </c>
      <c r="K20" t="s">
        <v>50</v>
      </c>
      <c r="L20" t="s">
        <v>32</v>
      </c>
      <c r="M20">
        <v>1</v>
      </c>
    </row>
    <row r="21" spans="1:13" x14ac:dyDescent="0.25">
      <c r="A21" s="2">
        <v>46279</v>
      </c>
      <c r="B21" s="1" t="str">
        <f ca="1">IF(Información1[[#This Row],[Fecha]]='Ajuste de fechas'!$A$2,"Día actual","Día anterior")</f>
        <v>Día actual</v>
      </c>
      <c r="C21" t="s">
        <v>48</v>
      </c>
      <c r="D21" t="s">
        <v>49</v>
      </c>
      <c r="E21" t="s">
        <v>130</v>
      </c>
      <c r="F21" t="s">
        <v>19</v>
      </c>
      <c r="G21" t="s">
        <v>96</v>
      </c>
      <c r="H21" t="s">
        <v>47</v>
      </c>
      <c r="I21" t="s">
        <v>22</v>
      </c>
      <c r="J21" t="s">
        <v>36</v>
      </c>
      <c r="K21" t="s">
        <v>50</v>
      </c>
      <c r="L21" t="s">
        <v>32</v>
      </c>
      <c r="M21">
        <v>1</v>
      </c>
    </row>
    <row r="22" spans="1:13" x14ac:dyDescent="0.25">
      <c r="A22" s="2">
        <v>46279</v>
      </c>
      <c r="B22" s="1" t="str">
        <f ca="1">IF(Información1[[#This Row],[Fecha]]='Ajuste de fechas'!$A$2,"Día actual","Día anterior")</f>
        <v>Día actual</v>
      </c>
      <c r="C22" t="s">
        <v>48</v>
      </c>
      <c r="D22" t="s">
        <v>49</v>
      </c>
      <c r="E22" t="s">
        <v>131</v>
      </c>
      <c r="F22" t="s">
        <v>19</v>
      </c>
      <c r="G22" t="s">
        <v>96</v>
      </c>
      <c r="H22" t="s">
        <v>47</v>
      </c>
      <c r="I22" t="s">
        <v>7</v>
      </c>
      <c r="J22" t="s">
        <v>36</v>
      </c>
      <c r="K22" t="s">
        <v>50</v>
      </c>
      <c r="L22" t="s">
        <v>32</v>
      </c>
      <c r="M22">
        <v>1</v>
      </c>
    </row>
    <row r="23" spans="1:13" x14ac:dyDescent="0.25">
      <c r="A23" s="2">
        <v>46279</v>
      </c>
      <c r="B23" s="1" t="str">
        <f ca="1">IF(Información1[[#This Row],[Fecha]]='Ajuste de fechas'!$A$2,"Día actual","Día anterior")</f>
        <v>Día actual</v>
      </c>
      <c r="C23" t="s">
        <v>48</v>
      </c>
      <c r="D23" t="s">
        <v>49</v>
      </c>
      <c r="E23" t="s">
        <v>132</v>
      </c>
      <c r="F23" t="s">
        <v>21</v>
      </c>
      <c r="G23" t="s">
        <v>133</v>
      </c>
      <c r="H23" t="s">
        <v>47</v>
      </c>
      <c r="I23" t="s">
        <v>7</v>
      </c>
      <c r="J23" t="s">
        <v>21</v>
      </c>
      <c r="K23" t="s">
        <v>50</v>
      </c>
      <c r="L23" t="s">
        <v>41</v>
      </c>
      <c r="M23">
        <v>1</v>
      </c>
    </row>
    <row r="24" spans="1:13" x14ac:dyDescent="0.25">
      <c r="A24" s="2">
        <v>46279</v>
      </c>
      <c r="B24" s="1" t="str">
        <f ca="1">IF(Información1[[#This Row],[Fecha]]='Ajuste de fechas'!$A$2,"Día actual","Día anterior")</f>
        <v>Día actual</v>
      </c>
      <c r="C24" t="s">
        <v>48</v>
      </c>
      <c r="D24" t="s">
        <v>49</v>
      </c>
      <c r="E24" t="s">
        <v>134</v>
      </c>
      <c r="F24" t="s">
        <v>43</v>
      </c>
      <c r="G24" t="s">
        <v>135</v>
      </c>
      <c r="H24" t="s">
        <v>47</v>
      </c>
      <c r="I24" t="s">
        <v>7</v>
      </c>
      <c r="J24" t="s">
        <v>31</v>
      </c>
      <c r="K24" t="s">
        <v>51</v>
      </c>
      <c r="L24" t="s">
        <v>32</v>
      </c>
      <c r="M24">
        <v>1</v>
      </c>
    </row>
    <row r="25" spans="1:13" x14ac:dyDescent="0.25">
      <c r="A25" s="2">
        <v>46279</v>
      </c>
      <c r="B25" s="1" t="str">
        <f ca="1">IF(Información1[[#This Row],[Fecha]]='Ajuste de fechas'!$A$2,"Día actual","Día anterior")</f>
        <v>Día actual</v>
      </c>
      <c r="C25" t="s">
        <v>48</v>
      </c>
      <c r="D25" t="s">
        <v>49</v>
      </c>
      <c r="E25" t="s">
        <v>136</v>
      </c>
      <c r="F25" t="s">
        <v>137</v>
      </c>
      <c r="G25" t="s">
        <v>135</v>
      </c>
      <c r="H25" t="s">
        <v>47</v>
      </c>
      <c r="I25" t="s">
        <v>7</v>
      </c>
      <c r="J25" t="s">
        <v>31</v>
      </c>
      <c r="K25" t="s">
        <v>51</v>
      </c>
      <c r="L25" t="s">
        <v>32</v>
      </c>
      <c r="M25">
        <v>1</v>
      </c>
    </row>
    <row r="26" spans="1:13" x14ac:dyDescent="0.25">
      <c r="A26" s="2">
        <v>46279</v>
      </c>
      <c r="B26" s="1" t="str">
        <f ca="1">IF(Información1[[#This Row],[Fecha]]='Ajuste de fechas'!$A$2,"Día actual","Día anterior")</f>
        <v>Día actual</v>
      </c>
      <c r="C26" t="s">
        <v>48</v>
      </c>
      <c r="D26" t="s">
        <v>49</v>
      </c>
      <c r="E26" t="s">
        <v>138</v>
      </c>
      <c r="F26" t="s">
        <v>14</v>
      </c>
      <c r="G26" t="s">
        <v>135</v>
      </c>
      <c r="H26" t="s">
        <v>47</v>
      </c>
      <c r="I26" t="s">
        <v>7</v>
      </c>
      <c r="J26" t="s">
        <v>31</v>
      </c>
      <c r="K26" t="s">
        <v>51</v>
      </c>
      <c r="L26" t="s">
        <v>32</v>
      </c>
      <c r="M26">
        <v>1</v>
      </c>
    </row>
    <row r="27" spans="1:13" x14ac:dyDescent="0.25">
      <c r="A27" s="2">
        <v>46279</v>
      </c>
      <c r="B27" s="1" t="str">
        <f ca="1">IF(Información1[[#This Row],[Fecha]]='Ajuste de fechas'!$A$2,"Día actual","Día anterior")</f>
        <v>Día actual</v>
      </c>
      <c r="C27" t="s">
        <v>48</v>
      </c>
      <c r="D27" t="s">
        <v>49</v>
      </c>
      <c r="E27" t="s">
        <v>139</v>
      </c>
      <c r="F27" t="s">
        <v>137</v>
      </c>
      <c r="G27" t="s">
        <v>135</v>
      </c>
      <c r="H27" t="s">
        <v>47</v>
      </c>
      <c r="I27" t="s">
        <v>7</v>
      </c>
      <c r="J27" t="s">
        <v>31</v>
      </c>
      <c r="K27" t="s">
        <v>51</v>
      </c>
      <c r="L27" t="s">
        <v>32</v>
      </c>
      <c r="M27">
        <v>1</v>
      </c>
    </row>
    <row r="28" spans="1:13" x14ac:dyDescent="0.25">
      <c r="A28" s="2">
        <v>46279</v>
      </c>
      <c r="B28" s="1" t="str">
        <f ca="1">IF(Información1[[#This Row],[Fecha]]='Ajuste de fechas'!$A$2,"Día actual","Día anterior")</f>
        <v>Día actual</v>
      </c>
      <c r="C28" t="s">
        <v>48</v>
      </c>
      <c r="D28" t="s">
        <v>49</v>
      </c>
      <c r="E28" t="s">
        <v>140</v>
      </c>
      <c r="F28" t="s">
        <v>141</v>
      </c>
      <c r="G28" t="s">
        <v>135</v>
      </c>
      <c r="H28" t="s">
        <v>47</v>
      </c>
      <c r="I28" t="s">
        <v>7</v>
      </c>
      <c r="J28" t="s">
        <v>31</v>
      </c>
      <c r="K28" t="s">
        <v>51</v>
      </c>
      <c r="L28" t="s">
        <v>32</v>
      </c>
      <c r="M28">
        <v>1</v>
      </c>
    </row>
    <row r="29" spans="1:13" x14ac:dyDescent="0.25">
      <c r="A29" s="2">
        <v>46279</v>
      </c>
      <c r="B29" s="1" t="str">
        <f ca="1">IF(Información1[[#This Row],[Fecha]]='Ajuste de fechas'!$A$2,"Día actual","Día anterior")</f>
        <v>Día actual</v>
      </c>
      <c r="C29" t="s">
        <v>48</v>
      </c>
      <c r="D29" t="s">
        <v>49</v>
      </c>
      <c r="E29" t="s">
        <v>142</v>
      </c>
      <c r="F29" t="s">
        <v>23</v>
      </c>
      <c r="G29" t="s">
        <v>135</v>
      </c>
      <c r="H29" t="s">
        <v>47</v>
      </c>
      <c r="I29" t="s">
        <v>7</v>
      </c>
      <c r="J29" t="s">
        <v>31</v>
      </c>
      <c r="K29" t="s">
        <v>51</v>
      </c>
      <c r="L29" t="s">
        <v>32</v>
      </c>
      <c r="M29">
        <v>1</v>
      </c>
    </row>
    <row r="30" spans="1:13" x14ac:dyDescent="0.25">
      <c r="A30" s="2">
        <v>46279</v>
      </c>
      <c r="B30" s="1" t="str">
        <f ca="1">IF(Información1[[#This Row],[Fecha]]='Ajuste de fechas'!$A$2,"Día actual","Día anterior")</f>
        <v>Día actual</v>
      </c>
      <c r="C30" t="s">
        <v>48</v>
      </c>
      <c r="D30" t="s">
        <v>49</v>
      </c>
      <c r="E30" t="s">
        <v>143</v>
      </c>
      <c r="F30" t="s">
        <v>23</v>
      </c>
      <c r="G30" t="s">
        <v>124</v>
      </c>
      <c r="H30" t="s">
        <v>47</v>
      </c>
      <c r="I30" t="s">
        <v>11</v>
      </c>
      <c r="J30" t="s">
        <v>31</v>
      </c>
      <c r="K30" t="s">
        <v>51</v>
      </c>
      <c r="L30" t="s">
        <v>33</v>
      </c>
      <c r="M30">
        <v>1</v>
      </c>
    </row>
    <row r="31" spans="1:13" x14ac:dyDescent="0.25">
      <c r="A31" s="2">
        <v>46279</v>
      </c>
      <c r="B31" s="1" t="str">
        <f ca="1">IF(Información1[[#This Row],[Fecha]]='Ajuste de fechas'!$A$2,"Día actual","Día anterior")</f>
        <v>Día actual</v>
      </c>
      <c r="C31" t="s">
        <v>8</v>
      </c>
      <c r="D31" t="s">
        <v>10</v>
      </c>
      <c r="E31" t="s">
        <v>144</v>
      </c>
      <c r="F31" t="s">
        <v>62</v>
      </c>
      <c r="G31" t="s">
        <v>145</v>
      </c>
      <c r="H31" t="s">
        <v>47</v>
      </c>
      <c r="I31" t="s">
        <v>7</v>
      </c>
      <c r="J31" t="s">
        <v>31</v>
      </c>
      <c r="K31" t="s">
        <v>12</v>
      </c>
      <c r="L31" t="s">
        <v>34</v>
      </c>
      <c r="M31">
        <v>1</v>
      </c>
    </row>
    <row r="32" spans="1:13" x14ac:dyDescent="0.25">
      <c r="A32" s="2">
        <v>46279</v>
      </c>
      <c r="B32" s="1" t="str">
        <f ca="1">IF(Información1[[#This Row],[Fecha]]='Ajuste de fechas'!$A$2,"Día actual","Día anterior")</f>
        <v>Día actual</v>
      </c>
      <c r="C32" t="s">
        <v>68</v>
      </c>
      <c r="D32" t="s">
        <v>69</v>
      </c>
      <c r="E32" t="s">
        <v>146</v>
      </c>
      <c r="F32" t="s">
        <v>20</v>
      </c>
      <c r="G32" t="s">
        <v>147</v>
      </c>
      <c r="H32" t="s">
        <v>47</v>
      </c>
      <c r="I32" t="s">
        <v>7</v>
      </c>
      <c r="J32" t="s">
        <v>31</v>
      </c>
      <c r="K32" t="s">
        <v>70</v>
      </c>
      <c r="L32" t="s">
        <v>32</v>
      </c>
      <c r="M32">
        <v>1</v>
      </c>
    </row>
    <row r="33" spans="1:13" x14ac:dyDescent="0.25">
      <c r="A33" s="2">
        <v>46279</v>
      </c>
      <c r="B33" s="1" t="str">
        <f ca="1">IF(Información1[[#This Row],[Fecha]]='Ajuste de fechas'!$A$2,"Día actual","Día anterior")</f>
        <v>Día actual</v>
      </c>
      <c r="C33" t="s">
        <v>68</v>
      </c>
      <c r="D33" t="s">
        <v>69</v>
      </c>
      <c r="E33" t="s">
        <v>148</v>
      </c>
      <c r="F33" t="s">
        <v>20</v>
      </c>
      <c r="G33" t="s">
        <v>73</v>
      </c>
      <c r="H33" t="s">
        <v>47</v>
      </c>
      <c r="I33" t="s">
        <v>7</v>
      </c>
      <c r="J33" t="s">
        <v>31</v>
      </c>
      <c r="K33" t="s">
        <v>70</v>
      </c>
      <c r="L33" t="s">
        <v>32</v>
      </c>
      <c r="M33">
        <v>1</v>
      </c>
    </row>
    <row r="34" spans="1:13" x14ac:dyDescent="0.25">
      <c r="A34" s="2">
        <v>46279</v>
      </c>
      <c r="B34" s="1" t="str">
        <f ca="1">IF(Información1[[#This Row],[Fecha]]='Ajuste de fechas'!$A$2,"Día actual","Día anterior")</f>
        <v>Día actual</v>
      </c>
      <c r="C34" t="s">
        <v>8</v>
      </c>
      <c r="D34" t="s">
        <v>10</v>
      </c>
      <c r="E34" t="s">
        <v>149</v>
      </c>
      <c r="F34" t="s">
        <v>46</v>
      </c>
      <c r="G34" t="s">
        <v>147</v>
      </c>
      <c r="H34" t="s">
        <v>47</v>
      </c>
      <c r="I34" t="s">
        <v>7</v>
      </c>
      <c r="J34" t="s">
        <v>31</v>
      </c>
      <c r="K34" t="s">
        <v>12</v>
      </c>
      <c r="L34" t="s">
        <v>34</v>
      </c>
      <c r="M34">
        <v>1</v>
      </c>
    </row>
    <row r="35" spans="1:13" x14ac:dyDescent="0.25">
      <c r="A35" s="2">
        <v>46279</v>
      </c>
      <c r="B35" s="1" t="str">
        <f ca="1">IF(Información1[[#This Row],[Fecha]]='Ajuste de fechas'!$A$2,"Día actual","Día anterior")</f>
        <v>Día actual</v>
      </c>
      <c r="C35" t="s">
        <v>68</v>
      </c>
      <c r="D35" t="s">
        <v>69</v>
      </c>
      <c r="E35" t="s">
        <v>150</v>
      </c>
      <c r="F35" t="s">
        <v>18</v>
      </c>
      <c r="G35" t="s">
        <v>151</v>
      </c>
      <c r="H35" t="s">
        <v>47</v>
      </c>
      <c r="I35" t="s">
        <v>7</v>
      </c>
      <c r="J35" t="s">
        <v>31</v>
      </c>
      <c r="K35" t="s">
        <v>70</v>
      </c>
      <c r="L35" t="s">
        <v>32</v>
      </c>
      <c r="M35">
        <v>1</v>
      </c>
    </row>
    <row r="36" spans="1:13" x14ac:dyDescent="0.25">
      <c r="A36" s="2">
        <v>46279</v>
      </c>
      <c r="B36" s="1" t="str">
        <f ca="1">IF(Información1[[#This Row],[Fecha]]='Ajuste de fechas'!$A$2,"Día actual","Día anterior")</f>
        <v>Día actual</v>
      </c>
      <c r="C36" t="s">
        <v>68</v>
      </c>
      <c r="D36" t="s">
        <v>69</v>
      </c>
      <c r="E36" t="s">
        <v>152</v>
      </c>
      <c r="F36" t="s">
        <v>18</v>
      </c>
      <c r="G36" t="s">
        <v>120</v>
      </c>
      <c r="H36" t="s">
        <v>47</v>
      </c>
      <c r="I36" t="s">
        <v>7</v>
      </c>
      <c r="J36" t="s">
        <v>31</v>
      </c>
      <c r="K36" t="s">
        <v>70</v>
      </c>
      <c r="L36" t="s">
        <v>32</v>
      </c>
      <c r="M36">
        <v>1</v>
      </c>
    </row>
    <row r="37" spans="1:13" x14ac:dyDescent="0.25">
      <c r="A37" s="2">
        <v>46279</v>
      </c>
      <c r="B37" s="1" t="str">
        <f ca="1">IF(Información1[[#This Row],[Fecha]]='Ajuste de fechas'!$A$2,"Día actual","Día anterior")</f>
        <v>Día actual</v>
      </c>
      <c r="C37" t="s">
        <v>153</v>
      </c>
      <c r="D37" t="s">
        <v>154</v>
      </c>
      <c r="E37" t="s">
        <v>155</v>
      </c>
      <c r="F37" t="s">
        <v>18</v>
      </c>
      <c r="G37" t="s">
        <v>87</v>
      </c>
      <c r="H37" t="s">
        <v>47</v>
      </c>
      <c r="I37" t="s">
        <v>7</v>
      </c>
      <c r="J37" t="s">
        <v>31</v>
      </c>
      <c r="K37" t="s">
        <v>156</v>
      </c>
      <c r="L37" t="s">
        <v>32</v>
      </c>
      <c r="M37">
        <v>1</v>
      </c>
    </row>
    <row r="38" spans="1:13" x14ac:dyDescent="0.25">
      <c r="A38" s="2">
        <v>46279</v>
      </c>
      <c r="B38" s="1" t="str">
        <f ca="1">IF(Información1[[#This Row],[Fecha]]='Ajuste de fechas'!$A$2,"Día actual","Día anterior")</f>
        <v>Día actual</v>
      </c>
      <c r="C38" t="s">
        <v>68</v>
      </c>
      <c r="D38" t="s">
        <v>69</v>
      </c>
      <c r="E38" t="s">
        <v>157</v>
      </c>
      <c r="F38" t="s">
        <v>43</v>
      </c>
      <c r="G38" t="s">
        <v>158</v>
      </c>
      <c r="H38" t="s">
        <v>47</v>
      </c>
      <c r="I38" t="s">
        <v>7</v>
      </c>
      <c r="J38" t="s">
        <v>31</v>
      </c>
      <c r="K38" t="s">
        <v>70</v>
      </c>
      <c r="L38" t="s">
        <v>32</v>
      </c>
      <c r="M38">
        <v>1</v>
      </c>
    </row>
    <row r="39" spans="1:13" x14ac:dyDescent="0.25">
      <c r="A39" s="2">
        <v>46279</v>
      </c>
      <c r="B39" s="1" t="str">
        <f ca="1">IF(Información1[[#This Row],[Fecha]]='Ajuste de fechas'!$A$2,"Día actual","Día anterior")</f>
        <v>Día actual</v>
      </c>
      <c r="C39" t="s">
        <v>159</v>
      </c>
      <c r="D39" t="s">
        <v>160</v>
      </c>
      <c r="E39" t="s">
        <v>161</v>
      </c>
      <c r="F39" t="s">
        <v>76</v>
      </c>
      <c r="G39" t="s">
        <v>162</v>
      </c>
      <c r="H39" t="s">
        <v>47</v>
      </c>
      <c r="I39" t="s">
        <v>7</v>
      </c>
      <c r="J39" t="s">
        <v>31</v>
      </c>
      <c r="K39" t="s">
        <v>163</v>
      </c>
      <c r="L39" t="s">
        <v>34</v>
      </c>
      <c r="M39">
        <v>1</v>
      </c>
    </row>
    <row r="40" spans="1:13" x14ac:dyDescent="0.25">
      <c r="A40" s="2">
        <v>46279</v>
      </c>
      <c r="B40" s="1" t="str">
        <f ca="1">IF(Información1[[#This Row],[Fecha]]='Ajuste de fechas'!$A$2,"Día actual","Día anterior")</f>
        <v>Día actual</v>
      </c>
      <c r="C40" t="s">
        <v>153</v>
      </c>
      <c r="D40" t="s">
        <v>154</v>
      </c>
      <c r="E40" t="s">
        <v>164</v>
      </c>
      <c r="F40" t="s">
        <v>165</v>
      </c>
      <c r="G40" t="s">
        <v>79</v>
      </c>
      <c r="H40" t="s">
        <v>47</v>
      </c>
      <c r="I40" t="s">
        <v>7</v>
      </c>
      <c r="J40" t="s">
        <v>31</v>
      </c>
      <c r="K40" t="s">
        <v>156</v>
      </c>
      <c r="L40" t="s">
        <v>32</v>
      </c>
      <c r="M40">
        <v>1</v>
      </c>
    </row>
    <row r="41" spans="1:13" x14ac:dyDescent="0.25">
      <c r="A41" s="2">
        <v>46279</v>
      </c>
      <c r="B41" s="1" t="str">
        <f ca="1">IF(Información1[[#This Row],[Fecha]]='Ajuste de fechas'!$A$2,"Día actual","Día anterior")</f>
        <v>Día actual</v>
      </c>
      <c r="C41" t="s">
        <v>153</v>
      </c>
      <c r="D41" t="s">
        <v>154</v>
      </c>
      <c r="E41" t="s">
        <v>166</v>
      </c>
      <c r="F41" t="s">
        <v>23</v>
      </c>
      <c r="G41" t="s">
        <v>167</v>
      </c>
      <c r="H41" t="s">
        <v>47</v>
      </c>
      <c r="I41" t="s">
        <v>7</v>
      </c>
      <c r="J41" t="s">
        <v>31</v>
      </c>
      <c r="K41" t="s">
        <v>156</v>
      </c>
      <c r="L41" t="s">
        <v>32</v>
      </c>
      <c r="M41">
        <v>1</v>
      </c>
    </row>
    <row r="42" spans="1:13" x14ac:dyDescent="0.25">
      <c r="A42" s="2">
        <v>46279</v>
      </c>
      <c r="B42" s="1" t="str">
        <f ca="1">IF(Información1[[#This Row],[Fecha]]='Ajuste de fechas'!$A$2,"Día actual","Día anterior")</f>
        <v>Día actual</v>
      </c>
      <c r="C42" t="s">
        <v>68</v>
      </c>
      <c r="D42" t="s">
        <v>69</v>
      </c>
      <c r="E42" t="s">
        <v>168</v>
      </c>
      <c r="F42" t="s">
        <v>23</v>
      </c>
      <c r="G42" t="s">
        <v>167</v>
      </c>
      <c r="H42" t="s">
        <v>47</v>
      </c>
      <c r="I42" t="s">
        <v>7</v>
      </c>
      <c r="J42" t="s">
        <v>31</v>
      </c>
      <c r="K42" t="s">
        <v>70</v>
      </c>
      <c r="L42" t="s">
        <v>32</v>
      </c>
      <c r="M42">
        <v>1</v>
      </c>
    </row>
    <row r="43" spans="1:13" x14ac:dyDescent="0.25">
      <c r="A43" s="2">
        <v>46279</v>
      </c>
      <c r="B43" s="1" t="str">
        <f ca="1">IF(Información1[[#This Row],[Fecha]]='Ajuste de fechas'!$A$2,"Día actual","Día anterior")</f>
        <v>Día actual</v>
      </c>
      <c r="C43" t="s">
        <v>8</v>
      </c>
      <c r="D43" t="s">
        <v>10</v>
      </c>
      <c r="E43" t="s">
        <v>169</v>
      </c>
      <c r="F43" t="s">
        <v>97</v>
      </c>
      <c r="G43" t="s">
        <v>98</v>
      </c>
      <c r="H43" t="s">
        <v>47</v>
      </c>
      <c r="I43" t="s">
        <v>7</v>
      </c>
      <c r="J43" t="s">
        <v>31</v>
      </c>
      <c r="K43" t="s">
        <v>12</v>
      </c>
      <c r="L43" t="s">
        <v>32</v>
      </c>
      <c r="M43">
        <v>1</v>
      </c>
    </row>
    <row r="44" spans="1:13" x14ac:dyDescent="0.25">
      <c r="A44" s="2">
        <v>46279</v>
      </c>
      <c r="B44" s="1" t="str">
        <f ca="1">IF(Información1[[#This Row],[Fecha]]='Ajuste de fechas'!$A$2,"Día actual","Día anterior")</f>
        <v>Día actual</v>
      </c>
      <c r="C44" t="s">
        <v>68</v>
      </c>
      <c r="D44" t="s">
        <v>69</v>
      </c>
      <c r="E44" t="s">
        <v>170</v>
      </c>
      <c r="F44" t="s">
        <v>16</v>
      </c>
      <c r="G44" t="s">
        <v>158</v>
      </c>
      <c r="H44" t="s">
        <v>47</v>
      </c>
      <c r="I44" t="s">
        <v>22</v>
      </c>
      <c r="J44" t="s">
        <v>35</v>
      </c>
      <c r="K44" t="s">
        <v>70</v>
      </c>
      <c r="L44" t="s">
        <v>32</v>
      </c>
      <c r="M44">
        <v>1</v>
      </c>
    </row>
    <row r="45" spans="1:13" x14ac:dyDescent="0.25">
      <c r="A45" s="2">
        <v>46279</v>
      </c>
      <c r="B45" s="1" t="str">
        <f ca="1">IF(Información1[[#This Row],[Fecha]]='Ajuste de fechas'!$A$2,"Día actual","Día anterior")</f>
        <v>Día actual</v>
      </c>
      <c r="C45" t="s">
        <v>68</v>
      </c>
      <c r="D45" t="s">
        <v>69</v>
      </c>
      <c r="E45" t="s">
        <v>171</v>
      </c>
      <c r="F45" t="s">
        <v>19</v>
      </c>
      <c r="G45" t="s">
        <v>172</v>
      </c>
      <c r="H45" t="s">
        <v>47</v>
      </c>
      <c r="I45" t="s">
        <v>22</v>
      </c>
      <c r="J45" t="s">
        <v>36</v>
      </c>
      <c r="K45" t="s">
        <v>70</v>
      </c>
      <c r="L45" t="s">
        <v>32</v>
      </c>
      <c r="M45">
        <v>1</v>
      </c>
    </row>
    <row r="46" spans="1:13" x14ac:dyDescent="0.25">
      <c r="A46" s="2">
        <v>46279</v>
      </c>
      <c r="B46" s="1" t="str">
        <f ca="1">IF(Información1[[#This Row],[Fecha]]='Ajuste de fechas'!$A$2,"Día actual","Día anterior")</f>
        <v>Día actual</v>
      </c>
      <c r="C46" t="s">
        <v>68</v>
      </c>
      <c r="D46" t="s">
        <v>69</v>
      </c>
      <c r="E46" t="s">
        <v>173</v>
      </c>
      <c r="F46" t="s">
        <v>71</v>
      </c>
      <c r="G46" t="s">
        <v>80</v>
      </c>
      <c r="H46" t="s">
        <v>47</v>
      </c>
      <c r="I46" t="s">
        <v>7</v>
      </c>
      <c r="J46" t="s">
        <v>31</v>
      </c>
      <c r="K46" t="s">
        <v>70</v>
      </c>
      <c r="L46" t="s">
        <v>32</v>
      </c>
      <c r="M46">
        <v>1</v>
      </c>
    </row>
    <row r="47" spans="1:13" x14ac:dyDescent="0.25">
      <c r="A47" s="2">
        <v>46279</v>
      </c>
      <c r="B47" s="1" t="str">
        <f ca="1">IF(Información1[[#This Row],[Fecha]]='Ajuste de fechas'!$A$2,"Día actual","Día anterior")</f>
        <v>Día actual</v>
      </c>
      <c r="C47" t="s">
        <v>68</v>
      </c>
      <c r="D47" t="s">
        <v>69</v>
      </c>
      <c r="E47" t="s">
        <v>174</v>
      </c>
      <c r="F47" t="s">
        <v>19</v>
      </c>
      <c r="G47" t="s">
        <v>175</v>
      </c>
      <c r="H47" t="s">
        <v>47</v>
      </c>
      <c r="I47" t="s">
        <v>7</v>
      </c>
      <c r="J47" t="s">
        <v>36</v>
      </c>
      <c r="K47" t="s">
        <v>70</v>
      </c>
      <c r="L47" t="s">
        <v>32</v>
      </c>
      <c r="M47">
        <v>1</v>
      </c>
    </row>
    <row r="48" spans="1:13" x14ac:dyDescent="0.25">
      <c r="A48" s="2">
        <v>46279</v>
      </c>
      <c r="B48" s="1" t="str">
        <f ca="1">IF(Información1[[#This Row],[Fecha]]='Ajuste de fechas'!$A$2,"Día actual","Día anterior")</f>
        <v>Día actual</v>
      </c>
      <c r="C48" t="s">
        <v>68</v>
      </c>
      <c r="D48" t="s">
        <v>69</v>
      </c>
      <c r="E48" t="s">
        <v>176</v>
      </c>
      <c r="F48" t="s">
        <v>16</v>
      </c>
      <c r="G48" t="s">
        <v>177</v>
      </c>
      <c r="H48" t="s">
        <v>47</v>
      </c>
      <c r="I48" t="s">
        <v>7</v>
      </c>
      <c r="J48" t="s">
        <v>35</v>
      </c>
      <c r="K48" t="s">
        <v>70</v>
      </c>
      <c r="L48" t="s">
        <v>32</v>
      </c>
      <c r="M48">
        <v>1</v>
      </c>
    </row>
    <row r="49" spans="1:13" x14ac:dyDescent="0.25">
      <c r="A49" s="2">
        <v>46279</v>
      </c>
      <c r="B49" s="1" t="str">
        <f ca="1">IF(Información1[[#This Row],[Fecha]]='Ajuste de fechas'!$A$2,"Día actual","Día anterior")</f>
        <v>Día actual</v>
      </c>
      <c r="C49" t="s">
        <v>68</v>
      </c>
      <c r="D49" t="s">
        <v>69</v>
      </c>
      <c r="E49" t="s">
        <v>178</v>
      </c>
      <c r="F49" t="s">
        <v>71</v>
      </c>
      <c r="G49" t="s">
        <v>179</v>
      </c>
      <c r="H49" t="s">
        <v>47</v>
      </c>
      <c r="I49" t="s">
        <v>7</v>
      </c>
      <c r="J49" t="s">
        <v>31</v>
      </c>
      <c r="K49" t="s">
        <v>70</v>
      </c>
      <c r="L49" t="s">
        <v>32</v>
      </c>
      <c r="M49">
        <v>1</v>
      </c>
    </row>
    <row r="50" spans="1:13" x14ac:dyDescent="0.25">
      <c r="A50" s="2">
        <v>46279</v>
      </c>
      <c r="B50" s="1" t="str">
        <f ca="1">IF(Información1[[#This Row],[Fecha]]='Ajuste de fechas'!$A$2,"Día actual","Día anterior")</f>
        <v>Día actual</v>
      </c>
      <c r="C50" t="s">
        <v>68</v>
      </c>
      <c r="D50" t="s">
        <v>69</v>
      </c>
      <c r="E50" t="s">
        <v>180</v>
      </c>
      <c r="F50" t="s">
        <v>43</v>
      </c>
      <c r="G50" t="s">
        <v>181</v>
      </c>
      <c r="H50" t="s">
        <v>47</v>
      </c>
      <c r="I50" t="s">
        <v>7</v>
      </c>
      <c r="J50" t="s">
        <v>31</v>
      </c>
      <c r="K50" t="s">
        <v>70</v>
      </c>
      <c r="L50" t="s">
        <v>32</v>
      </c>
      <c r="M50">
        <v>1</v>
      </c>
    </row>
    <row r="51" spans="1:13" x14ac:dyDescent="0.25">
      <c r="A51" s="2">
        <v>46279</v>
      </c>
      <c r="B51" s="1" t="str">
        <f ca="1">IF(Información1[[#This Row],[Fecha]]='Ajuste de fechas'!$A$2,"Día actual","Día anterior")</f>
        <v>Día actual</v>
      </c>
      <c r="C51" t="s">
        <v>68</v>
      </c>
      <c r="D51" t="s">
        <v>69</v>
      </c>
      <c r="E51" t="s">
        <v>182</v>
      </c>
      <c r="F51" t="s">
        <v>40</v>
      </c>
      <c r="G51" t="s">
        <v>82</v>
      </c>
      <c r="H51" t="s">
        <v>47</v>
      </c>
      <c r="I51" t="s">
        <v>7</v>
      </c>
      <c r="J51" t="s">
        <v>21</v>
      </c>
      <c r="K51" t="s">
        <v>70</v>
      </c>
      <c r="L51" t="s">
        <v>32</v>
      </c>
      <c r="M51">
        <v>1</v>
      </c>
    </row>
    <row r="52" spans="1:13" x14ac:dyDescent="0.25">
      <c r="A52" s="2">
        <v>46279</v>
      </c>
      <c r="B52" s="1" t="str">
        <f ca="1">IF(Información1[[#This Row],[Fecha]]='Ajuste de fechas'!$A$2,"Día actual","Día anterior")</f>
        <v>Día actual</v>
      </c>
      <c r="C52" t="s">
        <v>68</v>
      </c>
      <c r="D52" t="s">
        <v>69</v>
      </c>
      <c r="E52" t="s">
        <v>183</v>
      </c>
      <c r="F52" t="s">
        <v>19</v>
      </c>
      <c r="G52" t="s">
        <v>172</v>
      </c>
      <c r="H52" t="s">
        <v>47</v>
      </c>
      <c r="I52" t="s">
        <v>7</v>
      </c>
      <c r="J52" t="s">
        <v>36</v>
      </c>
      <c r="K52" t="s">
        <v>70</v>
      </c>
      <c r="L52" t="s">
        <v>32</v>
      </c>
      <c r="M52">
        <v>1</v>
      </c>
    </row>
    <row r="53" spans="1:13" x14ac:dyDescent="0.25">
      <c r="A53" s="2">
        <v>46279</v>
      </c>
      <c r="B53" s="1" t="str">
        <f ca="1">IF(Información1[[#This Row],[Fecha]]='Ajuste de fechas'!$A$2,"Día actual","Día anterior")</f>
        <v>Día actual</v>
      </c>
      <c r="C53" t="s">
        <v>8</v>
      </c>
      <c r="D53" t="s">
        <v>10</v>
      </c>
      <c r="E53" t="s">
        <v>184</v>
      </c>
      <c r="F53" t="s">
        <v>16</v>
      </c>
      <c r="G53" t="s">
        <v>54</v>
      </c>
      <c r="H53" t="s">
        <v>47</v>
      </c>
      <c r="I53" t="s">
        <v>22</v>
      </c>
      <c r="J53" t="s">
        <v>35</v>
      </c>
      <c r="K53" t="s">
        <v>9</v>
      </c>
      <c r="L53" t="s">
        <v>33</v>
      </c>
      <c r="M53">
        <v>1</v>
      </c>
    </row>
    <row r="54" spans="1:13" x14ac:dyDescent="0.25">
      <c r="A54" s="2">
        <v>46279</v>
      </c>
      <c r="B54" s="1" t="str">
        <f ca="1">IF(Información1[[#This Row],[Fecha]]='Ajuste de fechas'!$A$2,"Día actual","Día anterior")</f>
        <v>Día actual</v>
      </c>
      <c r="C54" t="s">
        <v>8</v>
      </c>
      <c r="D54" t="s">
        <v>10</v>
      </c>
      <c r="E54" t="s">
        <v>185</v>
      </c>
      <c r="F54" t="s">
        <v>6</v>
      </c>
      <c r="G54" t="s">
        <v>88</v>
      </c>
      <c r="H54" t="s">
        <v>47</v>
      </c>
      <c r="I54" t="s">
        <v>22</v>
      </c>
      <c r="J54" t="s">
        <v>31</v>
      </c>
      <c r="K54" t="s">
        <v>9</v>
      </c>
      <c r="L54" t="s">
        <v>33</v>
      </c>
      <c r="M54">
        <v>1</v>
      </c>
    </row>
    <row r="55" spans="1:13" x14ac:dyDescent="0.25">
      <c r="A55" s="2">
        <v>46279</v>
      </c>
      <c r="B55" s="1" t="str">
        <f ca="1">IF(Información1[[#This Row],[Fecha]]='Ajuste de fechas'!$A$2,"Día actual","Día anterior")</f>
        <v>Día actual</v>
      </c>
      <c r="C55" t="s">
        <v>8</v>
      </c>
      <c r="D55" t="s">
        <v>10</v>
      </c>
      <c r="E55" t="s">
        <v>186</v>
      </c>
      <c r="F55" t="s">
        <v>6</v>
      </c>
      <c r="G55" t="s">
        <v>45</v>
      </c>
      <c r="H55" t="s">
        <v>47</v>
      </c>
      <c r="I55" t="s">
        <v>22</v>
      </c>
      <c r="J55" t="s">
        <v>31</v>
      </c>
      <c r="K55" t="s">
        <v>9</v>
      </c>
      <c r="L55" t="s">
        <v>33</v>
      </c>
      <c r="M55">
        <v>1</v>
      </c>
    </row>
    <row r="56" spans="1:13" x14ac:dyDescent="0.25">
      <c r="A56" s="2">
        <v>46279</v>
      </c>
      <c r="B56" s="1" t="str">
        <f ca="1">IF(Información1[[#This Row],[Fecha]]='Ajuste de fechas'!$A$2,"Día actual","Día anterior")</f>
        <v>Día actual</v>
      </c>
      <c r="C56" t="s">
        <v>8</v>
      </c>
      <c r="D56" t="s">
        <v>10</v>
      </c>
      <c r="E56" t="s">
        <v>187</v>
      </c>
      <c r="F56" t="s">
        <v>16</v>
      </c>
      <c r="G56" t="s">
        <v>188</v>
      </c>
      <c r="H56" t="s">
        <v>47</v>
      </c>
      <c r="I56" t="s">
        <v>11</v>
      </c>
      <c r="J56" t="s">
        <v>35</v>
      </c>
      <c r="K56" t="s">
        <v>9</v>
      </c>
      <c r="L56" t="s">
        <v>33</v>
      </c>
      <c r="M56">
        <v>1</v>
      </c>
    </row>
    <row r="57" spans="1:13" x14ac:dyDescent="0.25">
      <c r="A57" s="2">
        <v>46279</v>
      </c>
      <c r="B57" s="1" t="str">
        <f ca="1">IF(Información1[[#This Row],[Fecha]]='Ajuste de fechas'!$A$2,"Día actual","Día anterior")</f>
        <v>Día actual</v>
      </c>
      <c r="C57" t="s">
        <v>8</v>
      </c>
      <c r="D57" t="s">
        <v>10</v>
      </c>
      <c r="E57" t="s">
        <v>189</v>
      </c>
      <c r="F57" t="s">
        <v>46</v>
      </c>
      <c r="G57" t="s">
        <v>190</v>
      </c>
      <c r="H57" t="s">
        <v>47</v>
      </c>
      <c r="I57" t="s">
        <v>7</v>
      </c>
      <c r="J57" t="s">
        <v>31</v>
      </c>
      <c r="K57" t="s">
        <v>12</v>
      </c>
      <c r="L57" t="s">
        <v>32</v>
      </c>
      <c r="M57">
        <v>1</v>
      </c>
    </row>
    <row r="58" spans="1:13" x14ac:dyDescent="0.25">
      <c r="A58" s="2">
        <v>46279</v>
      </c>
      <c r="B58" s="1" t="str">
        <f ca="1">IF(Información1[[#This Row],[Fecha]]='Ajuste de fechas'!$A$2,"Día actual","Día anterior")</f>
        <v>Día actual</v>
      </c>
      <c r="C58" t="s">
        <v>8</v>
      </c>
      <c r="D58" t="s">
        <v>10</v>
      </c>
      <c r="E58" t="s">
        <v>191</v>
      </c>
      <c r="F58" t="s">
        <v>6</v>
      </c>
      <c r="G58" t="s">
        <v>90</v>
      </c>
      <c r="H58" t="s">
        <v>47</v>
      </c>
      <c r="I58" t="s">
        <v>7</v>
      </c>
      <c r="J58" t="s">
        <v>31</v>
      </c>
      <c r="K58" t="s">
        <v>12</v>
      </c>
      <c r="L58" t="s">
        <v>32</v>
      </c>
      <c r="M58">
        <v>1</v>
      </c>
    </row>
    <row r="59" spans="1:13" x14ac:dyDescent="0.25">
      <c r="A59" s="2">
        <v>46279</v>
      </c>
      <c r="B59" s="1" t="str">
        <f ca="1">IF(Información1[[#This Row],[Fecha]]='Ajuste de fechas'!$A$2,"Día actual","Día anterior")</f>
        <v>Día actual</v>
      </c>
      <c r="C59" t="s">
        <v>8</v>
      </c>
      <c r="D59" t="s">
        <v>10</v>
      </c>
      <c r="E59" t="s">
        <v>192</v>
      </c>
      <c r="F59" t="s">
        <v>40</v>
      </c>
      <c r="G59" t="s">
        <v>193</v>
      </c>
      <c r="H59" t="s">
        <v>47</v>
      </c>
      <c r="I59" t="s">
        <v>7</v>
      </c>
      <c r="J59" t="s">
        <v>21</v>
      </c>
      <c r="K59" t="s">
        <v>12</v>
      </c>
      <c r="L59" t="s">
        <v>32</v>
      </c>
      <c r="M59">
        <v>1</v>
      </c>
    </row>
    <row r="60" spans="1:13" x14ac:dyDescent="0.25">
      <c r="A60" s="2">
        <v>46279</v>
      </c>
      <c r="B60" s="1" t="str">
        <f ca="1">IF(Información1[[#This Row],[Fecha]]='Ajuste de fechas'!$A$2,"Día actual","Día anterior")</f>
        <v>Día actual</v>
      </c>
      <c r="C60" t="s">
        <v>8</v>
      </c>
      <c r="D60" t="s">
        <v>10</v>
      </c>
      <c r="E60" t="s">
        <v>17</v>
      </c>
      <c r="F60" t="s">
        <v>16</v>
      </c>
      <c r="G60" t="s">
        <v>24</v>
      </c>
      <c r="H60" t="s">
        <v>47</v>
      </c>
      <c r="I60" t="s">
        <v>11</v>
      </c>
      <c r="J60" t="s">
        <v>35</v>
      </c>
      <c r="K60" t="s">
        <v>12</v>
      </c>
      <c r="L60" t="s">
        <v>33</v>
      </c>
      <c r="M60">
        <v>1</v>
      </c>
    </row>
    <row r="61" spans="1:13" x14ac:dyDescent="0.25">
      <c r="A61" s="2">
        <v>46279</v>
      </c>
      <c r="B61" s="1" t="str">
        <f ca="1">IF(Información1[[#This Row],[Fecha]]='Ajuste de fechas'!$A$2,"Día actual","Día anterior")</f>
        <v>Día actual</v>
      </c>
      <c r="C61" t="s">
        <v>8</v>
      </c>
      <c r="D61" t="s">
        <v>10</v>
      </c>
      <c r="E61" t="s">
        <v>15</v>
      </c>
      <c r="F61" t="s">
        <v>16</v>
      </c>
      <c r="G61" t="s">
        <v>24</v>
      </c>
      <c r="H61" t="s">
        <v>47</v>
      </c>
      <c r="I61" t="s">
        <v>11</v>
      </c>
      <c r="J61" t="s">
        <v>35</v>
      </c>
      <c r="K61" t="s">
        <v>12</v>
      </c>
      <c r="L61" t="s">
        <v>33</v>
      </c>
      <c r="M61">
        <v>1</v>
      </c>
    </row>
    <row r="62" spans="1:13" x14ac:dyDescent="0.25">
      <c r="A62" s="2">
        <v>46279</v>
      </c>
      <c r="B62" s="1" t="str">
        <f ca="1">IF(Información1[[#This Row],[Fecha]]='Ajuste de fechas'!$A$2,"Día actual","Día anterior")</f>
        <v>Día actual</v>
      </c>
      <c r="C62" t="s">
        <v>8</v>
      </c>
      <c r="D62" t="s">
        <v>10</v>
      </c>
      <c r="E62" t="s">
        <v>42</v>
      </c>
      <c r="F62" t="s">
        <v>40</v>
      </c>
      <c r="G62" t="s">
        <v>24</v>
      </c>
      <c r="H62" t="s">
        <v>47</v>
      </c>
      <c r="I62" t="s">
        <v>11</v>
      </c>
      <c r="J62" t="s">
        <v>21</v>
      </c>
      <c r="K62" t="s">
        <v>12</v>
      </c>
      <c r="L62" t="s">
        <v>33</v>
      </c>
      <c r="M62">
        <v>1</v>
      </c>
    </row>
    <row r="63" spans="1:13" x14ac:dyDescent="0.25">
      <c r="A63" s="2">
        <v>46279</v>
      </c>
      <c r="B63" s="1" t="str">
        <f ca="1">IF(Información1[[#This Row],[Fecha]]='Ajuste de fechas'!$A$2,"Día actual","Día anterior")</f>
        <v>Día actual</v>
      </c>
      <c r="C63" t="s">
        <v>8</v>
      </c>
      <c r="D63" t="s">
        <v>10</v>
      </c>
      <c r="E63" t="s">
        <v>44</v>
      </c>
      <c r="F63" t="s">
        <v>43</v>
      </c>
      <c r="G63" t="s">
        <v>24</v>
      </c>
      <c r="H63" t="s">
        <v>47</v>
      </c>
      <c r="I63" t="s">
        <v>11</v>
      </c>
      <c r="J63" t="s">
        <v>31</v>
      </c>
      <c r="K63" t="s">
        <v>12</v>
      </c>
      <c r="L63" t="s">
        <v>33</v>
      </c>
      <c r="M63">
        <v>1</v>
      </c>
    </row>
    <row r="64" spans="1:13" x14ac:dyDescent="0.25">
      <c r="A64" s="2">
        <v>46279</v>
      </c>
      <c r="B64" s="1" t="str">
        <f ca="1">IF(Información1[[#This Row],[Fecha]]='Ajuste de fechas'!$A$2,"Día actual","Día anterior")</f>
        <v>Día actual</v>
      </c>
      <c r="C64" t="s">
        <v>8</v>
      </c>
      <c r="D64" t="s">
        <v>10</v>
      </c>
      <c r="E64" t="s">
        <v>13</v>
      </c>
      <c r="F64" t="s">
        <v>14</v>
      </c>
      <c r="G64" t="s">
        <v>24</v>
      </c>
      <c r="H64" t="s">
        <v>47</v>
      </c>
      <c r="I64" t="s">
        <v>11</v>
      </c>
      <c r="J64" t="s">
        <v>31</v>
      </c>
      <c r="K64" t="s">
        <v>12</v>
      </c>
      <c r="L64" t="s">
        <v>33</v>
      </c>
      <c r="M64">
        <v>1</v>
      </c>
    </row>
    <row r="65" spans="1:13" x14ac:dyDescent="0.25">
      <c r="A65" s="2">
        <v>46279</v>
      </c>
      <c r="B65" s="1" t="str">
        <f ca="1">IF(Información1[[#This Row],[Fecha]]='Ajuste de fechas'!$A$2,"Día actual","Día anterior")</f>
        <v>Día actual</v>
      </c>
      <c r="C65" t="s">
        <v>8</v>
      </c>
      <c r="D65" t="s">
        <v>10</v>
      </c>
      <c r="E65" t="s">
        <v>194</v>
      </c>
      <c r="F65" t="s">
        <v>6</v>
      </c>
      <c r="G65" t="s">
        <v>24</v>
      </c>
      <c r="H65" t="s">
        <v>47</v>
      </c>
      <c r="I65" t="s">
        <v>11</v>
      </c>
      <c r="J65" t="s">
        <v>31</v>
      </c>
      <c r="K65" t="s">
        <v>12</v>
      </c>
      <c r="L65" t="s">
        <v>33</v>
      </c>
      <c r="M65">
        <v>1</v>
      </c>
    </row>
    <row r="66" spans="1:13" x14ac:dyDescent="0.25">
      <c r="A66" s="2">
        <v>46276</v>
      </c>
      <c r="B66" s="1" t="str">
        <f ca="1">IF(Información1[[#This Row],[Fecha]]='Ajuste de fechas'!$A$2,"Día actual","Día anterior")</f>
        <v>Día anterior</v>
      </c>
      <c r="C66" t="s">
        <v>56</v>
      </c>
      <c r="D66" t="s">
        <v>57</v>
      </c>
      <c r="E66" t="s">
        <v>195</v>
      </c>
      <c r="F66" t="s">
        <v>196</v>
      </c>
      <c r="G66" t="s">
        <v>197</v>
      </c>
      <c r="H66" t="s">
        <v>59</v>
      </c>
      <c r="I66" t="s">
        <v>7</v>
      </c>
      <c r="J66" t="s">
        <v>198</v>
      </c>
      <c r="K66" t="s">
        <v>61</v>
      </c>
      <c r="L66" t="s">
        <v>33</v>
      </c>
      <c r="M66">
        <v>1</v>
      </c>
    </row>
    <row r="67" spans="1:13" x14ac:dyDescent="0.25">
      <c r="A67" s="2">
        <v>46276</v>
      </c>
      <c r="B67" s="1" t="str">
        <f ca="1">IF(Información1[[#This Row],[Fecha]]='Ajuste de fechas'!$A$2,"Día actual","Día anterior")</f>
        <v>Día anterior</v>
      </c>
      <c r="C67" t="s">
        <v>56</v>
      </c>
      <c r="D67" t="s">
        <v>57</v>
      </c>
      <c r="E67" t="s">
        <v>199</v>
      </c>
      <c r="F67" t="s">
        <v>16</v>
      </c>
      <c r="G67" t="s">
        <v>200</v>
      </c>
      <c r="H67" t="s">
        <v>59</v>
      </c>
      <c r="I67" t="s">
        <v>7</v>
      </c>
      <c r="J67" t="s">
        <v>35</v>
      </c>
      <c r="K67" t="s">
        <v>81</v>
      </c>
      <c r="L67" t="s">
        <v>67</v>
      </c>
      <c r="M67">
        <v>1</v>
      </c>
    </row>
    <row r="68" spans="1:13" x14ac:dyDescent="0.25">
      <c r="A68" s="2">
        <v>46276</v>
      </c>
      <c r="B68" s="1" t="str">
        <f ca="1">IF(Información1[[#This Row],[Fecha]]='Ajuste de fechas'!$A$2,"Día actual","Día anterior")</f>
        <v>Día anterior</v>
      </c>
      <c r="C68" t="s">
        <v>52</v>
      </c>
      <c r="D68" t="s">
        <v>53</v>
      </c>
      <c r="E68" t="s">
        <v>201</v>
      </c>
      <c r="F68" t="s">
        <v>19</v>
      </c>
      <c r="G68" t="s">
        <v>202</v>
      </c>
      <c r="H68" t="s">
        <v>47</v>
      </c>
      <c r="I68" t="s">
        <v>7</v>
      </c>
      <c r="J68" t="s">
        <v>36</v>
      </c>
      <c r="K68" t="s">
        <v>55</v>
      </c>
      <c r="L68" t="s">
        <v>32</v>
      </c>
      <c r="M68">
        <v>1</v>
      </c>
    </row>
    <row r="69" spans="1:13" x14ac:dyDescent="0.25">
      <c r="A69" s="2">
        <v>46276</v>
      </c>
      <c r="B69" s="1" t="str">
        <f ca="1">IF(Información1[[#This Row],[Fecha]]='Ajuste de fechas'!$A$2,"Día actual","Día anterior")</f>
        <v>Día anterior</v>
      </c>
      <c r="C69" t="s">
        <v>52</v>
      </c>
      <c r="D69" t="s">
        <v>53</v>
      </c>
      <c r="E69" t="s">
        <v>203</v>
      </c>
      <c r="F69" t="s">
        <v>16</v>
      </c>
      <c r="G69" t="s">
        <v>204</v>
      </c>
      <c r="H69" t="s">
        <v>47</v>
      </c>
      <c r="I69" t="s">
        <v>7</v>
      </c>
      <c r="J69" t="s">
        <v>35</v>
      </c>
      <c r="K69" t="s">
        <v>63</v>
      </c>
      <c r="L69" t="s">
        <v>32</v>
      </c>
      <c r="M69">
        <v>1</v>
      </c>
    </row>
    <row r="70" spans="1:13" x14ac:dyDescent="0.25">
      <c r="A70" s="2">
        <v>46276</v>
      </c>
      <c r="B70" s="1" t="str">
        <f ca="1">IF(Información1[[#This Row],[Fecha]]='Ajuste de fechas'!$A$2,"Día actual","Día anterior")</f>
        <v>Día anterior</v>
      </c>
      <c r="C70" t="s">
        <v>52</v>
      </c>
      <c r="D70" t="s">
        <v>53</v>
      </c>
      <c r="E70" t="s">
        <v>205</v>
      </c>
      <c r="F70" t="s">
        <v>6</v>
      </c>
      <c r="G70" t="s">
        <v>117</v>
      </c>
      <c r="H70" t="s">
        <v>47</v>
      </c>
      <c r="I70" t="s">
        <v>22</v>
      </c>
      <c r="J70" t="s">
        <v>31</v>
      </c>
      <c r="K70" t="s">
        <v>55</v>
      </c>
      <c r="L70" t="s">
        <v>32</v>
      </c>
      <c r="M70">
        <v>1</v>
      </c>
    </row>
    <row r="71" spans="1:13" x14ac:dyDescent="0.25">
      <c r="A71" s="2">
        <v>46276</v>
      </c>
      <c r="B71" s="1" t="str">
        <f ca="1">IF(Información1[[#This Row],[Fecha]]='Ajuste de fechas'!$A$2,"Día actual","Día anterior")</f>
        <v>Día anterior</v>
      </c>
      <c r="C71" t="s">
        <v>52</v>
      </c>
      <c r="D71" t="s">
        <v>53</v>
      </c>
      <c r="E71" t="s">
        <v>206</v>
      </c>
      <c r="F71" t="s">
        <v>16</v>
      </c>
      <c r="G71" t="s">
        <v>75</v>
      </c>
      <c r="H71" t="s">
        <v>47</v>
      </c>
      <c r="I71" t="s">
        <v>7</v>
      </c>
      <c r="J71" t="s">
        <v>35</v>
      </c>
      <c r="K71" t="s">
        <v>74</v>
      </c>
      <c r="L71" t="s">
        <v>32</v>
      </c>
      <c r="M71">
        <v>1</v>
      </c>
    </row>
    <row r="72" spans="1:13" x14ac:dyDescent="0.25">
      <c r="A72" s="2">
        <v>46276</v>
      </c>
      <c r="B72" s="1" t="str">
        <f ca="1">IF(Información1[[#This Row],[Fecha]]='Ajuste de fechas'!$A$2,"Día actual","Día anterior")</f>
        <v>Día anterior</v>
      </c>
      <c r="C72" t="s">
        <v>52</v>
      </c>
      <c r="D72" t="s">
        <v>53</v>
      </c>
      <c r="E72" t="s">
        <v>64</v>
      </c>
      <c r="F72" t="s">
        <v>16</v>
      </c>
      <c r="G72" t="s">
        <v>65</v>
      </c>
      <c r="H72" t="s">
        <v>47</v>
      </c>
      <c r="I72" t="s">
        <v>7</v>
      </c>
      <c r="J72" t="s">
        <v>35</v>
      </c>
      <c r="K72" t="s">
        <v>66</v>
      </c>
      <c r="L72" t="s">
        <v>32</v>
      </c>
      <c r="M72">
        <v>1</v>
      </c>
    </row>
    <row r="73" spans="1:13" x14ac:dyDescent="0.25">
      <c r="A73" s="2">
        <v>46276</v>
      </c>
      <c r="B73" s="1" t="str">
        <f ca="1">IF(Información1[[#This Row],[Fecha]]='Ajuste de fechas'!$A$2,"Día actual","Día anterior")</f>
        <v>Día anterior</v>
      </c>
      <c r="C73" t="s">
        <v>52</v>
      </c>
      <c r="D73" t="s">
        <v>53</v>
      </c>
      <c r="E73" t="s">
        <v>207</v>
      </c>
      <c r="F73" t="s">
        <v>16</v>
      </c>
      <c r="G73" t="s">
        <v>122</v>
      </c>
      <c r="H73" t="s">
        <v>47</v>
      </c>
      <c r="I73" t="s">
        <v>7</v>
      </c>
      <c r="J73" t="s">
        <v>35</v>
      </c>
      <c r="K73" t="s">
        <v>63</v>
      </c>
      <c r="L73" t="s">
        <v>32</v>
      </c>
      <c r="M73">
        <v>1</v>
      </c>
    </row>
    <row r="74" spans="1:13" x14ac:dyDescent="0.25">
      <c r="A74" s="2">
        <v>46276</v>
      </c>
      <c r="B74" s="1" t="str">
        <f ca="1">IF(Información1[[#This Row],[Fecha]]='Ajuste de fechas'!$A$2,"Día actual","Día anterior")</f>
        <v>Día anterior</v>
      </c>
      <c r="C74" t="s">
        <v>52</v>
      </c>
      <c r="D74" t="s">
        <v>53</v>
      </c>
      <c r="E74" t="s">
        <v>108</v>
      </c>
      <c r="F74" t="s">
        <v>91</v>
      </c>
      <c r="G74" t="s">
        <v>89</v>
      </c>
      <c r="H74" t="s">
        <v>47</v>
      </c>
      <c r="I74" t="s">
        <v>7</v>
      </c>
      <c r="J74" t="s">
        <v>31</v>
      </c>
      <c r="K74" t="s">
        <v>74</v>
      </c>
      <c r="L74" t="s">
        <v>34</v>
      </c>
      <c r="M74">
        <v>1</v>
      </c>
    </row>
    <row r="75" spans="1:13" x14ac:dyDescent="0.25">
      <c r="A75" s="2">
        <v>46276</v>
      </c>
      <c r="B75" s="1" t="str">
        <f ca="1">IF(Información1[[#This Row],[Fecha]]='Ajuste de fechas'!$A$2,"Día actual","Día anterior")</f>
        <v>Día anterior</v>
      </c>
      <c r="C75" t="s">
        <v>52</v>
      </c>
      <c r="D75" t="s">
        <v>53</v>
      </c>
      <c r="E75" t="s">
        <v>208</v>
      </c>
      <c r="F75" t="s">
        <v>209</v>
      </c>
      <c r="G75" t="s">
        <v>210</v>
      </c>
      <c r="H75" t="s">
        <v>47</v>
      </c>
      <c r="I75" t="s">
        <v>7</v>
      </c>
      <c r="J75" t="s">
        <v>21</v>
      </c>
      <c r="K75" t="s">
        <v>55</v>
      </c>
      <c r="L75" t="s">
        <v>41</v>
      </c>
      <c r="M75">
        <v>1</v>
      </c>
    </row>
    <row r="76" spans="1:13" x14ac:dyDescent="0.25">
      <c r="A76" s="2">
        <v>46276</v>
      </c>
      <c r="B76" s="1" t="str">
        <f ca="1">IF(Información1[[#This Row],[Fecha]]='Ajuste de fechas'!$A$2,"Día actual","Día anterior")</f>
        <v>Día anterior</v>
      </c>
      <c r="C76" t="s">
        <v>52</v>
      </c>
      <c r="D76" t="s">
        <v>53</v>
      </c>
      <c r="E76" t="s">
        <v>211</v>
      </c>
      <c r="F76" t="s">
        <v>18</v>
      </c>
      <c r="G76" t="s">
        <v>212</v>
      </c>
      <c r="H76" t="s">
        <v>47</v>
      </c>
      <c r="I76" t="s">
        <v>7</v>
      </c>
      <c r="J76" t="s">
        <v>31</v>
      </c>
      <c r="K76" t="s">
        <v>55</v>
      </c>
      <c r="L76" t="s">
        <v>34</v>
      </c>
      <c r="M76">
        <v>1</v>
      </c>
    </row>
    <row r="77" spans="1:13" x14ac:dyDescent="0.25">
      <c r="A77" s="2">
        <v>46276</v>
      </c>
      <c r="B77" s="1" t="str">
        <f ca="1">IF(Información1[[#This Row],[Fecha]]='Ajuste de fechas'!$A$2,"Día actual","Día anterior")</f>
        <v>Día anterior</v>
      </c>
      <c r="C77" t="s">
        <v>52</v>
      </c>
      <c r="D77" t="s">
        <v>53</v>
      </c>
      <c r="E77" t="s">
        <v>213</v>
      </c>
      <c r="F77" t="s">
        <v>40</v>
      </c>
      <c r="G77" t="s">
        <v>101</v>
      </c>
      <c r="H77" t="s">
        <v>47</v>
      </c>
      <c r="I77" t="s">
        <v>7</v>
      </c>
      <c r="J77" t="s">
        <v>21</v>
      </c>
      <c r="K77" t="s">
        <v>63</v>
      </c>
      <c r="L77" t="s">
        <v>32</v>
      </c>
      <c r="M77">
        <v>1</v>
      </c>
    </row>
    <row r="78" spans="1:13" x14ac:dyDescent="0.25">
      <c r="A78" s="2">
        <v>46276</v>
      </c>
      <c r="B78" s="1" t="str">
        <f ca="1">IF(Información1[[#This Row],[Fecha]]='Ajuste de fechas'!$A$2,"Día actual","Día anterior")</f>
        <v>Día anterior</v>
      </c>
      <c r="C78" t="s">
        <v>52</v>
      </c>
      <c r="D78" t="s">
        <v>53</v>
      </c>
      <c r="E78" t="s">
        <v>214</v>
      </c>
      <c r="F78" t="s">
        <v>40</v>
      </c>
      <c r="G78" t="s">
        <v>101</v>
      </c>
      <c r="H78" t="s">
        <v>47</v>
      </c>
      <c r="I78" t="s">
        <v>7</v>
      </c>
      <c r="J78" t="s">
        <v>21</v>
      </c>
      <c r="K78" t="s">
        <v>74</v>
      </c>
      <c r="L78" t="s">
        <v>32</v>
      </c>
      <c r="M78">
        <v>1</v>
      </c>
    </row>
    <row r="79" spans="1:13" x14ac:dyDescent="0.25">
      <c r="A79" s="2">
        <v>46276</v>
      </c>
      <c r="B79" s="1" t="str">
        <f ca="1">IF(Información1[[#This Row],[Fecha]]='Ajuste de fechas'!$A$2,"Día actual","Día anterior")</f>
        <v>Día anterior</v>
      </c>
      <c r="C79" t="s">
        <v>52</v>
      </c>
      <c r="D79" t="s">
        <v>53</v>
      </c>
      <c r="E79" t="s">
        <v>215</v>
      </c>
      <c r="F79" t="s">
        <v>43</v>
      </c>
      <c r="G79" t="s">
        <v>216</v>
      </c>
      <c r="H79" t="s">
        <v>47</v>
      </c>
      <c r="I79" t="s">
        <v>7</v>
      </c>
      <c r="J79" t="s">
        <v>31</v>
      </c>
      <c r="K79" t="s">
        <v>55</v>
      </c>
      <c r="L79" t="s">
        <v>32</v>
      </c>
      <c r="M79">
        <v>1</v>
      </c>
    </row>
    <row r="80" spans="1:13" x14ac:dyDescent="0.25">
      <c r="A80" s="2">
        <v>46276</v>
      </c>
      <c r="B80" s="1" t="str">
        <f ca="1">IF(Información1[[#This Row],[Fecha]]='Ajuste de fechas'!$A$2,"Día actual","Día anterior")</f>
        <v>Día anterior</v>
      </c>
      <c r="C80" t="s">
        <v>52</v>
      </c>
      <c r="D80" t="s">
        <v>53</v>
      </c>
      <c r="E80" t="s">
        <v>217</v>
      </c>
      <c r="F80" t="s">
        <v>46</v>
      </c>
      <c r="G80" t="s">
        <v>218</v>
      </c>
      <c r="H80" t="s">
        <v>47</v>
      </c>
      <c r="I80" t="s">
        <v>22</v>
      </c>
      <c r="J80" t="s">
        <v>31</v>
      </c>
      <c r="K80" t="s">
        <v>63</v>
      </c>
      <c r="L80" t="s">
        <v>32</v>
      </c>
      <c r="M80">
        <v>1</v>
      </c>
    </row>
    <row r="81" spans="1:13" x14ac:dyDescent="0.25">
      <c r="A81" s="2">
        <v>46276</v>
      </c>
      <c r="B81" s="1" t="str">
        <f ca="1">IF(Información1[[#This Row],[Fecha]]='Ajuste de fechas'!$A$2,"Día actual","Día anterior")</f>
        <v>Día anterior</v>
      </c>
      <c r="C81" t="s">
        <v>52</v>
      </c>
      <c r="D81" t="s">
        <v>53</v>
      </c>
      <c r="E81" t="s">
        <v>219</v>
      </c>
      <c r="F81" t="s">
        <v>16</v>
      </c>
      <c r="G81" t="s">
        <v>79</v>
      </c>
      <c r="H81" t="s">
        <v>47</v>
      </c>
      <c r="I81" t="s">
        <v>7</v>
      </c>
      <c r="J81" t="s">
        <v>35</v>
      </c>
      <c r="K81" t="s">
        <v>74</v>
      </c>
      <c r="L81" t="s">
        <v>32</v>
      </c>
      <c r="M81">
        <v>1</v>
      </c>
    </row>
    <row r="82" spans="1:13" x14ac:dyDescent="0.25">
      <c r="A82" s="2">
        <v>46276</v>
      </c>
      <c r="B82" s="1" t="str">
        <f ca="1">IF(Información1[[#This Row],[Fecha]]='Ajuste de fechas'!$A$2,"Día actual","Día anterior")</f>
        <v>Día anterior</v>
      </c>
      <c r="C82" t="s">
        <v>52</v>
      </c>
      <c r="D82" t="s">
        <v>53</v>
      </c>
      <c r="E82" t="s">
        <v>220</v>
      </c>
      <c r="F82" t="s">
        <v>16</v>
      </c>
      <c r="G82" t="s">
        <v>221</v>
      </c>
      <c r="H82" t="s">
        <v>47</v>
      </c>
      <c r="I82" t="s">
        <v>7</v>
      </c>
      <c r="J82" t="s">
        <v>35</v>
      </c>
      <c r="K82" t="s">
        <v>74</v>
      </c>
      <c r="L82" t="s">
        <v>32</v>
      </c>
      <c r="M82">
        <v>1</v>
      </c>
    </row>
    <row r="83" spans="1:13" x14ac:dyDescent="0.25">
      <c r="A83" s="2">
        <v>46276</v>
      </c>
      <c r="B83" s="1" t="str">
        <f ca="1">IF(Información1[[#This Row],[Fecha]]='Ajuste de fechas'!$A$2,"Día actual","Día anterior")</f>
        <v>Día anterior</v>
      </c>
      <c r="C83" t="s">
        <v>56</v>
      </c>
      <c r="D83" t="s">
        <v>57</v>
      </c>
      <c r="E83" t="s">
        <v>222</v>
      </c>
      <c r="F83" t="s">
        <v>92</v>
      </c>
      <c r="G83" t="s">
        <v>196</v>
      </c>
      <c r="H83" t="s">
        <v>59</v>
      </c>
      <c r="I83" t="s">
        <v>7</v>
      </c>
      <c r="J83" t="s">
        <v>93</v>
      </c>
      <c r="K83" t="s">
        <v>61</v>
      </c>
      <c r="L83" t="s">
        <v>32</v>
      </c>
      <c r="M83">
        <v>1</v>
      </c>
    </row>
    <row r="84" spans="1:13" x14ac:dyDescent="0.25">
      <c r="A84" s="2">
        <v>46276</v>
      </c>
      <c r="B84" s="1" t="str">
        <f ca="1">IF(Información1[[#This Row],[Fecha]]='Ajuste de fechas'!$A$2,"Día actual","Día anterior")</f>
        <v>Día anterior</v>
      </c>
      <c r="C84" t="s">
        <v>56</v>
      </c>
      <c r="D84" t="s">
        <v>57</v>
      </c>
      <c r="E84" t="s">
        <v>223</v>
      </c>
      <c r="F84" t="s">
        <v>16</v>
      </c>
      <c r="G84" t="s">
        <v>79</v>
      </c>
      <c r="H84" t="s">
        <v>59</v>
      </c>
      <c r="I84" t="s">
        <v>11</v>
      </c>
      <c r="J84" t="s">
        <v>35</v>
      </c>
      <c r="K84" t="s">
        <v>81</v>
      </c>
      <c r="L84" t="s">
        <v>67</v>
      </c>
      <c r="M84">
        <v>1</v>
      </c>
    </row>
    <row r="85" spans="1:13" x14ac:dyDescent="0.25">
      <c r="A85" s="2">
        <v>46276</v>
      </c>
      <c r="B85" s="1" t="str">
        <f ca="1">IF(Información1[[#This Row],[Fecha]]='Ajuste de fechas'!$A$2,"Día actual","Día anterior")</f>
        <v>Día anterior</v>
      </c>
      <c r="C85" t="s">
        <v>56</v>
      </c>
      <c r="D85" t="s">
        <v>57</v>
      </c>
      <c r="E85" t="s">
        <v>224</v>
      </c>
      <c r="F85" t="s">
        <v>16</v>
      </c>
      <c r="G85" t="s">
        <v>84</v>
      </c>
      <c r="H85" t="s">
        <v>59</v>
      </c>
      <c r="I85" t="s">
        <v>22</v>
      </c>
      <c r="J85" t="s">
        <v>35</v>
      </c>
      <c r="K85" t="s">
        <v>61</v>
      </c>
      <c r="L85" t="s">
        <v>32</v>
      </c>
      <c r="M85">
        <v>1</v>
      </c>
    </row>
    <row r="86" spans="1:13" x14ac:dyDescent="0.25">
      <c r="A86" s="2">
        <v>46276</v>
      </c>
      <c r="B86" s="1" t="str">
        <f ca="1">IF(Información1[[#This Row],[Fecha]]='Ajuste de fechas'!$A$2,"Día actual","Día anterior")</f>
        <v>Día anterior</v>
      </c>
      <c r="C86" t="s">
        <v>56</v>
      </c>
      <c r="D86" t="s">
        <v>57</v>
      </c>
      <c r="E86" t="s">
        <v>225</v>
      </c>
      <c r="F86" t="s">
        <v>6</v>
      </c>
      <c r="G86" t="s">
        <v>90</v>
      </c>
      <c r="H86" t="s">
        <v>59</v>
      </c>
      <c r="I86" t="s">
        <v>11</v>
      </c>
      <c r="J86" t="s">
        <v>31</v>
      </c>
      <c r="K86" t="s">
        <v>61</v>
      </c>
      <c r="L86" t="s">
        <v>33</v>
      </c>
      <c r="M86">
        <v>1</v>
      </c>
    </row>
    <row r="87" spans="1:13" x14ac:dyDescent="0.25">
      <c r="A87" s="2">
        <v>46276</v>
      </c>
      <c r="B87" s="1" t="str">
        <f ca="1">IF(Información1[[#This Row],[Fecha]]='Ajuste de fechas'!$A$2,"Día actual","Día anterior")</f>
        <v>Día anterior</v>
      </c>
      <c r="C87" t="s">
        <v>56</v>
      </c>
      <c r="D87" t="s">
        <v>57</v>
      </c>
      <c r="E87" t="s">
        <v>226</v>
      </c>
      <c r="F87" t="s">
        <v>16</v>
      </c>
      <c r="G87" t="s">
        <v>79</v>
      </c>
      <c r="H87" t="s">
        <v>59</v>
      </c>
      <c r="I87" t="s">
        <v>22</v>
      </c>
      <c r="J87" t="s">
        <v>35</v>
      </c>
      <c r="K87" t="s">
        <v>61</v>
      </c>
      <c r="L87" t="s">
        <v>32</v>
      </c>
      <c r="M87">
        <v>1</v>
      </c>
    </row>
    <row r="88" spans="1:13" x14ac:dyDescent="0.25">
      <c r="A88" s="2">
        <v>46276</v>
      </c>
      <c r="B88" s="1" t="str">
        <f ca="1">IF(Información1[[#This Row],[Fecha]]='Ajuste de fechas'!$A$2,"Día actual","Día anterior")</f>
        <v>Día anterior</v>
      </c>
      <c r="C88" t="s">
        <v>56</v>
      </c>
      <c r="D88" t="s">
        <v>57</v>
      </c>
      <c r="E88" t="s">
        <v>227</v>
      </c>
      <c r="F88" t="s">
        <v>43</v>
      </c>
      <c r="G88" t="s">
        <v>216</v>
      </c>
      <c r="H88" t="s">
        <v>59</v>
      </c>
      <c r="I88" t="s">
        <v>11</v>
      </c>
      <c r="J88" t="s">
        <v>31</v>
      </c>
      <c r="K88" t="s">
        <v>61</v>
      </c>
      <c r="L88" t="s">
        <v>32</v>
      </c>
      <c r="M88">
        <v>1</v>
      </c>
    </row>
    <row r="89" spans="1:13" x14ac:dyDescent="0.25">
      <c r="A89" s="2">
        <v>46279</v>
      </c>
      <c r="B89" s="1" t="str">
        <f ca="1">IF(Información1[[#This Row],[Fecha]]='Ajuste de fechas'!$A$2,"Día actual","Día anterior")</f>
        <v>Día actual</v>
      </c>
      <c r="C89" t="s">
        <v>56</v>
      </c>
      <c r="D89" t="s">
        <v>57</v>
      </c>
      <c r="E89" t="s">
        <v>228</v>
      </c>
      <c r="F89" t="s">
        <v>19</v>
      </c>
      <c r="G89" t="s">
        <v>172</v>
      </c>
      <c r="H89" t="s">
        <v>59</v>
      </c>
      <c r="I89" t="s">
        <v>22</v>
      </c>
      <c r="J89" t="s">
        <v>36</v>
      </c>
      <c r="K89" t="s">
        <v>61</v>
      </c>
      <c r="L89" t="s">
        <v>33</v>
      </c>
      <c r="M89">
        <v>1</v>
      </c>
    </row>
    <row r="90" spans="1:13" x14ac:dyDescent="0.25">
      <c r="A90" s="2">
        <v>46279</v>
      </c>
      <c r="B90" s="1" t="str">
        <f ca="1">IF(Información1[[#This Row],[Fecha]]='Ajuste de fechas'!$A$2,"Día actual","Día anterior")</f>
        <v>Día actual</v>
      </c>
      <c r="C90" t="s">
        <v>56</v>
      </c>
      <c r="D90" t="s">
        <v>57</v>
      </c>
      <c r="E90" t="s">
        <v>229</v>
      </c>
      <c r="F90" t="s">
        <v>20</v>
      </c>
      <c r="G90" t="s">
        <v>172</v>
      </c>
      <c r="H90" t="s">
        <v>59</v>
      </c>
      <c r="I90" t="s">
        <v>22</v>
      </c>
      <c r="J90" t="s">
        <v>31</v>
      </c>
      <c r="K90" t="s">
        <v>230</v>
      </c>
      <c r="L90" t="s">
        <v>33</v>
      </c>
      <c r="M90">
        <v>1</v>
      </c>
    </row>
    <row r="91" spans="1:13" x14ac:dyDescent="0.25">
      <c r="A91" s="2">
        <v>46279</v>
      </c>
      <c r="B91" s="1" t="str">
        <f ca="1">IF(Información1[[#This Row],[Fecha]]='Ajuste de fechas'!$A$2,"Día actual","Día anterior")</f>
        <v>Día actual</v>
      </c>
      <c r="C91" t="s">
        <v>56</v>
      </c>
      <c r="D91" t="s">
        <v>57</v>
      </c>
      <c r="E91" t="s">
        <v>231</v>
      </c>
      <c r="F91" t="s">
        <v>94</v>
      </c>
      <c r="G91" t="s">
        <v>232</v>
      </c>
      <c r="H91" t="s">
        <v>59</v>
      </c>
      <c r="I91" t="s">
        <v>22</v>
      </c>
      <c r="J91" t="s">
        <v>93</v>
      </c>
      <c r="K91" t="s">
        <v>230</v>
      </c>
      <c r="L91" t="s">
        <v>33</v>
      </c>
      <c r="M91">
        <v>1</v>
      </c>
    </row>
    <row r="92" spans="1:13" x14ac:dyDescent="0.25">
      <c r="A92" s="2">
        <v>46279</v>
      </c>
      <c r="B92" s="1" t="str">
        <f ca="1">IF(Información1[[#This Row],[Fecha]]='Ajuste de fechas'!$A$2,"Día actual","Día anterior")</f>
        <v>Día actual</v>
      </c>
      <c r="C92" t="s">
        <v>56</v>
      </c>
      <c r="D92" t="s">
        <v>57</v>
      </c>
      <c r="E92" t="s">
        <v>233</v>
      </c>
      <c r="F92" t="s">
        <v>234</v>
      </c>
      <c r="G92" t="s">
        <v>235</v>
      </c>
      <c r="H92" t="s">
        <v>59</v>
      </c>
      <c r="I92" t="s">
        <v>7</v>
      </c>
      <c r="J92" t="s">
        <v>93</v>
      </c>
      <c r="K92" t="s">
        <v>230</v>
      </c>
      <c r="L92" t="s">
        <v>33</v>
      </c>
      <c r="M92">
        <v>1</v>
      </c>
    </row>
    <row r="93" spans="1:13" x14ac:dyDescent="0.25">
      <c r="A93" s="2">
        <v>46279</v>
      </c>
      <c r="B93" s="1" t="str">
        <f ca="1">IF(Información1[[#This Row],[Fecha]]='Ajuste de fechas'!$A$2,"Día actual","Día anterior")</f>
        <v>Día actual</v>
      </c>
      <c r="C93" t="s">
        <v>56</v>
      </c>
      <c r="D93" t="s">
        <v>57</v>
      </c>
      <c r="E93" t="s">
        <v>236</v>
      </c>
      <c r="F93" t="s">
        <v>237</v>
      </c>
      <c r="G93" t="s">
        <v>238</v>
      </c>
      <c r="H93" t="s">
        <v>59</v>
      </c>
      <c r="I93" t="s">
        <v>7</v>
      </c>
      <c r="J93" t="s">
        <v>93</v>
      </c>
      <c r="K93" t="s">
        <v>230</v>
      </c>
      <c r="L93" t="s">
        <v>33</v>
      </c>
      <c r="M93">
        <v>1</v>
      </c>
    </row>
    <row r="94" spans="1:13" x14ac:dyDescent="0.25">
      <c r="A94" s="2">
        <v>46279</v>
      </c>
      <c r="B94" s="1" t="str">
        <f ca="1">IF(Información1[[#This Row],[Fecha]]='Ajuste de fechas'!$A$2,"Día actual","Día anterior")</f>
        <v>Día actual</v>
      </c>
      <c r="C94" t="s">
        <v>56</v>
      </c>
      <c r="D94" t="s">
        <v>57</v>
      </c>
      <c r="E94" t="s">
        <v>239</v>
      </c>
      <c r="F94" t="s">
        <v>40</v>
      </c>
      <c r="G94" t="s">
        <v>240</v>
      </c>
      <c r="H94" t="s">
        <v>59</v>
      </c>
      <c r="I94" t="s">
        <v>22</v>
      </c>
      <c r="J94" t="s">
        <v>21</v>
      </c>
      <c r="K94" t="s">
        <v>230</v>
      </c>
      <c r="L94" t="s">
        <v>33</v>
      </c>
      <c r="M94">
        <v>1</v>
      </c>
    </row>
    <row r="95" spans="1:13" x14ac:dyDescent="0.25">
      <c r="A95" s="2">
        <v>46279</v>
      </c>
      <c r="B95" s="1" t="str">
        <f ca="1">IF(Información1[[#This Row],[Fecha]]='Ajuste de fechas'!$A$2,"Día actual","Día anterior")</f>
        <v>Día actual</v>
      </c>
      <c r="C95" t="s">
        <v>56</v>
      </c>
      <c r="D95" t="s">
        <v>57</v>
      </c>
      <c r="E95" t="s">
        <v>241</v>
      </c>
      <c r="F95" t="s">
        <v>40</v>
      </c>
      <c r="G95" t="s">
        <v>82</v>
      </c>
      <c r="H95" t="s">
        <v>59</v>
      </c>
      <c r="I95" t="s">
        <v>22</v>
      </c>
      <c r="J95" t="s">
        <v>21</v>
      </c>
      <c r="K95" t="s">
        <v>230</v>
      </c>
      <c r="L95" t="s">
        <v>33</v>
      </c>
      <c r="M95">
        <v>1</v>
      </c>
    </row>
    <row r="96" spans="1:13" x14ac:dyDescent="0.25">
      <c r="A96" s="2">
        <v>46279</v>
      </c>
      <c r="B96" s="1" t="str">
        <f ca="1">IF(Información1[[#This Row],[Fecha]]='Ajuste de fechas'!$A$2,"Día actual","Día anterior")</f>
        <v>Día actual</v>
      </c>
      <c r="C96" t="s">
        <v>56</v>
      </c>
      <c r="D96" t="s">
        <v>57</v>
      </c>
      <c r="E96" t="s">
        <v>242</v>
      </c>
      <c r="F96" t="s">
        <v>237</v>
      </c>
      <c r="G96" t="s">
        <v>238</v>
      </c>
      <c r="H96" t="s">
        <v>59</v>
      </c>
      <c r="I96" t="s">
        <v>7</v>
      </c>
      <c r="J96" t="s">
        <v>93</v>
      </c>
      <c r="K96" t="s">
        <v>61</v>
      </c>
      <c r="L96" t="s">
        <v>32</v>
      </c>
      <c r="M96">
        <v>1</v>
      </c>
    </row>
    <row r="97" spans="1:13" x14ac:dyDescent="0.25">
      <c r="A97" s="2">
        <v>46279</v>
      </c>
      <c r="B97" s="1" t="str">
        <f ca="1">IF(Información1[[#This Row],[Fecha]]='Ajuste de fechas'!$A$2,"Día actual","Día anterior")</f>
        <v>Día actual</v>
      </c>
      <c r="C97" t="s">
        <v>56</v>
      </c>
      <c r="D97" t="s">
        <v>57</v>
      </c>
      <c r="E97" t="s">
        <v>243</v>
      </c>
      <c r="F97" t="s">
        <v>40</v>
      </c>
      <c r="G97" t="s">
        <v>82</v>
      </c>
      <c r="H97" t="s">
        <v>59</v>
      </c>
      <c r="I97" t="s">
        <v>22</v>
      </c>
      <c r="J97" t="s">
        <v>21</v>
      </c>
      <c r="K97" t="s">
        <v>61</v>
      </c>
      <c r="L97" t="s">
        <v>33</v>
      </c>
      <c r="M97">
        <v>1</v>
      </c>
    </row>
    <row r="98" spans="1:13" x14ac:dyDescent="0.25">
      <c r="A98" s="2">
        <v>46279</v>
      </c>
      <c r="B98" s="1" t="str">
        <f ca="1">IF(Información1[[#This Row],[Fecha]]='Ajuste de fechas'!$A$2,"Día actual","Día anterior")</f>
        <v>Día actual</v>
      </c>
      <c r="C98" t="s">
        <v>56</v>
      </c>
      <c r="D98" t="s">
        <v>57</v>
      </c>
      <c r="E98" t="s">
        <v>244</v>
      </c>
      <c r="F98" t="s">
        <v>43</v>
      </c>
      <c r="G98" t="s">
        <v>172</v>
      </c>
      <c r="H98" t="s">
        <v>59</v>
      </c>
      <c r="I98" t="s">
        <v>11</v>
      </c>
      <c r="J98" t="s">
        <v>31</v>
      </c>
      <c r="K98" t="s">
        <v>61</v>
      </c>
      <c r="L98" t="s">
        <v>32</v>
      </c>
      <c r="M98">
        <v>1</v>
      </c>
    </row>
    <row r="99" spans="1:13" x14ac:dyDescent="0.25">
      <c r="A99" s="2">
        <v>46279</v>
      </c>
      <c r="B99" s="1" t="str">
        <f ca="1">IF(Información1[[#This Row],[Fecha]]='Ajuste de fechas'!$A$2,"Día actual","Día anterior")</f>
        <v>Día actual</v>
      </c>
      <c r="C99" t="s">
        <v>56</v>
      </c>
      <c r="D99" t="s">
        <v>57</v>
      </c>
      <c r="E99" t="s">
        <v>245</v>
      </c>
      <c r="F99" t="s">
        <v>23</v>
      </c>
      <c r="G99" t="s">
        <v>167</v>
      </c>
      <c r="H99" t="s">
        <v>59</v>
      </c>
      <c r="I99" t="s">
        <v>7</v>
      </c>
      <c r="J99" t="s">
        <v>31</v>
      </c>
      <c r="K99" t="s">
        <v>61</v>
      </c>
      <c r="L99" t="s">
        <v>34</v>
      </c>
      <c r="M99">
        <v>1</v>
      </c>
    </row>
    <row r="100" spans="1:13" x14ac:dyDescent="0.25">
      <c r="A100" s="2">
        <v>46279</v>
      </c>
      <c r="B100" s="1" t="str">
        <f ca="1">IF(Información1[[#This Row],[Fecha]]='Ajuste de fechas'!$A$2,"Día actual","Día anterior")</f>
        <v>Día actual</v>
      </c>
      <c r="C100" t="s">
        <v>56</v>
      </c>
      <c r="D100" t="s">
        <v>57</v>
      </c>
      <c r="E100" t="s">
        <v>246</v>
      </c>
      <c r="F100" t="s">
        <v>16</v>
      </c>
      <c r="G100" t="s">
        <v>247</v>
      </c>
      <c r="H100" t="s">
        <v>59</v>
      </c>
      <c r="I100" t="s">
        <v>22</v>
      </c>
      <c r="J100" t="s">
        <v>35</v>
      </c>
      <c r="K100" t="s">
        <v>61</v>
      </c>
      <c r="L100" t="s">
        <v>32</v>
      </c>
      <c r="M100">
        <v>1</v>
      </c>
    </row>
    <row r="101" spans="1:13" x14ac:dyDescent="0.25">
      <c r="A101" s="2">
        <v>46279</v>
      </c>
      <c r="B101" s="1" t="str">
        <f ca="1">IF(Información1[[#This Row],[Fecha]]='Ajuste de fechas'!$A$2,"Día actual","Día anterior")</f>
        <v>Día actual</v>
      </c>
      <c r="C101" t="s">
        <v>56</v>
      </c>
      <c r="D101" t="s">
        <v>57</v>
      </c>
      <c r="E101" t="s">
        <v>248</v>
      </c>
      <c r="F101" t="s">
        <v>234</v>
      </c>
      <c r="G101" t="s">
        <v>235</v>
      </c>
      <c r="H101" t="s">
        <v>59</v>
      </c>
      <c r="I101" t="s">
        <v>7</v>
      </c>
      <c r="J101" t="s">
        <v>93</v>
      </c>
      <c r="K101" t="s">
        <v>61</v>
      </c>
      <c r="L101" t="s">
        <v>32</v>
      </c>
      <c r="M101">
        <v>1</v>
      </c>
    </row>
    <row r="102" spans="1:13" x14ac:dyDescent="0.25">
      <c r="A102" s="2">
        <v>46279</v>
      </c>
      <c r="B102" s="1" t="str">
        <f ca="1">IF(Información1[[#This Row],[Fecha]]='Ajuste de fechas'!$A$2,"Día actual","Día anterior")</f>
        <v>Día actual</v>
      </c>
      <c r="C102" t="s">
        <v>56</v>
      </c>
      <c r="D102" t="s">
        <v>57</v>
      </c>
      <c r="E102" t="s">
        <v>249</v>
      </c>
      <c r="F102" t="s">
        <v>14</v>
      </c>
      <c r="G102" t="s">
        <v>250</v>
      </c>
      <c r="H102" t="s">
        <v>59</v>
      </c>
      <c r="I102" t="s">
        <v>7</v>
      </c>
      <c r="J102" t="s">
        <v>31</v>
      </c>
      <c r="K102" t="s">
        <v>60</v>
      </c>
      <c r="L102" t="s">
        <v>32</v>
      </c>
      <c r="M102">
        <v>1</v>
      </c>
    </row>
    <row r="103" spans="1:13" x14ac:dyDescent="0.25">
      <c r="A103" s="2">
        <v>46279</v>
      </c>
      <c r="B103" s="1" t="str">
        <f ca="1">IF(Información1[[#This Row],[Fecha]]='Ajuste de fechas'!$A$2,"Día actual","Día anterior")</f>
        <v>Día actual</v>
      </c>
      <c r="C103" t="s">
        <v>52</v>
      </c>
      <c r="D103" t="s">
        <v>53</v>
      </c>
      <c r="E103" t="s">
        <v>251</v>
      </c>
      <c r="F103" t="s">
        <v>16</v>
      </c>
      <c r="G103" t="s">
        <v>252</v>
      </c>
      <c r="H103" t="s">
        <v>47</v>
      </c>
      <c r="I103" t="s">
        <v>7</v>
      </c>
      <c r="J103" t="s">
        <v>35</v>
      </c>
      <c r="K103" t="s">
        <v>55</v>
      </c>
      <c r="L103" t="s">
        <v>32</v>
      </c>
      <c r="M103">
        <v>1</v>
      </c>
    </row>
    <row r="104" spans="1:13" x14ac:dyDescent="0.25">
      <c r="A104" s="2">
        <v>46279</v>
      </c>
      <c r="B104" s="1" t="str">
        <f ca="1">IF(Información1[[#This Row],[Fecha]]='Ajuste de fechas'!$A$2,"Día actual","Día anterior")</f>
        <v>Día actual</v>
      </c>
      <c r="C104" t="s">
        <v>52</v>
      </c>
      <c r="D104" t="s">
        <v>53</v>
      </c>
      <c r="E104" t="s">
        <v>253</v>
      </c>
      <c r="F104" t="s">
        <v>20</v>
      </c>
      <c r="G104" t="s">
        <v>73</v>
      </c>
      <c r="H104" t="s">
        <v>47</v>
      </c>
      <c r="I104" t="s">
        <v>7</v>
      </c>
      <c r="J104" t="s">
        <v>31</v>
      </c>
      <c r="K104" t="s">
        <v>74</v>
      </c>
      <c r="L104" t="s">
        <v>34</v>
      </c>
      <c r="M104">
        <v>1</v>
      </c>
    </row>
    <row r="105" spans="1:13" x14ac:dyDescent="0.25">
      <c r="A105" s="2">
        <v>46279</v>
      </c>
      <c r="B105" s="1" t="str">
        <f ca="1">IF(Información1[[#This Row],[Fecha]]='Ajuste de fechas'!$A$2,"Día actual","Día anterior")</f>
        <v>Día actual</v>
      </c>
      <c r="C105" t="s">
        <v>52</v>
      </c>
      <c r="D105" t="s">
        <v>53</v>
      </c>
      <c r="E105" t="s">
        <v>254</v>
      </c>
      <c r="F105" t="s">
        <v>16</v>
      </c>
      <c r="G105" t="s">
        <v>65</v>
      </c>
      <c r="H105" t="s">
        <v>47</v>
      </c>
      <c r="I105" t="s">
        <v>7</v>
      </c>
      <c r="J105" t="s">
        <v>35</v>
      </c>
      <c r="K105" t="s">
        <v>63</v>
      </c>
      <c r="L105" t="s">
        <v>32</v>
      </c>
      <c r="M105">
        <v>1</v>
      </c>
    </row>
    <row r="106" spans="1:13" x14ac:dyDescent="0.25">
      <c r="A106" s="2">
        <v>46279</v>
      </c>
      <c r="B106" s="1" t="str">
        <f ca="1">IF(Información1[[#This Row],[Fecha]]='Ajuste de fechas'!$A$2,"Día actual","Día anterior")</f>
        <v>Día actual</v>
      </c>
      <c r="C106" t="s">
        <v>52</v>
      </c>
      <c r="D106" t="s">
        <v>53</v>
      </c>
      <c r="E106" t="s">
        <v>255</v>
      </c>
      <c r="F106" t="s">
        <v>16</v>
      </c>
      <c r="G106" t="s">
        <v>65</v>
      </c>
      <c r="H106" t="s">
        <v>47</v>
      </c>
      <c r="I106" t="s">
        <v>7</v>
      </c>
      <c r="J106" t="s">
        <v>35</v>
      </c>
      <c r="K106" t="s">
        <v>74</v>
      </c>
      <c r="L106" t="s">
        <v>32</v>
      </c>
      <c r="M106">
        <v>1</v>
      </c>
    </row>
    <row r="107" spans="1:13" x14ac:dyDescent="0.25">
      <c r="A107" s="2">
        <v>46279</v>
      </c>
      <c r="B107" s="1" t="str">
        <f ca="1">IF(Información1[[#This Row],[Fecha]]='Ajuste de fechas'!$A$2,"Día actual","Día anterior")</f>
        <v>Día actual</v>
      </c>
      <c r="C107" t="s">
        <v>52</v>
      </c>
      <c r="D107" t="s">
        <v>53</v>
      </c>
      <c r="E107" t="s">
        <v>256</v>
      </c>
      <c r="F107" t="s">
        <v>14</v>
      </c>
      <c r="G107" t="s">
        <v>250</v>
      </c>
      <c r="H107" t="s">
        <v>47</v>
      </c>
      <c r="I107" t="s">
        <v>7</v>
      </c>
      <c r="J107" t="s">
        <v>31</v>
      </c>
      <c r="K107" t="s">
        <v>63</v>
      </c>
      <c r="L107" t="s">
        <v>32</v>
      </c>
      <c r="M107">
        <v>1</v>
      </c>
    </row>
    <row r="108" spans="1:13" x14ac:dyDescent="0.25">
      <c r="A108" s="2">
        <v>46279</v>
      </c>
      <c r="B108" s="1" t="str">
        <f ca="1">IF(Información1[[#This Row],[Fecha]]='Ajuste de fechas'!$A$2,"Día actual","Día anterior")</f>
        <v>Día actual</v>
      </c>
      <c r="C108" t="s">
        <v>52</v>
      </c>
      <c r="D108" t="s">
        <v>53</v>
      </c>
      <c r="E108" t="s">
        <v>257</v>
      </c>
      <c r="F108" t="s">
        <v>71</v>
      </c>
      <c r="G108" t="s">
        <v>247</v>
      </c>
      <c r="H108" t="s">
        <v>47</v>
      </c>
      <c r="I108" t="s">
        <v>22</v>
      </c>
      <c r="J108" t="s">
        <v>31</v>
      </c>
      <c r="K108" t="s">
        <v>74</v>
      </c>
      <c r="L108" t="s">
        <v>32</v>
      </c>
      <c r="M108">
        <v>1</v>
      </c>
    </row>
    <row r="109" spans="1:13" x14ac:dyDescent="0.25">
      <c r="A109" s="2">
        <v>46279</v>
      </c>
      <c r="B109" s="1" t="str">
        <f ca="1">IF(Información1[[#This Row],[Fecha]]='Ajuste de fechas'!$A$2,"Día actual","Día anterior")</f>
        <v>Día actual</v>
      </c>
      <c r="C109" t="s">
        <v>52</v>
      </c>
      <c r="D109" t="s">
        <v>53</v>
      </c>
      <c r="E109" t="s">
        <v>258</v>
      </c>
      <c r="F109" t="s">
        <v>71</v>
      </c>
      <c r="G109" t="s">
        <v>247</v>
      </c>
      <c r="H109" t="s">
        <v>47</v>
      </c>
      <c r="I109" t="s">
        <v>22</v>
      </c>
      <c r="J109" t="s">
        <v>31</v>
      </c>
      <c r="K109" t="s">
        <v>74</v>
      </c>
      <c r="L109" t="s">
        <v>32</v>
      </c>
      <c r="M109">
        <v>1</v>
      </c>
    </row>
    <row r="110" spans="1:13" x14ac:dyDescent="0.25">
      <c r="A110" s="2">
        <v>46279</v>
      </c>
      <c r="B110" s="1" t="str">
        <f ca="1">IF(Información1[[#This Row],[Fecha]]='Ajuste de fechas'!$A$2,"Día actual","Día anterior")</f>
        <v>Día actual</v>
      </c>
      <c r="C110" t="s">
        <v>52</v>
      </c>
      <c r="D110" t="s">
        <v>53</v>
      </c>
      <c r="E110" t="s">
        <v>259</v>
      </c>
      <c r="F110" t="s">
        <v>6</v>
      </c>
      <c r="G110" t="s">
        <v>260</v>
      </c>
      <c r="H110" t="s">
        <v>47</v>
      </c>
      <c r="I110" t="s">
        <v>7</v>
      </c>
      <c r="J110" t="s">
        <v>31</v>
      </c>
      <c r="K110" t="s">
        <v>9</v>
      </c>
      <c r="L110" t="s">
        <v>33</v>
      </c>
      <c r="M110">
        <v>1</v>
      </c>
    </row>
    <row r="111" spans="1:13" x14ac:dyDescent="0.25">
      <c r="A111" s="2">
        <v>46279</v>
      </c>
      <c r="B111" s="1" t="str">
        <f ca="1">IF(Información1[[#This Row],[Fecha]]='Ajuste de fechas'!$A$2,"Día actual","Día anterior")</f>
        <v>Día actual</v>
      </c>
      <c r="C111" t="s">
        <v>52</v>
      </c>
      <c r="D111" t="s">
        <v>53</v>
      </c>
      <c r="E111" t="s">
        <v>261</v>
      </c>
      <c r="F111" t="s">
        <v>18</v>
      </c>
      <c r="G111" t="s">
        <v>87</v>
      </c>
      <c r="H111" t="s">
        <v>47</v>
      </c>
      <c r="I111" t="s">
        <v>11</v>
      </c>
      <c r="J111" t="s">
        <v>31</v>
      </c>
      <c r="K111" t="s">
        <v>55</v>
      </c>
      <c r="L111" t="s">
        <v>33</v>
      </c>
      <c r="M111">
        <v>1</v>
      </c>
    </row>
    <row r="112" spans="1:13" x14ac:dyDescent="0.25">
      <c r="A112" s="2">
        <v>46279</v>
      </c>
      <c r="B112" s="1" t="str">
        <f ca="1">IF(Información1[[#This Row],[Fecha]]='Ajuste de fechas'!$A$2,"Día actual","Día anterior")</f>
        <v>Día actual</v>
      </c>
      <c r="C112" t="s">
        <v>52</v>
      </c>
      <c r="D112" t="s">
        <v>53</v>
      </c>
      <c r="E112" t="s">
        <v>262</v>
      </c>
      <c r="F112" t="s">
        <v>19</v>
      </c>
      <c r="G112" t="s">
        <v>172</v>
      </c>
      <c r="H112" t="s">
        <v>47</v>
      </c>
      <c r="I112" t="s">
        <v>22</v>
      </c>
      <c r="J112" t="s">
        <v>36</v>
      </c>
      <c r="K112" t="s">
        <v>55</v>
      </c>
      <c r="L112" t="s">
        <v>32</v>
      </c>
      <c r="M112">
        <v>1</v>
      </c>
    </row>
    <row r="113" spans="1:13" x14ac:dyDescent="0.25">
      <c r="A113" s="2">
        <v>46279</v>
      </c>
      <c r="B113" s="1" t="str">
        <f ca="1">IF(Información1[[#This Row],[Fecha]]='Ajuste de fechas'!$A$2,"Día actual","Día anterior")</f>
        <v>Día actual</v>
      </c>
      <c r="C113" t="s">
        <v>52</v>
      </c>
      <c r="D113" t="s">
        <v>53</v>
      </c>
      <c r="E113" t="s">
        <v>263</v>
      </c>
      <c r="F113" t="s">
        <v>58</v>
      </c>
      <c r="G113" t="s">
        <v>95</v>
      </c>
      <c r="H113" t="s">
        <v>47</v>
      </c>
      <c r="I113" t="s">
        <v>22</v>
      </c>
      <c r="J113" t="s">
        <v>31</v>
      </c>
      <c r="K113" t="s">
        <v>55</v>
      </c>
      <c r="L113" t="s">
        <v>33</v>
      </c>
      <c r="M113">
        <v>1</v>
      </c>
    </row>
    <row r="114" spans="1:13" x14ac:dyDescent="0.25">
      <c r="A114" s="2">
        <v>46279</v>
      </c>
      <c r="B114" s="1" t="str">
        <f ca="1">IF(Información1[[#This Row],[Fecha]]='Ajuste de fechas'!$A$2,"Día actual","Día anterior")</f>
        <v>Día actual</v>
      </c>
      <c r="C114" t="s">
        <v>52</v>
      </c>
      <c r="D114" t="s">
        <v>53</v>
      </c>
      <c r="E114" t="s">
        <v>264</v>
      </c>
      <c r="F114" t="s">
        <v>58</v>
      </c>
      <c r="G114" t="s">
        <v>95</v>
      </c>
      <c r="H114" t="s">
        <v>47</v>
      </c>
      <c r="I114" t="s">
        <v>22</v>
      </c>
      <c r="J114" t="s">
        <v>31</v>
      </c>
      <c r="K114" t="s">
        <v>55</v>
      </c>
      <c r="L114" t="s">
        <v>33</v>
      </c>
      <c r="M114">
        <v>1</v>
      </c>
    </row>
    <row r="115" spans="1:13" x14ac:dyDescent="0.25">
      <c r="A115" s="2">
        <v>46279</v>
      </c>
      <c r="B115" s="1" t="str">
        <f ca="1">IF(Información1[[#This Row],[Fecha]]='Ajuste de fechas'!$A$2,"Día actual","Día anterior")</f>
        <v>Día actual</v>
      </c>
      <c r="C115" t="s">
        <v>52</v>
      </c>
      <c r="D115" t="s">
        <v>53</v>
      </c>
      <c r="E115" t="s">
        <v>265</v>
      </c>
      <c r="F115" t="s">
        <v>16</v>
      </c>
      <c r="G115" t="s">
        <v>45</v>
      </c>
      <c r="H115" t="s">
        <v>47</v>
      </c>
      <c r="I115" t="s">
        <v>22</v>
      </c>
      <c r="J115" t="s">
        <v>35</v>
      </c>
      <c r="K115" t="s">
        <v>9</v>
      </c>
      <c r="L115" t="s">
        <v>33</v>
      </c>
      <c r="M115">
        <v>1</v>
      </c>
    </row>
    <row r="116" spans="1:13" x14ac:dyDescent="0.25">
      <c r="A116" s="2">
        <v>46279</v>
      </c>
      <c r="B116" s="1" t="str">
        <f ca="1">IF(Información1[[#This Row],[Fecha]]='Ajuste de fechas'!$A$2,"Día actual","Día anterior")</f>
        <v>Día actual</v>
      </c>
      <c r="C116" t="s">
        <v>52</v>
      </c>
      <c r="D116" t="s">
        <v>53</v>
      </c>
      <c r="E116" t="s">
        <v>266</v>
      </c>
      <c r="F116" t="s">
        <v>16</v>
      </c>
      <c r="G116" t="s">
        <v>267</v>
      </c>
      <c r="H116" t="s">
        <v>47</v>
      </c>
      <c r="I116" t="s">
        <v>7</v>
      </c>
      <c r="J116" t="s">
        <v>35</v>
      </c>
      <c r="K116" t="s">
        <v>55</v>
      </c>
      <c r="L116" t="s">
        <v>32</v>
      </c>
      <c r="M116">
        <v>1</v>
      </c>
    </row>
    <row r="117" spans="1:13" x14ac:dyDescent="0.25">
      <c r="A117" s="2">
        <v>46279</v>
      </c>
      <c r="B117" s="1" t="str">
        <f ca="1">IF(Información1[[#This Row],[Fecha]]='Ajuste de fechas'!$A$2,"Día actual","Día anterior")</f>
        <v>Día actual</v>
      </c>
      <c r="C117" t="s">
        <v>52</v>
      </c>
      <c r="D117" t="s">
        <v>53</v>
      </c>
      <c r="E117" t="s">
        <v>268</v>
      </c>
      <c r="F117" t="s">
        <v>6</v>
      </c>
      <c r="G117" t="s">
        <v>269</v>
      </c>
      <c r="H117" t="s">
        <v>47</v>
      </c>
      <c r="I117" t="s">
        <v>7</v>
      </c>
      <c r="J117" t="s">
        <v>31</v>
      </c>
      <c r="K117" t="s">
        <v>63</v>
      </c>
      <c r="L117" t="s">
        <v>32</v>
      </c>
      <c r="M117">
        <v>1</v>
      </c>
    </row>
    <row r="118" spans="1:13" x14ac:dyDescent="0.25">
      <c r="A118" s="2">
        <v>46279</v>
      </c>
      <c r="B118" s="1" t="str">
        <f ca="1">IF(Información1[[#This Row],[Fecha]]='Ajuste de fechas'!$A$2,"Día actual","Día anterior")</f>
        <v>Día actual</v>
      </c>
      <c r="C118" t="s">
        <v>52</v>
      </c>
      <c r="D118" t="s">
        <v>53</v>
      </c>
      <c r="E118" t="s">
        <v>270</v>
      </c>
      <c r="F118" t="s">
        <v>46</v>
      </c>
      <c r="G118" t="s">
        <v>147</v>
      </c>
      <c r="H118" t="s">
        <v>47</v>
      </c>
      <c r="I118" t="s">
        <v>7</v>
      </c>
      <c r="J118" t="s">
        <v>31</v>
      </c>
      <c r="K118" t="s">
        <v>55</v>
      </c>
      <c r="L118" t="s">
        <v>34</v>
      </c>
      <c r="M118">
        <v>1</v>
      </c>
    </row>
    <row r="119" spans="1:13" x14ac:dyDescent="0.25">
      <c r="A119" s="2">
        <v>46279</v>
      </c>
      <c r="B119" s="1" t="str">
        <f ca="1">IF(Información1[[#This Row],[Fecha]]='Ajuste de fechas'!$A$2,"Día actual","Día anterior")</f>
        <v>Día actual</v>
      </c>
      <c r="C119" t="s">
        <v>52</v>
      </c>
      <c r="D119" t="s">
        <v>53</v>
      </c>
      <c r="E119" t="s">
        <v>271</v>
      </c>
      <c r="F119" t="s">
        <v>16</v>
      </c>
      <c r="G119" t="s">
        <v>147</v>
      </c>
      <c r="H119" t="s">
        <v>47</v>
      </c>
      <c r="I119" t="s">
        <v>7</v>
      </c>
      <c r="J119" t="s">
        <v>35</v>
      </c>
      <c r="K119" t="s">
        <v>74</v>
      </c>
      <c r="L119" t="s">
        <v>32</v>
      </c>
      <c r="M119">
        <v>1</v>
      </c>
    </row>
    <row r="120" spans="1:13" x14ac:dyDescent="0.25">
      <c r="A120" s="2">
        <v>46279</v>
      </c>
      <c r="B120" s="1" t="str">
        <f ca="1">IF(Información1[[#This Row],[Fecha]]='Ajuste de fechas'!$A$2,"Día actual","Día anterior")</f>
        <v>Día actual</v>
      </c>
      <c r="C120" t="s">
        <v>52</v>
      </c>
      <c r="D120" t="s">
        <v>53</v>
      </c>
      <c r="E120" t="s">
        <v>126</v>
      </c>
      <c r="F120" t="s">
        <v>18</v>
      </c>
      <c r="G120" t="s">
        <v>87</v>
      </c>
      <c r="H120" t="s">
        <v>47</v>
      </c>
      <c r="I120" t="s">
        <v>7</v>
      </c>
      <c r="J120" t="s">
        <v>31</v>
      </c>
      <c r="K120" t="s">
        <v>55</v>
      </c>
      <c r="L120" t="s">
        <v>34</v>
      </c>
      <c r="M120">
        <v>1</v>
      </c>
    </row>
    <row r="121" spans="1:13" x14ac:dyDescent="0.25">
      <c r="A121" s="2">
        <v>46279</v>
      </c>
      <c r="B121" s="1" t="str">
        <f ca="1">IF(Información1[[#This Row],[Fecha]]='Ajuste de fechas'!$A$2,"Día actual","Día anterior")</f>
        <v>Día actual</v>
      </c>
      <c r="C121" t="s">
        <v>52</v>
      </c>
      <c r="D121" t="s">
        <v>53</v>
      </c>
      <c r="E121" t="s">
        <v>272</v>
      </c>
      <c r="F121" t="s">
        <v>16</v>
      </c>
      <c r="G121" t="s">
        <v>79</v>
      </c>
      <c r="H121" t="s">
        <v>47</v>
      </c>
      <c r="I121" t="s">
        <v>22</v>
      </c>
      <c r="J121" t="s">
        <v>35</v>
      </c>
      <c r="K121" t="s">
        <v>74</v>
      </c>
      <c r="L121" t="s">
        <v>32</v>
      </c>
      <c r="M121">
        <v>1</v>
      </c>
    </row>
    <row r="122" spans="1:13" x14ac:dyDescent="0.25">
      <c r="A122" s="2">
        <v>46279</v>
      </c>
      <c r="B122" s="1" t="str">
        <f ca="1">IF(Información1[[#This Row],[Fecha]]='Ajuste de fechas'!$A$2,"Día actual","Día anterior")</f>
        <v>Día actual</v>
      </c>
      <c r="C122" t="s">
        <v>52</v>
      </c>
      <c r="D122" t="s">
        <v>53</v>
      </c>
      <c r="E122" t="s">
        <v>273</v>
      </c>
      <c r="F122" t="s">
        <v>77</v>
      </c>
      <c r="G122" t="s">
        <v>78</v>
      </c>
      <c r="H122" t="s">
        <v>47</v>
      </c>
      <c r="I122" t="s">
        <v>7</v>
      </c>
      <c r="J122" t="s">
        <v>21</v>
      </c>
      <c r="K122" t="s">
        <v>55</v>
      </c>
      <c r="L122" t="s">
        <v>32</v>
      </c>
      <c r="M122">
        <v>1</v>
      </c>
    </row>
    <row r="123" spans="1:13" x14ac:dyDescent="0.25">
      <c r="A123" s="2">
        <v>46279</v>
      </c>
      <c r="B123" s="1" t="str">
        <f ca="1">IF(Información1[[#This Row],[Fecha]]='Ajuste de fechas'!$A$2,"Día actual","Día anterior")</f>
        <v>Día actual</v>
      </c>
      <c r="C123" t="s">
        <v>52</v>
      </c>
      <c r="D123" t="s">
        <v>53</v>
      </c>
      <c r="E123" t="s">
        <v>274</v>
      </c>
      <c r="F123" t="s">
        <v>40</v>
      </c>
      <c r="G123" t="s">
        <v>82</v>
      </c>
      <c r="H123" t="s">
        <v>47</v>
      </c>
      <c r="I123" t="s">
        <v>7</v>
      </c>
      <c r="J123" t="s">
        <v>21</v>
      </c>
      <c r="K123" t="s">
        <v>74</v>
      </c>
      <c r="L123" t="s">
        <v>32</v>
      </c>
      <c r="M123">
        <v>1</v>
      </c>
    </row>
    <row r="124" spans="1:13" x14ac:dyDescent="0.25">
      <c r="A124" s="2">
        <v>46279</v>
      </c>
      <c r="B124" s="1" t="str">
        <f ca="1">IF(Información1[[#This Row],[Fecha]]='Ajuste de fechas'!$A$2,"Día actual","Día anterior")</f>
        <v>Día actual</v>
      </c>
      <c r="C124" t="s">
        <v>52</v>
      </c>
      <c r="D124" t="s">
        <v>53</v>
      </c>
      <c r="E124" t="s">
        <v>275</v>
      </c>
      <c r="F124" t="s">
        <v>237</v>
      </c>
      <c r="G124" t="s">
        <v>276</v>
      </c>
      <c r="H124" t="s">
        <v>47</v>
      </c>
      <c r="I124" t="s">
        <v>7</v>
      </c>
      <c r="J124" t="s">
        <v>93</v>
      </c>
      <c r="K124" t="s">
        <v>63</v>
      </c>
      <c r="L124" t="s">
        <v>32</v>
      </c>
      <c r="M124">
        <v>1</v>
      </c>
    </row>
    <row r="125" spans="1:13" x14ac:dyDescent="0.25">
      <c r="A125" s="2">
        <v>46279</v>
      </c>
      <c r="B125" s="1" t="str">
        <f ca="1">IF(Información1[[#This Row],[Fecha]]='Ajuste de fechas'!$A$2,"Día actual","Día anterior")</f>
        <v>Día actual</v>
      </c>
      <c r="C125" t="s">
        <v>52</v>
      </c>
      <c r="D125" t="s">
        <v>53</v>
      </c>
      <c r="E125" t="s">
        <v>277</v>
      </c>
      <c r="F125" t="s">
        <v>19</v>
      </c>
      <c r="G125" t="s">
        <v>167</v>
      </c>
      <c r="H125" t="s">
        <v>47</v>
      </c>
      <c r="I125" t="s">
        <v>7</v>
      </c>
      <c r="J125" t="s">
        <v>36</v>
      </c>
      <c r="K125" t="s">
        <v>74</v>
      </c>
      <c r="L125" t="s">
        <v>32</v>
      </c>
      <c r="M125">
        <v>1</v>
      </c>
    </row>
    <row r="126" spans="1:13" x14ac:dyDescent="0.25">
      <c r="A126" s="2">
        <v>46279</v>
      </c>
      <c r="B126" s="1" t="str">
        <f ca="1">IF(Información1[[#This Row],[Fecha]]='Ajuste de fechas'!$A$2,"Día actual","Día anterior")</f>
        <v>Día actual</v>
      </c>
      <c r="C126" t="s">
        <v>52</v>
      </c>
      <c r="D126" t="s">
        <v>53</v>
      </c>
      <c r="E126" t="s">
        <v>278</v>
      </c>
      <c r="F126" t="s">
        <v>16</v>
      </c>
      <c r="G126" t="s">
        <v>65</v>
      </c>
      <c r="H126" t="s">
        <v>47</v>
      </c>
      <c r="I126" t="s">
        <v>7</v>
      </c>
      <c r="J126" t="s">
        <v>35</v>
      </c>
      <c r="K126" t="s">
        <v>63</v>
      </c>
      <c r="L126" t="s">
        <v>32</v>
      </c>
      <c r="M126">
        <v>1</v>
      </c>
    </row>
    <row r="127" spans="1:13" x14ac:dyDescent="0.25">
      <c r="A127" s="2">
        <v>46279</v>
      </c>
      <c r="B127" s="1" t="str">
        <f ca="1">IF(Información1[[#This Row],[Fecha]]='Ajuste de fechas'!$A$2,"Día actual","Día anterior")</f>
        <v>Día actual</v>
      </c>
      <c r="C127" t="s">
        <v>52</v>
      </c>
      <c r="D127" t="s">
        <v>53</v>
      </c>
      <c r="E127" t="s">
        <v>279</v>
      </c>
      <c r="F127" t="s">
        <v>16</v>
      </c>
      <c r="G127" t="s">
        <v>280</v>
      </c>
      <c r="H127" t="s">
        <v>47</v>
      </c>
      <c r="I127" t="s">
        <v>7</v>
      </c>
      <c r="J127" t="s">
        <v>35</v>
      </c>
      <c r="K127" t="s">
        <v>55</v>
      </c>
      <c r="L127" t="s">
        <v>32</v>
      </c>
      <c r="M127">
        <v>1</v>
      </c>
    </row>
    <row r="128" spans="1:13" x14ac:dyDescent="0.25">
      <c r="A128" s="2">
        <v>46279</v>
      </c>
      <c r="B128" s="1" t="str">
        <f ca="1">IF(Información1[[#This Row],[Fecha]]='Ajuste de fechas'!$A$2,"Día actual","Día anterior")</f>
        <v>Día actual</v>
      </c>
      <c r="C128" t="s">
        <v>52</v>
      </c>
      <c r="D128" t="s">
        <v>53</v>
      </c>
      <c r="E128" t="s">
        <v>281</v>
      </c>
      <c r="F128" t="s">
        <v>19</v>
      </c>
      <c r="G128" t="s">
        <v>83</v>
      </c>
      <c r="H128" t="s">
        <v>47</v>
      </c>
      <c r="I128" t="s">
        <v>7</v>
      </c>
      <c r="J128" t="s">
        <v>36</v>
      </c>
      <c r="K128" t="s">
        <v>74</v>
      </c>
      <c r="L128" t="s">
        <v>32</v>
      </c>
      <c r="M128">
        <v>1</v>
      </c>
    </row>
    <row r="129" spans="1:13" x14ac:dyDescent="0.25">
      <c r="A129" s="2">
        <v>46279</v>
      </c>
      <c r="B129" s="1" t="str">
        <f ca="1">IF(Información1[[#This Row],[Fecha]]='Ajuste de fechas'!$A$2,"Día actual","Día anterior")</f>
        <v>Día actual</v>
      </c>
      <c r="C129" t="s">
        <v>52</v>
      </c>
      <c r="D129" t="s">
        <v>53</v>
      </c>
      <c r="E129" t="s">
        <v>282</v>
      </c>
      <c r="F129" t="s">
        <v>58</v>
      </c>
      <c r="G129" t="s">
        <v>95</v>
      </c>
      <c r="H129" t="s">
        <v>47</v>
      </c>
      <c r="I129" t="s">
        <v>7</v>
      </c>
      <c r="J129" t="s">
        <v>31</v>
      </c>
      <c r="K129" t="s">
        <v>63</v>
      </c>
      <c r="L129" t="s">
        <v>32</v>
      </c>
      <c r="M12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38</v>
      </c>
      <c r="B1" t="s">
        <v>39</v>
      </c>
    </row>
    <row r="2" spans="1:2" x14ac:dyDescent="0.25">
      <c r="A2" s="2">
        <f ca="1">TODAY()</f>
        <v>46279</v>
      </c>
      <c r="B2" s="2">
        <f ca="1">A2-1</f>
        <v>46278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2026-09-14T23:15:01Z</dcterms:modified>
</cp:coreProperties>
</file>