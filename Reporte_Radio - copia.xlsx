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89FAA38A-7125-4563-9CA7-7ECF9D8C887B}"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98" i="2" l="1"/>
  <c r="B99" i="2"/>
  <c r="B100" i="2"/>
  <c r="B102" i="2"/>
  <c r="B104" i="2"/>
  <c r="B105" i="2"/>
  <c r="B107" i="2"/>
  <c r="B110" i="2"/>
  <c r="B101" i="2"/>
  <c r="B103" i="2"/>
  <c r="B106" i="2"/>
  <c r="B108" i="2"/>
  <c r="B109" i="2"/>
  <c r="B2" i="2"/>
  <c r="B3" i="2"/>
  <c r="B4" i="2"/>
  <c r="B5" i="2"/>
  <c r="B6" i="2"/>
  <c r="B7" i="2"/>
  <c r="B8" i="2"/>
  <c r="B9" i="2"/>
  <c r="B10" i="2"/>
  <c r="B11" i="2"/>
  <c r="B12" i="2"/>
  <c r="B13" i="2"/>
  <c r="B15" i="2"/>
  <c r="B17" i="2"/>
  <c r="B19" i="2"/>
  <c r="B21" i="2"/>
  <c r="B23" i="2"/>
  <c r="B25" i="2"/>
  <c r="B26" i="2"/>
  <c r="B28" i="2"/>
  <c r="B30" i="2"/>
  <c r="B32" i="2"/>
  <c r="B34" i="2"/>
  <c r="B36" i="2"/>
  <c r="B38" i="2"/>
  <c r="B40" i="2"/>
  <c r="B42" i="2"/>
  <c r="B44" i="2"/>
  <c r="B46" i="2"/>
  <c r="B48" i="2"/>
  <c r="B50" i="2"/>
  <c r="B52" i="2"/>
  <c r="B54" i="2"/>
  <c r="B57" i="2"/>
  <c r="B59" i="2"/>
  <c r="B60" i="2"/>
  <c r="B62" i="2"/>
  <c r="B64" i="2"/>
  <c r="B66" i="2"/>
  <c r="B67" i="2"/>
  <c r="B69" i="2"/>
  <c r="B71" i="2"/>
  <c r="B73" i="2"/>
  <c r="B75" i="2"/>
  <c r="B78" i="2"/>
  <c r="B79" i="2"/>
  <c r="B80" i="2"/>
  <c r="B81" i="2"/>
  <c r="B82" i="2"/>
  <c r="B83" i="2"/>
  <c r="B84" i="2"/>
  <c r="B85" i="2"/>
  <c r="B86" i="2"/>
  <c r="B87" i="2"/>
  <c r="B88" i="2"/>
  <c r="B89" i="2"/>
  <c r="B90" i="2"/>
  <c r="B91" i="2"/>
  <c r="B92" i="2"/>
  <c r="B93" i="2"/>
  <c r="B94" i="2"/>
  <c r="B95" i="2"/>
  <c r="B96" i="2"/>
  <c r="B97" i="2"/>
  <c r="B56"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4" i="2"/>
  <c r="B16" i="2"/>
  <c r="B18" i="2"/>
  <c r="B20" i="2"/>
  <c r="B22" i="2"/>
  <c r="B24" i="2"/>
  <c r="B27" i="2"/>
  <c r="B29" i="2"/>
  <c r="B31" i="2"/>
  <c r="B33" i="2"/>
  <c r="B35" i="2"/>
  <c r="B37" i="2"/>
  <c r="B39" i="2"/>
  <c r="B41" i="2"/>
  <c r="B43" i="2"/>
  <c r="B45" i="2"/>
  <c r="B47" i="2"/>
  <c r="B49" i="2"/>
  <c r="B51" i="2"/>
  <c r="B53" i="2"/>
  <c r="B55" i="2"/>
  <c r="B58" i="2"/>
  <c r="B61" i="2"/>
  <c r="B63" i="2"/>
  <c r="B65" i="2"/>
  <c r="B68" i="2"/>
  <c r="B70" i="2"/>
  <c r="B72" i="2"/>
  <c r="B74" i="2"/>
  <c r="B76" i="2"/>
  <c r="B77"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<sst xmlns="http://schemas.openxmlformats.org/spreadsheetml/2006/main" count="2193" uniqueCount="369">
  <si>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</si>
  <si>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</si>
  <si>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</si>
  <si>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</si>
  <si>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</si>
  <si>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</si>
  <si>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</si>
  <si>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</si>
  <si>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</si>
  <si>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</si>
  <si>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</si>
  <si>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</si>
  <si>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</si>
  <si>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</si>
  <si>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</si>
  <si>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</si>
  <si>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</si>
  <si>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</si>
  <si>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</si>
  <si>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</si>
  <si>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</si>
  <si>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</si>
  <si>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</si>
  <si>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</si>
  <si>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</si>
  <si>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</si>
  <si>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</si>
  <si>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</si>
  <si>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Ke Buena 106.7 FM</t>
  </si>
  <si>
    <t>David Cárdenas</t>
  </si>
  <si>
    <t>Noticias 106.7</t>
  </si>
  <si>
    <t>Súper Stéreo 100.5 FM</t>
  </si>
  <si>
    <t>Rodolfo López</t>
  </si>
  <si>
    <t>Enfoque Regional Meridiano</t>
  </si>
  <si>
    <t>Enfoque Regional Matutino</t>
  </si>
  <si>
    <t>Juan Carlos Santamaria</t>
  </si>
  <si>
    <t>TV local</t>
  </si>
  <si>
    <t>Auxilio a la ciudadanía</t>
  </si>
  <si>
    <t>Canal del Pueblo</t>
  </si>
  <si>
    <t>Vocales Radio</t>
  </si>
  <si>
    <t>NQ 90.1 FM</t>
  </si>
  <si>
    <t>Jesús Riveros</t>
  </si>
  <si>
    <t>Enlace Hidalgo1</t>
  </si>
  <si>
    <t>Enlace Hidalgo2</t>
  </si>
  <si>
    <t>Planeación</t>
  </si>
  <si>
    <t>Ultra 102.9 FM</t>
  </si>
  <si>
    <t>Ultra Noticias1</t>
  </si>
  <si>
    <t>Daniel Martínez</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</si>
  <si>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</si>
  <si>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</si>
  <si>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</si>
  <si>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</si>
  <si>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</si>
  <si>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</si>
  <si>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</si>
  <si>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</si>
  <si>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</si>
  <si>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</si>
  <si>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</si>
  <si>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</si>
  <si>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</si>
  <si>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</si>
  <si>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</si>
  <si>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</si>
  <si>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</si>
  <si>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</si>
  <si>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</si>
  <si>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DIFH</t>
  </si>
  <si>
    <t>Saderh</t>
  </si>
  <si>
    <t>Eulalio Larrieta agradece a Edith Balderas de la Secretaria de Educación Pública.</t>
  </si>
  <si>
    <t>Bienestar</t>
  </si>
  <si>
    <t>Radiodifusoras</t>
  </si>
  <si>
    <t>La Poderosa Tuxpan 93.1 FM</t>
  </si>
  <si>
    <t>Combate a la delincuencia</t>
  </si>
  <si>
    <t>Contraloría</t>
  </si>
  <si>
    <t>Turismo</t>
  </si>
  <si>
    <t>Iniciativa</t>
  </si>
  <si>
    <t>Mosco Culex</t>
  </si>
  <si>
    <t>Hidalgo en Los Pinos</t>
  </si>
  <si>
    <t>Cultura</t>
  </si>
  <si>
    <t>NN Nuestras Noticias Zona Norte</t>
  </si>
  <si>
    <t>Liz Argüelles</t>
  </si>
  <si>
    <t>Aumento Tarifa De Transporte</t>
  </si>
  <si>
    <t>Entrevista pautada</t>
  </si>
  <si>
    <t>Huracán Priscilla</t>
  </si>
  <si>
    <t>Control lirio acuático</t>
  </si>
  <si>
    <t>Gobierno</t>
  </si>
  <si>
    <t>Abasto De Agua</t>
  </si>
  <si>
    <t>Cambios En El Gabinete</t>
  </si>
  <si>
    <t>OCSAD</t>
  </si>
  <si>
    <t>PGJEH</t>
  </si>
  <si>
    <t>Semarnath</t>
  </si>
  <si>
    <t>Canal 12 Huejutla</t>
  </si>
  <si>
    <t>Contacto Informativo M</t>
  </si>
  <si>
    <t>Despacho</t>
  </si>
  <si>
    <t>Queja transporte público</t>
  </si>
  <si>
    <t>Congreso</t>
  </si>
  <si>
    <t>Simulacro Sismo</t>
  </si>
  <si>
    <t>SSPH detiene a dos distribuidores de sustancias ilícitas en Actopan</t>
  </si>
  <si>
    <t>Combate Al Narcomenudeo</t>
  </si>
  <si>
    <t>Durante cateo por narcomenudeo, PGJEH detuvo a siete personas en posesión de narcóticos, armas de fuego y equipo táctico</t>
  </si>
  <si>
    <t>Aprehensión</t>
  </si>
  <si>
    <t>ITESA impulsa economía social con participación en red estatal NODESS</t>
  </si>
  <si>
    <t>Economía social</t>
  </si>
  <si>
    <t>Vía telefónica el reporte de Bombero y Protección Civil con Abner Yáñez informa que se atendieron incendios de pasto seco y basura, entre otras emergencias reportadas por la ciudadanía. Asimismo se atendieron dos incendios forestales.</t>
  </si>
  <si>
    <t>Desazolve</t>
  </si>
  <si>
    <t>TV Cable hidalguense Canal 6</t>
  </si>
  <si>
    <t>Contigo Noticias</t>
  </si>
  <si>
    <t>Nacionales Conade</t>
  </si>
  <si>
    <t>Certeza jurídica</t>
  </si>
  <si>
    <t>Gobierno de Hidalgo participa en el Primer Simulacro Nacional 2026</t>
  </si>
  <si>
    <t>Gusano barrenador</t>
  </si>
  <si>
    <t>Buzón digital</t>
  </si>
  <si>
    <t>Buzón digital fortalece la participación social y la transparencia</t>
  </si>
  <si>
    <t>Eulalio Larrieta agradece a Carlos Gamiño por estar al pendiente de temas</t>
  </si>
  <si>
    <t>Policía Estatal detiene a responsables de asalto a comercio en Tizayuca</t>
  </si>
  <si>
    <t>"NN Nuestras Noticias ""El Resumen"""</t>
  </si>
  <si>
    <t>Tomás Sosa</t>
  </si>
  <si>
    <t>Drenaje</t>
  </si>
  <si>
    <t>Maltrato animal</t>
  </si>
  <si>
    <t>La Secretaría de Seguridad Pública, Tránsito y Vialidad de Pachuca informó que, gracias a una respuesta inmediata y coordinación interinstitucional, se logró la localización y resguardo de dos adolescentes que contaban con una ficha de búsqueda activa en la Ciudad de México. El hallazgo ocurrió en un inmueble de la colonia Santa Julia, específicamente sobre la calle Pasadizo, tras una solicitud de colaboración de las autoridades capitalinas. Este operativo representa un seguimiento exitoso a los protocolos de búsqueda regional. Recientemente, se ha intensificado la vigilancia en zonas residenciales de la capital hidalguense para detectar paraderos de personas reportadas como no localizadas en estados vecinos.</t>
  </si>
  <si>
    <t>Localización de persona</t>
  </si>
  <si>
    <t>Con el objetivo de combatir la plaga del escarabajo descortezador que afecta árboles de la especie oyamel en la comunidad de San Miguel Cerezo, el Ayuntamiento de Pachuca y la Comisión Nacional Forestal realizaron la firma de convenio de colaboración para la integración de brigadas de saneamiento forestal. En el evento participaron el alcalde de Pachuca, Jorge Reyes; el secretario de Medio Ambiente y Desarrollo Sustentable del municipio, Ricardo Miguel Arroyo Tinoco; representantes de la CONAFOR y el regidor Manelich Mondragón. Durante el acto se informó que estas acciones permitirán intervenir alrededor de 2 mil hectáreas de zona forestal, mediante un programa de trabajo proyectado para desarrollarse durante ocho meses.</t>
  </si>
  <si>
    <t>Gusano Descortezador</t>
  </si>
  <si>
    <t>Mara Olvera y su columna Ajedrez Político habla del posicionamiento del gobernador Julio Menchaca en el ranking de los 5 mejores gobernadores del país, esto a pesar del golpeteo político por parte de detractores como Carolina Viggiano. Destaca que este posicionamiento se debe a la buena labor en favor de los hidalguenses.</t>
  </si>
  <si>
    <t>Aprobación Gobernador</t>
  </si>
  <si>
    <t>Mara Olvera</t>
  </si>
  <si>
    <t>Anuncia Edda Vite mejoras a los Centros de Rehabilitación Integral Regional en Hidalgo</t>
  </si>
  <si>
    <t>El día de ayer Miguel Tello estuvo en Apan reuniéndose con productores de cebada, revisando la agenda para atender las principales demandas como el agua, fertilizantes y la venta de su producto.</t>
  </si>
  <si>
    <t>Cebaderos</t>
  </si>
  <si>
    <t>En un ambiente lleno de alegría, reconocimiento y convivencia, se llevó a cabo el emotivo “Homenaje a la Mujer” con motivo de las celebraciones del Día de las Madres El evento contó con la presencia del secretario general, Said Vargas Sáenz, secretario general de la sección XV del Sindicato Nacional de Trabajadores de la Educación (SNTE) quien destacó la entrega, fortaleza y amor de las mujeres que forman parte del magisterio y de las familias hidalguenses Durante esta celebración también estuvo presente Natividad Castrejón Valdez, secretario de educación de Hidalgo, quien compartió este momento especial con maestras y trabajadoras de la educación</t>
  </si>
  <si>
    <t>Día de la madre</t>
  </si>
  <si>
    <t>Transmisión de un audio mediante el cual el Secretario de Educación Pública, Natividad Castejón hace una invitación a la muestra de "Hidalgo en los Pinos" el 9 y 10 de mayo en el Complejo Cultural de Los pinos en la Ciudad de México.</t>
  </si>
  <si>
    <t>Arrancan en Yahualica las Rutas de la Transformación</t>
  </si>
  <si>
    <t>Ruta de la Transformación</t>
  </si>
  <si>
    <t>Gobierno de Hidalgo y Pemex consolidan alianza para el fortalecimiento de servicios públicos</t>
  </si>
  <si>
    <t>Donación Pemex</t>
  </si>
  <si>
    <t>Ayer el gobernador julio Menchaca participó en el simulacro nacional de sismo.</t>
  </si>
  <si>
    <t>Simulacro sismo</t>
  </si>
  <si>
    <t>Andrés Torres señala que le piden que les recuerde a las autoridades, sobre todo a las municipales, para que se hagan fumigaciones en la presa Endhó porque hay una plaga de mosco culex que a veces hace imposible salir de las casas por la enorme cantidad de moscos. La Semarnath a nivel estatal y federal realizan trabajos en el lugar, pero la gente pide atención.</t>
  </si>
  <si>
    <t>Andrés Torres en respuesta a un radioescucha que pregunta por qué ya no publica su sección "AEIOU", dice que es debido a la carga de trabajo y la falta de personal, sumado a que todo lo que necesitan para trabajar es propiedad privada, porque ni una grabadora o un lápiz les dan en su centro de trabajo. Asegura que trabajan con "pura buena voluntad"</t>
  </si>
  <si>
    <t>hoy el gobernador Julio Menchaca estará en Yahualica con la Ruta de la Transformación a las 10:45 de la mañana y en Atlapexco alrededor del mediodía.</t>
  </si>
  <si>
    <t>Emanuel Hernández, alcalde Ixmiquilpan anunció cambios en su gabinete al nombrar a Jaime González como nuevo Secretario municipal, quien dijo, es su compañerito del kinder y a ver si con este se lleva bien. Anunció más cambios entre ellos la remoción del cargo de Ernesto Espinosa del área de Reglamentos de quien aún no se tienen sustituto.</t>
  </si>
  <si>
    <t>Dentro de las instalaciones de la presidencia municipal de Mineral de la Reforma, ayer una mujer intentó quietarse la vida. Se dice que es trabajadora del ayuntamiento, que padece una enfermedad importante y no cuenta con los medicamentos necesarios para atender su enfermedad. Fue atendida y se encuentra fuera de peligro. La información trascendió por más que quisieron ocultarlo y decir que esto sucedió en el kisoco.</t>
  </si>
  <si>
    <t>Evitan suicidio</t>
  </si>
  <si>
    <t>Se espera que hoy vecinos de Xochihuacán bloqueen la carretera México-Sahagún, esto en protesta porque las autoridades municipales no hacen limpieza de los canales de aguas negras.</t>
  </si>
  <si>
    <t>Andrés Torres informa que se quemó el transformador y no tienen electricidad, por lo que la señal del 1010 AM de El Vocero Huasteco está fuera del aire, pero sí se escuchan en 92.7 FM. Si no se cuenta con gasolina, menos con diesel para prender las plantas de energía de la estación. Está fuera del aire la estación insignia de la Radio Estatal, la que transmite en náhuatl y castellano. Se está trabajando para resolver la situación a casi un mes de sucedido esto.</t>
  </si>
  <si>
    <t>Se reporta un fuerte incendio en la comunidad de El Sótano, municipio de Jacala, dentro del Parque Nacional Los Mármoles. Personas de los cuerpos de emergencia del municipio y de la Semarnath continúan con las labores de combate y control del incendio.</t>
  </si>
  <si>
    <t>Incendios forestales</t>
  </si>
  <si>
    <t>Un acto de extrema crueldad animal en Huejutla, provocó enojo e indignación entre habitantes y activistas, quienes exigieron la pronta identificación y sanción de los responsables. De acuerdo con denunciantes, sujetos desconocidos prendieron fuego a un perro, causándole lesiones graves en la parte trasera del cuerpo. El animal murió a consecuencia de las quemaduras. Una persona que se encontraba en la zona intervino para auxiliarlo; sin embargo, las heridas resultaron letales. Organizaciones y defensores de los derechos de los animales en Hidalgo solicitaron a la ciudadanía aportar información que permita ubicar a los agresores y presentar la denuncia correspondiente ante el Ministerio Público. Subrayaron que este tipo de hechos no pueden quedar impunes.</t>
  </si>
  <si>
    <t>Tras señalamientos de posibles sacrificios en Mineral de la Reforma, la Dirección de Bienestar Animal negó las acusaciones y mencionó que hay 70 gatos y perros bajo el resguardo del ayuntamiento, asimismo, el alcalde Eduardo Medécigo aseveró que las mascotas son prioridad para su administración municipal. En entrevista con medios de comunicación, el encargado del Hospital con Garra, Juan Miguel Trejo Reyes, informó que un total de 175 perros y gatos han sido dados en adopción responsable desde el inicio de la actual administración municipal.</t>
  </si>
  <si>
    <t>Bienestar Animal</t>
  </si>
  <si>
    <t>La intervención en el espacio ocupado como resguardo de animales de compañía, fue en atención al acompañamiento de la Procuraduría General de Justicia estatal, tras denuncia sobre las malas condiciones en que vivían animales de compañía, señaló el ayuntamiento de Mineral de la Reforma. De acuerdo con el municipio la intervención referida se dio en respuesta a una denuncia presentada ante la Unidad Especializada en la Investigación de Delitos Contra los Animales de la Procuraduría General de Justicia del Estado de Hidalgo, instancia competente para conocer y dar seguimiento. En atención a la solicitud ministerial, la Secretaría de Seguridad Ciudadana municipal, a través de la dirección K9, así como personal especializado del Hospital con Garra, acudieron a verificar las condiciones de resguardo, salud y bienestar de los animales señalados en la carpeta de investigación. Al arribar al lugar referido, Juan les manifestó ser tutor de los caninos, pero en la inspección visual se constató la presencia de cerca de 20 animales en un espacio aproximadamente de 15 a 20 metros cuadrados, por lo que se le informó que sería citado por la autoridad competente para dar seguimiento al procedimiento legal en curso.</t>
  </si>
  <si>
    <t>Una mujer de aproximadamente 50 años de edad, en aparente estado de crisis, se provocó lesiones menores en una de sus extremidades superiores con la ayuda de un artículo punzocortante en las inmediaciones de las instalaciones del Sistema DIF municipal de Mineral de la Reforma. La situación se registró alrededor del mediodía del miércoles 6 de mayo, siendo atendida de inmediato la mujer, identificada por las iniciales de su nombre, A.M.L.M., por personal médico del organismo asistencial municipal. Gracias a esta oportuna intervención, se evitó que las lesiones pusieran en riesgo la integridad de la mujer. Se informó que la persona en cuestión mantiene un tratamiento médico, de acuerdo con su historial clínico, la mujer se ha sometido a diversos estudios físicos y neurológicos, resultando con enfermedades psiquiátricas. No fue necesaria su hospitalización, sin embargo fue llevada a su domicilio con el apoyo de un médico, así como de personal de la Unidad de Primer Contacto del Sistema DIF, y quedó en resguardo de familiares.</t>
  </si>
  <si>
    <t>Por presuntos actos de violencia política contra las mujeres en razón de género, la presidenta municipal de Apan, Zorayda Robles Barrera, presentó una denuncia en contra del regidor morenista Carlos Derik Olvera Sumano. La alcaldesa evitó acudir al Tribunal Electoral del Estado de Hidalgo (TEEH) y en su lugar ingresó la denuncia ante la Comisión Nacional de Honestidad y Justicia (CNHJ) de Movimiento de Regeneración Nacional (Morena), pues son emanados del mismo instituto político. De acuerdo con el expediente CNHJ-HGO-117/2026, la queja fue recibida el 24 de febrero de este año por el órgano interno del partido. En el documento, la presidenta municipal también acusa presuntos actos de “denostación, calumnia, falta de probidad en el ejercicio del cargo público y posibles actos de corrupción”. La Comisión Nacional de Honestidad y Justicia informó que el recurso fue admitido el 15 de abril pasado y se concedió al regidor un plazo de 48 horas para responder a las acusaciones formuladas en su contra. Sin embargo, el escrito de contestación fue enviado fuera del plazo establecido en el reglamento interno de Morena, pues la respuesta llegó el 22 de abril, cuando el límite había vencido desde el 19 del mismo mes.</t>
  </si>
  <si>
    <t>Violencia Política De Género</t>
  </si>
  <si>
    <t>El presidente del Colegio de Notarios del Estado de Hidalgo, Pedro Luis Noble Monterrubio, confirmó la existencia de investigaciones en la Procuraduría estatal por el delito de suplantación de funciones, debido a que se hicieron pasar por notarios y emitieron documentos sin validez, pero se negó a especificar el número de casos. En la sesión de este miércoles, se presentó ante el Congreso local el oficio GEH/029/2026 enviado por el gobernador estatal, Julio Menchaca Salazar; esto para la creación de la Ley del Notario para el Estado de Hidalgo. La iniciativa con proyecto de decreto fue turnada a la Primera Comisión Permanente de Legislación y Puntos Constitucionales para estudio, análisis y resolución correspondiente. En entrevista con medios de comunicación, Noble Monterrubio mencionó que el Colegio acudió al Poder Legislativo para ponerse a las órdenes de los diputados, pero aseguró que son respetuosos de los tiempos legislativos y su objetivo no es presionar para la dictaminación de la propuesta. "Somos respetuosos de los tiempos del congreso... (La iniciativa) es un trabajo de más de 50 sesiones, fueron casi 3 años de trabajo de estudios semanales con funcionarios de gobierno, con notarios, académicos y con la intervención del Colegio Nacional de Notarios", expresó sobre el documento presentado. Pedro Luis Noble confirmó a medios de comunicación que el Colegio de Notarios del Estado de Hidalgo detectó a varias personas que se hacían pasar por titulares de notarías públicas y emitían documentos sin validez oficial, por lo que los casos fueron informados a la Procuraduría General de Justicia del Estado de Hidalgo (PGJEH).</t>
  </si>
  <si>
    <t>Usurpación De Funciones</t>
  </si>
  <si>
    <t>Rehabilitación CRIRH</t>
  </si>
  <si>
    <t>Radioescucha: llevo mucho tiempo sin agua y he pagado mi toma y solo se echan la bolita y no resuelven.</t>
  </si>
  <si>
    <t>SEPH y SNTE reconocen a más de 2 mil trabajadoras de la educación</t>
  </si>
  <si>
    <t>Vía telefónica Neyda Naranjo, secretaria de Cultura informó sobre la participación de “Hidalgo en Los Pinos” el próximo 9 y 10 de mayo, con el objetivo de visibilizar la riqueza cultural de la entidad y promover el patrimonio vivo de sus comunidades, se contará con una amplia oferta gastronómica y artesanal con productos de difeentes regiones del Estado. Dicho evento, contará con la participación de representantes de 50 municipios.</t>
  </si>
  <si>
    <t>Hidalgo en los Pinos</t>
  </si>
  <si>
    <t>El avance del gusano barrenador del ganado, continúa generando preocupación en Hidalgo, donde su presencia no solo se mantiene, sino que sigue expandiéndose en distintas regiones del estado. En un periodo de apenas cuatro días, la cifra de casos reportados registró un aumento significativo, lo que confirma que el control de esta plaga aún enfrenta importantes desafíos. De acuerdo con el más reciente corte, los contagios pasaron de 420, contabilizados al 30 de abril de 2026, a un total de 460 al 4 de mayo. Es decir, se sumaron 40 nuevos casos en menos de una semana, lo que refleja una propagación acelerada. Con este panorama, Hidalgo se ubica actualmente en la posición número once a nivel nacional en cuanto a incidencia de esta problemática sanitaria. Más allá del incremento en los casos, uno de los aspectos que más llama la atención es la rápida dispersión geográfica. Según información actualizada del Servicio Nacional de Sanidad, Inocuidad y Calidad Agroalimentaria (Senasica), la presencia del gusano barrenador ya se ha extendido a 58 municipios. Cabe recalcar que apenas unos días antes, el registro contemplaba 52 demarcaciones. En otras palabras, la plaga alcanzó seis nuevos municipios en un lapso muy corto, lo que evidencia la velocidad con la que se está desplazando dentro del estado. El reporte técnico también detalla que, de los casos detectados, al menos 125 continúan activos. Esto significa que aún representan un foco de riesgo para la propagación del parásito, ya que pueden convertirse en nuevos puntos de contagio si no se atienden de manera oportuna.</t>
  </si>
  <si>
    <t>En la misma jornada que habitantes de la ribera de la presa Endhó se manifestaron para exigir la erradicación del mosco cúlex, el Gobernador del Estado de Hidalgo, Julio Menchaca, se comprometió a realizar acciones para ello. La mañana del miércoles 6 de mayo, pobladores de la zona bloquearon el acceso en las comunidades de San Antonio y Michimaloya, sobre la carretera a Macua en Tula de Allende. Otro grupo de personas se manifestaron en las inmediaciones de las obras del Tren México – Querétaro, sobre la carretera San Antonio – Héroes Carranza, dentro del municipio de Tula. A los bloqueos se sumaron habitantes de la localidad de San Sebastián de Juárez, municipio de Nopala de Villagrán, también afectados por la plaga de mosco. Los manifestantes señalaron que la proliferación del mosco cúlex afecta la salud de la población, así como de animales de granja y de compañía. Previo a la manifestación, la alcaldesa de Tepetitlán señaló que desde hace meses se había señalado que a partir del aumento de temperaturas la proliferación del insecto aumentaría. Enfatizó que inicialmente parecía un problema en zonas cercanas a la ribera de la presa, hoy se ha extendido a todo el municipio e incluso a localidades aledañas, afectando la calidad de vida de la población. La alcaldesa señaló que las medidas implementadas hasta ahora no han sido efectivas; ya que las fumigaciones se realizan mediante termonebulización, técnica que está matando a la fauna menos al mosco cúlex, el cual incluso ha desarrollado resistencia. En un evento desarrollado en la misma jornada, el gobernador de Hidalgo, Julio Menchaca Salazar reconoció que la proliferación de esta planta representa un problema cíclico que afecta directamente a las comunidades cercanas a la presa Endhó. En dicho evento, se anunció que Petróleos Mexicanos aportará maquinaria especializada, con un costo estimado entre 25 y 28 millones de pesos, además de diésel para su operación. Se explicó que el equipo será destinado a la limpieza del cuerpo de agua, en coordinación con instancias como la Comisión Nacional del Agua y la Secretaría de la Defensa Nacional, que ya han brindado apoyo previo. Menchaca destacó que, además de retirar el lirio, se busca impulsar proyectos para su aprovechamiento, con el objetivo de generar alternativas productivas a partir de este recurso.</t>
  </si>
  <si>
    <t>Lirio Acuático</t>
  </si>
  <si>
    <t>Radioescuchas reportan que en el transporte público ya les están cobrando la nueva tarifa, aún sin contar con el tarifario correspondiente.</t>
  </si>
  <si>
    <t>A través de la Dirección de Ordenamiento Territorial y Agrario (DOTA), una de las pocas instancias de su tipo en Hidalgo, el gobierno de Tulancingo combina atención ciudadana, coordinación institucional y prevención de conflictos, con el objetivo de reducir la informalidad en asentamientos humanos. En lo que va de la administración, ciudadanos han recibido asesoría gratuita para regularizar predios ubicados en zonas como los ejidos El Paraíso, Zapotlán de Allende y Mimila. Como resultado, se han concretado 127 títulos de propiedad y 37 escrituras en colonias como El Paraíso, Paraíso Norte, Ahuehuetitla e Industrial, mientras otros procesos continúan en curso. El enfoque del municipio, de acuerdo a la alcaldesa Lorena García Cazares, se sustenta en la articulación con instancias estatales y federales. “En coordinación con la Comisión Estatal de Vivienda, se proyecta la entrega de cerca de 400 escrituras en el Ejido El Paraíso durante la actual administración. Asimismo, mediante un convenio con el Instituto Nacional del Suelo Sustentable, se avanza en la regularización de nueve polígonos adicionales” detalló la presidenta municipal. Este esfuerzo permitirá que colonias como Lomas del Pedregal, Las Américas y Ahuehuetitla accedan por primera vez a alrededor de 400 escrituras, ampliando el acceso a la legalidad patrimonial.</t>
  </si>
  <si>
    <t>Instituciones públicas, empresas privadas, particulares, responsables de asociaciones y organizaciones deben realizar sus capacitaciones en materia de protección civil, así como establecer sus protocolos de evacuación y atención a emergencias. Así lo señaló Jesús García Ávila, director de Bomberos y Protección Civil en Tulancingo, en el marco del primer simulacro nacional, donde el gobierno municipal participó este miércoles 6 de mayo. “Tenemos qué acostumbrarnos a que deben de hacer sus ejercicios de simulacros y evacuación”, señaló en invitación para que tanto las instituciones públicas como los particulares conformen sus respectivos comités de Protección Civil y se capaciten en prevención y atención a emergencias. De acuerdo al mando, en Tulancingo sólo se registró ante la Coordinación Nacional de Protección Civil para participar en este primer simulacro, sólo el gobierno municipal y una clínica. García Ávila afirmó que se hizo el llamado para hacer el registro a los consultores de Protección Civil de varias instituciones, escuelas y particulares en Tulancingo, para que participaran en el simulacro nacional. En el caso del edificio de la alcaldía, en el simulacro llevado a cabo este miércoles 6 de mayo se disminuyeron los tiempos de evacuación de 4 minutos con 11 segundos registrados el año pasado a 3 minutos con 53 segundos en esta ocasión.</t>
  </si>
  <si>
    <t>Fue publicado en el Periódico Oficial del Estado de Hidalgo, en su edición del 5 de mayo, el acuerdo con el que se autoriza el incremento en 20 por ciento a las tarifas de transporte público colectivo de pasajeros en la entidad. Sin embargo, los concesionarios deberán hacer la solicitud ante la Secretaría de Movilidad y Transporte del Estado de Hidalgo (Semoth), la solicitud para aplicar el ajuste a su respectiva tarifa. El numeral quinto del acuerdo señala que: “Las personas concesionarias del servicio de transporte público, en la modalidad de colectivo, deberán iniciar el trámite correspondiente ante las unidades administrativas competentes del Sistema de Transporte Convencional de Hidalgo, a efecto de obtener el tarifario actualizado, de acuerdo con el municipio y la ruta autorizada, de conformidad con los respectivos montos determinados en el Anexo del dictamen técnico, siendo ambos parte integrante del presente Acuerdo”. “Una vez que se dé cumplimiento al párrafo que antecede, las personas concesionarias del servicio de transporte público en la modalidad colectivo, deberán de portar el tarifario autorizado en un lugar visible sin que obstaculice la visibilidad hacia el exterior”. Se prevé que a partir de este fin de semana, de manera paulatina, se comiencen a aplicar las nuevas tarifas con el ajuste porcentual señalado.</t>
  </si>
  <si>
    <t>“Tenemos qué cambiar como sociedad el ´chip´, y considerar lo que realmente necesita un niño”, enfatizó Edda Vite Ramos, Presidenta del Patronato del Sistema DIF Hidalgo, al referirse a las solicitudes recibidas por parte de personas en otorgar un nuevo hogar a una niña, un niño o un adolescente. “Tenemos el concepto de que todo mundo queremos bebés de un año que estén sanos, que estén bonitos y que les auguremos que van a ser excelentes estudiantes”. Consideró que lo primordial es considerar el bienestar que se le debe garantizar a la persona a quien se le otorga un nuevo hogar. Vite Ramos señaló, por ejemplo, que “hay niños discapacitados y nos los solicitan”, así como quienes provienen de entornos sociales complicados, por lo que se les debe brindar atenciones y cuidados para su desarrollo emocional y físico, entre los principales aspectos. La Presidenta del organismo asistencial en el Estado de Hidalgo señaló que el más alto porcentaje de posibilidad de contar con un nuevo hogar, son niñas y niños menores de un año de edad.</t>
  </si>
  <si>
    <t>Adopción De Menores</t>
  </si>
  <si>
    <t>Ante el importante incremento de suicidios, sobre todo entre adolescentes, el diputado en el Congreso del Estado de Hidalgo, Marco Antonio Mendoza Bustamante, presentó una iniciativa para implementar acciones preventivas, sobre todo en planteles escolares. Con ello se busca reformar la Ley de Educación del Estado de Hidalgo, con objetivo de implementar programas de capacitación dirigidos a docentes y alumnos, a efecto de detectar los posibles casos de suicidio. El legislador local señaló que se ha registrado un alza en la entidad en materia de suicidio estudiantil y adolescente entre 2024 y 2025, incluso superando las cifras a las de homicidios en la entidad, con 126 casos en total. Los casos se han registrado principalmente en las zonas metropolitanas de Pachuca, Tulancingo y Tizayuca, con un importante registro de personas entre los 15 a 19 años de edad. Por lo que propuso establecer un trabajo coordinado entre autoridades educativas, el sector salud, los municipios y las sociedades de padres de familia para implementar los programas señalados.</t>
  </si>
  <si>
    <t>Tecnificación De Riego</t>
  </si>
  <si>
    <t>Para garantizar el derecho a la educación en Tulancingo, la presidenta municipal Lorena García Cázares encabezó la firma de seis nuevos convenios con instituciones educativas de Tulancingo y Pachuca, con el objetivo de abrir mayores oportunidades de becas, descuentos en titulación, servicio social, prácticas profesionales y estadías. Durante el evento, la alcaldesa destacó la importancia de acompañar los proyectos de vida de las y los estudiantes en todos los niveles educativos; por ello, a la fecha, más de mil alumnos han participado en servicio social, prácticas profesionales o estadías en distintas áreas de la administración municipal, oportunidad que se mantendrá vigente durante todo el año.</t>
  </si>
  <si>
    <t>Firma De Convenio</t>
  </si>
  <si>
    <t>Locutor Jesús Riveros da lectura a comentario de radioescucha comenta sobre el aumento de la tarifa de transporte público, señala que no fue mucho el aumento, es considerable, pero, la molestia como usuarios es que las unidades se encuentran en malas condiciones, además de que los choferes conducen sin precaución, con música a todo volumen son groseros y no respetan a adultos mayores.</t>
  </si>
  <si>
    <t>Locutor Jesús Riveros da lectura a comentario de radioescucha que pregunta, si con el aumento a la tarifa de transporte público, también le van a aumentar el sueldo a los choferes o si toda la ganancia será para los concesionarios; también pregunta si este aumento servirá para que mejores las condiciones de las unidades y que los choferes conduzcan con educación vial.</t>
  </si>
  <si>
    <t>Locutor Irving Sánchez comparte su experiencia en el transporte público ya con el nuevo aumento de tarifa, destaca la cultura de respeto de los usuarios y de los choferes en la ruta Cuautepec-Tulancingo, da a conocer las impresiones del nuevo aumento tanto por parte del os choferes como por parte de la ciudadanía, destacando que es un aumento justo ya que tenía mucho que no se aumentaba, una necesidad por parte de los concesionarios. En ese sentido, se destaca que no se niegan al aumento, pero solicitan que las unidades se encuentren en mejores condiciones, así como un trato digno por parte de los conductores.</t>
  </si>
  <si>
    <t>Irving Sánchez</t>
  </si>
  <si>
    <t>Una planta carnívora de apenas tres centímetros, con capacidad para atrapar insectos mediante secreciones pegajosas, fue identificada como una nueva especie en Hidalgo. El hallazgo amplía el inventario biológico del estado y evidencia que persisten vacíos en la exploración de ecosistemas clave. La especie fue nombrada Pinguicula brendae, perteneciente a la familia Lentibulariaceae. El descubrimiento lo realizaron Ernesto Chanes Rodríguez Ramírez y Agustina Rosa Andrés Hernández, investigadores de la Facultad de Ciencias Biológicas de la Benemérita Universidad Autónoma de Puebla (BUAP), en colaboración con Hiro Shimai, del Glasgow Botanic Gardens, en Escocia.</t>
  </si>
  <si>
    <t>Conservación Biodiversidad</t>
  </si>
  <si>
    <t>La Comisión Nacional del Agua, a través de la Dirección Local Hidalgo se sumó esta mañana al Simulacro Nacional bajo la hipótesis de sismo con magnitud 8.2 con epicentro en la costa de Guerrero, al noroeste de Acapulco, entre Petatlán y Coyuca de Benítez. Con estas acciones, el Gobierno de México promueve la cultura de protección civil a fin de contribuir a salvar vidas, preparando a la población para saber cómo actuar ante emergencias reales.</t>
  </si>
  <si>
    <t>El municipio de Jacala de Ledezma se encuentra en estado de alerta tras el inicio de un incendio forestal que ya ha afectado a las comunidades de El Sótano y El Cajón. Las llamas comenzaron la noche de este miércoles y se extendieron rápidamente debido a las condiciones climáticas de la región. Brigadistas de Protección Civil Municipal, elementos de Seguridad Pública y ciudadanos voluntarios se sumaron a las labores de combate. Sin embargo, las autoridades informaron que la oscuridad y el terreno dificultaron el acceso a la zona durante la madrugada, por lo que las tareas de mitigación se retomaron a primera hora de este jueves. Hasta el momento, el fuego ha consumido árboles y hierba, pero las autoridades han descartado la existencia de personas lesionadas. El avance del incendio hacia un segundo punto de la demarcación ha complicado las maniobras de control, por lo que el personal especializado mantiene vigilancia permanente en el área. Actualmente, se desconocen las causas que originaron el siniestro en la comunidad de El Sótano. Las labores de los cuerpos de emergencia continúan activas con el objetivo de sofocar las llamas y evitar que el fuego alcance zonas habitadas o continúe devastando la flora local.</t>
  </si>
  <si>
    <t>Unidad de Planeación y Prospectiva da seguimiento a proyectos prioritarios.</t>
  </si>
  <si>
    <t>Imagen Urbana</t>
  </si>
  <si>
    <t>En un tiempo de 2 minutos con 45 segundos fueron desalojadas las oficinas del Congreso de Hidalgo, con la evacuación de 348 personas de las diferentes áreas, como parte del primer Simulacro Nacional 2026. Andrés Velázquez Vázquez, presidente de la Junta de Gobierno del Congreso local, reconoció la participación de los trabajadores del Poder Legislativo y de visitantes, además precisó que el número de personas evacuadas de la Torre Legislativa fueron 201.</t>
  </si>
  <si>
    <t>Estudiante de UTEC gana dos oros en Olimpiada Nacional CONADE (AUDIO NCV).</t>
  </si>
  <si>
    <t>Respecto al boletín sobre la alianza entre el Gobierno de Hidalgo y Pemex, locutor David Cárdenas destaca que, Alejandro Velázquez Mendoza ha sido enlace importante en estas actividades, en donde empresas cumplen con su responsabilidad y compromiso social y se convierten en aliados de Gobierno del Estado para mejoras en distintas áreas del Estado de Hidalgo. (AUDIO AVM).</t>
  </si>
  <si>
    <t>Gobierno de Hidalgo y Pemex consolidan alianza para el fortalecimiento de servicios públicos (AUDIO JMS); AUDIO RAUL OJEDA).</t>
  </si>
  <si>
    <t>Arrancan en Yahualica las Rutas de la Transformación.</t>
  </si>
  <si>
    <t>El director del Centro INAH Hidalgo, Manuel Villarruel Vázquez, y la Secretaria de Cultura, Educación, Deporte y Juventud de Tulancingo, Guadalupe Rodríguez Uribe, sostuvieron una reunión con habitantes de la comunidad Huapalcalco para informar sobre los avances del proyecto de conservación y restauración que se ejecuta en la Zona Arqueológica. Durante la presentación se dio a conocer que Huapalcalco es una de las cuatro zonas arqueológicas intervenidas en Hidalgo mediante un proyecto validado por el Consejo Nacional del INAH, bajo estrictos lineamientos para la protección y conservación del patrimonio nacional. Como parte de las acciones, se realizan trabajos de mejoramiento de infraestructura para visitantes, entre ellos la rehabilitación de sanitarios, espacios de servicio y áreas destinadas a actividades culturales y de atención al público. Asimismo, se habilitarán áreas administrativas para talleres, orientación a visitantes y espacios de exhibición y exposiciones. El proyecto también contempla el empedrado de la calle Morelos, principal acceso a la zona arqueológica. Entre las labores de conservación destacan trabajos de deshierbe, limpieza, reparación de estructuras, eliminación de grafitis en áreas con pinturas rupestres, colocación de malla ciclónica en aproximadamente 130 metros cuadrados y la instalación de señalética para fortalecer la experiencia turística y proteger el patrimonio histórico. Especialistas del INAH Hidalgo señalaron que el objetivo principal de esta intervención es la conservación y restauración integral del sitio, abierto al público desde la década de 1950, y no la exploración arqueológica, aunque confirmaron que se realizaron hallazgos importantes en recientes fechas. También se reconoció la participación ciudadana y el respaldo de habitantes de Tulancingo que colaboran en la preservación del sitio y en la promoción de la conciencia social sobre la importancia histórica y cultural de Huapalcalco. En representación del gobierno municipal, Guadalupe Rodríguez Uribe reiteró que la alcaldesa Lorena García Cázares mantiene plena disposición para colaborar en todas las acciones que impulsen la conservación, promoción y fortalecimiento de este patrimonio histórico del país.</t>
  </si>
  <si>
    <t>Zona Arqueológica</t>
  </si>
  <si>
    <t>Derivado de la coordinación interinstitucional y la respuesta inmediata de la Secretaría de Seguridad Pública, Tránsito y Vialidad Pachuca a través de la Dirección de Prevención del Delito, fueron localizados y resguardados dos adolescentes que contaban con ficha de búsqueda vigente en la Ciudad de México. Los hechos se registraron en un inmueble ubicado sobre la calle Pasadizo, en la colonia Santa Julia, donde elementos municipales desplegaron un operativo tras una solicitud de colaboración emitida por la Cédula de Búsqueda de Personas de la Policía de la Ciudad de México.</t>
  </si>
  <si>
    <t>Locutor Juan Carlos Santamaría informa que, respeto a los reportes por falta de agua en el municipio de Singuilucan, ya han sido proporcionados a Caasim, la titular del área de comunicación Sarahy Pineda ha solicitado apoyo con los números de contacto para establecer comunicación directa con las y los usuarios.</t>
  </si>
  <si>
    <t>Atención a la ciudadanía</t>
  </si>
  <si>
    <t>Juan Carlos Peña</t>
  </si>
  <si>
    <t>En su colaboración semanal, Gustavo Rosales habló sobre la participación de los deportistas hidalguenses en los “Nacionales Conde”, al corte del 2 de mayo, Hidalgo se sitúa en la décimo tercera posición con 22 metales, de las cuales, ocho son de oro, 11 de plata y tres de bronce. En las primeras posiciones marchan Jalisco con 361 preseas, Nuevo León con 191 en la segunda posición y en la tercera posición Aguascalientes con 62 medallas.</t>
  </si>
  <si>
    <t>Locutor Jesús Riveros da lectura a comentario de radioescucha que reporta, que ya le cobraron el pasaje con el nuevo aumento a la tarifa de transporte público, sin embargo, la colectiva aún no tiene pegada la actualización de la nueva tarifa.</t>
  </si>
  <si>
    <t>Presentarán en Hidalgo la obra “Beatrice, desvelos, cantos y penas”.</t>
  </si>
  <si>
    <t>Evento Cultural</t>
  </si>
  <si>
    <t>La Semot, a través de su organismo sectorizado, el STCH, informa a la ciudadanía que este martes 5 de mayo de 2026 se publicó en el Periódico Oficial del Estado de Hidalgo el acuerdo por el que se establece la actualización de las tarifas por el pago de la prestación del servicio público de transporte de pasajeros en la modalidad colectivo.</t>
  </si>
  <si>
    <t>Impulsa Hidalgo la profesionalización turística rumbo a la temporada mundialista.</t>
  </si>
  <si>
    <t>Capacitación turística</t>
  </si>
  <si>
    <t>Unidad de Planeación y Prospectiva da seguimiento a proyectos prioritarios (AUDIO MATV).</t>
  </si>
  <si>
    <t>Gobierno de Hidalgo y Pemex consolidan alianza para el fortalecimiento de servicios públicos (AUDIO JMS); (AUDIO AVM);(AUDIO RAUL OJEDA)</t>
  </si>
  <si>
    <t>Últimos días de registro al programa Embajadores Juventud 2026.</t>
  </si>
  <si>
    <t>Embajadores de la juventud</t>
  </si>
  <si>
    <t>Radioescucha reporta falta de agua en la colonia Morelos</t>
  </si>
  <si>
    <t>Radioescucha que lleva más de 15 días sin agua en San Bartolo en Venustiano Carranza.</t>
  </si>
  <si>
    <t>Radioescucha reporta falta de agua en la Aquiles Serdán</t>
  </si>
  <si>
    <t>Radioescucha reporta falta de agua en Zona Plateada</t>
  </si>
  <si>
    <t>Radioescucha Elena Vargas reporta falta de agua en San Bartolo en calle Oaxaca</t>
  </si>
  <si>
    <t>Es que a partir de ayer entró en vigor la nueva tarifa para el transporte público dada a conocer el pasado lunes en la conferencia de prensa matutina. Esto ocurre, hay que señalarlo, luego de que las nuevas tarifas fueron publicadas este cinco de mayo en el periódico oficial del estado de Hidalgo. Ya es oficial, ya es un hecho, así es que pues los aumentos en la tarifa del transporte colectivo de las combis, como le conocemos, ya aumentó el 20 por ciento. Si usted pagaba 10 pesos ahora tendrá que pagar 12. ¡Ojo! Es el 20 por ciento y también hay una tarifa escalonada que seguramente será y tendrá que ser publicada en las unidades colectivas que usted utiliza. Ahí tendrá que estar por parte de las autoridades, de la secretaría de movilidad, los costos y las tarifas ya con el ajuste. En los taxis no está permitido el aumento, así es que no nos pasemos de abusivos y hay que estar muy atentos a esta situación</t>
  </si>
  <si>
    <t>Presenta de la al término del evento la declaración del gobernador JMS sobre la problemática que enfrentan los pobladores ribereños por las afectaciones que sufren por el lirio y el mosco en la presa Endhó. JMS:::::Es un tema Pone en riesgo la tranquilidad de las personas, es un tema muy complejo y estamos trabajando en coordinación con el Gobierno Federal.. ROZ::: La presidenta instruyó a PEMEX y CONAGUA, de acuerdo a los que Usted le solicitó Gobernador para intervenir en la resolución del problema.</t>
  </si>
  <si>
    <t>La alianza entre el gobierno de Hidalgo y Pemex se traduce hoy en beneficios tangibles para la población. Con una inversión que supera los 84 millones de pesos, el gobernador Julio Menchaca Salazar anunció la llegada de equipo clave para fortalecer el estado: desde una unidad médica móvil y un camión de bomberos, hasta 6 mil toneladas de asfalto para mejorar las carreteras. Este apoyo, entregado en el C5i, no solo refuerza la infraestructura y la protección civil, sino que también suma esfuerzos en una deuda histórica: la limpieza de la presa Endhó. Entre el equipo destaca una pavimentadora y servicios de salud que operarán de manera itinerante, demostrando que la soberanía energética también se refleja en mejores servicios para las familias hidalguenses. Raúl Ojeda Zubieta anunció que Pemex colaborará con la administración estatal en los trabajos de limpieza de la presa Endhó, a través de una máquina especializada y un millón de litros de diésel para su funcionamiento.</t>
  </si>
  <si>
    <t>Radioescucha más de un mes que estan arreglando un drenaje y nada más no lo terminan</t>
  </si>
  <si>
    <t>Inicia el Curso Hidalgo de Envejecimiento Saludable en la Casa de Día Tlaxcoapan</t>
  </si>
  <si>
    <t>Envejecimiento saludable</t>
  </si>
  <si>
    <t>El Ayuntamiento de Pachuca y la Comisión Nacional Forestal (CONAFOR) firmaron un convenio de colaboración para la integración de brigadas de saneamiento forestal, con el objetivo de combatir la plaga del escarabajo descortezador que afecta árboles de la especie oyamel en la comunidad de San Miguel Cerezo.Serán intervenidas alrededor de 2 mil hectáreas de zona forestal con un programa de trabajo proyectado para desarrollarse durante ocho meses.El saneamiento forestal contará con la participación de un técnico especializado de la CONAFOR, de dos brigadas integradas por ocho elementos en total, quienes realizarán labores de detección, control y manejo de la plaga para evitar su propagación y reducir el impacto ambiental en la zona.</t>
  </si>
  <si>
    <t>Vía telefónica Play Hernández cocinero tradicional de Santiago de Anaya con el tema Hidalgo en Los Pinos</t>
  </si>
  <si>
    <t>Jackeline Vázquez</t>
  </si>
  <si>
    <t>Esperan derrama superior a un millón de pesos en Los Pinos</t>
  </si>
  <si>
    <t>Bernal Díaz, Subsecretario de Protección Civil. Román informó que en los primeros 5 meses de este 2026, se registraron incendios forestales y de pastizales; la mayoría fueron provocados, generando daños al medio ambiente. AUDIO APOYO</t>
  </si>
  <si>
    <t>JMS Responde a pregunta de Verónica Jiménez en relación al proyecto que tiene la UAEH para aprovechar el lirio que se saca de la presa: JMS: Claro que apoyo a mi universidad… también tenemos en las Universidades públicas trabajos en la material…</t>
  </si>
  <si>
    <t>Lirio acuático</t>
  </si>
  <si>
    <t>Radioescucha reporta colectiva de La Loma, entre las 3 o 4 de la tarde; al momento de bajar el cafre, cerró la puerta y me golpeó fuertemente mi brazo. Soy una persona de la tercera edad.</t>
  </si>
  <si>
    <t>Vía telefónica, Jorge Reyes presidente municipal de Pachuca sobre el tema : sobre la restauración del jardín del arte. .El día de mañana damos la inauguración de esta rehabilitación y esta eh los murales que acaban de hacer nuestros grandes artistas, ya el día de mañana estamos convocando después de mediodía todos los artistas a la gente que quiera eh formar parte de y la verdad es que quedó muy padre eh recuperar este espacios, como lo habíamos diciendo es algo que ya se tenía que hacer, sobre todo en ese espacio específicamente el jardín del arte que estuvo muy abandonado durante muchos años</t>
  </si>
  <si>
    <t>Rehabilitación de espacios públicos</t>
  </si>
  <si>
    <t>Entrevista grabada Mayela Godínez Alarcón, Gerente de Planificación Hídrica de la Conagua. Hemos tratado de escuchar todas las voces y la de ustedes es muy importante porque si hay un malestar por parte de la población, pero no quiere decir que no esté nada haciendo el gobierno, sino que pues las acciones se están emprendiendo, se están realizando y requieren mucha paciencia porque este problema no es de hace cinco años, diez años. Es un problema histórico que se ha venido aquejando en la región y con base en esto, pues me gustaría mencionar que ustedes ya tienen una estrategia importante de fumigación, que por eso tenemos la comunicación contigo. ¿Nos podrías compartir este calendario, esta estrategia de fumigación que se está implementando ya en la zona desde el pasado viernes? “Claro, Rodolfo, es muy importante lo que mencionas y quisiera aclarar un poco que esto no es sólo una estrategia enfocada en la fumigación. La fumigación para nosotros es una parte de la estrategia, un punto..El Gobierno de México, en coordinación con diversas dependencias federales y estatales, está implementando un Plan de Recuperación Integral de la Presa Endhó. Este plan busca solucionar de raíz la plaga de mosquitos y la contaminación hídrica mediante una estrategia científica que va más allá de la simple fumigación, involucrando a especialistas nacionales e internacionales. Tanto el locutor como la entrevistada reconocen que existe un sentimiento negativo acumulado debido a la longevidad del problema: El locutor menciona que existe un "malestar por parte de la población" debido a que este problema no es reciente, sino que se ha padecido por décadas. Mayela Godínez admite que las manifestaciones de octubre de 2025 fueron "muy válidas" debido a la saturación de lirio y mosquitos.</t>
  </si>
  <si>
    <t>Restauración Ecológica</t>
  </si>
  <si>
    <t>Radioescucha pide poner topes en Ferrocarril Central</t>
  </si>
  <si>
    <t>Topes vehiculares</t>
  </si>
  <si>
    <t>Comenta conductor Eulalio Larrieta, que los de Caasim estan arreglando una fuga en el Río de las Avenidas y siguen sin terminar</t>
  </si>
  <si>
    <t>Zanjas Caasim</t>
  </si>
  <si>
    <t>La Secretaría de Infraestructura Pública y Desarrollo Urbano Sostenible (SIPDUS) informa sobre la colocación de sellos por parte del Instituto Nacional de Antropología e Historia (INAH) en las luminarias instaladas frente a Casa Rule. La SIPDUS desarrolló los trabajos de acuerdo con los lineamientos establecidos por el INAH, reportando en todo momento respecto a las intervenciones en la calle de Morelos. A su vez, la instancia federal emitió un oficio en el cual establece que en el arroyo vehicular y banquetas no existe ningún elemento considerado como histórico. Derivado de lo anterior, se procedió a la instalación de 20 luminarias sobre la banqueta, para priorizar la seguridad de los transeúntes por la zona. Fue a partir de este hecho que el INAH detectó una obstrucción visual relacionada con la altura de las luminarias, pues no permitían la adecuada visibilidad del monumento histórico; no obstante, la integridad física de la estructura está intacta, así como sus características constructivas, por lo que esta intervención en la vialidad es técnicamente reversible.</t>
  </si>
  <si>
    <t>Luminarias</t>
  </si>
  <si>
    <t>Dos árboles cayeron al interior del jardín de niños Jardín de Niños Alfonso Cravioto Mejorada, con clave C.C.T. 13DJ0881D, la noche del miércoles 6 de mayo, debido a las fuertes ráfagas de viento registradas en la comunidad de Puerto México, municipio de San Agustín Tlaxiaca De acuerdo con la información proporcionada por autoridades educativas, el incidente ocurrió aproximadamente a las 7:00 de la noche, lo que generó preocupación entre personal docente y padres de familia ante los posibles riesgos para las niñas y los niños que acuden a la institución. Tras los hechos, se notificó a Protección Civil de San Agustín Tlaxiaca para solicitar la valoración de daños y el retiro de los árboles caídos; sin embargo, la dependencia respondió que acudiría conforme a sus prioridades de atención.</t>
  </si>
  <si>
    <t>Afectaciones Por Lluvias</t>
  </si>
  <si>
    <t>Julio Menchaca reafirma compromiso con el campo hidalguense en Atlapexco</t>
  </si>
  <si>
    <t>La Secretaría de Educación Pública de Hidalgo (SEPH) informó a la comunidad educativa estatal que, en cumplimiento del acuerdo nacional aprobado durante la LXVI Reunión Nacional Plenaria Ordinaria 2026 del Consejo Nacional de Autoridades Educativas (Conaedu), se realizarán ajustes al calendario escolar vigente para todos los niveles de Educación Básica y Media Superior. Como parte de las modificaciones, el ciclo escolar 2025-2026 concluirá el próximo 5 de junio, medida que responde a la necesidad de proteger a las comunidades escolares ante las altas temperaturas registradas en distintas regiones del país y a la organización del Mundial de Futbol 2026, garantizando al mismo tiempo el cumplimiento de los planes y programas de estudio. La dependencia estatal detalló que las labores administrativas de cierre finalizarán el 12 de junio, mientras que el inicio formal del ciclo escolar 2026-2027 será el 31 de agosto en todas las escuelas públicas y privadas incorporadas al Sistema Educativo Nacional.</t>
  </si>
  <si>
    <t>Modificación ciclo escolar</t>
  </si>
  <si>
    <t>Ya quedó controlado el incendio forestal en el Parque Los Mármoles. Sin embargo, la alcaldesa de Jacala estaba más preocupada por quién iba a atender incendio y no en atender el incendio. Quería que cada cubetada de agua pasara por su supervisión. querer politizar una emergencia de este tamaño no debería de suceder. Lo que se dijo por parte de la Conafor, la Secretaría de Gobernación y todos los organismo que atendieron la emergencia habló de la torpeza y la mala actitud de la alcaldesa que quería prácticamente echar personalmente cada cubetadas de agua. hizo videos y todo lo politizaba.</t>
  </si>
  <si>
    <t>Control de incendio</t>
  </si>
  <si>
    <t>La Secretaría del Medio Ambiente reiteró su compromiso para fortalecer los trabajos en contra del mosco culex que afecta a los habitan tes de la rivera de la presa Endhó.</t>
  </si>
  <si>
    <t>Ayer hubo un bloqueo parcial en la carretera Pachuca- Ciudad Sahagún por parte de vecinos e Xochihuacán que protestaban porque los canales de aguas negras no están entubados y muchas personas las usan como basureros, además de que presentan malos olores y genera un foco de infección. Las autoridades estatales y municipales entablaron un diálogo y se acordó iniciar los trabajos de limpieza de los canales.</t>
  </si>
  <si>
    <t>Andrés Torres informa que se quemó el transformador y no tienen electricidad, por lo que la señal del 1010 AM de El Vocero Huasteco está fuera del aire, pero sí se escuchan en 92.7 FM. Está fuera del aire desde hace casi un mes la estación insignia de la Radio Estatal, la que transmite en náhuatl y castellano. Se está trabajando para resolver la situación a casi un mes de sucedido esto.</t>
  </si>
  <si>
    <t>Tras la entrada en vigor del incremento a la tarifa del transporte público en modalidad colectivo, luego de su publicación en el Periódico Oficial del Estado de Hidalgo (POEH), el gobernador de, Julio Menchaca, aseguró que los concesionarios y transportistas deberán mejorar “de inmediato” el servicio que brindan a la ciudadanía. “Así como entró ya el aumento, pues a partir de ahorita tiene que haber mejoras inmediatamente, es una con otra”. Menchaca señaló que el ajuste tarifario ya es vigente tras su publicación en el POEH, sin embargo, dijo que solicitará a la Secretaría de Movilidad y Transporte (Semoth) que se exija la colocación visible de tarifarios en las unidades.</t>
  </si>
  <si>
    <t>Derivado de la coordinación interinstitucional y la respuesta inmediata de la Secretaría de Seguridad Pública, Tránsito y Vialidad Pachuca a través de la Dirección de Prevención del Delito, fueron localizados y resguardados dos adolescentes que contaban con ficha de búsqueda vigente en la Ciudad de México. Los hechos se registraron en un inmueble ubicado sobre la calle Pasadizo, en la colonia Santa Julia, donde elementos municipales desplegaron un operativo tras una solicitud de colaboración emitida por la Cédula de Búsqueda de Personas de la Policía de la Ciudad de México. Mediante labores de geolocalización se obtuvo información sobre la posible ubicación de los adolescentes identificados con las iniciales K.G.V., de 17 años, y C.E.M.F., de 16 años. Al arribar al lugar, se confirmó la presencia de dos jóvenes con características coincidentes con las fichas de búsqueda.</t>
  </si>
  <si>
    <t>Exigen localización de persona</t>
  </si>
  <si>
    <t>La mañana del jueves 7 de mayo, un hombre fue hallado sin vida en la Central de Abastos de Pachuca, ciudadanos dieron aviso. Autoridades se desplegaron en las inmediaciones de la Central de Abastos de Pachuca, luego del reporte de un hombre inconsciente sobre el camellón central del bulevar Rojo Gómez. Al sitio acudieron paramédicos y elementos de seguridad, quienes al realizar la valoración confirmaron que la persona ya no contaba con signos vitales. De acuerdo con los primeros reportes, el hombre no presentaba lesiones visibles, por lo que serán las investigaciones correspondientes las que determinen las causas del fallecimiento. La zona permaneció acordonada mientras autoridades y personal especializado realizaron las diligencias en el lugar, generando expectación entre comerciantes y personas que transitaban por el área.</t>
  </si>
  <si>
    <t>Localización de cuerpo</t>
  </si>
  <si>
    <t>Elementos de la Secretaría de Seguridad Pública de Hidalgo aprehendió a dos menores de edad presuntamente relacionados con una agresión con arma de fuego registrada en la colonia Barrio Alto, municipio de Tula de Allende. Tula de Allende, Hidalgo.- Lo anterior, derivado de un reporte recibido a través del número de emergencias 911, mediante el cual se alertó sobre una persona lesionada por disparo de arma de fuego. Elementos de la Policía Estatal implementaron un operativo que permitió el aseguramiento de los dos menores. Al arribar al lugar, los oficiales se entrevistaron con la persona lesionada, quien manifestó haber sido agredida por dos masculinos que viajaban a bordo de un vehículo tipo sedán color gris, resultando con una lesión en el pómulo derecho. Asimismo, refirió haber observado anteriormente a los presuntos responsables en la colonia Rinconada de Tultengo.</t>
  </si>
  <si>
    <t>El Gobierno Municipal de Actopan emitió un comunicado oficial para aclarar información difundida en distintos medios de comunicación respecto a una presunta investigación relacionada con una posible fosa clandestina en el municipio, señalando que dicha afirmación es falsa. De acuerdo con el reporte, durante las primeras horas del día se informó sobre la presencia de una piedra con características similares a una lápida en un predio ubicado sobre la calle Capulín, en la colonia Cañada Chica, motivo por el cual elementos de la Dirección General de Seguridad Pública y Tránsito Municipal acudieron al lugar para atender la solicitud ciudadana y realizar las primeras verificaciones. Posteriormente, y a petición de la autoridad municipal, personal pericial e investigadores de la Procuraduría General de Justicia del Estado se presentaron en el sitio para llevar a cabo las diligencias correspondientes. Luego de concluir las diligencias, las autoridades descartaron cualquier indicio relacionado con una posible fosa clandestina.</t>
  </si>
  <si>
    <t>Noticias falsas</t>
  </si>
  <si>
    <t>Con el objetivo de fortalecer la vigilancia en el Valle del Mezquital, fue rehabilitada la base de la Guardia Nacional.</t>
  </si>
  <si>
    <t>Prevención del delito</t>
  </si>
  <si>
    <t>En cabina Guadalupe Rodríguez Uribe, titular de la Secretaría de Cultura, Educación, Deporte y Juventud en Tulancingo informó que su municipio estará presente en la "Hidalgo en los Pinos" el 10 de mayo con la participación del Coro Monumental Infantil de Tulancingo, pero solo van 39 miembros de los 500 que lo conforman. invita a las familia a acudir a este evento.</t>
  </si>
  <si>
    <t>La ampliación de la autopista México- Tuxpan en el tramo hacia Tulancingo y Nuevo Necaxa será entregada antes de terminar la actual administración, esto fue señalado por Armando Pérez, titular de Desarrollo Urbano, Medio ambiente y Obras Pública de Tulancingo</t>
  </si>
  <si>
    <t>Ampliación carretera</t>
  </si>
  <si>
    <t>La Universidad Politécnica de la Energía (UPE) impulsa la formación profesional de su comunidad estudiantil mediante el Modelo de Educación Dual, que permite a las y los estudiantes integrarse a entornos reales del sector productivo. En este contexto, el estudiante Jael André Sánchez Reyes, de quinto cuatrimestre del Técnico Superior Universitario en Perforación y Servicios a Pozos, realiza su estadía en la Gerencia de Coordinación Operativa de la Región Marina Noreste (RMNE), en el área de Exploración y Producción de PEMEX. Durante este periodo, desarrolla actividades relacionadas con su área de formación, permitiéndole aplicar conocimientos teóricos, adquirir experiencia práctica y fortalecer sus competencias en un entorno estratégico para la industria energética.</t>
  </si>
  <si>
    <t>Educación dual</t>
  </si>
  <si>
    <t>41 Centros LIBRE iniciaron operaciones en varios puntos del Estado de Hidalgo, bajo el modelo del Programa de Atención Integral para el Bienestar de las Mujeres.</t>
  </si>
  <si>
    <t>Centros LIBRE</t>
  </si>
  <si>
    <t>El proyecto de construcción de lo que será la Casa de la Mujer Indígena, en Tenango de Doria registra un avance del 50 por ciento, informó Prisco Manuel Gutiérrez, titular de la Comisión para el Desarrollo Sostenible de los Pueblos Indígenas del Estado de Hidalgo. El funcionario recordó que se trata de un espacio donde se preservan y fortalecen los conocimientos ancestrales de los pueblos indígenas, particularmente aquellos relacionados con la partería tradicional. Este espacio brindará atención integral a mujeres embarazadas de la región Otomí-Tepehua, incluyendo municipios como Huehuetla, San Bartolo Tutotepec, Metepec, Agua Blanca, Acaxochitlán y parte de Tulancingo. Ahí se ofrecerá acompañamiento durante el embarazo, el parto y el puerperio, bajo un enfoque respetuoso de la cosmovisión indígena. Además, permitirá que mujeres practicantes de la partería cuenten con instalaciones adecuadas para brindar sus servicios, al tiempo que acceden a procesos de capacitación, certificación y oportunidades de ingreso económico, fortaleciendo su autonomía y reconocimiento social.</t>
  </si>
  <si>
    <t>Casa de la Mujer Indígena</t>
  </si>
  <si>
    <t>A un mes que concluya el plazo para solicitar créditos, los municipios de Zacualtipán y Tianguistengo pidieron al Poder Legislativo la aprobación de financiamiento aproximado por de 22 millones en conjunto, mediante un esquema global para atender temas relacionados con la vaguada monzónica. Armando Pérez Hernández, presidentes municipales de Zacualtipán, y Febronio Rodríguez Villegas, de Tianguistengo, enviaron un escrito por el que solicitan al Congreso de Hidalgo la autorización de esquema global de financiamiento. Al respecto, el diputado local Miguel Moreno Zamora explicó que la solicitud de ambos alcaldes será un decreto global, el cual servirá para que los 28 municipios afectados por la vaguada de octubre de 2025, puedan adherirse y no pasen por todo el proceso legislativo para la aprobación de financiamiento. “Los tiempos están ya muy cortos para buscar financiamiento, y si en algún momento algunos municipios quisieran utilizar este esquema, esto va a permitir que ellos también puedan estar adhiriéndose y que reduzca los tiempos de manera significativa, porque ya no se generaría la inscripción de manera individual”, detalló.</t>
  </si>
  <si>
    <t>Daniel Martínez: hemos solicitado una entrevista con el Secretario de Educación, Natividad Castrejón y nos comentan sus colaboradores que en este momento está camino a la huasteca y la señal telefónica es inestable. Ojalá el lunes podamos tener comunicación y saber el posicionamiento que se tiene en el tema de la modificación del calendario escolar.</t>
  </si>
  <si>
    <t>Daniel Martínez comenta que en México se jugarán 13 de 104 partidos del próximo mundial de fútbol en comparación con los 50 o 60 partidos que se jugaron en el mundial del 86 y que por el precio de los boletos, será muy poca gente la que acudirá a los estadios. Asevera que el pretexto del mundial es inenarrable. Esto también afectará la economía de muchos negocios. Además, dijo que de acuerdo a la Organización para la Cooperación y Desarrollo Económico, señala que la Prueba Pisa México bajó del lugar 57 en la aplicación de las matemáticas al lugar 87 y se les ocurre a las autoridades educativas federales recortar el ciclo escolar 40 días y vámonos al mundial. Asimismo, dijo que ni en el 2024 con las temperaturas que se tuvieron se hizo esto, por lo que lo de la temperatura es un pretexto. Ojalá que la sonrisa le alcance a Mario Delgado para seguir haciendo videítos con música alegre.</t>
  </si>
  <si>
    <t>La presidenta de la República, Claudia Sheinbaum, señaló que lo que confirmó ayer Mario Delgado respecto de recortar el calendario escolar 40 días “es una propuesta”. En su mañanera de este viernes, Sheinbaum aseguró que “la propuesta” viene de los estados de la República “y de algunos maestros” para adelantar las vacaciones. Sin embargo, afirmó que aún no hay un calendario definido, pese a que ayer la SEP definió el calendario modificado.</t>
  </si>
  <si>
    <t>Posterior al retiro de los sellos colocados por el Instituto Nacional de Antropología e Historia (INAH) en las luminarias instaladas frente a Casa Rule, se iniciará con la reubicación de estas de manera conjunta con el municipio. De acuerdo con la Secretaría de Infraestructura Pública y Desarrollo Urbano Sostenible (SIPDUS) antes de la colocación de las lámparas se desarrollaron trabajos de acuerdo con los lineamientos establecidos por el INAH, reportando en todo momento respecto a las intervenciones en la calle Morelos. A su vez, la instancia federal emitió un oficio en el cual establece que en el arroyo vehicular y banquetas no existe ningún elemento considerado como histórico, por lo que se colocaron las 20 luminarias sobre la banqueta, para priorizar la seguridad de los transeúntes por la zona. Sin embargo, el INAH detectó una obstrucción visual relacionada con la altura de las luminarias, pues no permitían la adecuada visibilidad del monumento histórico.</t>
  </si>
  <si>
    <t>Los trabajos que se desarrollarán en la Zona de Monumentos Arqueológicos (ZMA) de Hupalcalco, tienen objetivo de conservar dicho espacio físico y con ello dignificarlo, por lo que por el momento no se tienen contemplados investigación arqueológica. La aclaración fue realizada por Manuel Villarruel Vázquez, director de la delegación del Instituto Nacional de Antropología e Historia (INAH) en Hidalgo, en reunión con vecinos de la zona, promotores culturales y activistas sociales. Acompañado de Guadalupe Rodríguez Uribe, titular de la Secretaría de Cultura, Educación, Deporte y Juventud de Tulancingo, fueron desglosados los trabajos que se realizan en la ZMA, así como detalles del proceso integral. Entre las labores de conservación destacan trabajos de deshierbe, limpieza, reparación de estructuras, eliminación de grafitis en áreas con pinturas rupestres, junto con la colocación de malla ciclónica en aproximadamente 130 metros cuadrados. Así como la instalación de señalética para fortalecer la experiencia turística y proteger el patrimonio histórico. Además, se habilitarán áreas administrativas para talleres, orientación a visitantes y espacios de exhibición y exposiciones. El proyecto también contempla el empedrado de la calle Morelos, principal acceso a la zona arqueológica. Actualmente se realizan trabajos de mejoramiento de infraestructura para visitantes, entre ellos la rehabilitación de sanitarios, espacios de servicio y áreas destinadas a actividades culturales y de atención al público. Dichos trabajos están financiados por el Gobierno Federal, y el proyecto general fue validado y aprobado por el Consejo Nacional del INAH, bajo estrictos lineamientos para la protección y conservación del patrimonio nacional, afirmó Villarruel Vázquez.</t>
  </si>
  <si>
    <t>“La transformación se hace aquí, en las comunidades”, reitera Menchaca desde Yahualica</t>
  </si>
  <si>
    <t>Daniel Martínez: ojalá que la sonrisa le alcance para hacer videitos con música alegre</t>
  </si>
  <si>
    <t>Izza Hernández comenta que hay molestia de padres de familia por recorte del ciclo escolar, pues señalan que no se les tomó en cuenta y que por una ola de calor o por el frío nunca se habían suspendido las clases. Esperan se analice esta determinación. Los maestros piden no se les culpe de esto, pues no fueron tomados en cuenta y fue una sorpresa también para ellos. A los padres de familia con estos 3 meses de vacaciones se les complicará dónde dejar a los niños.</t>
  </si>
  <si>
    <t>Izza Hernández</t>
  </si>
  <si>
    <t>Será adelantado el final del ciclo escolar 2025-226, por lo que las actividades escolares finalizarán el próximo 5 de junio, debido al inicio del Mundial y por la ola de calor que impacta al País. Así lo dio a conocer el Secretario de Educación Pública en México Mario Delgado, tras establecerse acuerdo unánime del Consejo Nacional de Autoridades Educativas integrado por todas las secretarias y secretarios de educación pública estatales. Los acuerdos incluyen que las labores administrativas terminen el 12 de junio próximo, regresando los trabajadores de la educación el próximo 10 de agosto, para tener una semana de Consejo Técnico para preparar el siguiente Ciclo Escolar. Del 17 al 28 de agosto habrá dos semanas oficiales de reforzamiento de aprendizajes. El arranque del Ciclo Escolar 2026-2027 está previsto para el 31 de agosto próximo. Por distintas circunstancias y distintas peticiones que hemos tenido, adelantaremos el cierre del ciclo para el siguiente 5 de junio. (…) Y arrancamos oficialmente el ciclo escolar el 31 de agosto”, informó Mario Delgado.</t>
  </si>
  <si>
    <t>El ciclista hidalguense Manuel Sebastián Paredes, se encuentra realizando un campamento de trabajo en Europa con el equipo Monex, específicamente en Italia, como parte de su preparación rumbo a importantes competencias internacionales. Esta semana, el atleta participará en el COURSE DE LA PAIX, que se llevará a cabo en la República Checa, consolidando así su proceso de fogueo en el ciclismo de alto nivel.</t>
  </si>
  <si>
    <t>Justa Deportiva</t>
  </si>
  <si>
    <t>Pobladores de las comunidades ribereñas de la presa Endhó de los municipios de Tepetitlán, de Tezontepec de Aldama y de Tula de Allende, afectados por el lirio acuático y el mosco culex, cumplieron su amenaza de bloquear las obras de construcción del tren México- Querétaro para presionar al gobierno federal de atender urgentemente el problema que aseguran se ha convertido en un auténtico infierno. Este miércoles al mediodía, habitantes del occidente de Tula, con pancartas en mano, bloquearon los campamentos de las constructoras que realizan los tramos cuatro, cinco y seis del tren México- Querétaro en las comunidades de San Antonio Tula y San Sebastián, municipio de Nopala de Villagrán, e impidieron el ingreso y la salida de maquinaria y de trabajadores en demanda de acabar con el lirio acuático en la Endhó y la fumigación de las comunidades afectadas por la plaga del mosco culex. Casi al anochecer, cuando los moscos están más activos, los manifestantes obligaron a Miguel Ángel Contreras, director de Enlace y Movilidad de la Secretaría de Infraestructura, Comunicaciones y Transportes del Gobierno de México a caminar más de tres kilómetros desde el campamento en la comunidad de San Antonio hasta la presa Endhó en la comunidad de Michimaloya. Momentáneamente los pobladores acordaron con el funcionario de la SICT recibir una respuesta concreta por parte del gobierno federal el próximo martes 12 de mayo y o de lo contrario, pues bueno, los afectados advirtieron que van a elevar sus acciones en contra del gobierno hasta que sus demandas sean resueltas.</t>
  </si>
  <si>
    <t>Edson Vélez</t>
  </si>
  <si>
    <t>Gobierno de Hidalgo impulsa la salud comunitaria y preservación cultural</t>
  </si>
  <si>
    <t>En la sesión de preguntas de la rueda de prensa del torneo de pesca La Truchiza Hidalgo 2026, el presidente de la Federación Nacional de Pesca Deportiva, José Isauro García, nos compartió cómo es el proceso para que una persona que practica la pesca deportiva pueda afiliarse a la federación.</t>
  </si>
  <si>
    <t>Presa El Cedral será sede del torneo de pesca deportiva “La Truchiza Hidalgo 2026”</t>
  </si>
  <si>
    <t>Gregorio González, Gerente general de Ex hacienda El Zoquital invita a la población en general a acudir al Festival del Cordero y el Mezcal</t>
  </si>
  <si>
    <t>Festival Gastronómico</t>
  </si>
  <si>
    <t>Con más de 400 años de historia, la ex hacienda El Zoquital, ubicado en Atotonilco el Grande, será sede este sábado 16 de mayo del cuarto Festival del Cordero y el Mezcal. El evento reunirá lo mejor de la producción ovina, quesos artesanales y la gastronomía local de Hidalgo.</t>
  </si>
  <si>
    <t>Uno de los municipios que más ha dado de qué hablar en este periodo es el municipio de Huichapan, sobre todo por estos pequeños escándalos que se han surgido durante toda la administración. Ahora el regidor o las regidoras del partido Morena de Huichapan, pues, analizan presentar una denuncia formal por violencia política en razón de género contra el síndico procurador y un regidor.La decisión surge tras el altercado registrado en la sesión de Cabildo del pasado 5 de mayo, la cual tuvo que ser suspendida abruptamente por la falta de condiciones para continuar con los trabajos</t>
  </si>
  <si>
    <t>El avance del proyecto ferroviario México-Querétaro en el territorio hidalguense ya enfrenta otro de sus primeros ajustes, esto por la localización de los vestigios arqueológicos localizados en la región de Tula obligaron a modificar parte del trazo de la original obra, AUDIO APOYO</t>
  </si>
  <si>
    <t>Vestigios Arqueológicos</t>
  </si>
  <si>
    <t>Miguel Tello Vargas, Secretario de Planeación y Prospectiva, habló sobre la tecnificación del campo hidalguense que busca pues modernizar la infraestructura de riego para optimizar el agua en el Valle del Mezquital, con un enfoque integral que incluye la nivelación de tierras por gps y la implementación de sistemas de riego por goteo o aspersión. AUDIO DE APOYO</t>
  </si>
  <si>
    <t>Mientras empresas taurinas ya cancelaron y pospusieron eventos programados para este mes en la capital del estado, el Congreso local avanzan los trabajos legislativos para definir el futuro de la tauromaquia en la entidad. El diputado Abelino Tobar Iglesias entregó a la primera Comisión de la Legislación y Puntos Constitucionales un documento técnico y jurídico con el que busca fortalecer la iniciativa que propone prohibir las corridas de toros en el estado. AUDIO APOYO</t>
  </si>
  <si>
    <t>Tauromaquia</t>
  </si>
  <si>
    <t>Radioescucha reporta que siguen sin arreglar los semáforos que están rumbo a Tulipanes por Chedraui, no funcionan</t>
  </si>
  <si>
    <t>Semaforización</t>
  </si>
  <si>
    <t>El gobernador Julio Menchaca durante su gira por la Huasteca Hidalguense encabezó en Atlapexco las rutas de la transformación donde entregó apoyos al campo y puso en marcha acciones para combatir el gusano barrenador aquí en el ganado. Acompañado por el secretario de Agricultura del Estado, Napoleón González Pérez, el mandatario inauguró en Tecolotitla un corral de inspección y tratamiento de ganado con capacidad para la estrategia sanitaria para contener la plaga del gusano barrenador.Además, destacó que en Atlapexco se mantienen inversiones superiores a los 219 millones de pesos en infraestructura carretera, hidráulica y social, con obras de rehabilitación y pavimentación en distintas comunidades de la regió, AUDIO APOYO</t>
  </si>
  <si>
    <t>“La transformación se hace aquí, en las comunidades”, reitera Menchaca desde Yahualica, AUDIO APOYO</t>
  </si>
  <si>
    <t>Se retomaron las rutas de la transformación, el gobernador de Hidalgo, Julio Menchaca, visitó el municipio de Yahaulica, donde supervisó obras de infraestructura, drenaje y rehabilitación de caminos que buscan mejorar la conectividad y seguridad de las comunidades de la Huasteca. Durante la gira, el mandatario destacó que de 2022 a la fecha se han invertido más de 271 millones de pesos en obras para este municipio, entre ellas la construcción del Centro de Salud de Santa Teresa, modernización de carreteras y sistemas de alcantarillado,</t>
  </si>
  <si>
    <t>Anuncia presidenta del sistema DIF, Edda Vite Ramos, mejoras en los centros de rehabilitación integral regional de Hidalgo, la información con Jocelyn Sánchez. Más de 400 mil atenciones a personas con discapacidad se han brindado en Hidalgo tan solo durante el 2025, así lo informó el sistema DIF estatal durante la entrega de ayudas técnicas en el CRIR de Santiago Tulantepec La presidenta del patronato del sistema DIF Hidalgo, Edda Vite Ramos, destacó que se contemplan mejoras para los seis centros de rehabilitación integral regional del estado ante la alta demanda Durante la jornada, habitantes de Tulancingo, Cuautepec, Tepeapulco y Tlanalapa recibieron sillas de ruedas, andaderas y bastones para fortalecer su movilidad y calidad de vida. Por su parte, Ricardo Alviso Contreras, titular del DIF Hidalgo, señaló que los seis CRIR ubicados en Huehuetla, Huejutla, Ixmiquilpan, Tula, Zacualtipán y Santiago Tulantepec operan actualmente a su máxima capacidad.</t>
  </si>
  <si>
    <t>Radioescucha comenta que los choferes de colectivas son mal hablados, siempre van llenas las combis y se quejan.</t>
  </si>
  <si>
    <t>El gobierno municipal de Mineral de la Reforma anunció la apertura de una consulta pública del 8 de mayo al 8 de junio para fortalecer el Programa de Ordenamiento Ecológico Local Participativo, con el objetivo de promover un crecimiento urbano ordenado y sustentable.</t>
  </si>
  <si>
    <t>Ordenamiento ecológico</t>
  </si>
  <si>
    <t>La presidenta Claudia Sheinbaum informó que la propuesta para adelantar el periodo vacacional escolar con motivo del Mundial, surgió tras solicitudes realizadas por gobiernos estatales y personal docente, a través del titular de la SEP, Mario Delgado Carrillo. Precisó que el calendario escolar aún se encuentra en análisis y aseguró que cualquier ajuste buscará garantizar que las y los estudiantes no pierdan días de clase . AUDIO APOYO</t>
  </si>
  <si>
    <t>La Secretaría de Educación Pública (SEP) aprobó modificar el calendario escolar del ciclo 2025-2026, por lo que las clases para más de 24 millones de alumnos de educación preescolar, primaria, secundaria y bachillerato en el país concluirán el próximo 5 de junio y no el 15 de julio, como se tenía previsto.Lo anterior ante la "intensa ola de calor, la realización del Mundial del Fútbol y otro factores", detalló el titular de la dependencia, Mario Delgado Carrillo, AUDIO APOYO</t>
  </si>
  <si>
    <t>Radioescucha Jaime Morán nos comenta, como profesor nosotros hacemos nuestra planeación semanal y mensual, aún no tenemos el plan de clausura, tenemos que trabajar a marchas forzadas, nos cayó de sorpresa este anuncio de cierre anticipado del ciclo escolar que será el próximo 5 de junio.</t>
  </si>
  <si>
    <t>La Secretaría de Educación Pública de Hidalgo, así como también por parte del Gobierno Federal, informó que el ciclo escolar 2025-2026 concluirá de manera anticipada el próximo 5 de junio para estudiantes de educación básica y media superior como parte de un acuerdo nacional aprobado en la 66ª reunión de CONAEDU. Esta medida busca proteger a la comunidad escolar ante las altas temperaturas registradas en distintas regiones del país y facilitar la organización por el Mundial de Fútbol sin afectar el cumplimiento de los planes de estudio. La SEP Hidalgo detalló que las labores administrativas van a finalizar el 12 de junio, aunque sus hijos asistirán solamente hasta el 5 de ese mes, mientras que el nuevo ciclo escolar 2026-2027 arrancará el 31 de agosto en escuelas públicas y privadas incorporadas al Sistema Educativo Nacional.</t>
  </si>
  <si>
    <t>Radioescucha comenta: “Sobre el tema de la modificación del calendario escolar, creo que las autoridades no pensaron en los docentes de escuelas privadas; si no trabajamos, no nos pagan y van a ser 3 meses”</t>
  </si>
  <si>
    <t>Claudia Sheinbaum informó que la propuesta para adelantar el periodo vacacional escolar con motivo del Mundial, surgió tras solicitudes realizadas por gobiernos estatales y personal docente, a través del titular de la SEP, Mario Delgado Carrillo. Precisó que el calendario escolar aún se encuentra en análisis y aseguró que cualquier ajuste buscará garantizar que las y los estudiantes no pierdan días de clase.</t>
  </si>
  <si>
    <t>La Secretaría de Educación Pública (SEP) aprobó modificar el calendario escolar del ciclo 2025-2026, por lo que las clases para más de 24 millones de alumnos de educación preescolar, primaria, secundaria y bachillerato en el país concluirán el próximo 5 de junio y no el 15 de julio, como se tenía previsto.Lo anterior ante la "intensa ola de calor, la realización del Mundial del Fútbol y otro factores", detalló el titular de la dependencia, Mario Delgado Carrillo.</t>
  </si>
  <si>
    <t>Participación semanal Dr. Juan Esquerra con el tema: Nueva ley notarial. Comentó que esta ley se propuso por el maestro Pedro Luis Noble y el gobernador Julio Menchaca, porque, lo interesante de esta propuesta es que buscan un acceso por mérito. El gobernador tiene la experiencia de haber creado el Instituto de Profesionalización e Investigaciones Jurídicas del Poder Judicial y ahora por ello están creando también un instituto que se llama de Investigaciones Jurídicas y Profesionalización Notarial para capacitar precisamente a los notarios</t>
  </si>
  <si>
    <t>La Secretaría de Economía declaró la protección de la Indicación Geográfica Chile Rayado de la Misión un reconocimiento que distingue a esta variedad de chile jalapeño originario de Hidalgo por sus características únicas de sabor, picor y proceso tradicional de producción. Si usted no lo ha probado, hágalo, por favor. Y si puede, pues vaya a la misión a Jacala, a estos municipios de la serranía hidalguense, a probar el chile rayado, sobre todo en un platillo tan típico de esa región, que es la carne de puerco con chile rayado. Es delicioso, es un platillo de la gastronomía serrana muy, muy rico.El producto destaca por sus marcas rayadas naturales, señal de madurez fisiológica, además de un intenso picor que alcanza entre 100 mil y 350 mil unidades Scoville. También se caracteriza por su aroma ahumado, textura seca y color rojo oscuro, resultado del proceso artesanal de deshidratación.Esta declaratoria reconoce además las técnicas tradicionales de cultivo y producción que realizan familias productoras del municipio de la misión, donde las condiciones climáticas y geográficas permiten el desarrollo de este chile emblemático. AUDIO DE APOYO</t>
  </si>
  <si>
    <t>Sedeco</t>
  </si>
  <si>
    <t>Indicación geográfica</t>
  </si>
  <si>
    <t>Miled 97.1 FM</t>
  </si>
  <si>
    <t>Línea en Alta Tensión</t>
  </si>
  <si>
    <t>Entrevista vía telefónica Lin Pavón, locutora comunitaria, que narra en náhuatl el partido México-Argentina en el Mundial de Qatar, quien participará en el Complejo de Los Pinos, representando a Hidalgo.</t>
  </si>
  <si>
    <t>María Antonieta Islas</t>
  </si>
  <si>
    <t>Entrevista vía telefónica Erick Calva capitán de cuernudos de Calnali con el tema: Hidalgo en Los Pinos,</t>
  </si>
  <si>
    <t>Hidalgo espera superar el millón de pesos en derrama económica durante la edición 2026 de Hidalgo en Los Pinos, que se realizará este 9 y 10 de mayo en la Residencia Oficial de México. La secretaria de Cultura, Neida Naranjo Baltazar, destacó el creciente interés del público por los productos artesanales y gastronómicos del Estado.La funcionaria señaló que por instrucción del gobernador Julio Menchaca Salazar, se fortalecen espacios de difusión para promover la riqueza cultural de Hidalgo y al mismo tiempo generar ingresos para las familias artesanas y cocineras tradicionales. En la edición 2025, las ventas aumentaron 70% respecto al año anterior, al alcanzar una derrama de más de 891 mil pesos con la visita de más de 9 mil 600 personas, posicionando a Hidalgo como la entidad con mayores ventas en este encuentro nacional. Para este año, para este 2026, la delegación hidalguense crecerá con la participación de 54 municipios, 12 más que el año pasado, además de una mayor presencia de artistas, artesanos y productores que llevarán la identidad y tradiciones del Estado a uno de los escaparates culturales más importantes del país</t>
  </si>
  <si>
    <t>El legislador Leonel Perusquía Muedano (PRD) presentó la propuesta de acuerdo económico que exhorta a la Secretaría de Agricultura y Desarrollo Rural de Hidalgo y a los 84 municipios a fortalecer las acciones de vigilancia, control y captura focalizada de murciélago hematófago.El diputado explicó que las mordeduras de dicho murciélago constituyen uno de los principales factores que favorecen la presencia y propagación del gusano barrenador, representando un riesgo inmediato para la sanidad pecuaria, el patrimonio de las y los productores ganaderos y para la estabilidad económica de diversas regiones del estado.</t>
  </si>
  <si>
    <t>En la conferencia mañanera se dio a conocer las inversiones que se realizarán para los gasoductos en la región de Tula. Los polos de desarrollo del centro serán alimentados con este energético, informó Emilia Ester Callejas, titular de la Comisión Federal de Electricidad. En cuanto al ramal Tula, va desde Tula, Hidalgo hasta Querétaro. AUDIOS DE APOYO.</t>
  </si>
  <si>
    <t>Gasoducto</t>
  </si>
  <si>
    <t>Radioescucha reporta fuga de agua (Manda el dato directamente a personal de Cassim)</t>
  </si>
  <si>
    <t>Fuga De Agua</t>
  </si>
  <si>
    <t>La Secretaría de Seguridad Pública de Hidalgo detuvo a dos menores de edad presuntamente relacionados con una agresión armada ocurrida en la colonia Barrio Alto, aquí en el municipio de Tula de Allende. De acuerdo con el reporte emitido al número de emergencia 911, una persona resultó lesionada por disparo de arma de fuego, por lo que elementos de la policía estatal desplegaron un operativo de búsqueda en la zona. La víctima señaló que fue atacada por dos sujetos que viajaban en un vehículo sedán color gris y que logró identificarlos previamente en la colonia Rinconada de Tultengo.</t>
  </si>
  <si>
    <t>Detención</t>
  </si>
  <si>
    <t>La SSPH aprehendió a dos menores de edad presuntamente relacionados con una agresión con arma de fuego registrada en la colonia Barrio Alto, municipio de Tula de Allende.Lo anterior, derivado de un reporte recibido a través del número de emergencias 911, mediante el cual se alertó sobre una persona lesionada por disparo de arma de fuego. Elementos de la Policía Estatal implementaron un operativo que permitió el aseguramiento de los dos menores. Al arribar al lugar, los oficiales se entrevistaron con la persona lesionada, quien manifestó haber sido agredida por dos masculinos que viajaban a bordo de un vehículo tipo sedán color gris, resultando con una lesión en el pómulo derecho. Asimismo, refirió haber observado anteriormente a los presuntos responsables en la colonia Rinconada de Tultengo.En consecuencia, se implementó un operativo de búsqueda y localización en la zona, logrando ubicar el vehículo con las características referidas en la colonia antes mencionada. Al percatarse de la presencia policial, los tripulantes descendieron de la unidad e intentaron darse a la fuga.Durante la persecución, uno de los individuos cayó, siendo asegurado en el lugar, mientras que el segundo ingresó a un domicilio y posteriormente brincó una barda, logrando ser detenido metros adelante.A los presuntos responsables, de 14 y 15 años de edad, se les realizó una revisión preventiva, localizándoles un cargador calibre .22. Por estos hechos, los menores y el vehículo asegurado fueron puestos a disposición del Ministerio Público, autoridad encargada de realizar las investigaciones correspondientes y determinar su situación legal.</t>
  </si>
  <si>
    <t>Ya veníamos hablando de este tema, de hecho tuvimos comunicación con gente de Conagua esta semana, hablando de este punto, de este control químico, de esta primera fase que se tiene proyectada, de cuatro, para poder resarcir los problemas que se tienen sobre todo el mosco y el lirio acuático en la presa Endhó. Hoy se aplicará la fumigación en Xijay de Cuauhtémoc y en Colonia Michimaloya en Tula y también en Santa María Daxthó y en San Pedro Nextlalpan en Tepetitlán.</t>
  </si>
  <si>
    <t>El Instituto Hidalguense de las Mujeres (IHM), arrancó operaciones en los 41 Centros LIBRE comprometidos este año para Hidalgo, bajo el modelo del Programa de Atención Integral para el Bienestar de las Mujeres (PAIBIM), en un esfuerzo coordinado entre los tres niveles de gobierno.Con esta estrategia impulsada por la presidenta de México, Claudia Sheinbaum, a través de la Secretaría de las Mujeres, el IHM cumple una de sus funciones sustantivas: prevenir y atender a mujeres en situación de violencia, a la vez que se impulsa su autonomía económica, destacó Oralia Arista Castelazo, directora general del organismo, en representación de la titular, Katya Gabriela Hernández Pérez.</t>
  </si>
  <si>
    <t>Hablemos del aumento en las tarifas del transporte público, pues tras la entrada en vigor de este incremento a la tarifa del transporte, luego de su publicación en el Periofico Oficial, solo es para las colectivas (Combis) el gobernador Julio Menchaca aseguró que los concesionarios y transportistas deberán mejorar de inmediato, de inmediato el servicio que brindan a la ciudadanía. Menchaca señaló que el ajuste tarifario ya es vigente tras su publicación en el periódico oficial del Estado de Hidalgo, sin embargo dijo que solicitará a la Secretaría de Movilidad y Transporte que se exija la colocación visible de tarifarios en las unidades. AUDIO DE APOYO JMS</t>
  </si>
  <si>
    <t>Hablemos del aumento en las tarifas del transporte público, del transporte colectivo que ya es oficial a través del periódico oficial del Estado de Hidalgo, pues tras la entrada en vigor de este incremento a la tarifa del transporte, luego de su publicación, el gobernador Julio Menchaca aseguró que los concesionarios y transportistas deberán mejorar de inmediato, de inmediato el servicio que brindan a la ciudadanía. Menchaca señaló que el ajuste tarifario ya es vigente tras su publicación en el periódico oficial del Estado de Hidalgo, sin embargo dijo que solicitará a la Secretaría de Movilidad y Transporte que se exija la colocación visible de tarifarios en las unidades. AUDIO DE APOYO,</t>
  </si>
  <si>
    <t>Aumento tarifa de transporte - Radioescucha pregunta que a partir de qué día ya empieza el aumento en las combis; comenta conductor que ya empezó desde ayer a cobrar; solo los taxis y otros transportes no suben aún su tarifa; ya se está trabajando en ello</t>
  </si>
  <si>
    <t>Vecinos del fraccionamiento Xochihuacán en la capital del estado bloquearon la carretera Pachuca a Ciudad Sahagún en demanda de, pues, un cierre de canal de aguas negras. Están cansados por los malos olores. Señalaron que el problema se ha convertido ya en un foco de infección afectando su salud y calidad de vida.</t>
  </si>
  <si>
    <t>Aguas negras</t>
  </si>
  <si>
    <t>Radioescucha reporta que en Campo de Tiro en San Antonio, el agua esta muy sucia</t>
  </si>
  <si>
    <t>Radioescucha reporta falta de agua con colonia 20 nde Noviembre, Miguel Hidalgo, La Condesa y Sierra Bonita, no tenemos agua</t>
  </si>
  <si>
    <t>Radioescucha reporta falta de agua en San Cayetano</t>
  </si>
  <si>
    <t>Radioescucha reporta falta de agua en Fraccionamiento La Cruz, comentan que cobran más de $300.00 por llenar los tinacos.</t>
  </si>
  <si>
    <t>adioescucha reporta falta de agua en el Fraccionamiento Renancimiento, no se tiene apoyo con pipas y tambien comentaron que no se tienen muchos reportes en Caasim</t>
  </si>
  <si>
    <t>Comenta conductor Eulalio Larrieta que ayer esperaba tener agua en la Aquiles Serdan y resulta que no llego</t>
  </si>
  <si>
    <t>Radioescucha reporta falta de agua en Calle Trigueros y Covarrubias, no cae nada</t>
  </si>
  <si>
    <t>Locutor Jesús Riveros comentó que, dentro de las opiniones de especialistas destaca, que venimos de un rezago educativos marcado desde el confinamiento por la pandemia de covid 19, si bien es cierto que se tiene un compromiso deportivo internacional, pero, debería ser prioridad buscar estrategias para abatir este rezago educativo. Estadísticas del INEGI en su más reciente encuesta, revelan que hay alumnos de tercer grado que todavía no aprenden a leer y es consecuencia de este rezago educativo que ya tenemos.</t>
  </si>
  <si>
    <t>Locutor Irving Sánchez comenta que, dentro de las opiniones de los padres de familia por el adelanto de las vacaciones del ciclo escolar 2025-2026, es que, de por sí, los alumnos no aprenden bien, ahora con un mes menos de clases, tomando en cuenta los puentes, las vacaciones, nuestras hijas e hijos apenas aprenden. Por otra parte, otra queja es, qué van a hacer los padres de familia que trabajan con un mes más sin clases.</t>
  </si>
  <si>
    <t>El tema que ha destacado desde el día de ayer, es el adelanto de las vacaciones del ciclo escolar 205.2026; hoy por la mañana, la presidenta Claudia Sheinbaum dijo que era una propuesta, sin embargo, el secretario de Educación Pública, Mario Delgado ya confirmó que es un hecho, que el ciclo escolar 2025-2026 terminará el próximo 5 de junio, lo anterior, debido a dos asuntos, el mundial de fútbol y las altas temperaturas.</t>
  </si>
  <si>
    <t>El gobierno municipal de Cuautepec de Hinojosa, en coordinación con PROFECO y la ODECO, realizó una Jornada Integral de Atención, Vinculación y Capacitación Ciudadana para acercar servicios y orientación a la población. Durante la actividad se impartió una plática sobre derechos del consumidor y los servicios que brinda PROFECO, con el objetivo de promover prácticas comerciales justas y el consumo responsable. Asimismo, se promovió la calibración de básculas en el mercado municipal, acercando este servicio a comerciantes para garantizar transacciones más transparentes y equitativas. Como parte de la jornada también se desarrolló un taller de tecnología doméstica enfocado al emprendimiento y autoempleo, además de brindar atención personalizada a las y los asistentes.</t>
  </si>
  <si>
    <t>Capacitación</t>
  </si>
  <si>
    <t>Un camión presuntamente se queda sin frenos y arrolló a dos vehículos sobre la carretera federal México–Tuxpan, a la altura del Hospital General de Tulancingo. El saldo preliminar es de dos personas lesionadas, quienes fueron atendidas y trasladadas para recibir atención médica por socorristas de Cruz Roja y Protección Civil.</t>
  </si>
  <si>
    <t>Accidente Vial</t>
  </si>
  <si>
    <t>Locutor Jesús Riveros da lectura a comentario de radioescucha que reporta, que, los choferes de la ruta que va para La Cañada, manejan a exceso de velocidad, no respetan al pases y menos a adultos mayores, hace un llamado a las autoridades correspondientes, ya que, por o general, los onductores son personas muy jóvenes.</t>
  </si>
  <si>
    <t>Lo que ha llamado la atención desde el día de ayer, fue el anuncio del fin del ciclo escolar, en donde la Sociedad de Padres de Familia de varias escuelas no estaban enterados, simplemente se tomó la decisión en favor de los menores, que, porque el sol está muy fuerte, para evitar que haya algún problema de salud. Sin embargo, hoy por la mañana, padres de familia han señalado que esto es más para tener una mejor movilidad en favor del mundial de fútbol, por lo que, han señalado, que está es una decisión unilateral que afecta la parte educativa y el entorno laboral-familiar.</t>
  </si>
  <si>
    <t>Entrevista vía telefónica Erick Calva Gutiérrez, representante y participante de los cuernudos de Calnali: Habló sobre la participación de “Los Cuernudos de Calnali” en el marco de la tercera edición de “Hidalgo en Los Pinos”, destacando la historia de la creación de los cuernudos, así como la tradición de los bailes con música de banda de viento. Dicha participación se realizará los días 9 y 10 de mayo en el complejo cultural Los Pinos.</t>
  </si>
  <si>
    <t>Las labores para sofocar el incendio forestal registrado en la comunidad de El Sótano, en el municipio de Jacala, continúan luego de que el siniestro iniciara la noche del pasado miércoles. De acuerdo con información de la Secretaría de Medio Ambiente y Recursos Naturales de Hidalgo (Semarnath), el incendio se encuentra actualmente controlado al 100 por ciento y liquidado al 90 por ciento. La dependencia estatal indicó que el fuego se originó a consecuencia de tormentas eléctricas registradas en la zona, ya que la caída de un rayo provocó el encendido inmediato de material combustible. Tras el reporte del incendio, autoridades estatales establecieron comunicación con el ayuntamiento para realizar una valoración inmediata y coordinar las acciones de atención. Durante las primeras horas de este jueves se movilizaron dos brigadas: una del Parque Nacional Los Mármoles y otra de manejo de fuego de la comunidad de La Encarnación, además de personal brigadista de la Secretaría de Medio Ambiente. La Semarnath informó que hasta el momento se ha logrado controlar una parte considerable del incendio y reiteró que no existe riesgo para la población cercana. Por su parte, la presidenta municipal de Jacala, Kendra Martínez Sánchez, informó que realizaron un primer acercamiento en la zona del Aguaje para atender el incendio junto con elementos de Seguridad Pública, autoridades y habitantes de la comunidad. Las labores de vigilancia y liquidación continúan en la zona para evitar una posible reactivación del fuego.</t>
  </si>
  <si>
    <t>Control de incendios</t>
  </si>
  <si>
    <t>SSPH asegura en Tula a presuntos responsables de agresión con arma de fuego.</t>
  </si>
  <si>
    <t>Hidalgo participa en reunión nacional de autoridades educativas</t>
  </si>
  <si>
    <t>Conaedu</t>
  </si>
  <si>
    <t>La SEPH informa a la comunidad educativa del estado que, en cumplimiento del acuerdo nacional tomado en la LXVI Reunión Nacional Plenaria Ordinaria 2026 del Conaedu, se realizarán ajustes al calendario escolar vigente en todos los niveles de Educación Básica y Media Superior, por lo que la conclusión del ciclo escolar 2025-2026 será el próximo 5 de junio.</t>
  </si>
  <si>
    <t>Arrancan operaciones 41 Centros LIBRE en Hidalgo</t>
  </si>
  <si>
    <t>Locutor Jesús Riveros transmite audio del mensaje de Mario Delgado publicado en redes sociales avisando sobre las modificaciones al calendario escolar; Jesús Riveros comentó que hasta la puso “musiquita alegre” (risas) para suavizar el mensaje. Especialistas han expresado que es preocupante la situación, luego de que, venimos de un rezago educativo que se deriva del confinamiento de la pandemia por Covid19, prácticamente tres años de confinamiento que han dejado consecuencias en el sector educativo, por lo que, tendría que ser un tema prioritario para las autoridades educativas.</t>
  </si>
  <si>
    <t>La decisión de modificar el ciclo escolar 2025-2026 ha generado mucha polémica en los distintos sectores educativos y en los padres de familia, incluso, la Unión Nacional de Padres de Familia se manifestó en contra de estas decisiones, algunas secciones del SNTE quienes también han declarado que no se les tomó en cuenta.</t>
  </si>
  <si>
    <t>Este ciclo escolar 2026-2026 tendrá un ajuste de 28 días hábiles de clases en educación básica y media superior, el cierre del año lectivo será el 5 de junio y no el 15 de julio como estaba previsto, debido a las altas temperaturas y al mundial de fútbol, así lo informó la Secretaría de Educación Pública a través de un comunicado. Lo anterior, luego de alcanzar un acuerdo unánime con los titulares de las Secretarías de Educación en los Estados, incluso, el secretario de Educación Pública de Hidalgo estuvo presente en esta reunión, siendo parte de este acuerdo. La medida impactará a cerca de 23 millones de alumnos de preescolar, primaria y secundaria que asisten a escuela públicas y privadas, así como, a 5.4 millones de adolescentes que cursan su bachillerato en este país. En el marco de la 64 Reunión Nacional Plenaria Ordinaria del Consejo Nacional de Autoridades Educativas que encabezó el secretario de Educación, Mario Delgado Carrillo se aprobó que el ciclo escolar 2026-2027 se inicie hasta el 31 de agosto, sin embargo, los estudiantes están convocados a reincorporarse a clases para el fortalecimiento de aprendizaje del 17 al 28 de ese mes, a finde no comprometer el desarrollo del plan y programas de estudio, con o que, en los hechos, volverán a las aulas doce semanas antes del arranque formal el próximo año lectivo.</t>
  </si>
  <si>
    <t>Respecto a la nota del adelanto del ciclo escolar, la presidenta Claudia Sheinbaum generó la confusión, porque durante su conferencia de prensa señaló que es una propuesta, pero ayer, las autoridades educativas ya lo daban por hecho.</t>
  </si>
  <si>
    <t>Entrevista en cabina Guadalupe Rodríguez Uribe, secretaria de Educación, Cultura y Deporte de Tulancingo - Habló sobre la participación del Coro Infantil en Los Pinos en el marco de la tercera edición de “Hidalgo en Los Pinos”, espacio que permite a los Estados mostrar un poco de su cultura, arte, tradición y gastronomía. La presentación del Coro Monumental Infantil se realizará el domingo 10 de mayo, mostrando el trabajo que se realiza en el municipio de Tulancingo a través de los proyectos de la presidenta Lorena García en el fomento de las tradiciones, cultura y gusto por las “Bellas Artes” en la niñez de Tulancingo.</t>
  </si>
  <si>
    <t>Ante las precipitaciones pluviales pronosticadas para la próxima semana, la Dirección de Bomberos y Protección Civil de Tulancingo prevé una disminución en la incidencia de incendios, principalmente en pastizales y zonas forestales. Así lo informó el director de la corporación, Jesús García Ávila, quien señaló que la temporada de incendios forestales está próxima a concluir, mientras comienza la etapa de atención de anegamientos derivados de las lluvias. Resaltó que se ha brindado atención inmediata para el control y sofocación de conflagraciones. En el caso de incendios forestales, se ha contado con el apoyo de brigadas de la Comisión Nacional Forestal (CONAFOR) y corporaciones estatales, fortaleciendo así la capacidad de respuesta. García Ávila recordó que la temporada de huracanes iniciará el 15 de mayo en el océano Pacífico y el 1 de junio en el Atlántico. Aunque los fenómenos que mayormente impactan a Tulancingo provienen del Atlántico. Confirmó que se han supervisado los espacios designados como refugios temporales en Tulancingo, en coordinación con autoridades sanitarias, con el objetivo de verificar que cumplan con las condiciones adecuadas para atender a la población en caso de alguna contingencia derivada de la temporada de lluvias y huracanes. Finalmente, se informó que durante esta temporada se realiza un monitoreo permanente a través del Sistema de Alerta Temprana para Ciclones Tropicales, el Sistema Estatal de Protección Civil y el Servicio Meteorológico Nacional, con el propósito de determinar las acciones más oportunas en la toma de decisiones y salvaguardar a la población.</t>
  </si>
  <si>
    <t>Locutor Jesús Riveros comentó que, hay distintas inconformidades por parte de docentes y padres de familia por el adelanto de culminación del ciclo escolar 2025-2026.</t>
  </si>
  <si>
    <t>“La transformación se hace aquí, en las comunidades”, reitera Menchaca desde Yahualica. (AUDIO JMS).</t>
  </si>
  <si>
    <t>Locutor Jesús Riveros da lectura a comentario de radioescucha que solicita al gobernador Julio Menchaca que en el tema de educación no se haga en Hidalgo lo que los demás están haciendo, que no permita que se les quite más de un mes de clases a los alumnos, de por sí, tenemos rezago de la pandemia y luego esto, que, además, son argumentos que no tienen solidez. Si quieren combatir el calor en las escuelas, que inviertan en infraestructura, porque la solución no es suspender clases, no es posible que por un mundial de fútbol se tome semejante decisión.</t>
  </si>
  <si>
    <t>La SIPDUS informa sobre la colocación de sellos por parte del INAH en las luminarias instaladas frente a Casa Rule.</t>
  </si>
  <si>
    <t>Casa Rule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</si>
</sst>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19" tableType="queryTable" totalsRowShown="0">
  <autoFilter ref="A1:M219"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19"/>
  <sheetViews>
    <sheetView tabSelected="1" topLeftCell="A184" workbookViewId="0">
      <selection activeCell="C219" sqref="C219"/>
    </sheetView>
  </sheetViews>
  <sheetFormatPr baseColWidth="10" defaultRowHeight="15" x14ac:dyDescent="0.25"/>
  <cols>
    <col min="1" max="1" width="8.5703125" bestFit="1" customWidth="1"/>
    <col min="2" max="2" width="11.42578125" bestFit="1" customWidth="1"/>
    <col min="3" max="3" width="27.28515625" bestFit="1" customWidth="1"/>
    <col min="4" max="4" width="35.5703125" bestFit="1" customWidth="1"/>
    <col min="5" max="5" width="81.140625" bestFit="1" customWidth="1"/>
    <col min="6" max="6" width="15.28515625" bestFit="1" customWidth="1"/>
    <col min="7" max="7" width="33.570312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51</v>
      </c>
      <c r="C1" t="s">
        <v>52</v>
      </c>
      <c r="D1" t="s">
        <v>53</v>
      </c>
      <c r="E1" t="s">
        <v>1</v>
      </c>
      <c r="F1" t="s">
        <v>2</v>
      </c>
      <c r="G1" t="s">
        <v>4</v>
      </c>
      <c r="H1" t="s">
        <v>3</v>
      </c>
      <c r="I1" t="s">
        <v>5</v>
      </c>
      <c r="J1" t="s">
        <v>54</v>
      </c>
      <c r="K1" t="s">
        <v>55</v>
      </c>
      <c r="L1" t="s">
        <v>56</v>
      </c>
      <c r="M1" t="s">
        <v>64</v>
      </c>
    </row>
    <row r="2" spans="1:13" x14ac:dyDescent="0.25">
      <c r="A2" s="2">
        <v>46149</v>
      </c>
      <c r="B2" s="1" t="str">
        <f ca="1">IF(Información1[[#This Row],[Fecha]]='Ajuste de fechas'!$A$2,"Día actual","Día anterior")</f>
        <v>Día anterior</v>
      </c>
      <c r="C2" s="3" t="s">
        <v>38</v>
      </c>
      <c r="D2" t="s">
        <v>39</v>
      </c>
      <c r="E2" s="3" t="s">
        <v>120</v>
      </c>
      <c r="F2" s="3" t="s">
        <v>19</v>
      </c>
      <c r="G2" s="3" t="s">
        <v>121</v>
      </c>
      <c r="H2" s="3" t="s">
        <v>36</v>
      </c>
      <c r="I2" s="3" t="s">
        <v>7</v>
      </c>
      <c r="J2" s="3" t="s">
        <v>61</v>
      </c>
      <c r="K2" s="3" t="s">
        <v>27</v>
      </c>
      <c r="L2" s="3" t="s">
        <v>58</v>
      </c>
      <c r="M2">
        <v>1</v>
      </c>
    </row>
    <row r="3" spans="1:13" x14ac:dyDescent="0.25">
      <c r="A3" s="2">
        <v>46149</v>
      </c>
      <c r="B3" s="1" t="str">
        <f ca="1">IF(Información1[[#This Row],[Fecha]]='Ajuste de fechas'!$A$2,"Día actual","Día anterior")</f>
        <v>Día anterior</v>
      </c>
      <c r="C3" s="3" t="s">
        <v>38</v>
      </c>
      <c r="D3" t="s">
        <v>39</v>
      </c>
      <c r="E3" s="3" t="s">
        <v>122</v>
      </c>
      <c r="F3" s="3" t="s">
        <v>19</v>
      </c>
      <c r="G3" s="3" t="s">
        <v>123</v>
      </c>
      <c r="H3" s="3" t="s">
        <v>36</v>
      </c>
      <c r="I3" s="3" t="s">
        <v>7</v>
      </c>
      <c r="J3" s="3" t="s">
        <v>61</v>
      </c>
      <c r="K3" s="3" t="s">
        <v>27</v>
      </c>
      <c r="L3" s="3" t="s">
        <v>58</v>
      </c>
      <c r="M3">
        <v>1</v>
      </c>
    </row>
    <row r="4" spans="1:13" x14ac:dyDescent="0.25">
      <c r="A4" s="2">
        <v>46149</v>
      </c>
      <c r="B4" s="1" t="str">
        <f ca="1">IF(Información1[[#This Row],[Fecha]]='Ajuste de fechas'!$A$2,"Día actual","Día anterior")</f>
        <v>Día anterior</v>
      </c>
      <c r="C4" s="3" t="s">
        <v>38</v>
      </c>
      <c r="D4" t="s">
        <v>39</v>
      </c>
      <c r="E4" s="3" t="s">
        <v>124</v>
      </c>
      <c r="F4" s="3" t="s">
        <v>26</v>
      </c>
      <c r="G4" s="3" t="s">
        <v>125</v>
      </c>
      <c r="H4" s="3" t="s">
        <v>36</v>
      </c>
      <c r="I4" s="3" t="s">
        <v>12</v>
      </c>
      <c r="J4" s="3" t="s">
        <v>57</v>
      </c>
      <c r="K4" s="3" t="s">
        <v>126</v>
      </c>
      <c r="L4" s="3" t="s">
        <v>59</v>
      </c>
      <c r="M4">
        <v>1</v>
      </c>
    </row>
    <row r="5" spans="1:13" x14ac:dyDescent="0.25">
      <c r="A5" s="2">
        <v>46149</v>
      </c>
      <c r="B5" s="1" t="str">
        <f ca="1">IF(Información1[[#This Row],[Fecha]]='Ajuste de fechas'!$A$2,"Día actual","Día anterior")</f>
        <v>Día anterior</v>
      </c>
      <c r="C5" s="3" t="s">
        <v>38</v>
      </c>
      <c r="D5" t="s">
        <v>39</v>
      </c>
      <c r="E5" s="3" t="s">
        <v>127</v>
      </c>
      <c r="F5" s="3" t="s">
        <v>67</v>
      </c>
      <c r="G5" s="3"/>
      <c r="H5" s="3" t="s">
        <v>36</v>
      </c>
      <c r="I5" s="3" t="s">
        <v>7</v>
      </c>
      <c r="J5" s="3" t="s">
        <v>57</v>
      </c>
      <c r="K5" s="3" t="s">
        <v>27</v>
      </c>
      <c r="L5" s="3" t="s">
        <v>60</v>
      </c>
      <c r="M5">
        <v>1</v>
      </c>
    </row>
    <row r="6" spans="1:13" x14ac:dyDescent="0.25">
      <c r="A6" s="2">
        <v>46149</v>
      </c>
      <c r="B6" s="1" t="str">
        <f ca="1">IF(Información1[[#This Row],[Fecha]]='Ajuste de fechas'!$A$2,"Día actual","Día anterior")</f>
        <v>Día anterior</v>
      </c>
      <c r="C6" s="3" t="s">
        <v>38</v>
      </c>
      <c r="D6" t="s">
        <v>39</v>
      </c>
      <c r="E6" s="3" t="s">
        <v>128</v>
      </c>
      <c r="F6" s="3" t="s">
        <v>44</v>
      </c>
      <c r="G6" s="3" t="s">
        <v>129</v>
      </c>
      <c r="H6" s="3" t="s">
        <v>36</v>
      </c>
      <c r="I6" s="3" t="s">
        <v>7</v>
      </c>
      <c r="J6" s="3" t="s">
        <v>57</v>
      </c>
      <c r="K6" s="3" t="s">
        <v>27</v>
      </c>
      <c r="L6" s="3" t="s">
        <v>58</v>
      </c>
      <c r="M6">
        <v>1</v>
      </c>
    </row>
    <row r="7" spans="1:13" x14ac:dyDescent="0.25">
      <c r="A7" s="2">
        <v>46149</v>
      </c>
      <c r="B7" s="1" t="str">
        <f ca="1">IF(Información1[[#This Row],[Fecha]]='Ajuste de fechas'!$A$2,"Día actual","Día anterior")</f>
        <v>Día anterior</v>
      </c>
      <c r="C7" s="3" t="s">
        <v>38</v>
      </c>
      <c r="D7" t="s">
        <v>39</v>
      </c>
      <c r="E7" s="3" t="s">
        <v>130</v>
      </c>
      <c r="F7" s="3" t="s">
        <v>24</v>
      </c>
      <c r="G7" s="3" t="s">
        <v>131</v>
      </c>
      <c r="H7" s="3" t="s">
        <v>36</v>
      </c>
      <c r="I7" s="3" t="s">
        <v>7</v>
      </c>
      <c r="J7" s="3" t="s">
        <v>24</v>
      </c>
      <c r="K7" s="3" t="s">
        <v>27</v>
      </c>
      <c r="L7" s="3" t="s">
        <v>58</v>
      </c>
      <c r="M7">
        <v>1</v>
      </c>
    </row>
    <row r="8" spans="1:13" x14ac:dyDescent="0.25">
      <c r="A8" s="2">
        <v>46149</v>
      </c>
      <c r="B8" s="1" t="str">
        <f ca="1">IF(Información1[[#This Row],[Fecha]]='Ajuste de fechas'!$A$2,"Día actual","Día anterior")</f>
        <v>Día anterior</v>
      </c>
      <c r="C8" s="3" t="s">
        <v>38</v>
      </c>
      <c r="D8" t="s">
        <v>39</v>
      </c>
      <c r="E8" s="3" t="s">
        <v>132</v>
      </c>
      <c r="F8" s="3" t="s">
        <v>21</v>
      </c>
      <c r="G8" s="3" t="s">
        <v>78</v>
      </c>
      <c r="H8" s="3" t="s">
        <v>36</v>
      </c>
      <c r="I8" s="3" t="s">
        <v>7</v>
      </c>
      <c r="J8" s="3" t="s">
        <v>57</v>
      </c>
      <c r="K8" s="3" t="s">
        <v>27</v>
      </c>
      <c r="L8" s="3" t="s">
        <v>58</v>
      </c>
      <c r="M8">
        <v>1</v>
      </c>
    </row>
    <row r="9" spans="1:13" x14ac:dyDescent="0.25">
      <c r="A9" s="2">
        <v>46149</v>
      </c>
      <c r="B9" s="1" t="str">
        <f ca="1">IF(Información1[[#This Row],[Fecha]]='Ajuste de fechas'!$A$2,"Día actual","Día anterior")</f>
        <v>Día anterior</v>
      </c>
      <c r="C9" s="3" t="s">
        <v>38</v>
      </c>
      <c r="D9" t="s">
        <v>39</v>
      </c>
      <c r="E9" s="3" t="s">
        <v>133</v>
      </c>
      <c r="F9" s="3" t="s">
        <v>26</v>
      </c>
      <c r="G9" s="3" t="s">
        <v>134</v>
      </c>
      <c r="H9" s="3" t="s">
        <v>36</v>
      </c>
      <c r="I9" s="3" t="s">
        <v>7</v>
      </c>
      <c r="J9" s="3" t="s">
        <v>57</v>
      </c>
      <c r="K9" s="3" t="s">
        <v>27</v>
      </c>
      <c r="L9" s="3" t="s">
        <v>60</v>
      </c>
      <c r="M9">
        <v>1</v>
      </c>
    </row>
    <row r="10" spans="1:13" x14ac:dyDescent="0.25">
      <c r="A10" s="2">
        <v>46149</v>
      </c>
      <c r="B10" s="1" t="str">
        <f ca="1">IF(Información1[[#This Row],[Fecha]]='Ajuste de fechas'!$A$2,"Día actual","Día anterior")</f>
        <v>Día anterior</v>
      </c>
      <c r="C10" s="3" t="s">
        <v>38</v>
      </c>
      <c r="D10" t="s">
        <v>39</v>
      </c>
      <c r="E10" s="3" t="s">
        <v>135</v>
      </c>
      <c r="F10" s="3" t="s">
        <v>26</v>
      </c>
      <c r="G10" s="3" t="s">
        <v>136</v>
      </c>
      <c r="H10" s="3" t="s">
        <v>36</v>
      </c>
      <c r="I10" s="3" t="s">
        <v>7</v>
      </c>
      <c r="J10" s="3" t="s">
        <v>57</v>
      </c>
      <c r="K10" s="3" t="s">
        <v>27</v>
      </c>
      <c r="L10" s="3" t="s">
        <v>60</v>
      </c>
      <c r="M10">
        <v>2</v>
      </c>
    </row>
    <row r="11" spans="1:13" x14ac:dyDescent="0.25">
      <c r="A11" s="2">
        <v>46149</v>
      </c>
      <c r="B11" s="1" t="str">
        <f ca="1">IF(Información1[[#This Row],[Fecha]]='Ajuste de fechas'!$A$2,"Día actual","Día anterior")</f>
        <v>Día anterior</v>
      </c>
      <c r="C11" s="3" t="s">
        <v>38</v>
      </c>
      <c r="D11" t="s">
        <v>39</v>
      </c>
      <c r="E11" s="3" t="s">
        <v>137</v>
      </c>
      <c r="F11" s="3" t="s">
        <v>26</v>
      </c>
      <c r="G11" s="3" t="s">
        <v>138</v>
      </c>
      <c r="H11" s="3" t="s">
        <v>36</v>
      </c>
      <c r="I11" s="3" t="s">
        <v>7</v>
      </c>
      <c r="J11" s="3" t="s">
        <v>57</v>
      </c>
      <c r="K11" s="3" t="s">
        <v>27</v>
      </c>
      <c r="L11" s="3" t="s">
        <v>58</v>
      </c>
      <c r="M11">
        <v>1</v>
      </c>
    </row>
    <row r="12" spans="1:13" x14ac:dyDescent="0.25">
      <c r="A12" s="2">
        <v>46149</v>
      </c>
      <c r="B12" s="1" t="str">
        <f ca="1">IF(Información1[[#This Row],[Fecha]]='Ajuste de fechas'!$A$2,"Día actual","Día anterior")</f>
        <v>Día anterior</v>
      </c>
      <c r="C12" s="3" t="s">
        <v>38</v>
      </c>
      <c r="D12" t="s">
        <v>39</v>
      </c>
      <c r="E12" s="3" t="s">
        <v>139</v>
      </c>
      <c r="F12" s="3" t="s">
        <v>91</v>
      </c>
      <c r="G12" s="3" t="s">
        <v>77</v>
      </c>
      <c r="H12" s="3" t="s">
        <v>36</v>
      </c>
      <c r="I12" s="3" t="s">
        <v>25</v>
      </c>
      <c r="J12" s="3" t="s">
        <v>57</v>
      </c>
      <c r="K12" s="3" t="s">
        <v>27</v>
      </c>
      <c r="L12" s="3" t="s">
        <v>58</v>
      </c>
      <c r="M12">
        <v>1</v>
      </c>
    </row>
    <row r="13" spans="1:13" x14ac:dyDescent="0.25">
      <c r="A13" s="2">
        <v>46149</v>
      </c>
      <c r="B13" s="1" t="str">
        <f ca="1">IF(Información1[[#This Row],[Fecha]]='Ajuste de fechas'!$A$2,"Día actual","Día anterior")</f>
        <v>Día anterior</v>
      </c>
      <c r="C13" s="3" t="s">
        <v>38</v>
      </c>
      <c r="D13" t="s">
        <v>39</v>
      </c>
      <c r="E13" s="3" t="s">
        <v>140</v>
      </c>
      <c r="F13" s="3" t="s">
        <v>15</v>
      </c>
      <c r="G13" s="3"/>
      <c r="H13" s="3" t="s">
        <v>36</v>
      </c>
      <c r="I13" s="3" t="s">
        <v>25</v>
      </c>
      <c r="J13" s="3" t="s">
        <v>57</v>
      </c>
      <c r="K13" s="3" t="s">
        <v>27</v>
      </c>
      <c r="L13" s="3" t="s">
        <v>59</v>
      </c>
      <c r="M13">
        <v>1</v>
      </c>
    </row>
    <row r="14" spans="1:13" x14ac:dyDescent="0.25">
      <c r="A14" s="2">
        <v>46149</v>
      </c>
      <c r="B14" s="1" t="str">
        <f ca="1">IF(Información1[[#This Row],[Fecha]]='Ajuste de fechas'!$A$2,"Día actual","Día anterior")</f>
        <v>Día anterior</v>
      </c>
      <c r="C14" s="3" t="s">
        <v>38</v>
      </c>
      <c r="D14" t="s">
        <v>39</v>
      </c>
      <c r="E14" s="3" t="s">
        <v>141</v>
      </c>
      <c r="F14" s="3" t="s">
        <v>26</v>
      </c>
      <c r="G14" s="3" t="s">
        <v>134</v>
      </c>
      <c r="H14" s="3" t="s">
        <v>36</v>
      </c>
      <c r="I14" s="3" t="s">
        <v>7</v>
      </c>
      <c r="J14" s="3" t="s">
        <v>57</v>
      </c>
      <c r="K14" s="3" t="s">
        <v>27</v>
      </c>
      <c r="L14" s="3" t="s">
        <v>58</v>
      </c>
      <c r="M14">
        <v>1</v>
      </c>
    </row>
    <row r="15" spans="1:13" x14ac:dyDescent="0.25">
      <c r="A15" s="2">
        <v>46149</v>
      </c>
      <c r="B15" s="1" t="str">
        <f ca="1">IF(Información1[[#This Row],[Fecha]]='Ajuste de fechas'!$A$2,"Día actual","Día anterior")</f>
        <v>Día anterior</v>
      </c>
      <c r="C15" s="3" t="s">
        <v>38</v>
      </c>
      <c r="D15" t="s">
        <v>39</v>
      </c>
      <c r="E15" s="3" t="s">
        <v>142</v>
      </c>
      <c r="F15" s="3" t="s">
        <v>19</v>
      </c>
      <c r="G15" s="3" t="s">
        <v>88</v>
      </c>
      <c r="H15" s="3" t="s">
        <v>36</v>
      </c>
      <c r="I15" s="3" t="s">
        <v>25</v>
      </c>
      <c r="J15" s="3" t="s">
        <v>61</v>
      </c>
      <c r="K15" s="3" t="s">
        <v>27</v>
      </c>
      <c r="L15" s="3" t="s">
        <v>58</v>
      </c>
      <c r="M15">
        <v>1</v>
      </c>
    </row>
    <row r="16" spans="1:13" x14ac:dyDescent="0.25">
      <c r="A16" s="2">
        <v>46149</v>
      </c>
      <c r="B16" s="1" t="str">
        <f ca="1">IF(Información1[[#This Row],[Fecha]]='Ajuste de fechas'!$A$2,"Día actual","Día anterior")</f>
        <v>Día anterior</v>
      </c>
      <c r="C16" s="3" t="s">
        <v>38</v>
      </c>
      <c r="D16" t="s">
        <v>39</v>
      </c>
      <c r="E16" s="3" t="s">
        <v>143</v>
      </c>
      <c r="F16" s="3" t="s">
        <v>19</v>
      </c>
      <c r="G16" s="3" t="s">
        <v>144</v>
      </c>
      <c r="H16" s="3" t="s">
        <v>36</v>
      </c>
      <c r="I16" s="3" t="s">
        <v>25</v>
      </c>
      <c r="J16" s="3" t="s">
        <v>61</v>
      </c>
      <c r="K16" s="3" t="s">
        <v>27</v>
      </c>
      <c r="L16" s="3" t="s">
        <v>58</v>
      </c>
      <c r="M16">
        <v>1</v>
      </c>
    </row>
    <row r="17" spans="1:13" x14ac:dyDescent="0.25">
      <c r="A17" s="2">
        <v>46149</v>
      </c>
      <c r="B17" s="1" t="str">
        <f ca="1">IF(Información1[[#This Row],[Fecha]]='Ajuste de fechas'!$A$2,"Día actual","Día anterior")</f>
        <v>Día anterior</v>
      </c>
      <c r="C17" s="3" t="s">
        <v>38</v>
      </c>
      <c r="D17" t="s">
        <v>39</v>
      </c>
      <c r="E17" s="3" t="s">
        <v>145</v>
      </c>
      <c r="F17" s="3" t="s">
        <v>19</v>
      </c>
      <c r="G17" s="3" t="s">
        <v>105</v>
      </c>
      <c r="H17" s="3" t="s">
        <v>36</v>
      </c>
      <c r="I17" s="3" t="s">
        <v>25</v>
      </c>
      <c r="J17" s="3" t="s">
        <v>61</v>
      </c>
      <c r="K17" s="3" t="s">
        <v>27</v>
      </c>
      <c r="L17" s="3" t="s">
        <v>58</v>
      </c>
      <c r="M17">
        <v>1</v>
      </c>
    </row>
    <row r="18" spans="1:13" x14ac:dyDescent="0.25">
      <c r="A18" s="2">
        <v>46149</v>
      </c>
      <c r="B18" s="1" t="str">
        <f ca="1">IF(Información1[[#This Row],[Fecha]]='Ajuste de fechas'!$A$2,"Día actual","Día anterior")</f>
        <v>Día anterior</v>
      </c>
      <c r="C18" s="3" t="s">
        <v>38</v>
      </c>
      <c r="D18" t="s">
        <v>39</v>
      </c>
      <c r="E18" s="3" t="s">
        <v>146</v>
      </c>
      <c r="F18" s="3" t="s">
        <v>15</v>
      </c>
      <c r="G18" s="3" t="s">
        <v>71</v>
      </c>
      <c r="H18" s="3" t="s">
        <v>36</v>
      </c>
      <c r="I18" s="3" t="s">
        <v>25</v>
      </c>
      <c r="J18" s="3" t="s">
        <v>57</v>
      </c>
      <c r="K18" s="3" t="s">
        <v>27</v>
      </c>
      <c r="L18" s="3" t="s">
        <v>58</v>
      </c>
      <c r="M18">
        <v>1</v>
      </c>
    </row>
    <row r="19" spans="1:13" x14ac:dyDescent="0.25">
      <c r="A19" s="2">
        <v>46149</v>
      </c>
      <c r="B19" s="1" t="str">
        <f ca="1">IF(Información1[[#This Row],[Fecha]]='Ajuste de fechas'!$A$2,"Día actual","Día anterior")</f>
        <v>Día anterior</v>
      </c>
      <c r="C19" s="3" t="s">
        <v>38</v>
      </c>
      <c r="D19" t="s">
        <v>39</v>
      </c>
      <c r="E19" s="3" t="s">
        <v>147</v>
      </c>
      <c r="F19" s="3" t="s">
        <v>91</v>
      </c>
      <c r="G19" s="3" t="s">
        <v>148</v>
      </c>
      <c r="H19" s="3" t="s">
        <v>36</v>
      </c>
      <c r="I19" s="3" t="s">
        <v>7</v>
      </c>
      <c r="J19" s="3" t="s">
        <v>57</v>
      </c>
      <c r="K19" s="3" t="s">
        <v>27</v>
      </c>
      <c r="L19" s="3" t="s">
        <v>58</v>
      </c>
      <c r="M19">
        <v>1</v>
      </c>
    </row>
    <row r="20" spans="1:13" x14ac:dyDescent="0.25">
      <c r="A20" s="2">
        <v>46149</v>
      </c>
      <c r="B20" s="1" t="str">
        <f ca="1">IF(Información1[[#This Row],[Fecha]]='Ajuste de fechas'!$A$2,"Día actual","Día anterior")</f>
        <v>Día anterior</v>
      </c>
      <c r="C20" s="3" t="s">
        <v>45</v>
      </c>
      <c r="D20" t="s">
        <v>46</v>
      </c>
      <c r="E20" s="3" t="s">
        <v>149</v>
      </c>
      <c r="F20" s="3" t="s">
        <v>24</v>
      </c>
      <c r="G20" s="3" t="s">
        <v>119</v>
      </c>
      <c r="H20" s="3" t="s">
        <v>11</v>
      </c>
      <c r="I20" s="3" t="s">
        <v>7</v>
      </c>
      <c r="J20" s="3" t="s">
        <v>24</v>
      </c>
      <c r="K20" s="3" t="s">
        <v>47</v>
      </c>
      <c r="L20" s="3" t="s">
        <v>58</v>
      </c>
      <c r="M20">
        <v>1</v>
      </c>
    </row>
    <row r="21" spans="1:13" x14ac:dyDescent="0.25">
      <c r="A21" s="2">
        <v>46149</v>
      </c>
      <c r="B21" s="1" t="str">
        <f ca="1">IF(Información1[[#This Row],[Fecha]]='Ajuste de fechas'!$A$2,"Día actual","Día anterior")</f>
        <v>Día anterior</v>
      </c>
      <c r="C21" s="3" t="s">
        <v>45</v>
      </c>
      <c r="D21" t="s">
        <v>46</v>
      </c>
      <c r="E21" s="3" t="s">
        <v>150</v>
      </c>
      <c r="F21" s="3" t="s">
        <v>19</v>
      </c>
      <c r="G21" s="3" t="s">
        <v>151</v>
      </c>
      <c r="H21" s="3" t="s">
        <v>11</v>
      </c>
      <c r="I21" s="3" t="s">
        <v>7</v>
      </c>
      <c r="J21" s="3" t="s">
        <v>61</v>
      </c>
      <c r="K21" s="3" t="s">
        <v>47</v>
      </c>
      <c r="L21" s="3" t="s">
        <v>58</v>
      </c>
      <c r="M21">
        <v>1</v>
      </c>
    </row>
    <row r="22" spans="1:13" x14ac:dyDescent="0.25">
      <c r="A22" s="2">
        <v>46149</v>
      </c>
      <c r="B22" s="1" t="str">
        <f ca="1">IF(Información1[[#This Row],[Fecha]]='Ajuste de fechas'!$A$2,"Día actual","Día anterior")</f>
        <v>Día anterior</v>
      </c>
      <c r="C22" s="3" t="s">
        <v>45</v>
      </c>
      <c r="D22" t="s">
        <v>46</v>
      </c>
      <c r="E22" s="3" t="s">
        <v>152</v>
      </c>
      <c r="F22" s="3" t="s">
        <v>19</v>
      </c>
      <c r="G22" s="3" t="s">
        <v>119</v>
      </c>
      <c r="H22" s="3" t="s">
        <v>11</v>
      </c>
      <c r="I22" s="3" t="s">
        <v>7</v>
      </c>
      <c r="J22" s="3" t="s">
        <v>61</v>
      </c>
      <c r="K22" s="3" t="s">
        <v>47</v>
      </c>
      <c r="L22" s="3" t="s">
        <v>58</v>
      </c>
      <c r="M22">
        <v>1</v>
      </c>
    </row>
    <row r="23" spans="1:13" x14ac:dyDescent="0.25">
      <c r="A23" s="2">
        <v>46149</v>
      </c>
      <c r="B23" s="1" t="str">
        <f ca="1">IF(Información1[[#This Row],[Fecha]]='Ajuste de fechas'!$A$2,"Día actual","Día anterior")</f>
        <v>Día anterior</v>
      </c>
      <c r="C23" s="3" t="s">
        <v>45</v>
      </c>
      <c r="D23" t="s">
        <v>46</v>
      </c>
      <c r="E23" s="3" t="s">
        <v>153</v>
      </c>
      <c r="F23" s="3" t="s">
        <v>19</v>
      </c>
      <c r="G23" s="3" t="s">
        <v>144</v>
      </c>
      <c r="H23" s="3" t="s">
        <v>11</v>
      </c>
      <c r="I23" s="3" t="s">
        <v>7</v>
      </c>
      <c r="J23" s="3" t="s">
        <v>61</v>
      </c>
      <c r="K23" s="3" t="s">
        <v>47</v>
      </c>
      <c r="L23" s="3" t="s">
        <v>58</v>
      </c>
      <c r="M23">
        <v>1</v>
      </c>
    </row>
    <row r="24" spans="1:13" x14ac:dyDescent="0.25">
      <c r="A24" s="2">
        <v>46149</v>
      </c>
      <c r="B24" s="1" t="str">
        <f ca="1">IF(Información1[[#This Row],[Fecha]]='Ajuste de fechas'!$A$2,"Día actual","Día anterior")</f>
        <v>Día anterior</v>
      </c>
      <c r="C24" s="3" t="s">
        <v>45</v>
      </c>
      <c r="D24" t="s">
        <v>46</v>
      </c>
      <c r="E24" s="3" t="s">
        <v>154</v>
      </c>
      <c r="F24" s="3" t="s">
        <v>19</v>
      </c>
      <c r="G24" s="3" t="s">
        <v>155</v>
      </c>
      <c r="H24" s="3" t="s">
        <v>11</v>
      </c>
      <c r="I24" s="3" t="s">
        <v>7</v>
      </c>
      <c r="J24" s="3" t="s">
        <v>61</v>
      </c>
      <c r="K24" s="3" t="s">
        <v>47</v>
      </c>
      <c r="L24" s="3" t="s">
        <v>58</v>
      </c>
      <c r="M24">
        <v>1</v>
      </c>
    </row>
    <row r="25" spans="1:13" x14ac:dyDescent="0.25">
      <c r="A25" s="2">
        <v>46149</v>
      </c>
      <c r="B25" s="1" t="str">
        <f ca="1">IF(Información1[[#This Row],[Fecha]]='Ajuste de fechas'!$A$2,"Día actual","Día anterior")</f>
        <v>Día anterior</v>
      </c>
      <c r="C25" s="3" t="s">
        <v>45</v>
      </c>
      <c r="D25" t="s">
        <v>46</v>
      </c>
      <c r="E25" s="3" t="s">
        <v>156</v>
      </c>
      <c r="F25" s="3" t="s">
        <v>24</v>
      </c>
      <c r="G25" s="3" t="s">
        <v>157</v>
      </c>
      <c r="H25" s="3" t="s">
        <v>11</v>
      </c>
      <c r="I25" s="3" t="s">
        <v>7</v>
      </c>
      <c r="J25" s="3" t="s">
        <v>24</v>
      </c>
      <c r="K25" s="3" t="s">
        <v>47</v>
      </c>
      <c r="L25" s="3" t="s">
        <v>58</v>
      </c>
      <c r="M25">
        <v>1</v>
      </c>
    </row>
    <row r="26" spans="1:13" x14ac:dyDescent="0.25">
      <c r="A26" s="2">
        <v>46149</v>
      </c>
      <c r="B26" s="1" t="str">
        <f ca="1">IF(Información1[[#This Row],[Fecha]]='Ajuste de fechas'!$A$2,"Día actual","Día anterior")</f>
        <v>Día anterior</v>
      </c>
      <c r="C26" s="3" t="s">
        <v>45</v>
      </c>
      <c r="D26" t="s">
        <v>46</v>
      </c>
      <c r="E26" s="3" t="s">
        <v>127</v>
      </c>
      <c r="F26" s="3" t="s">
        <v>67</v>
      </c>
      <c r="G26" s="3" t="s">
        <v>158</v>
      </c>
      <c r="H26" s="3" t="s">
        <v>11</v>
      </c>
      <c r="I26" s="3" t="s">
        <v>7</v>
      </c>
      <c r="J26" s="3" t="s">
        <v>57</v>
      </c>
      <c r="K26" s="3" t="s">
        <v>47</v>
      </c>
      <c r="L26" s="3" t="s">
        <v>60</v>
      </c>
      <c r="M26">
        <v>1</v>
      </c>
    </row>
    <row r="27" spans="1:13" x14ac:dyDescent="0.25">
      <c r="A27" s="2">
        <v>46149</v>
      </c>
      <c r="B27" s="1" t="str">
        <f ca="1">IF(Información1[[#This Row],[Fecha]]='Ajuste de fechas'!$A$2,"Día actual","Día anterior")</f>
        <v>Día anterior</v>
      </c>
      <c r="C27" s="3" t="s">
        <v>45</v>
      </c>
      <c r="D27" t="s">
        <v>46</v>
      </c>
      <c r="E27" s="3" t="s">
        <v>159</v>
      </c>
      <c r="F27" s="3" t="s">
        <v>19</v>
      </c>
      <c r="G27" s="3" t="s">
        <v>87</v>
      </c>
      <c r="H27" s="3" t="s">
        <v>11</v>
      </c>
      <c r="I27" s="3" t="s">
        <v>25</v>
      </c>
      <c r="J27" s="3" t="s">
        <v>61</v>
      </c>
      <c r="K27" s="3" t="s">
        <v>9</v>
      </c>
      <c r="L27" s="3" t="s">
        <v>59</v>
      </c>
      <c r="M27">
        <v>1</v>
      </c>
    </row>
    <row r="28" spans="1:13" x14ac:dyDescent="0.25">
      <c r="A28" s="2">
        <v>46149</v>
      </c>
      <c r="B28" s="1" t="str">
        <f ca="1">IF(Información1[[#This Row],[Fecha]]='Ajuste de fechas'!$A$2,"Día actual","Día anterior")</f>
        <v>Día anterior</v>
      </c>
      <c r="C28" s="3" t="s">
        <v>45</v>
      </c>
      <c r="D28" t="s">
        <v>46</v>
      </c>
      <c r="E28" s="3" t="s">
        <v>160</v>
      </c>
      <c r="F28" s="3" t="s">
        <v>21</v>
      </c>
      <c r="G28" s="3" t="s">
        <v>131</v>
      </c>
      <c r="H28" s="3" t="s">
        <v>11</v>
      </c>
      <c r="I28" s="3" t="s">
        <v>7</v>
      </c>
      <c r="J28" s="3" t="s">
        <v>57</v>
      </c>
      <c r="K28" s="3" t="s">
        <v>47</v>
      </c>
      <c r="L28" s="3" t="s">
        <v>60</v>
      </c>
      <c r="M28">
        <v>1</v>
      </c>
    </row>
    <row r="29" spans="1:13" x14ac:dyDescent="0.25">
      <c r="A29" s="2">
        <v>46149</v>
      </c>
      <c r="B29" s="1" t="str">
        <f ca="1">IF(Información1[[#This Row],[Fecha]]='Ajuste de fechas'!$A$2,"Día actual","Día anterior")</f>
        <v>Día anterior</v>
      </c>
      <c r="C29" s="3" t="s">
        <v>45</v>
      </c>
      <c r="D29" t="s">
        <v>46</v>
      </c>
      <c r="E29" s="3" t="s">
        <v>161</v>
      </c>
      <c r="F29" s="3" t="s">
        <v>79</v>
      </c>
      <c r="G29" s="3" t="s">
        <v>162</v>
      </c>
      <c r="H29" s="3" t="s">
        <v>11</v>
      </c>
      <c r="I29" s="3" t="s">
        <v>7</v>
      </c>
      <c r="J29" s="3" t="s">
        <v>57</v>
      </c>
      <c r="K29" s="3" t="s">
        <v>47</v>
      </c>
      <c r="L29" s="3" t="s">
        <v>83</v>
      </c>
      <c r="M29">
        <v>1</v>
      </c>
    </row>
    <row r="30" spans="1:13" x14ac:dyDescent="0.25">
      <c r="A30" s="2">
        <v>46149</v>
      </c>
      <c r="B30" s="1" t="str">
        <f ca="1">IF(Información1[[#This Row],[Fecha]]='Ajuste de fechas'!$A$2,"Día actual","Día anterior")</f>
        <v>Día anterior</v>
      </c>
      <c r="C30" s="3" t="s">
        <v>45</v>
      </c>
      <c r="D30" t="s">
        <v>46</v>
      </c>
      <c r="E30" s="3" t="s">
        <v>163</v>
      </c>
      <c r="F30" s="3" t="s">
        <v>68</v>
      </c>
      <c r="G30" s="3" t="s">
        <v>111</v>
      </c>
      <c r="H30" s="3" t="s">
        <v>11</v>
      </c>
      <c r="I30" s="3" t="s">
        <v>7</v>
      </c>
      <c r="J30" s="3" t="s">
        <v>57</v>
      </c>
      <c r="K30" s="3" t="s">
        <v>47</v>
      </c>
      <c r="L30" s="3" t="s">
        <v>58</v>
      </c>
      <c r="M30">
        <v>1</v>
      </c>
    </row>
    <row r="31" spans="1:13" x14ac:dyDescent="0.25">
      <c r="A31" s="2">
        <v>46149</v>
      </c>
      <c r="B31" s="1" t="str">
        <f ca="1">IF(Información1[[#This Row],[Fecha]]='Ajuste de fechas'!$A$2,"Día actual","Día anterior")</f>
        <v>Día anterior</v>
      </c>
      <c r="C31" s="3" t="s">
        <v>45</v>
      </c>
      <c r="D31" t="s">
        <v>46</v>
      </c>
      <c r="E31" s="3" t="s">
        <v>135</v>
      </c>
      <c r="F31" s="3" t="s">
        <v>26</v>
      </c>
      <c r="G31" s="3" t="s">
        <v>136</v>
      </c>
      <c r="H31" s="3" t="s">
        <v>36</v>
      </c>
      <c r="I31" s="3" t="s">
        <v>7</v>
      </c>
      <c r="J31" s="3" t="s">
        <v>57</v>
      </c>
      <c r="K31" s="3" t="s">
        <v>47</v>
      </c>
      <c r="L31" s="3" t="s">
        <v>60</v>
      </c>
      <c r="M31">
        <v>1</v>
      </c>
    </row>
    <row r="32" spans="1:13" x14ac:dyDescent="0.25">
      <c r="A32" s="2">
        <v>46149</v>
      </c>
      <c r="B32" s="1" t="str">
        <f ca="1">IF(Información1[[#This Row],[Fecha]]='Ajuste de fechas'!$A$2,"Día actual","Día anterior")</f>
        <v>Día anterior</v>
      </c>
      <c r="C32" s="3" t="s">
        <v>45</v>
      </c>
      <c r="D32" t="s">
        <v>46</v>
      </c>
      <c r="E32" s="3" t="s">
        <v>164</v>
      </c>
      <c r="F32" s="3" t="s">
        <v>26</v>
      </c>
      <c r="G32" s="3" t="s">
        <v>165</v>
      </c>
      <c r="H32" s="3" t="s">
        <v>36</v>
      </c>
      <c r="I32" s="3" t="s">
        <v>7</v>
      </c>
      <c r="J32" s="3" t="s">
        <v>57</v>
      </c>
      <c r="K32" s="3" t="s">
        <v>47</v>
      </c>
      <c r="L32" s="3" t="s">
        <v>58</v>
      </c>
      <c r="M32">
        <v>1</v>
      </c>
    </row>
    <row r="33" spans="1:13" x14ac:dyDescent="0.25">
      <c r="A33" s="2">
        <v>46149</v>
      </c>
      <c r="B33" s="1" t="str">
        <f ca="1">IF(Información1[[#This Row],[Fecha]]='Ajuste de fechas'!$A$2,"Día actual","Día anterior")</f>
        <v>Día anterior</v>
      </c>
      <c r="C33" s="3" t="s">
        <v>45</v>
      </c>
      <c r="D33" t="s">
        <v>46</v>
      </c>
      <c r="E33" s="3" t="s">
        <v>166</v>
      </c>
      <c r="F33" s="3" t="s">
        <v>17</v>
      </c>
      <c r="G33" s="3" t="s">
        <v>82</v>
      </c>
      <c r="H33" s="3" t="s">
        <v>11</v>
      </c>
      <c r="I33" s="3" t="s">
        <v>25</v>
      </c>
      <c r="J33" s="3" t="s">
        <v>57</v>
      </c>
      <c r="K33" s="3" t="s">
        <v>47</v>
      </c>
      <c r="L33" s="3" t="s">
        <v>58</v>
      </c>
      <c r="M33">
        <v>1</v>
      </c>
    </row>
    <row r="34" spans="1:13" x14ac:dyDescent="0.25">
      <c r="A34" s="2">
        <v>46149</v>
      </c>
      <c r="B34" s="1" t="str">
        <f ca="1">IF(Información1[[#This Row],[Fecha]]='Ajuste de fechas'!$A$2,"Día actual","Día anterior")</f>
        <v>Día anterior</v>
      </c>
      <c r="C34" s="3" t="s">
        <v>45</v>
      </c>
      <c r="D34" t="s">
        <v>46</v>
      </c>
      <c r="E34" s="3" t="s">
        <v>167</v>
      </c>
      <c r="F34" s="3" t="s">
        <v>19</v>
      </c>
      <c r="G34" s="3" t="s">
        <v>109</v>
      </c>
      <c r="H34" s="3" t="s">
        <v>36</v>
      </c>
      <c r="I34" s="3" t="s">
        <v>7</v>
      </c>
      <c r="J34" s="3" t="s">
        <v>61</v>
      </c>
      <c r="K34" s="3" t="s">
        <v>47</v>
      </c>
      <c r="L34" s="3" t="s">
        <v>58</v>
      </c>
      <c r="M34">
        <v>1</v>
      </c>
    </row>
    <row r="35" spans="1:13" x14ac:dyDescent="0.25">
      <c r="A35" s="2">
        <v>46149</v>
      </c>
      <c r="B35" s="1" t="str">
        <f ca="1">IF(Información1[[#This Row],[Fecha]]='Ajuste de fechas'!$A$2,"Día actual","Día anterior")</f>
        <v>Día anterior</v>
      </c>
      <c r="C35" s="3" t="s">
        <v>45</v>
      </c>
      <c r="D35" t="s">
        <v>46</v>
      </c>
      <c r="E35" s="3" t="s">
        <v>168</v>
      </c>
      <c r="F35" s="3" t="s">
        <v>19</v>
      </c>
      <c r="G35" s="3" t="s">
        <v>97</v>
      </c>
      <c r="H35" s="3" t="s">
        <v>36</v>
      </c>
      <c r="I35" s="3" t="s">
        <v>7</v>
      </c>
      <c r="J35" s="3" t="s">
        <v>61</v>
      </c>
      <c r="K35" s="3" t="s">
        <v>47</v>
      </c>
      <c r="L35" s="3" t="s">
        <v>58</v>
      </c>
      <c r="M35">
        <v>1</v>
      </c>
    </row>
    <row r="36" spans="1:13" x14ac:dyDescent="0.25">
      <c r="A36" s="2">
        <v>46149</v>
      </c>
      <c r="B36" s="1" t="str">
        <f ca="1">IF(Información1[[#This Row],[Fecha]]='Ajuste de fechas'!$A$2,"Día actual","Día anterior")</f>
        <v>Día anterior</v>
      </c>
      <c r="C36" s="3" t="s">
        <v>45</v>
      </c>
      <c r="D36" t="s">
        <v>46</v>
      </c>
      <c r="E36" s="3" t="s">
        <v>169</v>
      </c>
      <c r="F36" s="3" t="s">
        <v>17</v>
      </c>
      <c r="G36" s="3" t="s">
        <v>82</v>
      </c>
      <c r="H36" s="3" t="s">
        <v>36</v>
      </c>
      <c r="I36" s="3" t="s">
        <v>7</v>
      </c>
      <c r="J36" s="3" t="s">
        <v>57</v>
      </c>
      <c r="K36" s="3" t="s">
        <v>47</v>
      </c>
      <c r="L36" s="3" t="s">
        <v>58</v>
      </c>
      <c r="M36">
        <v>1</v>
      </c>
    </row>
    <row r="37" spans="1:13" x14ac:dyDescent="0.25">
      <c r="A37" s="2">
        <v>46149</v>
      </c>
      <c r="B37" s="1" t="str">
        <f ca="1">IF(Información1[[#This Row],[Fecha]]='Ajuste de fechas'!$A$2,"Día actual","Día anterior")</f>
        <v>Día anterior</v>
      </c>
      <c r="C37" s="3" t="s">
        <v>45</v>
      </c>
      <c r="D37" t="s">
        <v>46</v>
      </c>
      <c r="E37" s="3" t="s">
        <v>170</v>
      </c>
      <c r="F37" s="3" t="s">
        <v>67</v>
      </c>
      <c r="G37" s="3" t="s">
        <v>171</v>
      </c>
      <c r="H37" s="3" t="s">
        <v>36</v>
      </c>
      <c r="I37" s="3" t="s">
        <v>7</v>
      </c>
      <c r="J37" s="3" t="s">
        <v>57</v>
      </c>
      <c r="K37" s="3" t="s">
        <v>47</v>
      </c>
      <c r="L37" s="3" t="s">
        <v>58</v>
      </c>
      <c r="M37">
        <v>1</v>
      </c>
    </row>
    <row r="38" spans="1:13" x14ac:dyDescent="0.25">
      <c r="A38" s="2">
        <v>46149</v>
      </c>
      <c r="B38" s="1" t="str">
        <f ca="1">IF(Información1[[#This Row],[Fecha]]='Ajuste de fechas'!$A$2,"Día actual","Día anterior")</f>
        <v>Día anterior</v>
      </c>
      <c r="C38" s="3" t="s">
        <v>45</v>
      </c>
      <c r="D38" t="s">
        <v>46</v>
      </c>
      <c r="E38" s="3" t="s">
        <v>172</v>
      </c>
      <c r="F38" s="3" t="s">
        <v>96</v>
      </c>
      <c r="G38" s="3" t="s">
        <v>76</v>
      </c>
      <c r="H38" s="3" t="s">
        <v>36</v>
      </c>
      <c r="I38" s="3" t="s">
        <v>7</v>
      </c>
      <c r="J38" s="3" t="s">
        <v>24</v>
      </c>
      <c r="K38" s="3" t="s">
        <v>47</v>
      </c>
      <c r="L38" s="3" t="s">
        <v>58</v>
      </c>
      <c r="M38">
        <v>1</v>
      </c>
    </row>
    <row r="39" spans="1:13" x14ac:dyDescent="0.25">
      <c r="A39" s="2">
        <v>46149</v>
      </c>
      <c r="B39" s="1" t="str">
        <f ca="1">IF(Información1[[#This Row],[Fecha]]='Ajuste de fechas'!$A$2,"Día actual","Día anterior")</f>
        <v>Día anterior</v>
      </c>
      <c r="C39" s="3" t="s">
        <v>45</v>
      </c>
      <c r="D39" t="s">
        <v>46</v>
      </c>
      <c r="E39" s="3" t="s">
        <v>170</v>
      </c>
      <c r="F39" s="3" t="s">
        <v>67</v>
      </c>
      <c r="G39" s="3" t="s">
        <v>171</v>
      </c>
      <c r="H39" s="3" t="s">
        <v>11</v>
      </c>
      <c r="I39" s="3" t="s">
        <v>7</v>
      </c>
      <c r="J39" s="3" t="s">
        <v>57</v>
      </c>
      <c r="K39" s="3" t="s">
        <v>47</v>
      </c>
      <c r="L39" s="3" t="s">
        <v>58</v>
      </c>
      <c r="M39">
        <v>1</v>
      </c>
    </row>
    <row r="40" spans="1:13" x14ac:dyDescent="0.25">
      <c r="A40" s="2">
        <v>46149</v>
      </c>
      <c r="B40" s="1" t="str">
        <f ca="1">IF(Información1[[#This Row],[Fecha]]='Ajuste de fechas'!$A$2,"Día actual","Día anterior")</f>
        <v>Día anterior</v>
      </c>
      <c r="C40" s="3" t="s">
        <v>38</v>
      </c>
      <c r="D40" t="s">
        <v>39</v>
      </c>
      <c r="E40" s="3" t="s">
        <v>127</v>
      </c>
      <c r="F40" s="3" t="s">
        <v>67</v>
      </c>
      <c r="G40" s="3" t="s">
        <v>158</v>
      </c>
      <c r="H40" s="3" t="s">
        <v>36</v>
      </c>
      <c r="I40" s="3" t="s">
        <v>7</v>
      </c>
      <c r="J40" s="3" t="s">
        <v>57</v>
      </c>
      <c r="K40" s="3" t="s">
        <v>27</v>
      </c>
      <c r="L40" s="3" t="s">
        <v>60</v>
      </c>
      <c r="M40">
        <v>1</v>
      </c>
    </row>
    <row r="41" spans="1:13" x14ac:dyDescent="0.25">
      <c r="A41" s="2">
        <v>46149</v>
      </c>
      <c r="B41" s="1" t="str">
        <f ca="1">IF(Información1[[#This Row],[Fecha]]='Ajuste de fechas'!$A$2,"Día actual","Día anterior")</f>
        <v>Día anterior</v>
      </c>
      <c r="C41" s="3" t="s">
        <v>38</v>
      </c>
      <c r="D41" t="s">
        <v>39</v>
      </c>
      <c r="E41" s="3" t="s">
        <v>160</v>
      </c>
      <c r="F41" s="3" t="s">
        <v>21</v>
      </c>
      <c r="G41" s="3" t="s">
        <v>131</v>
      </c>
      <c r="H41" s="3" t="s">
        <v>36</v>
      </c>
      <c r="I41" s="3" t="s">
        <v>7</v>
      </c>
      <c r="J41" s="3" t="s">
        <v>57</v>
      </c>
      <c r="K41" s="3" t="s">
        <v>27</v>
      </c>
      <c r="L41" s="3" t="s">
        <v>60</v>
      </c>
      <c r="M41">
        <v>1</v>
      </c>
    </row>
    <row r="42" spans="1:13" x14ac:dyDescent="0.25">
      <c r="A42" s="2">
        <v>46149</v>
      </c>
      <c r="B42" s="1" t="str">
        <f ca="1">IF(Información1[[#This Row],[Fecha]]='Ajuste de fechas'!$A$2,"Día actual","Día anterior")</f>
        <v>Día anterior</v>
      </c>
      <c r="C42" s="3" t="s">
        <v>40</v>
      </c>
      <c r="D42" t="s">
        <v>43</v>
      </c>
      <c r="E42" s="3" t="s">
        <v>174</v>
      </c>
      <c r="F42" s="3" t="s">
        <v>19</v>
      </c>
      <c r="G42" s="3" t="s">
        <v>175</v>
      </c>
      <c r="H42" s="3" t="s">
        <v>11</v>
      </c>
      <c r="I42" s="3" t="s">
        <v>7</v>
      </c>
      <c r="J42" s="3" t="s">
        <v>61</v>
      </c>
      <c r="K42" s="3" t="s">
        <v>41</v>
      </c>
      <c r="L42" s="3" t="s">
        <v>58</v>
      </c>
      <c r="M42">
        <v>1</v>
      </c>
    </row>
    <row r="43" spans="1:13" x14ac:dyDescent="0.25">
      <c r="A43" s="2">
        <v>46149</v>
      </c>
      <c r="B43" s="1" t="str">
        <f ca="1">IF(Información1[[#This Row],[Fecha]]='Ajuste de fechas'!$A$2,"Día actual","Día anterior")</f>
        <v>Día anterior</v>
      </c>
      <c r="C43" s="3" t="s">
        <v>40</v>
      </c>
      <c r="D43" t="s">
        <v>43</v>
      </c>
      <c r="E43" s="3" t="s">
        <v>176</v>
      </c>
      <c r="F43" s="3" t="s">
        <v>17</v>
      </c>
      <c r="G43" s="3" t="s">
        <v>82</v>
      </c>
      <c r="H43" s="3" t="s">
        <v>11</v>
      </c>
      <c r="I43" s="3" t="s">
        <v>7</v>
      </c>
      <c r="J43" s="3" t="s">
        <v>57</v>
      </c>
      <c r="K43" s="3" t="s">
        <v>9</v>
      </c>
      <c r="L43" s="3" t="s">
        <v>59</v>
      </c>
      <c r="M43">
        <v>1</v>
      </c>
    </row>
    <row r="44" spans="1:13" x14ac:dyDescent="0.25">
      <c r="A44" s="2">
        <v>46149</v>
      </c>
      <c r="B44" s="1" t="str">
        <f ca="1">IF(Información1[[#This Row],[Fecha]]='Ajuste de fechas'!$A$2,"Día actual","Día anterior")</f>
        <v>Día anterior</v>
      </c>
      <c r="C44" s="3" t="s">
        <v>40</v>
      </c>
      <c r="D44" t="s">
        <v>43</v>
      </c>
      <c r="E44" s="3" t="s">
        <v>177</v>
      </c>
      <c r="F44" s="3" t="s">
        <v>17</v>
      </c>
      <c r="G44" s="3" t="s">
        <v>82</v>
      </c>
      <c r="H44" s="3" t="s">
        <v>11</v>
      </c>
      <c r="I44" s="3" t="s">
        <v>7</v>
      </c>
      <c r="J44" s="3" t="s">
        <v>57</v>
      </c>
      <c r="K44" s="3" t="s">
        <v>9</v>
      </c>
      <c r="L44" s="3" t="s">
        <v>59</v>
      </c>
      <c r="M44">
        <v>1</v>
      </c>
    </row>
    <row r="45" spans="1:13" x14ac:dyDescent="0.25">
      <c r="A45" s="2">
        <v>46149</v>
      </c>
      <c r="B45" s="1" t="str">
        <f ca="1">IF(Información1[[#This Row],[Fecha]]='Ajuste de fechas'!$A$2,"Día actual","Día anterior")</f>
        <v>Día anterior</v>
      </c>
      <c r="C45" s="3" t="s">
        <v>40</v>
      </c>
      <c r="D45" t="s">
        <v>43</v>
      </c>
      <c r="E45" s="3" t="s">
        <v>178</v>
      </c>
      <c r="F45" s="3" t="s">
        <v>17</v>
      </c>
      <c r="G45" s="3" t="s">
        <v>82</v>
      </c>
      <c r="H45" s="3" t="s">
        <v>11</v>
      </c>
      <c r="I45" s="3" t="s">
        <v>7</v>
      </c>
      <c r="J45" s="3" t="s">
        <v>57</v>
      </c>
      <c r="K45" s="3" t="s">
        <v>179</v>
      </c>
      <c r="L45" s="3" t="s">
        <v>59</v>
      </c>
      <c r="M45">
        <v>1</v>
      </c>
    </row>
    <row r="46" spans="1:13" x14ac:dyDescent="0.25">
      <c r="A46" s="2">
        <v>46149</v>
      </c>
      <c r="B46" s="1" t="str">
        <f ca="1">IF(Información1[[#This Row],[Fecha]]='Ajuste de fechas'!$A$2,"Día actual","Día anterior")</f>
        <v>Día anterior</v>
      </c>
      <c r="C46" s="3" t="s">
        <v>28</v>
      </c>
      <c r="D46" t="s">
        <v>30</v>
      </c>
      <c r="E46" s="3" t="s">
        <v>180</v>
      </c>
      <c r="F46" s="3" t="s">
        <v>24</v>
      </c>
      <c r="G46" s="3" t="s">
        <v>181</v>
      </c>
      <c r="H46" s="3" t="s">
        <v>11</v>
      </c>
      <c r="I46" s="3" t="s">
        <v>7</v>
      </c>
      <c r="J46" s="3" t="s">
        <v>24</v>
      </c>
      <c r="K46" s="3" t="s">
        <v>29</v>
      </c>
      <c r="L46" s="3" t="s">
        <v>58</v>
      </c>
      <c r="M46">
        <v>1</v>
      </c>
    </row>
    <row r="47" spans="1:13" x14ac:dyDescent="0.25">
      <c r="A47" s="2">
        <v>46149</v>
      </c>
      <c r="B47" s="1" t="str">
        <f ca="1">IF(Información1[[#This Row],[Fecha]]='Ajuste de fechas'!$A$2,"Día actual","Día anterior")</f>
        <v>Día anterior</v>
      </c>
      <c r="C47" s="3" t="s">
        <v>28</v>
      </c>
      <c r="D47" t="s">
        <v>30</v>
      </c>
      <c r="E47" s="3" t="s">
        <v>182</v>
      </c>
      <c r="F47" s="3" t="s">
        <v>22</v>
      </c>
      <c r="G47" s="3" t="s">
        <v>97</v>
      </c>
      <c r="H47" s="3" t="s">
        <v>11</v>
      </c>
      <c r="I47" s="3" t="s">
        <v>7</v>
      </c>
      <c r="J47" s="3" t="s">
        <v>62</v>
      </c>
      <c r="K47" s="3" t="s">
        <v>29</v>
      </c>
      <c r="L47" s="3" t="s">
        <v>58</v>
      </c>
      <c r="M47">
        <v>1</v>
      </c>
    </row>
    <row r="48" spans="1:13" x14ac:dyDescent="0.25">
      <c r="A48" s="2">
        <v>46149</v>
      </c>
      <c r="B48" s="1" t="str">
        <f ca="1">IF(Información1[[#This Row],[Fecha]]='Ajuste de fechas'!$A$2,"Día actual","Día anterior")</f>
        <v>Día anterior</v>
      </c>
      <c r="C48" s="3" t="s">
        <v>28</v>
      </c>
      <c r="D48" t="s">
        <v>30</v>
      </c>
      <c r="E48" s="3" t="s">
        <v>183</v>
      </c>
      <c r="F48" s="3" t="s">
        <v>19</v>
      </c>
      <c r="G48" s="3" t="s">
        <v>148</v>
      </c>
      <c r="H48" s="3" t="s">
        <v>11</v>
      </c>
      <c r="I48" s="3" t="s">
        <v>7</v>
      </c>
      <c r="J48" s="3" t="s">
        <v>61</v>
      </c>
      <c r="K48" s="3" t="s">
        <v>29</v>
      </c>
      <c r="L48" s="3" t="s">
        <v>58</v>
      </c>
      <c r="M48">
        <v>1</v>
      </c>
    </row>
    <row r="49" spans="1:13" x14ac:dyDescent="0.25">
      <c r="A49" s="2">
        <v>46149</v>
      </c>
      <c r="B49" s="1" t="str">
        <f ca="1">IF(Información1[[#This Row],[Fecha]]='Ajuste de fechas'!$A$2,"Día actual","Día anterior")</f>
        <v>Día anterior</v>
      </c>
      <c r="C49" s="3" t="s">
        <v>28</v>
      </c>
      <c r="D49" t="s">
        <v>30</v>
      </c>
      <c r="E49" s="3" t="s">
        <v>184</v>
      </c>
      <c r="F49" s="3" t="s">
        <v>44</v>
      </c>
      <c r="G49" s="3" t="s">
        <v>185</v>
      </c>
      <c r="H49" s="3" t="s">
        <v>11</v>
      </c>
      <c r="I49" s="3" t="s">
        <v>7</v>
      </c>
      <c r="J49" s="3" t="s">
        <v>57</v>
      </c>
      <c r="K49" s="3" t="s">
        <v>29</v>
      </c>
      <c r="L49" s="3" t="s">
        <v>60</v>
      </c>
      <c r="M49">
        <v>1</v>
      </c>
    </row>
    <row r="50" spans="1:13" x14ac:dyDescent="0.25">
      <c r="A50" s="2">
        <v>46149</v>
      </c>
      <c r="B50" s="1" t="str">
        <f ca="1">IF(Información1[[#This Row],[Fecha]]='Ajuste de fechas'!$A$2,"Día actual","Día anterior")</f>
        <v>Día anterior</v>
      </c>
      <c r="C50" s="3" t="s">
        <v>28</v>
      </c>
      <c r="D50" t="s">
        <v>30</v>
      </c>
      <c r="E50" s="3" t="s">
        <v>186</v>
      </c>
      <c r="F50" s="3" t="s">
        <v>96</v>
      </c>
      <c r="G50" s="3" t="s">
        <v>97</v>
      </c>
      <c r="H50" s="3" t="s">
        <v>11</v>
      </c>
      <c r="I50" s="3" t="s">
        <v>7</v>
      </c>
      <c r="J50" s="3" t="s">
        <v>24</v>
      </c>
      <c r="K50" s="3" t="s">
        <v>29</v>
      </c>
      <c r="L50" s="3" t="s">
        <v>58</v>
      </c>
      <c r="M50">
        <v>1</v>
      </c>
    </row>
    <row r="51" spans="1:13" x14ac:dyDescent="0.25">
      <c r="A51" s="2">
        <v>46149</v>
      </c>
      <c r="B51" s="1" t="str">
        <f ca="1">IF(Información1[[#This Row],[Fecha]]='Ajuste de fechas'!$A$2,"Día actual","Día anterior")</f>
        <v>Día anterior</v>
      </c>
      <c r="C51" s="3" t="s">
        <v>28</v>
      </c>
      <c r="D51" t="s">
        <v>30</v>
      </c>
      <c r="E51" s="3" t="s">
        <v>110</v>
      </c>
      <c r="F51" s="3" t="s">
        <v>26</v>
      </c>
      <c r="G51" s="3" t="s">
        <v>97</v>
      </c>
      <c r="H51" s="3" t="s">
        <v>11</v>
      </c>
      <c r="I51" s="3" t="s">
        <v>7</v>
      </c>
      <c r="J51" s="3" t="s">
        <v>57</v>
      </c>
      <c r="K51" s="3" t="s">
        <v>29</v>
      </c>
      <c r="L51" s="3" t="s">
        <v>60</v>
      </c>
      <c r="M51">
        <v>1</v>
      </c>
    </row>
    <row r="52" spans="1:13" x14ac:dyDescent="0.25">
      <c r="A52" s="2">
        <v>46149</v>
      </c>
      <c r="B52" s="1" t="str">
        <f ca="1">IF(Información1[[#This Row],[Fecha]]='Ajuste de fechas'!$A$2,"Día actual","Día anterior")</f>
        <v>Día anterior</v>
      </c>
      <c r="C52" s="3" t="s">
        <v>28</v>
      </c>
      <c r="D52" t="s">
        <v>30</v>
      </c>
      <c r="E52" s="3" t="s">
        <v>187</v>
      </c>
      <c r="F52" s="3" t="s">
        <v>21</v>
      </c>
      <c r="G52" s="3" t="s">
        <v>108</v>
      </c>
      <c r="H52" s="3" t="s">
        <v>11</v>
      </c>
      <c r="I52" s="3" t="s">
        <v>7</v>
      </c>
      <c r="J52" s="3" t="s">
        <v>57</v>
      </c>
      <c r="K52" s="3" t="s">
        <v>29</v>
      </c>
      <c r="L52" s="3" t="s">
        <v>60</v>
      </c>
      <c r="M52">
        <v>1</v>
      </c>
    </row>
    <row r="53" spans="1:13" x14ac:dyDescent="0.25">
      <c r="A53" s="2">
        <v>46149</v>
      </c>
      <c r="B53" s="1" t="str">
        <f ca="1">IF(Información1[[#This Row],[Fecha]]='Ajuste de fechas'!$A$2,"Día actual","Día anterior")</f>
        <v>Día anterior</v>
      </c>
      <c r="C53" s="3" t="s">
        <v>28</v>
      </c>
      <c r="D53" t="s">
        <v>30</v>
      </c>
      <c r="E53" s="3" t="s">
        <v>127</v>
      </c>
      <c r="F53" s="3" t="s">
        <v>67</v>
      </c>
      <c r="G53" s="3" t="s">
        <v>158</v>
      </c>
      <c r="H53" s="3" t="s">
        <v>11</v>
      </c>
      <c r="I53" s="3" t="s">
        <v>7</v>
      </c>
      <c r="J53" s="3" t="s">
        <v>57</v>
      </c>
      <c r="K53" s="3" t="s">
        <v>29</v>
      </c>
      <c r="L53" s="3" t="s">
        <v>60</v>
      </c>
      <c r="M53">
        <v>1</v>
      </c>
    </row>
    <row r="54" spans="1:13" x14ac:dyDescent="0.25">
      <c r="A54" s="2">
        <v>46149</v>
      </c>
      <c r="B54" s="1" t="str">
        <f ca="1">IF(Información1[[#This Row],[Fecha]]='Ajuste de fechas'!$A$2,"Día actual","Día anterior")</f>
        <v>Día anterior</v>
      </c>
      <c r="C54" s="3" t="s">
        <v>28</v>
      </c>
      <c r="D54" t="s">
        <v>30</v>
      </c>
      <c r="E54" s="3" t="s">
        <v>188</v>
      </c>
      <c r="F54" s="3" t="s">
        <v>94</v>
      </c>
      <c r="G54" s="3" t="s">
        <v>136</v>
      </c>
      <c r="H54" s="3" t="s">
        <v>11</v>
      </c>
      <c r="I54" s="3" t="s">
        <v>12</v>
      </c>
      <c r="J54" s="3" t="s">
        <v>57</v>
      </c>
      <c r="K54" s="3" t="s">
        <v>29</v>
      </c>
      <c r="L54" s="3" t="s">
        <v>59</v>
      </c>
      <c r="M54">
        <v>1</v>
      </c>
    </row>
    <row r="55" spans="1:13" x14ac:dyDescent="0.25">
      <c r="A55" s="2">
        <v>46149</v>
      </c>
      <c r="B55" s="1" t="str">
        <f ca="1">IF(Información1[[#This Row],[Fecha]]='Ajuste de fechas'!$A$2,"Día actual","Día anterior")</f>
        <v>Día anterior</v>
      </c>
      <c r="C55" s="3" t="s">
        <v>28</v>
      </c>
      <c r="D55" t="s">
        <v>30</v>
      </c>
      <c r="E55" s="3" t="s">
        <v>189</v>
      </c>
      <c r="F55" s="3" t="s">
        <v>26</v>
      </c>
      <c r="G55" s="3" t="s">
        <v>136</v>
      </c>
      <c r="H55" s="3" t="s">
        <v>11</v>
      </c>
      <c r="I55" s="3" t="s">
        <v>7</v>
      </c>
      <c r="J55" s="3" t="s">
        <v>57</v>
      </c>
      <c r="K55" s="3" t="s">
        <v>29</v>
      </c>
      <c r="L55" s="3" t="s">
        <v>60</v>
      </c>
      <c r="M55">
        <v>1</v>
      </c>
    </row>
    <row r="56" spans="1:13" x14ac:dyDescent="0.25">
      <c r="A56" s="2">
        <v>46149</v>
      </c>
      <c r="B56" s="1" t="str">
        <f ca="1">IF(Información1[[#This Row],[Fecha]]='Ajuste de fechas'!$A$2,"Día actual","Día anterior")</f>
        <v>Día anterior</v>
      </c>
      <c r="C56" s="3" t="s">
        <v>28</v>
      </c>
      <c r="D56" t="s">
        <v>30</v>
      </c>
      <c r="E56" s="3" t="s">
        <v>190</v>
      </c>
      <c r="F56" s="3" t="s">
        <v>89</v>
      </c>
      <c r="G56" s="3" t="s">
        <v>134</v>
      </c>
      <c r="H56" s="3" t="s">
        <v>11</v>
      </c>
      <c r="I56" s="3" t="s">
        <v>7</v>
      </c>
      <c r="J56" s="3" t="s">
        <v>57</v>
      </c>
      <c r="K56" s="3" t="s">
        <v>29</v>
      </c>
      <c r="L56" s="3" t="s">
        <v>60</v>
      </c>
      <c r="M56">
        <v>1</v>
      </c>
    </row>
    <row r="57" spans="1:13" x14ac:dyDescent="0.25">
      <c r="A57" s="2">
        <v>46149</v>
      </c>
      <c r="B57" s="1" t="str">
        <f ca="1">IF(Información1[[#This Row],[Fecha]]='Ajuste de fechas'!$A$2,"Día actual","Día anterior")</f>
        <v>Día anterior</v>
      </c>
      <c r="C57" s="3" t="s">
        <v>40</v>
      </c>
      <c r="D57" t="s">
        <v>42</v>
      </c>
      <c r="E57" s="3" t="s">
        <v>191</v>
      </c>
      <c r="F57" s="3" t="s">
        <v>19</v>
      </c>
      <c r="G57" s="3" t="s">
        <v>192</v>
      </c>
      <c r="H57" s="3" t="s">
        <v>11</v>
      </c>
      <c r="I57" s="3" t="s">
        <v>7</v>
      </c>
      <c r="J57" s="3" t="s">
        <v>61</v>
      </c>
      <c r="K57" s="3" t="s">
        <v>41</v>
      </c>
      <c r="L57" s="3" t="s">
        <v>58</v>
      </c>
      <c r="M57">
        <v>1</v>
      </c>
    </row>
    <row r="58" spans="1:13" x14ac:dyDescent="0.25">
      <c r="A58" s="2">
        <v>46149</v>
      </c>
      <c r="B58" s="1" t="str">
        <f ca="1">IF(Información1[[#This Row],[Fecha]]='Ajuste de fechas'!$A$2,"Día actual","Día anterior")</f>
        <v>Día anterior</v>
      </c>
      <c r="C58" s="3" t="s">
        <v>40</v>
      </c>
      <c r="D58" t="s">
        <v>42</v>
      </c>
      <c r="E58" s="3" t="s">
        <v>193</v>
      </c>
      <c r="F58" s="3" t="s">
        <v>19</v>
      </c>
      <c r="G58" s="3" t="s">
        <v>121</v>
      </c>
      <c r="H58" s="3" t="s">
        <v>11</v>
      </c>
      <c r="I58" s="3" t="s">
        <v>7</v>
      </c>
      <c r="J58" s="3" t="s">
        <v>61</v>
      </c>
      <c r="K58" s="3" t="s">
        <v>35</v>
      </c>
      <c r="L58" s="3" t="s">
        <v>58</v>
      </c>
      <c r="M58">
        <v>1</v>
      </c>
    </row>
    <row r="59" spans="1:13" x14ac:dyDescent="0.25">
      <c r="A59" s="2">
        <v>46149</v>
      </c>
      <c r="B59" s="1" t="str">
        <f ca="1">IF(Información1[[#This Row],[Fecha]]='Ajuste de fechas'!$A$2,"Día actual","Día anterior")</f>
        <v>Día anterior</v>
      </c>
      <c r="C59" s="3" t="s">
        <v>40</v>
      </c>
      <c r="D59" t="s">
        <v>42</v>
      </c>
      <c r="E59" s="3" t="s">
        <v>194</v>
      </c>
      <c r="F59" s="3" t="s">
        <v>6</v>
      </c>
      <c r="G59" s="3" t="s">
        <v>195</v>
      </c>
      <c r="H59" s="3" t="s">
        <v>11</v>
      </c>
      <c r="I59" s="3" t="s">
        <v>12</v>
      </c>
      <c r="J59" s="3" t="s">
        <v>57</v>
      </c>
      <c r="K59" s="3" t="s">
        <v>196</v>
      </c>
      <c r="L59" s="3" t="s">
        <v>59</v>
      </c>
      <c r="M59">
        <v>1</v>
      </c>
    </row>
    <row r="60" spans="1:13" x14ac:dyDescent="0.25">
      <c r="A60" s="2">
        <v>46149</v>
      </c>
      <c r="B60" s="1" t="str">
        <f ca="1">IF(Información1[[#This Row],[Fecha]]='Ajuste de fechas'!$A$2,"Día actual","Día anterior")</f>
        <v>Día anterior</v>
      </c>
      <c r="C60" s="3" t="s">
        <v>40</v>
      </c>
      <c r="D60" t="s">
        <v>42</v>
      </c>
      <c r="E60" s="3" t="s">
        <v>197</v>
      </c>
      <c r="F60" s="3" t="s">
        <v>21</v>
      </c>
      <c r="G60" s="3" t="s">
        <v>108</v>
      </c>
      <c r="H60" s="3" t="s">
        <v>11</v>
      </c>
      <c r="I60" s="3" t="s">
        <v>7</v>
      </c>
      <c r="J60" s="3" t="s">
        <v>57</v>
      </c>
      <c r="K60" s="3" t="s">
        <v>35</v>
      </c>
      <c r="L60" s="3" t="s">
        <v>58</v>
      </c>
      <c r="M60">
        <v>1</v>
      </c>
    </row>
    <row r="61" spans="1:13" x14ac:dyDescent="0.25">
      <c r="A61" s="2">
        <v>46149</v>
      </c>
      <c r="B61" s="1" t="str">
        <f ca="1">IF(Información1[[#This Row],[Fecha]]='Ajuste de fechas'!$A$2,"Día actual","Día anterior")</f>
        <v>Día anterior</v>
      </c>
      <c r="C61" s="3" t="s">
        <v>40</v>
      </c>
      <c r="D61" t="s">
        <v>42</v>
      </c>
      <c r="E61" s="3" t="s">
        <v>198</v>
      </c>
      <c r="F61" s="3" t="s">
        <v>17</v>
      </c>
      <c r="G61" s="3" t="s">
        <v>82</v>
      </c>
      <c r="H61" s="3" t="s">
        <v>11</v>
      </c>
      <c r="I61" s="3" t="s">
        <v>7</v>
      </c>
      <c r="J61" s="3" t="s">
        <v>57</v>
      </c>
      <c r="K61" s="3" t="s">
        <v>9</v>
      </c>
      <c r="L61" s="3" t="s">
        <v>59</v>
      </c>
      <c r="M61">
        <v>1</v>
      </c>
    </row>
    <row r="62" spans="1:13" x14ac:dyDescent="0.25">
      <c r="A62" s="2">
        <v>46149</v>
      </c>
      <c r="B62" s="1" t="str">
        <f ca="1">IF(Información1[[#This Row],[Fecha]]='Ajuste de fechas'!$A$2,"Día actual","Día anterior")</f>
        <v>Día anterior</v>
      </c>
      <c r="C62" s="3" t="s">
        <v>40</v>
      </c>
      <c r="D62" t="s">
        <v>42</v>
      </c>
      <c r="E62" s="3" t="s">
        <v>199</v>
      </c>
      <c r="F62" s="3" t="s">
        <v>79</v>
      </c>
      <c r="G62" s="3" t="s">
        <v>200</v>
      </c>
      <c r="H62" s="3" t="s">
        <v>11</v>
      </c>
      <c r="I62" s="3" t="s">
        <v>7</v>
      </c>
      <c r="J62" s="3" t="s">
        <v>57</v>
      </c>
      <c r="K62" s="3" t="s">
        <v>35</v>
      </c>
      <c r="L62" s="3" t="s">
        <v>60</v>
      </c>
      <c r="M62">
        <v>1</v>
      </c>
    </row>
    <row r="63" spans="1:13" x14ac:dyDescent="0.25">
      <c r="A63" s="2">
        <v>46149</v>
      </c>
      <c r="B63" s="1" t="str">
        <f ca="1">IF(Información1[[#This Row],[Fecha]]='Ajuste de fechas'!$A$2,"Día actual","Día anterior")</f>
        <v>Día anterior</v>
      </c>
      <c r="C63" s="3" t="s">
        <v>40</v>
      </c>
      <c r="D63" t="s">
        <v>42</v>
      </c>
      <c r="E63" s="3" t="s">
        <v>201</v>
      </c>
      <c r="F63" s="3" t="s">
        <v>17</v>
      </c>
      <c r="G63" s="3" t="s">
        <v>82</v>
      </c>
      <c r="H63" s="3" t="s">
        <v>11</v>
      </c>
      <c r="I63" s="3" t="s">
        <v>7</v>
      </c>
      <c r="J63" s="3" t="s">
        <v>57</v>
      </c>
      <c r="K63" s="3" t="s">
        <v>41</v>
      </c>
      <c r="L63" s="3" t="s">
        <v>60</v>
      </c>
      <c r="M63">
        <v>1</v>
      </c>
    </row>
    <row r="64" spans="1:13" x14ac:dyDescent="0.25">
      <c r="A64" s="2">
        <v>46149</v>
      </c>
      <c r="B64" s="1" t="str">
        <f ca="1">IF(Información1[[#This Row],[Fecha]]='Ajuste de fechas'!$A$2,"Día actual","Día anterior")</f>
        <v>Día anterior</v>
      </c>
      <c r="C64" s="3" t="s">
        <v>40</v>
      </c>
      <c r="D64" t="s">
        <v>42</v>
      </c>
      <c r="E64" s="3" t="s">
        <v>202</v>
      </c>
      <c r="F64" s="3" t="s">
        <v>75</v>
      </c>
      <c r="G64" s="3" t="s">
        <v>203</v>
      </c>
      <c r="H64" s="3" t="s">
        <v>11</v>
      </c>
      <c r="I64" s="3" t="s">
        <v>7</v>
      </c>
      <c r="J64" s="3" t="s">
        <v>57</v>
      </c>
      <c r="K64" s="3" t="s">
        <v>35</v>
      </c>
      <c r="L64" s="3" t="s">
        <v>60</v>
      </c>
      <c r="M64">
        <v>1</v>
      </c>
    </row>
    <row r="65" spans="1:13" x14ac:dyDescent="0.25">
      <c r="A65" s="2">
        <v>46149</v>
      </c>
      <c r="B65" s="1" t="str">
        <f ca="1">IF(Información1[[#This Row],[Fecha]]='Ajuste de fechas'!$A$2,"Día actual","Día anterior")</f>
        <v>Día anterior</v>
      </c>
      <c r="C65" s="3" t="s">
        <v>40</v>
      </c>
      <c r="D65" t="s">
        <v>42</v>
      </c>
      <c r="E65" s="3" t="s">
        <v>204</v>
      </c>
      <c r="F65" s="3" t="s">
        <v>44</v>
      </c>
      <c r="G65" s="3" t="s">
        <v>185</v>
      </c>
      <c r="H65" s="3" t="s">
        <v>11</v>
      </c>
      <c r="I65" s="3" t="s">
        <v>7</v>
      </c>
      <c r="J65" s="3" t="s">
        <v>57</v>
      </c>
      <c r="K65" s="3" t="s">
        <v>35</v>
      </c>
      <c r="L65" s="3" t="s">
        <v>60</v>
      </c>
      <c r="M65">
        <v>1</v>
      </c>
    </row>
    <row r="66" spans="1:13" x14ac:dyDescent="0.25">
      <c r="A66" s="2">
        <v>46149</v>
      </c>
      <c r="B66" s="1" t="str">
        <f ca="1">IF(Información1[[#This Row],[Fecha]]='Ajuste de fechas'!$A$2,"Día actual","Día anterior")</f>
        <v>Día anterior</v>
      </c>
      <c r="C66" s="3" t="s">
        <v>40</v>
      </c>
      <c r="D66" t="s">
        <v>42</v>
      </c>
      <c r="E66" s="3" t="s">
        <v>190</v>
      </c>
      <c r="F66" s="3" t="s">
        <v>89</v>
      </c>
      <c r="G66" s="3" t="s">
        <v>134</v>
      </c>
      <c r="H66" s="3" t="s">
        <v>11</v>
      </c>
      <c r="I66" s="3" t="s">
        <v>7</v>
      </c>
      <c r="J66" s="3" t="s">
        <v>57</v>
      </c>
      <c r="K66" s="3" t="s">
        <v>35</v>
      </c>
      <c r="L66" s="3" t="s">
        <v>60</v>
      </c>
      <c r="M66">
        <v>1</v>
      </c>
    </row>
    <row r="67" spans="1:13" x14ac:dyDescent="0.25">
      <c r="A67" s="2">
        <v>46149</v>
      </c>
      <c r="B67" s="1" t="str">
        <f ca="1">IF(Información1[[#This Row],[Fecha]]='Ajuste de fechas'!$A$2,"Día actual","Día anterior")</f>
        <v>Día anterior</v>
      </c>
      <c r="C67" s="3" t="s">
        <v>40</v>
      </c>
      <c r="D67" t="s">
        <v>42</v>
      </c>
      <c r="E67" s="3" t="s">
        <v>205</v>
      </c>
      <c r="F67" s="3" t="s">
        <v>26</v>
      </c>
      <c r="G67" s="3" t="s">
        <v>136</v>
      </c>
      <c r="H67" s="3" t="s">
        <v>11</v>
      </c>
      <c r="I67" s="3" t="s">
        <v>7</v>
      </c>
      <c r="J67" s="3" t="s">
        <v>57</v>
      </c>
      <c r="K67" s="3" t="s">
        <v>35</v>
      </c>
      <c r="L67" s="3" t="s">
        <v>60</v>
      </c>
      <c r="M67">
        <v>1</v>
      </c>
    </row>
    <row r="68" spans="1:13" x14ac:dyDescent="0.25">
      <c r="A68" s="2">
        <v>46149</v>
      </c>
      <c r="B68" s="1" t="str">
        <f ca="1">IF(Información1[[#This Row],[Fecha]]='Ajuste de fechas'!$A$2,"Día actual","Día anterior")</f>
        <v>Día anterior</v>
      </c>
      <c r="C68" s="3" t="s">
        <v>40</v>
      </c>
      <c r="D68" t="s">
        <v>42</v>
      </c>
      <c r="E68" s="3" t="s">
        <v>206</v>
      </c>
      <c r="F68" s="3" t="s">
        <v>70</v>
      </c>
      <c r="G68" s="3" t="s">
        <v>207</v>
      </c>
      <c r="H68" s="3" t="s">
        <v>11</v>
      </c>
      <c r="I68" s="3" t="s">
        <v>7</v>
      </c>
      <c r="J68" s="3" t="s">
        <v>57</v>
      </c>
      <c r="K68" s="3" t="s">
        <v>35</v>
      </c>
      <c r="L68" s="3" t="s">
        <v>60</v>
      </c>
      <c r="M68">
        <v>1</v>
      </c>
    </row>
    <row r="69" spans="1:13" x14ac:dyDescent="0.25">
      <c r="A69" s="2">
        <v>46149</v>
      </c>
      <c r="B69" s="1" t="str">
        <f ca="1">IF(Información1[[#This Row],[Fecha]]='Ajuste de fechas'!$A$2,"Día actual","Día anterior")</f>
        <v>Día anterior</v>
      </c>
      <c r="C69" s="3" t="s">
        <v>8</v>
      </c>
      <c r="D69" t="s">
        <v>10</v>
      </c>
      <c r="E69" s="3" t="s">
        <v>208</v>
      </c>
      <c r="F69" s="3" t="s">
        <v>6</v>
      </c>
      <c r="G69" s="3" t="s">
        <v>87</v>
      </c>
      <c r="H69" s="3" t="s">
        <v>11</v>
      </c>
      <c r="I69" s="3" t="s">
        <v>25</v>
      </c>
      <c r="J69" s="3" t="s">
        <v>57</v>
      </c>
      <c r="K69" s="3" t="s">
        <v>9</v>
      </c>
      <c r="L69" s="3" t="s">
        <v>59</v>
      </c>
      <c r="M69">
        <v>1</v>
      </c>
    </row>
    <row r="70" spans="1:13" x14ac:dyDescent="0.25">
      <c r="A70" s="2">
        <v>46149</v>
      </c>
      <c r="B70" s="1" t="str">
        <f ca="1">IF(Información1[[#This Row],[Fecha]]='Ajuste de fechas'!$A$2,"Día actual","Día anterior")</f>
        <v>Día anterior</v>
      </c>
      <c r="C70" s="3" t="s">
        <v>8</v>
      </c>
      <c r="D70" t="s">
        <v>10</v>
      </c>
      <c r="E70" s="3" t="s">
        <v>209</v>
      </c>
      <c r="F70" s="3" t="s">
        <v>6</v>
      </c>
      <c r="G70" s="3" t="s">
        <v>87</v>
      </c>
      <c r="H70" s="3" t="s">
        <v>11</v>
      </c>
      <c r="I70" s="3" t="s">
        <v>25</v>
      </c>
      <c r="J70" s="3" t="s">
        <v>57</v>
      </c>
      <c r="K70" s="3" t="s">
        <v>9</v>
      </c>
      <c r="L70" s="3" t="s">
        <v>59</v>
      </c>
      <c r="M70">
        <v>1</v>
      </c>
    </row>
    <row r="71" spans="1:13" x14ac:dyDescent="0.25">
      <c r="A71" s="2">
        <v>46149</v>
      </c>
      <c r="B71" s="1" t="str">
        <f ca="1">IF(Información1[[#This Row],[Fecha]]='Ajuste de fechas'!$A$2,"Día actual","Día anterior")</f>
        <v>Día anterior</v>
      </c>
      <c r="C71" s="3" t="s">
        <v>8</v>
      </c>
      <c r="D71" t="s">
        <v>10</v>
      </c>
      <c r="E71" s="3" t="s">
        <v>210</v>
      </c>
      <c r="F71" s="3" t="s">
        <v>6</v>
      </c>
      <c r="G71" s="3" t="s">
        <v>87</v>
      </c>
      <c r="H71" s="3" t="s">
        <v>11</v>
      </c>
      <c r="I71" s="3" t="s">
        <v>25</v>
      </c>
      <c r="J71" s="3" t="s">
        <v>57</v>
      </c>
      <c r="K71" s="3" t="s">
        <v>9</v>
      </c>
      <c r="L71" s="3" t="s">
        <v>59</v>
      </c>
      <c r="M71">
        <v>1</v>
      </c>
    </row>
    <row r="72" spans="1:13" x14ac:dyDescent="0.25">
      <c r="A72" s="2">
        <v>46149</v>
      </c>
      <c r="B72" s="1" t="str">
        <f ca="1">IF(Información1[[#This Row],[Fecha]]='Ajuste de fechas'!$A$2,"Día actual","Día anterior")</f>
        <v>Día anterior</v>
      </c>
      <c r="C72" s="3" t="s">
        <v>8</v>
      </c>
      <c r="D72" t="s">
        <v>10</v>
      </c>
      <c r="E72" s="3" t="s">
        <v>211</v>
      </c>
      <c r="F72" s="3" t="s">
        <v>6</v>
      </c>
      <c r="G72" s="3" t="s">
        <v>87</v>
      </c>
      <c r="H72" s="3" t="s">
        <v>11</v>
      </c>
      <c r="I72" s="3" t="s">
        <v>25</v>
      </c>
      <c r="J72" s="3" t="s">
        <v>57</v>
      </c>
      <c r="K72" s="3" t="s">
        <v>9</v>
      </c>
      <c r="L72" s="3" t="s">
        <v>59</v>
      </c>
      <c r="M72">
        <v>1</v>
      </c>
    </row>
    <row r="73" spans="1:13" x14ac:dyDescent="0.25">
      <c r="A73" s="2">
        <v>46149</v>
      </c>
      <c r="B73" s="1" t="str">
        <f ca="1">IF(Información1[[#This Row],[Fecha]]='Ajuste de fechas'!$A$2,"Día actual","Día anterior")</f>
        <v>Día anterior</v>
      </c>
      <c r="C73" s="3" t="s">
        <v>8</v>
      </c>
      <c r="D73" t="s">
        <v>10</v>
      </c>
      <c r="E73" s="3" t="s">
        <v>212</v>
      </c>
      <c r="F73" s="3" t="s">
        <v>6</v>
      </c>
      <c r="G73" s="3" t="s">
        <v>87</v>
      </c>
      <c r="H73" s="3" t="s">
        <v>11</v>
      </c>
      <c r="I73" s="3" t="s">
        <v>25</v>
      </c>
      <c r="J73" s="3" t="s">
        <v>57</v>
      </c>
      <c r="K73" s="3" t="s">
        <v>9</v>
      </c>
      <c r="L73" s="3" t="s">
        <v>59</v>
      </c>
      <c r="M73">
        <v>1</v>
      </c>
    </row>
    <row r="74" spans="1:13" x14ac:dyDescent="0.25">
      <c r="A74" s="2">
        <v>46149</v>
      </c>
      <c r="B74" s="1" t="str">
        <f ca="1">IF(Información1[[#This Row],[Fecha]]='Ajuste de fechas'!$A$2,"Día actual","Día anterior")</f>
        <v>Día anterior</v>
      </c>
      <c r="C74" s="3" t="s">
        <v>8</v>
      </c>
      <c r="D74" t="s">
        <v>10</v>
      </c>
      <c r="E74" s="3" t="s">
        <v>20</v>
      </c>
      <c r="F74" s="3" t="s">
        <v>19</v>
      </c>
      <c r="G74" s="3" t="s">
        <v>48</v>
      </c>
      <c r="H74" s="3" t="s">
        <v>11</v>
      </c>
      <c r="I74" s="3" t="s">
        <v>12</v>
      </c>
      <c r="J74" s="3" t="s">
        <v>61</v>
      </c>
      <c r="K74" s="3" t="s">
        <v>14</v>
      </c>
      <c r="L74" s="3" t="s">
        <v>59</v>
      </c>
      <c r="M74">
        <v>1</v>
      </c>
    </row>
    <row r="75" spans="1:13" x14ac:dyDescent="0.25">
      <c r="A75" s="2">
        <v>46149</v>
      </c>
      <c r="B75" s="1" t="str">
        <f ca="1">IF(Información1[[#This Row],[Fecha]]='Ajuste de fechas'!$A$2,"Día actual","Día anterior")</f>
        <v>Día anterior</v>
      </c>
      <c r="C75" s="3" t="s">
        <v>8</v>
      </c>
      <c r="D75" t="s">
        <v>10</v>
      </c>
      <c r="E75" s="3" t="s">
        <v>18</v>
      </c>
      <c r="F75" s="3" t="s">
        <v>19</v>
      </c>
      <c r="G75" s="3" t="s">
        <v>48</v>
      </c>
      <c r="H75" s="3" t="s">
        <v>11</v>
      </c>
      <c r="I75" s="3" t="s">
        <v>12</v>
      </c>
      <c r="J75" s="3" t="s">
        <v>61</v>
      </c>
      <c r="K75" s="3" t="s">
        <v>14</v>
      </c>
      <c r="L75" s="3" t="s">
        <v>59</v>
      </c>
      <c r="M75">
        <v>1</v>
      </c>
    </row>
    <row r="76" spans="1:13" x14ac:dyDescent="0.25">
      <c r="A76" s="2">
        <v>46149</v>
      </c>
      <c r="B76" s="1" t="str">
        <f ca="1">IF(Información1[[#This Row],[Fecha]]='Ajuste de fechas'!$A$2,"Día actual","Día anterior")</f>
        <v>Día anterior</v>
      </c>
      <c r="C76" s="3" t="s">
        <v>8</v>
      </c>
      <c r="D76" t="s">
        <v>10</v>
      </c>
      <c r="E76" s="3" t="s">
        <v>13</v>
      </c>
      <c r="F76" s="3" t="s">
        <v>15</v>
      </c>
      <c r="G76" s="3" t="s">
        <v>48</v>
      </c>
      <c r="H76" s="3" t="s">
        <v>11</v>
      </c>
      <c r="I76" s="3" t="s">
        <v>12</v>
      </c>
      <c r="J76" s="3" t="s">
        <v>57</v>
      </c>
      <c r="K76" s="3" t="s">
        <v>14</v>
      </c>
      <c r="L76" s="3" t="s">
        <v>59</v>
      </c>
      <c r="M76">
        <v>1</v>
      </c>
    </row>
    <row r="77" spans="1:13" x14ac:dyDescent="0.25">
      <c r="A77" s="2">
        <v>46149</v>
      </c>
      <c r="B77" s="1" t="str">
        <f ca="1">IF(Información1[[#This Row],[Fecha]]='Ajuste de fechas'!$A$2,"Día actual","Día anterior")</f>
        <v>Día anterior</v>
      </c>
      <c r="C77" s="3" t="s">
        <v>8</v>
      </c>
      <c r="D77" t="s">
        <v>10</v>
      </c>
      <c r="E77" s="3" t="s">
        <v>16</v>
      </c>
      <c r="F77" s="3" t="s">
        <v>17</v>
      </c>
      <c r="G77" s="3" t="s">
        <v>48</v>
      </c>
      <c r="H77" s="3" t="s">
        <v>11</v>
      </c>
      <c r="I77" s="3" t="s">
        <v>12</v>
      </c>
      <c r="J77" s="3" t="s">
        <v>57</v>
      </c>
      <c r="K77" s="3" t="s">
        <v>14</v>
      </c>
      <c r="L77" s="3" t="s">
        <v>59</v>
      </c>
      <c r="M77">
        <v>1</v>
      </c>
    </row>
    <row r="78" spans="1:13" x14ac:dyDescent="0.25">
      <c r="A78" s="2">
        <v>46149</v>
      </c>
      <c r="B78" s="1" t="str">
        <f ca="1">IF(Información1[[#This Row],[Fecha]]='Ajuste de fechas'!$A$2,"Día actual","Día anterior")</f>
        <v>Día anterior</v>
      </c>
      <c r="C78" s="3" t="s">
        <v>8</v>
      </c>
      <c r="D78" t="s">
        <v>10</v>
      </c>
      <c r="E78" s="3" t="s">
        <v>50</v>
      </c>
      <c r="F78" s="3" t="s">
        <v>6</v>
      </c>
      <c r="G78" s="3" t="s">
        <v>48</v>
      </c>
      <c r="H78" s="3" t="s">
        <v>11</v>
      </c>
      <c r="I78" s="3" t="s">
        <v>12</v>
      </c>
      <c r="J78" s="3" t="s">
        <v>57</v>
      </c>
      <c r="K78" s="3" t="s">
        <v>14</v>
      </c>
      <c r="L78" s="3" t="s">
        <v>59</v>
      </c>
      <c r="M78">
        <v>1</v>
      </c>
    </row>
    <row r="79" spans="1:13" x14ac:dyDescent="0.25">
      <c r="A79" s="2">
        <v>46149</v>
      </c>
      <c r="B79" s="1" t="str">
        <f ca="1">IF(Información1[[#This Row],[Fecha]]='Ajuste de fechas'!$A$2,"Día actual","Día anterior")</f>
        <v>Día anterior</v>
      </c>
      <c r="C79" s="3" t="s">
        <v>31</v>
      </c>
      <c r="D79" t="s">
        <v>34</v>
      </c>
      <c r="E79" s="3" t="s">
        <v>213</v>
      </c>
      <c r="F79" s="3" t="s">
        <v>17</v>
      </c>
      <c r="G79" s="3" t="s">
        <v>82</v>
      </c>
      <c r="H79" s="3" t="s">
        <v>11</v>
      </c>
      <c r="I79" s="3" t="s">
        <v>7</v>
      </c>
      <c r="J79" s="3" t="s">
        <v>57</v>
      </c>
      <c r="K79" s="3" t="s">
        <v>32</v>
      </c>
      <c r="L79" s="3" t="s">
        <v>58</v>
      </c>
      <c r="M79">
        <v>1</v>
      </c>
    </row>
    <row r="80" spans="1:13" x14ac:dyDescent="0.25">
      <c r="A80" s="2">
        <v>46149</v>
      </c>
      <c r="B80" s="1" t="str">
        <f ca="1">IF(Información1[[#This Row],[Fecha]]='Ajuste de fechas'!$A$2,"Día actual","Día anterior")</f>
        <v>Día anterior</v>
      </c>
      <c r="C80" s="3" t="s">
        <v>8</v>
      </c>
      <c r="D80" t="s">
        <v>10</v>
      </c>
      <c r="E80" s="3" t="s">
        <v>201</v>
      </c>
      <c r="F80" s="3" t="s">
        <v>17</v>
      </c>
      <c r="G80" s="3" t="s">
        <v>82</v>
      </c>
      <c r="H80" s="3" t="s">
        <v>11</v>
      </c>
      <c r="I80" s="3" t="s">
        <v>7</v>
      </c>
      <c r="J80" s="3" t="s">
        <v>57</v>
      </c>
      <c r="K80" s="3" t="s">
        <v>14</v>
      </c>
      <c r="L80" s="3" t="s">
        <v>60</v>
      </c>
      <c r="M80">
        <v>1</v>
      </c>
    </row>
    <row r="81" spans="1:13" x14ac:dyDescent="0.25">
      <c r="A81" s="2">
        <v>46149</v>
      </c>
      <c r="B81" s="1" t="str">
        <f ca="1">IF(Información1[[#This Row],[Fecha]]='Ajuste de fechas'!$A$2,"Día actual","Día anterior")</f>
        <v>Día anterior</v>
      </c>
      <c r="C81" s="3" t="s">
        <v>72</v>
      </c>
      <c r="D81" t="s">
        <v>116</v>
      </c>
      <c r="E81" s="3" t="s">
        <v>113</v>
      </c>
      <c r="F81" s="3" t="s">
        <v>74</v>
      </c>
      <c r="G81" s="3" t="s">
        <v>112</v>
      </c>
      <c r="H81" s="3" t="s">
        <v>11</v>
      </c>
      <c r="I81" s="3" t="s">
        <v>7</v>
      </c>
      <c r="J81" s="3" t="s">
        <v>57</v>
      </c>
      <c r="K81" s="3" t="s">
        <v>117</v>
      </c>
      <c r="L81" s="3" t="s">
        <v>60</v>
      </c>
      <c r="M81">
        <v>1</v>
      </c>
    </row>
    <row r="82" spans="1:13" x14ac:dyDescent="0.25">
      <c r="A82" s="2">
        <v>46149</v>
      </c>
      <c r="B82" s="1" t="str">
        <f ca="1">IF(Información1[[#This Row],[Fecha]]='Ajuste de fechas'!$A$2,"Día actual","Día anterior")</f>
        <v>Día anterior</v>
      </c>
      <c r="C82" s="3" t="s">
        <v>31</v>
      </c>
      <c r="D82" t="s">
        <v>34</v>
      </c>
      <c r="E82" s="3" t="s">
        <v>214</v>
      </c>
      <c r="F82" s="3" t="s">
        <v>26</v>
      </c>
      <c r="G82" s="3" t="s">
        <v>85</v>
      </c>
      <c r="H82" s="3" t="s">
        <v>11</v>
      </c>
      <c r="I82" s="3" t="s">
        <v>7</v>
      </c>
      <c r="J82" s="3" t="s">
        <v>57</v>
      </c>
      <c r="K82" s="3" t="s">
        <v>32</v>
      </c>
      <c r="L82" s="3" t="s">
        <v>58</v>
      </c>
      <c r="M82">
        <v>1</v>
      </c>
    </row>
    <row r="83" spans="1:13" x14ac:dyDescent="0.25">
      <c r="A83" s="2">
        <v>46149</v>
      </c>
      <c r="B83" s="1" t="str">
        <f ca="1">IF(Información1[[#This Row],[Fecha]]='Ajuste de fechas'!$A$2,"Día actual","Día anterior")</f>
        <v>Día anterior</v>
      </c>
      <c r="C83" s="3" t="s">
        <v>72</v>
      </c>
      <c r="D83" t="s">
        <v>80</v>
      </c>
      <c r="E83" s="3" t="s">
        <v>205</v>
      </c>
      <c r="F83" s="3" t="s">
        <v>26</v>
      </c>
      <c r="G83" s="3" t="s">
        <v>136</v>
      </c>
      <c r="H83" s="3" t="s">
        <v>11</v>
      </c>
      <c r="I83" s="3" t="s">
        <v>7</v>
      </c>
      <c r="J83" s="3" t="s">
        <v>57</v>
      </c>
      <c r="K83" s="3" t="s">
        <v>81</v>
      </c>
      <c r="L83" s="3" t="s">
        <v>60</v>
      </c>
      <c r="M83">
        <v>1</v>
      </c>
    </row>
    <row r="84" spans="1:13" x14ac:dyDescent="0.25">
      <c r="A84" s="2">
        <v>46149</v>
      </c>
      <c r="B84" s="1" t="str">
        <f ca="1">IF(Información1[[#This Row],[Fecha]]='Ajuste de fechas'!$A$2,"Día actual","Día anterior")</f>
        <v>Día anterior</v>
      </c>
      <c r="C84" s="3" t="s">
        <v>31</v>
      </c>
      <c r="D84" t="s">
        <v>34</v>
      </c>
      <c r="E84" s="3" t="s">
        <v>215</v>
      </c>
      <c r="F84" s="3" t="s">
        <v>26</v>
      </c>
      <c r="G84" s="3" t="s">
        <v>136</v>
      </c>
      <c r="H84" s="3" t="s">
        <v>11</v>
      </c>
      <c r="I84" s="3" t="s">
        <v>7</v>
      </c>
      <c r="J84" s="3" t="s">
        <v>57</v>
      </c>
      <c r="K84" s="3" t="s">
        <v>32</v>
      </c>
      <c r="L84" s="3" t="s">
        <v>58</v>
      </c>
      <c r="M84">
        <v>1</v>
      </c>
    </row>
    <row r="85" spans="1:13" x14ac:dyDescent="0.25">
      <c r="A85" s="2">
        <v>46149</v>
      </c>
      <c r="B85" s="1" t="str">
        <f ca="1">IF(Información1[[#This Row],[Fecha]]='Ajuste de fechas'!$A$2,"Día actual","Día anterior")</f>
        <v>Día anterior</v>
      </c>
      <c r="C85" s="3" t="s">
        <v>8</v>
      </c>
      <c r="D85" t="s">
        <v>10</v>
      </c>
      <c r="E85" s="3" t="s">
        <v>135</v>
      </c>
      <c r="F85" s="3" t="s">
        <v>26</v>
      </c>
      <c r="G85" s="3" t="s">
        <v>136</v>
      </c>
      <c r="H85" s="3" t="s">
        <v>11</v>
      </c>
      <c r="I85" s="3" t="s">
        <v>7</v>
      </c>
      <c r="J85" s="3" t="s">
        <v>57</v>
      </c>
      <c r="K85" s="3" t="s">
        <v>14</v>
      </c>
      <c r="L85" s="3" t="s">
        <v>60</v>
      </c>
      <c r="M85">
        <v>1</v>
      </c>
    </row>
    <row r="86" spans="1:13" x14ac:dyDescent="0.25">
      <c r="A86" s="2">
        <v>46149</v>
      </c>
      <c r="B86" s="1" t="str">
        <f ca="1">IF(Información1[[#This Row],[Fecha]]='Ajuste de fechas'!$A$2,"Día actual","Día anterior")</f>
        <v>Día anterior</v>
      </c>
      <c r="C86" s="3" t="s">
        <v>8</v>
      </c>
      <c r="D86" t="s">
        <v>10</v>
      </c>
      <c r="E86" s="3" t="s">
        <v>216</v>
      </c>
      <c r="F86" s="3" t="s">
        <v>6</v>
      </c>
      <c r="G86" s="3" t="s">
        <v>118</v>
      </c>
      <c r="H86" s="3" t="s">
        <v>11</v>
      </c>
      <c r="I86" s="3" t="s">
        <v>25</v>
      </c>
      <c r="J86" s="3" t="s">
        <v>57</v>
      </c>
      <c r="K86" s="3" t="s">
        <v>9</v>
      </c>
      <c r="L86" s="3" t="s">
        <v>59</v>
      </c>
      <c r="M86">
        <v>1</v>
      </c>
    </row>
    <row r="87" spans="1:13" x14ac:dyDescent="0.25">
      <c r="A87" s="2">
        <v>46149</v>
      </c>
      <c r="B87" s="1" t="str">
        <f ca="1">IF(Información1[[#This Row],[Fecha]]='Ajuste de fechas'!$A$2,"Día actual","Día anterior")</f>
        <v>Día anterior</v>
      </c>
      <c r="C87" s="3" t="s">
        <v>72</v>
      </c>
      <c r="D87" t="s">
        <v>116</v>
      </c>
      <c r="E87" s="3" t="s">
        <v>102</v>
      </c>
      <c r="F87" s="3" t="s">
        <v>21</v>
      </c>
      <c r="G87" s="3" t="s">
        <v>103</v>
      </c>
      <c r="H87" s="3" t="s">
        <v>11</v>
      </c>
      <c r="I87" s="3" t="s">
        <v>7</v>
      </c>
      <c r="J87" s="3" t="s">
        <v>57</v>
      </c>
      <c r="K87" s="3" t="s">
        <v>117</v>
      </c>
      <c r="L87" s="3" t="s">
        <v>60</v>
      </c>
      <c r="M87">
        <v>1</v>
      </c>
    </row>
    <row r="88" spans="1:13" x14ac:dyDescent="0.25">
      <c r="A88" s="2">
        <v>46149</v>
      </c>
      <c r="B88" s="1" t="str">
        <f ca="1">IF(Información1[[#This Row],[Fecha]]='Ajuste de fechas'!$A$2,"Día actual","Día anterior")</f>
        <v>Día anterior</v>
      </c>
      <c r="C88" s="3" t="s">
        <v>72</v>
      </c>
      <c r="D88" t="s">
        <v>116</v>
      </c>
      <c r="E88" s="3" t="s">
        <v>217</v>
      </c>
      <c r="F88" s="3" t="s">
        <v>70</v>
      </c>
      <c r="G88" s="3" t="s">
        <v>218</v>
      </c>
      <c r="H88" s="3" t="s">
        <v>11</v>
      </c>
      <c r="I88" s="3" t="s">
        <v>7</v>
      </c>
      <c r="J88" s="3" t="s">
        <v>57</v>
      </c>
      <c r="K88" s="3" t="s">
        <v>117</v>
      </c>
      <c r="L88" s="3" t="s">
        <v>60</v>
      </c>
      <c r="M88">
        <v>1</v>
      </c>
    </row>
    <row r="89" spans="1:13" x14ac:dyDescent="0.25">
      <c r="A89" s="2">
        <v>46149</v>
      </c>
      <c r="B89" s="1" t="str">
        <f ca="1">IF(Información1[[#This Row],[Fecha]]='Ajuste de fechas'!$A$2,"Día actual","Día anterior")</f>
        <v>Día anterior</v>
      </c>
      <c r="C89" s="3" t="s">
        <v>8</v>
      </c>
      <c r="D89" t="s">
        <v>10</v>
      </c>
      <c r="E89" s="3" t="s">
        <v>219</v>
      </c>
      <c r="F89" s="3" t="s">
        <v>19</v>
      </c>
      <c r="G89" s="3" t="s">
        <v>123</v>
      </c>
      <c r="H89" s="3" t="s">
        <v>11</v>
      </c>
      <c r="I89" s="3" t="s">
        <v>7</v>
      </c>
      <c r="J89" s="3" t="s">
        <v>61</v>
      </c>
      <c r="K89" s="3" t="s">
        <v>14</v>
      </c>
      <c r="L89" s="3" t="s">
        <v>58</v>
      </c>
      <c r="M89">
        <v>1</v>
      </c>
    </row>
    <row r="90" spans="1:13" x14ac:dyDescent="0.25">
      <c r="A90" s="2">
        <v>46149</v>
      </c>
      <c r="B90" s="1" t="str">
        <f ca="1">IF(Información1[[#This Row],[Fecha]]='Ajuste de fechas'!$A$2,"Día actual","Día anterior")</f>
        <v>Día anterior</v>
      </c>
      <c r="C90" s="3" t="s">
        <v>92</v>
      </c>
      <c r="D90" t="s">
        <v>93</v>
      </c>
      <c r="E90" s="3" t="s">
        <v>220</v>
      </c>
      <c r="F90" s="3" t="s">
        <v>79</v>
      </c>
      <c r="G90" s="3" t="s">
        <v>78</v>
      </c>
      <c r="H90" s="3" t="s">
        <v>11</v>
      </c>
      <c r="I90" s="3" t="s">
        <v>12</v>
      </c>
      <c r="J90" s="3" t="s">
        <v>57</v>
      </c>
      <c r="K90" s="3" t="s">
        <v>221</v>
      </c>
      <c r="L90" s="3" t="s">
        <v>83</v>
      </c>
      <c r="M90">
        <v>1</v>
      </c>
    </row>
    <row r="91" spans="1:13" x14ac:dyDescent="0.25">
      <c r="A91" s="2">
        <v>46149</v>
      </c>
      <c r="B91" s="1" t="str">
        <f ca="1">IF(Información1[[#This Row],[Fecha]]='Ajuste de fechas'!$A$2,"Día actual","Día anterior")</f>
        <v>Día anterior</v>
      </c>
      <c r="C91" s="3" t="s">
        <v>8</v>
      </c>
      <c r="D91" t="s">
        <v>10</v>
      </c>
      <c r="E91" s="3" t="s">
        <v>222</v>
      </c>
      <c r="F91" s="3" t="s">
        <v>89</v>
      </c>
      <c r="G91" s="3" t="s">
        <v>78</v>
      </c>
      <c r="H91" s="3" t="s">
        <v>11</v>
      </c>
      <c r="I91" s="3" t="s">
        <v>7</v>
      </c>
      <c r="J91" s="3" t="s">
        <v>57</v>
      </c>
      <c r="K91" s="3" t="s">
        <v>14</v>
      </c>
      <c r="L91" s="3" t="s">
        <v>60</v>
      </c>
      <c r="M91">
        <v>1</v>
      </c>
    </row>
    <row r="92" spans="1:13" x14ac:dyDescent="0.25">
      <c r="A92" s="2">
        <v>46149</v>
      </c>
      <c r="B92" s="1" t="str">
        <f ca="1">IF(Información1[[#This Row],[Fecha]]='Ajuste de fechas'!$A$2,"Día actual","Día anterior")</f>
        <v>Día anterior</v>
      </c>
      <c r="C92" s="3" t="s">
        <v>72</v>
      </c>
      <c r="D92" t="s">
        <v>80</v>
      </c>
      <c r="E92" s="3" t="s">
        <v>204</v>
      </c>
      <c r="F92" s="3" t="s">
        <v>44</v>
      </c>
      <c r="G92" s="3" t="s">
        <v>185</v>
      </c>
      <c r="H92" s="3" t="s">
        <v>11</v>
      </c>
      <c r="I92" s="3" t="s">
        <v>7</v>
      </c>
      <c r="J92" s="3" t="s">
        <v>57</v>
      </c>
      <c r="K92" s="3" t="s">
        <v>81</v>
      </c>
      <c r="L92" s="3" t="s">
        <v>60</v>
      </c>
      <c r="M92">
        <v>1</v>
      </c>
    </row>
    <row r="93" spans="1:13" x14ac:dyDescent="0.25">
      <c r="A93" s="2">
        <v>46149</v>
      </c>
      <c r="B93" s="1" t="str">
        <f ca="1">IF(Información1[[#This Row],[Fecha]]='Ajuste de fechas'!$A$2,"Día actual","Día anterior")</f>
        <v>Día anterior</v>
      </c>
      <c r="C93" s="3" t="s">
        <v>8</v>
      </c>
      <c r="D93" t="s">
        <v>10</v>
      </c>
      <c r="E93" s="3" t="s">
        <v>223</v>
      </c>
      <c r="F93" s="3" t="s">
        <v>15</v>
      </c>
      <c r="G93" s="3" t="s">
        <v>148</v>
      </c>
      <c r="H93" s="3" t="s">
        <v>11</v>
      </c>
      <c r="I93" s="3" t="s">
        <v>7</v>
      </c>
      <c r="J93" s="3" t="s">
        <v>57</v>
      </c>
      <c r="K93" s="3" t="s">
        <v>14</v>
      </c>
      <c r="L93" s="3" t="s">
        <v>60</v>
      </c>
      <c r="M93">
        <v>1</v>
      </c>
    </row>
    <row r="94" spans="1:13" x14ac:dyDescent="0.25">
      <c r="A94" s="2">
        <v>46149</v>
      </c>
      <c r="B94" s="1" t="str">
        <f ca="1">IF(Información1[[#This Row],[Fecha]]='Ajuste de fechas'!$A$2,"Día actual","Día anterior")</f>
        <v>Día anterior</v>
      </c>
      <c r="C94" s="3" t="s">
        <v>31</v>
      </c>
      <c r="D94" t="s">
        <v>34</v>
      </c>
      <c r="E94" s="3" t="s">
        <v>224</v>
      </c>
      <c r="F94" s="3" t="s">
        <v>26</v>
      </c>
      <c r="G94" s="3" t="s">
        <v>225</v>
      </c>
      <c r="H94" s="3" t="s">
        <v>11</v>
      </c>
      <c r="I94" s="3" t="s">
        <v>7</v>
      </c>
      <c r="J94" s="3" t="s">
        <v>57</v>
      </c>
      <c r="K94" s="3" t="s">
        <v>32</v>
      </c>
      <c r="L94" s="3" t="s">
        <v>58</v>
      </c>
      <c r="M94">
        <v>1</v>
      </c>
    </row>
    <row r="95" spans="1:13" x14ac:dyDescent="0.25">
      <c r="A95" s="2">
        <v>46149</v>
      </c>
      <c r="B95" s="1" t="str">
        <f ca="1">IF(Información1[[#This Row],[Fecha]]='Ajuste de fechas'!$A$2,"Día actual","Día anterior")</f>
        <v>Día anterior</v>
      </c>
      <c r="C95" s="3" t="s">
        <v>8</v>
      </c>
      <c r="D95" t="s">
        <v>10</v>
      </c>
      <c r="E95" s="3" t="s">
        <v>226</v>
      </c>
      <c r="F95" s="3" t="s">
        <v>17</v>
      </c>
      <c r="G95" s="3" t="s">
        <v>95</v>
      </c>
      <c r="H95" s="3" t="s">
        <v>11</v>
      </c>
      <c r="I95" s="3" t="s">
        <v>25</v>
      </c>
      <c r="J95" s="3" t="s">
        <v>57</v>
      </c>
      <c r="K95" s="3" t="s">
        <v>9</v>
      </c>
      <c r="L95" s="3" t="s">
        <v>59</v>
      </c>
      <c r="M95">
        <v>1</v>
      </c>
    </row>
    <row r="96" spans="1:13" x14ac:dyDescent="0.25">
      <c r="A96" s="2">
        <v>46149</v>
      </c>
      <c r="B96" s="1" t="str">
        <f ca="1">IF(Información1[[#This Row],[Fecha]]='Ajuste de fechas'!$A$2,"Día actual","Día anterior")</f>
        <v>Día anterior</v>
      </c>
      <c r="C96" s="3" t="s">
        <v>8</v>
      </c>
      <c r="D96" t="s">
        <v>10</v>
      </c>
      <c r="E96" s="3" t="s">
        <v>227</v>
      </c>
      <c r="F96" s="3" t="s">
        <v>19</v>
      </c>
      <c r="G96" s="3" t="s">
        <v>228</v>
      </c>
      <c r="H96" s="3" t="s">
        <v>11</v>
      </c>
      <c r="I96" s="3" t="s">
        <v>7</v>
      </c>
      <c r="J96" s="3" t="s">
        <v>61</v>
      </c>
      <c r="K96" s="3" t="s">
        <v>14</v>
      </c>
      <c r="L96" s="3" t="s">
        <v>63</v>
      </c>
      <c r="M96">
        <v>1</v>
      </c>
    </row>
    <row r="97" spans="1:13" x14ac:dyDescent="0.25">
      <c r="A97" s="2">
        <v>46149</v>
      </c>
      <c r="B97" s="1" t="str">
        <f ca="1">IF(Información1[[#This Row],[Fecha]]='Ajuste de fechas'!$A$2,"Día actual","Día anterior")</f>
        <v>Día anterior</v>
      </c>
      <c r="C97" s="3" t="s">
        <v>31</v>
      </c>
      <c r="D97" t="s">
        <v>34</v>
      </c>
      <c r="E97" s="3" t="s">
        <v>229</v>
      </c>
      <c r="F97" s="3" t="s">
        <v>22</v>
      </c>
      <c r="G97" s="3" t="s">
        <v>230</v>
      </c>
      <c r="H97" s="3" t="s">
        <v>11</v>
      </c>
      <c r="I97" s="3" t="s">
        <v>7</v>
      </c>
      <c r="J97" s="3" t="s">
        <v>62</v>
      </c>
      <c r="K97" s="3" t="s">
        <v>32</v>
      </c>
      <c r="L97" s="3" t="s">
        <v>63</v>
      </c>
      <c r="M97">
        <v>1</v>
      </c>
    </row>
    <row r="98" spans="1:13" x14ac:dyDescent="0.25">
      <c r="A98" s="2">
        <v>46149</v>
      </c>
      <c r="B98" s="1" t="str">
        <f ca="1">IF(Información1[[#This Row],[Fecha]]='Ajuste de fechas'!$A$2,"Día actual","Día anterior")</f>
        <v>Día anterior</v>
      </c>
      <c r="C98" s="3" t="s">
        <v>8</v>
      </c>
      <c r="D98" t="s">
        <v>10</v>
      </c>
      <c r="E98" s="3" t="s">
        <v>231</v>
      </c>
      <c r="F98" s="3" t="s">
        <v>19</v>
      </c>
      <c r="G98" s="3" t="s">
        <v>232</v>
      </c>
      <c r="H98" s="3" t="s">
        <v>11</v>
      </c>
      <c r="I98" s="3" t="s">
        <v>7</v>
      </c>
      <c r="J98" s="3" t="s">
        <v>61</v>
      </c>
      <c r="K98" s="3" t="s">
        <v>9</v>
      </c>
      <c r="L98" s="3" t="s">
        <v>59</v>
      </c>
      <c r="M98">
        <v>1</v>
      </c>
    </row>
    <row r="99" spans="1:13" x14ac:dyDescent="0.25">
      <c r="A99" s="2">
        <v>46149</v>
      </c>
      <c r="B99" s="1" t="str">
        <f ca="1">IF(Información1[[#This Row],[Fecha]]='Ajuste de fechas'!$A$2,"Día actual","Día anterior")</f>
        <v>Día anterior</v>
      </c>
      <c r="C99" s="3" t="s">
        <v>8</v>
      </c>
      <c r="D99" t="s">
        <v>10</v>
      </c>
      <c r="E99" s="3" t="s">
        <v>233</v>
      </c>
      <c r="F99" s="3" t="s">
        <v>6</v>
      </c>
      <c r="G99" s="3" t="s">
        <v>234</v>
      </c>
      <c r="H99" s="3" t="s">
        <v>11</v>
      </c>
      <c r="I99" s="3" t="s">
        <v>25</v>
      </c>
      <c r="J99" s="3" t="s">
        <v>57</v>
      </c>
      <c r="K99" s="3" t="s">
        <v>14</v>
      </c>
      <c r="L99" s="3" t="s">
        <v>59</v>
      </c>
      <c r="M99">
        <v>1</v>
      </c>
    </row>
    <row r="100" spans="1:13" x14ac:dyDescent="0.25">
      <c r="A100" s="2">
        <v>46150</v>
      </c>
      <c r="B100" s="1" t="str">
        <f ca="1">IF(Información1[[#This Row],[Fecha]]='Ajuste de fechas'!$A$2,"Día actual","Día anterior")</f>
        <v>Día actual</v>
      </c>
      <c r="C100" s="3" t="s">
        <v>38</v>
      </c>
      <c r="D100" t="s">
        <v>39</v>
      </c>
      <c r="E100" s="3" t="s">
        <v>235</v>
      </c>
      <c r="F100" s="3" t="s">
        <v>6</v>
      </c>
      <c r="G100" s="3" t="s">
        <v>236</v>
      </c>
      <c r="H100" s="3" t="s">
        <v>36</v>
      </c>
      <c r="I100" s="3" t="s">
        <v>7</v>
      </c>
      <c r="J100" s="3" t="s">
        <v>57</v>
      </c>
      <c r="K100" s="3" t="s">
        <v>27</v>
      </c>
      <c r="L100" s="3" t="s">
        <v>58</v>
      </c>
      <c r="M100">
        <v>1</v>
      </c>
    </row>
    <row r="101" spans="1:13" x14ac:dyDescent="0.25">
      <c r="A101" s="2">
        <v>46150</v>
      </c>
      <c r="B101" s="1" t="str">
        <f ca="1">IF(Información1[[#This Row],[Fecha]]='Ajuste de fechas'!$A$2,"Día actual","Día anterior")</f>
        <v>Día actual</v>
      </c>
      <c r="C101" s="3" t="s">
        <v>38</v>
      </c>
      <c r="D101" t="s">
        <v>39</v>
      </c>
      <c r="E101" s="3" t="s">
        <v>237</v>
      </c>
      <c r="F101" s="3" t="s">
        <v>19</v>
      </c>
      <c r="G101" s="3" t="s">
        <v>238</v>
      </c>
      <c r="H101" s="3" t="s">
        <v>36</v>
      </c>
      <c r="I101" s="3" t="s">
        <v>7</v>
      </c>
      <c r="J101" s="3" t="s">
        <v>61</v>
      </c>
      <c r="K101" s="3" t="s">
        <v>27</v>
      </c>
      <c r="L101" s="3" t="s">
        <v>58</v>
      </c>
      <c r="M101">
        <v>1</v>
      </c>
    </row>
    <row r="102" spans="1:13" x14ac:dyDescent="0.25">
      <c r="A102" s="2">
        <v>46150</v>
      </c>
      <c r="B102" s="1" t="str">
        <f ca="1">IF(Información1[[#This Row],[Fecha]]='Ajuste de fechas'!$A$2,"Día actual","Día anterior")</f>
        <v>Día actual</v>
      </c>
      <c r="C102" s="3" t="s">
        <v>38</v>
      </c>
      <c r="D102" t="s">
        <v>39</v>
      </c>
      <c r="E102" s="3" t="s">
        <v>239</v>
      </c>
      <c r="F102" s="3" t="s">
        <v>26</v>
      </c>
      <c r="G102" s="3" t="s">
        <v>134</v>
      </c>
      <c r="H102" s="3" t="s">
        <v>36</v>
      </c>
      <c r="I102" s="3" t="s">
        <v>7</v>
      </c>
      <c r="J102" s="3" t="s">
        <v>57</v>
      </c>
      <c r="K102" s="3" t="s">
        <v>27</v>
      </c>
      <c r="L102" s="3" t="s">
        <v>60</v>
      </c>
      <c r="M102">
        <v>1</v>
      </c>
    </row>
    <row r="103" spans="1:13" x14ac:dyDescent="0.25">
      <c r="A103" s="2">
        <v>46150</v>
      </c>
      <c r="B103" s="1" t="str">
        <f ca="1">IF(Información1[[#This Row],[Fecha]]='Ajuste de fechas'!$A$2,"Día actual","Día anterior")</f>
        <v>Día actual</v>
      </c>
      <c r="C103" s="3" t="s">
        <v>38</v>
      </c>
      <c r="D103" t="s">
        <v>39</v>
      </c>
      <c r="E103" s="3" t="s">
        <v>240</v>
      </c>
      <c r="F103" s="3" t="s">
        <v>22</v>
      </c>
      <c r="G103" s="3" t="s">
        <v>241</v>
      </c>
      <c r="H103" s="3" t="s">
        <v>36</v>
      </c>
      <c r="I103" s="3" t="s">
        <v>7</v>
      </c>
      <c r="J103" s="3" t="s">
        <v>62</v>
      </c>
      <c r="K103" s="3" t="s">
        <v>27</v>
      </c>
      <c r="L103" s="3" t="s">
        <v>58</v>
      </c>
      <c r="M103">
        <v>1</v>
      </c>
    </row>
    <row r="104" spans="1:13" x14ac:dyDescent="0.25">
      <c r="A104" s="2">
        <v>46150</v>
      </c>
      <c r="B104" s="1" t="str">
        <f ca="1">IF(Información1[[#This Row],[Fecha]]='Ajuste de fechas'!$A$2,"Día actual","Día anterior")</f>
        <v>Día actual</v>
      </c>
      <c r="C104" s="3" t="s">
        <v>38</v>
      </c>
      <c r="D104" t="s">
        <v>39</v>
      </c>
      <c r="E104" s="3" t="s">
        <v>242</v>
      </c>
      <c r="F104" s="3" t="s">
        <v>19</v>
      </c>
      <c r="G104" s="3" t="s">
        <v>243</v>
      </c>
      <c r="H104" s="3" t="s">
        <v>36</v>
      </c>
      <c r="I104" s="3" t="s">
        <v>25</v>
      </c>
      <c r="J104" s="3" t="s">
        <v>61</v>
      </c>
      <c r="K104" s="3" t="s">
        <v>27</v>
      </c>
      <c r="L104" s="3" t="s">
        <v>59</v>
      </c>
      <c r="M104">
        <v>1</v>
      </c>
    </row>
    <row r="105" spans="1:13" x14ac:dyDescent="0.25">
      <c r="A105" s="2">
        <v>46150</v>
      </c>
      <c r="B105" s="1" t="str">
        <f ca="1">IF(Información1[[#This Row],[Fecha]]='Ajuste de fechas'!$A$2,"Día actual","Día anterior")</f>
        <v>Día actual</v>
      </c>
      <c r="C105" s="3" t="s">
        <v>38</v>
      </c>
      <c r="D105" t="s">
        <v>39</v>
      </c>
      <c r="E105" s="3" t="s">
        <v>244</v>
      </c>
      <c r="F105" s="3" t="s">
        <v>22</v>
      </c>
      <c r="G105" s="3" t="s">
        <v>77</v>
      </c>
      <c r="H105" s="3" t="s">
        <v>36</v>
      </c>
      <c r="I105" s="3" t="s">
        <v>7</v>
      </c>
      <c r="J105" s="3" t="s">
        <v>62</v>
      </c>
      <c r="K105" s="3" t="s">
        <v>27</v>
      </c>
      <c r="L105" s="3" t="s">
        <v>58</v>
      </c>
      <c r="M105">
        <v>1</v>
      </c>
    </row>
    <row r="106" spans="1:13" x14ac:dyDescent="0.25">
      <c r="A106" s="2">
        <v>46150</v>
      </c>
      <c r="B106" s="1" t="str">
        <f ca="1">IF(Información1[[#This Row],[Fecha]]='Ajuste de fechas'!$A$2,"Día actual","Día anterior")</f>
        <v>Día actual</v>
      </c>
      <c r="C106" s="3" t="s">
        <v>38</v>
      </c>
      <c r="D106" t="s">
        <v>39</v>
      </c>
      <c r="E106" s="3" t="s">
        <v>245</v>
      </c>
      <c r="F106" s="3" t="s">
        <v>86</v>
      </c>
      <c r="G106" s="3" t="s">
        <v>195</v>
      </c>
      <c r="H106" s="3" t="s">
        <v>36</v>
      </c>
      <c r="I106" s="3" t="s">
        <v>7</v>
      </c>
      <c r="J106" s="3" t="s">
        <v>57</v>
      </c>
      <c r="K106" s="3" t="s">
        <v>27</v>
      </c>
      <c r="L106" s="3" t="s">
        <v>58</v>
      </c>
      <c r="M106">
        <v>1</v>
      </c>
    </row>
    <row r="107" spans="1:13" x14ac:dyDescent="0.25">
      <c r="A107" s="2">
        <v>46150</v>
      </c>
      <c r="B107" s="1" t="str">
        <f ca="1">IF(Información1[[#This Row],[Fecha]]='Ajuste de fechas'!$A$2,"Día actual","Día anterior")</f>
        <v>Día actual</v>
      </c>
      <c r="C107" s="3" t="s">
        <v>38</v>
      </c>
      <c r="D107" t="s">
        <v>39</v>
      </c>
      <c r="E107" s="3" t="s">
        <v>246</v>
      </c>
      <c r="F107" s="3" t="s">
        <v>15</v>
      </c>
      <c r="G107" s="3" t="s">
        <v>71</v>
      </c>
      <c r="H107" s="3" t="s">
        <v>36</v>
      </c>
      <c r="I107" s="3" t="s">
        <v>7</v>
      </c>
      <c r="J107" s="3" t="s">
        <v>57</v>
      </c>
      <c r="K107" s="3" t="s">
        <v>27</v>
      </c>
      <c r="L107" s="3" t="s">
        <v>58</v>
      </c>
      <c r="M107">
        <v>1</v>
      </c>
    </row>
    <row r="108" spans="1:13" x14ac:dyDescent="0.25">
      <c r="A108" s="2">
        <v>46150</v>
      </c>
      <c r="B108" s="1" t="str">
        <f ca="1">IF(Información1[[#This Row],[Fecha]]='Ajuste de fechas'!$A$2,"Día actual","Día anterior")</f>
        <v>Día actual</v>
      </c>
      <c r="C108" s="3" t="s">
        <v>38</v>
      </c>
      <c r="D108" t="s">
        <v>39</v>
      </c>
      <c r="E108" s="3" t="s">
        <v>247</v>
      </c>
      <c r="F108" s="3" t="s">
        <v>26</v>
      </c>
      <c r="G108" s="3" t="s">
        <v>82</v>
      </c>
      <c r="H108" s="3" t="s">
        <v>11</v>
      </c>
      <c r="I108" s="3" t="s">
        <v>7</v>
      </c>
      <c r="J108" s="3" t="s">
        <v>57</v>
      </c>
      <c r="K108" s="3" t="s">
        <v>27</v>
      </c>
      <c r="L108" s="3" t="s">
        <v>58</v>
      </c>
      <c r="M108">
        <v>1</v>
      </c>
    </row>
    <row r="109" spans="1:13" x14ac:dyDescent="0.25">
      <c r="A109" s="2">
        <v>46150</v>
      </c>
      <c r="B109" s="1" t="str">
        <f ca="1">IF(Información1[[#This Row],[Fecha]]='Ajuste de fechas'!$A$2,"Día actual","Día anterior")</f>
        <v>Día actual</v>
      </c>
      <c r="C109" s="3" t="s">
        <v>38</v>
      </c>
      <c r="D109" t="s">
        <v>39</v>
      </c>
      <c r="E109" s="3" t="s">
        <v>248</v>
      </c>
      <c r="F109" s="3" t="s">
        <v>19</v>
      </c>
      <c r="G109" s="3" t="s">
        <v>249</v>
      </c>
      <c r="H109" s="3" t="s">
        <v>11</v>
      </c>
      <c r="I109" s="3" t="s">
        <v>7</v>
      </c>
      <c r="J109" s="3" t="s">
        <v>61</v>
      </c>
      <c r="K109" s="3" t="s">
        <v>27</v>
      </c>
      <c r="L109" s="3" t="s">
        <v>58</v>
      </c>
      <c r="M109">
        <v>1</v>
      </c>
    </row>
    <row r="110" spans="1:13" x14ac:dyDescent="0.25">
      <c r="A110" s="2">
        <v>46150</v>
      </c>
      <c r="B110" s="1" t="str">
        <f ca="1">IF(Información1[[#This Row],[Fecha]]='Ajuste de fechas'!$A$2,"Día actual","Día anterior")</f>
        <v>Día actual</v>
      </c>
      <c r="C110" s="3" t="s">
        <v>38</v>
      </c>
      <c r="D110" t="s">
        <v>39</v>
      </c>
      <c r="E110" s="3" t="s">
        <v>250</v>
      </c>
      <c r="F110" s="3" t="s">
        <v>19</v>
      </c>
      <c r="G110" s="3" t="s">
        <v>251</v>
      </c>
      <c r="H110" s="3" t="s">
        <v>11</v>
      </c>
      <c r="I110" s="3" t="s">
        <v>7</v>
      </c>
      <c r="J110" s="3" t="s">
        <v>61</v>
      </c>
      <c r="K110" s="3" t="s">
        <v>27</v>
      </c>
      <c r="L110" s="3" t="s">
        <v>58</v>
      </c>
      <c r="M110">
        <v>1</v>
      </c>
    </row>
    <row r="111" spans="1:13" x14ac:dyDescent="0.25">
      <c r="A111" s="2">
        <v>46150</v>
      </c>
      <c r="B111" s="1" t="str">
        <f ca="1">IF(Información1[[#This Row],[Fecha]]='Ajuste de fechas'!$A$2,"Día actual","Día anterior")</f>
        <v>Día actual</v>
      </c>
      <c r="C111" s="3" t="s">
        <v>38</v>
      </c>
      <c r="D111" t="s">
        <v>39</v>
      </c>
      <c r="E111" s="3" t="s">
        <v>252</v>
      </c>
      <c r="F111" s="3" t="s">
        <v>23</v>
      </c>
      <c r="G111" s="3" t="s">
        <v>101</v>
      </c>
      <c r="H111" s="3" t="s">
        <v>11</v>
      </c>
      <c r="I111" s="3" t="s">
        <v>7</v>
      </c>
      <c r="J111" s="3" t="s">
        <v>57</v>
      </c>
      <c r="K111" s="3" t="s">
        <v>27</v>
      </c>
      <c r="L111" s="3" t="s">
        <v>58</v>
      </c>
      <c r="M111">
        <v>1</v>
      </c>
    </row>
    <row r="112" spans="1:13" x14ac:dyDescent="0.25">
      <c r="A112" s="2">
        <v>46150</v>
      </c>
      <c r="B112" s="1" t="str">
        <f ca="1">IF(Información1[[#This Row],[Fecha]]='Ajuste de fechas'!$A$2,"Día actual","Día anterior")</f>
        <v>Día actual</v>
      </c>
      <c r="C112" s="3" t="s">
        <v>38</v>
      </c>
      <c r="D112" t="s">
        <v>39</v>
      </c>
      <c r="E112" s="3" t="s">
        <v>253</v>
      </c>
      <c r="F112" s="3" t="s">
        <v>19</v>
      </c>
      <c r="G112" s="3" t="s">
        <v>254</v>
      </c>
      <c r="H112" s="3" t="s">
        <v>11</v>
      </c>
      <c r="I112" s="3" t="s">
        <v>7</v>
      </c>
      <c r="J112" s="3" t="s">
        <v>61</v>
      </c>
      <c r="K112" s="3" t="s">
        <v>27</v>
      </c>
      <c r="L112" s="3" t="s">
        <v>58</v>
      </c>
      <c r="M112">
        <v>1</v>
      </c>
    </row>
    <row r="113" spans="1:13" x14ac:dyDescent="0.25">
      <c r="A113" s="2">
        <v>46150</v>
      </c>
      <c r="B113" s="1" t="str">
        <f ca="1">IF(Información1[[#This Row],[Fecha]]='Ajuste de fechas'!$A$2,"Día actual","Día anterior")</f>
        <v>Día actual</v>
      </c>
      <c r="C113" s="3" t="s">
        <v>38</v>
      </c>
      <c r="D113" t="s">
        <v>39</v>
      </c>
      <c r="E113" s="3" t="s">
        <v>255</v>
      </c>
      <c r="F113" s="3" t="s">
        <v>22</v>
      </c>
      <c r="G113" s="3" t="s">
        <v>256</v>
      </c>
      <c r="H113" s="3" t="s">
        <v>11</v>
      </c>
      <c r="I113" s="3" t="s">
        <v>7</v>
      </c>
      <c r="J113" s="3" t="s">
        <v>62</v>
      </c>
      <c r="K113" s="3" t="s">
        <v>27</v>
      </c>
      <c r="L113" s="3" t="s">
        <v>58</v>
      </c>
      <c r="M113">
        <v>1</v>
      </c>
    </row>
    <row r="114" spans="1:13" x14ac:dyDescent="0.25">
      <c r="A114" s="2">
        <v>46150</v>
      </c>
      <c r="B114" s="1" t="str">
        <f ca="1">IF(Información1[[#This Row],[Fecha]]='Ajuste de fechas'!$A$2,"Día actual","Día anterior")</f>
        <v>Día actual</v>
      </c>
      <c r="C114" s="3" t="s">
        <v>38</v>
      </c>
      <c r="D114" t="s">
        <v>39</v>
      </c>
      <c r="E114" s="3" t="s">
        <v>257</v>
      </c>
      <c r="F114" s="3" t="s">
        <v>19</v>
      </c>
      <c r="G114" s="3" t="s">
        <v>162</v>
      </c>
      <c r="H114" s="3" t="s">
        <v>11</v>
      </c>
      <c r="I114" s="3" t="s">
        <v>7</v>
      </c>
      <c r="J114" s="3" t="s">
        <v>61</v>
      </c>
      <c r="K114" s="3" t="s">
        <v>27</v>
      </c>
      <c r="L114" s="3" t="s">
        <v>63</v>
      </c>
      <c r="M114">
        <v>1</v>
      </c>
    </row>
    <row r="115" spans="1:13" x14ac:dyDescent="0.25">
      <c r="A115" s="2">
        <v>46150</v>
      </c>
      <c r="B115" s="1" t="str">
        <f ca="1">IF(Información1[[#This Row],[Fecha]]='Ajuste de fechas'!$A$2,"Día actual","Día anterior")</f>
        <v>Día actual</v>
      </c>
      <c r="C115" s="3" t="s">
        <v>38</v>
      </c>
      <c r="D115" t="s">
        <v>39</v>
      </c>
      <c r="E115" s="3" t="s">
        <v>258</v>
      </c>
      <c r="F115" s="3" t="s">
        <v>19</v>
      </c>
      <c r="G115" s="3" t="s">
        <v>259</v>
      </c>
      <c r="H115" s="3" t="s">
        <v>11</v>
      </c>
      <c r="I115" s="3" t="s">
        <v>7</v>
      </c>
      <c r="J115" s="3" t="s">
        <v>61</v>
      </c>
      <c r="K115" s="3" t="s">
        <v>27</v>
      </c>
      <c r="L115" s="3" t="s">
        <v>58</v>
      </c>
      <c r="M115">
        <v>1</v>
      </c>
    </row>
    <row r="116" spans="1:13" x14ac:dyDescent="0.25">
      <c r="A116" s="2">
        <v>46150</v>
      </c>
      <c r="B116" s="1" t="str">
        <f ca="1">IF(Información1[[#This Row],[Fecha]]='Ajuste de fechas'!$A$2,"Día actual","Día anterior")</f>
        <v>Día actual</v>
      </c>
      <c r="C116" s="3" t="s">
        <v>38</v>
      </c>
      <c r="D116" t="s">
        <v>39</v>
      </c>
      <c r="E116" s="3" t="s">
        <v>260</v>
      </c>
      <c r="F116" s="3" t="s">
        <v>21</v>
      </c>
      <c r="G116" s="3" t="s">
        <v>261</v>
      </c>
      <c r="H116" s="3" t="s">
        <v>11</v>
      </c>
      <c r="I116" s="3" t="s">
        <v>7</v>
      </c>
      <c r="J116" s="3" t="s">
        <v>57</v>
      </c>
      <c r="K116" s="3" t="s">
        <v>27</v>
      </c>
      <c r="L116" s="3" t="s">
        <v>58</v>
      </c>
      <c r="M116">
        <v>1</v>
      </c>
    </row>
    <row r="117" spans="1:13" x14ac:dyDescent="0.25">
      <c r="A117" s="2">
        <v>46150</v>
      </c>
      <c r="B117" s="1" t="str">
        <f ca="1">IF(Información1[[#This Row],[Fecha]]='Ajuste de fechas'!$A$2,"Día actual","Día anterior")</f>
        <v>Día actual</v>
      </c>
      <c r="C117" s="3" t="s">
        <v>38</v>
      </c>
      <c r="D117" t="s">
        <v>39</v>
      </c>
      <c r="E117" s="3" t="s">
        <v>262</v>
      </c>
      <c r="F117" s="3" t="s">
        <v>15</v>
      </c>
      <c r="G117" s="3" t="s">
        <v>263</v>
      </c>
      <c r="H117" s="3" t="s">
        <v>11</v>
      </c>
      <c r="I117" s="3" t="s">
        <v>7</v>
      </c>
      <c r="J117" s="3" t="s">
        <v>57</v>
      </c>
      <c r="K117" s="3" t="s">
        <v>27</v>
      </c>
      <c r="L117" s="3" t="s">
        <v>60</v>
      </c>
      <c r="M117">
        <v>1</v>
      </c>
    </row>
    <row r="118" spans="1:13" x14ac:dyDescent="0.25">
      <c r="A118" s="2">
        <v>46150</v>
      </c>
      <c r="B118" s="1" t="str">
        <f ca="1">IF(Información1[[#This Row],[Fecha]]='Ajuste de fechas'!$A$2,"Día actual","Día anterior")</f>
        <v>Día actual</v>
      </c>
      <c r="C118" s="3" t="s">
        <v>38</v>
      </c>
      <c r="D118" t="s">
        <v>39</v>
      </c>
      <c r="E118" s="3" t="s">
        <v>264</v>
      </c>
      <c r="F118" s="3" t="s">
        <v>89</v>
      </c>
      <c r="G118" s="3" t="s">
        <v>265</v>
      </c>
      <c r="H118" s="3" t="s">
        <v>11</v>
      </c>
      <c r="I118" s="3" t="s">
        <v>7</v>
      </c>
      <c r="J118" s="3" t="s">
        <v>57</v>
      </c>
      <c r="K118" s="3" t="s">
        <v>27</v>
      </c>
      <c r="L118" s="3" t="s">
        <v>58</v>
      </c>
      <c r="M118">
        <v>1</v>
      </c>
    </row>
    <row r="119" spans="1:13" x14ac:dyDescent="0.25">
      <c r="A119" s="2">
        <v>46150</v>
      </c>
      <c r="B119" s="1" t="str">
        <f ca="1">IF(Información1[[#This Row],[Fecha]]='Ajuste de fechas'!$A$2,"Día actual","Día anterior")</f>
        <v>Día actual</v>
      </c>
      <c r="C119" s="3" t="s">
        <v>38</v>
      </c>
      <c r="D119" t="s">
        <v>39</v>
      </c>
      <c r="E119" s="3" t="s">
        <v>266</v>
      </c>
      <c r="F119" s="3" t="s">
        <v>96</v>
      </c>
      <c r="G119" s="3" t="s">
        <v>84</v>
      </c>
      <c r="H119" s="3" t="s">
        <v>11</v>
      </c>
      <c r="I119" s="3" t="s">
        <v>7</v>
      </c>
      <c r="J119" s="3" t="s">
        <v>24</v>
      </c>
      <c r="K119" s="3" t="s">
        <v>27</v>
      </c>
      <c r="L119" s="3" t="s">
        <v>58</v>
      </c>
      <c r="M119">
        <v>1</v>
      </c>
    </row>
    <row r="120" spans="1:13" x14ac:dyDescent="0.25">
      <c r="A120" s="2">
        <v>46150</v>
      </c>
      <c r="B120" s="1" t="str">
        <f ca="1">IF(Información1[[#This Row],[Fecha]]='Ajuste de fechas'!$A$2,"Día actual","Día anterior")</f>
        <v>Día actual</v>
      </c>
      <c r="C120" s="3" t="s">
        <v>38</v>
      </c>
      <c r="D120" t="s">
        <v>39</v>
      </c>
      <c r="E120" s="3" t="s">
        <v>267</v>
      </c>
      <c r="F120" s="3" t="s">
        <v>21</v>
      </c>
      <c r="G120" s="3" t="s">
        <v>241</v>
      </c>
      <c r="H120" s="3" t="s">
        <v>11</v>
      </c>
      <c r="I120" s="3" t="s">
        <v>7</v>
      </c>
      <c r="J120" s="3" t="s">
        <v>57</v>
      </c>
      <c r="K120" s="3" t="s">
        <v>27</v>
      </c>
      <c r="L120" s="3" t="s">
        <v>59</v>
      </c>
      <c r="M120">
        <v>1</v>
      </c>
    </row>
    <row r="121" spans="1:13" x14ac:dyDescent="0.25">
      <c r="A121" s="2">
        <v>46150</v>
      </c>
      <c r="B121" s="1" t="str">
        <f ca="1">IF(Información1[[#This Row],[Fecha]]='Ajuste de fechas'!$A$2,"Día actual","Día anterior")</f>
        <v>Día actual</v>
      </c>
      <c r="C121" s="3" t="s">
        <v>45</v>
      </c>
      <c r="D121" t="s">
        <v>46</v>
      </c>
      <c r="E121" s="3" t="s">
        <v>268</v>
      </c>
      <c r="F121" s="3" t="s">
        <v>22</v>
      </c>
      <c r="G121" s="3" t="s">
        <v>241</v>
      </c>
      <c r="H121" s="3" t="s">
        <v>11</v>
      </c>
      <c r="I121" s="3" t="s">
        <v>25</v>
      </c>
      <c r="J121" s="3" t="s">
        <v>62</v>
      </c>
      <c r="K121" s="3" t="s">
        <v>47</v>
      </c>
      <c r="L121" s="3" t="s">
        <v>59</v>
      </c>
      <c r="M121">
        <v>1</v>
      </c>
    </row>
    <row r="122" spans="1:13" x14ac:dyDescent="0.25">
      <c r="A122" s="2">
        <v>46150</v>
      </c>
      <c r="B122" s="1" t="str">
        <f ca="1">IF(Información1[[#This Row],[Fecha]]='Ajuste de fechas'!$A$2,"Día actual","Día anterior")</f>
        <v>Día actual</v>
      </c>
      <c r="C122" s="3" t="s">
        <v>45</v>
      </c>
      <c r="D122" t="s">
        <v>46</v>
      </c>
      <c r="E122" s="3" t="s">
        <v>269</v>
      </c>
      <c r="F122" s="3" t="s">
        <v>22</v>
      </c>
      <c r="G122" s="3" t="s">
        <v>241</v>
      </c>
      <c r="H122" s="3" t="s">
        <v>36</v>
      </c>
      <c r="I122" s="3" t="s">
        <v>7</v>
      </c>
      <c r="J122" s="3" t="s">
        <v>62</v>
      </c>
      <c r="K122" s="3" t="s">
        <v>47</v>
      </c>
      <c r="L122" s="3" t="s">
        <v>58</v>
      </c>
      <c r="M122">
        <v>1</v>
      </c>
    </row>
    <row r="123" spans="1:13" x14ac:dyDescent="0.25">
      <c r="A123" s="2">
        <v>46150</v>
      </c>
      <c r="B123" s="1" t="str">
        <f ca="1">IF(Información1[[#This Row],[Fecha]]='Ajuste de fechas'!$A$2,"Día actual","Día anterior")</f>
        <v>Día actual</v>
      </c>
      <c r="C123" s="3" t="s">
        <v>45</v>
      </c>
      <c r="D123" t="s">
        <v>46</v>
      </c>
      <c r="E123" s="3" t="s">
        <v>270</v>
      </c>
      <c r="F123" s="3" t="s">
        <v>6</v>
      </c>
      <c r="G123" s="3" t="s">
        <v>236</v>
      </c>
      <c r="H123" s="3" t="s">
        <v>36</v>
      </c>
      <c r="I123" s="3" t="s">
        <v>7</v>
      </c>
      <c r="J123" s="3" t="s">
        <v>57</v>
      </c>
      <c r="K123" s="3" t="s">
        <v>47</v>
      </c>
      <c r="L123" s="3" t="s">
        <v>58</v>
      </c>
      <c r="M123">
        <v>1</v>
      </c>
    </row>
    <row r="124" spans="1:13" x14ac:dyDescent="0.25">
      <c r="A124" s="2">
        <v>46150</v>
      </c>
      <c r="B124" s="1" t="str">
        <f ca="1">IF(Información1[[#This Row],[Fecha]]='Ajuste de fechas'!$A$2,"Día actual","Día anterior")</f>
        <v>Día actual</v>
      </c>
      <c r="C124" s="3" t="s">
        <v>45</v>
      </c>
      <c r="D124" t="s">
        <v>46</v>
      </c>
      <c r="E124" s="3" t="s">
        <v>271</v>
      </c>
      <c r="F124" s="3" t="s">
        <v>22</v>
      </c>
      <c r="G124" s="3" t="s">
        <v>192</v>
      </c>
      <c r="H124" s="3" t="s">
        <v>36</v>
      </c>
      <c r="I124" s="3" t="s">
        <v>7</v>
      </c>
      <c r="J124" s="3" t="s">
        <v>62</v>
      </c>
      <c r="K124" s="3" t="s">
        <v>47</v>
      </c>
      <c r="L124" s="3" t="s">
        <v>58</v>
      </c>
      <c r="M124">
        <v>1</v>
      </c>
    </row>
    <row r="125" spans="1:13" x14ac:dyDescent="0.25">
      <c r="A125" s="2">
        <v>46150</v>
      </c>
      <c r="B125" s="1" t="str">
        <f ca="1">IF(Información1[[#This Row],[Fecha]]='Ajuste de fechas'!$A$2,"Día actual","Día anterior")</f>
        <v>Día actual</v>
      </c>
      <c r="C125" s="3" t="s">
        <v>45</v>
      </c>
      <c r="D125" t="s">
        <v>46</v>
      </c>
      <c r="E125" s="3" t="s">
        <v>272</v>
      </c>
      <c r="F125" s="3" t="s">
        <v>26</v>
      </c>
      <c r="G125" s="3" t="s">
        <v>134</v>
      </c>
      <c r="H125" s="3" t="s">
        <v>36</v>
      </c>
      <c r="I125" s="3" t="s">
        <v>7</v>
      </c>
      <c r="J125" s="3" t="s">
        <v>57</v>
      </c>
      <c r="K125" s="3" t="s">
        <v>47</v>
      </c>
      <c r="L125" s="3" t="s">
        <v>60</v>
      </c>
      <c r="M125">
        <v>1</v>
      </c>
    </row>
    <row r="126" spans="1:13" x14ac:dyDescent="0.25">
      <c r="A126" s="2">
        <v>46150</v>
      </c>
      <c r="B126" s="1" t="str">
        <f ca="1">IF(Información1[[#This Row],[Fecha]]='Ajuste de fechas'!$A$2,"Día actual","Día anterior")</f>
        <v>Día actual</v>
      </c>
      <c r="C126" s="3" t="s">
        <v>45</v>
      </c>
      <c r="D126" t="s">
        <v>46</v>
      </c>
      <c r="E126" s="3" t="s">
        <v>104</v>
      </c>
      <c r="F126" s="3" t="s">
        <v>19</v>
      </c>
      <c r="G126" s="3" t="s">
        <v>37</v>
      </c>
      <c r="H126" s="3" t="s">
        <v>36</v>
      </c>
      <c r="I126" s="3" t="s">
        <v>7</v>
      </c>
      <c r="J126" s="3" t="s">
        <v>61</v>
      </c>
      <c r="K126" s="3" t="s">
        <v>47</v>
      </c>
      <c r="L126" s="3" t="s">
        <v>58</v>
      </c>
      <c r="M126">
        <v>1</v>
      </c>
    </row>
    <row r="127" spans="1:13" x14ac:dyDescent="0.25">
      <c r="A127" s="2">
        <v>46150</v>
      </c>
      <c r="B127" s="1" t="str">
        <f ca="1">IF(Información1[[#This Row],[Fecha]]='Ajuste de fechas'!$A$2,"Día actual","Día anterior")</f>
        <v>Día actual</v>
      </c>
      <c r="C127" s="3" t="s">
        <v>45</v>
      </c>
      <c r="D127" t="s">
        <v>46</v>
      </c>
      <c r="E127" s="3" t="s">
        <v>273</v>
      </c>
      <c r="F127" s="3" t="s">
        <v>22</v>
      </c>
      <c r="G127" s="3" t="s">
        <v>241</v>
      </c>
      <c r="H127" s="3" t="s">
        <v>36</v>
      </c>
      <c r="I127" s="3" t="s">
        <v>25</v>
      </c>
      <c r="J127" s="3" t="s">
        <v>62</v>
      </c>
      <c r="K127" s="3" t="s">
        <v>47</v>
      </c>
      <c r="L127" s="3" t="s">
        <v>59</v>
      </c>
      <c r="M127">
        <v>1</v>
      </c>
    </row>
    <row r="128" spans="1:13" x14ac:dyDescent="0.25">
      <c r="A128" s="2">
        <v>46150</v>
      </c>
      <c r="B128" s="1" t="str">
        <f ca="1">IF(Información1[[#This Row],[Fecha]]='Ajuste de fechas'!$A$2,"Día actual","Día anterior")</f>
        <v>Día actual</v>
      </c>
      <c r="C128" s="3" t="s">
        <v>45</v>
      </c>
      <c r="D128" t="s">
        <v>46</v>
      </c>
      <c r="E128" s="3" t="s">
        <v>274</v>
      </c>
      <c r="F128" s="3" t="s">
        <v>22</v>
      </c>
      <c r="G128" s="3" t="s">
        <v>241</v>
      </c>
      <c r="H128" s="3" t="s">
        <v>11</v>
      </c>
      <c r="I128" s="3" t="s">
        <v>25</v>
      </c>
      <c r="J128" s="3" t="s">
        <v>62</v>
      </c>
      <c r="K128" s="3" t="s">
        <v>275</v>
      </c>
      <c r="L128" s="3" t="s">
        <v>58</v>
      </c>
      <c r="M128">
        <v>1</v>
      </c>
    </row>
    <row r="129" spans="1:13" x14ac:dyDescent="0.25">
      <c r="A129" s="2">
        <v>46150</v>
      </c>
      <c r="B129" s="1" t="str">
        <f ca="1">IF(Información1[[#This Row],[Fecha]]='Ajuste de fechas'!$A$2,"Día actual","Día anterior")</f>
        <v>Día actual</v>
      </c>
      <c r="C129" s="3" t="s">
        <v>45</v>
      </c>
      <c r="D129" t="s">
        <v>46</v>
      </c>
      <c r="E129" s="3" t="s">
        <v>276</v>
      </c>
      <c r="F129" s="3" t="s">
        <v>22</v>
      </c>
      <c r="G129" s="3" t="s">
        <v>241</v>
      </c>
      <c r="H129" s="3" t="s">
        <v>11</v>
      </c>
      <c r="I129" s="3" t="s">
        <v>7</v>
      </c>
      <c r="J129" s="3" t="s">
        <v>62</v>
      </c>
      <c r="K129" s="3" t="s">
        <v>47</v>
      </c>
      <c r="L129" s="3" t="s">
        <v>58</v>
      </c>
      <c r="M129">
        <v>1</v>
      </c>
    </row>
    <row r="130" spans="1:13" x14ac:dyDescent="0.25">
      <c r="A130" s="2">
        <v>46150</v>
      </c>
      <c r="B130" s="1" t="str">
        <f ca="1">IF(Información1[[#This Row],[Fecha]]='Ajuste de fechas'!$A$2,"Día actual","Día anterior")</f>
        <v>Día actual</v>
      </c>
      <c r="C130" s="3" t="s">
        <v>38</v>
      </c>
      <c r="D130" t="s">
        <v>39</v>
      </c>
      <c r="E130" s="3" t="s">
        <v>240</v>
      </c>
      <c r="F130" s="3" t="s">
        <v>22</v>
      </c>
      <c r="G130" s="3" t="s">
        <v>241</v>
      </c>
      <c r="H130" s="3" t="s">
        <v>11</v>
      </c>
      <c r="I130" s="3" t="s">
        <v>7</v>
      </c>
      <c r="J130" s="3" t="s">
        <v>62</v>
      </c>
      <c r="K130" s="3" t="s">
        <v>27</v>
      </c>
      <c r="L130" s="3" t="s">
        <v>58</v>
      </c>
      <c r="M130">
        <v>1</v>
      </c>
    </row>
    <row r="131" spans="1:13" x14ac:dyDescent="0.25">
      <c r="A131" s="2">
        <v>46149</v>
      </c>
      <c r="B131" s="1" t="str">
        <f ca="1">IF(Información1[[#This Row],[Fecha]]='Ajuste de fechas'!$A$2,"Día actual","Día anterior")</f>
        <v>Día anterior</v>
      </c>
      <c r="C131" s="3" t="s">
        <v>106</v>
      </c>
      <c r="D131" t="s">
        <v>107</v>
      </c>
      <c r="E131" s="3" t="s">
        <v>277</v>
      </c>
      <c r="F131" s="3" t="s">
        <v>21</v>
      </c>
      <c r="G131" s="3" t="s">
        <v>278</v>
      </c>
      <c r="H131" s="3" t="s">
        <v>36</v>
      </c>
      <c r="I131" s="3" t="s">
        <v>7</v>
      </c>
      <c r="J131" s="3" t="s">
        <v>57</v>
      </c>
      <c r="K131" s="3" t="s">
        <v>35</v>
      </c>
      <c r="L131" s="3" t="s">
        <v>58</v>
      </c>
      <c r="M131">
        <v>1</v>
      </c>
    </row>
    <row r="132" spans="1:13" x14ac:dyDescent="0.25">
      <c r="A132" s="2">
        <v>46149</v>
      </c>
      <c r="B132" s="1" t="str">
        <f ca="1">IF(Información1[[#This Row],[Fecha]]='Ajuste de fechas'!$A$2,"Día actual","Día anterior")</f>
        <v>Día anterior</v>
      </c>
      <c r="C132" s="3" t="s">
        <v>106</v>
      </c>
      <c r="D132" t="s">
        <v>107</v>
      </c>
      <c r="E132" s="3" t="s">
        <v>100</v>
      </c>
      <c r="F132" s="3" t="s">
        <v>90</v>
      </c>
      <c r="G132" s="3" t="s">
        <v>99</v>
      </c>
      <c r="H132" s="3" t="s">
        <v>36</v>
      </c>
      <c r="I132" s="3" t="s">
        <v>7</v>
      </c>
      <c r="J132" s="3" t="s">
        <v>57</v>
      </c>
      <c r="K132" s="3" t="s">
        <v>35</v>
      </c>
      <c r="L132" s="3" t="s">
        <v>60</v>
      </c>
      <c r="M132">
        <v>1</v>
      </c>
    </row>
    <row r="133" spans="1:13" x14ac:dyDescent="0.25">
      <c r="A133" s="2">
        <v>46149</v>
      </c>
      <c r="B133" s="1" t="str">
        <f ca="1">IF(Información1[[#This Row],[Fecha]]='Ajuste de fechas'!$A$2,"Día actual","Día anterior")</f>
        <v>Día anterior</v>
      </c>
      <c r="C133" s="3" t="s">
        <v>106</v>
      </c>
      <c r="D133" t="s">
        <v>107</v>
      </c>
      <c r="E133" s="3" t="s">
        <v>98</v>
      </c>
      <c r="F133" s="3" t="s">
        <v>23</v>
      </c>
      <c r="G133" s="3" t="s">
        <v>99</v>
      </c>
      <c r="H133" s="3" t="s">
        <v>36</v>
      </c>
      <c r="I133" s="3" t="s">
        <v>7</v>
      </c>
      <c r="J133" s="3" t="s">
        <v>57</v>
      </c>
      <c r="K133" s="3" t="s">
        <v>35</v>
      </c>
      <c r="L133" s="3" t="s">
        <v>60</v>
      </c>
      <c r="M133">
        <v>1</v>
      </c>
    </row>
    <row r="134" spans="1:13" x14ac:dyDescent="0.25">
      <c r="A134" s="2">
        <v>46149</v>
      </c>
      <c r="B134" s="1" t="str">
        <f ca="1">IF(Información1[[#This Row],[Fecha]]='Ajuste de fechas'!$A$2,"Día actual","Día anterior")</f>
        <v>Día anterior</v>
      </c>
      <c r="C134" s="3" t="s">
        <v>106</v>
      </c>
      <c r="D134" t="s">
        <v>107</v>
      </c>
      <c r="E134" s="3" t="s">
        <v>115</v>
      </c>
      <c r="F134" s="3" t="s">
        <v>23</v>
      </c>
      <c r="G134" s="3" t="s">
        <v>73</v>
      </c>
      <c r="H134" s="3" t="s">
        <v>36</v>
      </c>
      <c r="I134" s="3" t="s">
        <v>7</v>
      </c>
      <c r="J134" s="3" t="s">
        <v>57</v>
      </c>
      <c r="K134" s="3" t="s">
        <v>35</v>
      </c>
      <c r="L134" s="3" t="s">
        <v>60</v>
      </c>
      <c r="M134">
        <v>1</v>
      </c>
    </row>
    <row r="135" spans="1:13" x14ac:dyDescent="0.25">
      <c r="A135" s="2">
        <v>46149</v>
      </c>
      <c r="B135" s="1" t="str">
        <f ca="1">IF(Información1[[#This Row],[Fecha]]='Ajuste de fechas'!$A$2,"Día actual","Día anterior")</f>
        <v>Día anterior</v>
      </c>
      <c r="C135" s="3" t="s">
        <v>106</v>
      </c>
      <c r="D135" t="s">
        <v>107</v>
      </c>
      <c r="E135" s="3" t="s">
        <v>279</v>
      </c>
      <c r="F135" s="3" t="s">
        <v>22</v>
      </c>
      <c r="G135" s="3" t="s">
        <v>77</v>
      </c>
      <c r="H135" s="3" t="s">
        <v>36</v>
      </c>
      <c r="I135" s="3" t="s">
        <v>7</v>
      </c>
      <c r="J135" s="3" t="s">
        <v>62</v>
      </c>
      <c r="K135" s="3" t="s">
        <v>280</v>
      </c>
      <c r="L135" s="3" t="s">
        <v>58</v>
      </c>
      <c r="M135">
        <v>1</v>
      </c>
    </row>
    <row r="136" spans="1:13" x14ac:dyDescent="0.25">
      <c r="A136" s="2">
        <v>46149</v>
      </c>
      <c r="B136" s="1" t="str">
        <f ca="1">IF(Información1[[#This Row],[Fecha]]='Ajuste de fechas'!$A$2,"Día actual","Día anterior")</f>
        <v>Día anterior</v>
      </c>
      <c r="C136" s="3" t="s">
        <v>106</v>
      </c>
      <c r="D136" t="s">
        <v>107</v>
      </c>
      <c r="E136" s="3" t="s">
        <v>281</v>
      </c>
      <c r="F136" s="3" t="s">
        <v>89</v>
      </c>
      <c r="G136" s="3" t="s">
        <v>265</v>
      </c>
      <c r="H136" s="3" t="s">
        <v>36</v>
      </c>
      <c r="I136" s="3" t="s">
        <v>7</v>
      </c>
      <c r="J136" s="3" t="s">
        <v>57</v>
      </c>
      <c r="K136" s="3" t="s">
        <v>35</v>
      </c>
      <c r="L136" s="3" t="s">
        <v>60</v>
      </c>
      <c r="M136">
        <v>1</v>
      </c>
    </row>
    <row r="137" spans="1:13" x14ac:dyDescent="0.25">
      <c r="A137" s="2">
        <v>46149</v>
      </c>
      <c r="B137" s="1" t="str">
        <f ca="1">IF(Información1[[#This Row],[Fecha]]='Ajuste de fechas'!$A$2,"Día actual","Día anterior")</f>
        <v>Día anterior</v>
      </c>
      <c r="C137" s="3" t="s">
        <v>106</v>
      </c>
      <c r="D137" t="s">
        <v>107</v>
      </c>
      <c r="E137" s="3" t="s">
        <v>222</v>
      </c>
      <c r="F137" s="3" t="s">
        <v>89</v>
      </c>
      <c r="G137" s="3" t="s">
        <v>78</v>
      </c>
      <c r="H137" s="3" t="s">
        <v>36</v>
      </c>
      <c r="I137" s="3" t="s">
        <v>7</v>
      </c>
      <c r="J137" s="3" t="s">
        <v>57</v>
      </c>
      <c r="K137" s="3" t="s">
        <v>35</v>
      </c>
      <c r="L137" s="3" t="s">
        <v>60</v>
      </c>
      <c r="M137">
        <v>1</v>
      </c>
    </row>
    <row r="138" spans="1:13" x14ac:dyDescent="0.25">
      <c r="A138" s="2">
        <v>46149</v>
      </c>
      <c r="B138" s="1" t="str">
        <f ca="1">IF(Información1[[#This Row],[Fecha]]='Ajuste de fechas'!$A$2,"Día actual","Día anterior")</f>
        <v>Día anterior</v>
      </c>
      <c r="C138" s="3" t="s">
        <v>106</v>
      </c>
      <c r="D138" t="s">
        <v>107</v>
      </c>
      <c r="E138" s="3" t="s">
        <v>282</v>
      </c>
      <c r="F138" s="3" t="s">
        <v>44</v>
      </c>
      <c r="G138" s="3" t="s">
        <v>278</v>
      </c>
      <c r="H138" s="3" t="s">
        <v>36</v>
      </c>
      <c r="I138" s="3" t="s">
        <v>7</v>
      </c>
      <c r="J138" s="3" t="s">
        <v>57</v>
      </c>
      <c r="K138" s="3" t="s">
        <v>35</v>
      </c>
      <c r="L138" s="3" t="s">
        <v>58</v>
      </c>
      <c r="M138">
        <v>1</v>
      </c>
    </row>
    <row r="139" spans="1:13" x14ac:dyDescent="0.25">
      <c r="A139" s="2">
        <v>46149</v>
      </c>
      <c r="B139" s="1" t="str">
        <f ca="1">IF(Información1[[#This Row],[Fecha]]='Ajuste de fechas'!$A$2,"Día actual","Día anterior")</f>
        <v>Día anterior</v>
      </c>
      <c r="C139" s="3" t="s">
        <v>106</v>
      </c>
      <c r="D139" t="s">
        <v>107</v>
      </c>
      <c r="E139" s="3" t="s">
        <v>283</v>
      </c>
      <c r="F139" s="3" t="s">
        <v>44</v>
      </c>
      <c r="G139" s="3" t="s">
        <v>278</v>
      </c>
      <c r="H139" s="3" t="s">
        <v>36</v>
      </c>
      <c r="I139" s="3" t="s">
        <v>7</v>
      </c>
      <c r="J139" s="3" t="s">
        <v>57</v>
      </c>
      <c r="K139" s="3" t="s">
        <v>35</v>
      </c>
      <c r="L139" s="3" t="s">
        <v>60</v>
      </c>
      <c r="M139">
        <v>1</v>
      </c>
    </row>
    <row r="140" spans="1:13" x14ac:dyDescent="0.25">
      <c r="A140" s="2">
        <v>46149</v>
      </c>
      <c r="B140" s="1" t="str">
        <f ca="1">IF(Información1[[#This Row],[Fecha]]='Ajuste de fechas'!$A$2,"Día actual","Día anterior")</f>
        <v>Día anterior</v>
      </c>
      <c r="C140" s="3" t="s">
        <v>106</v>
      </c>
      <c r="D140" t="s">
        <v>107</v>
      </c>
      <c r="E140" s="3" t="s">
        <v>284</v>
      </c>
      <c r="F140" s="3" t="s">
        <v>75</v>
      </c>
      <c r="G140" s="3" t="s">
        <v>285</v>
      </c>
      <c r="H140" s="3" t="s">
        <v>36</v>
      </c>
      <c r="I140" s="3" t="s">
        <v>7</v>
      </c>
      <c r="J140" s="3" t="s">
        <v>57</v>
      </c>
      <c r="K140" s="3" t="s">
        <v>35</v>
      </c>
      <c r="L140" s="3" t="s">
        <v>58</v>
      </c>
      <c r="M140">
        <v>1</v>
      </c>
    </row>
    <row r="141" spans="1:13" x14ac:dyDescent="0.25">
      <c r="A141" s="2">
        <v>46149</v>
      </c>
      <c r="B141" s="1" t="str">
        <f ca="1">IF(Información1[[#This Row],[Fecha]]='Ajuste de fechas'!$A$2,"Día actual","Día anterior")</f>
        <v>Día anterior</v>
      </c>
      <c r="C141" s="3" t="s">
        <v>106</v>
      </c>
      <c r="D141" t="s">
        <v>107</v>
      </c>
      <c r="E141" s="3" t="s">
        <v>286</v>
      </c>
      <c r="F141" s="3" t="s">
        <v>75</v>
      </c>
      <c r="G141" s="3" t="s">
        <v>285</v>
      </c>
      <c r="H141" s="3" t="s">
        <v>36</v>
      </c>
      <c r="I141" s="3" t="s">
        <v>7</v>
      </c>
      <c r="J141" s="3" t="s">
        <v>57</v>
      </c>
      <c r="K141" s="3" t="s">
        <v>35</v>
      </c>
      <c r="L141" s="3" t="s">
        <v>58</v>
      </c>
      <c r="M141">
        <v>1</v>
      </c>
    </row>
    <row r="142" spans="1:13" x14ac:dyDescent="0.25">
      <c r="A142" s="2">
        <v>46150</v>
      </c>
      <c r="B142" s="1" t="str">
        <f ca="1">IF(Información1[[#This Row],[Fecha]]='Ajuste de fechas'!$A$2,"Día actual","Día anterior")</f>
        <v>Día actual</v>
      </c>
      <c r="C142" s="3" t="s">
        <v>31</v>
      </c>
      <c r="D142" t="s">
        <v>34</v>
      </c>
      <c r="E142" s="3" t="s">
        <v>287</v>
      </c>
      <c r="F142" s="3" t="s">
        <v>19</v>
      </c>
      <c r="G142" s="3" t="s">
        <v>155</v>
      </c>
      <c r="H142" s="3" t="s">
        <v>11</v>
      </c>
      <c r="I142" s="3" t="s">
        <v>7</v>
      </c>
      <c r="J142" s="3" t="s">
        <v>61</v>
      </c>
      <c r="K142" s="3" t="s">
        <v>32</v>
      </c>
      <c r="L142" s="3" t="s">
        <v>58</v>
      </c>
      <c r="M142">
        <v>1</v>
      </c>
    </row>
    <row r="143" spans="1:13" x14ac:dyDescent="0.25">
      <c r="A143" s="2">
        <v>46150</v>
      </c>
      <c r="B143" s="1" t="str">
        <f ca="1">IF(Información1[[#This Row],[Fecha]]='Ajuste de fechas'!$A$2,"Día actual","Día anterior")</f>
        <v>Día actual</v>
      </c>
      <c r="C143" s="3" t="s">
        <v>31</v>
      </c>
      <c r="D143" t="s">
        <v>33</v>
      </c>
      <c r="E143" s="3" t="s">
        <v>288</v>
      </c>
      <c r="F143" s="3" t="s">
        <v>22</v>
      </c>
      <c r="G143" s="3" t="s">
        <v>289</v>
      </c>
      <c r="H143" s="3" t="s">
        <v>11</v>
      </c>
      <c r="I143" s="3" t="s">
        <v>7</v>
      </c>
      <c r="J143" s="3" t="s">
        <v>62</v>
      </c>
      <c r="K143" s="3" t="s">
        <v>49</v>
      </c>
      <c r="L143" s="3" t="s">
        <v>58</v>
      </c>
      <c r="M143">
        <v>1</v>
      </c>
    </row>
    <row r="144" spans="1:13" x14ac:dyDescent="0.25">
      <c r="A144" s="2">
        <v>46150</v>
      </c>
      <c r="B144" s="1" t="str">
        <f ca="1">IF(Información1[[#This Row],[Fecha]]='Ajuste de fechas'!$A$2,"Día actual","Día anterior")</f>
        <v>Día actual</v>
      </c>
      <c r="C144" s="3" t="s">
        <v>31</v>
      </c>
      <c r="D144" t="s">
        <v>34</v>
      </c>
      <c r="E144" s="3" t="s">
        <v>290</v>
      </c>
      <c r="F144" s="3" t="s">
        <v>44</v>
      </c>
      <c r="G144" s="3" t="s">
        <v>173</v>
      </c>
      <c r="H144" s="3" t="s">
        <v>11</v>
      </c>
      <c r="I144" s="3" t="s">
        <v>7</v>
      </c>
      <c r="J144" s="3" t="s">
        <v>57</v>
      </c>
      <c r="K144" s="3" t="s">
        <v>32</v>
      </c>
      <c r="L144" s="3" t="s">
        <v>58</v>
      </c>
      <c r="M144">
        <v>1</v>
      </c>
    </row>
    <row r="145" spans="1:13" x14ac:dyDescent="0.25">
      <c r="A145" s="2">
        <v>46150</v>
      </c>
      <c r="B145" s="1" t="str">
        <f ca="1">IF(Información1[[#This Row],[Fecha]]='Ajuste de fechas'!$A$2,"Día actual","Día anterior")</f>
        <v>Día actual</v>
      </c>
      <c r="C145" s="3" t="s">
        <v>31</v>
      </c>
      <c r="D145" t="s">
        <v>33</v>
      </c>
      <c r="E145" s="3" t="s">
        <v>291</v>
      </c>
      <c r="F145" s="3" t="s">
        <v>96</v>
      </c>
      <c r="G145" s="3" t="s">
        <v>292</v>
      </c>
      <c r="H145" s="3" t="s">
        <v>11</v>
      </c>
      <c r="I145" s="3" t="s">
        <v>7</v>
      </c>
      <c r="J145" s="3" t="s">
        <v>24</v>
      </c>
      <c r="K145" s="3" t="s">
        <v>49</v>
      </c>
      <c r="L145" s="3" t="s">
        <v>58</v>
      </c>
      <c r="M145">
        <v>1</v>
      </c>
    </row>
    <row r="146" spans="1:13" x14ac:dyDescent="0.25">
      <c r="A146" s="2">
        <v>46150</v>
      </c>
      <c r="B146" s="1" t="str">
        <f ca="1">IF(Información1[[#This Row],[Fecha]]='Ajuste de fechas'!$A$2,"Día actual","Día anterior")</f>
        <v>Día actual</v>
      </c>
      <c r="C146" s="3" t="s">
        <v>8</v>
      </c>
      <c r="D146" t="s">
        <v>10</v>
      </c>
      <c r="E146" s="3" t="s">
        <v>293</v>
      </c>
      <c r="F146" s="3" t="s">
        <v>19</v>
      </c>
      <c r="G146" s="3" t="s">
        <v>294</v>
      </c>
      <c r="H146" s="3" t="s">
        <v>11</v>
      </c>
      <c r="I146" s="3" t="s">
        <v>25</v>
      </c>
      <c r="J146" s="3" t="s">
        <v>61</v>
      </c>
      <c r="K146" s="3" t="s">
        <v>9</v>
      </c>
      <c r="L146" s="3" t="s">
        <v>59</v>
      </c>
      <c r="M146">
        <v>1</v>
      </c>
    </row>
    <row r="147" spans="1:13" x14ac:dyDescent="0.25">
      <c r="A147" s="2">
        <v>46150</v>
      </c>
      <c r="B147" s="1" t="str">
        <f ca="1">IF(Información1[[#This Row],[Fecha]]='Ajuste de fechas'!$A$2,"Día actual","Día anterior")</f>
        <v>Día actual</v>
      </c>
      <c r="C147" s="3" t="s">
        <v>31</v>
      </c>
      <c r="D147" t="s">
        <v>33</v>
      </c>
      <c r="E147" s="3" t="s">
        <v>295</v>
      </c>
      <c r="F147" s="3" t="s">
        <v>26</v>
      </c>
      <c r="G147" s="3" t="s">
        <v>134</v>
      </c>
      <c r="H147" s="3" t="s">
        <v>11</v>
      </c>
      <c r="I147" s="3" t="s">
        <v>7</v>
      </c>
      <c r="J147" s="3" t="s">
        <v>57</v>
      </c>
      <c r="K147" s="3" t="s">
        <v>49</v>
      </c>
      <c r="L147" s="3" t="s">
        <v>58</v>
      </c>
      <c r="M147">
        <v>1</v>
      </c>
    </row>
    <row r="148" spans="1:13" x14ac:dyDescent="0.25">
      <c r="A148" s="2">
        <v>46150</v>
      </c>
      <c r="B148" s="1" t="str">
        <f ca="1">IF(Información1[[#This Row],[Fecha]]='Ajuste de fechas'!$A$2,"Día actual","Día anterior")</f>
        <v>Día actual</v>
      </c>
      <c r="C148" s="3" t="s">
        <v>72</v>
      </c>
      <c r="D148" t="s">
        <v>80</v>
      </c>
      <c r="E148" s="3" t="s">
        <v>239</v>
      </c>
      <c r="F148" s="3" t="s">
        <v>26</v>
      </c>
      <c r="G148" s="3" t="s">
        <v>134</v>
      </c>
      <c r="H148" s="3" t="s">
        <v>11</v>
      </c>
      <c r="I148" s="3" t="s">
        <v>7</v>
      </c>
      <c r="J148" s="3" t="s">
        <v>57</v>
      </c>
      <c r="K148" s="3" t="s">
        <v>81</v>
      </c>
      <c r="L148" s="3" t="s">
        <v>60</v>
      </c>
      <c r="M148">
        <v>1</v>
      </c>
    </row>
    <row r="149" spans="1:13" x14ac:dyDescent="0.25">
      <c r="A149" s="2">
        <v>46150</v>
      </c>
      <c r="B149" s="1" t="str">
        <f ca="1">IF(Información1[[#This Row],[Fecha]]='Ajuste de fechas'!$A$2,"Día actual","Día anterior")</f>
        <v>Día actual</v>
      </c>
      <c r="C149" s="3" t="s">
        <v>72</v>
      </c>
      <c r="D149" t="s">
        <v>80</v>
      </c>
      <c r="E149" s="3" t="s">
        <v>296</v>
      </c>
      <c r="F149" s="3" t="s">
        <v>26</v>
      </c>
      <c r="G149" s="3" t="s">
        <v>134</v>
      </c>
      <c r="H149" s="3" t="s">
        <v>11</v>
      </c>
      <c r="I149" s="3" t="s">
        <v>7</v>
      </c>
      <c r="J149" s="3" t="s">
        <v>57</v>
      </c>
      <c r="K149" s="3" t="s">
        <v>81</v>
      </c>
      <c r="L149" s="3" t="s">
        <v>60</v>
      </c>
      <c r="M149">
        <v>1</v>
      </c>
    </row>
    <row r="150" spans="1:13" x14ac:dyDescent="0.25">
      <c r="A150" s="2">
        <v>46150</v>
      </c>
      <c r="B150" s="1" t="str">
        <f ca="1">IF(Información1[[#This Row],[Fecha]]='Ajuste de fechas'!$A$2,"Día actual","Día anterior")</f>
        <v>Día actual</v>
      </c>
      <c r="C150" s="3" t="s">
        <v>31</v>
      </c>
      <c r="D150" t="s">
        <v>34</v>
      </c>
      <c r="E150" s="3" t="s">
        <v>297</v>
      </c>
      <c r="F150" s="3" t="s">
        <v>26</v>
      </c>
      <c r="G150" s="3" t="s">
        <v>134</v>
      </c>
      <c r="H150" s="3" t="s">
        <v>11</v>
      </c>
      <c r="I150" s="3" t="s">
        <v>7</v>
      </c>
      <c r="J150" s="3" t="s">
        <v>57</v>
      </c>
      <c r="K150" s="3" t="s">
        <v>32</v>
      </c>
      <c r="L150" s="3" t="s">
        <v>58</v>
      </c>
      <c r="M150">
        <v>1</v>
      </c>
    </row>
    <row r="151" spans="1:13" x14ac:dyDescent="0.25">
      <c r="A151" s="2">
        <v>46150</v>
      </c>
      <c r="B151" s="1" t="str">
        <f ca="1">IF(Información1[[#This Row],[Fecha]]='Ajuste de fechas'!$A$2,"Día actual","Día anterior")</f>
        <v>Día actual</v>
      </c>
      <c r="C151" s="3" t="s">
        <v>72</v>
      </c>
      <c r="D151" t="s">
        <v>80</v>
      </c>
      <c r="E151" s="3" t="s">
        <v>127</v>
      </c>
      <c r="F151" s="3" t="s">
        <v>67</v>
      </c>
      <c r="G151" s="3" t="s">
        <v>158</v>
      </c>
      <c r="H151" s="3" t="s">
        <v>11</v>
      </c>
      <c r="I151" s="3" t="s">
        <v>7</v>
      </c>
      <c r="J151" s="3" t="s">
        <v>57</v>
      </c>
      <c r="K151" s="3" t="s">
        <v>81</v>
      </c>
      <c r="L151" s="3" t="s">
        <v>60</v>
      </c>
      <c r="M151">
        <v>1</v>
      </c>
    </row>
    <row r="152" spans="1:13" x14ac:dyDescent="0.25">
      <c r="A152" s="2">
        <v>46150</v>
      </c>
      <c r="B152" s="1" t="str">
        <f ca="1">IF(Información1[[#This Row],[Fecha]]='Ajuste de fechas'!$A$2,"Día actual","Día anterior")</f>
        <v>Día actual</v>
      </c>
      <c r="C152" s="3" t="s">
        <v>31</v>
      </c>
      <c r="D152" t="s">
        <v>34</v>
      </c>
      <c r="E152" s="3" t="s">
        <v>298</v>
      </c>
      <c r="F152" s="3" t="s">
        <v>67</v>
      </c>
      <c r="G152" s="3" t="s">
        <v>158</v>
      </c>
      <c r="H152" s="3" t="s">
        <v>11</v>
      </c>
      <c r="I152" s="3" t="s">
        <v>7</v>
      </c>
      <c r="J152" s="3" t="s">
        <v>57</v>
      </c>
      <c r="K152" s="3" t="s">
        <v>32</v>
      </c>
      <c r="L152" s="3" t="s">
        <v>58</v>
      </c>
      <c r="M152">
        <v>1</v>
      </c>
    </row>
    <row r="153" spans="1:13" x14ac:dyDescent="0.25">
      <c r="A153" s="2">
        <v>46150</v>
      </c>
      <c r="B153" s="1" t="str">
        <f ca="1">IF(Información1[[#This Row],[Fecha]]='Ajuste de fechas'!$A$2,"Día actual","Día anterior")</f>
        <v>Día actual</v>
      </c>
      <c r="C153" s="3" t="s">
        <v>8</v>
      </c>
      <c r="D153" t="s">
        <v>10</v>
      </c>
      <c r="E153" s="3" t="s">
        <v>299</v>
      </c>
      <c r="F153" s="3" t="s">
        <v>17</v>
      </c>
      <c r="G153" s="3" t="s">
        <v>95</v>
      </c>
      <c r="H153" s="3" t="s">
        <v>11</v>
      </c>
      <c r="I153" s="3" t="s">
        <v>25</v>
      </c>
      <c r="J153" s="3" t="s">
        <v>57</v>
      </c>
      <c r="K153" s="3" t="s">
        <v>9</v>
      </c>
      <c r="L153" s="3" t="s">
        <v>59</v>
      </c>
      <c r="M153">
        <v>1</v>
      </c>
    </row>
    <row r="154" spans="1:13" x14ac:dyDescent="0.25">
      <c r="A154" s="2">
        <v>46150</v>
      </c>
      <c r="B154" s="1" t="str">
        <f ca="1">IF(Información1[[#This Row],[Fecha]]='Ajuste de fechas'!$A$2,"Día actual","Día anterior")</f>
        <v>Día actual</v>
      </c>
      <c r="C154" s="3" t="s">
        <v>8</v>
      </c>
      <c r="D154" t="s">
        <v>10</v>
      </c>
      <c r="E154" s="3" t="s">
        <v>300</v>
      </c>
      <c r="F154" s="3" t="s">
        <v>19</v>
      </c>
      <c r="G154" s="3" t="s">
        <v>301</v>
      </c>
      <c r="H154" s="3" t="s">
        <v>11</v>
      </c>
      <c r="I154" s="3" t="s">
        <v>7</v>
      </c>
      <c r="J154" s="3" t="s">
        <v>61</v>
      </c>
      <c r="K154" s="3" t="s">
        <v>14</v>
      </c>
      <c r="L154" s="3" t="s">
        <v>58</v>
      </c>
      <c r="M154">
        <v>1</v>
      </c>
    </row>
    <row r="155" spans="1:13" x14ac:dyDescent="0.25">
      <c r="A155" s="2">
        <v>46150</v>
      </c>
      <c r="B155" s="1" t="str">
        <f ca="1">IF(Información1[[#This Row],[Fecha]]='Ajuste de fechas'!$A$2,"Día actual","Día anterior")</f>
        <v>Día actual</v>
      </c>
      <c r="C155" s="3" t="s">
        <v>31</v>
      </c>
      <c r="D155" t="s">
        <v>33</v>
      </c>
      <c r="E155" s="3" t="s">
        <v>302</v>
      </c>
      <c r="F155" s="3" t="s">
        <v>22</v>
      </c>
      <c r="G155" s="3" t="s">
        <v>241</v>
      </c>
      <c r="H155" s="3" t="s">
        <v>11</v>
      </c>
      <c r="I155" s="3" t="s">
        <v>7</v>
      </c>
      <c r="J155" s="3" t="s">
        <v>62</v>
      </c>
      <c r="K155" s="3" t="s">
        <v>49</v>
      </c>
      <c r="L155" s="3" t="s">
        <v>58</v>
      </c>
      <c r="M155">
        <v>1</v>
      </c>
    </row>
    <row r="156" spans="1:13" x14ac:dyDescent="0.25">
      <c r="A156" s="2">
        <v>46150</v>
      </c>
      <c r="B156" s="1" t="str">
        <f ca="1">IF(Información1[[#This Row],[Fecha]]='Ajuste de fechas'!$A$2,"Día actual","Día anterior")</f>
        <v>Día actual</v>
      </c>
      <c r="C156" s="3" t="s">
        <v>31</v>
      </c>
      <c r="D156" t="s">
        <v>33</v>
      </c>
      <c r="E156" s="3" t="s">
        <v>303</v>
      </c>
      <c r="F156" s="3" t="s">
        <v>22</v>
      </c>
      <c r="G156" s="3" t="s">
        <v>241</v>
      </c>
      <c r="H156" s="3" t="s">
        <v>11</v>
      </c>
      <c r="I156" s="3" t="s">
        <v>7</v>
      </c>
      <c r="J156" s="3" t="s">
        <v>62</v>
      </c>
      <c r="K156" s="3" t="s">
        <v>49</v>
      </c>
      <c r="L156" s="3" t="s">
        <v>58</v>
      </c>
      <c r="M156">
        <v>1</v>
      </c>
    </row>
    <row r="157" spans="1:13" x14ac:dyDescent="0.25">
      <c r="A157" s="2">
        <v>46150</v>
      </c>
      <c r="B157" s="1" t="str">
        <f ca="1">IF(Información1[[#This Row],[Fecha]]='Ajuste de fechas'!$A$2,"Día actual","Día anterior")</f>
        <v>Día actual</v>
      </c>
      <c r="C157" s="3" t="s">
        <v>31</v>
      </c>
      <c r="D157" t="s">
        <v>34</v>
      </c>
      <c r="E157" s="3" t="s">
        <v>304</v>
      </c>
      <c r="F157" s="3" t="s">
        <v>22</v>
      </c>
      <c r="G157" s="3" t="s">
        <v>241</v>
      </c>
      <c r="H157" s="3" t="s">
        <v>11</v>
      </c>
      <c r="I157" s="3" t="s">
        <v>7</v>
      </c>
      <c r="J157" s="3" t="s">
        <v>62</v>
      </c>
      <c r="K157" s="3" t="s">
        <v>9</v>
      </c>
      <c r="L157" s="3" t="s">
        <v>58</v>
      </c>
      <c r="M157">
        <v>1</v>
      </c>
    </row>
    <row r="158" spans="1:13" x14ac:dyDescent="0.25">
      <c r="A158" s="2">
        <v>46150</v>
      </c>
      <c r="B158" s="1" t="str">
        <f ca="1">IF(Información1[[#This Row],[Fecha]]='Ajuste de fechas'!$A$2,"Día actual","Día anterior")</f>
        <v>Día actual</v>
      </c>
      <c r="C158" s="3" t="s">
        <v>31</v>
      </c>
      <c r="D158" t="s">
        <v>34</v>
      </c>
      <c r="E158" s="3" t="s">
        <v>305</v>
      </c>
      <c r="F158" s="3" t="s">
        <v>21</v>
      </c>
      <c r="G158" s="3" t="s">
        <v>241</v>
      </c>
      <c r="H158" s="3" t="s">
        <v>11</v>
      </c>
      <c r="I158" s="3" t="s">
        <v>7</v>
      </c>
      <c r="J158" s="3" t="s">
        <v>57</v>
      </c>
      <c r="K158" s="3" t="s">
        <v>32</v>
      </c>
      <c r="L158" s="3" t="s">
        <v>58</v>
      </c>
      <c r="M158">
        <v>1</v>
      </c>
    </row>
    <row r="159" spans="1:13" x14ac:dyDescent="0.25">
      <c r="A159" s="2">
        <v>46150</v>
      </c>
      <c r="B159" s="1" t="str">
        <f ca="1">IF(Información1[[#This Row],[Fecha]]='Ajuste de fechas'!$A$2,"Día actual","Día anterior")</f>
        <v>Día actual</v>
      </c>
      <c r="C159" s="3" t="s">
        <v>8</v>
      </c>
      <c r="D159" t="s">
        <v>10</v>
      </c>
      <c r="E159" s="3" t="s">
        <v>306</v>
      </c>
      <c r="F159" s="3" t="s">
        <v>22</v>
      </c>
      <c r="G159" s="3" t="s">
        <v>241</v>
      </c>
      <c r="H159" s="3" t="s">
        <v>11</v>
      </c>
      <c r="I159" s="3" t="s">
        <v>7</v>
      </c>
      <c r="J159" s="3" t="s">
        <v>62</v>
      </c>
      <c r="K159" s="3" t="s">
        <v>14</v>
      </c>
      <c r="L159" s="3" t="s">
        <v>58</v>
      </c>
      <c r="M159">
        <v>1</v>
      </c>
    </row>
    <row r="160" spans="1:13" x14ac:dyDescent="0.25">
      <c r="A160" s="2">
        <v>46150</v>
      </c>
      <c r="B160" s="1" t="str">
        <f ca="1">IF(Información1[[#This Row],[Fecha]]='Ajuste de fechas'!$A$2,"Día actual","Día anterior")</f>
        <v>Día actual</v>
      </c>
      <c r="C160" s="3" t="s">
        <v>8</v>
      </c>
      <c r="D160" t="s">
        <v>10</v>
      </c>
      <c r="E160" s="3" t="s">
        <v>307</v>
      </c>
      <c r="F160" s="3" t="s">
        <v>22</v>
      </c>
      <c r="G160" s="3" t="s">
        <v>241</v>
      </c>
      <c r="H160" s="3" t="s">
        <v>11</v>
      </c>
      <c r="I160" s="3" t="s">
        <v>7</v>
      </c>
      <c r="J160" s="3" t="s">
        <v>62</v>
      </c>
      <c r="K160" s="3" t="s">
        <v>14</v>
      </c>
      <c r="L160" s="3" t="s">
        <v>58</v>
      </c>
      <c r="M160">
        <v>1</v>
      </c>
    </row>
    <row r="161" spans="1:13" x14ac:dyDescent="0.25">
      <c r="A161" s="2">
        <v>46150</v>
      </c>
      <c r="B161" s="1" t="str">
        <f ca="1">IF(Información1[[#This Row],[Fecha]]='Ajuste de fechas'!$A$2,"Día actual","Día anterior")</f>
        <v>Día actual</v>
      </c>
      <c r="C161" s="3" t="s">
        <v>8</v>
      </c>
      <c r="D161" t="s">
        <v>10</v>
      </c>
      <c r="E161" s="3" t="s">
        <v>308</v>
      </c>
      <c r="F161" s="3" t="s">
        <v>22</v>
      </c>
      <c r="G161" s="3" t="s">
        <v>241</v>
      </c>
      <c r="H161" s="3" t="s">
        <v>11</v>
      </c>
      <c r="I161" s="3" t="s">
        <v>7</v>
      </c>
      <c r="J161" s="3" t="s">
        <v>62</v>
      </c>
      <c r="K161" s="3" t="s">
        <v>14</v>
      </c>
      <c r="L161" s="3" t="s">
        <v>58</v>
      </c>
      <c r="M161">
        <v>1</v>
      </c>
    </row>
    <row r="162" spans="1:13" x14ac:dyDescent="0.25">
      <c r="A162" s="2">
        <v>46150</v>
      </c>
      <c r="B162" s="1" t="str">
        <f ca="1">IF(Información1[[#This Row],[Fecha]]='Ajuste de fechas'!$A$2,"Día actual","Día anterior")</f>
        <v>Día actual</v>
      </c>
      <c r="C162" s="3" t="s">
        <v>8</v>
      </c>
      <c r="D162" t="s">
        <v>10</v>
      </c>
      <c r="E162" s="3" t="s">
        <v>120</v>
      </c>
      <c r="F162" s="3" t="s">
        <v>19</v>
      </c>
      <c r="G162" s="3" t="s">
        <v>121</v>
      </c>
      <c r="H162" s="3" t="s">
        <v>11</v>
      </c>
      <c r="I162" s="3" t="s">
        <v>7</v>
      </c>
      <c r="J162" s="3" t="s">
        <v>61</v>
      </c>
      <c r="K162" s="3" t="s">
        <v>14</v>
      </c>
      <c r="L162" s="3" t="s">
        <v>58</v>
      </c>
      <c r="M162">
        <v>1</v>
      </c>
    </row>
    <row r="163" spans="1:13" x14ac:dyDescent="0.25">
      <c r="A163" s="2">
        <v>46150</v>
      </c>
      <c r="B163" s="1" t="str">
        <f ca="1">IF(Información1[[#This Row],[Fecha]]='Ajuste de fechas'!$A$2,"Día actual","Día anterior")</f>
        <v>Día actual</v>
      </c>
      <c r="C163" s="3" t="s">
        <v>8</v>
      </c>
      <c r="D163" t="s">
        <v>10</v>
      </c>
      <c r="E163" s="3" t="s">
        <v>309</v>
      </c>
      <c r="F163" s="3" t="s">
        <v>24</v>
      </c>
      <c r="G163" s="3" t="s">
        <v>76</v>
      </c>
      <c r="H163" s="3" t="s">
        <v>11</v>
      </c>
      <c r="I163" s="3" t="s">
        <v>7</v>
      </c>
      <c r="J163" s="3" t="s">
        <v>24</v>
      </c>
      <c r="K163" s="3" t="s">
        <v>14</v>
      </c>
      <c r="L163" s="3" t="s">
        <v>59</v>
      </c>
      <c r="M163">
        <v>1</v>
      </c>
    </row>
    <row r="164" spans="1:13" x14ac:dyDescent="0.25">
      <c r="A164" s="2">
        <v>46150</v>
      </c>
      <c r="B164" s="1" t="str">
        <f ca="1">IF(Información1[[#This Row],[Fecha]]='Ajuste de fechas'!$A$2,"Día actual","Día anterior")</f>
        <v>Día actual</v>
      </c>
      <c r="C164" s="3" t="s">
        <v>31</v>
      </c>
      <c r="D164" t="s">
        <v>34</v>
      </c>
      <c r="E164" s="3" t="s">
        <v>310</v>
      </c>
      <c r="F164" s="3" t="s">
        <v>311</v>
      </c>
      <c r="G164" s="3" t="s">
        <v>312</v>
      </c>
      <c r="H164" s="3" t="s">
        <v>11</v>
      </c>
      <c r="I164" s="3" t="s">
        <v>7</v>
      </c>
      <c r="J164" s="3" t="s">
        <v>57</v>
      </c>
      <c r="K164" s="3" t="s">
        <v>32</v>
      </c>
      <c r="L164" s="3" t="s">
        <v>58</v>
      </c>
      <c r="M164">
        <v>1</v>
      </c>
    </row>
    <row r="165" spans="1:13" x14ac:dyDescent="0.25">
      <c r="A165" s="2">
        <v>46150</v>
      </c>
      <c r="B165" s="1" t="str">
        <f ca="1">IF(Información1[[#This Row],[Fecha]]='Ajuste de fechas'!$A$2,"Día actual","Día anterior")</f>
        <v>Día actual</v>
      </c>
      <c r="C165" s="3" t="s">
        <v>313</v>
      </c>
      <c r="D165" t="s">
        <v>314</v>
      </c>
      <c r="E165" s="3" t="s">
        <v>315</v>
      </c>
      <c r="F165" s="3" t="s">
        <v>79</v>
      </c>
      <c r="G165" s="3" t="s">
        <v>78</v>
      </c>
      <c r="H165" s="3" t="s">
        <v>11</v>
      </c>
      <c r="I165" s="3" t="s">
        <v>12</v>
      </c>
      <c r="J165" s="3" t="s">
        <v>57</v>
      </c>
      <c r="K165" s="3" t="s">
        <v>316</v>
      </c>
      <c r="L165" s="3" t="s">
        <v>83</v>
      </c>
      <c r="M165">
        <v>1</v>
      </c>
    </row>
    <row r="166" spans="1:13" x14ac:dyDescent="0.25">
      <c r="A166" s="2">
        <v>46150</v>
      </c>
      <c r="B166" s="1" t="str">
        <f ca="1">IF(Información1[[#This Row],[Fecha]]='Ajuste de fechas'!$A$2,"Día actual","Día anterior")</f>
        <v>Día actual</v>
      </c>
      <c r="C166" s="3" t="s">
        <v>31</v>
      </c>
      <c r="D166" t="s">
        <v>33</v>
      </c>
      <c r="E166" s="3" t="s">
        <v>317</v>
      </c>
      <c r="F166" s="3" t="s">
        <v>79</v>
      </c>
      <c r="G166" s="3" t="s">
        <v>78</v>
      </c>
      <c r="H166" s="3" t="s">
        <v>11</v>
      </c>
      <c r="I166" s="3" t="s">
        <v>12</v>
      </c>
      <c r="J166" s="3" t="s">
        <v>57</v>
      </c>
      <c r="K166" s="3" t="s">
        <v>49</v>
      </c>
      <c r="L166" s="3" t="s">
        <v>83</v>
      </c>
      <c r="M166">
        <v>1</v>
      </c>
    </row>
    <row r="167" spans="1:13" x14ac:dyDescent="0.25">
      <c r="A167" s="2">
        <v>46150</v>
      </c>
      <c r="B167" s="1" t="str">
        <f ca="1">IF(Información1[[#This Row],[Fecha]]='Ajuste de fechas'!$A$2,"Día actual","Día anterior")</f>
        <v>Día actual</v>
      </c>
      <c r="C167" s="3" t="s">
        <v>31</v>
      </c>
      <c r="D167" t="s">
        <v>34</v>
      </c>
      <c r="E167" s="3" t="s">
        <v>318</v>
      </c>
      <c r="F167" s="3" t="s">
        <v>79</v>
      </c>
      <c r="G167" s="3" t="s">
        <v>78</v>
      </c>
      <c r="H167" s="3" t="s">
        <v>11</v>
      </c>
      <c r="I167" s="3" t="s">
        <v>7</v>
      </c>
      <c r="J167" s="3" t="s">
        <v>57</v>
      </c>
      <c r="K167" s="3" t="s">
        <v>32</v>
      </c>
      <c r="L167" s="3" t="s">
        <v>58</v>
      </c>
      <c r="M167">
        <v>1</v>
      </c>
    </row>
    <row r="168" spans="1:13" x14ac:dyDescent="0.25">
      <c r="A168" s="2">
        <v>46150</v>
      </c>
      <c r="B168" s="1" t="str">
        <f ca="1">IF(Información1[[#This Row],[Fecha]]='Ajuste de fechas'!$A$2,"Día actual","Día anterior")</f>
        <v>Día actual</v>
      </c>
      <c r="C168" s="3" t="s">
        <v>8</v>
      </c>
      <c r="D168" t="s">
        <v>10</v>
      </c>
      <c r="E168" s="3" t="s">
        <v>319</v>
      </c>
      <c r="F168" s="3" t="s">
        <v>96</v>
      </c>
      <c r="G168" s="3" t="s">
        <v>111</v>
      </c>
      <c r="H168" s="3" t="s">
        <v>11</v>
      </c>
      <c r="I168" s="3" t="s">
        <v>7</v>
      </c>
      <c r="J168" s="3" t="s">
        <v>24</v>
      </c>
      <c r="K168" s="3" t="s">
        <v>14</v>
      </c>
      <c r="L168" s="3" t="s">
        <v>58</v>
      </c>
      <c r="M168">
        <v>1</v>
      </c>
    </row>
    <row r="169" spans="1:13" x14ac:dyDescent="0.25">
      <c r="A169" s="2">
        <v>46150</v>
      </c>
      <c r="B169" s="1" t="str">
        <f ca="1">IF(Información1[[#This Row],[Fecha]]='Ajuste de fechas'!$A$2,"Día actual","Día anterior")</f>
        <v>Día actual</v>
      </c>
      <c r="C169" s="3" t="s">
        <v>31</v>
      </c>
      <c r="D169" t="s">
        <v>34</v>
      </c>
      <c r="E169" s="3" t="s">
        <v>320</v>
      </c>
      <c r="F169" s="3" t="s">
        <v>22</v>
      </c>
      <c r="G169" s="3" t="s">
        <v>321</v>
      </c>
      <c r="H169" s="3" t="s">
        <v>11</v>
      </c>
      <c r="I169" s="3" t="s">
        <v>7</v>
      </c>
      <c r="J169" s="3" t="s">
        <v>62</v>
      </c>
      <c r="K169" s="3" t="s">
        <v>32</v>
      </c>
      <c r="L169" s="3" t="s">
        <v>58</v>
      </c>
      <c r="M169">
        <v>1</v>
      </c>
    </row>
    <row r="170" spans="1:13" x14ac:dyDescent="0.25">
      <c r="A170" s="2">
        <v>46150</v>
      </c>
      <c r="B170" s="1" t="str">
        <f ca="1">IF(Información1[[#This Row],[Fecha]]='Ajuste de fechas'!$A$2,"Día actual","Día anterior")</f>
        <v>Día actual</v>
      </c>
      <c r="C170" s="3" t="s">
        <v>8</v>
      </c>
      <c r="D170" t="s">
        <v>10</v>
      </c>
      <c r="E170" s="3" t="s">
        <v>322</v>
      </c>
      <c r="F170" s="3" t="s">
        <v>6</v>
      </c>
      <c r="G170" s="3" t="s">
        <v>323</v>
      </c>
      <c r="H170" s="3" t="s">
        <v>11</v>
      </c>
      <c r="I170" s="3" t="s">
        <v>25</v>
      </c>
      <c r="J170" s="3" t="s">
        <v>57</v>
      </c>
      <c r="K170" s="3" t="s">
        <v>9</v>
      </c>
      <c r="L170" s="3" t="s">
        <v>59</v>
      </c>
      <c r="M170">
        <v>1</v>
      </c>
    </row>
    <row r="171" spans="1:13" x14ac:dyDescent="0.25">
      <c r="A171" s="2">
        <v>46150</v>
      </c>
      <c r="B171" s="1" t="str">
        <f ca="1">IF(Información1[[#This Row],[Fecha]]='Ajuste de fechas'!$A$2,"Día actual","Día anterior")</f>
        <v>Día actual</v>
      </c>
      <c r="C171" s="3" t="s">
        <v>31</v>
      </c>
      <c r="D171" t="s">
        <v>34</v>
      </c>
      <c r="E171" s="3" t="s">
        <v>324</v>
      </c>
      <c r="F171" s="3" t="s">
        <v>23</v>
      </c>
      <c r="G171" s="3" t="s">
        <v>325</v>
      </c>
      <c r="H171" s="3" t="s">
        <v>11</v>
      </c>
      <c r="I171" s="3" t="s">
        <v>7</v>
      </c>
      <c r="J171" s="3" t="s">
        <v>57</v>
      </c>
      <c r="K171" s="3" t="s">
        <v>32</v>
      </c>
      <c r="L171" s="3" t="s">
        <v>58</v>
      </c>
      <c r="M171">
        <v>1</v>
      </c>
    </row>
    <row r="172" spans="1:13" x14ac:dyDescent="0.25">
      <c r="A172" s="2">
        <v>46150</v>
      </c>
      <c r="B172" s="1" t="str">
        <f ca="1">IF(Información1[[#This Row],[Fecha]]='Ajuste de fechas'!$A$2,"Día actual","Día anterior")</f>
        <v>Día actual</v>
      </c>
      <c r="C172" s="3" t="s">
        <v>8</v>
      </c>
      <c r="D172" t="s">
        <v>10</v>
      </c>
      <c r="E172" s="3" t="s">
        <v>326</v>
      </c>
      <c r="F172" s="3" t="s">
        <v>23</v>
      </c>
      <c r="G172" s="3" t="s">
        <v>325</v>
      </c>
      <c r="H172" s="3" t="s">
        <v>11</v>
      </c>
      <c r="I172" s="3" t="s">
        <v>7</v>
      </c>
      <c r="J172" s="3" t="s">
        <v>57</v>
      </c>
      <c r="K172" s="3" t="s">
        <v>14</v>
      </c>
      <c r="L172" s="3" t="s">
        <v>58</v>
      </c>
      <c r="M172">
        <v>1</v>
      </c>
    </row>
    <row r="173" spans="1:13" x14ac:dyDescent="0.25">
      <c r="A173" s="2">
        <v>46150</v>
      </c>
      <c r="B173" s="1" t="str">
        <f ca="1">IF(Información1[[#This Row],[Fecha]]='Ajuste de fechas'!$A$2,"Día actual","Día anterior")</f>
        <v>Día actual</v>
      </c>
      <c r="C173" s="3" t="s">
        <v>31</v>
      </c>
      <c r="D173" t="s">
        <v>34</v>
      </c>
      <c r="E173" s="3" t="s">
        <v>327</v>
      </c>
      <c r="F173" s="3" t="s">
        <v>22</v>
      </c>
      <c r="G173" s="3" t="s">
        <v>85</v>
      </c>
      <c r="H173" s="3" t="s">
        <v>11</v>
      </c>
      <c r="I173" s="3" t="s">
        <v>7</v>
      </c>
      <c r="J173" s="3" t="s">
        <v>62</v>
      </c>
      <c r="K173" s="3" t="s">
        <v>32</v>
      </c>
      <c r="L173" s="3" t="s">
        <v>58</v>
      </c>
      <c r="M173">
        <v>1</v>
      </c>
    </row>
    <row r="174" spans="1:13" x14ac:dyDescent="0.25">
      <c r="A174" s="2">
        <v>46150</v>
      </c>
      <c r="B174" s="1" t="str">
        <f ca="1">IF(Información1[[#This Row],[Fecha]]='Ajuste de fechas'!$A$2,"Día actual","Día anterior")</f>
        <v>Día actual</v>
      </c>
      <c r="C174" s="3" t="s">
        <v>8</v>
      </c>
      <c r="D174" t="s">
        <v>10</v>
      </c>
      <c r="E174" s="3" t="s">
        <v>328</v>
      </c>
      <c r="F174" s="3" t="s">
        <v>15</v>
      </c>
      <c r="G174" s="3" t="s">
        <v>263</v>
      </c>
      <c r="H174" s="3" t="s">
        <v>11</v>
      </c>
      <c r="I174" s="3" t="s">
        <v>7</v>
      </c>
      <c r="J174" s="3" t="s">
        <v>57</v>
      </c>
      <c r="K174" s="3" t="s">
        <v>14</v>
      </c>
      <c r="L174" s="3" t="s">
        <v>58</v>
      </c>
      <c r="M174">
        <v>1</v>
      </c>
    </row>
    <row r="175" spans="1:13" x14ac:dyDescent="0.25">
      <c r="A175" s="2">
        <v>46150</v>
      </c>
      <c r="B175" s="1" t="str">
        <f ca="1">IF(Información1[[#This Row],[Fecha]]='Ajuste de fechas'!$A$2,"Día actual","Día anterior")</f>
        <v>Día actual</v>
      </c>
      <c r="C175" s="3" t="s">
        <v>31</v>
      </c>
      <c r="D175" t="s">
        <v>33</v>
      </c>
      <c r="E175" s="3" t="s">
        <v>329</v>
      </c>
      <c r="F175" s="3" t="s">
        <v>26</v>
      </c>
      <c r="G175" s="3" t="s">
        <v>82</v>
      </c>
      <c r="H175" s="3" t="s">
        <v>11</v>
      </c>
      <c r="I175" s="3" t="s">
        <v>7</v>
      </c>
      <c r="J175" s="3" t="s">
        <v>57</v>
      </c>
      <c r="K175" s="3" t="s">
        <v>49</v>
      </c>
      <c r="L175" s="3" t="s">
        <v>58</v>
      </c>
      <c r="M175">
        <v>1</v>
      </c>
    </row>
    <row r="176" spans="1:13" x14ac:dyDescent="0.25">
      <c r="A176" s="2">
        <v>46150</v>
      </c>
      <c r="B176" s="1" t="str">
        <f ca="1">IF(Información1[[#This Row],[Fecha]]='Ajuste de fechas'!$A$2,"Día actual","Día anterior")</f>
        <v>Día actual</v>
      </c>
      <c r="C176" s="3" t="s">
        <v>31</v>
      </c>
      <c r="D176" t="s">
        <v>34</v>
      </c>
      <c r="E176" s="3" t="s">
        <v>330</v>
      </c>
      <c r="F176" s="3" t="s">
        <v>26</v>
      </c>
      <c r="G176" s="3" t="s">
        <v>82</v>
      </c>
      <c r="H176" s="3" t="s">
        <v>11</v>
      </c>
      <c r="I176" s="3" t="s">
        <v>7</v>
      </c>
      <c r="J176" s="3" t="s">
        <v>57</v>
      </c>
      <c r="K176" s="3" t="s">
        <v>32</v>
      </c>
      <c r="L176" s="3" t="s">
        <v>58</v>
      </c>
      <c r="M176">
        <v>1</v>
      </c>
    </row>
    <row r="177" spans="1:13" x14ac:dyDescent="0.25">
      <c r="A177" s="2">
        <v>46150</v>
      </c>
      <c r="B177" s="1" t="str">
        <f ca="1">IF(Información1[[#This Row],[Fecha]]='Ajuste de fechas'!$A$2,"Día actual","Día anterior")</f>
        <v>Día actual</v>
      </c>
      <c r="C177" s="3" t="s">
        <v>8</v>
      </c>
      <c r="D177" t="s">
        <v>10</v>
      </c>
      <c r="E177" s="3" t="s">
        <v>331</v>
      </c>
      <c r="F177" s="3" t="s">
        <v>17</v>
      </c>
      <c r="G177" s="3" t="s">
        <v>82</v>
      </c>
      <c r="H177" s="3" t="s">
        <v>11</v>
      </c>
      <c r="I177" s="3" t="s">
        <v>7</v>
      </c>
      <c r="J177" s="3" t="s">
        <v>57</v>
      </c>
      <c r="K177" s="3" t="s">
        <v>14</v>
      </c>
      <c r="L177" s="3" t="s">
        <v>59</v>
      </c>
      <c r="M177">
        <v>1</v>
      </c>
    </row>
    <row r="178" spans="1:13" x14ac:dyDescent="0.25">
      <c r="A178" s="2">
        <v>46150</v>
      </c>
      <c r="B178" s="1" t="str">
        <f ca="1">IF(Información1[[#This Row],[Fecha]]='Ajuste de fechas'!$A$2,"Día actual","Día anterior")</f>
        <v>Día actual</v>
      </c>
      <c r="C178" s="3" t="s">
        <v>8</v>
      </c>
      <c r="D178" t="s">
        <v>10</v>
      </c>
      <c r="E178" s="3" t="s">
        <v>20</v>
      </c>
      <c r="F178" s="3" t="s">
        <v>19</v>
      </c>
      <c r="G178" s="3" t="s">
        <v>48</v>
      </c>
      <c r="H178" s="3" t="s">
        <v>11</v>
      </c>
      <c r="I178" s="3" t="s">
        <v>12</v>
      </c>
      <c r="J178" s="3" t="s">
        <v>61</v>
      </c>
      <c r="K178" s="3" t="s">
        <v>14</v>
      </c>
      <c r="L178" s="3" t="s">
        <v>59</v>
      </c>
      <c r="M178">
        <v>1</v>
      </c>
    </row>
    <row r="179" spans="1:13" x14ac:dyDescent="0.25">
      <c r="A179" s="2">
        <v>46150</v>
      </c>
      <c r="B179" s="1" t="str">
        <f ca="1">IF(Información1[[#This Row],[Fecha]]='Ajuste de fechas'!$A$2,"Día actual","Día anterior")</f>
        <v>Día actual</v>
      </c>
      <c r="C179" s="3" t="s">
        <v>8</v>
      </c>
      <c r="D179" t="s">
        <v>10</v>
      </c>
      <c r="E179" s="3" t="s">
        <v>18</v>
      </c>
      <c r="F179" s="3" t="s">
        <v>19</v>
      </c>
      <c r="G179" s="3" t="s">
        <v>48</v>
      </c>
      <c r="H179" s="3" t="s">
        <v>11</v>
      </c>
      <c r="I179" s="3" t="s">
        <v>12</v>
      </c>
      <c r="J179" s="3" t="s">
        <v>61</v>
      </c>
      <c r="K179" s="3" t="s">
        <v>14</v>
      </c>
      <c r="L179" s="3" t="s">
        <v>59</v>
      </c>
      <c r="M179">
        <v>1</v>
      </c>
    </row>
    <row r="180" spans="1:13" x14ac:dyDescent="0.25">
      <c r="A180" s="2">
        <v>46150</v>
      </c>
      <c r="B180" s="1" t="str">
        <f ca="1">IF(Información1[[#This Row],[Fecha]]='Ajuste de fechas'!$A$2,"Día actual","Día anterior")</f>
        <v>Día actual</v>
      </c>
      <c r="C180" s="3" t="s">
        <v>8</v>
      </c>
      <c r="D180" t="s">
        <v>10</v>
      </c>
      <c r="E180" s="3" t="s">
        <v>114</v>
      </c>
      <c r="F180" s="3" t="s">
        <v>96</v>
      </c>
      <c r="G180" s="3" t="s">
        <v>48</v>
      </c>
      <c r="H180" s="3" t="s">
        <v>11</v>
      </c>
      <c r="I180" s="3" t="s">
        <v>12</v>
      </c>
      <c r="J180" s="3" t="s">
        <v>24</v>
      </c>
      <c r="K180" s="3" t="s">
        <v>14</v>
      </c>
      <c r="L180" s="3" t="s">
        <v>59</v>
      </c>
      <c r="M180">
        <v>1</v>
      </c>
    </row>
    <row r="181" spans="1:13" x14ac:dyDescent="0.25">
      <c r="A181" s="2">
        <v>46150</v>
      </c>
      <c r="B181" s="1" t="str">
        <f ca="1">IF(Información1[[#This Row],[Fecha]]='Ajuste de fechas'!$A$2,"Día actual","Día anterior")</f>
        <v>Día actual</v>
      </c>
      <c r="C181" s="3" t="s">
        <v>8</v>
      </c>
      <c r="D181" t="s">
        <v>10</v>
      </c>
      <c r="E181" s="3" t="s">
        <v>69</v>
      </c>
      <c r="F181" s="3" t="s">
        <v>21</v>
      </c>
      <c r="G181" s="3" t="s">
        <v>48</v>
      </c>
      <c r="H181" s="3" t="s">
        <v>11</v>
      </c>
      <c r="I181" s="3" t="s">
        <v>12</v>
      </c>
      <c r="J181" s="3" t="s">
        <v>57</v>
      </c>
      <c r="K181" s="3" t="s">
        <v>14</v>
      </c>
      <c r="L181" s="3" t="s">
        <v>59</v>
      </c>
      <c r="M181">
        <v>1</v>
      </c>
    </row>
    <row r="182" spans="1:13" x14ac:dyDescent="0.25">
      <c r="A182" s="2">
        <v>46150</v>
      </c>
      <c r="B182" s="1" t="str">
        <f ca="1">IF(Información1[[#This Row],[Fecha]]='Ajuste de fechas'!$A$2,"Día actual","Día anterior")</f>
        <v>Día actual</v>
      </c>
      <c r="C182" s="3" t="s">
        <v>8</v>
      </c>
      <c r="D182" t="s">
        <v>10</v>
      </c>
      <c r="E182" s="3" t="s">
        <v>13</v>
      </c>
      <c r="F182" s="3" t="s">
        <v>15</v>
      </c>
      <c r="G182" s="3" t="s">
        <v>48</v>
      </c>
      <c r="H182" s="3" t="s">
        <v>11</v>
      </c>
      <c r="I182" s="3" t="s">
        <v>12</v>
      </c>
      <c r="J182" s="3" t="s">
        <v>57</v>
      </c>
      <c r="K182" s="3" t="s">
        <v>14</v>
      </c>
      <c r="L182" s="3" t="s">
        <v>59</v>
      </c>
      <c r="M182">
        <v>1</v>
      </c>
    </row>
    <row r="183" spans="1:13" x14ac:dyDescent="0.25">
      <c r="A183" s="2">
        <v>46150</v>
      </c>
      <c r="B183" s="1" t="str">
        <f ca="1">IF(Información1[[#This Row],[Fecha]]='Ajuste de fechas'!$A$2,"Día actual","Día anterior")</f>
        <v>Día actual</v>
      </c>
      <c r="C183" s="3" t="s">
        <v>8</v>
      </c>
      <c r="D183" t="s">
        <v>10</v>
      </c>
      <c r="E183" s="3" t="s">
        <v>16</v>
      </c>
      <c r="F183" s="3" t="s">
        <v>17</v>
      </c>
      <c r="G183" s="3" t="s">
        <v>48</v>
      </c>
      <c r="H183" s="3" t="s">
        <v>11</v>
      </c>
      <c r="I183" s="3" t="s">
        <v>12</v>
      </c>
      <c r="J183" s="3" t="s">
        <v>57</v>
      </c>
      <c r="K183" s="3" t="s">
        <v>14</v>
      </c>
      <c r="L183" s="3" t="s">
        <v>59</v>
      </c>
      <c r="M183">
        <v>1</v>
      </c>
    </row>
    <row r="184" spans="1:13" x14ac:dyDescent="0.25">
      <c r="A184" s="2">
        <v>46150</v>
      </c>
      <c r="B184" s="1" t="str">
        <f ca="1">IF(Información1[[#This Row],[Fecha]]='Ajuste de fechas'!$A$2,"Día actual","Día anterior")</f>
        <v>Día actual</v>
      </c>
      <c r="C184" s="3" t="s">
        <v>8</v>
      </c>
      <c r="D184" t="s">
        <v>10</v>
      </c>
      <c r="E184" s="3" t="s">
        <v>50</v>
      </c>
      <c r="F184" s="3" t="s">
        <v>6</v>
      </c>
      <c r="G184" s="3" t="s">
        <v>48</v>
      </c>
      <c r="H184" s="3" t="s">
        <v>11</v>
      </c>
      <c r="I184" s="3" t="s">
        <v>12</v>
      </c>
      <c r="J184" s="3" t="s">
        <v>57</v>
      </c>
      <c r="K184" s="3" t="s">
        <v>14</v>
      </c>
      <c r="L184" s="3" t="s">
        <v>59</v>
      </c>
      <c r="M184">
        <v>1</v>
      </c>
    </row>
    <row r="185" spans="1:13" x14ac:dyDescent="0.25">
      <c r="A185" s="2">
        <v>46150</v>
      </c>
      <c r="B185" s="1" t="str">
        <f ca="1">IF(Información1[[#This Row],[Fecha]]='Ajuste de fechas'!$A$2,"Día actual","Día anterior")</f>
        <v>Día actual</v>
      </c>
      <c r="C185" s="3" t="s">
        <v>31</v>
      </c>
      <c r="D185" t="s">
        <v>34</v>
      </c>
      <c r="E185" s="3" t="s">
        <v>332</v>
      </c>
      <c r="F185" s="3" t="s">
        <v>19</v>
      </c>
      <c r="G185" s="3" t="s">
        <v>333</v>
      </c>
      <c r="H185" s="3" t="s">
        <v>11</v>
      </c>
      <c r="I185" s="3" t="s">
        <v>25</v>
      </c>
      <c r="J185" s="3" t="s">
        <v>61</v>
      </c>
      <c r="K185" s="3" t="s">
        <v>32</v>
      </c>
      <c r="L185" s="3" t="s">
        <v>58</v>
      </c>
      <c r="M185">
        <v>1</v>
      </c>
    </row>
    <row r="186" spans="1:13" x14ac:dyDescent="0.25">
      <c r="A186" s="2">
        <v>46150</v>
      </c>
      <c r="B186" s="1" t="str">
        <f ca="1">IF(Información1[[#This Row],[Fecha]]='Ajuste de fechas'!$A$2,"Día actual","Día anterior")</f>
        <v>Día actual</v>
      </c>
      <c r="C186" s="3" t="s">
        <v>8</v>
      </c>
      <c r="D186" t="s">
        <v>10</v>
      </c>
      <c r="E186" s="3" t="s">
        <v>334</v>
      </c>
      <c r="F186" s="3" t="s">
        <v>6</v>
      </c>
      <c r="G186" s="3" t="s">
        <v>87</v>
      </c>
      <c r="H186" s="3" t="s">
        <v>11</v>
      </c>
      <c r="I186" s="3" t="s">
        <v>25</v>
      </c>
      <c r="J186" s="3" t="s">
        <v>57</v>
      </c>
      <c r="K186" s="3" t="s">
        <v>9</v>
      </c>
      <c r="L186" s="3" t="s">
        <v>59</v>
      </c>
      <c r="M186">
        <v>1</v>
      </c>
    </row>
    <row r="187" spans="1:13" x14ac:dyDescent="0.25">
      <c r="A187" s="2">
        <v>46150</v>
      </c>
      <c r="B187" s="1" t="str">
        <f ca="1">IF(Información1[[#This Row],[Fecha]]='Ajuste de fechas'!$A$2,"Día actual","Día anterior")</f>
        <v>Día actual</v>
      </c>
      <c r="C187" s="3" t="s">
        <v>8</v>
      </c>
      <c r="D187" t="s">
        <v>10</v>
      </c>
      <c r="E187" s="3" t="s">
        <v>335</v>
      </c>
      <c r="F187" s="3" t="s">
        <v>6</v>
      </c>
      <c r="G187" s="3" t="s">
        <v>87</v>
      </c>
      <c r="H187" s="3" t="s">
        <v>11</v>
      </c>
      <c r="I187" s="3" t="s">
        <v>25</v>
      </c>
      <c r="J187" s="3" t="s">
        <v>57</v>
      </c>
      <c r="K187" s="3" t="s">
        <v>9</v>
      </c>
      <c r="L187" s="3" t="s">
        <v>59</v>
      </c>
      <c r="M187">
        <v>1</v>
      </c>
    </row>
    <row r="188" spans="1:13" x14ac:dyDescent="0.25">
      <c r="A188" s="2">
        <v>46150</v>
      </c>
      <c r="B188" s="1" t="str">
        <f ca="1">IF(Información1[[#This Row],[Fecha]]='Ajuste de fechas'!$A$2,"Día actual","Día anterior")</f>
        <v>Día actual</v>
      </c>
      <c r="C188" s="3" t="s">
        <v>8</v>
      </c>
      <c r="D188" t="s">
        <v>10</v>
      </c>
      <c r="E188" s="3" t="s">
        <v>336</v>
      </c>
      <c r="F188" s="3" t="s">
        <v>6</v>
      </c>
      <c r="G188" s="3" t="s">
        <v>87</v>
      </c>
      <c r="H188" s="3" t="s">
        <v>11</v>
      </c>
      <c r="I188" s="3" t="s">
        <v>25</v>
      </c>
      <c r="J188" s="3" t="s">
        <v>57</v>
      </c>
      <c r="K188" s="3" t="s">
        <v>9</v>
      </c>
      <c r="L188" s="3" t="s">
        <v>59</v>
      </c>
      <c r="M188">
        <v>1</v>
      </c>
    </row>
    <row r="189" spans="1:13" x14ac:dyDescent="0.25">
      <c r="A189" s="2">
        <v>46150</v>
      </c>
      <c r="B189" s="1" t="str">
        <f ca="1">IF(Información1[[#This Row],[Fecha]]='Ajuste de fechas'!$A$2,"Día actual","Día anterior")</f>
        <v>Día actual</v>
      </c>
      <c r="C189" s="3" t="s">
        <v>8</v>
      </c>
      <c r="D189" t="s">
        <v>10</v>
      </c>
      <c r="E189" s="3" t="s">
        <v>337</v>
      </c>
      <c r="F189" s="3" t="s">
        <v>6</v>
      </c>
      <c r="G189" s="3" t="s">
        <v>87</v>
      </c>
      <c r="H189" s="3" t="s">
        <v>11</v>
      </c>
      <c r="I189" s="3" t="s">
        <v>25</v>
      </c>
      <c r="J189" s="3" t="s">
        <v>57</v>
      </c>
      <c r="K189" s="3" t="s">
        <v>9</v>
      </c>
      <c r="L189" s="3" t="s">
        <v>59</v>
      </c>
      <c r="M189">
        <v>1</v>
      </c>
    </row>
    <row r="190" spans="1:13" x14ac:dyDescent="0.25">
      <c r="A190" s="2">
        <v>46150</v>
      </c>
      <c r="B190" s="1" t="str">
        <f ca="1">IF(Información1[[#This Row],[Fecha]]='Ajuste de fechas'!$A$2,"Día actual","Día anterior")</f>
        <v>Día actual</v>
      </c>
      <c r="C190" s="3" t="s">
        <v>8</v>
      </c>
      <c r="D190" t="s">
        <v>10</v>
      </c>
      <c r="E190" s="3" t="s">
        <v>338</v>
      </c>
      <c r="F190" s="3" t="s">
        <v>6</v>
      </c>
      <c r="G190" s="3" t="s">
        <v>87</v>
      </c>
      <c r="H190" s="3" t="s">
        <v>11</v>
      </c>
      <c r="I190" s="3" t="s">
        <v>25</v>
      </c>
      <c r="J190" s="3" t="s">
        <v>57</v>
      </c>
      <c r="K190" s="3" t="s">
        <v>9</v>
      </c>
      <c r="L190" s="3" t="s">
        <v>59</v>
      </c>
      <c r="M190">
        <v>1</v>
      </c>
    </row>
    <row r="191" spans="1:13" x14ac:dyDescent="0.25">
      <c r="A191" s="2">
        <v>46150</v>
      </c>
      <c r="B191" s="1" t="str">
        <f ca="1">IF(Información1[[#This Row],[Fecha]]='Ajuste de fechas'!$A$2,"Día actual","Día anterior")</f>
        <v>Día actual</v>
      </c>
      <c r="C191" s="3" t="s">
        <v>8</v>
      </c>
      <c r="D191" t="s">
        <v>10</v>
      </c>
      <c r="E191" s="3" t="s">
        <v>339</v>
      </c>
      <c r="F191" s="3" t="s">
        <v>6</v>
      </c>
      <c r="G191" s="3" t="s">
        <v>87</v>
      </c>
      <c r="H191" s="3" t="s">
        <v>11</v>
      </c>
      <c r="I191" s="3" t="s">
        <v>25</v>
      </c>
      <c r="J191" s="3" t="s">
        <v>57</v>
      </c>
      <c r="K191" s="3" t="s">
        <v>14</v>
      </c>
      <c r="L191" s="3" t="s">
        <v>59</v>
      </c>
      <c r="M191">
        <v>1</v>
      </c>
    </row>
    <row r="192" spans="1:13" x14ac:dyDescent="0.25">
      <c r="A192" s="2">
        <v>46150</v>
      </c>
      <c r="B192" s="1" t="str">
        <f ca="1">IF(Información1[[#This Row],[Fecha]]='Ajuste de fechas'!$A$2,"Día actual","Día anterior")</f>
        <v>Día actual</v>
      </c>
      <c r="C192" s="3" t="s">
        <v>8</v>
      </c>
      <c r="D192" t="s">
        <v>10</v>
      </c>
      <c r="E192" s="3" t="s">
        <v>340</v>
      </c>
      <c r="F192" s="3" t="s">
        <v>6</v>
      </c>
      <c r="G192" s="3" t="s">
        <v>87</v>
      </c>
      <c r="H192" s="3" t="s">
        <v>11</v>
      </c>
      <c r="I192" s="3" t="s">
        <v>25</v>
      </c>
      <c r="J192" s="3" t="s">
        <v>57</v>
      </c>
      <c r="K192" s="3" t="s">
        <v>9</v>
      </c>
      <c r="L192" s="3" t="s">
        <v>59</v>
      </c>
      <c r="M192">
        <v>1</v>
      </c>
    </row>
    <row r="193" spans="1:13" x14ac:dyDescent="0.25">
      <c r="A193" s="2">
        <v>46150</v>
      </c>
      <c r="B193" s="1" t="str">
        <f ca="1">IF(Información1[[#This Row],[Fecha]]='Ajuste de fechas'!$A$2,"Día actual","Día anterior")</f>
        <v>Día actual</v>
      </c>
      <c r="C193" s="3" t="s">
        <v>40</v>
      </c>
      <c r="D193" t="s">
        <v>43</v>
      </c>
      <c r="E193" s="3" t="s">
        <v>341</v>
      </c>
      <c r="F193" s="3" t="s">
        <v>22</v>
      </c>
      <c r="G193" s="3" t="s">
        <v>241</v>
      </c>
      <c r="H193" s="3" t="s">
        <v>11</v>
      </c>
      <c r="I193" s="3" t="s">
        <v>25</v>
      </c>
      <c r="J193" s="3" t="s">
        <v>62</v>
      </c>
      <c r="K193" s="3" t="s">
        <v>41</v>
      </c>
      <c r="L193" s="3" t="s">
        <v>59</v>
      </c>
      <c r="M193">
        <v>1</v>
      </c>
    </row>
    <row r="194" spans="1:13" x14ac:dyDescent="0.25">
      <c r="A194" s="2">
        <v>46150</v>
      </c>
      <c r="B194" s="1" t="str">
        <f ca="1">IF(Información1[[#This Row],[Fecha]]='Ajuste de fechas'!$A$2,"Día actual","Día anterior")</f>
        <v>Día actual</v>
      </c>
      <c r="C194" s="3" t="s">
        <v>40</v>
      </c>
      <c r="D194" t="s">
        <v>43</v>
      </c>
      <c r="E194" s="3" t="s">
        <v>342</v>
      </c>
      <c r="F194" s="3" t="s">
        <v>22</v>
      </c>
      <c r="G194" s="3" t="s">
        <v>241</v>
      </c>
      <c r="H194" s="3" t="s">
        <v>11</v>
      </c>
      <c r="I194" s="3" t="s">
        <v>25</v>
      </c>
      <c r="J194" s="3" t="s">
        <v>62</v>
      </c>
      <c r="K194" s="3" t="s">
        <v>41</v>
      </c>
      <c r="L194" s="3" t="s">
        <v>59</v>
      </c>
      <c r="M194">
        <v>1</v>
      </c>
    </row>
    <row r="195" spans="1:13" x14ac:dyDescent="0.25">
      <c r="A195" s="2">
        <v>46150</v>
      </c>
      <c r="B195" s="1" t="str">
        <f ca="1">IF(Información1[[#This Row],[Fecha]]='Ajuste de fechas'!$A$2,"Día actual","Día anterior")</f>
        <v>Día actual</v>
      </c>
      <c r="C195" s="3" t="s">
        <v>40</v>
      </c>
      <c r="D195" t="s">
        <v>43</v>
      </c>
      <c r="E195" s="3" t="s">
        <v>343</v>
      </c>
      <c r="F195" s="3" t="s">
        <v>22</v>
      </c>
      <c r="G195" s="3" t="s">
        <v>241</v>
      </c>
      <c r="H195" s="3" t="s">
        <v>11</v>
      </c>
      <c r="I195" s="3" t="s">
        <v>7</v>
      </c>
      <c r="J195" s="3" t="s">
        <v>62</v>
      </c>
      <c r="K195" s="3" t="s">
        <v>41</v>
      </c>
      <c r="L195" s="3" t="s">
        <v>58</v>
      </c>
      <c r="M195">
        <v>1</v>
      </c>
    </row>
    <row r="196" spans="1:13" x14ac:dyDescent="0.25">
      <c r="A196" s="2">
        <v>46150</v>
      </c>
      <c r="B196" s="1" t="str">
        <f ca="1">IF(Información1[[#This Row],[Fecha]]='Ajuste de fechas'!$A$2,"Día actual","Día anterior")</f>
        <v>Día actual</v>
      </c>
      <c r="C196" s="3" t="s">
        <v>40</v>
      </c>
      <c r="D196" t="s">
        <v>43</v>
      </c>
      <c r="E196" s="3" t="s">
        <v>344</v>
      </c>
      <c r="F196" s="3" t="s">
        <v>19</v>
      </c>
      <c r="G196" s="3" t="s">
        <v>345</v>
      </c>
      <c r="H196" s="3" t="s">
        <v>11</v>
      </c>
      <c r="I196" s="3" t="s">
        <v>7</v>
      </c>
      <c r="J196" s="3" t="s">
        <v>61</v>
      </c>
      <c r="K196" s="3" t="s">
        <v>41</v>
      </c>
      <c r="L196" s="3" t="s">
        <v>58</v>
      </c>
      <c r="M196">
        <v>1</v>
      </c>
    </row>
    <row r="197" spans="1:13" x14ac:dyDescent="0.25">
      <c r="A197" s="2">
        <v>46150</v>
      </c>
      <c r="B197" s="1" t="str">
        <f ca="1">IF(Información1[[#This Row],[Fecha]]='Ajuste de fechas'!$A$2,"Día actual","Día anterior")</f>
        <v>Día actual</v>
      </c>
      <c r="C197" s="3" t="s">
        <v>40</v>
      </c>
      <c r="D197" t="s">
        <v>43</v>
      </c>
      <c r="E197" s="3" t="s">
        <v>346</v>
      </c>
      <c r="F197" s="3" t="s">
        <v>19</v>
      </c>
      <c r="G197" s="3" t="s">
        <v>347</v>
      </c>
      <c r="H197" s="3" t="s">
        <v>11</v>
      </c>
      <c r="I197" s="3" t="s">
        <v>7</v>
      </c>
      <c r="J197" s="3" t="s">
        <v>61</v>
      </c>
      <c r="K197" s="3" t="s">
        <v>41</v>
      </c>
      <c r="L197" s="3" t="s">
        <v>58</v>
      </c>
      <c r="M197">
        <v>1</v>
      </c>
    </row>
    <row r="198" spans="1:13" x14ac:dyDescent="0.25">
      <c r="A198" s="2">
        <v>46150</v>
      </c>
      <c r="B198" s="1" t="str">
        <f ca="1">IF(Información1[[#This Row],[Fecha]]='Ajuste de fechas'!$A$2,"Día actual","Día anterior")</f>
        <v>Día actual</v>
      </c>
      <c r="C198" s="3" t="s">
        <v>40</v>
      </c>
      <c r="D198" t="s">
        <v>43</v>
      </c>
      <c r="E198" s="3" t="s">
        <v>348</v>
      </c>
      <c r="F198" s="3" t="s">
        <v>17</v>
      </c>
      <c r="G198" s="3" t="s">
        <v>95</v>
      </c>
      <c r="H198" s="3" t="s">
        <v>11</v>
      </c>
      <c r="I198" s="3" t="s">
        <v>25</v>
      </c>
      <c r="J198" s="3" t="s">
        <v>57</v>
      </c>
      <c r="K198" s="3" t="s">
        <v>41</v>
      </c>
      <c r="L198" s="3" t="s">
        <v>59</v>
      </c>
      <c r="M198">
        <v>1</v>
      </c>
    </row>
    <row r="199" spans="1:13" x14ac:dyDescent="0.25">
      <c r="A199" s="2">
        <v>46150</v>
      </c>
      <c r="B199" s="1" t="str">
        <f ca="1">IF(Información1[[#This Row],[Fecha]]='Ajuste de fechas'!$A$2,"Día actual","Día anterior")</f>
        <v>Día actual</v>
      </c>
      <c r="C199" s="3" t="s">
        <v>28</v>
      </c>
      <c r="D199" t="s">
        <v>30</v>
      </c>
      <c r="E199" s="3" t="s">
        <v>349</v>
      </c>
      <c r="F199" s="3" t="s">
        <v>22</v>
      </c>
      <c r="G199" s="3" t="s">
        <v>241</v>
      </c>
      <c r="H199" s="3" t="s">
        <v>11</v>
      </c>
      <c r="I199" s="3" t="s">
        <v>25</v>
      </c>
      <c r="J199" s="3" t="s">
        <v>62</v>
      </c>
      <c r="K199" s="3" t="s">
        <v>29</v>
      </c>
      <c r="L199" s="3" t="s">
        <v>58</v>
      </c>
      <c r="M199">
        <v>1</v>
      </c>
    </row>
    <row r="200" spans="1:13" x14ac:dyDescent="0.25">
      <c r="A200" s="2">
        <v>46150</v>
      </c>
      <c r="B200" s="1" t="str">
        <f ca="1">IF(Información1[[#This Row],[Fecha]]='Ajuste de fechas'!$A$2,"Día actual","Día anterior")</f>
        <v>Día actual</v>
      </c>
      <c r="C200" s="3" t="s">
        <v>28</v>
      </c>
      <c r="D200" t="s">
        <v>30</v>
      </c>
      <c r="E200" s="3" t="s">
        <v>350</v>
      </c>
      <c r="F200" s="3" t="s">
        <v>79</v>
      </c>
      <c r="G200" s="3" t="s">
        <v>78</v>
      </c>
      <c r="H200" s="3" t="s">
        <v>11</v>
      </c>
      <c r="I200" s="3" t="s">
        <v>12</v>
      </c>
      <c r="J200" s="3" t="s">
        <v>57</v>
      </c>
      <c r="K200" s="3" t="s">
        <v>29</v>
      </c>
      <c r="L200" s="3" t="s">
        <v>83</v>
      </c>
      <c r="M200">
        <v>1</v>
      </c>
    </row>
    <row r="201" spans="1:13" x14ac:dyDescent="0.25">
      <c r="A201" s="2">
        <v>46150</v>
      </c>
      <c r="B201" s="1" t="str">
        <f ca="1">IF(Información1[[#This Row],[Fecha]]='Ajuste de fechas'!$A$2,"Día actual","Día anterior")</f>
        <v>Día actual</v>
      </c>
      <c r="C201" s="3" t="s">
        <v>28</v>
      </c>
      <c r="D201" t="s">
        <v>30</v>
      </c>
      <c r="E201" s="3" t="s">
        <v>351</v>
      </c>
      <c r="F201" s="3" t="s">
        <v>91</v>
      </c>
      <c r="G201" s="3" t="s">
        <v>352</v>
      </c>
      <c r="H201" s="3" t="s">
        <v>11</v>
      </c>
      <c r="I201" s="3" t="s">
        <v>7</v>
      </c>
      <c r="J201" s="3" t="s">
        <v>57</v>
      </c>
      <c r="K201" s="3" t="s">
        <v>29</v>
      </c>
      <c r="L201" s="3" t="s">
        <v>58</v>
      </c>
      <c r="M201">
        <v>1</v>
      </c>
    </row>
    <row r="202" spans="1:13" x14ac:dyDescent="0.25">
      <c r="A202" s="2">
        <v>46150</v>
      </c>
      <c r="B202" s="1" t="str">
        <f ca="1">IF(Información1[[#This Row],[Fecha]]='Ajuste de fechas'!$A$2,"Día actual","Día anterior")</f>
        <v>Día actual</v>
      </c>
      <c r="C202" s="3" t="s">
        <v>28</v>
      </c>
      <c r="D202" t="s">
        <v>30</v>
      </c>
      <c r="E202" s="3" t="s">
        <v>353</v>
      </c>
      <c r="F202" s="3" t="s">
        <v>23</v>
      </c>
      <c r="G202" s="3" t="s">
        <v>325</v>
      </c>
      <c r="H202" s="3" t="s">
        <v>11</v>
      </c>
      <c r="I202" s="3" t="s">
        <v>7</v>
      </c>
      <c r="J202" s="3" t="s">
        <v>57</v>
      </c>
      <c r="K202" s="3" t="s">
        <v>29</v>
      </c>
      <c r="L202" s="3" t="s">
        <v>60</v>
      </c>
      <c r="M202">
        <v>1</v>
      </c>
    </row>
    <row r="203" spans="1:13" x14ac:dyDescent="0.25">
      <c r="A203" s="2">
        <v>46150</v>
      </c>
      <c r="B203" s="1" t="str">
        <f ca="1">IF(Información1[[#This Row],[Fecha]]='Ajuste de fechas'!$A$2,"Día actual","Día anterior")</f>
        <v>Día actual</v>
      </c>
      <c r="C203" s="3" t="s">
        <v>28</v>
      </c>
      <c r="D203" t="s">
        <v>30</v>
      </c>
      <c r="E203" s="3" t="s">
        <v>354</v>
      </c>
      <c r="F203" s="3" t="s">
        <v>21</v>
      </c>
      <c r="G203" s="3" t="s">
        <v>355</v>
      </c>
      <c r="H203" s="3" t="s">
        <v>11</v>
      </c>
      <c r="I203" s="3" t="s">
        <v>7</v>
      </c>
      <c r="J203" s="3" t="s">
        <v>57</v>
      </c>
      <c r="K203" s="3" t="s">
        <v>29</v>
      </c>
      <c r="L203" s="3" t="s">
        <v>60</v>
      </c>
      <c r="M203">
        <v>1</v>
      </c>
    </row>
    <row r="204" spans="1:13" x14ac:dyDescent="0.25">
      <c r="A204" s="2">
        <v>46150</v>
      </c>
      <c r="B204" s="1" t="str">
        <f ca="1">IF(Información1[[#This Row],[Fecha]]='Ajuste de fechas'!$A$2,"Día actual","Día anterior")</f>
        <v>Día actual</v>
      </c>
      <c r="C204" s="3" t="s">
        <v>28</v>
      </c>
      <c r="D204" t="s">
        <v>30</v>
      </c>
      <c r="E204" s="3" t="s">
        <v>356</v>
      </c>
      <c r="F204" s="3" t="s">
        <v>21</v>
      </c>
      <c r="G204" s="3" t="s">
        <v>241</v>
      </c>
      <c r="H204" s="3" t="s">
        <v>11</v>
      </c>
      <c r="I204" s="3" t="s">
        <v>7</v>
      </c>
      <c r="J204" s="3" t="s">
        <v>57</v>
      </c>
      <c r="K204" s="3" t="s">
        <v>29</v>
      </c>
      <c r="L204" s="3" t="s">
        <v>60</v>
      </c>
      <c r="M204">
        <v>1</v>
      </c>
    </row>
    <row r="205" spans="1:13" x14ac:dyDescent="0.25">
      <c r="A205" s="2">
        <v>46150</v>
      </c>
      <c r="B205" s="1" t="str">
        <f ca="1">IF(Información1[[#This Row],[Fecha]]='Ajuste de fechas'!$A$2,"Día actual","Día anterior")</f>
        <v>Día actual</v>
      </c>
      <c r="C205" s="3" t="s">
        <v>28</v>
      </c>
      <c r="D205" t="s">
        <v>30</v>
      </c>
      <c r="E205" s="3" t="s">
        <v>357</v>
      </c>
      <c r="F205" s="3" t="s">
        <v>15</v>
      </c>
      <c r="G205" s="3" t="s">
        <v>263</v>
      </c>
      <c r="H205" s="3" t="s">
        <v>11</v>
      </c>
      <c r="I205" s="3" t="s">
        <v>7</v>
      </c>
      <c r="J205" s="3" t="s">
        <v>57</v>
      </c>
      <c r="K205" s="3" t="s">
        <v>29</v>
      </c>
      <c r="L205" s="3" t="s">
        <v>60</v>
      </c>
      <c r="M205">
        <v>1</v>
      </c>
    </row>
    <row r="206" spans="1:13" x14ac:dyDescent="0.25">
      <c r="A206" s="2">
        <v>46150</v>
      </c>
      <c r="B206" s="1" t="str">
        <f ca="1">IF(Información1[[#This Row],[Fecha]]='Ajuste de fechas'!$A$2,"Día actual","Día anterior")</f>
        <v>Día actual</v>
      </c>
      <c r="C206" s="3" t="s">
        <v>40</v>
      </c>
      <c r="D206" t="s">
        <v>42</v>
      </c>
      <c r="E206" s="3" t="s">
        <v>358</v>
      </c>
      <c r="F206" s="3" t="s">
        <v>22</v>
      </c>
      <c r="G206" s="3" t="s">
        <v>241</v>
      </c>
      <c r="H206" s="3" t="s">
        <v>11</v>
      </c>
      <c r="I206" s="3" t="s">
        <v>25</v>
      </c>
      <c r="J206" s="3" t="s">
        <v>62</v>
      </c>
      <c r="K206" s="3" t="s">
        <v>41</v>
      </c>
      <c r="L206" s="3" t="s">
        <v>58</v>
      </c>
      <c r="M206">
        <v>1</v>
      </c>
    </row>
    <row r="207" spans="1:13" x14ac:dyDescent="0.25">
      <c r="A207" s="2">
        <v>46150</v>
      </c>
      <c r="B207" s="1" t="str">
        <f ca="1">IF(Información1[[#This Row],[Fecha]]='Ajuste de fechas'!$A$2,"Día actual","Día anterior")</f>
        <v>Día actual</v>
      </c>
      <c r="C207" s="3" t="s">
        <v>40</v>
      </c>
      <c r="D207" t="s">
        <v>42</v>
      </c>
      <c r="E207" s="3" t="s">
        <v>359</v>
      </c>
      <c r="F207" s="3" t="s">
        <v>22</v>
      </c>
      <c r="G207" s="3" t="s">
        <v>241</v>
      </c>
      <c r="H207" s="3" t="s">
        <v>11</v>
      </c>
      <c r="I207" s="3" t="s">
        <v>7</v>
      </c>
      <c r="J207" s="3" t="s">
        <v>62</v>
      </c>
      <c r="K207" s="3" t="s">
        <v>41</v>
      </c>
      <c r="L207" s="3" t="s">
        <v>58</v>
      </c>
      <c r="M207">
        <v>1</v>
      </c>
    </row>
    <row r="208" spans="1:13" x14ac:dyDescent="0.25">
      <c r="A208" s="2">
        <v>46150</v>
      </c>
      <c r="B208" s="1" t="str">
        <f ca="1">IF(Información1[[#This Row],[Fecha]]='Ajuste de fechas'!$A$2,"Día actual","Día anterior")</f>
        <v>Día actual</v>
      </c>
      <c r="C208" s="3" t="s">
        <v>40</v>
      </c>
      <c r="D208" t="s">
        <v>42</v>
      </c>
      <c r="E208" s="3" t="s">
        <v>360</v>
      </c>
      <c r="F208" s="3" t="s">
        <v>22</v>
      </c>
      <c r="G208" s="3" t="s">
        <v>241</v>
      </c>
      <c r="H208" s="3" t="s">
        <v>11</v>
      </c>
      <c r="I208" s="3" t="s">
        <v>7</v>
      </c>
      <c r="J208" s="3" t="s">
        <v>62</v>
      </c>
      <c r="K208" s="3" t="s">
        <v>41</v>
      </c>
      <c r="L208" s="3" t="s">
        <v>58</v>
      </c>
      <c r="M208">
        <v>1</v>
      </c>
    </row>
    <row r="209" spans="1:13" x14ac:dyDescent="0.25">
      <c r="A209" s="2">
        <v>46150</v>
      </c>
      <c r="B209" s="1" t="str">
        <f ca="1">IF(Información1[[#This Row],[Fecha]]='Ajuste de fechas'!$A$2,"Día actual","Día anterior")</f>
        <v>Día actual</v>
      </c>
      <c r="C209" s="3" t="s">
        <v>40</v>
      </c>
      <c r="D209" t="s">
        <v>42</v>
      </c>
      <c r="E209" s="3" t="s">
        <v>361</v>
      </c>
      <c r="F209" s="3" t="s">
        <v>22</v>
      </c>
      <c r="G209" s="3" t="s">
        <v>241</v>
      </c>
      <c r="H209" s="3" t="s">
        <v>11</v>
      </c>
      <c r="I209" s="3" t="s">
        <v>7</v>
      </c>
      <c r="J209" s="3" t="s">
        <v>62</v>
      </c>
      <c r="K209" s="3" t="s">
        <v>41</v>
      </c>
      <c r="L209" s="3" t="s">
        <v>58</v>
      </c>
      <c r="M209">
        <v>1</v>
      </c>
    </row>
    <row r="210" spans="1:13" x14ac:dyDescent="0.25">
      <c r="A210" s="2">
        <v>46150</v>
      </c>
      <c r="B210" s="1" t="str">
        <f ca="1">IF(Información1[[#This Row],[Fecha]]='Ajuste de fechas'!$A$2,"Día actual","Día anterior")</f>
        <v>Día actual</v>
      </c>
      <c r="C210" s="3" t="s">
        <v>40</v>
      </c>
      <c r="D210" t="s">
        <v>42</v>
      </c>
      <c r="E210" s="3" t="s">
        <v>362</v>
      </c>
      <c r="F210" s="3" t="s">
        <v>19</v>
      </c>
      <c r="G210" s="3" t="s">
        <v>78</v>
      </c>
      <c r="H210" s="3" t="s">
        <v>11</v>
      </c>
      <c r="I210" s="3" t="s">
        <v>7</v>
      </c>
      <c r="J210" s="3" t="s">
        <v>61</v>
      </c>
      <c r="K210" s="3" t="s">
        <v>41</v>
      </c>
      <c r="L210" s="3" t="s">
        <v>63</v>
      </c>
      <c r="M210">
        <v>1</v>
      </c>
    </row>
    <row r="211" spans="1:13" x14ac:dyDescent="0.25">
      <c r="A211" s="2">
        <v>46150</v>
      </c>
      <c r="B211" s="1" t="str">
        <f ca="1">IF(Información1[[#This Row],[Fecha]]='Ajuste de fechas'!$A$2,"Día actual","Día anterior")</f>
        <v>Día actual</v>
      </c>
      <c r="C211" s="3" t="s">
        <v>40</v>
      </c>
      <c r="D211" t="s">
        <v>42</v>
      </c>
      <c r="E211" s="3" t="s">
        <v>363</v>
      </c>
      <c r="F211" s="3" t="s">
        <v>19</v>
      </c>
      <c r="G211" s="3" t="s">
        <v>148</v>
      </c>
      <c r="H211" s="3" t="s">
        <v>11</v>
      </c>
      <c r="I211" s="3" t="s">
        <v>7</v>
      </c>
      <c r="J211" s="3" t="s">
        <v>61</v>
      </c>
      <c r="K211" s="3" t="s">
        <v>41</v>
      </c>
      <c r="L211" s="3" t="s">
        <v>58</v>
      </c>
      <c r="M211">
        <v>1</v>
      </c>
    </row>
    <row r="212" spans="1:13" x14ac:dyDescent="0.25">
      <c r="A212" s="2">
        <v>46150</v>
      </c>
      <c r="B212" s="1" t="str">
        <f ca="1">IF(Información1[[#This Row],[Fecha]]='Ajuste de fechas'!$A$2,"Día actual","Día anterior")</f>
        <v>Día actual</v>
      </c>
      <c r="C212" s="3" t="s">
        <v>40</v>
      </c>
      <c r="D212" t="s">
        <v>42</v>
      </c>
      <c r="E212" s="3" t="s">
        <v>364</v>
      </c>
      <c r="F212" s="3" t="s">
        <v>21</v>
      </c>
      <c r="G212" s="3" t="s">
        <v>241</v>
      </c>
      <c r="H212" s="3" t="s">
        <v>11</v>
      </c>
      <c r="I212" s="3" t="s">
        <v>25</v>
      </c>
      <c r="J212" s="3" t="s">
        <v>57</v>
      </c>
      <c r="K212" s="3" t="s">
        <v>41</v>
      </c>
      <c r="L212" s="3" t="s">
        <v>59</v>
      </c>
      <c r="M212">
        <v>1</v>
      </c>
    </row>
    <row r="213" spans="1:13" x14ac:dyDescent="0.25">
      <c r="A213" s="2">
        <v>46150</v>
      </c>
      <c r="B213" s="1" t="str">
        <f ca="1">IF(Información1[[#This Row],[Fecha]]='Ajuste de fechas'!$A$2,"Día actual","Día anterior")</f>
        <v>Día actual</v>
      </c>
      <c r="C213" s="3" t="s">
        <v>40</v>
      </c>
      <c r="D213" t="s">
        <v>42</v>
      </c>
      <c r="E213" s="3" t="s">
        <v>283</v>
      </c>
      <c r="F213" s="3" t="s">
        <v>44</v>
      </c>
      <c r="G213" s="3" t="s">
        <v>278</v>
      </c>
      <c r="H213" s="3" t="s">
        <v>11</v>
      </c>
      <c r="I213" s="3" t="s">
        <v>7</v>
      </c>
      <c r="J213" s="3" t="s">
        <v>57</v>
      </c>
      <c r="K213" s="3" t="s">
        <v>35</v>
      </c>
      <c r="L213" s="3" t="s">
        <v>60</v>
      </c>
      <c r="M213">
        <v>1</v>
      </c>
    </row>
    <row r="214" spans="1:13" x14ac:dyDescent="0.25">
      <c r="A214" s="2">
        <v>46150</v>
      </c>
      <c r="B214" s="1" t="str">
        <f ca="1">IF(Información1[[#This Row],[Fecha]]='Ajuste de fechas'!$A$2,"Día actual","Día anterior")</f>
        <v>Día actual</v>
      </c>
      <c r="C214" s="3" t="s">
        <v>40</v>
      </c>
      <c r="D214" t="s">
        <v>42</v>
      </c>
      <c r="E214" s="3" t="s">
        <v>357</v>
      </c>
      <c r="F214" s="3" t="s">
        <v>15</v>
      </c>
      <c r="G214" s="3" t="s">
        <v>263</v>
      </c>
      <c r="H214" s="3" t="s">
        <v>11</v>
      </c>
      <c r="I214" s="3" t="s">
        <v>7</v>
      </c>
      <c r="J214" s="3" t="s">
        <v>57</v>
      </c>
      <c r="K214" s="3" t="s">
        <v>35</v>
      </c>
      <c r="L214" s="3" t="s">
        <v>60</v>
      </c>
      <c r="M214">
        <v>1</v>
      </c>
    </row>
    <row r="215" spans="1:13" x14ac:dyDescent="0.25">
      <c r="A215" s="2">
        <v>46150</v>
      </c>
      <c r="B215" s="1" t="str">
        <f ca="1">IF(Información1[[#This Row],[Fecha]]='Ajuste de fechas'!$A$2,"Día actual","Día anterior")</f>
        <v>Día actual</v>
      </c>
      <c r="C215" s="3" t="s">
        <v>40</v>
      </c>
      <c r="D215" t="s">
        <v>42</v>
      </c>
      <c r="E215" s="3" t="s">
        <v>353</v>
      </c>
      <c r="F215" s="3" t="s">
        <v>23</v>
      </c>
      <c r="G215" s="3" t="s">
        <v>325</v>
      </c>
      <c r="H215" s="3" t="s">
        <v>11</v>
      </c>
      <c r="I215" s="3" t="s">
        <v>7</v>
      </c>
      <c r="J215" s="3" t="s">
        <v>57</v>
      </c>
      <c r="K215" s="3" t="s">
        <v>35</v>
      </c>
      <c r="L215" s="3" t="s">
        <v>60</v>
      </c>
      <c r="M215">
        <v>1</v>
      </c>
    </row>
    <row r="216" spans="1:13" x14ac:dyDescent="0.25">
      <c r="A216" s="2">
        <v>46150</v>
      </c>
      <c r="B216" s="1" t="str">
        <f ca="1">IF(Información1[[#This Row],[Fecha]]='Ajuste de fechas'!$A$2,"Día actual","Día anterior")</f>
        <v>Día actual</v>
      </c>
      <c r="C216" s="3" t="s">
        <v>40</v>
      </c>
      <c r="D216" t="s">
        <v>42</v>
      </c>
      <c r="E216" s="3" t="s">
        <v>354</v>
      </c>
      <c r="F216" s="3" t="s">
        <v>21</v>
      </c>
      <c r="G216" s="3" t="s">
        <v>355</v>
      </c>
      <c r="H216" s="3" t="s">
        <v>11</v>
      </c>
      <c r="I216" s="3" t="s">
        <v>7</v>
      </c>
      <c r="J216" s="3" t="s">
        <v>57</v>
      </c>
      <c r="K216" s="3" t="s">
        <v>35</v>
      </c>
      <c r="L216" s="3" t="s">
        <v>60</v>
      </c>
      <c r="M216">
        <v>1</v>
      </c>
    </row>
    <row r="217" spans="1:13" x14ac:dyDescent="0.25">
      <c r="A217" s="2">
        <v>46150</v>
      </c>
      <c r="B217" s="1" t="str">
        <f ca="1">IF(Información1[[#This Row],[Fecha]]='Ajuste de fechas'!$A$2,"Día actual","Día anterior")</f>
        <v>Día actual</v>
      </c>
      <c r="C217" s="3" t="s">
        <v>40</v>
      </c>
      <c r="D217" t="s">
        <v>42</v>
      </c>
      <c r="E217" s="3" t="s">
        <v>365</v>
      </c>
      <c r="F217" s="3" t="s">
        <v>26</v>
      </c>
      <c r="G217" s="3" t="s">
        <v>134</v>
      </c>
      <c r="H217" s="3" t="s">
        <v>11</v>
      </c>
      <c r="I217" s="3" t="s">
        <v>7</v>
      </c>
      <c r="J217" s="3" t="s">
        <v>57</v>
      </c>
      <c r="K217" s="3" t="s">
        <v>35</v>
      </c>
      <c r="L217" s="3" t="s">
        <v>60</v>
      </c>
      <c r="M217">
        <v>1</v>
      </c>
    </row>
    <row r="218" spans="1:13" x14ac:dyDescent="0.25">
      <c r="A218" s="2">
        <v>46150</v>
      </c>
      <c r="B218" s="1" t="str">
        <f ca="1">IF(Información1[[#This Row],[Fecha]]='Ajuste de fechas'!$A$2,"Día actual","Día anterior")</f>
        <v>Día actual</v>
      </c>
      <c r="C218" s="3" t="s">
        <v>40</v>
      </c>
      <c r="D218" t="s">
        <v>42</v>
      </c>
      <c r="E218" s="3" t="s">
        <v>366</v>
      </c>
      <c r="F218" s="3" t="s">
        <v>26</v>
      </c>
      <c r="G218" s="3" t="s">
        <v>241</v>
      </c>
      <c r="H218" s="3" t="s">
        <v>11</v>
      </c>
      <c r="I218" s="3" t="s">
        <v>7</v>
      </c>
      <c r="J218" s="3" t="s">
        <v>57</v>
      </c>
      <c r="K218" s="3" t="s">
        <v>9</v>
      </c>
      <c r="L218" s="3" t="s">
        <v>59</v>
      </c>
      <c r="M218">
        <v>1</v>
      </c>
    </row>
    <row r="219" spans="1:13" x14ac:dyDescent="0.25">
      <c r="A219" s="2">
        <v>46150</v>
      </c>
      <c r="B219" s="1" t="str">
        <f ca="1">IF(Información1[[#This Row],[Fecha]]='Ajuste de fechas'!$A$2,"Día actual","Día anterior")</f>
        <v>Día actual</v>
      </c>
      <c r="C219" s="3" t="s">
        <v>40</v>
      </c>
      <c r="D219" t="s">
        <v>42</v>
      </c>
      <c r="E219" s="3" t="s">
        <v>367</v>
      </c>
      <c r="F219" s="3" t="s">
        <v>6</v>
      </c>
      <c r="G219" s="3" t="s">
        <v>368</v>
      </c>
      <c r="H219" s="3" t="s">
        <v>11</v>
      </c>
      <c r="I219" s="3" t="s">
        <v>7</v>
      </c>
      <c r="J219" s="3" t="s">
        <v>57</v>
      </c>
      <c r="K219" s="3" t="s">
        <v>35</v>
      </c>
      <c r="L219" s="3" t="s">
        <v>60</v>
      </c>
      <c r="M21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65</v>
      </c>
      <c r="B1" t="s">
        <v>66</v>
      </c>
    </row>
    <row r="2" spans="1:2" x14ac:dyDescent="0.25">
      <c r="A2" s="2">
        <f ca="1">TODAY()</f>
        <v>46150</v>
      </c>
      <c r="B2" s="2">
        <f ca="1">A2-1</f>
        <v>46149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2026-05-08T22:29:44Z</dcterms:modified>
</cp:coreProperties>
</file>