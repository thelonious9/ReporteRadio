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84D47D02-C68D-4F54-A4F5-19B2E7529061}"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56" i="2"/>
  <c r="B58" i="2"/>
  <c r="B60" i="2"/>
  <c r="B62" i="2"/>
  <c r="B64" i="2"/>
  <c r="B66" i="2"/>
  <c r="B94" i="2"/>
  <c r="B97" i="2"/>
  <c r="B100" i="2"/>
  <c r="B103" i="2"/>
  <c r="B106" i="2"/>
  <c r="B109" i="2"/>
  <c r="B112" i="2"/>
  <c r="B115" i="2"/>
  <c r="B118" i="2"/>
  <c r="B121" i="2"/>
  <c r="B124" i="2"/>
  <c r="B127" i="2"/>
  <c r="B130" i="2"/>
  <c r="B133" i="2"/>
  <c r="B35" i="2"/>
  <c r="B36" i="2"/>
  <c r="B37" i="2"/>
  <c r="B38" i="2"/>
  <c r="B39" i="2"/>
  <c r="B40" i="2"/>
  <c r="B41" i="2"/>
  <c r="B42" i="2"/>
  <c r="B43" i="2"/>
  <c r="B44" i="2"/>
  <c r="B45" i="2"/>
  <c r="B46" i="2"/>
  <c r="B47" i="2"/>
  <c r="B48" i="2"/>
  <c r="B49" i="2"/>
  <c r="B50" i="2"/>
  <c r="B51" i="2"/>
  <c r="B52" i="2"/>
  <c r="B53" i="2"/>
  <c r="B54" i="2"/>
  <c r="B55" i="2"/>
  <c r="B57" i="2"/>
  <c r="B59" i="2"/>
  <c r="B61" i="2"/>
  <c r="B63" i="2"/>
  <c r="B65" i="2"/>
  <c r="B67" i="2"/>
  <c r="B96" i="2"/>
  <c r="B99" i="2"/>
  <c r="B102" i="2"/>
  <c r="B105" i="2"/>
  <c r="B108" i="2"/>
  <c r="B111" i="2"/>
  <c r="B114" i="2"/>
  <c r="B117" i="2"/>
  <c r="B120" i="2"/>
  <c r="B123" i="2"/>
  <c r="B126" i="2"/>
  <c r="B129" i="2"/>
  <c r="B132" i="2"/>
  <c r="B68" i="2"/>
  <c r="B69" i="2"/>
  <c r="B70" i="2"/>
  <c r="B71" i="2"/>
  <c r="B72" i="2"/>
  <c r="B73" i="2"/>
  <c r="B74" i="2"/>
  <c r="B75" i="2"/>
  <c r="B76" i="2"/>
  <c r="B77" i="2"/>
  <c r="B78" i="2"/>
  <c r="B79" i="2"/>
  <c r="B80" i="2"/>
  <c r="B81" i="2"/>
  <c r="B82" i="2"/>
  <c r="B83" i="2"/>
  <c r="B84" i="2"/>
  <c r="B85" i="2"/>
  <c r="B86" i="2"/>
  <c r="B87" i="2"/>
  <c r="B88" i="2"/>
  <c r="B89" i="2"/>
  <c r="B90" i="2"/>
  <c r="B91" i="2"/>
  <c r="B92" i="2"/>
  <c r="B93" i="2"/>
  <c r="B95" i="2"/>
  <c r="B98" i="2"/>
  <c r="B101" i="2"/>
  <c r="B104" i="2"/>
  <c r="B107" i="2"/>
  <c r="B110" i="2"/>
  <c r="B113" i="2"/>
  <c r="B116" i="2"/>
  <c r="B119" i="2"/>
  <c r="B122" i="2"/>
  <c r="B125" i="2"/>
  <c r="B128" i="2"/>
  <c r="B131"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<sst xmlns="http://schemas.openxmlformats.org/spreadsheetml/2006/main" count="1334" uniqueCount="270">
  <si>
    <t>Fecha</t>
  </si>
  <si>
    <t>Titular</t>
  </si>
  <si>
    <t>Dependencia</t>
  </si>
  <si>
    <t>Canal</t>
  </si>
  <si>
    <t>Tema</t>
  </si>
  <si>
    <t>Estatus</t>
  </si>
  <si>
    <t>Sipdus</t>
  </si>
  <si>
    <t>Informativa</t>
  </si>
  <si>
    <t>Acir 92.5 FM</t>
  </si>
  <si>
    <t>Panorama Informativo Pachuca</t>
  </si>
  <si>
    <t>Positiva</t>
  </si>
  <si>
    <t>Eulalio Larrieta</t>
  </si>
  <si>
    <t>Semot</t>
  </si>
  <si>
    <t>Ayuntamiento</t>
  </si>
  <si>
    <t>SEPH</t>
  </si>
  <si>
    <t>Presidencia</t>
  </si>
  <si>
    <t>Otros</t>
  </si>
  <si>
    <t>Negativa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</si>
  <si>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</si>
  <si>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</si>
  <si>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</si>
  <si>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</si>
  <si>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</si>
  <si>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</si>
  <si>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</si>
  <si>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</si>
  <si>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</si>
  <si>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</si>
  <si>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</si>
  <si>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</si>
  <si>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</si>
  <si>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</si>
  <si>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</si>
  <si>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Congreso</t>
  </si>
  <si>
    <t>Entrevista</t>
  </si>
  <si>
    <t>Segobh</t>
  </si>
  <si>
    <t>SSH</t>
  </si>
  <si>
    <t>RADIO LOCAL</t>
  </si>
  <si>
    <t>NQ 90.1 FM</t>
  </si>
  <si>
    <t>Enlace Hidalgo1</t>
  </si>
  <si>
    <t>Jesús Riveros</t>
  </si>
  <si>
    <t>Juan Carlos Santamaría</t>
  </si>
  <si>
    <t>PGJEH</t>
  </si>
  <si>
    <t>Enlace Hidalgo2</t>
  </si>
  <si>
    <t>Radioescucha</t>
  </si>
  <si>
    <t>Ke Buena 106.7 FM</t>
  </si>
  <si>
    <t>Noticias 106.7</t>
  </si>
  <si>
    <t>David Cárdenas</t>
  </si>
  <si>
    <t>Canal del Pueblo</t>
  </si>
  <si>
    <t>Vocales Radio</t>
  </si>
  <si>
    <t>Morena</t>
  </si>
  <si>
    <t>TV LOCAL</t>
  </si>
  <si>
    <t>Partidos</t>
  </si>
  <si>
    <t>Aldo Falcón</t>
  </si>
  <si>
    <t>Andrés Torres</t>
  </si>
  <si>
    <t>Candidaturas</t>
  </si>
  <si>
    <t>Ultra 102.9 FM</t>
  </si>
  <si>
    <t>Ultra Noticias1</t>
  </si>
  <si>
    <t>Daniel Martínez</t>
  </si>
  <si>
    <t>Auxilio a la ciudadanía</t>
  </si>
  <si>
    <t>Radio Lobo 96.7 FM</t>
  </si>
  <si>
    <t>Enlace Noticias</t>
  </si>
  <si>
    <t>Gina Lorenzo</t>
  </si>
  <si>
    <t>Abner Yáñez</t>
  </si>
  <si>
    <t>Participación</t>
  </si>
  <si>
    <t>Combate Al Narcomenudeo</t>
  </si>
  <si>
    <t>Afectaciones Por Lluvias</t>
  </si>
  <si>
    <t>Enfoque Regional Meridiano</t>
  </si>
  <si>
    <t>Jesús González</t>
  </si>
  <si>
    <t>Abasto de agua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</si>
  <si>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</si>
  <si>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</si>
  <si>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</si>
  <si>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Carlos Gamiño por estar al pendiente de temas.</t>
  </si>
  <si>
    <t>Eulalio Larrieta agradece Paola García y Lic. Sarahi Pineda, por estar atentas a los mensajes de la ciudadanía y por atenderlos.</t>
  </si>
  <si>
    <t>Vía telefónica el reporte de Bombero y Protección Civil con Abner Yáñez informa de las diversas emergencias reportadas por la ciudadanía y que fueron atendidas. Asimismo, señala que las fiestas patrias dejaron saldo blanco en el municipio.</t>
  </si>
  <si>
    <t>Plan Nacional De Vivienda</t>
  </si>
  <si>
    <t>Localización de cuerpo</t>
  </si>
  <si>
    <t>Capacitación</t>
  </si>
  <si>
    <t>Salud Mental</t>
  </si>
  <si>
    <t>Atención Afectaciones Por Lluvias</t>
  </si>
  <si>
    <t>Alerta Meteorológica</t>
  </si>
  <si>
    <t>Jessenia Romero</t>
  </si>
  <si>
    <t>SSPH</t>
  </si>
  <si>
    <t>Bachillerato Nacional</t>
  </si>
  <si>
    <t>Gobernador</t>
  </si>
  <si>
    <t>Súper Stéreo 100.5 FM</t>
  </si>
  <si>
    <t>Eulalio Larrieta agradece a Cristian Yahir Castañeda supervisor de la región Pachuca quien nos va atender los reportes que correspondan a la SEMOT</t>
  </si>
  <si>
    <t>Radiodifusoras</t>
  </si>
  <si>
    <t>Queja padres de familia</t>
  </si>
  <si>
    <t>Aspirantes</t>
  </si>
  <si>
    <t>Visita Sheinbaum</t>
  </si>
  <si>
    <t>Reforma De Ley</t>
  </si>
  <si>
    <t>Notarías</t>
  </si>
  <si>
    <t>Comparecencias</t>
  </si>
  <si>
    <t>Eulalio Larrieta agradece a Edith Balderas de la Secretaria de Educación Pública.</t>
  </si>
  <si>
    <t>Ataque Armado</t>
  </si>
  <si>
    <t>Cultura</t>
  </si>
  <si>
    <t>Hidalgo alcanza 93.26% de efectividad en localización de personas</t>
  </si>
  <si>
    <t>Búsqueda de personas</t>
  </si>
  <si>
    <t>Homicidios</t>
  </si>
  <si>
    <t>Queja transporte público</t>
  </si>
  <si>
    <t>Paranacionales Conade</t>
  </si>
  <si>
    <t>Contraloría</t>
  </si>
  <si>
    <t>Eulalio Larrieta agradece a Jair Martínez de la SEGOBH, porque esta al pendiente de lo que se necesite y los reportes.</t>
  </si>
  <si>
    <t>Vía telefónica la vocal ejecutiva del Fondo de la Vivienda del Instituto de Seguridad y Servicios Sociales de los Trabajadores del Estado (FOVISSSTE), Jabnely Maldonado Meza, informó sobre los avances del programa *Vivienda para el Bienestar* en el Estado de Hidalgo, así como la proyección para construir 6,500 viviendas destinadas a trabajadores al servicio del Estado. Señaló que durante una reunión de trabajo en Pachuca con el gobernador Julio Menchaca Salazar, se tocó el tema de la reestructuración de créditos impagables en la entidad, donde se registra una cartera de poco más de 50,000 créditos otorgados. De este universo, cerca de 22,000 trabajadores y pensionados —lo que representa aproximadamente el 40% del total estatal— están siendo beneficiados con esquemas de liquidación, condonaciones, quitas y el cambio de esquema de UMA a pesos. Maldonado Meza detalló que, tras un evento realizado en Actopan, se entregaron 558 constancias de finiquito a familias que lograron cancelar sus adeudos. Entre los casos destacados se encuentran personas pensionadas que obtuvieron quitas superiores al millón de pesos, al haber pagado en la práctica hasta dos veces el monto original de su vivienda. A nivel nacional, el programa alcanza a casi el 50% de la cartera, beneficiando a 400,000 familias. En cuanto a los proyectos de infraestructura habitacional, tras la reforma a la Ley de Vivienda impulsada por la presidenta Claudia Sheinbaum Pardo, el FOVISSSTE vuelve a asumir el rol de constructor después de 34 años. Para Hidalgo, se analiza el desarrollo de vivienda social priorizando municipios con alta concentración de derechohabiencia como Pachuca, Tulancingo y Mineral de la Reforma, además de regiones con importante presencia del magisterio. Para consultar la aplicación de estos beneficios, la dependencia exhortó a los más de 70,000 derechohabientes hidalguenses a ingresar al portal oficial fovissste.gob.mx con su CURP para actualizar sus datos, o bien comunicarse al centro de atención telefónica 800 368 4783.</t>
  </si>
  <si>
    <t>alerta de fraude/</t>
  </si>
  <si>
    <t>Alerta De Fraude</t>
  </si>
  <si>
    <t>Daniel Martínez: Pero creo que tampoco se vale... señala el titular de la Comisión de Búsqueda de Personas este... es que muchas veces son ausencias voluntarias, pero tampoco se vale—y lo digo porque lo he conocido de los testimonios que nos han compartido oyentes—tampoco se vale que en el Ministerio Público lo minimicen con frases como "ya aparecerá", "se fue con el novio"—y están este también sexualizando, ¿eh?, porque no dicen "la novia", "con el novio"—o cuestiones de ese tipo, reitero, minimizando, insisto, un tema que es tan doloroso como la ausencia de alguien que quieres, de un familiar.</t>
  </si>
  <si>
    <t>Personas desaparecidas</t>
  </si>
  <si>
    <t>El titular de la Comisión de Búsqueda de Personas del Estado de Hidalgo (CBPEH), José Francisco García Reyes, informó que la incorporación de una alerta en la Clave Única de Registro de Población (CURP) para identificar a personas con reporte de desaparición se ha convertido en una herramienta de apoyo para las labores de búsqueda. El Gobierno Federal incorporó esta información al sistema de la CURP y al realizar una consulta o imprimir el documento de una persona con reporte vigente, aparece la leyenda “persona con reporte de desaparición”. De acuerdo con García Reyes, durante este año en Hidalgo se han detectado al menos 10 CURP con esta leyenda, principalmente correspondientes a personas de Pachuca y Atotonilco de Tula. Además, al menos la mitad de estos casos correspondieron a personas menores de edad. Explicó que existen casos en los que una persona sale de su domicilio por voluntad propia y decide no mantener contacto con sus familiares, sin embargo, cuando intenta realizar algún trámite oficial, la alerta permite identificar que existe un reporte de desaparición vigente. “Para el estado de Hidalgo ha sido fundamental porque más del 80% de los reportes que tenemos son de temas no delictivos, sino de ausencia voluntaria generadas por temas de salidas del domicilio por voluntad propia”. La información se queda vigente hasta que se realiza el procedimiento correspondiente para actualizar el Registro Nacional de Personas Desaparecidas y No Localizadas a través de la Fiscalía Especializada en Personas Desaparecidas o la Comisión de Búsqueda, quien haya emitido el reporte.</t>
  </si>
  <si>
    <t>Con capacitación, asesoría y acceso a financiamiento, el Gobierno Municipal de Tulancingo prepara la entrega de microcréditos a 61 nuevos emprendedores, como parte de los programas Mujer Emprende y Transforma Tulancingo. Previo a la entrega de los apoyos, la Secretaría de Fomento Económico realizó una capacitación en liderazgo dirigida a los beneficiarios, con el propósito de proporcionarles herramientas para fortalecer sus proyectos productivos y enfrentar los retos de iniciar o hacer crecer un negocio. La jornada se realizó en el auditorio Benito Juárez de la Presidencia Municipal y estuvo a cargo de especialistas en liderazgo y emprendimiento, quienes abordaron temas como generación de ideas de negocio, toma de decisiones y desarrollo de habilidades para consolidar proyectos. La capacitación puso especial atención en la participación de las mujeres en el ámbito empresarial, además de buscar que los beneficiarios cuenten con mayores elementos para convertir sus ideas en actividades productivas sostenibles. Entre los proyectos que recibirán impulso mediante los microcréditos se encuentran un hospital de plantas, servicios de tratamientos capilares y a base de hierbas, así como misceláneas, elaboración de postres, costura y distintos negocios relacionados con la gastronomía. La estrategia municipal contempla no sólo el acceso a financiamiento, sino también capacitación y acompañamiento para quienes buscan iniciar un negocio, fortalecer uno existente o encontrar nuevas alternativas para generar ingresos. La entrega de los microcréditos está programada para el 14 octubre en el auditorio Benito Juárez de la Presidencia Municipal. Con estas acciones, la administración encabezada por la presidenta municipal Lorena García Cázares, a través de la Secretaría de Fomento Económico, busca ampliar las herramientas disponibles para los tulancinguenses que han decidido emprender y fortalecer sus proyectos productivos.</t>
  </si>
  <si>
    <t>Apoyo a emprendedores</t>
  </si>
  <si>
    <t>Las instalaciones del plantel para educación preescolar “Thowi”, ubicado en la comunidad de Santa María Temaxcalapa, dentro del municipio de Tenango de Doria, registró colapso en las bardas perimetrales, situación que representa un riesgo para la comunidad escolar. Jesús Sevilla García, director municipal de Protección Civil explicó que el colapso derivó de un hundimiento registrado en la zona, donde se han registrado intensas lluvias en días recientes. Por lo que se determinó que los alumnos tendrán clases y actividades escolares virtuales, en tanto se realiza la rehabilitación de la infraestructura educativa. Sevilla García informó que ya fue entregada a las autoridades educativas la opinión técnica elaborada por Protección Civil municipal sobre las condiciones del inmueble. Por lo que se estaría al pendiente de la respuesta por parte de las autoridades estatales para determinar presupuesto y acciones para iniciar la rehabilitación de las instalaciones del plantel para educación preprimaria. Se informó que se trata de la única escuela que fue necesario cerrar temporalmente debido a daños registrados. Pero se exhortó a madres y padres de familia a no exponer a los estudiantes si identifican alguna situación de riesgo tanto en las escuelas como en los trayectos. Respecto a la situación en general dentro del municipio, se informó que persisten los deslizamientos de tierra derivados de las lluvias en el tramo carretero Peña Blanca-San Pablo, en Tenango de Doria. En dicho tramo continúan los trabajos para retirar material y permitir el tránsito vehicular, informó Protección Civil municipal. La situación física en la carretera estatal Tenango-Metepec se mantiene estable, luego de que durante los últimos días fuera uno de los puntos que requirieron mayor atención. Debido a estas condiciones, se establecieron horarios para permitir el tránsito de manera controlada. Actualmente, el paso vehicular por este tramo se permite entre una a dos de la tarde; posteriormente, el tránsito permanece prácticamente cerrado hasta alrededor de las 6 de la tarde, mientras continúan los trabajos. Se confirmó que hasta el momento no hay localidades incomunicadas en Tenango de Doria; sin embargo, se mantiene el monitoreo preventivo debido a la continuidad de las lluvias y a las condiciones del terreno en distintos puntos del municipio.</t>
  </si>
  <si>
    <t>486 de las mil 188 comunidades indígenas convocadas por el Instituto Estatal Electoral de Hidalgo (IEEH) participaron en los Foros Regionales de Diálogo para definir la acción afirmativa indígena que se aplicará en el proceso electoral de 2027. La cifra significa que la cobertura en los foros alcanzó apenas el 40.91 por ciento del total de las localidades con población indígena. Por lo que de acuerdo al informe presentado ante el Consejo General del IEEH, alrededor del 59 por ciento de las comunidades contempladas en el catálogo estatal no tuvieron participación en el proceso, realizado mediante encuentros presenciales y un periodo de registro de opiniones a través de internet. En total fueron instaladas 13 sedes regionales y participaron autoridades de 35 de los 45 municipios convocados. Fue en Zacualtipán donde se registró la menor cobertura, con siete participaciones de 66 comunidades convocadas, equivalente a 10.61 por ciento; le siguieron San Bartolo Tutotepec, con 20 de 109, y Tlanchinol, con 39 de 132. En contraste, San Felipe Orizatlán registró 74 participaciones de 109 comunidades, mientras que Tula tuvo nueve de 11. En Tulancingo se llevó a cabo uno de los 13 foros regionales organizados por el Instituto Estatal Electoral de Hidalgo para conocer la opinión de las comunidades indígenas sobre la acción afirmativa que se aplicará en las elecciones de 2027. Entre las comunidades participantes, más del 90 por ciento respaldó que los partidos políticos postulen personas indígenas de acuerdo con la población y pertenencia de cada comunidad. Los consultados también señalaron que se tomen en cuenta las asambleas comunitarias para determinar a quienes les puedan representar como candidatos en procesos electorales. Se enfatizó que con ello se evitará que personas ajenas a las comunidades indígenas sean postuladas a cargo de elección popular, sin contar con esa representatividad real. El IEEH señala que las opiniones recabadas servirán como base para que el Consejo General defina los criterios de postulación de personas indígenas en las reglas para los comicios del siguiente año y, en su caso, la acción afirmativa que se aplicará para garantizar su representación.</t>
  </si>
  <si>
    <t>IEEH</t>
  </si>
  <si>
    <t>Acción afirmativa</t>
  </si>
  <si>
    <t>El Deportivo 11 de Julio, ubicado en el municipio de Mineral de la Reforma, fue parcialmente clausurado tras la muerte del réferi de lucha libre Gerardo Germán Pineda. Lo anterior, debido a presuntas omisiones relacionadas con las verificaciones y permisos para realizar este tipo de eventos. Autoridades señalaron que para llevar a cabo eventos como funciones de lucha libre se requieren permisos que deben tramitarse con al menos 15 días de anticipación, con el objetivo de que el municipio pueda revisar previamente las medidas de seguridad del inmueble y del espectáculo. La clausura fue realizada durante el miércoles 7 de octubre por Protección Civil municipal, luego de que, de acuerdo con los reportes, en dos ocasiones los encargados del inmueble no atendieron las verificaciones correspondientes. Las presuntas omisiones en este procedimiento derivaron en la clausura parcial del deportivo, que permanecerá bajo esta medida mientras se determinan las acciones correspondientes. El Deportivo 11 de Julio permanecerá parcialmente clausurado en tanto se revisan las condiciones del inmueble y las circunstancias relacionadas con la realización del evento. La clausura ocurrió un día después de la función “Deslealtades”, realizada en el mismo inmueble, donde perdió la vida el réferi Gerardo Germán Pineda, conocido como “El Búho”. Durante el encuentro entre El Hijo de Fishman y Máscara Sagrada NG, el réferi recibió varios castigos físicos y posteriormente se desvaneció sobre el ring. Paramédicos acudieron para brindarle atención; sin embargo, Gerardo Germán Pineda perdió la vida. Tras los hechos, El Hijo de Fishman fue detenido y quedó a disposición de la Procuraduría General de Justicia del Estado de Hidalgo, que inició las investigaciones correspondientes. La detención no implica que el luchador haya sido declarado responsable del fallecimiento del réferi, por lo que será el Ministerio Público quien determine su situación jurídica y, en su caso, la autoridad judicial correspondiente.</t>
  </si>
  <si>
    <t>En cabina Víctor Edwin Escamilla Lira, habló de sus valores, principios y trabajo que ha realizado a lo largo de su vida a favor su municipio, Santiago Tulantepec. Como docente, habla de la importancia del deporte y de mantener un diálogo con los estudiantes. Habla de las bondades del municipio y destaca la gestión social que realiza. Habla de sus aspiraciones a un cargo público en su municipio y destaca su compromiso con el partido (Morena) y el gobernador Julio Menchaca.</t>
  </si>
  <si>
    <t>La Comisión de Derechos Humanos del Estado de Hidalgo lleva la promoción, capacitación y defensa de los derechos humanos a los municipios de toda la entidad mediante la Ruta Hidalgo Inspira, una estrategia de presencia territorial que durante los últimos días llegó a Metepec y Acaxochitlán con actividades dirigidas a autoridades municipales e institucionales, así como educativas. El objetivo de Hidalgo Inspira es construir una relación cercana y permanente con las autoridades y comunidades generando compromisos que permitan incorporar la perspectiva de derechos humanos en el servicio público y acercando a la población herramientas para conocer y ejercer sus derechos. Durante el primer día de esta ruta, la presidenta de la Comisión de Derechos Humanos del Estado de Hidalgo, Ana Karen Parra Bonilla, sostuvo un encuentro con el presidente municipal de Metepec, Juan Antonio Franco Ortiz, en el que formalizó la firma de una carta compromiso por los derechos humanos mediante la cual el Ayuntamiento asume la responsabilidad de incorporar y fortalecer el enfoque de derechos humanos en el ejercicio de la función pública. En ese sentido, Ana Karen Parra Bonilla señaló: "Hidalgo Inspira es una idea muy sencilla pero profundamente importante: los derechos humanos tienen que estar cerca de las personas. No queremos que la comisión sea una institución que solamente se conozca cuando existe un problema. Queremos que esté presente antes para prevenir, para capacitar, para escuchar y para construir soluciones".</t>
  </si>
  <si>
    <t>CDHEH</t>
  </si>
  <si>
    <t>Julio Menchaca revisa proyectos para la construcción de viviendas en Hidalgo</t>
  </si>
  <si>
    <t>Ayer se abrió la convocatoria para coordinaciones municipales de los Comités de la Defensa de la Transformación y la Soberanía Nacional. Marco Rico, dirigente estatal de Morena, compartió un TikTok en el que aconsejó ser cuidadosos con este tema y recomendó que quienes deseen participar se inscriban solo a través de la página del partido y la página nacional. No se realizaron más declaraciones. También estaba con Cuauhtémoc Ochoa en el Senado, donde intercambiaron comentarios halagadores entre ellos.</t>
  </si>
  <si>
    <t>Andrés Torres comenta que no se ha podido resolver el problema de la salida al aire de la estación de Jacala en la frecuencia 91.1 FM. Los ingenieros revisaron la situación técnica y se necesita reemplazar parte del equipo que ya no funciona. Esto depende de los proveedores, lo que significa que habrá que esperar muchas semanas para que lleguen y se realicen los pagos necesarios por parte de las áreas administrativas "quelonias" de Radio y Televisión de Hidalgo. Asegura que en vez de realizar su trabajo, estas áreas nada más están acosando al personal y amedrentando y gritando. Señala: y ya saben, ¿no?, la otra ¿Cómo dice la otra transversalidad? ¿Cómo dice este tiranito? La transversalidad, ¿no? Por cierto, saludos ayer a mi tiranito que me me saludó muy efusivamente.</t>
  </si>
  <si>
    <t>Un estudio de opinión realizado por Mitofsky Ranking mide el nivel de aprobación de la presidenta de la República y de los gobernadores de los 32 estados en México. En esta encuesta Hidalgo ocupa el lugar 26, lo que ha generado confusión. La presidenta Claudia Sheinbaum tiene una aceptación del 80% en Hidalgo, mientras que el gobernador Julio Menchaca tiene un 60.9%. Aunque el lugar 26 puede parecer bajo, los resultados muestran que al observar la tabla desde otro ángulo, Hidalgo se posiciona en el segundo lugar a nivel nacional en cuanto a aceptación. En un contraste, en Jalisco, la presidenta tiene una aprobación de solo el 46%, mientras que su gobernador cuenta con un 59%. Este estudio indica que Julio Menchaca es el gobernador con el segundo mayor nivel de aceptación en el país, sólo superado por el gobernador de Querétaro, que tiene 61.8%. En cuanto a la presidenta, Claudia Sheinbaum, también se sitúa en segundo lugar a nivel nacional en aceptación. Este alto nivel de aprobación refleja un apoyo significativo de la población hacia los gobernantes de Hidalgo. El mensaje es claro al presentar que, a pesar de las críticas, los datos demuestran que los líderes tienen un alto nivel de apoyo en la entidad.</t>
  </si>
  <si>
    <t>Aprobación Gobernador</t>
  </si>
  <si>
    <t>Hoy tenemos visita presidencial, el gobernador Julio Menchaca será anfitrión de la presidenta de la República, Claudia Sheinbaum. Vamos a tener visita allá en el hospital del Seguro Social, del IMSS en la Vega de Metztitlán, y por supuesto pues habrá un recorrido. El gobernador tendrá una reunión por ahí de las 6 de la tarde con la presidenta Claudia Sheinbaum y esto va a ser aquí en Palacio de Gobierno aquí en Pachuca.</t>
  </si>
  <si>
    <t>La Subsecretaría de Protección Civil informa a la población que para este 9 de octubre de 2026 se prevén intervalos de chubascos de 5 a 25 milímetros en el estado. Asimismo se pronostican temperaturas de 0 a 5 grados con vientos de este a noroeste de 10 a 20 km/h con rachas de 30 a 40 km/h.</t>
  </si>
  <si>
    <t>La mañana de hoy viernes se presentó un bloqueo en el Boulevard Felipe Ángeles de Pachuca por parte del personal médico del Instituto Mexicano del Seguro Social La manifestación inició a la altura del Hospital General de Zona 36 del IMSS ubicado en la mencionada vía personal de esta dependencia cerró la circulación de uno de los carriles pero fueron interceptados por elementos de la policía municipal</t>
  </si>
  <si>
    <t>Protesta sindical</t>
  </si>
  <si>
    <t>Sigue el tema de Fishman, del Hijo de Fishman. Hoy se da a conocer que las autoridades ministeriales del Estado de Hidalgo otorgaron la libertad al gladiador, al luchador independiente conocido como 'El Hijo de Fishman', luego de permanecer retenido por su presunta implicación en el fallecimiento del réferi Gerardo Germán Pineda, acontecido durante la función de lucha libre allá en Mineral de la Reforma. La empresa 'El Patrón Espectáculos' confirmó a través de sus canales oficiales que la representación jurídica del Hijo de Fishman concretó un convenio con los deudos del juez sobre la lona, logrando su salida de los sellos de retención sin necesidad de extender el procedimiento judicial a instancias superiores.</t>
  </si>
  <si>
    <t>La Fiscalía General de la República destruyó más de mil objetos asegurados dentro de investigaciones por delitos federales durante una diligencia realizada en instalaciones de la zona militar y un corralón del municipio de aquí de Tula durante el procedimiento fueron incinerados 9 kilos 144 gramos y mil 223 piezas de narcóticos entre ellos marihuana cocaína y clorhidrato de metanfetamina también fueron destruidos seis vehículos calcinados y mil 186 objetos relacionados con actividades ilícitas del ámbito federal como contenedores, tambos, magueras, cable, mochilas y básculas.</t>
  </si>
  <si>
    <t>Destrucción de narcóticos</t>
  </si>
  <si>
    <t>Nos dimos a la tarea de investigar la legalidad del predio, si este predio de verdad está legal, cómo está el tema de quién es el dueño, esos detalles. Y le puedo confirmar hoy que sobre la legalidad del predio usado como panteón en la comunidad de La Cañada, en Atotonilco de Tula, Salvador Miranda Barreto, quien fuera síndico procurador durante la administración 2012-2016 que encabezó el doctor Edgar Reyes, dijo en Enfoque Regional que dicho predio se adquirió para ser destinado como panteón: «Pláticas que hubo con el delegado en ese tiempo, Mauricio Daniel, y el actual síndico hacendario, Jaime Celerino, hubo un convenio para que el terreno se negociara con él el pago de un adeudo predial. En base al avalúo catastral que resultara, se le pagara la diferencia en efectivo y dicho predio quedara a nombre del municipio con el uso de panteón municipal».</t>
  </si>
  <si>
    <t>A un año de las afectaciones por la vaguada monzónica, el Comisionado de Búsqueda del Estado de Hidalgo, Francisco García Reyes, aseguró que se busca con vida a las cinco personas desaparecidas tras este fenómeno.Las lluvias de la vaguada monzónica dejaron en un inicio 48 personas desaparecidas en el registro de la Comisión de Búsqueda. Sin embargo, tras la localización posterior, permanecen sin localizar cinco personas. Según el Comisionado de Búsqueda, son originarias de Tianguistengo: cuatro de ellas de la comunidad de Chapula y una de Tlacolula; los cuatro de Chapula tienen un parentesco.García Reyes mencionó que se tiene colaboración con el Estado de Veracruz en la búsqueda de las cinco personas. El Comisionado Estatal afirmó que todas las personas que tienen una ficha de búsqueda para su localización se buscan con presunción de vida, independientemente, dijo, si se generan con una desaparición que lleva varios años".</t>
  </si>
  <si>
    <t>Desde la madrugada de hoy empezó a llover aquí en Tula y en varios municipios cercanos a esta región. Sabemos también que en la Sierra está lloviendo, en Pachuca, en varios lugares sigue lloviendo aquí en el Estado de Hidalgo. Es por eso que el Secretario de Gobierno de Hidalgo, Guillermo Olivares Reyna, encabezó la mañana de hoy la sesión del Comité Estatal de Emergencias, donde se revisan las afectaciones provocadas por las lluvias y se coordinan las acciones de atención y auxilio para proteger a las familias hidalguenses.</t>
  </si>
  <si>
    <t>Comité de emergencias</t>
  </si>
  <si>
    <t>El gobernador Julio Menchaca Salazar sostuvo una reunión de trabajo con la directora general del Fondo de la Vivienda del ISSSTE (Fovissste), Jabnely Maldonado Meza, para revisar los proyectos habitacionales que el organismo federal prevé desarrollar en Hidalgo. Durante el encuentro, se presentó una proyección inicial de 6 mil viviendas para los derechohabientes del instituto durante la actual administración federal, así como las perspectivas de colaboración para ampliar las oportunidades de acceso a una vivienda digna en la entidad.</t>
  </si>
  <si>
    <t>Comento condutor Jesús Gonzalez “ Como le decía hace unos minutos, bueno, no hay confirmación de los municipios en los que va a estar la presidenta de México. Sin embargo, fuentes al interior del Gobierno de México confirmaron a un servidor que la presidenta ya se encuentra en Mestitlán, ya está en el IMSS-Bienestar de aquella región y también va a tener reuniones con directores de los hospitales del IMSS-Bienestar. Ahí sí no pudieron darme la información de dónde va a ser porque son eventos cerrados, no son eventos a puerta abierta, son eventos de supervisión administrativos donde la presidenta escucha las necesidades que existen en torno al sector salud</t>
  </si>
  <si>
    <t>La presidenta de México, Claudia Sheinbaum Pardo, anunció una gira de trabajo por el estado de Hidalgo enfocada en el sector salud. Esta visita forma parte de un recorrido que se extenderá hasta diciembre para inaugurar diversas obras de infraestructura, tales como carreteras, hospitales, escuelas y espacios deportivos. La mandataria detalló que su agenda contempla reuniones con directores de hospitales, coordinadores regionales y personal administrativo para escuchar sus problemáticas, supervisar centros de salud e impulsar la digitalización de los expedientes médicos, un proceso que ha enfrentado cierta resistencia por la adopción de las nuevas plataformas tecnológicas</t>
  </si>
  <si>
    <t>El gobierno de Julio Menchaca Salazar impulsa una visión de campo que apuesta por la diversificación productiva y el aprovechamiento de las capacidades de las familias rurales, como parte de una política pública que coloca nuevamente en el centro a las mujeres y hombres que trabajan y producen en las comunidades.En este marco, la Secretaría de Agricultura y Desarrollo Rural de Hidalgo (Saderh), encabezada por Napoleón González Pérez, destinó un millón 996 mil 739 pesos para fortalecer las actividades productivas de 316 familias de Pacula, Jacala, Nicolás Flores, Pisaflores y La Misión.</t>
  </si>
  <si>
    <t>Saderh</t>
  </si>
  <si>
    <t>Apoyo Al Agro</t>
  </si>
  <si>
    <t>Radioescucha Terminación 7774 dice: «Por favor, que pongan en cintura al transporte público, cobran lo que quieren, no ponen las tarifas..</t>
  </si>
  <si>
    <t>Tarifario de taxis</t>
  </si>
  <si>
    <t>Radioescucha una pregunta: ¿cuándo va a poner Transporte inspectores en las bases de taxis que revisen los precios? Y aparte, nadie trae la tarifa. ¿Qué pasa? Se necesita la mano dura de Transporte.</t>
  </si>
  <si>
    <t>Radioescucha dice: «Buenos días, licenciado. Para reportar a la unidad del taxi placas A-615-FUZ, que cobró del Arbolito a la oficina del Bienestar 70 pesotes. Por necesidad se tiene que ocupar el servicio de taxi diariamente, y otros han tenido mucha distancia y les cobran 60 pesos...». Sí, sí, no, es que ya se están pasando, le digo... Ese es el gran problema, que nos pasamos y luego le queremos echar la culpa a todos menos a nosotros. Ese es el gran problema. Y le repito, hay gente que hace su trabajo bien, sí, del transporte público, lo hace correctamente, pero bueno, ¿qué le digo? ¿Qué le digo?</t>
  </si>
  <si>
    <t>Radioescucha «Buen día, licenciado. En la colonia Venta Prieta solo la mitad de la colonia tiene agua, ya son varios días». ¡Ah! ¿Cómo no? Pues ahorita lo pasamos rápidamente. Aquí está la licenciada Paola García para que le dé el seguimiento correcto</t>
  </si>
  <si>
    <t>Radioescucha dice: «Muy buenos días. Ojalá me pudieran apoyar a reportar que hay una coladera abierta en la calle de Manuel Gutiérrez esquina con Delegación Agraria en la colonia Rojo Gómez».</t>
  </si>
  <si>
    <t>Alcantarillado</t>
  </si>
  <si>
    <t>Participación semanal de Mtro. Julio Valera con el tema: Día Mundial de la Salud Mental : En Hidalgo también dimos un paso importante. Durante mi participación como diputado de la LXV Legislatura, mi compañera, la diputada y doctora Vanessa Escalante Arroyo —hoy secretaria de Salud—, presentó la iniciativa de Ley de Salud Mental y Prevención del Suicidio para el Estado de Hidalgo, que aprobamos en junio de 2024 y fue publicada en agosto de ese mismo año.ta ley promueve una atención con respeto a la dignidad y los derechos humanos, fortalece la actuación de la comunidad y busca eliminar el estigma y la discriminación hacia las personas con problemas de salud mental. Y nosotros podemos empezar desde casa.</t>
  </si>
  <si>
    <t>Con el objetivo de fortalecer la detección oportuna del cáncer de mama, la Representación del Instituto de Seguridad y Servicios Sociales de los Trabajadores del Estado (ISSSTE) en Hidalgo invita a derechohabientes y población en general a participar en la Campaña Gratuita de Mastografías que se realizará durante octubre en la Clínica de Medicina Familiar con Especialidades (CMFE) “Pachuca”, en un horario de 07:00 a 13:00 horas.La mastografía es el estudio más eficaz para identificar de manera temprana alteraciones en las mamas, incluso antes de que existan síntomas, lo que incrementa significativamente las posibilidades de un tratamiento exitoso. La subdelegada médica del ISSSTE en Hidalgo, Consuelo Cabrera, destacó que la prevención continúa siendo la herramienta más efectiva para combatir esta enfermedad.</t>
  </si>
  <si>
    <t>Cáncer De Mama</t>
  </si>
  <si>
    <t>El Instituto Tecnológico Superior de Huichapan (ITESHU) desarrolla una investigación que aprovecha residuos del cogollo de maguey para obtener una película similar al mixiote natural, como alternativa que contribuya a la conservación de esta planta y al aprovechamiento sustentable de sus subproductos.</t>
  </si>
  <si>
    <t>Investigación académica</t>
  </si>
  <si>
    <t>Mineral de la Reforma se convirtió en el primer municipio de Hidalgo en incorporar formalmente la participación ciudadana en el proceso de actualización de su Atlas de Riesgos y/o Peligros, mediante talleres que buscan identificar las amenazas y vulnerabilidades presentes en colonias, fraccionamientos y comunidades.El presidente municipal, Eduardo Medécigo Rubio, explicó que el objetivo es integrar la experiencia y percepción de las y los habitantes en la elaboración de este documento técnico, a fin de identificar con mayor precisión las zonas de riesgo y contribuir a una mejor planeación del territorio.</t>
  </si>
  <si>
    <t>Atlas de Riesgos</t>
  </si>
  <si>
    <t>La Secretaría de Infraestructura Pública y Desarrollo Urbano Sostenible (SIPDUS) mantiene el monitoreo permanente para dar atención inmediata a las incidencias ocasionadas por las lluvias de los últimos días.El secretario Alejandro Sánchez García puntualizó que personal de la Residencia Regional de Metztitlán trasladó un cargador frontal propiedad del Centro Estatal de Maquinaria para el Desarrollo (CEMD) al municipio de Juárez Hidalgo, en donde, también con el apoyo de una retroexcavadora perteneciente al ayuntamiento, se atendió un derrumbe en la carretera estatal Juárez–San Lorenzo Itztacoyotla, que actualmente registra la apertura parcial.</t>
  </si>
  <si>
    <t>Como resultado de trabajos de inteligencia operativa, la Secretaría de Seguridad Pública de Hidalgo (SSPH) desmanteló tres predios presuntamente utilizados para la venta y distribución de posibles narcóticos en Huasca de Ocampo y Pachuca, donde fueron aseguradas 3 mil 790 dosis, además de vehículos, cartuchos y diversos objetos</t>
  </si>
  <si>
    <t>Con 346 personas localizadas de 371 reportes iniciados entre enero y septiembre de este año, Hidalgo alcanzó una efectividad del 93.26 por ciento en la localización de personas, informó la Comisión de Búsqueda de Personas del Estado de Hidalgo (CBPEH) durante la Tercera Sesión Ordinaria del Sistema de Búsqueda de Personas 2026.</t>
  </si>
  <si>
    <t>SIPDUS: Tarjeta informativa respecto a las actividades de atención a los caminos y carreteras del estado</t>
  </si>
  <si>
    <t>Se informa sobre una jornada de protestas pacíficas llevada a cabo por personal médico, enfermeras, camilleros y trabajadores del Instituto Mexicano del Seguro Social (IMSS) en diferentes regiones del país, incluyendo la capital hidalguense. Los manifestantes denuncian el acoso laboral por parte de directivos, la saturación crítica en las salas de urgencias —donde los pacientes a veces deben esperar en sillas debido a la falta de camillas— y la carencia general de recursos e insumos médicos. Ante esta situación, exigen un incremento salarial del 10% para todas las categorías, la reintegración del régimen de jubilaciones y pensiones, así como una respuesta favorable a sus pliegos petitorios para garantizar una atención digna a la ciudadanía. Las protestas se han mantenido firmes a pesar de las condiciones climatológicas adversas hasta que sus demandas sean escuchadas.</t>
  </si>
  <si>
    <t>Se abordó la situación de la presa La Esperanza y el comandante Jesús García Ávila confirmó que no existe riesgo de inundación, ya que la presa cuenta con un vertido natural del agua que fluye hacia los canales correspondientes sin representar peligro para la población. Asimismo, se destacó que, aunque la temporada de lluvias lleva un par de meses activa, los impactos de los fenómenos meteorológicos apenas comienzan a sentirse, por lo que es importante mantenerse preparados.</t>
  </si>
  <si>
    <t>Monitoreo De Presas</t>
  </si>
  <si>
    <t>Entrevista vía telefónica Jabnely Maldonado Meza, vocal ejecutiva de Fovissste, destacó la reciente entrega de 500 constancias de finiquito en Actopan, Hidalgo, como parte de los esfuerzos de la institución para liberar a los trabajadores de deudas acumuladas y brindarles certeza jurídica sobre su patrimonio. Asimismo, la funcionaria informó sobre el lanzamiento de una campaña nacional de actualización de datos, la reestructuración de créditos de UMAS a pesos y el regreso del Fovissste a la construcción directa de vivienda social en el marco del programa "Vivienda para el Bienestar", el cual busca garantizar hogares dignos, con servicios y de al menos 60 metros cuadrados para familias de bajos ingresos</t>
  </si>
  <si>
    <t>Un motociclista de 26 años de edad perdió la vida y su acompañante resultó lesionada tras sufrir un accidente en la comunidad de Capula, en el municipio de Ixmiquilpan, luego de que la motocicleta en la que viajaban fuera presuntamente impactada por un automóvil cuyos tripulantes huyeron del lugar. Al sitio arribaron paramédicos y elementos de seguridad, quienes confirmaron el deceso del joven y trasladaron a la mujer para recibir atención médica, mientras se implementaba un operativo de búsqueda para dar con el responsable</t>
  </si>
  <si>
    <t>Accidente Vial</t>
  </si>
  <si>
    <t>SSPH asegura cerca de 4 mil dosis de presunta droga y detiene a tres personas</t>
  </si>
  <si>
    <t>En su intervención, David cárdenas reflexionó sobre la necesidad de modificar la cultura de la corrupción arraigada en el país, señalando que prácticas como violar las normas viales bajo pretextos absurdos reflejan un problema profundo que debe combatirse desde las instituciones y mediante el compromiso de los ciudadanos y trabajadores. Asimismo, criticó la actitud común de buscar atajos o justificaciones para actuar indebidamente en la vida cotidiana, lo anterior, al dar lectura al boletín de Contraloría.</t>
  </si>
  <si>
    <t>Fortalecimiento de valores</t>
  </si>
  <si>
    <t>Llega a Hidalgo el Rally “Corrupción Cero”: impulsa entre estudiantes valores de honestidad y transparencia</t>
  </si>
  <si>
    <t>Hidalgo apuesta por diversificar el campo y fortalecer la economía de las familias rurales en la Sierra Gorda</t>
  </si>
  <si>
    <t>En relación con las acciones de salud, la secretaria Vanesa Escalante Arroyo destacó el trabajo realizado a ras de piso en las comunidades con los tamizajes cardíacos, señalando que el objetivo principal es salvar la vida de los niños mediante la detección temprana de cardiopatías. Asimismo, indicó que se busca ampliar el apoyo para beneficiar a más familias y atender necesidades prioritarias como la provisión de aparatos auditivos para adultos mayores en situaciones precarias.</t>
  </si>
  <si>
    <t>Tamiz neonatal</t>
  </si>
  <si>
    <t>Gobierno de Hidalgo fortalece la detección oportuna de cardiopatías en recién nacidos</t>
  </si>
  <si>
    <t>Tras un intenso proceso judicial de nueve horas, tres personas fueron declaradas culpables por el delito de feminicidio y homicidio en relación con el triple feminicidio ocurrido en Santiago Tulantepec. El Tribunal Colegiado determinó la culpabilidad de los acusados —quienes incluyen a un autor intelectual y dos ejecutores materiales, entre ellos una mujer—, destacando que el caso fue juzgado con perspectiva de género. Aunque la defensa de las víctimas apelará para que a todos se les tipifique el delito de feminicidio, el próximo 14 de octubre iniciará la fase de individualización de sanciones y la audiencia para la emisión de sentencias definitivas, así lo informó el periodista Octavio Jaimes en entrevista.</t>
  </si>
  <si>
    <t>TSJEH</t>
  </si>
  <si>
    <t>Proceso Por Feminicidio</t>
  </si>
  <si>
    <t>Investigación de la UTEC será publicada en revista internacional</t>
  </si>
  <si>
    <t>Publicación académica</t>
  </si>
  <si>
    <t>En el espacio deportivo, el colaborador Gustavo Rosales abordó diversos temas de relevancia nacional e internacional. Entre ellos, destacó la reciente liberación del hijo de Fichman tras concretar un acuerdo reparatorio con la familia del réferi fallecido conocido como "El Búho", aclarando además la confusión con Fichman Junior, quien se encontraba cumpliendo compromisos en Chiapas.</t>
  </si>
  <si>
    <t>Entrevista vía telefónica, el notario Pedro Luis Noble Monterrubio, presidente del Colegio de Notarios del Estado de Hidalgo, destacó la reciente visita de José Luis Leal Campos, candidato a la dirigencia nacional del Colegio Nacional del Notariado Mexicano, abordando temas de cumplimiento normativo y la futura implementación de la actuación digital notarial en la entidad tras la publicación de la nueva ley en la materia. Asimismo, señaló que continúan las acciones del mes del testamento, extendiendo beneficios especiales con costos reducidos en favor de elementos de seguridad pública, protección civil y corporaciones de auxilio hasta el mes de diciembre.</t>
  </si>
  <si>
    <t>Locutor Jesús Riveros da lectura a comentario de radioescucha que señala: Buen día, señor Riveros, con el gusto de saludarlo a usted. Mi opinión es la siguiente, referente a la reforma aprobada por la Cámara de Diputados, dice que ha sido un error de los diputados de Hidalgo haber aprobado esta reforma, lo único que faltaba, otra más, que permite que los presidentes municipales tengan, dice por acá, la chequera abierta a su gusto y pues así se pueden hacer de los recursos del municipio. Imagínense, con esta reforma tendrán carteras abiertas, están en los cabildos de cada municipio, en que no aprueben esta reforma a modo. Saludos, señor Riveros, buen día. Locutor Jesús Riveros responde, saludos, muchas gracias, sí, esta reforma que que ha dado mucho de qué hablar, está obviamente ha generado polémica precisamente por lo que pueda suceder, la libertad que puedan tener los alcaldes para establecer contratos sin la aprobación de sus respectivos ayuntamientos.</t>
  </si>
  <si>
    <t>El hijo de Fichman obtuvo su libertad tras concretar un acuerdo reparatorio y el pago por la reparación del daño con los deudos del réferi Gerardo Germán, conocido como "El Búho", quien falleció tras un evento de lucha libre ocurrido el pasado martes 6 de octubre. La firma legal Magallanes Reyes y Asociados, que representa al implicado, informó mediante un comunicado que, tras cumplir el plazo legal de 48 horas, se logró evitar la judicialización del caso a instancias superiores, concluyendo la custodia del deportista por parte del Ministerio Público y permitiendo su reincorporación a sus actividades.</t>
  </si>
  <si>
    <t>POSITIVA GOBERNADOR_ Visita Sheinbaum_Hidalgo: En relación con los anuncios de la presidenta sobre sus visitas a hospitales, nosocomios y centros de salud, se destacó la importancia de que el personal y la ciudadanía tengan la apertura real para informar a las autoridades sobre las carencias existentes sin filtros que busquen maquillar la situación. Asimismo, se recalcó que la dinámica de trabajo impulsada por el gobernador Julio Menchaca prioriza la presencia directa en el territorio para escuchar de primera mano tanto a la parte operativa como a la ciudadanía.</t>
  </si>
  <si>
    <t>En relación con los anuncios de la presidenta sobre sus visitas a hospitales, nosocomios y centros de salud, se destacó la importancia de que el personal y la ciudadanía tengan la apertura real para informar a las autoridades sobre las carencias existentes sin filtros que busquen maquillar la situación. Asimismo, se recalcó que la dinámica de trabajo impulsada por el gobernador Julio Menchaca prioriza la presencia directa en el territorio para escuchar de primera mano tanto a la parte operativa como a la ciudadanía.</t>
  </si>
  <si>
    <t>día de ayer, en el municipio de Apan, Hidalgo, se llevó a cabo un evento encabezado por el gobernador Julio Menchaca Salazar y la vocal ejecutiva del Fovissste, Jabnely Maldonado Meza, en el que se entregaron 558 constancias de finiquito correspondientes a la condonación de más de 500 créditos de vivienda. Durante el acto, enmarcado en el programa de vivienda para el bienestar del Gobierno Federal, se destacó la importancia de restituir el derecho a la vivienda adecuada y reconstruir el vínculo con los acreditados. Asimismo, se dio a conocer una proyección inicial de 6,000 viviendas para los derechohabientes del instituto en la entidad durante la actual administración federal, informó David Cárdenas durante su colaboración matutina.</t>
  </si>
  <si>
    <t>La presidenta de México, Claudia Sheinbaum Pardo, anunció una gira de trabajo por el estado de Hidalgo enfocada en el sector salud. Esta visita forma parte de un recorrido que se extenderá hasta diciembre para inaugurar diversas obras de infraestructura, tales como carreteras, hospitales, escuelas y espacios deportivos. La mandataria detalló que su agenda contempla reuniones con directores de hospitales, coordinadores regionales y personal administrativo para escuchar sus problemáticas, supervisar centros de salud e impulsar la digitalización de los expedientes médicos, un proceso que ha enfrentado cierta resistencia por la adopción de las nuevas plataformas tecnológicas. Asimismo, indicó que este fin de semana las actividades de supervisión abarcarán tanto al estado de Hidalgo como al Estado de México.</t>
  </si>
  <si>
    <t>Como parte de las acciones para fortalecer la infraestructura deportiva y recuperar espacios públicos en beneficio de la ciudadanía, el presidente municipal Cristian Martínez inauguró las nuevas canchas de tenis de la Unidad Deportiva, proyecto que representa una inversión superior a los 3.8 millones de pesos</t>
  </si>
  <si>
    <t>Recuperación De Espacios Públicos</t>
  </si>
  <si>
    <t>En la conferencia mañanera de hoy del gobierno de Hidalgo tras la salida del titular de la unidad de planeación Miguel Ángel Tello el encargado de esta dependencia Onésimo Serrano Rodríguez habló del alcance que tiene una reforma en materia de simplificación de trámites y servicios.</t>
  </si>
  <si>
    <t>Planeación</t>
  </si>
  <si>
    <t>Simplificación de trámites</t>
  </si>
  <si>
    <t>Tras el encuentro, Sheinbaum Pardo también anunció la entrega de apoyos económicos por 860 millones de pesos a más de 2.000 familias que perdieron sus hogares durante la vaguada monzónica del año pasado.</t>
  </si>
  <si>
    <t>Huracán Priscilla</t>
  </si>
  <si>
    <t>Con la convicción de transformar el sistema de salud de Hidalgo la Presidenta de México Claudia Sheinbaum y el Gobernador Julio Menchaca Salazar sostuvieron una reunión de trabajo para examinar los avances y las necesidades del sector así como para proyectar nuevas acciones y la puesta en marcha de los consultorios del bienestar en la entidad.Desde el Club del Adulto Mayor en Pachuca la mandataria dio a conocer que en dicho espacio se establecerá uno de los más de 600 consultorios de atención de primer nivel que se sumará a los centros de salud y clínicas de limpio bienestar que ya están en operación, mismos que contarán con Internet, expedientes médicos digitales y un laboratorio. JMS "Es un compromiso del gobierno federal de que se mejore sustancialmente todo el servicio. Es un ejemplo de lo que va a pasar por lo pronto en una primera etapa en 365 espacios para tener un consultorio con un médico con equipamiento poder tener una atención inmediata en lugares en donde se necesita además del reforzamiento no solamente de los centros de limpio bienestar sino del propio seguro social y del liste, de todo el sistema de salud".</t>
  </si>
  <si>
    <t>Consultorios del Bienestar</t>
  </si>
  <si>
    <t>El tema de este fin de semana fue la visita de la Presidenta de México, Claudia Sheinbaum, quien estuvo en varios lugares del Estado de Hidalgo. Tuvo reuniones privadas, particularmente estuvo en dos. El pasado viernes le adelantaba que estaba en un municipio de Hidalgo y también estuvo en Pachuca.Sobre su visita a Hidalgo, la Presidenta de México, Claudia Sheinbaum, dijo hoy en la mañanera que el objetivo de sus recorridos es si se cumplieron los compromisos que se hicieron hace un año.” En el caso del IMSS-Bienestar, yo tomé la decisión hace como un mes de ir a las 24 entidades de la República en donde está el IMSS-Bienestar. Hace un año, más o menos, hice un recorrido igual. Entonces, el objetivo de este recorrido es analizar si se cumplieron lo que instruimos en aquella ocasión y qué problemas pueden seguir teniendo en el proceso de federalización. Entonces, ¿cómo es el recorrido? Hago una reunión con los directores de los hospitales, porque hay principalmente algunos problemas en el segundo nivel de atención y tercer nivel de atención, que son los hospitales, los hospitales generales y los hospitales de especialidades. Hospitales materno-infantiles, infantiles o generales y después los hospitales de especialidades”. La presidenta de México dio a conocer qué temas se tratan en las reuniones con los directores de hospitales del IMSS. “¿Qué hago en la gira? Como lo hice ahora en Hidalgo y el Estado de México. Me reúno con los directores de los hospitales en una reunión franca y abierta en donde ellos me explican problemas que están teniendo, digamos virtudes del IMSS-Bienestar, qué ha mejorado y qué problemas siguen teniendo.”</t>
  </si>
  <si>
    <t>IMSS Bienestar</t>
  </si>
  <si>
    <t>Nos vamos hasta el estado de Hidalgo. Hidalgo obtiene reconocimiento internacional por llevar clases de arte a los ochenta y cuatro municipios. La Red Mundial de Ciudades y Gobiernos Locales Unidos distinguió el proyecto Tejido Vivo, el proyecto Hidalgo Tejido Vivo de Centralización Cultural para la Transformación, con el cual la Secretaría de Cultura de la entidad abrió talleres de enseñanza artística en comunidades que nunca habían tenido acceso a ellos.</t>
  </si>
  <si>
    <t>Premio internacional</t>
  </si>
  <si>
    <t>Enfoque Regional Matutino</t>
  </si>
  <si>
    <t>La violencia dejó una persona fallecida y tres lesionados por disparos la noche de este domingo en distintos puntos de Tula de Allende. También hubo daños en varios vehículos y se reportaron objetos ponchayantas en el tramo del sitio. Las autoridades no han confirmado si todos los hechos están relacionados ni reportan detenciones</t>
  </si>
  <si>
    <t>Christian García</t>
  </si>
  <si>
    <t>Y un hombre de veinticinco años de edad, conocido como Kevin N, fue localizado sin vida durante la madrugada de este domingo, tras un ataque armado en el fraccionamiento Sadasi, en Tizayuca. Sujetos armados habrían disparado contra la víctima, hasta el momento no se ha informado sobre el móvil del ataque, ni sobre personas detenidas.</t>
  </si>
  <si>
    <t>Habitantes de Santiago Tlapanaloya en el municipio de Tepeji del Río, se manifestaron en las inmediaciones del pozo dos de su localidad por el desabasto del vital líquido que padecen pese a que el cárcamo se encuentra ubicado en su asentamiento, y con toda la promesa de la alcaldesa, Tania Valdés, y la CAAMTROH, acerca de que no sufrían falta del recurso. Tras protesta, acuerdan restablecer el suministro de agua en Santiago Tlapacoya.Ya está su mensaje, el líquido, entonces</t>
  </si>
  <si>
    <t>Agradecemos la comunicación de la señora Laura Parra García dice a propósito del tema del IMSS que en la clínica 37 de Tlaxcoapan no hay insulina glargina que ya van dos ocasiones que me regresan sin insulina. Muchas gracias a la señora Laura Parra García que se comunica con nosotros a través de nuestras líneas telefónicas 221 19, 242 55 y también tenemos un número de Whatsapp para que también usted se reporte y lo escuchemos en esta mañana es el 773 731 88 39.</t>
  </si>
  <si>
    <t>Abasto De Medicamentos</t>
  </si>
  <si>
    <t>Y este doce de octubre, dará inicio aquí en Hidalgo la campaña de vacunación para la temporada invernal dos mil veintiséis, dos mil veintisiete, con una meta de más de un millón quinientas veinticuatro mil dosis contra influenza y COVID diecinueve. La Secretaría de Salud informó que se distribuirán un millón ochocientos mil vacunas contra influenza y quinientas dieciséis mil contra COVID diecinueve. La atención prioritaria será para niñas y niños pequeños, personas adultas mayores, mujeres embarazadas, personal de salud, y personas con enfermedades preexistentes.</t>
  </si>
  <si>
    <t>Vacunación</t>
  </si>
  <si>
    <t>Durante la madrugada de este domingo, un vehículo particular se impactó contra la estructura ubicada en el acceso a la zona conocida como Las Planchas, en pleno centro del municipio de Huasca, provocando su colapso total. Elementos de seguridad pública municipal implementaron las diligencias correspondientes para evocar la atención del incidente y deslindar responsabilidades.</t>
  </si>
  <si>
    <t>La Secretaría de Seguridad Pública de Hidalgo detuvo a un hombre y a una mujer durante un cateo en el barrio de Las Lajas, allá en Pachuca. En el inmueble fueron aseguradas seiscientas treinta dosis de presuntas drogas, quinientos cuarenta de hierba con características de marihuana, y noventa de una sustancia similar al cristal. También localizaron una báscula, una libreta con anotaciones, y tres teléfonos celulares. Las personas detenidas y los indicios quedaron a disposición de la autoridad competente.</t>
  </si>
  <si>
    <t>Elementos de la Secretaría de Seguridad Pública de Hidalgo, desmantelaron un laboratorio clandestino para elaborar y procesar droga sintética. Esto en la colonia Guadalupe Victoria, en Cuautepec de Hinojosa. Durante el cateo también localizaron un túnel que comunicaba dos espacios del mismo terreno. En el lugar aseguraron cuatrocientas seis dosis de presunta marihuana y ochenta y tres de una sustancia con características similares al cristal. También encontraron tinacos, ollas con residuos de cocción de metanfetamina, una pasta aún de proceso de secado y utensilios para filtrar y secar sustancias. El túnel comenzaba en el baño de uno de los espacios y llegaba al otro, cuyas fachadas aparentaban ser inmuebles independientes y los indicios quedaron a disposición de la autoridad competente.</t>
  </si>
  <si>
    <t>Narcolaboratorio</t>
  </si>
  <si>
    <t>También allá en Tepeji este domingo se reportaron agresiones entre habitantes de la comunidad de San Ildefonso y en Tepeji del Río. El conato de riña ocurrió en el marco de la asamblea convocada por el comité de festejos de la localidad, que estuvo a cargo de las celebraciones de los músicos y patronales durante el periodo dos mil veinticinco, y el marco dos mil veintiséis.Ya cállese, está tomado. No, no. El señor llegó y empujó. Espera, espera, escucha, no, no vamos a quitar, vamos a pasar mal. Espera, espera, el señor, si te ofendo, la muchacha me ofendió, pero tú es fuerte, es fuerte, espera, espera, espera, le pegó en la, le pegó la ceja. Por eso, es que ahí, ahí no hay porquera. No, no, sí, sí. Sí, le llego y le pongo. Por eso. Yo creo que usted. Ay, no manches. Hasta por decir eso te pueden demandar.</t>
  </si>
  <si>
    <t>riña</t>
  </si>
  <si>
    <t>7 con 22 el estudiante Mateo Vadillo Romero del Colegio de Bachilleres de Hidalgo Plantel Atotonilco de Tula obtuvo medalla de plata en el campeonato Panamericano de Artes Marciales Mixtas IMMAF 2026 realizado en Monterrey Mateo compitió en la categoría juvenil B de 60 a 67 kilogramos en un torneo con representantes de 15 países México encabezó el medallero con 70 preseas y ocupó los 3 primeros lugares de su división tras 2 años de preparación el joven fue invitado a integrarse a la delegación hidalguense y luego al equipo nacional su resultado también le abrió la posibilidad de competir en un evento internacional en Abu Dhabi en el 2027 el campeonato Panamericano de Artes Marciales</t>
  </si>
  <si>
    <t>Justa Académica</t>
  </si>
  <si>
    <t>La Secretaría de Educación Pública de Hidalgo realizó el tercer Congreso de Educación Socioemocional dirigido a docentes y figuras educativas para fortalecer el bienestar y promover el cuidado la empatía y el respeto en las escuelas el encuentro abordó la salud mental y su relación con el aprendizaje además de ofrecer herramientas de autocuidado y acompañamiento emocional la jornada incluyó talleres la obra teatral mirándome al espejo y una conferencia sobre ansiedad escolar la actividad se realizó en el marco del Día Estatal de la Salud Mental que se conmemoró el pasado 10 de octubre.</t>
  </si>
  <si>
    <t>Educación socioemocional</t>
  </si>
  <si>
    <t>: Continuando con la información el calendario oficial de comparecencias para los integrantes del gabinete como parte de la glosa del cuarto informe del gobernador Julio Menchaca Salazar se realizarán del 12 al 22 de octubre destaca que en el cronograma no incluyeron al oficial mayor para hoy lunes 12 acudirán el titular de la Secretaría de Gobierno Guillermo Olivares Reyna a las 10 horas y a las 16 horas Neyda Naranjo Baltazar de la Secretaría de Cultura al día siguiente la titular de la Secretaría de Hacienda María Esther Ramírez Vargas a las 10 horas y por la tarde Elizabeth Quintanar Gómez de Turismo.</t>
  </si>
  <si>
    <t>Gobierno</t>
  </si>
  <si>
    <t>El Comité Estatal de Emergencias de Hidalgo reportó 65 puntos con derrumbes y 26 por deslaves tras las lluvias registradas del primero al 10 de octubre. De estos, 26 derrumbes y 18 deslaves ya fueron atendidos. El resto continúa en seguimiento.Del primero al día de hoy, vamos a decirlo así, tuvimos un registro. Ahorita el Estado se encuentra en semáforo amarillo. Semáforo amarillo es manera preventiva. ¿Qué significa? Que todas las familias, todos los ciudadanos deben estar monitoreando los canales oficiales de información.</t>
  </si>
  <si>
    <t>Son ya las siete de la mañana con once minutos, y en este mismo tema, Zoé Robledo, titular del IMSS, respondió a las protestas de trabajadores del IMSS al afirmar que están en su derecho de expresar su desacuerdo con el aumento salarial del 6.8%. El titular del IMSS también expresó su respeto por la convocatoria del Sindicato Nacional de Trabajadores del Seguro Social, en la que el próximo 14 de octubre se debatirá el aumento del 2.9% al salario tabular y del 3.9% en prestaciones, aunque también hizo un llamado a que trabajadores del IMSS realicen sus protestas con respeto y sin afectar a otros. Reiteró que las demandas relacionadas con la operación del Instituto deben escucharse y atenderse. Vamos a dar soluciones y vamos también a reforzar la supervisión en todos los temas, en el abasto de insumos, en cargas de trabajo, en urgencias, en las cirugías pendientes, en el buen trato que merece cada uno de los derechohabientes. Y eso lo haremos juntos. En estos días ha habido manifestaciones de trabajadores y de jubilados y lo respetamos porque son parte del IMSS, a quienes no están de acuerdo con el incremento salarial que se propuso de 6.8% compuesto por 2.9% del salario tabular y 3.9% en prestaciones, que ya fue aprobado también por el Congreso del Sindicato. Respetamos su decisión de ir a una consulta sobre ese incremento el próximo 14 de octubre. A quienes han salido a las calles les pedimos hacerlo con respeto y sin afectar a otras personas. Durante estos días la operación del IMSS no se ha interrumpido.</t>
  </si>
  <si>
    <t>Atención A Manifestantes</t>
  </si>
  <si>
    <t>Siete de la mañana ya con diez minutos tras la manifestación de personal del IMSS sobre el bulevar Felipe Ángeles, en Pachuca, el secretario de gobierno, Guillermo Olivares Reyna, dialogó con representantes sindicales y firmó acuerdos para revisar las condiciones de operación de las unidades médicas y administrativas. Se realizarán recorridos sin previo aviso para verificar los reportes sobre falta de medicamentos, insumos, equipo y personal. En caso de detectar irregularidades, se dará parte a las autoridades correspondientes. La Secretaría de Gobierno dará seguimiento a dichos planteamientos. El acuerdo también permitió generar condiciones para restablecer la circulación en el bulevar.</t>
  </si>
  <si>
    <t>La presidenta Claudia Sheinbaum inició en el Hospital IMSS-Bienestar de Meztitlán su gira nacional de supervisión de unidades médicas. Acompañada por el gobernador Julio Menchaca, recorrió las instalaciones y saludó a los pobladores.</t>
  </si>
  <si>
    <t>Radioescucha reporta que frecuentemente no se tien agua en Hilaturas Pachuca</t>
  </si>
  <si>
    <t>Radioescucha 5705. Dice: «Muy buenos días. Quiero reportar que desde el miércoles no tenemos agua en Hilaturas Pachuca</t>
  </si>
  <si>
    <t>Radioescucha: “ Buenos días para todos. Desde el miércoles de la semana pasada en la Unidad Habitacional Hilaturas Pachuca no tenemos agua, son demasiados días». Con mucho gusto, ya lo estamos pasando aquí a la licenciada Paola García de Caasim “</t>
  </si>
  <si>
    <t>Radioescucha pide luminarias en calle de Hidalgo entre Mina y la calle de Tapía</t>
  </si>
  <si>
    <t>Luminarias</t>
  </si>
  <si>
    <t>En cabina, oncóloga Dulce Díaz Meza con el tema: Cáncer de mama, realiza varias intervenciones durante el programa.</t>
  </si>
  <si>
    <t>Vía télefonica diputado Miguel Moreno aclaró que las recientes modificaciones legislativas aprobadas en el Congreso del Estado de Hidalgo no representan un «cheque en blanco» ni otorgan atribuciones discrecionales retroactivas a los presidentes municipales, tambien enfatizó que las obras, adquisiciones y compras mayores (como la renovación de alumbrado público) continúan estrictamente reguladas por la Ley de Obra Pública y sujetas a procesos transparentes de licitación supervisados por los Comités de Adquisiciones, la Tesorería y la Contraloría y explicó que el cambio principal permite a los alcaldes agilizar la firma de convenios directos de colaboración e infraestructura con el Gobierno del Estado.</t>
  </si>
  <si>
    <t>En el marco del Día Mundial de la Salud Mental, que se conmemora el 10 de octubre, el Instituto Mexicano del Seguro Social (IMSS) en Hidalgo exhorta a la población a fortalecer el cuidado de la salud mental mediante hábitos saludables que favorezcan el bienestar emocional en las distintas etapas de la vida.La salud mental influye en la forma en que las personas piensan, sienten y actúan en su vida cotidiana. Su cuidado adquiere especial relevancia durante la adolescencia y juventud, etapas caracterizadas por cambios físicos, hormonales y emocionales que requieren acompañamiento y estrategias de autocuidado.Los trastornos mentales pueden presentarse en cualquier persona y tienen un origen multifactorial, relacionado con aspectos genéticos, psicológicos, neurológicos, ambientales y sociales.La psicóloga Maile Hurtado Pérez, adscrita al Hospital General de Zona (HGZ) No. 36 del IMSS en Hidalgo, destacó que la atención oportuna requiere una valoración integral y, cuando es necesario, la intervención coordinada de profesionales de medicina, psicología clínica y psiquiatría.</t>
  </si>
  <si>
    <t>La Fiscalía General de la República (FGR) llevó a cabo la incineración de nueve kilos 144 gramos 12 miligramos de narcóticos y mil 223 piezas de sustancias ilícitas, además de la destrucción de mil 186 objetos relacionados con investigaciones por delitos del orden federal.Ropa TácticaLas acciones fueron realizadas por la Fiscalía Especializada de Control Regional (FECOR) en Hidalgo, como parte del programa permanente de destrucción de objetos e instrumentos del delito.</t>
  </si>
  <si>
    <t>Destrucción de armas</t>
  </si>
  <si>
    <t>La Secretaría de Seguridad Pública de Hidalgo (SSPH) encabezó un operativo en el barrio de Las Lajas, ubicado en Pachuca, que derivó en la detención de un hombre y una mujer, así como en el aseguramiento de 630 dosis de presuntas drogas.</t>
  </si>
  <si>
    <t>Gobierno de Hidalgo fortalece acciones de atención ante afectaciones por lluvias</t>
  </si>
  <si>
    <t>La presidenta de México, Claudia Sheinbaum, inició en Hidalgo su gira de trabajo en materia de salud. Junto al gobernador Julio Menchaca, la mandataria supervisó la actividad del Hospital del IMSS-Bienestar y el Centro de Salud del municipio de Metztitlán. Ambos realizaron un recorrido por las instalaciones de ambas unidades de salud, durante el cual dialogaron con el personal y verificaron la infraestructura, el equipamiento, los servicios y especialidades que se otorgan, así como el abasto de medicamentos. En esta gira de trabajo, la presidenta Claudia Sheinbaum informó que el próximo 29 de octubre volverá al estado de Hidalgo para entregar apoyos a las familias que perdieron sus viviendas por la vaguada monzónica de hace un año</t>
  </si>
  <si>
    <t>La presidenta municipal Yasmín Dávila acompañó a la diputada local Liz Ordaz en la entrega de mobiliario escolar para instituciones educativas de Singuilucan, con el fin de mejorar las condiciones de aprendizaje de la niñez y juventud. El gobierno municipal reconoció el respaldo del gobernador Julio Menchaca y de la diputada Ordaz por impulsar la educación, reafirmando el compromiso de trabajar de manera coordinada para generar mayores oportunidades en el municipio.</t>
  </si>
  <si>
    <t>Entrega mobiliario escolar</t>
  </si>
  <si>
    <t>Alumno de Cobaeh obtiene plata en Campeonato Panamericano de Artes Marciales Mixtas</t>
  </si>
  <si>
    <t>Justa Deportiva</t>
  </si>
  <si>
    <t>El sistema DIF de Cuautepec de Hinojosa ha convocado a la ciudadanía a participar en las actividades conmemorativas por el Día Mundial de la Lucha contra el Cáncer de Mama, las cuales se llevarán a cabo el próximo domingo 18 de octubre en la Explanada del Jardín Felipe Ángeles. El evento gratuito iniciará a las 8:30 horas con el registro y entrega de playeras rosas, seguido de un foro de prevención, el taller de autoexploración "Tus manos, tu mejor defensa" y una clase masiva de zumba impartida con el apoyo de Energy Jump. La presidenta del DIF municipal, Cristal Butrón, destacó la importancia de fomentar la detección oportuna y la prevención como herramientas fundamentales para salvar vidas.</t>
  </si>
  <si>
    <t>En el municipio de Tepeapulco, específicamente en la comunidad de Palohueco, se registró un incendio en una vivienda que dejó como saldo tres personas sin vida con quemaduras e indicios de calcinación. Tras el llamado de auxilio, elementos de protección civil y policías municipales acudieron a sofocar las llamas, hallando en el lugar los cuerpos sin vida junto con un mensaje amenazante. La Procuraduría General de Justicia del Estado de Hidalgo y el Servicio Médico Forense acudieron para el levantamiento de los cuerpos e iniciar las indagatorias correspondientes, sin que hasta el momento se reporten personas detenidas o identidades confirmadas.</t>
  </si>
  <si>
    <t>Una fuerte movilización policiaca registrada la mañana del lunes 12 de octubre en la zona limítrofe de Tulancingo y Acaxochitlán permitió el rescate de una mujer que había sido privada ilegalmente de la libertad en la colonia La Cañada. Los hechos ocurrieron alrededor de las 7:00 horas, cuando la víctima fue obligada a subir a un auto rojo y trasladada al barrio Otontepec, en la comunidad de San Pedro Tlachichilco, Acaxochitlán. Tras la intervención de elementos estatales, cuerpos de emergencia y protección civil de ambos municipios, la mujer fue liberada, mientras que el presunto agresor se atrincheró en un domicilio y disparó contra los oficiales antes de ser capturado, concluyendo el operativo con saldo blanco en cuanto a lesionados y con un detenido.</t>
  </si>
  <si>
    <t>Rescate secuestro</t>
  </si>
  <si>
    <t>El secretario del Trabajo, Marath Bolaños López, aclaró que la intervención del gobierno federal se limitará al acompañamiento legal y logístico de la consulta de revisión salarial del IMSS, manteniendo una postura neutral de respeto a la autonomía gremial. La Secretaría del Trabajo y Previsión Social desplegará verificadores para supervisar el proceso democrático previsto para el 14 de octubre de 2026, sin otorgar un respaldo político a las protestas.</t>
  </si>
  <si>
    <t>La Secretaría del Campo de Tulancingo impulsa el desarrollo agrícola local mediante módulos demostrativos de agricultura protegida, la entrega de insumos y capacitaciones técnicas bajo la gestión de la presidenta municipal Lorena García Cázares y el titular de la dependencia, Hugo Flores Jiménez.</t>
  </si>
  <si>
    <t>Durante la conferencia de prensa del gobierno estatal, el titular de la Secretaría de Contraloría, Álvaro Bardales, destacó que en Hidalgo la corrupción se visibiliza y no se oculta, lo que ha llevado a la entidad a ocupar el primer lugar nacional en denuncias penales por hechos de corrupción como resultado de investigar, documentar y sancionar los malos manejos de recursos públicos. Bardales detalló el cumplimiento del plan de trabajo de seis ejes encomendado por el gobernador Julio Menchaca, enfocado en combatir la corrupción, recuperar recursos públicos (cerca de 500 millones de pesos recuperados), prevenir abusos, garantizar trámites sin cobros indebidos, transparentar el uso del dinero público, atender denuncias y fortalecer la vigilancia ciudadana. Asimismo, señaló que existen 97 denuncias penales radicadas en la Procuraduría contra proveedores, exservidores y alcaldes, derivando en procesos y sentencias de hasta 13 años de prisión por el uso indebido de recursos.</t>
  </si>
  <si>
    <t>Mañanera de Hidalgo</t>
  </si>
  <si>
    <t>Sheinbaum y Menchaca transforman sistema de salud de Hidalgo</t>
  </si>
  <si>
    <t>El estado de Hidalgo dará inicio el 12 de octubre a su campaña de vacunación para la temporada invernal 2026-2027, teniendo como meta aplicar 1,524,640 dosis contra la influenza y el COVID-19 para reducir riesgos por enfermedades respiratorias. Las vacunas serán gratuitas en los servicios públicos de salud, priorizando a menores de 5 años, adultos mayores de 60 años, mujeres embarazadas, personal de salud y personas con enfermedades crónicas. Las autoridades sanitarias exhortaron a la ciudadanía a revisar su Cartilla Nacional de Salud, acudir a su centro médico más cercano y mantener medidas preventivas de higiene y ventilación, evitando la automedicación ante síntomas respiratorios</t>
  </si>
  <si>
    <t>Tabajadores del Instituto Mexicano del Seguro Social (IMSS) anunciaron una marcha nacional pacífica para el miércoles 14 de octubre, con la que exigirán un incremento salarial, mejores condiciones laborales, contratación de personal y abastecimiento de medicamentos e insumos médicos. La movilización fue anunciada este sábado durante una concentración frente a las oficinas centrales del IMSS, ubicadas sobre Paseo de la Reforma, en la alcaldía Cuauhtémoc de la Ciudad de México, luego de que los inconformes realizaran una asamblea para definir sus próximas acciones.</t>
  </si>
  <si>
    <t>En entrevista en cabina, el ingeniero Saúl Flores Urrutia, representante del Instituto Nacional Electoral (INE), detalló las ubicaciones y fechas de los módulos itinerantes que estarán operando durante la semana del 12 al 16 de octubre de 2026 en distintos municipios de Hidalgo. El primer macro módulo itinerante visitará Acalán (12 y 13 de octubre), la localidad de Paredones en Acaxochitlán (14 y 15 de octubre) y Santiago Tulantepec (16 de octubre). Por su parte, el módulo de la Sierra atenderá en San Bartolo Tutotepec (12 de octubre), San Miguel (13 y 14 de octubre), La Vereda (15 de octubre) y Tenango de Doria (16 de octubre). Asimismo, recordó que el módulo fijo en Tulancingo (ubicado en Avenida del Maestro número 202, colonia Los Pinos) mantiene su horario habitual de lunes a viernes. Finalmente, invitó a la ciudadanía a realizar trámites anticipados para jóvenes que cumplirán la mayoría de edad antes del 6 de junio de 2027, y recordó las convocatorias abiertas para consejeros distritales y observadores electorales.</t>
  </si>
  <si>
    <t>Credencialización</t>
  </si>
  <si>
    <t>Durante la conferencia matutina semanal del gobierno del estado llevada a cabo en las instalaciones de la Secretaría de Contraloría, el secretario Álvaro Bardales informó que Hidalgo ocupa el primer lugar nacional en denuncias por corrupción. Aclaró que esta cifra no indica un incremento de actos corruptos, sino que refleja el trabajo de investigación, documentación y denuncia formal en la entidad. Asimismo, destacó que la actual administración ha logrado recuperar bienes inmuebles de uso irregular con un valor global de 1,267 millones de pesos, los cuales ahora se destinan a satisfacer diversas necesidades públicas de la sociedad.</t>
  </si>
  <si>
    <t>Un radioescucha reportó que los niños abandonan las escuelas debido al bullying ejercido incluso por maestros y directivos. Expuso el caso de la Escuela Secundaria General 2 Isaac Newton en Tulancingo, donde su hija fue amenazada e incluso sufrió represalias en su centro de trabajo por haberla cambiado de institución educativa, ante lo cual el locutor ofreció proporcionarle números telefónicos para interponer su denuncia.</t>
  </si>
  <si>
    <t>Quejas padres de familia</t>
  </si>
  <si>
    <t>Un padre de familia de la escuela Andrés Quintana Roo en Cuautepec reportó la inconformidad de diversos tutores debido a las ausencias constantes de la maestra de educación física, quien frecuentemente solicita permisos o presenta pretextos, provocando que los alumnos pierdan días de actividades físicas y que prácticamente no se imparta la materia, por lo que esperan que su inconformidad llegue a las autoridades educativas.</t>
  </si>
  <si>
    <t>Con un ejercicio de responsabilidad, transparencia y compromiso comunitario, el Comité de la Feria de los Angelitos entregó los recursos obtenidos durante la reciente edición de esta tradicional celebración, que generó utilidades por 400 mil pesos, reafirmando el sentido social, religioso y vecinal de una de las festividades más representativas de Tulancingo. De acuerdo con los compromisos establecidos, el Comité entregó 200 mil pesos al sacerdote responsable de la Iglesia de Nuestra Señora de los Ángeles, recursos que serán destinados a atender las necesidades del templo y las actividades vinculadas con esta importante tradición de fe. Los 200 mil pesos restantes se destinarán, en especie, a obras y acciones que determine el comité vecinal, integrado por representantes de las colonias periferia Centro y Francisco I. Madero. La inversión se realizará mediante la adquisición de bienes y materiales, de acuerdo con las necesidades identificadas y las prioridades que establezcan las y los vecinos, quienes también determinarán dónde conviene efectuar las compras para atender los requerimientos de sus comunidades. El Comité de Feria destacó que esta distribución responde al compromiso de procurar que los beneficios generados por la celebración se traduzcan en apoyos directos para la comunidad que participa, contribuye y mantiene viva esta tradición año con año. La Feria de los Angelitos no solo representa una expresión de identidad, fe y convivencia familiar; también constituye un espacio de colaboración entre ciudadanía, comerciantes, autoridades, vecinos y comunidad religiosa. En este sentido, la aplicación de los recursos busca contribuir tanto al fortalecimiento del patrimonio religioso como al bienestar de las colonias vinculadas con esta festividad. Finalmente, el Comité de Feria agradeció la participación de comerciantes, visitantes, vecinos, voluntarios, autoridades auxiliares y ciudadanía en general, cuyo respaldo hizo posible la realización de una feria concurrida, con resultados que se traducirán en beneficios para la comunidad.</t>
  </si>
  <si>
    <t>Feria Patronal</t>
  </si>
  <si>
    <t>Durante la conferencia matutina semanal del gobierno del estado celebrada en las instalaciones de la Secretaría de Contraloría (denominada "Hidalgo Honesto"), el titular de comunicación, Edmundo Pineda López, presentó a los funcionarios presentes, entre ellos el secretario de la Contraloría, Álvaro Bardales Ramírez, y el presidente municipal de Pachuca, Jorge Alberto Reyes Hernández. El eje central de la conferencia giró en torno a las acciones y el combate frontal a la corrupción en la entidad. Durante su intervención, Álvaro Bardales destacó que en los últimos cuatro años se ha optado por hacer visible la corrupción y no ocultarla, apoyándose en la labor de 50,000 ciudadanos organizados en comités de contraloría social para vigilar el ejercicio del gasto y la obra pública. Asimismo, señaló que el incremento en los índices de prevalencia de corrupción reportados por el INEGI responde a una mayor apertura institucional para visibilizar y denunciar estas prácticas, reafirmando el compromiso de cero impunidades en la administración pública estatal.</t>
  </si>
  <si>
    <t>OCSAD</t>
  </si>
  <si>
    <t>Durante su participación en la sección "La Vida Hoy" el doctor Luis Téllez Reyes compartió cinco notas destacadas del estado de Hidalgo. En primer lugar, informó sobre el inicio de la construcción del Bachillerato Nacional Margarita Maza en Mineral de la Reforma, encabezado por el secretario de Educación Pública, Natividad Castrejón. En segundo lugar, resaltó el desarrollo de un sistema de bajo costo de la Universidad Politécnica de Tulancingo para obtener imágenes de la retina con fines de salud visual. En tercer lugar, comentó la visita de la presidenta Claudia Sheinbaum y del gobernador Julio Menchaca al hospital y centro de salud del IMSS-Bienestar en Metztitlán. En cuarto lugar, dio cuenta de la destacada participación de Hidalgo en la Paranacional CONADE 2026, logrando diversas medallas en paratenis de mesa, fútbol para invidentes y paratletismo. Finalmente, celebró que la obra cinematográfica Curandero, del director Armando Arenas y filmada en Acaxochitlán, obtuviera el premio del público en el Festival Nefeliberno en Querétaro.</t>
  </si>
  <si>
    <t>Colaboración José Luis Lima Morales: Abordó la movilización de los trabajadores del Instituto Mexicano del Seguro Social (IMSS). Señaló que detrás de estas protestas existen inconformidades que deben ser escuchadas y atendidas con seriedad, recordando que los derechos laborales son obligaciones de ley. No obstante, enfatizó que las manifestaciones no deben perjudicar a terceros, particularmente a los pacientes que dependen de los servicios de salud, los cuales ya enfrentan retos como tiempos de espera y desabasto de medicamentos. Finalmente, hizo un llamado tanto a las autoridades para abrir el diálogo y resolver las demandas como a los trabajadores para defender sus derechos sin descuidar la atención a la ciudadanía.</t>
  </si>
  <si>
    <t>José Luis Lima</t>
  </si>
  <si>
    <t>En la sección deportiva, Gustavo Rosales informó sobre la participación de la delegación de Hidalgo en los Juegos Paranacionales. Hidalgo finalizó en la posición número 24 del medallero general, descendiendo respecto al puesto 21 que había mantenido en semanas anteriores. No obstante, se destacó la destacada participación de atletas en disciplinas como danza deportiva y atletismo, expresando el deseo de que los resultados mejoren para la próxima edición.</t>
  </si>
  <si>
    <t>Entrevista vía telefónica, Natividad Castrejón Vladéz, secretario de Educación Pública de Hidalgo - Habló sobre los avances, retos y metas en materia de educación dentro de la entidad. Informó que se logró incrementar la eficiencia terminal en el nivel de preparatoria al 75.6% y que se proyecta la construcción de 12 planteles nuevos (ocho del bachillerato Margarita Maza y cuatro de sistemas de bachillerato), además de infraestructura para telebachilleratos. Asimismo, destacó la entrega de 15,000 tabletas electrónicas para estudiantes de educación media y los apoyos mediante becas federales y estatales. En el ámbito universitario, la eficiencia terminal ascendió al 84.5% gracias al trabajo acumulado de los últimos 15 años. Por otro lado, mencionó datos del INEGI de 2024 que reflejan una disminución en el rezago educativo y el analfabetismo en personas mayores de 15 años en el estado. Finalmente, recordó que su comparecencia ante el Congreso local para la revisión presupuestal y rendición de cuentas está programada para el próximo martes 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</si>
</sst>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33" tableType="queryTable" totalsRowShown="0">
  <autoFilter ref="A1:M133"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33"/>
  <sheetViews>
    <sheetView tabSelected="1" topLeftCell="A98" workbookViewId="0">
      <selection activeCell="A133" sqref="A133"/>
    </sheetView>
  </sheetViews>
  <sheetFormatPr baseColWidth="10" defaultRowHeight="15" x14ac:dyDescent="0.25"/>
  <cols>
    <col min="1" max="1" width="8.5703125" bestFit="1" customWidth="1"/>
    <col min="2" max="2" width="11.42578125" bestFit="1" customWidth="1"/>
    <col min="3" max="3" width="20" bestFit="1" customWidth="1"/>
    <col min="4" max="4" width="29.42578125" bestFit="1" customWidth="1"/>
    <col min="5" max="5" width="81.140625" bestFit="1" customWidth="1"/>
    <col min="6" max="6" width="15.28515625" bestFit="1" customWidth="1"/>
    <col min="7" max="7" width="33" bestFit="1" customWidth="1"/>
    <col min="8" max="8" width="12.42578125" bestFit="1" customWidth="1"/>
    <col min="9" max="9" width="11.140625" bestFit="1" customWidth="1"/>
    <col min="10" max="10" width="25.7109375" bestFit="1" customWidth="1"/>
    <col min="11" max="11" width="22.28515625"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30</v>
      </c>
    </row>
    <row r="2" spans="1:13" x14ac:dyDescent="0.25">
      <c r="A2" s="2">
        <v>46304</v>
      </c>
      <c r="B2" s="1" t="str">
        <f ca="1">IF(Información1[[#This Row],[Fecha]]='Ajuste de fechas'!$A$2,"Día actual","Día anterior")</f>
        <v>Día anterior</v>
      </c>
      <c r="C2" t="s">
        <v>56</v>
      </c>
      <c r="D2" t="s">
        <v>57</v>
      </c>
      <c r="E2" t="s">
        <v>105</v>
      </c>
      <c r="F2" t="s">
        <v>85</v>
      </c>
      <c r="G2" t="s">
        <v>76</v>
      </c>
      <c r="H2" t="s">
        <v>37</v>
      </c>
      <c r="I2" t="s">
        <v>7</v>
      </c>
      <c r="J2" t="s">
        <v>24</v>
      </c>
      <c r="K2" t="s">
        <v>58</v>
      </c>
      <c r="L2" t="s">
        <v>34</v>
      </c>
      <c r="M2">
        <v>2</v>
      </c>
    </row>
    <row r="3" spans="1:13" x14ac:dyDescent="0.25">
      <c r="A3" s="2">
        <v>46304</v>
      </c>
      <c r="B3" s="1" t="str">
        <f ca="1">IF(Información1[[#This Row],[Fecha]]='Ajuste de fechas'!$A$2,"Día actual","Día anterior")</f>
        <v>Día anterior</v>
      </c>
      <c r="C3" t="s">
        <v>56</v>
      </c>
      <c r="D3" t="s">
        <v>57</v>
      </c>
      <c r="E3" t="s">
        <v>106</v>
      </c>
      <c r="F3" t="s">
        <v>13</v>
      </c>
      <c r="G3" t="s">
        <v>107</v>
      </c>
      <c r="H3" t="s">
        <v>37</v>
      </c>
      <c r="I3" t="s">
        <v>7</v>
      </c>
      <c r="J3" t="s">
        <v>28</v>
      </c>
      <c r="K3" t="s">
        <v>82</v>
      </c>
      <c r="L3" t="s">
        <v>25</v>
      </c>
      <c r="M3">
        <v>2</v>
      </c>
    </row>
    <row r="4" spans="1:13" x14ac:dyDescent="0.25">
      <c r="A4" s="2">
        <v>46304</v>
      </c>
      <c r="B4" s="1" t="str">
        <f ca="1">IF(Información1[[#This Row],[Fecha]]='Ajuste de fechas'!$A$2,"Día actual","Día anterior")</f>
        <v>Día anterior</v>
      </c>
      <c r="C4" t="s">
        <v>56</v>
      </c>
      <c r="D4" t="s">
        <v>57</v>
      </c>
      <c r="E4" t="s">
        <v>108</v>
      </c>
      <c r="F4" t="s">
        <v>42</v>
      </c>
      <c r="G4" t="s">
        <v>109</v>
      </c>
      <c r="H4" t="s">
        <v>37</v>
      </c>
      <c r="I4" t="s">
        <v>17</v>
      </c>
      <c r="J4" t="s">
        <v>24</v>
      </c>
      <c r="K4" t="s">
        <v>58</v>
      </c>
      <c r="L4" t="s">
        <v>26</v>
      </c>
      <c r="M4">
        <v>2</v>
      </c>
    </row>
    <row r="5" spans="1:13" x14ac:dyDescent="0.25">
      <c r="A5" s="2">
        <v>46304</v>
      </c>
      <c r="B5" s="1" t="str">
        <f ca="1">IF(Información1[[#This Row],[Fecha]]='Ajuste de fechas'!$A$2,"Día actual","Día anterior")</f>
        <v>Día anterior</v>
      </c>
      <c r="C5" t="s">
        <v>56</v>
      </c>
      <c r="D5" t="s">
        <v>57</v>
      </c>
      <c r="E5" t="s">
        <v>110</v>
      </c>
      <c r="F5" t="s">
        <v>35</v>
      </c>
      <c r="G5" t="s">
        <v>99</v>
      </c>
      <c r="H5" t="s">
        <v>37</v>
      </c>
      <c r="I5" t="s">
        <v>7</v>
      </c>
      <c r="J5" t="s">
        <v>24</v>
      </c>
      <c r="K5" t="s">
        <v>82</v>
      </c>
      <c r="L5" t="s">
        <v>25</v>
      </c>
      <c r="M5">
        <v>2</v>
      </c>
    </row>
    <row r="6" spans="1:13" x14ac:dyDescent="0.25">
      <c r="A6" s="2">
        <v>46304</v>
      </c>
      <c r="B6" s="1" t="str">
        <f ca="1">IF(Información1[[#This Row],[Fecha]]='Ajuste de fechas'!$A$2,"Día actual","Día anterior")</f>
        <v>Día anterior</v>
      </c>
      <c r="C6" t="s">
        <v>56</v>
      </c>
      <c r="D6" t="s">
        <v>57</v>
      </c>
      <c r="E6" t="s">
        <v>98</v>
      </c>
      <c r="F6" t="s">
        <v>35</v>
      </c>
      <c r="G6" t="s">
        <v>99</v>
      </c>
      <c r="H6" t="s">
        <v>37</v>
      </c>
      <c r="I6" t="s">
        <v>7</v>
      </c>
      <c r="J6" t="s">
        <v>24</v>
      </c>
      <c r="K6" t="s">
        <v>58</v>
      </c>
      <c r="L6" t="s">
        <v>27</v>
      </c>
      <c r="M6">
        <v>2</v>
      </c>
    </row>
    <row r="7" spans="1:13" x14ac:dyDescent="0.25">
      <c r="A7" s="2">
        <v>46304</v>
      </c>
      <c r="B7" s="1" t="str">
        <f ca="1">IF(Información1[[#This Row],[Fecha]]='Ajuste de fechas'!$A$2,"Día actual","Día anterior")</f>
        <v>Día anterior</v>
      </c>
      <c r="C7" t="s">
        <v>56</v>
      </c>
      <c r="D7" t="s">
        <v>57</v>
      </c>
      <c r="E7" t="s">
        <v>105</v>
      </c>
      <c r="F7" t="s">
        <v>15</v>
      </c>
      <c r="G7" t="s">
        <v>76</v>
      </c>
      <c r="H7" t="s">
        <v>37</v>
      </c>
      <c r="I7" t="s">
        <v>7</v>
      </c>
      <c r="J7" t="s">
        <v>29</v>
      </c>
      <c r="K7" t="s">
        <v>58</v>
      </c>
      <c r="L7" t="s">
        <v>34</v>
      </c>
      <c r="M7">
        <v>2</v>
      </c>
    </row>
    <row r="8" spans="1:13" x14ac:dyDescent="0.25">
      <c r="A8" s="2">
        <v>46304</v>
      </c>
      <c r="B8" s="1" t="str">
        <f ca="1">IF(Información1[[#This Row],[Fecha]]='Ajuste de fechas'!$A$2,"Día actual","Día anterior")</f>
        <v>Día anterior</v>
      </c>
      <c r="C8" t="s">
        <v>56</v>
      </c>
      <c r="D8" t="s">
        <v>57</v>
      </c>
      <c r="E8" t="s">
        <v>111</v>
      </c>
      <c r="F8" t="s">
        <v>13</v>
      </c>
      <c r="G8" t="s">
        <v>112</v>
      </c>
      <c r="H8" t="s">
        <v>37</v>
      </c>
      <c r="I8" t="s">
        <v>7</v>
      </c>
      <c r="J8" t="s">
        <v>28</v>
      </c>
      <c r="K8" t="s">
        <v>82</v>
      </c>
      <c r="L8" t="s">
        <v>25</v>
      </c>
      <c r="M8">
        <v>2</v>
      </c>
    </row>
    <row r="9" spans="1:13" x14ac:dyDescent="0.25">
      <c r="A9" s="2">
        <v>46304</v>
      </c>
      <c r="B9" s="1" t="str">
        <f ca="1">IF(Información1[[#This Row],[Fecha]]='Ajuste de fechas'!$A$2,"Día actual","Día anterior")</f>
        <v>Día anterior</v>
      </c>
      <c r="C9" t="s">
        <v>56</v>
      </c>
      <c r="D9" t="s">
        <v>57</v>
      </c>
      <c r="E9" t="s">
        <v>75</v>
      </c>
      <c r="F9" t="s">
        <v>13</v>
      </c>
      <c r="G9" t="s">
        <v>59</v>
      </c>
      <c r="H9" t="s">
        <v>37</v>
      </c>
      <c r="I9" t="s">
        <v>7</v>
      </c>
      <c r="J9" t="s">
        <v>28</v>
      </c>
      <c r="K9" t="s">
        <v>63</v>
      </c>
      <c r="L9" t="s">
        <v>64</v>
      </c>
      <c r="M9">
        <v>2</v>
      </c>
    </row>
    <row r="10" spans="1:13" x14ac:dyDescent="0.25">
      <c r="A10" s="2">
        <v>46304</v>
      </c>
      <c r="B10" s="1" t="str">
        <f ca="1">IF(Información1[[#This Row],[Fecha]]='Ajuste de fechas'!$A$2,"Día actual","Día anterior")</f>
        <v>Día anterior</v>
      </c>
      <c r="C10" t="s">
        <v>56</v>
      </c>
      <c r="D10" t="s">
        <v>57</v>
      </c>
      <c r="E10" t="s">
        <v>113</v>
      </c>
      <c r="F10" t="s">
        <v>14</v>
      </c>
      <c r="G10" t="s">
        <v>66</v>
      </c>
      <c r="H10" t="s">
        <v>37</v>
      </c>
      <c r="I10" t="s">
        <v>7</v>
      </c>
      <c r="J10" t="s">
        <v>24</v>
      </c>
      <c r="K10" t="s">
        <v>58</v>
      </c>
      <c r="L10" t="s">
        <v>25</v>
      </c>
      <c r="M10">
        <v>2</v>
      </c>
    </row>
    <row r="11" spans="1:13" x14ac:dyDescent="0.25">
      <c r="A11" s="2">
        <v>46304</v>
      </c>
      <c r="B11" s="1" t="str">
        <f ca="1">IF(Información1[[#This Row],[Fecha]]='Ajuste de fechas'!$A$2,"Día actual","Día anterior")</f>
        <v>Día anterior</v>
      </c>
      <c r="C11" t="s">
        <v>56</v>
      </c>
      <c r="D11" t="s">
        <v>57</v>
      </c>
      <c r="E11" t="s">
        <v>114</v>
      </c>
      <c r="F11" t="s">
        <v>115</v>
      </c>
      <c r="G11" t="s">
        <v>116</v>
      </c>
      <c r="H11" t="s">
        <v>37</v>
      </c>
      <c r="I11" t="s">
        <v>7</v>
      </c>
      <c r="J11" t="s">
        <v>16</v>
      </c>
      <c r="K11" t="s">
        <v>82</v>
      </c>
      <c r="L11" t="s">
        <v>25</v>
      </c>
      <c r="M11">
        <v>2</v>
      </c>
    </row>
    <row r="12" spans="1:13" x14ac:dyDescent="0.25">
      <c r="A12" s="2">
        <v>46304</v>
      </c>
      <c r="B12" s="1" t="str">
        <f ca="1">IF(Información1[[#This Row],[Fecha]]='Ajuste de fechas'!$A$2,"Día actual","Día anterior")</f>
        <v>Día anterior</v>
      </c>
      <c r="C12" t="s">
        <v>56</v>
      </c>
      <c r="D12" t="s">
        <v>57</v>
      </c>
      <c r="E12" t="s">
        <v>117</v>
      </c>
      <c r="F12" t="s">
        <v>42</v>
      </c>
      <c r="G12" t="s">
        <v>100</v>
      </c>
      <c r="H12" t="s">
        <v>37</v>
      </c>
      <c r="I12" t="s">
        <v>7</v>
      </c>
      <c r="J12" t="s">
        <v>24</v>
      </c>
      <c r="K12" t="s">
        <v>82</v>
      </c>
      <c r="L12" t="s">
        <v>25</v>
      </c>
      <c r="M12">
        <v>2</v>
      </c>
    </row>
    <row r="13" spans="1:13" x14ac:dyDescent="0.25">
      <c r="A13" s="2">
        <v>46304</v>
      </c>
      <c r="B13" s="1" t="str">
        <f ca="1">IF(Información1[[#This Row],[Fecha]]='Ajuste de fechas'!$A$2,"Día actual","Día anterior")</f>
        <v>Día anterior</v>
      </c>
      <c r="C13" t="s">
        <v>48</v>
      </c>
      <c r="D13" t="s">
        <v>49</v>
      </c>
      <c r="E13" t="s">
        <v>118</v>
      </c>
      <c r="F13" t="s">
        <v>50</v>
      </c>
      <c r="G13" t="s">
        <v>90</v>
      </c>
      <c r="H13" t="s">
        <v>51</v>
      </c>
      <c r="I13" t="s">
        <v>7</v>
      </c>
      <c r="J13" t="s">
        <v>52</v>
      </c>
      <c r="K13" t="s">
        <v>54</v>
      </c>
      <c r="L13" t="s">
        <v>34</v>
      </c>
      <c r="M13">
        <v>2</v>
      </c>
    </row>
    <row r="14" spans="1:13" x14ac:dyDescent="0.25">
      <c r="A14" s="2">
        <v>46304</v>
      </c>
      <c r="B14" s="1" t="str">
        <f ca="1">IF(Información1[[#This Row],[Fecha]]='Ajuste de fechas'!$A$2,"Día actual","Día anterior")</f>
        <v>Día anterior</v>
      </c>
      <c r="C14" t="s">
        <v>48</v>
      </c>
      <c r="D14" t="s">
        <v>49</v>
      </c>
      <c r="E14" t="s">
        <v>119</v>
      </c>
      <c r="F14" t="s">
        <v>120</v>
      </c>
      <c r="G14" t="s">
        <v>78</v>
      </c>
      <c r="H14" t="s">
        <v>51</v>
      </c>
      <c r="I14" t="s">
        <v>7</v>
      </c>
      <c r="J14" t="s">
        <v>16</v>
      </c>
      <c r="K14" t="s">
        <v>54</v>
      </c>
      <c r="L14" t="s">
        <v>25</v>
      </c>
      <c r="M14">
        <v>2</v>
      </c>
    </row>
    <row r="15" spans="1:13" x14ac:dyDescent="0.25">
      <c r="A15" s="2">
        <v>46304</v>
      </c>
      <c r="B15" s="1" t="str">
        <f ca="1">IF(Información1[[#This Row],[Fecha]]='Ajuste de fechas'!$A$2,"Día actual","Día anterior")</f>
        <v>Día anterior</v>
      </c>
      <c r="C15" t="s">
        <v>48</v>
      </c>
      <c r="D15" t="s">
        <v>49</v>
      </c>
      <c r="E15" t="s">
        <v>121</v>
      </c>
      <c r="F15" t="s">
        <v>85</v>
      </c>
      <c r="G15" t="s">
        <v>76</v>
      </c>
      <c r="H15" t="s">
        <v>51</v>
      </c>
      <c r="I15" t="s">
        <v>7</v>
      </c>
      <c r="J15" t="s">
        <v>24</v>
      </c>
      <c r="K15" t="s">
        <v>54</v>
      </c>
      <c r="L15" t="s">
        <v>27</v>
      </c>
      <c r="M15">
        <v>2</v>
      </c>
    </row>
    <row r="16" spans="1:13" x14ac:dyDescent="0.25">
      <c r="A16" s="2">
        <v>46304</v>
      </c>
      <c r="B16" s="1" t="str">
        <f ca="1">IF(Información1[[#This Row],[Fecha]]='Ajuste de fechas'!$A$2,"Día actual","Día anterior")</f>
        <v>Día anterior</v>
      </c>
      <c r="C16" t="s">
        <v>48</v>
      </c>
      <c r="D16" t="s">
        <v>49</v>
      </c>
      <c r="E16" t="s">
        <v>122</v>
      </c>
      <c r="F16" t="s">
        <v>50</v>
      </c>
      <c r="G16" t="s">
        <v>55</v>
      </c>
      <c r="H16" t="s">
        <v>51</v>
      </c>
      <c r="I16" t="s">
        <v>7</v>
      </c>
      <c r="J16" t="s">
        <v>52</v>
      </c>
      <c r="K16" t="s">
        <v>54</v>
      </c>
      <c r="L16" t="s">
        <v>25</v>
      </c>
      <c r="M16">
        <v>2</v>
      </c>
    </row>
    <row r="17" spans="1:13" x14ac:dyDescent="0.25">
      <c r="A17" s="2">
        <v>46304</v>
      </c>
      <c r="B17" s="1" t="str">
        <f ca="1">IF(Información1[[#This Row],[Fecha]]='Ajuste de fechas'!$A$2,"Día actual","Día anterior")</f>
        <v>Día anterior</v>
      </c>
      <c r="C17" t="s">
        <v>48</v>
      </c>
      <c r="D17" t="s">
        <v>49</v>
      </c>
      <c r="E17" t="s">
        <v>123</v>
      </c>
      <c r="F17" t="s">
        <v>35</v>
      </c>
      <c r="G17" t="s">
        <v>88</v>
      </c>
      <c r="H17" t="s">
        <v>51</v>
      </c>
      <c r="I17" t="s">
        <v>17</v>
      </c>
      <c r="J17" t="s">
        <v>24</v>
      </c>
      <c r="K17" t="s">
        <v>54</v>
      </c>
      <c r="L17" t="s">
        <v>26</v>
      </c>
      <c r="M17">
        <v>2</v>
      </c>
    </row>
    <row r="18" spans="1:13" x14ac:dyDescent="0.25">
      <c r="A18" s="2">
        <v>46304</v>
      </c>
      <c r="B18" s="1" t="str">
        <f ca="1">IF(Información1[[#This Row],[Fecha]]='Ajuste de fechas'!$A$2,"Día actual","Día anterior")</f>
        <v>Día anterior</v>
      </c>
      <c r="C18" t="s">
        <v>48</v>
      </c>
      <c r="D18" t="s">
        <v>49</v>
      </c>
      <c r="E18" t="s">
        <v>124</v>
      </c>
      <c r="F18" t="s">
        <v>85</v>
      </c>
      <c r="G18" t="s">
        <v>125</v>
      </c>
      <c r="H18" t="s">
        <v>51</v>
      </c>
      <c r="I18" t="s">
        <v>10</v>
      </c>
      <c r="J18" t="s">
        <v>24</v>
      </c>
      <c r="K18" t="s">
        <v>54</v>
      </c>
      <c r="L18" t="s">
        <v>25</v>
      </c>
      <c r="M18">
        <v>2</v>
      </c>
    </row>
    <row r="19" spans="1:13" x14ac:dyDescent="0.25">
      <c r="A19" s="2">
        <v>46304</v>
      </c>
      <c r="B19" s="1" t="str">
        <f ca="1">IF(Información1[[#This Row],[Fecha]]='Ajuste de fechas'!$A$2,"Día actual","Día anterior")</f>
        <v>Día anterior</v>
      </c>
      <c r="C19" t="s">
        <v>48</v>
      </c>
      <c r="D19" t="s">
        <v>49</v>
      </c>
      <c r="E19" t="s">
        <v>126</v>
      </c>
      <c r="F19" t="s">
        <v>85</v>
      </c>
      <c r="G19" t="s">
        <v>91</v>
      </c>
      <c r="H19" t="s">
        <v>51</v>
      </c>
      <c r="I19" t="s">
        <v>7</v>
      </c>
      <c r="J19" t="s">
        <v>24</v>
      </c>
      <c r="K19" t="s">
        <v>54</v>
      </c>
      <c r="L19" t="s">
        <v>25</v>
      </c>
      <c r="M19">
        <v>2</v>
      </c>
    </row>
    <row r="20" spans="1:13" x14ac:dyDescent="0.25">
      <c r="A20" s="2">
        <v>46304</v>
      </c>
      <c r="B20" s="1" t="str">
        <f ca="1">IF(Información1[[#This Row],[Fecha]]='Ajuste de fechas'!$A$2,"Día actual","Día anterior")</f>
        <v>Día anterior</v>
      </c>
      <c r="C20" t="s">
        <v>48</v>
      </c>
      <c r="D20" t="s">
        <v>49</v>
      </c>
      <c r="E20" t="s">
        <v>127</v>
      </c>
      <c r="F20" t="s">
        <v>35</v>
      </c>
      <c r="G20" t="s">
        <v>81</v>
      </c>
      <c r="H20" t="s">
        <v>51</v>
      </c>
      <c r="I20" t="s">
        <v>7</v>
      </c>
      <c r="J20" t="s">
        <v>24</v>
      </c>
      <c r="K20" t="s">
        <v>53</v>
      </c>
      <c r="L20" t="s">
        <v>25</v>
      </c>
      <c r="M20">
        <v>2</v>
      </c>
    </row>
    <row r="21" spans="1:13" x14ac:dyDescent="0.25">
      <c r="A21" s="2">
        <v>46304</v>
      </c>
      <c r="B21" s="1" t="str">
        <f ca="1">IF(Información1[[#This Row],[Fecha]]='Ajuste de fechas'!$A$2,"Día actual","Día anterior")</f>
        <v>Día anterior</v>
      </c>
      <c r="C21" t="s">
        <v>86</v>
      </c>
      <c r="D21" t="s">
        <v>67</v>
      </c>
      <c r="E21" t="s">
        <v>128</v>
      </c>
      <c r="F21" t="s">
        <v>15</v>
      </c>
      <c r="G21" t="s">
        <v>129</v>
      </c>
      <c r="H21" t="s">
        <v>37</v>
      </c>
      <c r="I21" t="s">
        <v>7</v>
      </c>
      <c r="J21" t="s">
        <v>29</v>
      </c>
      <c r="K21" t="s">
        <v>68</v>
      </c>
      <c r="L21" t="s">
        <v>25</v>
      </c>
      <c r="M21">
        <v>1</v>
      </c>
    </row>
    <row r="22" spans="1:13" x14ac:dyDescent="0.25">
      <c r="A22" s="2">
        <v>46304</v>
      </c>
      <c r="B22" s="1" t="str">
        <f ca="1">IF(Información1[[#This Row],[Fecha]]='Ajuste de fechas'!$A$2,"Día actual","Día anterior")</f>
        <v>Día anterior</v>
      </c>
      <c r="C22" t="s">
        <v>86</v>
      </c>
      <c r="D22" t="s">
        <v>67</v>
      </c>
      <c r="E22" t="s">
        <v>130</v>
      </c>
      <c r="F22" t="s">
        <v>42</v>
      </c>
      <c r="G22" t="s">
        <v>100</v>
      </c>
      <c r="H22" t="s">
        <v>37</v>
      </c>
      <c r="I22" t="s">
        <v>7</v>
      </c>
      <c r="J22" t="s">
        <v>24</v>
      </c>
      <c r="K22" t="s">
        <v>68</v>
      </c>
      <c r="L22" t="s">
        <v>25</v>
      </c>
      <c r="M22">
        <v>1</v>
      </c>
    </row>
    <row r="23" spans="1:13" x14ac:dyDescent="0.25">
      <c r="A23" s="2">
        <v>46304</v>
      </c>
      <c r="B23" s="1" t="str">
        <f ca="1">IF(Información1[[#This Row],[Fecha]]='Ajuste de fechas'!$A$2,"Día actual","Día anterior")</f>
        <v>Día anterior</v>
      </c>
      <c r="C23" t="s">
        <v>86</v>
      </c>
      <c r="D23" t="s">
        <v>67</v>
      </c>
      <c r="E23" t="s">
        <v>131</v>
      </c>
      <c r="F23" t="s">
        <v>15</v>
      </c>
      <c r="G23" t="s">
        <v>132</v>
      </c>
      <c r="H23" t="s">
        <v>37</v>
      </c>
      <c r="I23" t="s">
        <v>7</v>
      </c>
      <c r="J23" t="s">
        <v>29</v>
      </c>
      <c r="K23" t="s">
        <v>68</v>
      </c>
      <c r="L23" t="s">
        <v>25</v>
      </c>
      <c r="M23">
        <v>1</v>
      </c>
    </row>
    <row r="24" spans="1:13" x14ac:dyDescent="0.25">
      <c r="A24" s="2">
        <v>46304</v>
      </c>
      <c r="B24" s="1" t="str">
        <f ca="1">IF(Información1[[#This Row],[Fecha]]='Ajuste de fechas'!$A$2,"Día actual","Día anterior")</f>
        <v>Día anterior</v>
      </c>
      <c r="C24" t="s">
        <v>86</v>
      </c>
      <c r="D24" t="s">
        <v>67</v>
      </c>
      <c r="E24" t="s">
        <v>133</v>
      </c>
      <c r="F24" t="s">
        <v>16</v>
      </c>
      <c r="H24" t="s">
        <v>37</v>
      </c>
      <c r="I24" t="s">
        <v>7</v>
      </c>
      <c r="J24" t="s">
        <v>16</v>
      </c>
      <c r="K24" t="s">
        <v>68</v>
      </c>
      <c r="L24" t="s">
        <v>25</v>
      </c>
      <c r="M24">
        <v>1</v>
      </c>
    </row>
    <row r="25" spans="1:13" x14ac:dyDescent="0.25">
      <c r="A25" s="2">
        <v>46304</v>
      </c>
      <c r="B25" s="1" t="str">
        <f ca="1">IF(Información1[[#This Row],[Fecha]]='Ajuste de fechas'!$A$2,"Día actual","Día anterior")</f>
        <v>Día anterior</v>
      </c>
      <c r="C25" t="s">
        <v>86</v>
      </c>
      <c r="D25" t="s">
        <v>67</v>
      </c>
      <c r="E25" t="s">
        <v>134</v>
      </c>
      <c r="F25" t="s">
        <v>35</v>
      </c>
      <c r="G25" t="s">
        <v>99</v>
      </c>
      <c r="H25" t="s">
        <v>37</v>
      </c>
      <c r="I25" t="s">
        <v>7</v>
      </c>
      <c r="J25" t="s">
        <v>24</v>
      </c>
      <c r="K25" t="s">
        <v>68</v>
      </c>
      <c r="L25" t="s">
        <v>25</v>
      </c>
      <c r="M25">
        <v>1</v>
      </c>
    </row>
    <row r="26" spans="1:13" x14ac:dyDescent="0.25">
      <c r="A26" s="2">
        <v>46304</v>
      </c>
      <c r="B26" s="1" t="str">
        <f ca="1">IF(Información1[[#This Row],[Fecha]]='Ajuste de fechas'!$A$2,"Día actual","Día anterior")</f>
        <v>Día anterior</v>
      </c>
      <c r="C26" t="s">
        <v>86</v>
      </c>
      <c r="D26" t="s">
        <v>67</v>
      </c>
      <c r="E26" t="s">
        <v>135</v>
      </c>
      <c r="F26" t="s">
        <v>35</v>
      </c>
      <c r="G26" t="s">
        <v>136</v>
      </c>
      <c r="H26" t="s">
        <v>37</v>
      </c>
      <c r="I26" t="s">
        <v>7</v>
      </c>
      <c r="J26" t="s">
        <v>24</v>
      </c>
      <c r="K26" t="s">
        <v>68</v>
      </c>
      <c r="L26" t="s">
        <v>25</v>
      </c>
      <c r="M26">
        <v>1</v>
      </c>
    </row>
    <row r="27" spans="1:13" x14ac:dyDescent="0.25">
      <c r="A27" s="2">
        <v>46304</v>
      </c>
      <c r="B27" s="1" t="str">
        <f ca="1">IF(Información1[[#This Row],[Fecha]]='Ajuste de fechas'!$A$2,"Día actual","Día anterior")</f>
        <v>Día anterior</v>
      </c>
      <c r="C27" t="s">
        <v>86</v>
      </c>
      <c r="D27" t="s">
        <v>67</v>
      </c>
      <c r="E27" t="s">
        <v>137</v>
      </c>
      <c r="F27" t="s">
        <v>85</v>
      </c>
      <c r="G27" t="s">
        <v>76</v>
      </c>
      <c r="H27" t="s">
        <v>37</v>
      </c>
      <c r="I27" t="s">
        <v>7</v>
      </c>
      <c r="J27" t="s">
        <v>24</v>
      </c>
      <c r="K27" t="s">
        <v>68</v>
      </c>
      <c r="L27" t="s">
        <v>27</v>
      </c>
      <c r="M27">
        <v>1</v>
      </c>
    </row>
    <row r="28" spans="1:13" x14ac:dyDescent="0.25">
      <c r="A28" s="2">
        <v>46304</v>
      </c>
      <c r="B28" s="1" t="str">
        <f ca="1">IF(Información1[[#This Row],[Fecha]]='Ajuste de fechas'!$A$2,"Día actual","Día anterior")</f>
        <v>Día anterior</v>
      </c>
      <c r="C28" t="s">
        <v>86</v>
      </c>
      <c r="D28" t="s">
        <v>67</v>
      </c>
      <c r="E28" t="s">
        <v>138</v>
      </c>
      <c r="F28" t="s">
        <v>15</v>
      </c>
      <c r="G28" t="s">
        <v>91</v>
      </c>
      <c r="H28" t="s">
        <v>37</v>
      </c>
      <c r="I28" t="s">
        <v>7</v>
      </c>
      <c r="J28" t="s">
        <v>29</v>
      </c>
      <c r="K28" t="s">
        <v>68</v>
      </c>
      <c r="L28" t="s">
        <v>26</v>
      </c>
      <c r="M28">
        <v>1</v>
      </c>
    </row>
    <row r="29" spans="1:13" x14ac:dyDescent="0.25">
      <c r="A29" s="2">
        <v>46304</v>
      </c>
      <c r="B29" s="1" t="str">
        <f ca="1">IF(Información1[[#This Row],[Fecha]]='Ajuste de fechas'!$A$2,"Día actual","Día anterior")</f>
        <v>Día anterior</v>
      </c>
      <c r="C29" t="s">
        <v>86</v>
      </c>
      <c r="D29" t="s">
        <v>67</v>
      </c>
      <c r="E29" t="s">
        <v>139</v>
      </c>
      <c r="F29" t="s">
        <v>15</v>
      </c>
      <c r="G29" t="s">
        <v>91</v>
      </c>
      <c r="H29" t="s">
        <v>37</v>
      </c>
      <c r="I29" t="s">
        <v>7</v>
      </c>
      <c r="J29" t="s">
        <v>29</v>
      </c>
      <c r="K29" t="s">
        <v>68</v>
      </c>
      <c r="L29" t="s">
        <v>25</v>
      </c>
      <c r="M29">
        <v>1</v>
      </c>
    </row>
    <row r="30" spans="1:13" x14ac:dyDescent="0.25">
      <c r="A30" s="2">
        <v>46304</v>
      </c>
      <c r="B30" s="1" t="str">
        <f ca="1">IF(Información1[[#This Row],[Fecha]]='Ajuste de fechas'!$A$2,"Día actual","Día anterior")</f>
        <v>Día anterior</v>
      </c>
      <c r="C30" t="s">
        <v>60</v>
      </c>
      <c r="D30" t="s">
        <v>61</v>
      </c>
      <c r="E30" t="s">
        <v>140</v>
      </c>
      <c r="F30" t="s">
        <v>141</v>
      </c>
      <c r="G30" t="s">
        <v>142</v>
      </c>
      <c r="H30" t="s">
        <v>37</v>
      </c>
      <c r="I30" t="s">
        <v>7</v>
      </c>
      <c r="J30" t="s">
        <v>24</v>
      </c>
      <c r="K30" t="s">
        <v>62</v>
      </c>
      <c r="L30" t="s">
        <v>27</v>
      </c>
      <c r="M30">
        <v>1</v>
      </c>
    </row>
    <row r="31" spans="1:13" x14ac:dyDescent="0.25">
      <c r="A31" s="2">
        <v>46304</v>
      </c>
      <c r="B31" s="1" t="str">
        <f ca="1">IF(Información1[[#This Row],[Fecha]]='Ajuste de fechas'!$A$2,"Día actual","Día anterior")</f>
        <v>Día anterior</v>
      </c>
      <c r="C31" t="s">
        <v>8</v>
      </c>
      <c r="D31" t="s">
        <v>9</v>
      </c>
      <c r="E31" t="s">
        <v>143</v>
      </c>
      <c r="F31" t="s">
        <v>12</v>
      </c>
      <c r="G31" t="s">
        <v>144</v>
      </c>
      <c r="H31" t="s">
        <v>37</v>
      </c>
      <c r="I31" t="s">
        <v>17</v>
      </c>
      <c r="J31" t="s">
        <v>24</v>
      </c>
      <c r="K31" t="s">
        <v>44</v>
      </c>
      <c r="L31" t="s">
        <v>26</v>
      </c>
      <c r="M31">
        <v>1</v>
      </c>
    </row>
    <row r="32" spans="1:13" x14ac:dyDescent="0.25">
      <c r="A32" s="2">
        <v>46304</v>
      </c>
      <c r="B32" s="1" t="str">
        <f ca="1">IF(Información1[[#This Row],[Fecha]]='Ajuste de fechas'!$A$2,"Día actual","Día anterior")</f>
        <v>Día anterior</v>
      </c>
      <c r="C32" t="s">
        <v>8</v>
      </c>
      <c r="D32" t="s">
        <v>9</v>
      </c>
      <c r="E32" t="s">
        <v>145</v>
      </c>
      <c r="F32" t="s">
        <v>12</v>
      </c>
      <c r="G32" t="s">
        <v>144</v>
      </c>
      <c r="H32" t="s">
        <v>37</v>
      </c>
      <c r="I32" t="s">
        <v>17</v>
      </c>
      <c r="J32" t="s">
        <v>24</v>
      </c>
      <c r="K32" t="s">
        <v>44</v>
      </c>
      <c r="L32" t="s">
        <v>26</v>
      </c>
      <c r="M32">
        <v>1</v>
      </c>
    </row>
    <row r="33" spans="1:13" x14ac:dyDescent="0.25">
      <c r="A33" s="2">
        <v>46304</v>
      </c>
      <c r="B33" s="1" t="str">
        <f ca="1">IF(Información1[[#This Row],[Fecha]]='Ajuste de fechas'!$A$2,"Día actual","Día anterior")</f>
        <v>Día anterior</v>
      </c>
      <c r="C33" t="s">
        <v>8</v>
      </c>
      <c r="D33" t="s">
        <v>9</v>
      </c>
      <c r="E33" t="s">
        <v>146</v>
      </c>
      <c r="F33" t="s">
        <v>12</v>
      </c>
      <c r="G33" t="s">
        <v>101</v>
      </c>
      <c r="H33" t="s">
        <v>37</v>
      </c>
      <c r="I33" t="s">
        <v>17</v>
      </c>
      <c r="J33" t="s">
        <v>24</v>
      </c>
      <c r="K33" t="s">
        <v>44</v>
      </c>
      <c r="L33" t="s">
        <v>26</v>
      </c>
      <c r="M33">
        <v>1</v>
      </c>
    </row>
    <row r="34" spans="1:13" x14ac:dyDescent="0.25">
      <c r="A34" s="2">
        <v>46304</v>
      </c>
      <c r="B34" s="1" t="str">
        <f ca="1">IF(Información1[[#This Row],[Fecha]]='Ajuste de fechas'!$A$2,"Día actual","Día anterior")</f>
        <v>Día anterior</v>
      </c>
      <c r="C34" t="s">
        <v>8</v>
      </c>
      <c r="D34" t="s">
        <v>9</v>
      </c>
      <c r="E34" t="s">
        <v>147</v>
      </c>
      <c r="F34" t="s">
        <v>6</v>
      </c>
      <c r="G34" t="s">
        <v>69</v>
      </c>
      <c r="H34" t="s">
        <v>37</v>
      </c>
      <c r="I34" t="s">
        <v>17</v>
      </c>
      <c r="J34" t="s">
        <v>24</v>
      </c>
      <c r="K34" t="s">
        <v>44</v>
      </c>
      <c r="L34" t="s">
        <v>26</v>
      </c>
      <c r="M34">
        <v>1</v>
      </c>
    </row>
    <row r="35" spans="1:13" x14ac:dyDescent="0.25">
      <c r="A35" s="2">
        <v>46304</v>
      </c>
      <c r="B35" s="1" t="str">
        <f ca="1">IF(Información1[[#This Row],[Fecha]]='Ajuste de fechas'!$A$2,"Día actual","Día anterior")</f>
        <v>Día anterior</v>
      </c>
      <c r="C35" t="s">
        <v>8</v>
      </c>
      <c r="D35" t="s">
        <v>9</v>
      </c>
      <c r="E35" t="s">
        <v>148</v>
      </c>
      <c r="F35" t="s">
        <v>6</v>
      </c>
      <c r="G35" t="s">
        <v>149</v>
      </c>
      <c r="H35" t="s">
        <v>37</v>
      </c>
      <c r="I35" t="s">
        <v>17</v>
      </c>
      <c r="J35" t="s">
        <v>24</v>
      </c>
      <c r="K35" t="s">
        <v>44</v>
      </c>
      <c r="L35" t="s">
        <v>26</v>
      </c>
      <c r="M35">
        <v>1</v>
      </c>
    </row>
    <row r="36" spans="1:13" x14ac:dyDescent="0.25">
      <c r="A36" s="2">
        <v>46304</v>
      </c>
      <c r="B36" s="1" t="str">
        <f ca="1">IF(Información1[[#This Row],[Fecha]]='Ajuste de fechas'!$A$2,"Día actual","Día anterior")</f>
        <v>Día anterior</v>
      </c>
      <c r="C36" t="s">
        <v>8</v>
      </c>
      <c r="D36" t="s">
        <v>9</v>
      </c>
      <c r="E36" t="s">
        <v>150</v>
      </c>
      <c r="F36" t="s">
        <v>36</v>
      </c>
      <c r="G36" t="s">
        <v>79</v>
      </c>
      <c r="H36" t="s">
        <v>37</v>
      </c>
      <c r="I36" t="s">
        <v>7</v>
      </c>
      <c r="J36" t="s">
        <v>24</v>
      </c>
      <c r="K36" t="s">
        <v>11</v>
      </c>
      <c r="L36" t="s">
        <v>26</v>
      </c>
      <c r="M36">
        <v>1</v>
      </c>
    </row>
    <row r="37" spans="1:13" x14ac:dyDescent="0.25">
      <c r="A37" s="2">
        <v>46304</v>
      </c>
      <c r="B37" s="1" t="str">
        <f ca="1">IF(Información1[[#This Row],[Fecha]]='Ajuste de fechas'!$A$2,"Día actual","Día anterior")</f>
        <v>Día anterior</v>
      </c>
      <c r="C37" t="s">
        <v>8</v>
      </c>
      <c r="D37" t="s">
        <v>9</v>
      </c>
      <c r="E37" t="s">
        <v>151</v>
      </c>
      <c r="F37" t="s">
        <v>15</v>
      </c>
      <c r="G37" t="s">
        <v>152</v>
      </c>
      <c r="H37" t="s">
        <v>37</v>
      </c>
      <c r="I37" t="s">
        <v>7</v>
      </c>
      <c r="J37" t="s">
        <v>29</v>
      </c>
      <c r="K37" t="s">
        <v>11</v>
      </c>
      <c r="L37" t="s">
        <v>25</v>
      </c>
      <c r="M37">
        <v>1</v>
      </c>
    </row>
    <row r="38" spans="1:13" x14ac:dyDescent="0.25">
      <c r="A38" s="2">
        <v>46304</v>
      </c>
      <c r="B38" s="1" t="str">
        <f ca="1">IF(Información1[[#This Row],[Fecha]]='Ajuste de fechas'!$A$2,"Día actual","Día anterior")</f>
        <v>Día anterior</v>
      </c>
      <c r="C38" t="s">
        <v>8</v>
      </c>
      <c r="D38" t="s">
        <v>9</v>
      </c>
      <c r="E38" t="s">
        <v>153</v>
      </c>
      <c r="F38" t="s">
        <v>14</v>
      </c>
      <c r="G38" t="s">
        <v>154</v>
      </c>
      <c r="H38" t="s">
        <v>37</v>
      </c>
      <c r="I38" t="s">
        <v>7</v>
      </c>
      <c r="J38" t="s">
        <v>24</v>
      </c>
      <c r="K38" t="s">
        <v>11</v>
      </c>
      <c r="L38" t="s">
        <v>27</v>
      </c>
      <c r="M38">
        <v>1</v>
      </c>
    </row>
    <row r="39" spans="1:13" x14ac:dyDescent="0.25">
      <c r="A39" s="2">
        <v>46304</v>
      </c>
      <c r="B39" s="1" t="str">
        <f ca="1">IF(Información1[[#This Row],[Fecha]]='Ajuste de fechas'!$A$2,"Día actual","Día anterior")</f>
        <v>Día anterior</v>
      </c>
      <c r="C39" t="s">
        <v>8</v>
      </c>
      <c r="D39" t="s">
        <v>9</v>
      </c>
      <c r="E39" t="s">
        <v>155</v>
      </c>
      <c r="F39" t="s">
        <v>13</v>
      </c>
      <c r="G39" t="s">
        <v>156</v>
      </c>
      <c r="H39" t="s">
        <v>37</v>
      </c>
      <c r="I39" t="s">
        <v>7</v>
      </c>
      <c r="J39" t="s">
        <v>28</v>
      </c>
      <c r="K39" t="s">
        <v>11</v>
      </c>
      <c r="L39" t="s">
        <v>25</v>
      </c>
      <c r="M39">
        <v>1</v>
      </c>
    </row>
    <row r="40" spans="1:13" x14ac:dyDescent="0.25">
      <c r="A40" s="2">
        <v>46304</v>
      </c>
      <c r="B40" s="1" t="str">
        <f ca="1">IF(Información1[[#This Row],[Fecha]]='Ajuste de fechas'!$A$2,"Día actual","Día anterior")</f>
        <v>Día anterior</v>
      </c>
      <c r="C40" t="s">
        <v>8</v>
      </c>
      <c r="D40" t="s">
        <v>9</v>
      </c>
      <c r="E40" t="s">
        <v>157</v>
      </c>
      <c r="F40" t="s">
        <v>6</v>
      </c>
      <c r="G40" t="s">
        <v>80</v>
      </c>
      <c r="H40" t="s">
        <v>37</v>
      </c>
      <c r="I40" t="s">
        <v>7</v>
      </c>
      <c r="J40" t="s">
        <v>24</v>
      </c>
      <c r="K40" t="s">
        <v>11</v>
      </c>
      <c r="L40" t="s">
        <v>25</v>
      </c>
      <c r="M40">
        <v>1</v>
      </c>
    </row>
    <row r="41" spans="1:13" x14ac:dyDescent="0.25">
      <c r="A41" s="2">
        <v>46304</v>
      </c>
      <c r="B41" s="1" t="str">
        <f ca="1">IF(Información1[[#This Row],[Fecha]]='Ajuste de fechas'!$A$2,"Día actual","Día anterior")</f>
        <v>Día anterior</v>
      </c>
      <c r="C41" t="s">
        <v>8</v>
      </c>
      <c r="D41" t="s">
        <v>9</v>
      </c>
      <c r="E41" t="s">
        <v>158</v>
      </c>
      <c r="F41" t="s">
        <v>83</v>
      </c>
      <c r="G41" t="s">
        <v>65</v>
      </c>
      <c r="H41" t="s">
        <v>37</v>
      </c>
      <c r="I41" t="s">
        <v>7</v>
      </c>
      <c r="J41" t="s">
        <v>24</v>
      </c>
      <c r="K41" t="s">
        <v>11</v>
      </c>
      <c r="L41" t="s">
        <v>27</v>
      </c>
      <c r="M41">
        <v>1</v>
      </c>
    </row>
    <row r="42" spans="1:13" x14ac:dyDescent="0.25">
      <c r="A42" s="2">
        <v>46304</v>
      </c>
      <c r="B42" s="1" t="str">
        <f ca="1">IF(Información1[[#This Row],[Fecha]]='Ajuste de fechas'!$A$2,"Día actual","Día anterior")</f>
        <v>Día anterior</v>
      </c>
      <c r="C42" t="s">
        <v>8</v>
      </c>
      <c r="D42" t="s">
        <v>9</v>
      </c>
      <c r="E42" t="s">
        <v>159</v>
      </c>
      <c r="F42" t="s">
        <v>35</v>
      </c>
      <c r="G42" t="s">
        <v>99</v>
      </c>
      <c r="H42" t="s">
        <v>37</v>
      </c>
      <c r="I42" t="s">
        <v>7</v>
      </c>
      <c r="J42" t="s">
        <v>24</v>
      </c>
      <c r="K42" t="s">
        <v>11</v>
      </c>
      <c r="L42" t="s">
        <v>25</v>
      </c>
      <c r="M42">
        <v>1</v>
      </c>
    </row>
    <row r="43" spans="1:13" x14ac:dyDescent="0.25">
      <c r="A43" s="2">
        <v>46304</v>
      </c>
      <c r="B43" s="1" t="str">
        <f ca="1">IF(Información1[[#This Row],[Fecha]]='Ajuste de fechas'!$A$2,"Día actual","Día anterior")</f>
        <v>Día anterior</v>
      </c>
      <c r="C43" t="s">
        <v>8</v>
      </c>
      <c r="D43" t="s">
        <v>9</v>
      </c>
      <c r="E43" t="s">
        <v>70</v>
      </c>
      <c r="F43" t="s">
        <v>13</v>
      </c>
      <c r="G43" t="s">
        <v>71</v>
      </c>
      <c r="H43" t="s">
        <v>37</v>
      </c>
      <c r="I43" t="s">
        <v>10</v>
      </c>
      <c r="J43" t="s">
        <v>28</v>
      </c>
      <c r="K43" t="s">
        <v>11</v>
      </c>
      <c r="L43" t="s">
        <v>26</v>
      </c>
      <c r="M43">
        <v>1</v>
      </c>
    </row>
    <row r="44" spans="1:13" x14ac:dyDescent="0.25">
      <c r="A44" s="2">
        <v>46304</v>
      </c>
      <c r="B44" s="1" t="str">
        <f ca="1">IF(Información1[[#This Row],[Fecha]]='Ajuste de fechas'!$A$2,"Día actual","Día anterior")</f>
        <v>Día anterior</v>
      </c>
      <c r="C44" t="s">
        <v>8</v>
      </c>
      <c r="D44" t="s">
        <v>9</v>
      </c>
      <c r="E44" t="s">
        <v>72</v>
      </c>
      <c r="F44" t="s">
        <v>13</v>
      </c>
      <c r="G44" t="s">
        <v>71</v>
      </c>
      <c r="H44" t="s">
        <v>37</v>
      </c>
      <c r="I44" t="s">
        <v>10</v>
      </c>
      <c r="J44" t="s">
        <v>28</v>
      </c>
      <c r="K44" t="s">
        <v>11</v>
      </c>
      <c r="L44" t="s">
        <v>26</v>
      </c>
      <c r="M44">
        <v>1</v>
      </c>
    </row>
    <row r="45" spans="1:13" x14ac:dyDescent="0.25">
      <c r="A45" s="2">
        <v>46304</v>
      </c>
      <c r="B45" s="1" t="str">
        <f ca="1">IF(Información1[[#This Row],[Fecha]]='Ajuste de fechas'!$A$2,"Día actual","Día anterior")</f>
        <v>Día anterior</v>
      </c>
      <c r="C45" t="s">
        <v>8</v>
      </c>
      <c r="D45" t="s">
        <v>9</v>
      </c>
      <c r="E45" t="s">
        <v>73</v>
      </c>
      <c r="F45" t="s">
        <v>33</v>
      </c>
      <c r="G45" t="s">
        <v>71</v>
      </c>
      <c r="H45" t="s">
        <v>37</v>
      </c>
      <c r="I45" t="s">
        <v>10</v>
      </c>
      <c r="J45" t="s">
        <v>16</v>
      </c>
      <c r="K45" t="s">
        <v>11</v>
      </c>
      <c r="L45" t="s">
        <v>26</v>
      </c>
      <c r="M45">
        <v>1</v>
      </c>
    </row>
    <row r="46" spans="1:13" x14ac:dyDescent="0.25">
      <c r="A46" s="2">
        <v>46304</v>
      </c>
      <c r="B46" s="1" t="str">
        <f ca="1">IF(Información1[[#This Row],[Fecha]]='Ajuste de fechas'!$A$2,"Día actual","Día anterior")</f>
        <v>Día anterior</v>
      </c>
      <c r="C46" t="s">
        <v>8</v>
      </c>
      <c r="D46" t="s">
        <v>9</v>
      </c>
      <c r="E46" t="s">
        <v>95</v>
      </c>
      <c r="F46" t="s">
        <v>14</v>
      </c>
      <c r="G46" t="s">
        <v>71</v>
      </c>
      <c r="H46" t="s">
        <v>37</v>
      </c>
      <c r="I46" t="s">
        <v>10</v>
      </c>
      <c r="J46" t="s">
        <v>24</v>
      </c>
      <c r="K46" t="s">
        <v>11</v>
      </c>
      <c r="L46" t="s">
        <v>26</v>
      </c>
      <c r="M46">
        <v>1</v>
      </c>
    </row>
    <row r="47" spans="1:13" x14ac:dyDescent="0.25">
      <c r="A47" s="2">
        <v>46304</v>
      </c>
      <c r="B47" s="1" t="str">
        <f ca="1">IF(Información1[[#This Row],[Fecha]]='Ajuste de fechas'!$A$2,"Día actual","Día anterior")</f>
        <v>Día anterior</v>
      </c>
      <c r="C47" t="s">
        <v>8</v>
      </c>
      <c r="D47" t="s">
        <v>9</v>
      </c>
      <c r="E47" t="s">
        <v>104</v>
      </c>
      <c r="F47" t="s">
        <v>35</v>
      </c>
      <c r="G47" t="s">
        <v>71</v>
      </c>
      <c r="H47" t="s">
        <v>37</v>
      </c>
      <c r="I47" t="s">
        <v>10</v>
      </c>
      <c r="J47" t="s">
        <v>24</v>
      </c>
      <c r="K47" t="s">
        <v>11</v>
      </c>
      <c r="L47" t="s">
        <v>26</v>
      </c>
      <c r="M47">
        <v>1</v>
      </c>
    </row>
    <row r="48" spans="1:13" x14ac:dyDescent="0.25">
      <c r="A48" s="2">
        <v>46304</v>
      </c>
      <c r="B48" s="1" t="str">
        <f ca="1">IF(Información1[[#This Row],[Fecha]]='Ajuste de fechas'!$A$2,"Día actual","Día anterior")</f>
        <v>Día anterior</v>
      </c>
      <c r="C48" t="s">
        <v>8</v>
      </c>
      <c r="D48" t="s">
        <v>9</v>
      </c>
      <c r="E48" t="s">
        <v>87</v>
      </c>
      <c r="F48" t="s">
        <v>12</v>
      </c>
      <c r="G48" t="s">
        <v>71</v>
      </c>
      <c r="H48" t="s">
        <v>37</v>
      </c>
      <c r="I48" t="s">
        <v>10</v>
      </c>
      <c r="J48" t="s">
        <v>24</v>
      </c>
      <c r="K48" t="s">
        <v>11</v>
      </c>
      <c r="L48" t="s">
        <v>26</v>
      </c>
      <c r="M48">
        <v>1</v>
      </c>
    </row>
    <row r="49" spans="1:13" x14ac:dyDescent="0.25">
      <c r="A49" s="2">
        <v>46304</v>
      </c>
      <c r="B49" s="1" t="str">
        <f ca="1">IF(Información1[[#This Row],[Fecha]]='Ajuste de fechas'!$A$2,"Día actual","Día anterior")</f>
        <v>Día anterior</v>
      </c>
      <c r="C49" t="s">
        <v>8</v>
      </c>
      <c r="D49" t="s">
        <v>9</v>
      </c>
      <c r="E49" t="s">
        <v>74</v>
      </c>
      <c r="F49" t="s">
        <v>6</v>
      </c>
      <c r="G49" t="s">
        <v>71</v>
      </c>
      <c r="H49" t="s">
        <v>37</v>
      </c>
      <c r="I49" t="s">
        <v>10</v>
      </c>
      <c r="J49" t="s">
        <v>24</v>
      </c>
      <c r="K49" t="s">
        <v>11</v>
      </c>
      <c r="L49" t="s">
        <v>26</v>
      </c>
      <c r="M49">
        <v>1</v>
      </c>
    </row>
    <row r="50" spans="1:13" x14ac:dyDescent="0.25">
      <c r="A50" s="2">
        <v>46304</v>
      </c>
      <c r="B50" s="1" t="str">
        <f ca="1">IF(Información1[[#This Row],[Fecha]]='Ajuste de fechas'!$A$2,"Día actual","Día anterior")</f>
        <v>Día anterior</v>
      </c>
      <c r="C50" t="s">
        <v>38</v>
      </c>
      <c r="D50" t="s">
        <v>43</v>
      </c>
      <c r="E50" t="s">
        <v>160</v>
      </c>
      <c r="F50" t="s">
        <v>6</v>
      </c>
      <c r="G50" t="s">
        <v>80</v>
      </c>
      <c r="H50" t="s">
        <v>37</v>
      </c>
      <c r="I50" t="s">
        <v>7</v>
      </c>
      <c r="J50" t="s">
        <v>24</v>
      </c>
      <c r="K50" t="s">
        <v>40</v>
      </c>
      <c r="L50" t="s">
        <v>27</v>
      </c>
      <c r="M50">
        <v>1</v>
      </c>
    </row>
    <row r="51" spans="1:13" x14ac:dyDescent="0.25">
      <c r="A51" s="2">
        <v>46304</v>
      </c>
      <c r="B51" s="1" t="str">
        <f ca="1">IF(Información1[[#This Row],[Fecha]]='Ajuste de fechas'!$A$2,"Día actual","Día anterior")</f>
        <v>Día anterior</v>
      </c>
      <c r="C51" t="s">
        <v>38</v>
      </c>
      <c r="D51" t="s">
        <v>43</v>
      </c>
      <c r="E51" t="s">
        <v>161</v>
      </c>
      <c r="F51" t="s">
        <v>15</v>
      </c>
      <c r="G51" t="s">
        <v>129</v>
      </c>
      <c r="H51" t="s">
        <v>37</v>
      </c>
      <c r="I51" t="s">
        <v>17</v>
      </c>
      <c r="J51" t="s">
        <v>29</v>
      </c>
      <c r="K51" t="s">
        <v>40</v>
      </c>
      <c r="L51" t="s">
        <v>25</v>
      </c>
      <c r="M51">
        <v>1</v>
      </c>
    </row>
    <row r="52" spans="1:13" x14ac:dyDescent="0.25">
      <c r="A52" s="2">
        <v>46304</v>
      </c>
      <c r="B52" s="1" t="str">
        <f ca="1">IF(Información1[[#This Row],[Fecha]]='Ajuste de fechas'!$A$2,"Día actual","Día anterior")</f>
        <v>Día anterior</v>
      </c>
      <c r="C52" t="s">
        <v>38</v>
      </c>
      <c r="D52" t="s">
        <v>43</v>
      </c>
      <c r="E52" t="s">
        <v>162</v>
      </c>
      <c r="F52" t="s">
        <v>13</v>
      </c>
      <c r="G52" t="s">
        <v>163</v>
      </c>
      <c r="H52" t="s">
        <v>37</v>
      </c>
      <c r="I52" t="s">
        <v>7</v>
      </c>
      <c r="J52" t="s">
        <v>28</v>
      </c>
      <c r="K52" t="s">
        <v>40</v>
      </c>
      <c r="L52" t="s">
        <v>25</v>
      </c>
      <c r="M52">
        <v>1</v>
      </c>
    </row>
    <row r="53" spans="1:13" x14ac:dyDescent="0.25">
      <c r="A53" s="2">
        <v>46304</v>
      </c>
      <c r="B53" s="1" t="str">
        <f ca="1">IF(Información1[[#This Row],[Fecha]]='Ajuste de fechas'!$A$2,"Día actual","Día anterior")</f>
        <v>Día anterior</v>
      </c>
      <c r="C53" t="s">
        <v>45</v>
      </c>
      <c r="D53" t="s">
        <v>46</v>
      </c>
      <c r="E53" t="s">
        <v>164</v>
      </c>
      <c r="F53" t="s">
        <v>15</v>
      </c>
      <c r="G53" t="s">
        <v>76</v>
      </c>
      <c r="H53" t="s">
        <v>37</v>
      </c>
      <c r="I53" t="s">
        <v>7</v>
      </c>
      <c r="J53" t="s">
        <v>29</v>
      </c>
      <c r="K53" t="s">
        <v>47</v>
      </c>
      <c r="L53" t="s">
        <v>34</v>
      </c>
      <c r="M53">
        <v>1</v>
      </c>
    </row>
    <row r="54" spans="1:13" x14ac:dyDescent="0.25">
      <c r="A54" s="2">
        <v>46304</v>
      </c>
      <c r="B54" s="1" t="str">
        <f ca="1">IF(Información1[[#This Row],[Fecha]]='Ajuste de fechas'!$A$2,"Día actual","Día anterior")</f>
        <v>Día anterior</v>
      </c>
      <c r="C54" t="s">
        <v>45</v>
      </c>
      <c r="D54" t="s">
        <v>46</v>
      </c>
      <c r="E54" t="s">
        <v>165</v>
      </c>
      <c r="F54" t="s">
        <v>13</v>
      </c>
      <c r="G54" t="s">
        <v>166</v>
      </c>
      <c r="H54" t="s">
        <v>37</v>
      </c>
      <c r="I54" t="s">
        <v>7</v>
      </c>
      <c r="J54" t="s">
        <v>28</v>
      </c>
      <c r="K54" t="s">
        <v>47</v>
      </c>
      <c r="L54" t="s">
        <v>25</v>
      </c>
      <c r="M54">
        <v>1</v>
      </c>
    </row>
    <row r="55" spans="1:13" x14ac:dyDescent="0.25">
      <c r="A55" s="2">
        <v>46304</v>
      </c>
      <c r="B55" s="1" t="str">
        <f ca="1">IF(Información1[[#This Row],[Fecha]]='Ajuste de fechas'!$A$2,"Día actual","Día anterior")</f>
        <v>Día anterior</v>
      </c>
      <c r="C55" t="s">
        <v>45</v>
      </c>
      <c r="D55" t="s">
        <v>46</v>
      </c>
      <c r="E55" t="s">
        <v>167</v>
      </c>
      <c r="F55" t="s">
        <v>83</v>
      </c>
      <c r="G55" t="s">
        <v>65</v>
      </c>
      <c r="H55" t="s">
        <v>37</v>
      </c>
      <c r="I55" t="s">
        <v>7</v>
      </c>
      <c r="J55" t="s">
        <v>24</v>
      </c>
      <c r="K55" t="s">
        <v>47</v>
      </c>
      <c r="L55" t="s">
        <v>27</v>
      </c>
      <c r="M55">
        <v>1</v>
      </c>
    </row>
    <row r="56" spans="1:13" x14ac:dyDescent="0.25">
      <c r="A56" s="2">
        <v>46304</v>
      </c>
      <c r="B56" s="1" t="str">
        <f ca="1">IF(Información1[[#This Row],[Fecha]]='Ajuste de fechas'!$A$2,"Día actual","Día anterior")</f>
        <v>Día anterior</v>
      </c>
      <c r="C56" t="s">
        <v>45</v>
      </c>
      <c r="D56" t="s">
        <v>46</v>
      </c>
      <c r="E56" t="s">
        <v>168</v>
      </c>
      <c r="F56" t="s">
        <v>103</v>
      </c>
      <c r="G56" t="s">
        <v>169</v>
      </c>
      <c r="H56" t="s">
        <v>37</v>
      </c>
      <c r="I56" t="s">
        <v>10</v>
      </c>
      <c r="J56" t="s">
        <v>24</v>
      </c>
      <c r="K56" t="s">
        <v>47</v>
      </c>
      <c r="L56" t="s">
        <v>26</v>
      </c>
      <c r="M56">
        <v>1</v>
      </c>
    </row>
    <row r="57" spans="1:13" x14ac:dyDescent="0.25">
      <c r="A57" s="2">
        <v>46304</v>
      </c>
      <c r="B57" s="1" t="str">
        <f ca="1">IF(Información1[[#This Row],[Fecha]]='Ajuste de fechas'!$A$2,"Día actual","Día anterior")</f>
        <v>Día anterior</v>
      </c>
      <c r="C57" t="s">
        <v>45</v>
      </c>
      <c r="D57" t="s">
        <v>46</v>
      </c>
      <c r="E57" t="s">
        <v>170</v>
      </c>
      <c r="F57" t="s">
        <v>103</v>
      </c>
      <c r="G57" t="s">
        <v>169</v>
      </c>
      <c r="H57" t="s">
        <v>37</v>
      </c>
      <c r="I57" t="s">
        <v>7</v>
      </c>
      <c r="J57" t="s">
        <v>24</v>
      </c>
      <c r="K57" t="s">
        <v>47</v>
      </c>
      <c r="L57" t="s">
        <v>27</v>
      </c>
      <c r="M57">
        <v>1</v>
      </c>
    </row>
    <row r="58" spans="1:13" x14ac:dyDescent="0.25">
      <c r="A58" s="2">
        <v>46304</v>
      </c>
      <c r="B58" s="1" t="str">
        <f ca="1">IF(Información1[[#This Row],[Fecha]]='Ajuste de fechas'!$A$2,"Día actual","Día anterior")</f>
        <v>Día anterior</v>
      </c>
      <c r="C58" t="s">
        <v>45</v>
      </c>
      <c r="D58" t="s">
        <v>46</v>
      </c>
      <c r="E58" t="s">
        <v>171</v>
      </c>
      <c r="F58" t="s">
        <v>141</v>
      </c>
      <c r="G58" t="s">
        <v>142</v>
      </c>
      <c r="H58" t="s">
        <v>37</v>
      </c>
      <c r="I58" t="s">
        <v>7</v>
      </c>
      <c r="J58" t="s">
        <v>24</v>
      </c>
      <c r="K58" t="s">
        <v>47</v>
      </c>
      <c r="L58" t="s">
        <v>27</v>
      </c>
      <c r="M58">
        <v>1</v>
      </c>
    </row>
    <row r="59" spans="1:13" x14ac:dyDescent="0.25">
      <c r="A59" s="2">
        <v>46304</v>
      </c>
      <c r="B59" s="1" t="str">
        <f ca="1">IF(Información1[[#This Row],[Fecha]]='Ajuste de fechas'!$A$2,"Día actual","Día anterior")</f>
        <v>Día anterior</v>
      </c>
      <c r="C59" t="s">
        <v>45</v>
      </c>
      <c r="D59" t="s">
        <v>46</v>
      </c>
      <c r="E59" t="s">
        <v>172</v>
      </c>
      <c r="F59" t="s">
        <v>36</v>
      </c>
      <c r="G59" t="s">
        <v>173</v>
      </c>
      <c r="H59" t="s">
        <v>37</v>
      </c>
      <c r="I59" t="s">
        <v>7</v>
      </c>
      <c r="J59" t="s">
        <v>24</v>
      </c>
      <c r="K59" t="s">
        <v>47</v>
      </c>
      <c r="L59" t="s">
        <v>27</v>
      </c>
      <c r="M59">
        <v>1</v>
      </c>
    </row>
    <row r="60" spans="1:13" x14ac:dyDescent="0.25">
      <c r="A60" s="2">
        <v>46304</v>
      </c>
      <c r="B60" s="1" t="str">
        <f ca="1">IF(Información1[[#This Row],[Fecha]]='Ajuste de fechas'!$A$2,"Día actual","Día anterior")</f>
        <v>Día anterior</v>
      </c>
      <c r="C60" t="s">
        <v>45</v>
      </c>
      <c r="D60" t="s">
        <v>46</v>
      </c>
      <c r="E60" t="s">
        <v>174</v>
      </c>
      <c r="F60" t="s">
        <v>36</v>
      </c>
      <c r="G60" t="s">
        <v>173</v>
      </c>
      <c r="H60" t="s">
        <v>37</v>
      </c>
      <c r="I60" t="s">
        <v>7</v>
      </c>
      <c r="J60" t="s">
        <v>24</v>
      </c>
      <c r="K60" t="s">
        <v>47</v>
      </c>
      <c r="L60" t="s">
        <v>27</v>
      </c>
      <c r="M60">
        <v>1</v>
      </c>
    </row>
    <row r="61" spans="1:13" x14ac:dyDescent="0.25">
      <c r="A61" s="2">
        <v>46304</v>
      </c>
      <c r="B61" s="1" t="str">
        <f ca="1">IF(Información1[[#This Row],[Fecha]]='Ajuste de fechas'!$A$2,"Día actual","Día anterior")</f>
        <v>Día anterior</v>
      </c>
      <c r="C61" t="s">
        <v>38</v>
      </c>
      <c r="D61" t="s">
        <v>39</v>
      </c>
      <c r="E61" t="s">
        <v>175</v>
      </c>
      <c r="F61" t="s">
        <v>176</v>
      </c>
      <c r="G61" t="s">
        <v>177</v>
      </c>
      <c r="H61" t="s">
        <v>37</v>
      </c>
      <c r="I61" t="s">
        <v>7</v>
      </c>
      <c r="J61" t="s">
        <v>16</v>
      </c>
      <c r="K61" t="s">
        <v>40</v>
      </c>
      <c r="L61" t="s">
        <v>34</v>
      </c>
      <c r="M61">
        <v>1</v>
      </c>
    </row>
    <row r="62" spans="1:13" x14ac:dyDescent="0.25">
      <c r="A62" s="2">
        <v>46304</v>
      </c>
      <c r="B62" s="1" t="str">
        <f ca="1">IF(Información1[[#This Row],[Fecha]]='Ajuste de fechas'!$A$2,"Día actual","Día anterior")</f>
        <v>Día anterior</v>
      </c>
      <c r="C62" t="s">
        <v>38</v>
      </c>
      <c r="D62" t="s">
        <v>39</v>
      </c>
      <c r="E62" t="s">
        <v>178</v>
      </c>
      <c r="F62" t="s">
        <v>14</v>
      </c>
      <c r="G62" t="s">
        <v>179</v>
      </c>
      <c r="H62" t="s">
        <v>37</v>
      </c>
      <c r="I62" t="s">
        <v>10</v>
      </c>
      <c r="J62" t="s">
        <v>24</v>
      </c>
      <c r="K62" t="s">
        <v>40</v>
      </c>
      <c r="L62" t="s">
        <v>27</v>
      </c>
      <c r="M62">
        <v>1</v>
      </c>
    </row>
    <row r="63" spans="1:13" x14ac:dyDescent="0.25">
      <c r="A63" s="2">
        <v>46304</v>
      </c>
      <c r="B63" s="1" t="str">
        <f ca="1">IF(Información1[[#This Row],[Fecha]]='Ajuste de fechas'!$A$2,"Día actual","Día anterior")</f>
        <v>Día anterior</v>
      </c>
      <c r="C63" t="s">
        <v>38</v>
      </c>
      <c r="D63" t="s">
        <v>39</v>
      </c>
      <c r="E63" t="s">
        <v>180</v>
      </c>
      <c r="F63" t="s">
        <v>16</v>
      </c>
      <c r="G63" t="s">
        <v>100</v>
      </c>
      <c r="H63" t="s">
        <v>37</v>
      </c>
      <c r="I63" t="s">
        <v>7</v>
      </c>
      <c r="J63" t="s">
        <v>16</v>
      </c>
      <c r="K63" t="s">
        <v>40</v>
      </c>
      <c r="L63" t="s">
        <v>25</v>
      </c>
      <c r="M63">
        <v>1</v>
      </c>
    </row>
    <row r="64" spans="1:13" x14ac:dyDescent="0.25">
      <c r="A64" s="2">
        <v>46304</v>
      </c>
      <c r="B64" s="1" t="str">
        <f ca="1">IF(Información1[[#This Row],[Fecha]]='Ajuste de fechas'!$A$2,"Día actual","Día anterior")</f>
        <v>Día anterior</v>
      </c>
      <c r="C64" t="s">
        <v>38</v>
      </c>
      <c r="D64" t="s">
        <v>39</v>
      </c>
      <c r="E64" t="s">
        <v>181</v>
      </c>
      <c r="F64" t="s">
        <v>16</v>
      </c>
      <c r="G64" t="s">
        <v>93</v>
      </c>
      <c r="H64" t="s">
        <v>37</v>
      </c>
      <c r="I64" t="s">
        <v>7</v>
      </c>
      <c r="J64" t="s">
        <v>16</v>
      </c>
      <c r="K64" t="s">
        <v>40</v>
      </c>
      <c r="L64" t="s">
        <v>34</v>
      </c>
      <c r="M64">
        <v>1</v>
      </c>
    </row>
    <row r="65" spans="1:13" x14ac:dyDescent="0.25">
      <c r="A65" s="2">
        <v>46304</v>
      </c>
      <c r="B65" s="1" t="str">
        <f ca="1">IF(Información1[[#This Row],[Fecha]]='Ajuste de fechas'!$A$2,"Día actual","Día anterior")</f>
        <v>Día anterior</v>
      </c>
      <c r="C65" t="s">
        <v>38</v>
      </c>
      <c r="D65" t="s">
        <v>39</v>
      </c>
      <c r="E65" t="s">
        <v>182</v>
      </c>
      <c r="F65" t="s">
        <v>33</v>
      </c>
      <c r="G65" t="s">
        <v>92</v>
      </c>
      <c r="H65" t="s">
        <v>37</v>
      </c>
      <c r="I65" t="s">
        <v>17</v>
      </c>
      <c r="J65" t="s">
        <v>16</v>
      </c>
      <c r="K65" t="s">
        <v>44</v>
      </c>
      <c r="L65" t="s">
        <v>26</v>
      </c>
      <c r="M65">
        <v>1</v>
      </c>
    </row>
    <row r="66" spans="1:13" x14ac:dyDescent="0.25">
      <c r="A66" s="2">
        <v>46304</v>
      </c>
      <c r="B66" s="1" t="str">
        <f ca="1">IF(Información1[[#This Row],[Fecha]]='Ajuste de fechas'!$A$2,"Día actual","Día anterior")</f>
        <v>Día anterior</v>
      </c>
      <c r="C66" t="s">
        <v>38</v>
      </c>
      <c r="D66" t="s">
        <v>39</v>
      </c>
      <c r="E66" t="s">
        <v>183</v>
      </c>
      <c r="F66" t="s">
        <v>42</v>
      </c>
      <c r="G66" t="s">
        <v>100</v>
      </c>
      <c r="H66" t="s">
        <v>37</v>
      </c>
      <c r="I66" t="s">
        <v>7</v>
      </c>
      <c r="J66" t="s">
        <v>24</v>
      </c>
      <c r="K66" t="s">
        <v>40</v>
      </c>
      <c r="L66" t="s">
        <v>25</v>
      </c>
      <c r="M66">
        <v>1</v>
      </c>
    </row>
    <row r="67" spans="1:13" x14ac:dyDescent="0.25">
      <c r="A67" s="2">
        <v>46304</v>
      </c>
      <c r="B67" s="1" t="str">
        <f ca="1">IF(Información1[[#This Row],[Fecha]]='Ajuste de fechas'!$A$2,"Día actual","Día anterior")</f>
        <v>Día anterior</v>
      </c>
      <c r="C67" t="s">
        <v>38</v>
      </c>
      <c r="D67" t="s">
        <v>39</v>
      </c>
      <c r="E67" t="s">
        <v>184</v>
      </c>
      <c r="F67" t="s">
        <v>85</v>
      </c>
      <c r="G67" t="s">
        <v>91</v>
      </c>
      <c r="H67" t="s">
        <v>37</v>
      </c>
      <c r="I67" t="s">
        <v>10</v>
      </c>
      <c r="J67" t="s">
        <v>24</v>
      </c>
      <c r="K67" t="s">
        <v>40</v>
      </c>
      <c r="L67" t="s">
        <v>26</v>
      </c>
      <c r="M67">
        <v>1</v>
      </c>
    </row>
    <row r="68" spans="1:13" x14ac:dyDescent="0.25">
      <c r="A68" s="2">
        <v>46304</v>
      </c>
      <c r="B68" s="1" t="str">
        <f ca="1">IF(Información1[[#This Row],[Fecha]]='Ajuste de fechas'!$A$2,"Día actual","Día anterior")</f>
        <v>Día anterior</v>
      </c>
      <c r="C68" t="s">
        <v>38</v>
      </c>
      <c r="D68" t="s">
        <v>39</v>
      </c>
      <c r="E68" t="s">
        <v>185</v>
      </c>
      <c r="F68" t="s">
        <v>15</v>
      </c>
      <c r="G68" t="s">
        <v>91</v>
      </c>
      <c r="H68" t="s">
        <v>37</v>
      </c>
      <c r="I68" t="s">
        <v>10</v>
      </c>
      <c r="J68" t="s">
        <v>29</v>
      </c>
      <c r="K68" t="s">
        <v>40</v>
      </c>
      <c r="L68" t="s">
        <v>26</v>
      </c>
      <c r="M68">
        <v>1</v>
      </c>
    </row>
    <row r="69" spans="1:13" x14ac:dyDescent="0.25">
      <c r="A69" s="2">
        <v>46304</v>
      </c>
      <c r="B69" s="1" t="str">
        <f ca="1">IF(Información1[[#This Row],[Fecha]]='Ajuste de fechas'!$A$2,"Día actual","Día anterior")</f>
        <v>Día anterior</v>
      </c>
      <c r="C69" t="s">
        <v>38</v>
      </c>
      <c r="D69" t="s">
        <v>39</v>
      </c>
      <c r="E69" t="s">
        <v>186</v>
      </c>
      <c r="F69" t="s">
        <v>85</v>
      </c>
      <c r="G69" t="s">
        <v>76</v>
      </c>
      <c r="H69" t="s">
        <v>37</v>
      </c>
      <c r="I69" t="s">
        <v>7</v>
      </c>
      <c r="J69" t="s">
        <v>24</v>
      </c>
      <c r="K69" t="s">
        <v>40</v>
      </c>
      <c r="L69" t="s">
        <v>25</v>
      </c>
      <c r="M69">
        <v>1</v>
      </c>
    </row>
    <row r="70" spans="1:13" x14ac:dyDescent="0.25">
      <c r="A70" s="2">
        <v>46304</v>
      </c>
      <c r="B70" s="1" t="str">
        <f ca="1">IF(Información1[[#This Row],[Fecha]]='Ajuste de fechas'!$A$2,"Día actual","Día anterior")</f>
        <v>Día anterior</v>
      </c>
      <c r="C70" t="s">
        <v>38</v>
      </c>
      <c r="D70" t="s">
        <v>39</v>
      </c>
      <c r="E70" t="s">
        <v>187</v>
      </c>
      <c r="F70" t="s">
        <v>15</v>
      </c>
      <c r="G70" t="s">
        <v>91</v>
      </c>
      <c r="H70" t="s">
        <v>37</v>
      </c>
      <c r="I70" t="s">
        <v>7</v>
      </c>
      <c r="J70" t="s">
        <v>29</v>
      </c>
      <c r="K70" t="s">
        <v>40</v>
      </c>
      <c r="L70" t="s">
        <v>25</v>
      </c>
      <c r="M70">
        <v>1</v>
      </c>
    </row>
    <row r="71" spans="1:13" x14ac:dyDescent="0.25">
      <c r="A71" s="2">
        <v>46307</v>
      </c>
      <c r="B71" s="1" t="str">
        <f ca="1">IF(Información1[[#This Row],[Fecha]]='Ajuste de fechas'!$A$2,"Día actual","Día anterior")</f>
        <v>Día actual</v>
      </c>
      <c r="C71" t="s">
        <v>86</v>
      </c>
      <c r="D71" t="s">
        <v>67</v>
      </c>
      <c r="E71" t="s">
        <v>188</v>
      </c>
      <c r="F71" t="s">
        <v>13</v>
      </c>
      <c r="G71" t="s">
        <v>189</v>
      </c>
      <c r="H71" t="s">
        <v>37</v>
      </c>
      <c r="I71" t="s">
        <v>7</v>
      </c>
      <c r="J71" t="s">
        <v>28</v>
      </c>
      <c r="K71" t="s">
        <v>68</v>
      </c>
      <c r="L71" t="s">
        <v>25</v>
      </c>
      <c r="M71">
        <v>1</v>
      </c>
    </row>
    <row r="72" spans="1:13" x14ac:dyDescent="0.25">
      <c r="A72" s="2">
        <v>46307</v>
      </c>
      <c r="B72" s="1" t="str">
        <f ca="1">IF(Información1[[#This Row],[Fecha]]='Ajuste de fechas'!$A$2,"Día actual","Día anterior")</f>
        <v>Día actual</v>
      </c>
      <c r="C72" t="s">
        <v>86</v>
      </c>
      <c r="D72" t="s">
        <v>67</v>
      </c>
      <c r="E72" t="s">
        <v>190</v>
      </c>
      <c r="F72" t="s">
        <v>191</v>
      </c>
      <c r="G72" t="s">
        <v>192</v>
      </c>
      <c r="H72" t="s">
        <v>37</v>
      </c>
      <c r="I72" t="s">
        <v>7</v>
      </c>
      <c r="J72" t="s">
        <v>24</v>
      </c>
      <c r="K72" t="s">
        <v>68</v>
      </c>
      <c r="L72" t="s">
        <v>25</v>
      </c>
      <c r="M72">
        <v>1</v>
      </c>
    </row>
    <row r="73" spans="1:13" x14ac:dyDescent="0.25">
      <c r="A73" s="2">
        <v>46307</v>
      </c>
      <c r="B73" s="1" t="str">
        <f ca="1">IF(Información1[[#This Row],[Fecha]]='Ajuste de fechas'!$A$2,"Día actual","Día anterior")</f>
        <v>Día actual</v>
      </c>
      <c r="C73" t="s">
        <v>86</v>
      </c>
      <c r="D73" t="s">
        <v>67</v>
      </c>
      <c r="E73" t="s">
        <v>193</v>
      </c>
      <c r="F73" t="s">
        <v>15</v>
      </c>
      <c r="G73" t="s">
        <v>194</v>
      </c>
      <c r="H73" t="s">
        <v>37</v>
      </c>
      <c r="I73" t="s">
        <v>7</v>
      </c>
      <c r="J73" t="s">
        <v>29</v>
      </c>
      <c r="K73" t="s">
        <v>68</v>
      </c>
      <c r="L73" t="s">
        <v>25</v>
      </c>
      <c r="M73">
        <v>1</v>
      </c>
    </row>
    <row r="74" spans="1:13" x14ac:dyDescent="0.25">
      <c r="A74" s="2">
        <v>46307</v>
      </c>
      <c r="B74" s="1" t="str">
        <f ca="1">IF(Información1[[#This Row],[Fecha]]='Ajuste de fechas'!$A$2,"Día actual","Día anterior")</f>
        <v>Día actual</v>
      </c>
      <c r="C74" t="s">
        <v>86</v>
      </c>
      <c r="D74" t="s">
        <v>67</v>
      </c>
      <c r="E74" t="s">
        <v>195</v>
      </c>
      <c r="F74" t="s">
        <v>85</v>
      </c>
      <c r="G74" t="s">
        <v>196</v>
      </c>
      <c r="H74" t="s">
        <v>37</v>
      </c>
      <c r="I74" t="s">
        <v>7</v>
      </c>
      <c r="J74" t="s">
        <v>24</v>
      </c>
      <c r="K74" t="s">
        <v>68</v>
      </c>
      <c r="L74" t="s">
        <v>25</v>
      </c>
      <c r="M74">
        <v>1</v>
      </c>
    </row>
    <row r="75" spans="1:13" x14ac:dyDescent="0.25">
      <c r="A75" s="2">
        <v>46307</v>
      </c>
      <c r="B75" s="1" t="str">
        <f ca="1">IF(Información1[[#This Row],[Fecha]]='Ajuste de fechas'!$A$2,"Día actual","Día anterior")</f>
        <v>Día actual</v>
      </c>
      <c r="C75" t="s">
        <v>86</v>
      </c>
      <c r="D75" t="s">
        <v>67</v>
      </c>
      <c r="E75" t="s">
        <v>197</v>
      </c>
      <c r="F75" t="s">
        <v>15</v>
      </c>
      <c r="G75" t="s">
        <v>198</v>
      </c>
      <c r="H75" t="s">
        <v>37</v>
      </c>
      <c r="I75" t="s">
        <v>7</v>
      </c>
      <c r="J75" t="s">
        <v>29</v>
      </c>
      <c r="K75" t="s">
        <v>68</v>
      </c>
      <c r="L75" t="s">
        <v>25</v>
      </c>
      <c r="M75">
        <v>1</v>
      </c>
    </row>
    <row r="76" spans="1:13" x14ac:dyDescent="0.25">
      <c r="A76" s="2">
        <v>46307</v>
      </c>
      <c r="B76" s="1" t="str">
        <f ca="1">IF(Información1[[#This Row],[Fecha]]='Ajuste de fechas'!$A$2,"Día actual","Día anterior")</f>
        <v>Día actual</v>
      </c>
      <c r="C76" t="s">
        <v>60</v>
      </c>
      <c r="D76" t="s">
        <v>61</v>
      </c>
      <c r="E76" t="s">
        <v>199</v>
      </c>
      <c r="F76" t="s">
        <v>97</v>
      </c>
      <c r="G76" t="s">
        <v>200</v>
      </c>
      <c r="H76" t="s">
        <v>37</v>
      </c>
      <c r="I76" t="s">
        <v>7</v>
      </c>
      <c r="J76" t="s">
        <v>24</v>
      </c>
      <c r="K76" t="s">
        <v>62</v>
      </c>
      <c r="L76" t="s">
        <v>25</v>
      </c>
      <c r="M76">
        <v>1</v>
      </c>
    </row>
    <row r="77" spans="1:13" x14ac:dyDescent="0.25">
      <c r="A77" s="2">
        <v>46307</v>
      </c>
      <c r="B77" s="1" t="str">
        <f ca="1">IF(Información1[[#This Row],[Fecha]]='Ajuste de fechas'!$A$2,"Día actual","Día anterior")</f>
        <v>Día actual</v>
      </c>
      <c r="C77" t="s">
        <v>86</v>
      </c>
      <c r="D77" t="s">
        <v>201</v>
      </c>
      <c r="E77" t="s">
        <v>202</v>
      </c>
      <c r="F77" t="s">
        <v>13</v>
      </c>
      <c r="G77" t="s">
        <v>96</v>
      </c>
      <c r="H77" t="s">
        <v>37</v>
      </c>
      <c r="I77" t="s">
        <v>17</v>
      </c>
      <c r="J77" t="s">
        <v>28</v>
      </c>
      <c r="K77" t="s">
        <v>203</v>
      </c>
      <c r="L77" t="s">
        <v>25</v>
      </c>
      <c r="M77">
        <v>1</v>
      </c>
    </row>
    <row r="78" spans="1:13" x14ac:dyDescent="0.25">
      <c r="A78" s="2">
        <v>46307</v>
      </c>
      <c r="B78" s="1" t="str">
        <f ca="1">IF(Información1[[#This Row],[Fecha]]='Ajuste de fechas'!$A$2,"Día actual","Día anterior")</f>
        <v>Día actual</v>
      </c>
      <c r="C78" t="s">
        <v>86</v>
      </c>
      <c r="D78" t="s">
        <v>201</v>
      </c>
      <c r="E78" t="s">
        <v>204</v>
      </c>
      <c r="F78" t="s">
        <v>13</v>
      </c>
      <c r="G78" t="s">
        <v>96</v>
      </c>
      <c r="H78" t="s">
        <v>37</v>
      </c>
      <c r="I78" t="s">
        <v>17</v>
      </c>
      <c r="J78" t="s">
        <v>28</v>
      </c>
      <c r="K78" t="s">
        <v>203</v>
      </c>
      <c r="L78" t="s">
        <v>25</v>
      </c>
      <c r="M78">
        <v>1</v>
      </c>
    </row>
    <row r="79" spans="1:13" x14ac:dyDescent="0.25">
      <c r="A79" s="2">
        <v>46307</v>
      </c>
      <c r="B79" s="1" t="str">
        <f ca="1">IF(Información1[[#This Row],[Fecha]]='Ajuste de fechas'!$A$2,"Día actual","Día anterior")</f>
        <v>Día actual</v>
      </c>
      <c r="C79" t="s">
        <v>86</v>
      </c>
      <c r="D79" t="s">
        <v>201</v>
      </c>
      <c r="E79" t="s">
        <v>205</v>
      </c>
      <c r="F79" t="s">
        <v>13</v>
      </c>
      <c r="G79" t="s">
        <v>69</v>
      </c>
      <c r="H79" t="s">
        <v>37</v>
      </c>
      <c r="I79" t="s">
        <v>17</v>
      </c>
      <c r="J79" t="s">
        <v>28</v>
      </c>
      <c r="K79" t="s">
        <v>203</v>
      </c>
      <c r="L79" t="s">
        <v>25</v>
      </c>
      <c r="M79">
        <v>1</v>
      </c>
    </row>
    <row r="80" spans="1:13" x14ac:dyDescent="0.25">
      <c r="A80" s="2">
        <v>46307</v>
      </c>
      <c r="B80" s="1" t="str">
        <f ca="1">IF(Información1[[#This Row],[Fecha]]='Ajuste de fechas'!$A$2,"Día actual","Día anterior")</f>
        <v>Día actual</v>
      </c>
      <c r="C80" t="s">
        <v>86</v>
      </c>
      <c r="D80" t="s">
        <v>201</v>
      </c>
      <c r="E80" t="s">
        <v>206</v>
      </c>
      <c r="F80" t="s">
        <v>15</v>
      </c>
      <c r="G80" t="s">
        <v>207</v>
      </c>
      <c r="H80" t="s">
        <v>37</v>
      </c>
      <c r="I80" t="s">
        <v>17</v>
      </c>
      <c r="J80" t="s">
        <v>29</v>
      </c>
      <c r="K80" t="s">
        <v>44</v>
      </c>
      <c r="L80" t="s">
        <v>26</v>
      </c>
      <c r="M80">
        <v>1</v>
      </c>
    </row>
    <row r="81" spans="1:13" x14ac:dyDescent="0.25">
      <c r="A81" s="2">
        <v>46307</v>
      </c>
      <c r="B81" s="1" t="str">
        <f ca="1">IF(Información1[[#This Row],[Fecha]]='Ajuste de fechas'!$A$2,"Día actual","Día anterior")</f>
        <v>Día actual</v>
      </c>
      <c r="C81" t="s">
        <v>86</v>
      </c>
      <c r="D81" t="s">
        <v>201</v>
      </c>
      <c r="E81" t="s">
        <v>208</v>
      </c>
      <c r="F81" t="s">
        <v>36</v>
      </c>
      <c r="G81" t="s">
        <v>209</v>
      </c>
      <c r="H81" t="s">
        <v>37</v>
      </c>
      <c r="I81" t="s">
        <v>7</v>
      </c>
      <c r="J81" t="s">
        <v>24</v>
      </c>
      <c r="K81" t="s">
        <v>203</v>
      </c>
      <c r="L81" t="s">
        <v>25</v>
      </c>
      <c r="M81">
        <v>1</v>
      </c>
    </row>
    <row r="82" spans="1:13" x14ac:dyDescent="0.25">
      <c r="A82" s="2">
        <v>46307</v>
      </c>
      <c r="B82" s="1" t="str">
        <f ca="1">IF(Información1[[#This Row],[Fecha]]='Ajuste de fechas'!$A$2,"Día actual","Día anterior")</f>
        <v>Día actual</v>
      </c>
      <c r="C82" t="s">
        <v>86</v>
      </c>
      <c r="D82" t="s">
        <v>201</v>
      </c>
      <c r="E82" t="s">
        <v>210</v>
      </c>
      <c r="F82" t="s">
        <v>13</v>
      </c>
      <c r="G82" t="s">
        <v>166</v>
      </c>
      <c r="H82" t="s">
        <v>37</v>
      </c>
      <c r="I82" t="s">
        <v>7</v>
      </c>
      <c r="J82" t="s">
        <v>28</v>
      </c>
      <c r="K82" t="s">
        <v>203</v>
      </c>
      <c r="L82" t="s">
        <v>25</v>
      </c>
      <c r="M82">
        <v>1</v>
      </c>
    </row>
    <row r="83" spans="1:13" x14ac:dyDescent="0.25">
      <c r="A83" s="2">
        <v>46307</v>
      </c>
      <c r="B83" s="1" t="str">
        <f ca="1">IF(Información1[[#This Row],[Fecha]]='Ajuste de fechas'!$A$2,"Día actual","Día anterior")</f>
        <v>Día actual</v>
      </c>
      <c r="C83" t="s">
        <v>86</v>
      </c>
      <c r="D83" t="s">
        <v>201</v>
      </c>
      <c r="E83" t="s">
        <v>211</v>
      </c>
      <c r="F83" t="s">
        <v>83</v>
      </c>
      <c r="G83" t="s">
        <v>65</v>
      </c>
      <c r="H83" t="s">
        <v>37</v>
      </c>
      <c r="I83" t="s">
        <v>7</v>
      </c>
      <c r="J83" t="s">
        <v>24</v>
      </c>
      <c r="K83" t="s">
        <v>203</v>
      </c>
      <c r="L83" t="s">
        <v>25</v>
      </c>
      <c r="M83">
        <v>1</v>
      </c>
    </row>
    <row r="84" spans="1:13" x14ac:dyDescent="0.25">
      <c r="A84" s="2">
        <v>46307</v>
      </c>
      <c r="B84" s="1" t="str">
        <f ca="1">IF(Información1[[#This Row],[Fecha]]='Ajuste de fechas'!$A$2,"Día actual","Día anterior")</f>
        <v>Día actual</v>
      </c>
      <c r="C84" t="s">
        <v>86</v>
      </c>
      <c r="D84" t="s">
        <v>201</v>
      </c>
      <c r="E84" t="s">
        <v>212</v>
      </c>
      <c r="F84" t="s">
        <v>83</v>
      </c>
      <c r="G84" t="s">
        <v>213</v>
      </c>
      <c r="H84" t="s">
        <v>37</v>
      </c>
      <c r="I84" t="s">
        <v>7</v>
      </c>
      <c r="J84" t="s">
        <v>24</v>
      </c>
      <c r="K84" t="s">
        <v>203</v>
      </c>
      <c r="L84" t="s">
        <v>25</v>
      </c>
      <c r="M84">
        <v>1</v>
      </c>
    </row>
    <row r="85" spans="1:13" x14ac:dyDescent="0.25">
      <c r="A85" s="2">
        <v>46307</v>
      </c>
      <c r="B85" s="1" t="str">
        <f ca="1">IF(Información1[[#This Row],[Fecha]]='Ajuste de fechas'!$A$2,"Día actual","Día anterior")</f>
        <v>Día actual</v>
      </c>
      <c r="C85" t="s">
        <v>86</v>
      </c>
      <c r="D85" t="s">
        <v>201</v>
      </c>
      <c r="E85" t="s">
        <v>214</v>
      </c>
      <c r="F85" t="s">
        <v>13</v>
      </c>
      <c r="G85" t="s">
        <v>215</v>
      </c>
      <c r="H85" t="s">
        <v>37</v>
      </c>
      <c r="I85" t="s">
        <v>7</v>
      </c>
      <c r="J85" t="s">
        <v>28</v>
      </c>
      <c r="K85" t="s">
        <v>203</v>
      </c>
      <c r="L85" t="s">
        <v>25</v>
      </c>
      <c r="M85">
        <v>1</v>
      </c>
    </row>
    <row r="86" spans="1:13" x14ac:dyDescent="0.25">
      <c r="A86" s="2">
        <v>46307</v>
      </c>
      <c r="B86" s="1" t="str">
        <f ca="1">IF(Información1[[#This Row],[Fecha]]='Ajuste de fechas'!$A$2,"Día actual","Día anterior")</f>
        <v>Día actual</v>
      </c>
      <c r="C86" t="s">
        <v>86</v>
      </c>
      <c r="D86" t="s">
        <v>201</v>
      </c>
      <c r="E86" t="s">
        <v>216</v>
      </c>
      <c r="F86" t="s">
        <v>14</v>
      </c>
      <c r="G86" t="s">
        <v>217</v>
      </c>
      <c r="H86" t="s">
        <v>37</v>
      </c>
      <c r="I86" t="s">
        <v>7</v>
      </c>
      <c r="J86" t="s">
        <v>24</v>
      </c>
      <c r="K86" t="s">
        <v>203</v>
      </c>
      <c r="L86" t="s">
        <v>25</v>
      </c>
      <c r="M86">
        <v>1</v>
      </c>
    </row>
    <row r="87" spans="1:13" x14ac:dyDescent="0.25">
      <c r="A87" s="2">
        <v>46307</v>
      </c>
      <c r="B87" s="1" t="str">
        <f ca="1">IF(Información1[[#This Row],[Fecha]]='Ajuste de fechas'!$A$2,"Día actual","Día anterior")</f>
        <v>Día actual</v>
      </c>
      <c r="C87" t="s">
        <v>86</v>
      </c>
      <c r="D87" t="s">
        <v>201</v>
      </c>
      <c r="E87" t="s">
        <v>218</v>
      </c>
      <c r="F87" t="s">
        <v>14</v>
      </c>
      <c r="G87" t="s">
        <v>219</v>
      </c>
      <c r="H87" t="s">
        <v>37</v>
      </c>
      <c r="I87" t="s">
        <v>7</v>
      </c>
      <c r="J87" t="s">
        <v>24</v>
      </c>
      <c r="K87" t="s">
        <v>203</v>
      </c>
      <c r="L87" t="s">
        <v>25</v>
      </c>
      <c r="M87">
        <v>1</v>
      </c>
    </row>
    <row r="88" spans="1:13" x14ac:dyDescent="0.25">
      <c r="A88" s="2">
        <v>46307</v>
      </c>
      <c r="B88" s="1" t="str">
        <f ca="1">IF(Información1[[#This Row],[Fecha]]='Ajuste de fechas'!$A$2,"Día actual","Día anterior")</f>
        <v>Día actual</v>
      </c>
      <c r="C88" t="s">
        <v>86</v>
      </c>
      <c r="D88" t="s">
        <v>201</v>
      </c>
      <c r="E88" t="s">
        <v>220</v>
      </c>
      <c r="F88" t="s">
        <v>221</v>
      </c>
      <c r="G88" t="s">
        <v>94</v>
      </c>
      <c r="H88" t="s">
        <v>37</v>
      </c>
      <c r="I88" t="s">
        <v>7</v>
      </c>
      <c r="J88" t="s">
        <v>24</v>
      </c>
      <c r="K88" t="s">
        <v>203</v>
      </c>
      <c r="L88" t="s">
        <v>25</v>
      </c>
      <c r="M88">
        <v>1</v>
      </c>
    </row>
    <row r="89" spans="1:13" x14ac:dyDescent="0.25">
      <c r="A89" s="2">
        <v>46307</v>
      </c>
      <c r="B89" s="1" t="str">
        <f ca="1">IF(Información1[[#This Row],[Fecha]]='Ajuste de fechas'!$A$2,"Día actual","Día anterior")</f>
        <v>Día actual</v>
      </c>
      <c r="C89" t="s">
        <v>86</v>
      </c>
      <c r="D89" t="s">
        <v>201</v>
      </c>
      <c r="E89" t="s">
        <v>222</v>
      </c>
      <c r="F89" t="s">
        <v>35</v>
      </c>
      <c r="G89" t="s">
        <v>136</v>
      </c>
      <c r="H89" t="s">
        <v>37</v>
      </c>
      <c r="I89" t="s">
        <v>7</v>
      </c>
      <c r="J89" t="s">
        <v>24</v>
      </c>
      <c r="K89" t="s">
        <v>203</v>
      </c>
      <c r="L89" t="s">
        <v>25</v>
      </c>
      <c r="M89">
        <v>1</v>
      </c>
    </row>
    <row r="90" spans="1:13" x14ac:dyDescent="0.25">
      <c r="A90" s="2">
        <v>46307</v>
      </c>
      <c r="B90" s="1" t="str">
        <f ca="1">IF(Información1[[#This Row],[Fecha]]='Ajuste de fechas'!$A$2,"Día actual","Día anterior")</f>
        <v>Día actual</v>
      </c>
      <c r="C90" t="s">
        <v>86</v>
      </c>
      <c r="D90" t="s">
        <v>201</v>
      </c>
      <c r="E90" t="s">
        <v>223</v>
      </c>
      <c r="F90" t="s">
        <v>15</v>
      </c>
      <c r="G90" t="s">
        <v>224</v>
      </c>
      <c r="H90" t="s">
        <v>37</v>
      </c>
      <c r="I90" t="s">
        <v>7</v>
      </c>
      <c r="J90" t="s">
        <v>29</v>
      </c>
      <c r="K90" t="s">
        <v>203</v>
      </c>
      <c r="L90" t="s">
        <v>25</v>
      </c>
      <c r="M90">
        <v>1</v>
      </c>
    </row>
    <row r="91" spans="1:13" x14ac:dyDescent="0.25">
      <c r="A91" s="2">
        <v>46307</v>
      </c>
      <c r="B91" s="1" t="str">
        <f ca="1">IF(Información1[[#This Row],[Fecha]]='Ajuste de fechas'!$A$2,"Día actual","Día anterior")</f>
        <v>Día actual</v>
      </c>
      <c r="C91" t="s">
        <v>86</v>
      </c>
      <c r="D91" t="s">
        <v>201</v>
      </c>
      <c r="E91" t="s">
        <v>225</v>
      </c>
      <c r="F91" t="s">
        <v>35</v>
      </c>
      <c r="G91" t="s">
        <v>224</v>
      </c>
      <c r="H91" t="s">
        <v>37</v>
      </c>
      <c r="I91" t="s">
        <v>7</v>
      </c>
      <c r="J91" t="s">
        <v>24</v>
      </c>
      <c r="K91" t="s">
        <v>203</v>
      </c>
      <c r="L91" t="s">
        <v>25</v>
      </c>
      <c r="M91">
        <v>1</v>
      </c>
    </row>
    <row r="92" spans="1:13" x14ac:dyDescent="0.25">
      <c r="A92" s="2">
        <v>46307</v>
      </c>
      <c r="B92" s="1" t="str">
        <f ca="1">IF(Información1[[#This Row],[Fecha]]='Ajuste de fechas'!$A$2,"Día actual","Día anterior")</f>
        <v>Día actual</v>
      </c>
      <c r="C92" t="s">
        <v>86</v>
      </c>
      <c r="D92" t="s">
        <v>201</v>
      </c>
      <c r="E92" t="s">
        <v>226</v>
      </c>
      <c r="F92" t="s">
        <v>15</v>
      </c>
      <c r="G92" t="s">
        <v>198</v>
      </c>
      <c r="H92" t="s">
        <v>37</v>
      </c>
      <c r="I92" t="s">
        <v>7</v>
      </c>
      <c r="J92" t="s">
        <v>29</v>
      </c>
      <c r="K92" t="s">
        <v>203</v>
      </c>
      <c r="L92" t="s">
        <v>25</v>
      </c>
      <c r="M92">
        <v>1</v>
      </c>
    </row>
    <row r="93" spans="1:13" x14ac:dyDescent="0.25">
      <c r="A93" s="2">
        <v>46307</v>
      </c>
      <c r="B93" s="1" t="str">
        <f ca="1">IF(Información1[[#This Row],[Fecha]]='Ajuste de fechas'!$A$2,"Día actual","Día anterior")</f>
        <v>Día actual</v>
      </c>
      <c r="C93" t="s">
        <v>8</v>
      </c>
      <c r="D93" t="s">
        <v>9</v>
      </c>
      <c r="E93" t="s">
        <v>227</v>
      </c>
      <c r="F93" t="s">
        <v>6</v>
      </c>
      <c r="G93" t="s">
        <v>69</v>
      </c>
      <c r="H93" t="s">
        <v>37</v>
      </c>
      <c r="I93" t="s">
        <v>17</v>
      </c>
      <c r="J93" t="s">
        <v>24</v>
      </c>
      <c r="K93" t="s">
        <v>44</v>
      </c>
      <c r="L93" t="s">
        <v>26</v>
      </c>
      <c r="M93">
        <v>1</v>
      </c>
    </row>
    <row r="94" spans="1:13" x14ac:dyDescent="0.25">
      <c r="A94" s="2">
        <v>46307</v>
      </c>
      <c r="B94" s="1" t="str">
        <f ca="1">IF(Información1[[#This Row],[Fecha]]='Ajuste de fechas'!$A$2,"Día actual","Día anterior")</f>
        <v>Día actual</v>
      </c>
      <c r="C94" t="s">
        <v>8</v>
      </c>
      <c r="D94" t="s">
        <v>9</v>
      </c>
      <c r="E94" t="s">
        <v>228</v>
      </c>
      <c r="F94" t="s">
        <v>6</v>
      </c>
      <c r="G94" t="s">
        <v>69</v>
      </c>
      <c r="H94" t="s">
        <v>37</v>
      </c>
      <c r="I94" t="s">
        <v>17</v>
      </c>
      <c r="J94" t="s">
        <v>24</v>
      </c>
      <c r="K94" t="s">
        <v>44</v>
      </c>
      <c r="L94" t="s">
        <v>26</v>
      </c>
      <c r="M94">
        <v>1</v>
      </c>
    </row>
    <row r="95" spans="1:13" x14ac:dyDescent="0.25">
      <c r="A95" s="2">
        <v>46307</v>
      </c>
      <c r="B95" s="1" t="str">
        <f ca="1">IF(Información1[[#This Row],[Fecha]]='Ajuste de fechas'!$A$2,"Día actual","Día anterior")</f>
        <v>Día actual</v>
      </c>
      <c r="C95" t="s">
        <v>8</v>
      </c>
      <c r="D95" t="s">
        <v>9</v>
      </c>
      <c r="E95" t="s">
        <v>229</v>
      </c>
      <c r="F95" t="s">
        <v>6</v>
      </c>
      <c r="G95" t="s">
        <v>69</v>
      </c>
      <c r="H95" t="s">
        <v>37</v>
      </c>
      <c r="I95" t="s">
        <v>17</v>
      </c>
      <c r="J95" t="s">
        <v>24</v>
      </c>
      <c r="K95" t="s">
        <v>44</v>
      </c>
      <c r="L95" t="s">
        <v>26</v>
      </c>
      <c r="M95">
        <v>1</v>
      </c>
    </row>
    <row r="96" spans="1:13" x14ac:dyDescent="0.25">
      <c r="A96" s="2">
        <v>46307</v>
      </c>
      <c r="B96" s="1" t="str">
        <f ca="1">IF(Información1[[#This Row],[Fecha]]='Ajuste de fechas'!$A$2,"Día actual","Día anterior")</f>
        <v>Día actual</v>
      </c>
      <c r="C96" t="s">
        <v>8</v>
      </c>
      <c r="D96" t="s">
        <v>9</v>
      </c>
      <c r="E96" t="s">
        <v>230</v>
      </c>
      <c r="F96" t="s">
        <v>13</v>
      </c>
      <c r="G96" t="s">
        <v>231</v>
      </c>
      <c r="H96" t="s">
        <v>37</v>
      </c>
      <c r="I96" t="s">
        <v>7</v>
      </c>
      <c r="J96" t="s">
        <v>28</v>
      </c>
      <c r="K96" t="s">
        <v>11</v>
      </c>
      <c r="L96" t="s">
        <v>26</v>
      </c>
      <c r="M96">
        <v>1</v>
      </c>
    </row>
    <row r="97" spans="1:13" x14ac:dyDescent="0.25">
      <c r="A97" s="2">
        <v>46307</v>
      </c>
      <c r="B97" s="1" t="str">
        <f ca="1">IF(Información1[[#This Row],[Fecha]]='Ajuste de fechas'!$A$2,"Día actual","Día anterior")</f>
        <v>Día actual</v>
      </c>
      <c r="C97" t="s">
        <v>8</v>
      </c>
      <c r="D97" t="s">
        <v>9</v>
      </c>
      <c r="E97" t="s">
        <v>232</v>
      </c>
      <c r="F97" t="s">
        <v>16</v>
      </c>
      <c r="G97" t="s">
        <v>152</v>
      </c>
      <c r="H97" t="s">
        <v>37</v>
      </c>
      <c r="I97" t="s">
        <v>7</v>
      </c>
      <c r="J97" t="s">
        <v>16</v>
      </c>
      <c r="K97" t="s">
        <v>11</v>
      </c>
      <c r="L97" t="s">
        <v>34</v>
      </c>
      <c r="M97">
        <v>1</v>
      </c>
    </row>
    <row r="98" spans="1:13" x14ac:dyDescent="0.25">
      <c r="A98" s="2">
        <v>46307</v>
      </c>
      <c r="B98" s="1" t="str">
        <f ca="1">IF(Información1[[#This Row],[Fecha]]='Ajuste de fechas'!$A$2,"Día actual","Día anterior")</f>
        <v>Día actual</v>
      </c>
      <c r="C98" t="s">
        <v>8</v>
      </c>
      <c r="D98" t="s">
        <v>9</v>
      </c>
      <c r="E98" t="s">
        <v>233</v>
      </c>
      <c r="F98" t="s">
        <v>33</v>
      </c>
      <c r="G98" t="s">
        <v>92</v>
      </c>
      <c r="H98" t="s">
        <v>37</v>
      </c>
      <c r="I98" t="s">
        <v>7</v>
      </c>
      <c r="J98" t="s">
        <v>16</v>
      </c>
      <c r="K98" t="s">
        <v>11</v>
      </c>
      <c r="L98" t="s">
        <v>34</v>
      </c>
      <c r="M98">
        <v>1</v>
      </c>
    </row>
    <row r="99" spans="1:13" x14ac:dyDescent="0.25">
      <c r="A99" s="2">
        <v>46307</v>
      </c>
      <c r="B99" s="1" t="str">
        <f ca="1">IF(Información1[[#This Row],[Fecha]]='Ajuste de fechas'!$A$2,"Día actual","Día anterior")</f>
        <v>Día actual</v>
      </c>
      <c r="C99" t="s">
        <v>8</v>
      </c>
      <c r="D99" t="s">
        <v>9</v>
      </c>
      <c r="E99" t="s">
        <v>234</v>
      </c>
      <c r="F99" t="s">
        <v>15</v>
      </c>
      <c r="G99" t="s">
        <v>79</v>
      </c>
      <c r="H99" t="s">
        <v>37</v>
      </c>
      <c r="I99" t="s">
        <v>7</v>
      </c>
      <c r="J99" t="s">
        <v>29</v>
      </c>
      <c r="K99" t="s">
        <v>11</v>
      </c>
      <c r="L99" t="s">
        <v>25</v>
      </c>
      <c r="M99">
        <v>1</v>
      </c>
    </row>
    <row r="100" spans="1:13" x14ac:dyDescent="0.25">
      <c r="A100" s="2">
        <v>46307</v>
      </c>
      <c r="B100" s="1" t="str">
        <f ca="1">IF(Información1[[#This Row],[Fecha]]='Ajuste de fechas'!$A$2,"Día actual","Día anterior")</f>
        <v>Día actual</v>
      </c>
      <c r="C100" t="s">
        <v>8</v>
      </c>
      <c r="D100" t="s">
        <v>9</v>
      </c>
      <c r="E100" t="s">
        <v>235</v>
      </c>
      <c r="F100" t="s">
        <v>15</v>
      </c>
      <c r="G100" t="s">
        <v>236</v>
      </c>
      <c r="H100" t="s">
        <v>37</v>
      </c>
      <c r="I100" t="s">
        <v>7</v>
      </c>
      <c r="J100" t="s">
        <v>29</v>
      </c>
      <c r="K100" t="s">
        <v>11</v>
      </c>
      <c r="L100" t="s">
        <v>25</v>
      </c>
      <c r="M100">
        <v>1</v>
      </c>
    </row>
    <row r="101" spans="1:13" x14ac:dyDescent="0.25">
      <c r="A101" s="2">
        <v>46307</v>
      </c>
      <c r="B101" s="1" t="str">
        <f ca="1">IF(Información1[[#This Row],[Fecha]]='Ajuste de fechas'!$A$2,"Día actual","Día anterior")</f>
        <v>Día actual</v>
      </c>
      <c r="C101" t="s">
        <v>8</v>
      </c>
      <c r="D101" t="s">
        <v>9</v>
      </c>
      <c r="E101" t="s">
        <v>237</v>
      </c>
      <c r="F101" t="s">
        <v>83</v>
      </c>
      <c r="G101" t="s">
        <v>65</v>
      </c>
      <c r="H101" t="s">
        <v>37</v>
      </c>
      <c r="I101" t="s">
        <v>7</v>
      </c>
      <c r="J101" t="s">
        <v>24</v>
      </c>
      <c r="K101" t="s">
        <v>11</v>
      </c>
      <c r="L101" t="s">
        <v>27</v>
      </c>
      <c r="M101">
        <v>1</v>
      </c>
    </row>
    <row r="102" spans="1:13" x14ac:dyDescent="0.25">
      <c r="A102" s="2">
        <v>46307</v>
      </c>
      <c r="B102" s="1" t="str">
        <f ca="1">IF(Información1[[#This Row],[Fecha]]='Ajuste de fechas'!$A$2,"Día actual","Día anterior")</f>
        <v>Día actual</v>
      </c>
      <c r="C102" t="s">
        <v>8</v>
      </c>
      <c r="D102" t="s">
        <v>9</v>
      </c>
      <c r="E102" t="s">
        <v>238</v>
      </c>
      <c r="F102" t="s">
        <v>35</v>
      </c>
      <c r="G102" t="s">
        <v>136</v>
      </c>
      <c r="H102" t="s">
        <v>37</v>
      </c>
      <c r="I102" t="s">
        <v>7</v>
      </c>
      <c r="J102" t="s">
        <v>24</v>
      </c>
      <c r="K102" t="s">
        <v>11</v>
      </c>
      <c r="L102" t="s">
        <v>27</v>
      </c>
      <c r="M102">
        <v>1</v>
      </c>
    </row>
    <row r="103" spans="1:13" x14ac:dyDescent="0.25">
      <c r="A103" s="2">
        <v>46307</v>
      </c>
      <c r="B103" s="1" t="str">
        <f ca="1">IF(Información1[[#This Row],[Fecha]]='Ajuste de fechas'!$A$2,"Día actual","Día anterior")</f>
        <v>Día actual</v>
      </c>
      <c r="C103" t="s">
        <v>8</v>
      </c>
      <c r="D103" t="s">
        <v>9</v>
      </c>
      <c r="E103" t="s">
        <v>239</v>
      </c>
      <c r="F103" t="s">
        <v>15</v>
      </c>
      <c r="G103" t="s">
        <v>198</v>
      </c>
      <c r="H103" t="s">
        <v>37</v>
      </c>
      <c r="I103" t="s">
        <v>7</v>
      </c>
      <c r="J103" t="s">
        <v>29</v>
      </c>
      <c r="K103" t="s">
        <v>11</v>
      </c>
      <c r="L103" t="s">
        <v>25</v>
      </c>
      <c r="M103">
        <v>1</v>
      </c>
    </row>
    <row r="104" spans="1:13" x14ac:dyDescent="0.25">
      <c r="A104" s="2">
        <v>46307</v>
      </c>
      <c r="B104" s="1" t="str">
        <f ca="1">IF(Información1[[#This Row],[Fecha]]='Ajuste de fechas'!$A$2,"Día actual","Día anterior")</f>
        <v>Día actual</v>
      </c>
      <c r="C104" t="s">
        <v>8</v>
      </c>
      <c r="D104" t="s">
        <v>9</v>
      </c>
      <c r="E104" t="s">
        <v>70</v>
      </c>
      <c r="F104" t="s">
        <v>13</v>
      </c>
      <c r="G104" t="s">
        <v>71</v>
      </c>
      <c r="H104" t="s">
        <v>37</v>
      </c>
      <c r="I104" t="s">
        <v>7</v>
      </c>
      <c r="J104" t="s">
        <v>28</v>
      </c>
      <c r="K104" t="s">
        <v>11</v>
      </c>
      <c r="L104" t="s">
        <v>26</v>
      </c>
      <c r="M104">
        <v>1</v>
      </c>
    </row>
    <row r="105" spans="1:13" x14ac:dyDescent="0.25">
      <c r="A105" s="2">
        <v>46307</v>
      </c>
      <c r="B105" s="1" t="str">
        <f ca="1">IF(Información1[[#This Row],[Fecha]]='Ajuste de fechas'!$A$2,"Día actual","Día anterior")</f>
        <v>Día actual</v>
      </c>
      <c r="C105" t="s">
        <v>8</v>
      </c>
      <c r="D105" t="s">
        <v>9</v>
      </c>
      <c r="E105" t="s">
        <v>72</v>
      </c>
      <c r="F105" t="s">
        <v>13</v>
      </c>
      <c r="G105" t="s">
        <v>71</v>
      </c>
      <c r="H105" t="s">
        <v>37</v>
      </c>
      <c r="I105" t="s">
        <v>7</v>
      </c>
      <c r="J105" t="s">
        <v>28</v>
      </c>
      <c r="K105" t="s">
        <v>11</v>
      </c>
      <c r="L105" t="s">
        <v>26</v>
      </c>
      <c r="M105">
        <v>1</v>
      </c>
    </row>
    <row r="106" spans="1:13" x14ac:dyDescent="0.25">
      <c r="A106" s="2">
        <v>46307</v>
      </c>
      <c r="B106" s="1" t="str">
        <f ca="1">IF(Información1[[#This Row],[Fecha]]='Ajuste de fechas'!$A$2,"Día actual","Día anterior")</f>
        <v>Día actual</v>
      </c>
      <c r="C106" t="s">
        <v>8</v>
      </c>
      <c r="D106" t="s">
        <v>9</v>
      </c>
      <c r="E106" t="s">
        <v>73</v>
      </c>
      <c r="F106" t="s">
        <v>33</v>
      </c>
      <c r="G106" t="s">
        <v>71</v>
      </c>
      <c r="H106" t="s">
        <v>37</v>
      </c>
      <c r="I106" t="s">
        <v>7</v>
      </c>
      <c r="J106" t="s">
        <v>16</v>
      </c>
      <c r="K106" t="s">
        <v>11</v>
      </c>
      <c r="L106" t="s">
        <v>26</v>
      </c>
      <c r="M106">
        <v>1</v>
      </c>
    </row>
    <row r="107" spans="1:13" x14ac:dyDescent="0.25">
      <c r="A107" s="2">
        <v>46307</v>
      </c>
      <c r="B107" s="1" t="str">
        <f ca="1">IF(Información1[[#This Row],[Fecha]]='Ajuste de fechas'!$A$2,"Día actual","Día anterior")</f>
        <v>Día actual</v>
      </c>
      <c r="C107" t="s">
        <v>8</v>
      </c>
      <c r="D107" t="s">
        <v>9</v>
      </c>
      <c r="E107" t="s">
        <v>87</v>
      </c>
      <c r="F107" t="s">
        <v>12</v>
      </c>
      <c r="G107" t="s">
        <v>71</v>
      </c>
      <c r="H107" t="s">
        <v>37</v>
      </c>
      <c r="I107" t="s">
        <v>7</v>
      </c>
      <c r="J107" t="s">
        <v>24</v>
      </c>
      <c r="K107" t="s">
        <v>11</v>
      </c>
      <c r="L107" t="s">
        <v>26</v>
      </c>
      <c r="M107">
        <v>1</v>
      </c>
    </row>
    <row r="108" spans="1:13" x14ac:dyDescent="0.25">
      <c r="A108" s="2">
        <v>46307</v>
      </c>
      <c r="B108" s="1" t="str">
        <f ca="1">IF(Información1[[#This Row],[Fecha]]='Ajuste de fechas'!$A$2,"Día actual","Día anterior")</f>
        <v>Día actual</v>
      </c>
      <c r="C108" t="s">
        <v>8</v>
      </c>
      <c r="D108" t="s">
        <v>9</v>
      </c>
      <c r="E108" t="s">
        <v>74</v>
      </c>
      <c r="F108" t="s">
        <v>6</v>
      </c>
      <c r="G108" t="s">
        <v>71</v>
      </c>
      <c r="H108" t="s">
        <v>37</v>
      </c>
      <c r="I108" t="s">
        <v>7</v>
      </c>
      <c r="J108" t="s">
        <v>24</v>
      </c>
      <c r="K108" t="s">
        <v>11</v>
      </c>
      <c r="L108" t="s">
        <v>26</v>
      </c>
      <c r="M108">
        <v>1</v>
      </c>
    </row>
    <row r="109" spans="1:13" x14ac:dyDescent="0.25">
      <c r="A109" s="2">
        <v>46307</v>
      </c>
      <c r="B109" s="1" t="str">
        <f ca="1">IF(Información1[[#This Row],[Fecha]]='Ajuste de fechas'!$A$2,"Día actual","Día anterior")</f>
        <v>Día actual</v>
      </c>
      <c r="C109" t="s">
        <v>38</v>
      </c>
      <c r="D109" t="s">
        <v>43</v>
      </c>
      <c r="E109" t="s">
        <v>240</v>
      </c>
      <c r="F109" t="s">
        <v>13</v>
      </c>
      <c r="G109" t="s">
        <v>241</v>
      </c>
      <c r="H109" t="s">
        <v>37</v>
      </c>
      <c r="I109" t="s">
        <v>7</v>
      </c>
      <c r="J109" t="s">
        <v>28</v>
      </c>
      <c r="K109" t="s">
        <v>40</v>
      </c>
      <c r="L109" t="s">
        <v>25</v>
      </c>
      <c r="M109">
        <v>1</v>
      </c>
    </row>
    <row r="110" spans="1:13" x14ac:dyDescent="0.25">
      <c r="A110" s="2">
        <v>46307</v>
      </c>
      <c r="B110" s="1" t="str">
        <f ca="1">IF(Información1[[#This Row],[Fecha]]='Ajuste de fechas'!$A$2,"Día actual","Día anterior")</f>
        <v>Día actual</v>
      </c>
      <c r="C110" t="s">
        <v>38</v>
      </c>
      <c r="D110" t="s">
        <v>43</v>
      </c>
      <c r="E110" t="s">
        <v>242</v>
      </c>
      <c r="F110" t="s">
        <v>14</v>
      </c>
      <c r="G110" t="s">
        <v>243</v>
      </c>
      <c r="H110" t="s">
        <v>37</v>
      </c>
      <c r="I110" t="s">
        <v>7</v>
      </c>
      <c r="J110" t="s">
        <v>24</v>
      </c>
      <c r="K110" t="s">
        <v>40</v>
      </c>
      <c r="L110" t="s">
        <v>27</v>
      </c>
      <c r="M110">
        <v>1</v>
      </c>
    </row>
    <row r="111" spans="1:13" x14ac:dyDescent="0.25">
      <c r="A111" s="2">
        <v>46307</v>
      </c>
      <c r="B111" s="1" t="str">
        <f ca="1">IF(Información1[[#This Row],[Fecha]]='Ajuste de fechas'!$A$2,"Día actual","Día anterior")</f>
        <v>Día actual</v>
      </c>
      <c r="C111" t="s">
        <v>38</v>
      </c>
      <c r="D111" t="s">
        <v>43</v>
      </c>
      <c r="E111" t="s">
        <v>244</v>
      </c>
      <c r="F111" t="s">
        <v>13</v>
      </c>
      <c r="G111" t="s">
        <v>152</v>
      </c>
      <c r="H111" t="s">
        <v>37</v>
      </c>
      <c r="I111" t="s">
        <v>7</v>
      </c>
      <c r="J111" t="s">
        <v>28</v>
      </c>
      <c r="K111" t="s">
        <v>40</v>
      </c>
      <c r="L111" t="s">
        <v>25</v>
      </c>
      <c r="M111">
        <v>1</v>
      </c>
    </row>
    <row r="112" spans="1:13" x14ac:dyDescent="0.25">
      <c r="A112" s="2">
        <v>46307</v>
      </c>
      <c r="B112" s="1" t="str">
        <f ca="1">IF(Información1[[#This Row],[Fecha]]='Ajuste de fechas'!$A$2,"Día actual","Día anterior")</f>
        <v>Día actual</v>
      </c>
      <c r="C112" t="s">
        <v>38</v>
      </c>
      <c r="D112" t="s">
        <v>43</v>
      </c>
      <c r="E112" t="s">
        <v>245</v>
      </c>
      <c r="F112" t="s">
        <v>42</v>
      </c>
      <c r="G112" t="s">
        <v>77</v>
      </c>
      <c r="H112" t="s">
        <v>37</v>
      </c>
      <c r="I112" t="s">
        <v>7</v>
      </c>
      <c r="J112" t="s">
        <v>24</v>
      </c>
      <c r="K112" t="s">
        <v>40</v>
      </c>
      <c r="L112" t="s">
        <v>25</v>
      </c>
      <c r="M112">
        <v>1</v>
      </c>
    </row>
    <row r="113" spans="1:13" x14ac:dyDescent="0.25">
      <c r="A113" s="2">
        <v>46307</v>
      </c>
      <c r="B113" s="1" t="str">
        <f ca="1">IF(Información1[[#This Row],[Fecha]]='Ajuste de fechas'!$A$2,"Día actual","Día anterior")</f>
        <v>Día actual</v>
      </c>
      <c r="C113" t="s">
        <v>38</v>
      </c>
      <c r="D113" t="s">
        <v>43</v>
      </c>
      <c r="E113" t="s">
        <v>246</v>
      </c>
      <c r="F113" t="s">
        <v>83</v>
      </c>
      <c r="G113" t="s">
        <v>247</v>
      </c>
      <c r="H113" t="s">
        <v>37</v>
      </c>
      <c r="I113" t="s">
        <v>7</v>
      </c>
      <c r="J113" t="s">
        <v>24</v>
      </c>
      <c r="K113" t="s">
        <v>40</v>
      </c>
      <c r="L113" t="s">
        <v>25</v>
      </c>
      <c r="M113">
        <v>1</v>
      </c>
    </row>
    <row r="114" spans="1:13" x14ac:dyDescent="0.25">
      <c r="A114" s="2">
        <v>46307</v>
      </c>
      <c r="B114" s="1" t="str">
        <f ca="1">IF(Información1[[#This Row],[Fecha]]='Ajuste de fechas'!$A$2,"Día actual","Día anterior")</f>
        <v>Día actual</v>
      </c>
      <c r="C114" t="s">
        <v>45</v>
      </c>
      <c r="D114" t="s">
        <v>46</v>
      </c>
      <c r="E114" t="s">
        <v>248</v>
      </c>
      <c r="F114" t="s">
        <v>15</v>
      </c>
      <c r="G114" t="s">
        <v>129</v>
      </c>
      <c r="H114" t="s">
        <v>37</v>
      </c>
      <c r="I114" t="s">
        <v>7</v>
      </c>
      <c r="J114" t="s">
        <v>29</v>
      </c>
      <c r="K114" t="s">
        <v>47</v>
      </c>
      <c r="L114" t="s">
        <v>25</v>
      </c>
      <c r="M114">
        <v>1</v>
      </c>
    </row>
    <row r="115" spans="1:13" x14ac:dyDescent="0.25">
      <c r="A115" s="2">
        <v>46307</v>
      </c>
      <c r="B115" s="1" t="str">
        <f ca="1">IF(Información1[[#This Row],[Fecha]]='Ajuste de fechas'!$A$2,"Día actual","Día anterior")</f>
        <v>Día actual</v>
      </c>
      <c r="C115" t="s">
        <v>45</v>
      </c>
      <c r="D115" t="s">
        <v>46</v>
      </c>
      <c r="E115" t="s">
        <v>249</v>
      </c>
      <c r="F115" t="s">
        <v>13</v>
      </c>
      <c r="G115" t="s">
        <v>142</v>
      </c>
      <c r="H115" t="s">
        <v>37</v>
      </c>
      <c r="I115" t="s">
        <v>7</v>
      </c>
      <c r="J115" t="s">
        <v>28</v>
      </c>
      <c r="K115" t="s">
        <v>47</v>
      </c>
      <c r="L115" t="s">
        <v>25</v>
      </c>
      <c r="M115">
        <v>1</v>
      </c>
    </row>
    <row r="116" spans="1:13" x14ac:dyDescent="0.25">
      <c r="A116" s="2">
        <v>46307</v>
      </c>
      <c r="B116" s="1" t="str">
        <f ca="1">IF(Información1[[#This Row],[Fecha]]='Ajuste de fechas'!$A$2,"Día actual","Día anterior")</f>
        <v>Día actual</v>
      </c>
      <c r="C116" t="s">
        <v>45</v>
      </c>
      <c r="D116" t="s">
        <v>46</v>
      </c>
      <c r="E116" t="s">
        <v>250</v>
      </c>
      <c r="F116" t="s">
        <v>103</v>
      </c>
      <c r="G116" t="s">
        <v>251</v>
      </c>
      <c r="H116" t="s">
        <v>37</v>
      </c>
      <c r="I116" t="s">
        <v>10</v>
      </c>
      <c r="J116" t="s">
        <v>24</v>
      </c>
      <c r="K116" t="s">
        <v>47</v>
      </c>
      <c r="L116" t="s">
        <v>25</v>
      </c>
      <c r="M116">
        <v>1</v>
      </c>
    </row>
    <row r="117" spans="1:13" x14ac:dyDescent="0.25">
      <c r="A117" s="2">
        <v>46307</v>
      </c>
      <c r="B117" s="1" t="str">
        <f ca="1">IF(Información1[[#This Row],[Fecha]]='Ajuste de fechas'!$A$2,"Día actual","Día anterior")</f>
        <v>Día actual</v>
      </c>
      <c r="C117" t="s">
        <v>45</v>
      </c>
      <c r="D117" t="s">
        <v>46</v>
      </c>
      <c r="E117" t="s">
        <v>252</v>
      </c>
      <c r="F117" t="s">
        <v>85</v>
      </c>
      <c r="G117" t="s">
        <v>196</v>
      </c>
      <c r="H117" t="s">
        <v>37</v>
      </c>
      <c r="I117" t="s">
        <v>7</v>
      </c>
      <c r="J117" t="s">
        <v>24</v>
      </c>
      <c r="K117" t="s">
        <v>47</v>
      </c>
      <c r="L117" t="s">
        <v>27</v>
      </c>
      <c r="M117">
        <v>1</v>
      </c>
    </row>
    <row r="118" spans="1:13" x14ac:dyDescent="0.25">
      <c r="A118" s="2">
        <v>46307</v>
      </c>
      <c r="B118" s="1" t="str">
        <f ca="1">IF(Información1[[#This Row],[Fecha]]='Ajuste de fechas'!$A$2,"Día actual","Día anterior")</f>
        <v>Día actual</v>
      </c>
      <c r="C118" t="s">
        <v>45</v>
      </c>
      <c r="D118" t="s">
        <v>46</v>
      </c>
      <c r="E118" t="s">
        <v>253</v>
      </c>
      <c r="F118" t="s">
        <v>36</v>
      </c>
      <c r="G118" t="s">
        <v>209</v>
      </c>
      <c r="H118" t="s">
        <v>37</v>
      </c>
      <c r="I118" t="s">
        <v>7</v>
      </c>
      <c r="J118" t="s">
        <v>24</v>
      </c>
      <c r="K118" t="s">
        <v>47</v>
      </c>
      <c r="L118" t="s">
        <v>25</v>
      </c>
      <c r="M118">
        <v>1</v>
      </c>
    </row>
    <row r="119" spans="1:13" x14ac:dyDescent="0.25">
      <c r="A119" s="2">
        <v>46307</v>
      </c>
      <c r="B119" s="1" t="str">
        <f ca="1">IF(Información1[[#This Row],[Fecha]]='Ajuste de fechas'!$A$2,"Día actual","Día anterior")</f>
        <v>Día actual</v>
      </c>
      <c r="C119" t="s">
        <v>45</v>
      </c>
      <c r="D119" t="s">
        <v>46</v>
      </c>
      <c r="E119" t="s">
        <v>254</v>
      </c>
      <c r="F119" t="s">
        <v>15</v>
      </c>
      <c r="G119" t="s">
        <v>129</v>
      </c>
      <c r="H119" t="s">
        <v>37</v>
      </c>
      <c r="I119" t="s">
        <v>17</v>
      </c>
      <c r="J119" t="s">
        <v>29</v>
      </c>
      <c r="K119" t="s">
        <v>47</v>
      </c>
      <c r="L119" t="s">
        <v>25</v>
      </c>
      <c r="M119">
        <v>1</v>
      </c>
    </row>
    <row r="120" spans="1:13" x14ac:dyDescent="0.25">
      <c r="A120" s="2">
        <v>46307</v>
      </c>
      <c r="B120" s="1" t="str">
        <f ca="1">IF(Información1[[#This Row],[Fecha]]='Ajuste de fechas'!$A$2,"Día actual","Día anterior")</f>
        <v>Día actual</v>
      </c>
      <c r="C120" t="s">
        <v>38</v>
      </c>
      <c r="D120" t="s">
        <v>39</v>
      </c>
      <c r="E120" t="s">
        <v>255</v>
      </c>
      <c r="F120" t="s">
        <v>16</v>
      </c>
      <c r="G120" t="s">
        <v>256</v>
      </c>
      <c r="H120" t="s">
        <v>37</v>
      </c>
      <c r="I120" t="s">
        <v>7</v>
      </c>
      <c r="J120" t="s">
        <v>16</v>
      </c>
      <c r="K120" t="s">
        <v>40</v>
      </c>
      <c r="L120" t="s">
        <v>34</v>
      </c>
      <c r="M120">
        <v>1</v>
      </c>
    </row>
    <row r="121" spans="1:13" x14ac:dyDescent="0.25">
      <c r="A121" s="2">
        <v>46307</v>
      </c>
      <c r="B121" s="1" t="str">
        <f ca="1">IF(Información1[[#This Row],[Fecha]]='Ajuste de fechas'!$A$2,"Día actual","Día anterior")</f>
        <v>Día actual</v>
      </c>
      <c r="C121" t="s">
        <v>38</v>
      </c>
      <c r="D121" t="s">
        <v>39</v>
      </c>
      <c r="E121" t="s">
        <v>257</v>
      </c>
      <c r="F121" t="s">
        <v>103</v>
      </c>
      <c r="G121" t="s">
        <v>251</v>
      </c>
      <c r="H121" t="s">
        <v>37</v>
      </c>
      <c r="I121" t="s">
        <v>7</v>
      </c>
      <c r="J121" t="s">
        <v>24</v>
      </c>
      <c r="K121" t="s">
        <v>41</v>
      </c>
      <c r="L121" t="s">
        <v>25</v>
      </c>
      <c r="M121">
        <v>1</v>
      </c>
    </row>
    <row r="122" spans="1:13" x14ac:dyDescent="0.25">
      <c r="A122" s="2">
        <v>46307</v>
      </c>
      <c r="B122" s="1" t="str">
        <f ca="1">IF(Información1[[#This Row],[Fecha]]='Ajuste de fechas'!$A$2,"Día actual","Día anterior")</f>
        <v>Día actual</v>
      </c>
      <c r="C122" t="s">
        <v>38</v>
      </c>
      <c r="D122" t="s">
        <v>39</v>
      </c>
      <c r="E122" t="s">
        <v>258</v>
      </c>
      <c r="F122" t="s">
        <v>14</v>
      </c>
      <c r="G122" t="s">
        <v>259</v>
      </c>
      <c r="H122" t="s">
        <v>37</v>
      </c>
      <c r="I122" t="s">
        <v>17</v>
      </c>
      <c r="J122" t="s">
        <v>24</v>
      </c>
      <c r="K122" t="s">
        <v>44</v>
      </c>
      <c r="L122" t="s">
        <v>26</v>
      </c>
      <c r="M122">
        <v>1</v>
      </c>
    </row>
    <row r="123" spans="1:13" x14ac:dyDescent="0.25">
      <c r="A123" s="2">
        <v>46307</v>
      </c>
      <c r="B123" s="1" t="str">
        <f ca="1">IF(Información1[[#This Row],[Fecha]]='Ajuste de fechas'!$A$2,"Día actual","Día anterior")</f>
        <v>Día actual</v>
      </c>
      <c r="C123" t="s">
        <v>38</v>
      </c>
      <c r="D123" t="s">
        <v>39</v>
      </c>
      <c r="E123" t="s">
        <v>260</v>
      </c>
      <c r="F123" t="s">
        <v>14</v>
      </c>
      <c r="G123" t="s">
        <v>89</v>
      </c>
      <c r="H123" t="s">
        <v>37</v>
      </c>
      <c r="I123" t="s">
        <v>17</v>
      </c>
      <c r="J123" t="s">
        <v>24</v>
      </c>
      <c r="K123" t="s">
        <v>44</v>
      </c>
      <c r="L123" t="s">
        <v>26</v>
      </c>
      <c r="M123">
        <v>1</v>
      </c>
    </row>
    <row r="124" spans="1:13" x14ac:dyDescent="0.25">
      <c r="A124" s="2">
        <v>46307</v>
      </c>
      <c r="B124" s="1" t="str">
        <f ca="1">IF(Información1[[#This Row],[Fecha]]='Ajuste de fechas'!$A$2,"Día actual","Día anterior")</f>
        <v>Día actual</v>
      </c>
      <c r="C124" t="s">
        <v>38</v>
      </c>
      <c r="D124" t="s">
        <v>39</v>
      </c>
      <c r="E124" t="s">
        <v>261</v>
      </c>
      <c r="F124" t="s">
        <v>13</v>
      </c>
      <c r="G124" t="s">
        <v>262</v>
      </c>
      <c r="H124" t="s">
        <v>37</v>
      </c>
      <c r="I124" t="s">
        <v>7</v>
      </c>
      <c r="J124" t="s">
        <v>28</v>
      </c>
      <c r="K124" t="s">
        <v>40</v>
      </c>
      <c r="L124" t="s">
        <v>25</v>
      </c>
      <c r="M124">
        <v>1</v>
      </c>
    </row>
    <row r="125" spans="1:13" x14ac:dyDescent="0.25">
      <c r="A125" s="2">
        <v>46307</v>
      </c>
      <c r="B125" s="1" t="str">
        <f ca="1">IF(Información1[[#This Row],[Fecha]]='Ajuste de fechas'!$A$2,"Día actual","Día anterior")</f>
        <v>Día actual</v>
      </c>
      <c r="C125" t="s">
        <v>38</v>
      </c>
      <c r="D125" t="s">
        <v>39</v>
      </c>
      <c r="E125" t="s">
        <v>263</v>
      </c>
      <c r="F125" t="s">
        <v>103</v>
      </c>
      <c r="G125" t="s">
        <v>251</v>
      </c>
      <c r="H125" t="s">
        <v>37</v>
      </c>
      <c r="I125" t="s">
        <v>7</v>
      </c>
      <c r="J125" t="s">
        <v>24</v>
      </c>
      <c r="K125" t="s">
        <v>41</v>
      </c>
      <c r="L125" t="s">
        <v>26</v>
      </c>
      <c r="M125">
        <v>1</v>
      </c>
    </row>
    <row r="126" spans="1:13" x14ac:dyDescent="0.25">
      <c r="A126" s="2">
        <v>46307</v>
      </c>
      <c r="B126" s="1" t="str">
        <f ca="1">IF(Información1[[#This Row],[Fecha]]='Ajuste de fechas'!$A$2,"Día actual","Día anterior")</f>
        <v>Día actual</v>
      </c>
      <c r="C126" t="s">
        <v>38</v>
      </c>
      <c r="D126" t="s">
        <v>39</v>
      </c>
      <c r="E126" t="s">
        <v>263</v>
      </c>
      <c r="F126" t="s">
        <v>264</v>
      </c>
      <c r="G126" t="s">
        <v>251</v>
      </c>
      <c r="H126" t="s">
        <v>37</v>
      </c>
      <c r="I126" t="s">
        <v>7</v>
      </c>
      <c r="J126" t="s">
        <v>24</v>
      </c>
      <c r="K126" t="s">
        <v>41</v>
      </c>
      <c r="L126" t="s">
        <v>26</v>
      </c>
      <c r="M126">
        <v>1</v>
      </c>
    </row>
    <row r="127" spans="1:13" x14ac:dyDescent="0.25">
      <c r="A127" s="2">
        <v>46307</v>
      </c>
      <c r="B127" s="1" t="str">
        <f ca="1">IF(Información1[[#This Row],[Fecha]]='Ajuste de fechas'!$A$2,"Día actual","Día anterior")</f>
        <v>Día actual</v>
      </c>
      <c r="C127" t="s">
        <v>38</v>
      </c>
      <c r="D127" t="s">
        <v>39</v>
      </c>
      <c r="E127" t="s">
        <v>265</v>
      </c>
      <c r="F127" t="s">
        <v>14</v>
      </c>
      <c r="G127" t="s">
        <v>102</v>
      </c>
      <c r="H127" t="s">
        <v>37</v>
      </c>
      <c r="I127" t="s">
        <v>10</v>
      </c>
      <c r="J127" t="s">
        <v>24</v>
      </c>
      <c r="K127" t="s">
        <v>40</v>
      </c>
      <c r="L127" t="s">
        <v>26</v>
      </c>
      <c r="M127">
        <v>1</v>
      </c>
    </row>
    <row r="128" spans="1:13" x14ac:dyDescent="0.25">
      <c r="A128" s="2">
        <v>46307</v>
      </c>
      <c r="B128" s="1" t="str">
        <f ca="1">IF(Información1[[#This Row],[Fecha]]='Ajuste de fechas'!$A$2,"Día actual","Día anterior")</f>
        <v>Día actual</v>
      </c>
      <c r="C128" t="s">
        <v>38</v>
      </c>
      <c r="D128" t="s">
        <v>39</v>
      </c>
      <c r="E128" t="s">
        <v>265</v>
      </c>
      <c r="F128" t="s">
        <v>85</v>
      </c>
      <c r="G128" t="s">
        <v>91</v>
      </c>
      <c r="H128" t="s">
        <v>37</v>
      </c>
      <c r="I128" t="s">
        <v>10</v>
      </c>
      <c r="J128" t="s">
        <v>24</v>
      </c>
      <c r="K128" t="s">
        <v>40</v>
      </c>
      <c r="L128" t="s">
        <v>26</v>
      </c>
      <c r="M128">
        <v>1</v>
      </c>
    </row>
    <row r="129" spans="1:13" x14ac:dyDescent="0.25">
      <c r="A129" s="2">
        <v>46307</v>
      </c>
      <c r="B129" s="1" t="str">
        <f ca="1">IF(Información1[[#This Row],[Fecha]]='Ajuste de fechas'!$A$2,"Día actual","Día anterior")</f>
        <v>Día actual</v>
      </c>
      <c r="C129" t="s">
        <v>38</v>
      </c>
      <c r="D129" t="s">
        <v>39</v>
      </c>
      <c r="E129" t="s">
        <v>265</v>
      </c>
      <c r="F129" t="s">
        <v>14</v>
      </c>
      <c r="G129" t="s">
        <v>154</v>
      </c>
      <c r="H129" t="s">
        <v>37</v>
      </c>
      <c r="I129" t="s">
        <v>10</v>
      </c>
      <c r="J129" t="s">
        <v>24</v>
      </c>
      <c r="K129" t="s">
        <v>40</v>
      </c>
      <c r="L129" t="s">
        <v>26</v>
      </c>
      <c r="M129">
        <v>1</v>
      </c>
    </row>
    <row r="130" spans="1:13" x14ac:dyDescent="0.25">
      <c r="A130" s="2">
        <v>46307</v>
      </c>
      <c r="B130" s="1" t="str">
        <f ca="1">IF(Información1[[#This Row],[Fecha]]='Ajuste de fechas'!$A$2,"Día actual","Día anterior")</f>
        <v>Día actual</v>
      </c>
      <c r="C130" t="s">
        <v>38</v>
      </c>
      <c r="D130" t="s">
        <v>39</v>
      </c>
      <c r="E130" t="s">
        <v>265</v>
      </c>
      <c r="F130" t="s">
        <v>14</v>
      </c>
      <c r="G130" t="s">
        <v>84</v>
      </c>
      <c r="H130" t="s">
        <v>37</v>
      </c>
      <c r="I130" t="s">
        <v>10</v>
      </c>
      <c r="J130" t="s">
        <v>24</v>
      </c>
      <c r="K130" t="s">
        <v>40</v>
      </c>
      <c r="L130" t="s">
        <v>26</v>
      </c>
      <c r="M130">
        <v>1</v>
      </c>
    </row>
    <row r="131" spans="1:13" x14ac:dyDescent="0.25">
      <c r="A131" s="2">
        <v>46307</v>
      </c>
      <c r="B131" s="1" t="str">
        <f ca="1">IF(Información1[[#This Row],[Fecha]]='Ajuste de fechas'!$A$2,"Día actual","Día anterior")</f>
        <v>Día actual</v>
      </c>
      <c r="C131" t="s">
        <v>38</v>
      </c>
      <c r="D131" t="s">
        <v>39</v>
      </c>
      <c r="E131" t="s">
        <v>266</v>
      </c>
      <c r="F131" t="s">
        <v>15</v>
      </c>
      <c r="G131" t="s">
        <v>129</v>
      </c>
      <c r="H131" t="s">
        <v>37</v>
      </c>
      <c r="I131" t="s">
        <v>17</v>
      </c>
      <c r="J131" t="s">
        <v>29</v>
      </c>
      <c r="K131" t="s">
        <v>267</v>
      </c>
      <c r="L131" t="s">
        <v>26</v>
      </c>
      <c r="M131">
        <v>1</v>
      </c>
    </row>
    <row r="132" spans="1:13" x14ac:dyDescent="0.25">
      <c r="A132" s="2">
        <v>46307</v>
      </c>
      <c r="B132" s="1" t="str">
        <f ca="1">IF(Información1[[#This Row],[Fecha]]='Ajuste de fechas'!$A$2,"Día actual","Día anterior")</f>
        <v>Día actual</v>
      </c>
      <c r="C132" t="s">
        <v>38</v>
      </c>
      <c r="D132" t="s">
        <v>39</v>
      </c>
      <c r="E132" t="s">
        <v>268</v>
      </c>
      <c r="F132" t="s">
        <v>14</v>
      </c>
      <c r="G132" t="s">
        <v>102</v>
      </c>
      <c r="H132" t="s">
        <v>37</v>
      </c>
      <c r="I132" t="s">
        <v>7</v>
      </c>
      <c r="J132" t="s">
        <v>24</v>
      </c>
      <c r="K132" t="s">
        <v>40</v>
      </c>
      <c r="L132" t="s">
        <v>25</v>
      </c>
      <c r="M132">
        <v>1</v>
      </c>
    </row>
    <row r="133" spans="1:13" x14ac:dyDescent="0.25">
      <c r="A133" s="2">
        <v>46307</v>
      </c>
      <c r="B133" s="1" t="str">
        <f ca="1">IF(Información1[[#This Row],[Fecha]]='Ajuste de fechas'!$A$2,"Día actual","Día anterior")</f>
        <v>Día actual</v>
      </c>
      <c r="C133" t="s">
        <v>38</v>
      </c>
      <c r="D133" t="s">
        <v>39</v>
      </c>
      <c r="E133" t="s">
        <v>269</v>
      </c>
      <c r="F133" t="s">
        <v>14</v>
      </c>
      <c r="G133" t="s">
        <v>94</v>
      </c>
      <c r="H133" t="s">
        <v>37</v>
      </c>
      <c r="I133" t="s">
        <v>7</v>
      </c>
      <c r="J133" t="s">
        <v>24</v>
      </c>
      <c r="K133" t="s">
        <v>41</v>
      </c>
      <c r="L133" t="s">
        <v>34</v>
      </c>
      <c r="M133">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31</v>
      </c>
      <c r="B1" t="s">
        <v>32</v>
      </c>
    </row>
    <row r="2" spans="1:2" x14ac:dyDescent="0.25">
      <c r="A2" s="2">
        <f ca="1">TODAY()</f>
        <v>46307</v>
      </c>
      <c r="B2" s="2">
        <f ca="1">A2-1</f>
        <v>46306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2026-10-12T23:29:00Z</dcterms:modified>
</cp:coreProperties>
</file>