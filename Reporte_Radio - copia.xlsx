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A6A48692-898E-4C64-9577-0E84047C321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29" i="2"/>
  <c r="B115" i="2"/>
  <c r="B116" i="2"/>
  <c r="B117" i="2"/>
  <c r="B118" i="2"/>
  <c r="B119" i="2"/>
  <c r="B120" i="2"/>
  <c r="B121" i="2"/>
  <c r="B122" i="2"/>
  <c r="B123" i="2"/>
  <c r="B124" i="2"/>
  <c r="B125" i="2"/>
  <c r="B126" i="2"/>
  <c r="B127" i="2"/>
  <c r="B12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<sst xmlns="http://schemas.openxmlformats.org/spreadsheetml/2006/main" count="2355" uniqueCount="405">
  <si>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</si>
  <si>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</si>
  <si>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</si>
  <si>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</si>
  <si>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</si>
  <si>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</si>
  <si>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</si>
  <si>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</si>
  <si>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</si>
  <si>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</si>
  <si>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</si>
  <si>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</si>
  <si>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</si>
  <si>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</si>
  <si>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</si>
  <si>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</si>
  <si>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</si>
  <si>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</si>
  <si>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</si>
  <si>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</si>
  <si>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</si>
  <si>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</si>
  <si>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</si>
  <si>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</si>
  <si>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</si>
  <si>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</si>
  <si>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</si>
  <si>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</si>
  <si>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</si>
  <si>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</si>
  <si>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DIFH</t>
  </si>
  <si>
    <t>Gobierno</t>
  </si>
  <si>
    <t>Andrés Torres</t>
  </si>
  <si>
    <t>Regreso A Clases</t>
  </si>
  <si>
    <t>Toma de protesta</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</si>
  <si>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</si>
  <si>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</si>
  <si>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</si>
  <si>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</si>
  <si>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</si>
  <si>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</si>
  <si>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</si>
  <si>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</si>
  <si>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</si>
  <si>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</si>
  <si>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</si>
  <si>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</si>
  <si>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</si>
  <si>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</si>
  <si>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</si>
  <si>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</si>
  <si>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</si>
  <si>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Ejecuciones</t>
  </si>
  <si>
    <t>Contraloría</t>
  </si>
  <si>
    <t>Atención Afectaciones Por Lluvias</t>
  </si>
  <si>
    <t>Canal del Pueblo</t>
  </si>
  <si>
    <t>Vocales Radio</t>
  </si>
  <si>
    <t>Radiodifusoras</t>
  </si>
  <si>
    <t>Afectaciones Por Lluvias</t>
  </si>
  <si>
    <t>Semarnath</t>
  </si>
  <si>
    <t>STPSH</t>
  </si>
  <si>
    <t>Trabajo legislativo</t>
  </si>
  <si>
    <t>NQ 90.1 FM</t>
  </si>
  <si>
    <t>Jesús Riveros</t>
  </si>
  <si>
    <t>Enlace Hidalgo1</t>
  </si>
  <si>
    <t>Enlace Hidalgo2</t>
  </si>
  <si>
    <t>Delegación</t>
  </si>
  <si>
    <t>Radio Lobo 96.7 FM</t>
  </si>
  <si>
    <t>Gina Lorenzo</t>
  </si>
  <si>
    <t>Enlace Noticias</t>
  </si>
  <si>
    <t>Planeación</t>
  </si>
  <si>
    <t>Ultra 102.9 FM</t>
  </si>
  <si>
    <t>Ultra Noticias1</t>
  </si>
  <si>
    <t>Daniel Martínez</t>
  </si>
  <si>
    <t>Cultura</t>
  </si>
  <si>
    <t>Firma De Convenio</t>
  </si>
  <si>
    <t>Detención</t>
  </si>
  <si>
    <t>Sarampión</t>
  </si>
  <si>
    <t>Prevención del delito</t>
  </si>
  <si>
    <t>Localización de cuerpo</t>
  </si>
  <si>
    <t>Combate a la delincuencia</t>
  </si>
  <si>
    <t>Accidente Carretero</t>
  </si>
  <si>
    <t>Despacho</t>
  </si>
  <si>
    <t>Eulalio Larrieta agradece a Carlos Gamiño por estar al pendiente de temas</t>
  </si>
  <si>
    <t>Desazolve</t>
  </si>
  <si>
    <t>Certificación</t>
  </si>
  <si>
    <t>Ataque Armado</t>
  </si>
  <si>
    <t>Levantamiento De Cuerpo</t>
  </si>
  <si>
    <t>Localización de persona</t>
  </si>
  <si>
    <t>Reforma De Ley</t>
  </si>
  <si>
    <t>Iniciativa</t>
  </si>
  <si>
    <t>Intervención Gráfica</t>
  </si>
  <si>
    <t>Protección del menor</t>
  </si>
  <si>
    <t>Rescate Animal</t>
  </si>
  <si>
    <t>Apoyo Al Agro</t>
  </si>
  <si>
    <t>Alerta Meteorológica</t>
  </si>
  <si>
    <t>Justicia Por Propia Mano</t>
  </si>
  <si>
    <t>Huracán Priscilla</t>
  </si>
  <si>
    <t>Salud universal</t>
  </si>
  <si>
    <t>Abasto De Agua</t>
  </si>
  <si>
    <t>Accidente de tren</t>
  </si>
  <si>
    <t>Fuga De Agua</t>
  </si>
  <si>
    <t>Jornada por la paz</t>
  </si>
  <si>
    <t>Control de incendios</t>
  </si>
  <si>
    <t>Atención Ciudadana</t>
  </si>
  <si>
    <t>Incendios forestales</t>
  </si>
  <si>
    <t>Jesús González</t>
  </si>
  <si>
    <t>Eulalio Larrieta agradece Paola García y Lic. Sarahi Pineda, por estar atentas a los mensajes de la ciudadanía y por atenderlos.</t>
  </si>
  <si>
    <t>La SSPH informa lo siguiente: En relación a los hechos ocurridos hoy por la tarde en un domicilio del fraccionamiento San Isidro, en el municipio de Tlanalapa, donde se llevaba a cabo una convivencia en la que se generó una agresión, lo que dejó como saldo el fallecimiento de dos mujeres y un hombre por detonaciones de arma de fuego.</t>
  </si>
  <si>
    <t>Municipalismo</t>
  </si>
  <si>
    <t>Paro de transporte público</t>
  </si>
  <si>
    <t>La Secretaría del Campo de Tulancingo realizó la entrega de 81 paquetes avícolas y 30 paquetes de herramientas a productoras y productores del municipio, como parte de un programa municipal financiado con recursos propios. Este apoyo tiene como objetivo mejorar las condiciones de trabajo de pequeños y medianos productores, favoreciendo la productividad del campo y propiciando mayor equidad en el acceso a insumos básicos para la actividad agropecuaria. Durante el acto de entrega, la presidenta municipal, Lorena García Cázares, reiteró el compromiso de su administración con el fortalecimiento de los sectores primarios, al considerarlos fundamentales para el bienestar social y el desarrollo económico del municipio.</t>
  </si>
  <si>
    <t>SSPH rescata a mono araña en Actopan</t>
  </si>
  <si>
    <t>Elementos de la Secretaría de Seguridad Pública, Tránsito y Vialidad de Pachuca localizaron a una menor de 12 años cuando deambulaba por los pasillos del Mercado Primero de Mayo, ubicado en el centro de Pachuca. La menor fue reportada ante las autoridades por locatarios que se percataron de que deambulaba por los pasillos desde hacía más de tres días. Al momento en que las autoridades llegaron al sitio, confirmaron el dato con una señora de 72 años, identificada como A.R.A. Los agentes confirmaron que la menor contaba con ficha de búsqueda vigente, por lo que establecieron contacto con agentes de la Fiscalía Especializada en Delitos de Desaparición de Personas, a fin de dar seguimiento a los protocolos correspondientes.</t>
  </si>
  <si>
    <t>Personal de la Secretaría de Seguridad Ciudadana del municipio de Tizayuca, procedieron con la detención en flagrancia de tres individuos señalados por su presunta participación en el robo de bienes propiedad de este municipio. Los hechos ocurrieron en las antiguas instalaciones de un Centro de Atención Infantil Comunitario ubicado en la calle Francisco I. Madero, en el barrio de Atempa, luego de que personal administrativo reportó ruidos sospechosos al interior del inmueble mientras realizaban labores de inventario. Tras no poder justificar legalmente su presencia en el sitio, los individuos fueron detenidos y puestos a disposición del Ministerio Público, que será la instancia encargada de determinar su situación jurídica.</t>
  </si>
  <si>
    <t>La madrugada de este domingo 12 de abril, un incendio se registró en una casa aparentemente abandonada ubicada en la colonia El Sitio, en el municipio de Tizayuca, concretamente en la primera cerrada del Sitio. De acuerdo con el reporte oficial, el siniestro fue detectado por elementos de la policía municipal que realizaban recorridos de vigilancia en la zona. Al arribar al lugar, observaron que el inmueble de fachada blanca y con zaguán de madera, ya se encontraba envuelto en llamas, por lo que de solicitaron el apoyo de los cuerpos de emergencia.</t>
  </si>
  <si>
    <t>Se registra accidente múltiple vehicular en el bulevar que conecta el municipio de Mixquiahuala de Juárez con Progreso de Obregón, en el que se vieron involucrados varios vehículos. De acuerdo con los primeros informes, el percance dejó al menos cinco personas lesionadas, quienes ya reciben atención por parte de cuerpos de emergencia en la zona.</t>
  </si>
  <si>
    <t>La noche de este sábado 11 de abril se registró un aparatoso accidente vial en la comunidad de Teocalco, luego de que una camioneta intentara ganarle el paso al tren sobre las vías ubicadas a la altura de la carretera Tula–Tlahuelilpan. Personal de la policía municipal atendió el hecho y solicitaron la presencia de una grúa para retirar la unidad siniestrada.</t>
  </si>
  <si>
    <t>Una persona de aproximadamente 25 años perdió la vida durante la madrugada de este domingo tras un accidente registrado en la autopista México–Pachuca, a la altura de la comunidad de Los Ángeles, en el municipio de Tolcayuca. Información preliminar indica que el conductor del automóvil habría manejado a exceso de velocidad y presuntamente bajo los efectos del alcohol, lo que derivó en el impacto. El joven falleció en el lugar debido a la fuerza del choque. Elementos de la policía municipal y de la Guardia Nacional acudieron para resguardar la zona, mientras que personal del Ministerio Público llevó a cabo las diligencias correspondientes.</t>
  </si>
  <si>
    <t>El cuerpo sin vida de una persona, con al menos dos impactos por proyectil de arma de fuego, fue localizado en la colonia La Cruz, en la localidad de Teltipán, dentro del municipio de Tlaxcoapan. Elementos policiacos acudieron la mañana del viernes 10 de abril al cruce de las calles Eucaliptos y Pirules, donde confirmaron la presencia del cuerpo de un hombre entre los 40 a 50 años de edad. En el lugar también fueron localizados dos casquillos percutidos calibre .380 a pocos metros del cuerpo sin vida del hombre. El fallecido se encontraba maniatado al momento de ser localizado; vestía pantalón de mezclilla color azul, playera roja y una sudadera azul. Tras el hallazgo, la zona fue acordonada para preservar la escena, mientras se dio aviso a personal de la Procuraduría General de Justicia del Estado de Hidalgo para el inicio de las investigaciones respectivas al caso.</t>
  </si>
  <si>
    <t>Desde hace algunos meses en el municipio de Ixmiquilpan se han intensificado los robos en sus diferentes modalidades, y en recientes días se han registrado con violencia; es por ello que algunas comunidades están implementando algunas medidas. Luego de que circulara un video de un robo a mano armada en la comunidad de San Nicolás, cuya forma de operar del delincuente fue ingresar a un comercio como cliente y posteriormente cometió el ilícito, la delegación emitió un aviso a los vecinos. En el cual menciona medidas de prevención y vigilancia, las cuales consisten en colocar avisos en donde indique que queda prohibido el ingreso con cascos y pasamontañas, capuchas y lentes oscuros o cubrebocas, salvo por causa justificada. Asimismo, piden a la población que, en caso de detectar a personas sospechosas, reporten a la delegación y al 911, así como a los grupos de WhatsApp para alertar a los vecinos.</t>
  </si>
  <si>
    <t>Más del 60 % de los incendios en la entidad son provocados por personas</t>
  </si>
  <si>
    <t>Dentro de una semana, aproximadamente, serán encendidas las nuevas luminarias colocadas en el libramiento La Joya, en el tramo que comprende de la glorieta Hidalgo a la entrada del Instituto de Ciencias Agropecuarias (ICAP), adelantó Juan Alberto Santuario Elías, titular de la Secretaría de Servicios Municipales de Tulancingo. Reconoció que esta acción responde a frecuentes reportes ciudadanos en torno a la inseguridad que genera la iluminación deficiente o nula. “Durante mucho tiempo esa zona permaneció oscura, pese al paso continuo de alumnos de la UAEH”, mencionó.</t>
  </si>
  <si>
    <t>Será en este mismo mes de abril cuando inicien las obras de reconstrucción de caminos y puentes dañados por el registro de las lluvias torrenciales en octubre del año pasado. Así lo confirmó la Presidenta de México, Claudia Sheinbaum Pardo, asegurando que el tema no ha sido olvidado, por lo que se iniciará con las obras necesarias. La vaguada monzónica que trajo consigo las torrenciales lluvias dejó las principales afectaciones en los estados de Hidalgo, Puebla y Veracruz, viéndose afectados también San Luis Potosí y Querétaro. Jesús Antonio Esteva Medina, titular de la Secretaría Infraestructura, Comunicaciones y Transportes del gobierno federal, explicó que los trabajos contemplan la rehabilitación de 396 tramos carreteros y 94 puentes distribuidos en las entidades citadas. 50 de las obras se ubican en Hidalgo, 22 en Puebla, 18 en Veracruz, tres en Querétaro y uno en San Luis Potosí, además de la reconstrucción de 68 puentes en Guerrero que ya fueron concluidos.</t>
  </si>
  <si>
    <t>Julio Menchaca y sector empresarial cierran filas para fortalecer el desarrollo económico de Hidalgo</t>
  </si>
  <si>
    <t>Atención ágil y sin revictimización: Hidalgo fortalece la protección de niñas, niños y adolescentes</t>
  </si>
  <si>
    <t>La Asociación Civil Servicios de Inclusión Integral y Derechos Humanos A.C. (Seiinac), exigió que las Procuradurías Municipales de Protección de Niñas, Niños y Adolescentes cuenten con recursos suficientes para poder operar. Dicha asociación emitió un comunicado al respecto luego de que la semana pasada el Congreso del Estado de Hidalgo aprobara la creación y operación de dichas procuradurías municipales. La propuesta fue aprobada por unanimidad, contando con 28 votos de igual número de legisladores, registrada en la sesión llevada a cabo el pasado 9 de abril. De acuerdo a la iniciativa aprobada, los 84 municipios del Estado de Hidalgo deberán contar en cada caso con su respectiva procuraduría local de Protección de Niñas, Niños y Adolescentes. Se trata de una reforma a la Ley de los Derechos de Niñas, Niños y Adolescentes del estado, la Ley de Asistencia Social, la Ley Orgánica Municipal y la Ley de los Derechos para las Personas Adultas Mayores del estado. Al respecto, Seiinac reconoció que dicha aprobación es un avance hacia la descentralización de la justicia, señalando que los gobiernos municipales son el primer contacto para la atención a víctimas, en este caso, niñas, niños y adolescentes. Sin embargo, la organización enfatizó que para el funcionamiento se requiere de asignación presupuestal “digna, suficiente y etiquetada, que permita trascender las buenas intenciones legislativas”. Seiinac también señala que estas procuradurías municipales deben tener personal multidisciplinario y capacitado en perspectiva de derechos humanos, género y derechos de niños y adolescentes, para evitar que la atención se convierta en un proceso burocrático.</t>
  </si>
  <si>
    <t>Vía telefónica el reporte de Bombero y Protección Civil con Abner Yáñez informa que el pasado din de semana se atendieron diversas emergencias entre ellas un incendio forestal en San Vidal afectando 1 hectárea de pasto. Asimismo un incendio de pasto u uno de llantas en un lote baldío.</t>
  </si>
  <si>
    <t>Se iniciaron mesas de trabajo para revisar temas de seguridad pública entre autoridades del Gobierno del Estado de Hidalgo y representantes de empresas de transporte de pasajeros, tras bloqueo carretero realizado el pasado viernes 10 de abril. Los bloqueos se realizaron en diversos puntos de la carretera México-Pachuca, señalando representantes de empresas como Autobuses Baltazar, así como México-Tizayuca, que son víctimas de extorsiones. Los manifestantes señalaron que para no ser víctima de otros delitos, tiene que pagar el derecho de piso extorsión a grupos delincuenciales. La situación se presenta tanto en la zona de Tizayuca, así como en municipios colindantes entre los Estados de México e Hidalgo, como Ecatepec y Tecámac.</t>
  </si>
  <si>
    <t>Por lo menos por el momento no se tiene contemplado un paro de labores en los servicios de transporte colectivo de pasajeros en el Valle de Tulancingo, coincidieron concesionarios consultados al respecto. A finales de la semana pasada comenzó a circular versión en el sentido de realizar el paro en varias regiones del Estado de Hidalgo, como medida de presión para que se autorice el ajuste a la tarifa de servicio. De acuerdo a uno de los concesionarios consultados, la propuesta del paro de labores fue realizada por representantes del gremio en la región Tula, insistiendo que en el caso de Tulancingo se determinó no participar. Sin embargo, los transportistas se reunirán este lunes 13 de abril para establecer acciones, en principio solicitando una reunión con representantes del Gobierno del Estado de Hidalgo para solicitar el ajuste a las tarifas del transporte de pasajeros.</t>
  </si>
  <si>
    <t>Daniel Martínez comenta que tenía entendido que por precaución se tenia la instrucción de que en los tianguis ya se llevaran los alimentos preparados para evitar accidentes como el que ocurrió este fin de semana en la Colonia Guadalupe. Pregunta a Protección Civil del municipio y a los responsables del tianguis de la Colonia Guadalupe qué pasa con esto.</t>
  </si>
  <si>
    <t>Muerte en tianguis</t>
  </si>
  <si>
    <t>Daniel Martínez con respecto al caso de la jovencita que murió a casusa de quemaduras por aceite en un tianguis de Tulancingo, dice que hay una serie de "cuestiones extrañas por decirlo suavecito". Hay testimonios de personas que dicen que sí hubo elemento policiacos en el lugar y que sí se habían llevado detenida a una persona. Hay una publicación en redes sociales donde un presunto familiar de la jovencita pedía ayuda porque estaban por dejar libre a la persona dueña de la camioneta y por lo tanto dueña de la camioneta, pero la Procuraduría dice que no tienen detenidos, "abrí carpeta de investigación, per no tengo detenidos a partir de la notificación del Ministerio Público de Tulancingo".</t>
  </si>
  <si>
    <t>La Procuraduría General de Justicia del Estado de Hidalgo informó que con respecto al caso de la jovencita que murió a casusa de quemaduras por aceite en un tianguis de Tulancingo, no se tiene a ninguna persona detenida y se realizan las investigaciones y peritajes pertinentes para determinar las responsabilidades.</t>
  </si>
  <si>
    <t>La caseta hacia en El Caminero hacia Cuernavaca está cerrada por un grupo de vecinos que señalan que en Xochimilco desde el pasado viernes no tienen luz. La Chamapa-Lechería está cerrada por trabajos de rehabilitación. La México- Pachuca está cerrada parcialmente a la altura de Zapotlán debido a trabajos que se realizan. Así el regreso a clases.</t>
  </si>
  <si>
    <t>Regreso a clases en Hidalgo, ordenado y seguro.</t>
  </si>
  <si>
    <t>En cabina el diputado federal por el distrito 1 Huejutla, Daniel Andrade habla del trabajo legislativo que realiza, destacando las acciones en favor de su distrito.</t>
  </si>
  <si>
    <t>Andrés Torres comenta que los cambios en Radio y Televisión van bien. Que hay estaciones que se han inaugurados hasta 3 veces como la de Ixmiquilpan en donde nada sirve, no hay ni luz y es pura simulación. No se puede transmitir.</t>
  </si>
  <si>
    <t>Regreso a clases en Hidalgo, ordenado y seguro</t>
  </si>
  <si>
    <t>El equipo de Protección Civil, Bomberos y Gestión Integral de Riesgos de Pachuca fortalece su preparación operativa mediante procesos de capacitación especializada, impulsados por el alcalde Jorge Reyes, con el propósito de mejorar la atención ante emergencias. Víctor Enrique Hernández, Guadalupe Ximena López, Ehimy Marlen Godínez, José Noé Martínez y Enrique Padilla, titular de la dependencia municipal, obtuvieron la certificación NFPA-1001 para Bomberos Profesionales, estándar internacional que acredita conocimientos, habilidades y competencias en la atención de emergencias. La capacitación fue impartida por INCAP México, a través de UNCA, y validada por la Universidad de TEEX, institución reconocida a nivel internacional en la formación de personal de respuesta.</t>
  </si>
  <si>
    <t>Como parte de la estrategia de seguridad pública orientada a fortalecer el trabajo en colonias y consolidar la cercanía con la población, la Secretaría de Seguridad Pública, Tránsito y Vialidad de Pachuca llevó a cabo la jornada “Convive con tu Policía”, dirigida a familias del municipio. Esta actividad se enmarca en el enfoque preventivo que impulsa el alcalde Jorge Reyes, priorizando la educación vial, la prevención del delito y la construcción de confianza entre la ciudadanía y los cuerpos de seguridad. Durante la jornada, se realizaron dinámicas lúdicas y recreativas para niñas, niños y adolescentes, así como actividades informativas sobre cultura vial, autocuidado y medidas preventivas en el entorno cotidiano.</t>
  </si>
  <si>
    <t>En sesión ordinaria, diputadas y diputados integrantes de la LXVI Legislatura avalaron con 23 votos a favor, cero en contra y cero abstenciones, el dictamen que aprueba la iniciativa que declara el 17 de marzo de cada año como Día Estatal del Huapango, emitido por la primera Comisión Permanente de Legislación y Puntos Constitucionales. La legisladora Diana Rangel Zúñiga (Morena), una de las y los promoventes del dictamen, recordó que la finalidad es reconocer oficialmente al huapango como una de las expresiones culturales más representativas de la entidad, instaurando el 17 de marzo, fecha del natalicio del compositor hidalguense Nicandro Castillo Gómez, como el Día Estatal del Huapango en el Estado de Hidalgo para preservar, proteger, promover y difundir esta manifestación artística, fortaleciendo la identidad cultural y el sentido de pertenencia del pueblo.</t>
  </si>
  <si>
    <t>La Subsecretaría de Protección Civil Gestión de Riesgos informa que se esperan bajas temperaturas para el estado.</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</si>
  <si>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</si>
  <si>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</si>
  <si>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</si>
  <si>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</si>
  <si>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</si>
  <si>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</si>
  <si>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</si>
  <si>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</si>
  <si>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</si>
  <si>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</si>
  <si>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</si>
  <si>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</si>
  <si>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</si>
  <si>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</si>
  <si>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</si>
  <si>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</si>
  <si>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Radioescucha reporta nuevamente sin agua en Plaza Patoni</t>
  </si>
  <si>
    <t>La madrugada de este domingo 12 de abril, se registró un fuerte choque entre un automóvil compacto y un autobús de pasajeros a la altura de la localidad de Los Ángeles, en Tolcayuca. De acuerdo con información de la policía, el conductor de un vehículo tipo Chevrolet Chevy, quien viajaba hacia la Ciudad de México, habría perdido el control de la unidad tras realizar maniobras bruscas, impactándose contra un autobús que circulaba a la par. El golpe fue tal que el automóvil quedó completamente destrozado y su único ocupante, un joven de aproximadamente 25 años, murió en el lugar.</t>
  </si>
  <si>
    <t>Dos jóvenes perdieron la vida tras un accidente en motocicleta sobre la carretera federal México-Tampico a la altura del tramo conocido como el Cantil en Tlanchinol. Las víctimas fueron identificadas como Omar y Maricruz HG originarios de Ciudad Valles, San Luis Potosí.</t>
  </si>
  <si>
    <t>Este fin de semana se registró una intensa granizada en Tezontepec de Aldama. De acuerdo con los reportes, la localidad de Huitel fue el punto más afectado donde el granizo cubrió calles, techos y parcelas.</t>
  </si>
  <si>
    <t>Eulalio Larrieta agradece a Edith Balderas de la Secretaria de Educación Pública.</t>
  </si>
  <si>
    <t>Hoy 13 de abril, entraron en vigor nuevas tarifas en distintas autopistas del país, afectando directamente a usuarios frecuentes de rutas que conectan a Hidalgo con la Ciudad de México y el Golfo.En la autopista México-Pachuca, el costo de la caseta para automóviles se fijó en 72 pesos, estaba en 69. Estos incrementos forman parte de los ajustes periódicos aplicados a las autopistas concesionadas, generalmente vinculados a factores como la inflación, mantenimiento y operación de la infraestructura carretera.</t>
  </si>
  <si>
    <t>Aumento de peaje</t>
  </si>
  <si>
    <t>Radioescucha menciona que en la 5.ª sección de Valle de San Javier metieron una solicitud para bacheo, pero aún no recibimos respuesta por parte del ayuntamiento.</t>
  </si>
  <si>
    <t>Bacheo</t>
  </si>
  <si>
    <t>Transportistas anunciaron la suspensión del paro previsto para el lunes 13 de abril, luego de reunirse con el secretario de Gobierno Guillermo Olivares Reyna.La tarde de este viernes 10 de abril, el secretario de Gobierno, Guillermo Olivares Reyna, se reunió con diferentes representantes del transporte público para atender sus demandas de incrementar el pasaje; luego de dicha reunión, los transportistas anunciaron que el paro programado para el lunes 13 de abril queda suspendido.La reunión aconteció luego de las Jornadas por la Paz que Olivares Reyna encabezó en Tepeji del Río, por lo que, un grupo de representantes de los concesionarios de las diversas rutas de la zona Tula-Tepeji, fueron atendidos por el funcionario estatal y dialogaron sobre sus demandas de subir el pasaje a la brevedad. AUDIOS DE APOYO</t>
  </si>
  <si>
    <t>Bloqueo transportistas</t>
  </si>
  <si>
    <t>Boletín : Derivado de las condiciones climatológicas adversas registradas el viernes 10 de abril, se presentó el colapso de un tramo de la barda perimetral y de la estructura del área de estacionamiento en la Escuela Secundaria General No. 1 “Pánfilo Mercado Samperio”, ubicada en el municipio de Mineral de la Reforma. Es importante destacar que no se registraron personas lesionadas.</t>
  </si>
  <si>
    <t>Caída de barda escolar</t>
  </si>
  <si>
    <t>Las fuertes lluvias registradas el pasado 10 de abril provocaron el colapso de una parte de la barda perimetral y del área de estacionamiento en la Escuela Secundaria General No. 1 Pánfilo Mercado Samperio, en el municipio de Mineral de la Reforma. Afortunadamente, no se reportaron personas lesionadas y las aulas no sufrieron daños estructurales, por lo que no representan riesgo para el regreso a clases programado para el lunes 13 de abril.Autoridades educativas mantienen vigilancia en el plantel en coordinación con directivos y padres de familia, mientras la Secretaría de Educación Pública de Hidalgo (SEPH) da seguimiento a la evaluación de daños y gestiona la activación del seguro institucional. Además, personal del Instituto Hidalguense de la Infraestructura Física Educativa (INHIFE) realizará la valoración correspondiente para definir las acciones a seguir, destacando que hasta ahora este es el único caso reportado y que el resto de escuelas en el estado están listas para retomar actividades con normalidad.</t>
  </si>
  <si>
    <t>Durante la conferencia mañanera de los lunes, se transmitió una cápsula de los círculos de dialogo encabezados por el gobernador Julio Menchaca Salazar en el municipio de Villa de Tezontepec, donde tuvo acercamiento con la ciudadanía, AUDIO APOYO</t>
  </si>
  <si>
    <t>Círculos de diálogo</t>
  </si>
  <si>
    <t>Boletín: DESCTI invita a recorrer el Sendero de la Ciencia, la Tecnología y la Biodiversidad: El Distrito de Educación, Salud, Ciencia, Tecnología e Innovación (DESCTI), organismo descentralizado y vinculado a la Unidad de Planeación y Prospectiva del Estado de Hidalgo (UPLAPH), invita a las y los hidalguenses a conocer de forma gratuita el Sendero de la Ciencia, la Tecnología y la Biodiversidad.</t>
  </si>
  <si>
    <t>Conservación Biodiversidad</t>
  </si>
  <si>
    <t>Sobre el caso de justicia por propia mano en Actopan, conductor Jesus Gonzalez comenta que si no denucia al 3er dia estan en libertad, los policias hacen su chamba , pero la gente no denuncia y eso ya no es culpa de los policias</t>
  </si>
  <si>
    <t>Cultura de denuncia</t>
  </si>
  <si>
    <t>La Conagua, a través de la Dirección Local Hidalgo, continúa realizando acciones de limpieza y desazolve en la red de drenaje sanitario y fosas sépticas en San Felipe Orizatlán. Hasta el momento, se han saneado 184 pozos de visita, se han sondeado 12 mil 260 metros lineales, mientras que 196 metros cúbicos (m3) de agua ha sido extraída y se han recuperado 56 m3 de azolve. A través de estas acciones se ha beneficiado a cerca de 17 mil habitantes de dicha demarcación. Con el apoyo de las brigadas Conagua, se contribuye a mejorar los servicios de drenaje y alcantarillado en la entidad, además de coadyuvar a proteger a los centros de población y sus bienes.</t>
  </si>
  <si>
    <t>Boletín: La Secretaría de Infraestructura Pública y Desarrollo Urbano Sostenible (SIPDUS), a través de la Unidad de Mejoramiento de Vialidades Urbanas realizó monitoreo y dio atención a los distintos drenes pluviales de la Zona Metropolitana de Pachuca (ZMP).</t>
  </si>
  <si>
    <t>Dren Pluvial</t>
  </si>
  <si>
    <t>Radioescucha manda audio y comenta que en donde está Tormenta del Oeste, se tardó 2 días en ir el agua estancada; antes estaba un drenaje que circulaba bien y lo taparon. Por favor, que las autoridades nos apoyen en eso.</t>
  </si>
  <si>
    <t>Drenaje tapado</t>
  </si>
  <si>
    <t>Bienestar</t>
  </si>
  <si>
    <t>La Semarnath informó que el 60 por ciento de los incendios que se han registrado en Hidalgo está vinculado con actividades humanas.La autoridad precisó que, en lo que va de 2026, se han cuantificado 87 siniestros, de los cuales el 25 por ciento ha ocurrido en basureros, el 20 por ciento ha sido clasificado como intencional y el 19 por ciento está relacionado con actividades agrícolas, así como con actividades pecuarias, fumadores y fogatas.La dependencia estimó que una superficie de 2 mil 775.37 hectáreas ha sido impactada, principalmente en vegetación de tipo arbustivo y herbácea, lo que refleja la alta disponibilidad de material combustible en el territorio.La Semarnath dio a conocer que los municipios con mayor incidencia de incendios son Pachuca, con 17 eventos, seguido de Epazoyucan y Tulancingo de Bravo, con siete cada uno, así como Singuilucan, con seis incendios.</t>
  </si>
  <si>
    <t>Autoridades estatales y municipales reforzarán la coordinación para acercar programas y servicios enfocados en la prevención de la violencia en la región de Tepeji del Río durante la jornada por la paz y bienestar del pueblo vecinos expusieron diversas problemáticas destacando la violencia de género como una de las principales preocupaciones.El secretario de gobierno Guillermo Olivares Reina escuchó de manera directa estas demandas ciudadanas y aseguró que se dará seguimiento puntual a cada caso; se busca que estas acciones pues fortalezcan la coordinación entre los tres órdenes de gobierno con atención permanente y estrategias de prevención social. En el encuentro participaron autoridades del Poder Judicial, representantes federales y locales, así como la alcaldesa de Tepeji del Río.</t>
  </si>
  <si>
    <t>Autoridades estatales y municipales realizaron la Jornada por la Paz y Bienestar del Pueblo, con atención directa a casos de violencia de género que han sido reportados en la región.El secretario de Gobierno, Guillermo Olivares Reyna, encabezó el encuentro y escuchó de forma directa las denuncias y problemáticas planteadas por habitantes del municipio. Durante la jornada, se brindó acompañamiento a las personas afectadas y se canalizaron los casos para su seguimiento institucional.</t>
  </si>
  <si>
    <t>La noche de ayer, comerciantes de la zona centro del municipio de Actopan retuvieron, golpearon, raparon y amarraron a una pareja de presuntos delincuentes.Los hechos ocurrieron cuando los implicados, un hombre y una mujer, fueron detenidos tras ser señalados por los vendedores de cometer varios robos a los establecimientos.Ambos implicados fueron golpeados, rapados y amarrados, como les decía, en el obelisco del jardín municipal, con el objetivo de exhibirlos ante la ciudadanía.</t>
  </si>
  <si>
    <t>Vaya situación la que se generó ayer por la tarde noche en Actopan después de la Semana Santa pues comerciantes agarraron a dos presuntos delincuentes y los pusieron como San Pedro ¿Se acuerda usted? Se dice que San Pedro fue crucificado boca abajo, pues así pusieron a estos delincuentes en el municipio de Actopan.Fueron los comerciantes del centro, de la zona centro muy cerca del punto conocido como el obelisco quienes protagonizaron un hecho de justicia por propia mano luego de que una pareja señalada como presunta responsable de robos fuera retenida amarrada y rapada el sujeto fue colgado de los barandales que delimitan el espacio del obelisco boca abajo con las manos abiertas como San Pedro.Este caso sin duda abre el debate sobre los actos de justicia por propia mano y la necesidad de reforzar la seguridad y el Estado de Derecho en la región. Usted recuerda que desde el año pasado los vecinos se organizaron, vecinos vigilantes, porque los casos de delincuencia, de robos, eran bastantes y decidieron organizarse, realizaron sus patrullajes ciudadanos y eso frenó un poco la situación, pero ahora se vuelven a retomar estos actos de justicia por propia mano que no son legales, que no se deberían de hacer, pero es la forma de actuar.</t>
  </si>
  <si>
    <t>Ayer ya por la tarde-noche se dio a conocer que en minas de Vite, Cardonal se localizó en lo alto del cerro, al interior de la mina, una persona sin vida en una fosa de aproximadamente 7 metros de profundidad. Se trata de una mujer que, al parecer, se encontraba maniatada y sin signos vitales.</t>
  </si>
  <si>
    <t>Miembros en defensa de los animales en el estado de Hidalgo marcharon el domingo por las principales calles del primer cuadro de Pachuca, alzando la voz en favor del respeto y protección de perros y gatos.Durante el recorrido los participantes buscan generar conciencia sobre el maltrato animal y exigir mejores condiciones para los refugios que se encargan de recuperar a caninos y felinos en situación de calle. ¡Los activistas no somos criminales! ¡Los activistas no somos criminales! ¡Libertad, libertad, transnacionales, libertad!</t>
  </si>
  <si>
    <t>Maltrato animal</t>
  </si>
  <si>
    <t>La secretaria de salud de Hidalgo, Vanessa Escalante durante las preguntas y respuestas habló sobre las brigadas de la salud con las que cuenta Hidalgo, comentó que “Las brigadas de la salud son jornadas médicas con una sola intención, hacer medicina preventiva, el gobierno del estado de Hidalgo”</t>
  </si>
  <si>
    <t>Mañanera de Hidalgo</t>
  </si>
  <si>
    <t>En materia de salud, la secretaria Vanesa Escalante Arroyo destacó que Hidalgo se mantiene en el lugar 26 a nivel nacional en casos de sarampión, con tres casos activos de un total de 20 registrados. Asimismo, reiteró la importancia de la vacunación como una estrategia clave para la prevención, señalando que se han aplicado más de 352 mil dosis a través de instituciones como IMSS, IMSS Bienestar, ISSSTE y la Secretaría de Salud, se sigue reforzando la vacunación con la unidad movil “La Ronchita” a toda la poblacion del estado, AUDIO APOYO</t>
  </si>
  <si>
    <t>El secretario de Educación Pública en Hidalgo, Natividad Castrejón Valdez, informó que en 2026 se llevará a cabo la construcción simultánea de 26 planteles de educación media superior, un hecho histórico que permitirá ampliar la cobertura educativa en el estado: “Este es un dato sumamente importante, porque nunca se habían construido tantos bachilleratos al mismo tiempo”, subrayó.A esta estrategia se suma el programa federal “La Escuela es Nuestra”, que destinará 167 millones de pesos para este nivel educativo. En conjunto con aportaciones estatales y municipales, la inversión total alcanzará los 491 millones de pesos, recursos que serán aplicados en la construcción y equipamiento de nuevos espacios, AUDIO APOYO</t>
  </si>
  <si>
    <t>La Secretaría de Movilidad y Transporte (Semot), a través de su organismo sectorizado el Sistema Integrado de Transporte Masivo de Hidalgo (Sitmah), impulsa la movilidad incluyente como una política pública orientada a brindar el acceso digno y equitativo al transporte para todas y todos. Las unidades de las Rutas de Movilidad Incluyente fueron diseñadas para atender principalmente a personas con discapacidad, con movilidad reducida y adultas mayores; sin embargo, también la población en general puede hacer uso de ellas. Esta convivencia refleja un principio fundamental: el transporte público es un derecho que debe ser accesible sin distinción.De esa forma, el Gobierno del Estado de Hidalgo asume el costo de la tarifa técnica en la operación de la mayoría de las rutas alimentadoras del sistema, lo que hace posible mantener una tarifa social accesible de $10.00 pesos.</t>
  </si>
  <si>
    <t>Movilidad incluyente</t>
  </si>
  <si>
    <t>Boletín 1041: Municipalismo con sentido social: Hidalgo apuesta por calidad de vida y desarrollo local</t>
  </si>
  <si>
    <t>CGCG</t>
  </si>
  <si>
    <t>Radioescucha comentó que en la semana fue a pagar el predial en Pachuca y comentaron que ya no había descuentos para pensionados. Comentó conductor que si que solo era por unos dias</t>
  </si>
  <si>
    <t>Predial</t>
  </si>
  <si>
    <t>El Instituto Mexicano del Seguro Social (IMSS) en Hidalgo recomienda a los padres de familia retomar hábitos saludables para un mejor regreso a la actividad escolar.Fijar horarios para levantarse, dormir, hacer las tareas, mantener una estrecha comunicación con los menores y docentes tendrá efectos positivos en cuanto al rendimiento escolar y cognitivo de los estudiantes.</t>
  </si>
  <si>
    <t>Prevención De Enfermedades</t>
  </si>
  <si>
    <t>En el municipio de Ixmiquilpan se han intensificado los robos en sus diferentes modalidades en recientes días se han registrado con violencia, es por ello que algunas comunidades están implementando algunas medidas. Luego de que circuló un video de un robo a mano armada en la comunidad de San Nicolás, la delegación emitió un aviso a los vecinos, en el cual menciona medidas de prevención y vigilancia, las cuales consisten en colocar avisos donde indique que queda prohibido el ingreso con cascos y pasamontañas, capuchas y lentes oscuros o cubrebocas, salvo por causa justificada.</t>
  </si>
  <si>
    <t>Radioescucha reporta a un taxi, que maneja muy mal es el A758FVC</t>
  </si>
  <si>
    <t>Queja transporte público</t>
  </si>
  <si>
    <t>Radioescucha manda audio y comenta que desde Explanada al Tec de Pachuca, un caos con las boyas, y en el carril de Tuzobús no pasa ninguna unidad, ¡está vacío! Semot, apoye en ese caso para poder pasar por ese carril, todos tenemos que checar en el trabajo!</t>
  </si>
  <si>
    <t>Radioescucha dice que ojalá los choferes respeten los descuentos del INAPAM, que dejen de usar su teléfono al manejar, que no se pasen los semáforos</t>
  </si>
  <si>
    <t>Radioescucha reporta que las colectivas deberían ser infraccionadas por sobrecupo, exceso de velocidad y maltrato.</t>
  </si>
  <si>
    <t>Boletín 1616: Regreso a clases en Hidalgo, ordenado y seguro</t>
  </si>
  <si>
    <t>Boletín 711: SSPH rescata a mono araña en Actopan</t>
  </si>
  <si>
    <t>Elementos de la Secretaría de Seguridad Pública Estatal rescataron a un mono araña que era trasladado de manera irregular tras una llamada de emergencia al 911. El ejemplar fue detectado inicialmente en la azotea de una vivienda, sin embargo, al dar seguimiento a un vehículo relacionado, los agentes ubicaron a dos personas que no pudieron acreditar la legal posesión del animal.</t>
  </si>
  <si>
    <t>Al menos tres casos de robos a tiendas de conveniencia allá en el municipio de Actopan, así como también en la región del Valle del Mezquital, hablando del municipio de Ixmiquilpan, se han registrado al menos tres robos a comercios a plena luz del día. Esto sin duda pues ha generado preocupación y que la ciudadanía pues esté alerta.</t>
  </si>
  <si>
    <t>Robo a comercio</t>
  </si>
  <si>
    <t>Se anunció la publicación de un decreto con el que se crea el Servicio Universal de Salud, lo cual, implica que las personas puedan atenderse en cualquier hospital del ISSSTE, IMSS o IMSS-Bienestar, partir de hoy 13 de abril iniciará en Pachuca la credencialización de salud para personas de 85 años y más en cuatro módulos. En Pachuca habrá cuatro espacios de registro: la delegación del Bienestar ubicada en la calle José Ma Iglesias; así como en el Centro de Salud Dr. Jesús del Rosal, sobre la avenida Francisco I. Madero.Además del ISSSTE Columba Rivera Osorio y el IMSS 36, ambos localizados sobre el bulevar Felipe Ángeles.</t>
  </si>
  <si>
    <t>La Secretaría de Salud Federal confirmó la detección de nuevos contagios de sarampión en Hidalgo durante el actual periodo vacacional. Con esta actualización, la entidad transitó de 17 contagios registrados al 31 de marzo a un total de 19 casos confirmados al corte del 9 de abril. Asimismo, el informe técnico contabiliza 188 casos probables en lo que va del año. De acuerdo con el informe oficial, Hidalgo acumula un registro de 20 casos durante el periodo bianual 2025-2026, lo que representa un incremento respecto a los 18 casos acumulados que se reportaban hasta la semana anterior, junto con 118 casos probables adicionales en dicho lapso.</t>
  </si>
  <si>
    <t>Integrantes de la Sociedad Civil Organizada se reúnen ese domingo frente a la Comisión de Derechos Humanos en Pachuca para acopiar firmas ciudadanas con el fin de exigir al Congreso del Estado que descongele la iniciativa que prohíbe la tauromaquia. AUDIO MANIFESTANTES</t>
  </si>
  <si>
    <t>Tauromaquia</t>
  </si>
  <si>
    <t>Boletín 1040 : Julio Menchaca y sector empresarial cierran filas para fortalecer el desarrollo económico de Hidalgo</t>
  </si>
  <si>
    <t>Boletín 567: Acercan salud integral a personas mayores de la Otomí Tepehua, AUDIO APOYO</t>
  </si>
  <si>
    <t>Unidad móvil gerontológica</t>
  </si>
  <si>
    <t>Radioescucha reporta que en la semana fueron a arreglar una fuga de agua y no vienen a tapar la zanja, y la otra queja es una megafuga que ya se reportó desde la semana pasada y nadie viene.</t>
  </si>
  <si>
    <t>Zanjas Caasim</t>
  </si>
  <si>
    <t>Taxistas bloquean la autopista México-Pachuca con dirección hacia la Ciudad de México, para exigir al gobierno estatal y municipal seguridad en la zona oriente del municipio, dónde el gremio es víctima de asaltos y extorsiones, entre otras demandas. El grupo de operadores poco antes de las once de la mañana comenzó por bloquear la avenida San José, pero minutos después avanzaron a la autopista y utilizaron sus vehículos para cerrar la importante vialidad. Decenas de usuarios del tramo vial quedaron atrapados en el asentamiento, y el rezago vehicular se prolonga por varios kilómetros. Los manifestantes mantienen sus taxis atravesados en el entronque de la avenida San José y la autopista México -Pachuca. Usuarios optan por librar el bloqueo ingresando a la carretera libre México-Pachuca y a la avenida Emiliano Zapata, con dirección a Martín Carrera. El bloqueo tomó por sorpresa a decenas de usuarios, en tanto no hay auxilio vial de elementos de tránsito en la región.</t>
  </si>
  <si>
    <t>Bloqueo Carretero</t>
  </si>
  <si>
    <t>Usuarios de la carretera México–Pachuca reportaron un incremento en las tarifas de peaje, lo que ha generado inconformidad, especialmente entre quienes utilizan esta vía de manera cotidiana. De acuerdo con los nuevos costos, el peaje para automóviles pasó de 69 a 72 pesos, mientras que otras categorías también presentan ajustes. En la imagen difundida por usuarios se observa la actualización de tarifas en la plaza de cobro, donde se detallan los montos vigentes para motocicletas, autos y vehículos de carga. El incremento se da en un contexto de alta movilidad, lo que ha provocado reacciones en redes sociales, donde automovilistas y transportistas cuestionan que el ajuste se haya aplicado sin previo aviso. Además, señalan que, pese al aumento, persisten señalamientos sobre las condiciones del servicio y la vialidad. La autopista México–Pachuca es una de las principales rutas de conexión entre Pachuca y la zona metropolitana del Valle de México, por lo que cualquier modificación en sus tarifas impacta directamente en miles de usuarios que la transitan diariamente por motivos laborales, educativos y comerciales.</t>
  </si>
  <si>
    <t>Autoridades municipales reportaron el incremento de río en Huehuetla provocando escurrimientos y situaciones de riesgo para la población, en la comunidad de Chapula el aumento del caudal de un río durante la madrugada de ayer, domingo, provocó ingreso de agua en viviendas, lo que obligó a algunas familias a evacuar de manera preventiva; ante el riesgo, habitantes señalaron que este tipo de suelo suele repetirse en temporadas de lluvia debido a que el cauce rebasa su capacidad. Tras el reporte, autoridades locales y cuerpos de emergencia se movilizaron para atender la situación, brindar apoyo a las familias afectadas y mantener vigilancia en la zona ante posibles escurrimientos.</t>
  </si>
  <si>
    <t>Desbordamiento de río</t>
  </si>
  <si>
    <t>Derivado de las recientes lluvias registradas en el municipio, autoridades locales informaron que, aunque se han presentado anegamientos en algunos puntos, no existen incidentes que pongan en riesgo la integridad de la población. Ante este escenario, el gobierno municipal, a través de Bomberos y Protección Civil, la Comisión de Agua y Alcantarillado del Municipio de Tulancingo (CAAMT) y la Secretaría de Servicios Municipales, mantiene un monitoreo permanente en zonas identificadas como susceptibles, además de reforzar acciones preventivas para garantizar el adecuado desalojo de aguas pluviales. Como parte de estas labores, se han intensificado trabajos de limpieza y desazolve en infraestructura hidráulica. En el Dren Buenos Aires, desde el pasado 4 de marzo, se han intervenido 3,445 metros. De manera paralela, en el río Chico, los trabajos iniciados el 6 de abril registran la limpieza de 670 metros y la remoción de 224 metros cúbicos de azolve (168 toneladas). Asimismo, la Secretaría de Servicios Municipales colabora en la supervisión y atención de puntos críticos, principalmente en lo relacionado con la acumulación de residuos sólidos, factor que incide directamente en la obstrucción de drenajes. Estas acciones permiten mejorar la capacidad de conducción de los cauces, reducir riesgos de obstrucción y mantener condiciones seguras ante precipitaciones intensas. En este sentido, el director de Bomberos y Protección Civil informó que la granizada registrada el domingo 12 de abril no generó afectaciones en Tulancingo. El gobierno de Tulancingo reitera que mantendrá la vigilancia permanente y hace un llamado a la ciudadanía a evitar tirar basura en la vía pública, ya que su acumulación es una de las principales causas de anegamientos. La participación social es fundamental para prevenir afectaciones y fortalecer la capacidad de respuesta del municipio.</t>
  </si>
  <si>
    <t>Elementos de la Secretaría de Seguridad Pública (SSP) de Pachuca intervinieron una pelea de gallos clandestina en la colonia Sierra Bonita, tras recibir una denuncia anónima. El reporte alertó sobre actividades ilegales en un domicilio ubicado en la esquina de Sierra Madre Oriental y Montaña Himalaya, donde presuntamente se realizaban apuestas y consumo de alcohol. Al lugar acudieron policías municipales en coordinación con la Policía Estatal, así como personal de Reglamentos, Espectáculos y autoridades ambientales para verificar la situación. Durante la inspección, las autoridades de Pachuca confirmaron que en el inmueble se desarrollaba una pelea de gallos clandestina.</t>
  </si>
  <si>
    <t>El cuerpo sin vida de un hombre fue localizado durante la noche de este domingo en el municipio de Cardonal, hasta el momento se desconoce su identidad. Fue a través de un reporte vía telefónica que se indicó a las autoridades la presencia de una persona aparentemente inmóvil en la localidad de Vithe, específicamente en un ramal de mina. Oficiales de Seguridad Pública Municipal arribaron al lugar, confirmando la presencia de un masculino que ya no contaba con signos vitales. Ante el hallazgo se decidió acordonar la zona a la espera de autoridades y personal de la Procuraduría General de Justicia del Estado de Hidalgo (PGJEH), encargados del levantamiento del cuerpo y de las investigaciones correspondientes. Hasta ahora se desconoce la identidad de la víctima, así como las circunstancias de su muerte.</t>
  </si>
  <si>
    <t>El paso del puente vehicular y peatonal en la comunidad de Zicatlán, municipio de Huehuetla, fue suspendido de manera temporal tras las lluvias registradas durante la madrugada de este domingo 13 de abril, como medida preventiva para proteger a la población. Autoridades informaron que el cierre responde al incremento del nivel de agua y las condiciones de riesgo en la zona, donde históricamente las precipitaciones han provocado crecidas de ríos, deslaves y daños en caminos. Este punto ya ha presentado afectaciones en anteriores eventos climatológicos, incluso con colapso de pasos provisionales y comunidades incomunicadas debido a la fuerza de la corriente. Elementos de Protección Civil mantienen labores en la zona para restablecer el acceso lo antes posible, mientras continúan con el monitoreo ante posibles nuevos escurrimientos o reblandecimiento de tierra. Se exhorta a la población a no intentar cruzar y mantenerse atenta a los avisos oficiales, ya que el paso permanecerá cerrado hasta que existan condiciones seguras para la circulación.</t>
  </si>
  <si>
    <t>Prevención De Riesgos</t>
  </si>
  <si>
    <t>Durante el medio día de este lunes un motociclista falleció tras aparentemente ser impactado por un vehículo pesado, sobre el bulevar Las Torres, casi en el cruce con el antiguo camino FFCC, que conduce hacia Villas de Pachuca. Los hechos se registraron en dirección a la carretera Pachuca-Ciudad Sahagún, cuando el hombre de aproximadamente 40 años de edad que circulaba a bordo de la motocicleta fue presuntamente arrollado por un tractocamión. Debido al hecho el motociclista falleció de manera inmediata por el impacto y la caída al pavimento. Cuerpos de emergencias llegaron al sitio, pero el hombre ya no presentaba signos vitales. Policías estatales y municipales se encuentran en el sitio, realizando labores de abanderamiento. La circulación vial sobre el bulevar Las Torres en dirección a la carretera a Ciudad Sahagún se encuentra bloqueada y cerrada a la circulación vehicular.</t>
  </si>
  <si>
    <t>En Tianguistengo, durante la conferencia matutina, autoridades informaron que el río no se ha desbordado hasta el momento, el subsecretario de Protección Civil y Gestión de Riesgos, Román Bernal reiteró el llamado a la población a mantenerse alerta y seguir las recomendaciones oficiales ante las intensas lluvias que se han registrado en el los últimos días. Las autoridades mantienen monitoreo constante en las distintas regiones del Estado, especialmente en zonas cercanas ríos, laderas y puntos propensos a inundaciones, se recomienda a la población evitar cruzar corrientes de agua, mantenerse informados a través de los canales oficiales y reportar cualquier emergencia al 911.</t>
  </si>
  <si>
    <t>Aclaración en mañanera</t>
  </si>
  <si>
    <t>El cuerpo sin vida de un hombre fue localizado durante la noche de este domingo en el municipio de Cardonal, hasta el momento se desconoce su identidad. Fue a través de un reporte vía telefónica que se indico a las autoridades la presencia de una persona aparentemente inmóvil en la localidad de Vithe , específicamente en un ramal de mina. Oficiales de Seguridad Pública Municipal arribaron al lugar, confirmando la presencia de un masculino que ya no contaba con signos vitales. Ante el hallazgo se decidió acordonar la zona a la espera de autoridades y personal de la Procuraduría General de Justicia del Estado de Hidalgo (PGJEH), encargados del levantamiento del cuerpo y de las investigaciones correspondientes. Hasta ahora se desconoce la identidad de la víctima, así como las circunstancias de su muerte.</t>
  </si>
  <si>
    <t>Al menos 10 ayuntamientos de Hidalgo registraron calificaciones por debajo de los 50 puntos en el Índice de Evaluación del Desempeño Municipal 2025, publicado por la Auditoría Superior del Estado de Hidalgo (ASEH). Entre los casos más críticos destaca Tianguistengo, que obtuvo una calificación de cero. De acuerdo con el informe, los municipios con los puntajes más bajos reflejan rezagos importantes en la implementación de herramientas de evaluación y gestión pública. La lista incluye: Tianguistengo: 0 puntos; Cuautepec de Hinojosa: 16.5 puntos; Singuilucan: 17 puntos</t>
  </si>
  <si>
    <t>Índice de desempeño municipal</t>
  </si>
  <si>
    <t>En un contexto donde la rendición de cuentas se vuelve cada vez más exigente, cinco ayuntamientos de Hidalgo destacan por fortalecer sus prácticas de transparencia, planeación y uso responsable de los recursos públicos. Se trata de Pachuca, Atitalaquia, Tulancingo, Tepeapulco y Mineral de la Reforma, reconocidos por su desempeño en el Índice de Evaluación del Desempeño de los Municipios del Estado de Hidalgo 2025, elaborado por la Auditoría Superior del Estado de Hidalgo (ASEH). En esta tercera edición del Índice, los resultados reflejan avances significativos en la gestión administrativa municipal. Pachuca encabeza la lista con una calificación del 100 por ciento, seguido de Atitalaquia con 95.5, Tulancingo con 94.5, Tepeapulco con 93.5 y Mineral de la Reforma con 90.5 por ciento. Estas cifras evidencian un compromiso sostenido con la eficiencia gubernamental y una orientación clara hacia resultados tangibles para la ciudadanía. El Índice, construido a partir de los informes trimestrales de gestión financiera que presentan los 84 municipios del estado, permite medir de manera objetiva la implementación del Presupuesto basado en Resultados y el Sistema de Evaluación del Desempeño. Más allá de calificar, la herramienta busca identificar áreas de mejora y fortalecer los procesos internos de los gobiernos locales.</t>
  </si>
  <si>
    <t>Boletín 293: Atención ágil y sin revictimización: Hidalgo fortalece la protección de niñas, niños y adolescentes</t>
  </si>
  <si>
    <t>Boletín 1617: UTVM abre proyección internacional con convenio en Ecuador y Brasil</t>
  </si>
  <si>
    <t>Boletín: Más del 60 % de los incendios en la entidad son provocados por personas</t>
  </si>
  <si>
    <t>Boletín 1040: Julio Menchaca y sector empresarial cierran filas para fortalecer el desarrollo económico de Hidalgo</t>
  </si>
  <si>
    <t>Boletín 1041 Municipalismo con sentido social: Hidalgo apuesta por calidad de vida y desarrollo local</t>
  </si>
  <si>
    <t>En sesión Ordinaria del H. Ayuntamiento de Cuautepec de Hinojosa, aprobó por unanimidad la donación de un predio municipal para integrarlo al programa Vivienda para el Bienestar, impulsado por el Gobierno de México. El terreno, ubicado en la colonia Santa Rita, cuenta con una superficie de más de 15 mil metros cuadrados y será destinado a la construcción de viviendas para familias que más lo necesitan en el municipio. Con esta acción, se avanza en la consolidación de proyectos que promueven el acceso a una vivienda digna, el desarrollo urbano ordenado y mejores condiciones de vida para las y los cuautepequenses. Un paso firme hacia un Cuautepec con más oportunidades y bienestar para todas y todos.</t>
  </si>
  <si>
    <t>Plan Nacional De Vivienda</t>
  </si>
  <si>
    <t>El gobierno de Tulancingo entregó 81 paquetes avícolas y 30 paquetes de herramientas a productoras y productores, como parte de una estrategia para fortalecer la productividad rural con recursos propios. La Secretaría del Campo municipal informó que estos apoyos buscan mejorar las condiciones de trabajo de pequeños y medianos productores, además de ampliar el acceso a insumos básicos para la actividad agropecuaria. Durante el acto, la presidenta municipal, Lorena García Cázares, reiteró el compromiso de su administración con el sector primario, al considerarlo clave para el bienestar social y el desarrollo económico. La alcaldesa destacó que la entrega coincidió con el aniversario luctuoso de Emiliano Zapata, figura que simboliza la lucha por la justicia en el campo y cuyo legado se mantiene vigente entre quienes trabajan la tierra. El gobierno municipal informó que la Secretaría del Campo cuenta con un presupuesto de 600 mil pesos, superior al asignado al inicio de la administración. Las familias beneficiadas provienen de comunidades como Santa María Asunción, Laguna del Cerrito, Acocul La Palma, Acocul Guadalupe y La Lagunilla, quienes accedieron a los apoyos sin realizar aportaciones económicas.</t>
  </si>
  <si>
    <t>Durante la conferencia mañanera, con información del titular de la subsecretaría de Protección Civil y Gestión de Riesgos, Román Bernal Díaz, el coordinador de Comunicación Gubernamental, Edmundo Pineda López dio a conocer que en la región de la sierra alta se mantiene el monitoreo ante la presión de fuertes lluvias en la zona; hasta el momento, dijo, no se ha desbordado en río en Tianguistengo.</t>
  </si>
  <si>
    <t>Durante la conferencia mañanera, se transmitió una cápsula de los círculos de dialogo encabezados por el gobernador Julio Menchaca Salazar en el municipio de Villa de Tezontepec, donde tuvo acercamiento con la ciudadanía.</t>
  </si>
  <si>
    <t>Durante la conferencia mañanera, la secretaria de Salud en Hidalgo, Vanesa Escalante Arroyo ha referido que Hidalgo ocupa el lugar 26 de las 32 entidades federativas en casos de sarampión con solamente tres casos activos y un acumulado de 20 casos.</t>
  </si>
  <si>
    <t>Juan Carlos Santamaría transmite en vivo dese la conferencia mañanera del Gobierno de Hidalgo, el coordinador de Coordinador de Comunicación Gubernamental, Edmundo Pineda da a conocer los temas de los que se hablará esta mañana. Se encuentran presentes la secretaria de Salud Vanesa Escalante, el titular de la SEPH Natividad Castrejón y Francisco Patiño, director del Citnova.</t>
  </si>
  <si>
    <t>El día de hoy el gobernador acudirá a la inauguración de la exposición colectiva intervención gráfica 4.1 “Hióki, Acto de Reconstrucción”, que se llevará a cabo en Palacio de Gobierno.</t>
  </si>
  <si>
    <t>UTVM abre proyección internacional con convenio en Ecuador y Brasil</t>
  </si>
  <si>
    <t>Acercan salud integral a personas mayores de la Otomí Tepehua</t>
  </si>
  <si>
    <t>Intervención gráfica 4.1 “Hióki” llenará de arte el edificio del Gobierno de Hidalgo</t>
  </si>
  <si>
    <t>Hace un momento nos ha sido reportado de nueva cuenta un robo en el municipio de Ixmiquilpan. Un vehículo fue sustraído a plena luz del día en la comunidad de Dios Padre, hecho que quedó registrado en video. El sujeto se apoderó de un automóvil deportivo color rojo que se encontraba estacionado en este lugar, sobre este esta ubicación es sobre la carretera México- Laredo. Hasta este momento no hay mayor información de la ubicación de este vehículo, sin embargo, ya autoridades trabajan en la localización,</t>
  </si>
  <si>
    <t>Robo de vehículo</t>
  </si>
  <si>
    <t>Erick Martínez</t>
  </si>
  <si>
    <t>Fuerte accidente vial se registró la tarde de este lunes sobre la carretera que conecta el municipio de Alfajayucan con Chapantongo. Dejando como saldo cuatro personas lesionadas, una de ellas atrapada al interior de su vehículo. El percance ocurrió a la altura de la localidad de San Pedro La Paz, donde 2 unidades, un automóvil Jetta y un Nissan March colisionaron de manera frontal, lo que generó la movilización de cuerpos de emergencia.</t>
  </si>
  <si>
    <t>Intensa granizada se registró en el municipio de Alfajayucan, lo que provocó complicaciones en la carretera estatal que conecta con la comunidad de San Francisco Zacachichilco, donde el paso vehicular quedó prácticamente intransitable debido a la acumulación de hielo. Este fenómeno cubrió cerca de más de 2 km de esta vialidad, con una capa aproximada de 20 cm de espesor y fue necesaria el uso de maquinaria pesada para remover el material y liberar las vías que permanecieron.</t>
  </si>
  <si>
    <t>Tras recientes robos a comercios en el municipio, han comenzado a circular videos donde se observa a dos sujetos a bordo de una motocicleta. Uno de los delincuentes entró al establecimiento aparentando ser cliente, mientras un segundo sujeto amagó a la empleada para exigir el dinero de la caja. Tras cometer el robo, ambos huyeron a bordo de una motocicleta, quienes se detiene en calles del Barrio de Progreso en Ixmiquilpan y empiezan a cambiarse de ropa tras cometer el ilícito para evitar ser identificados.</t>
  </si>
  <si>
    <t>Cristina López Valderrama, presidenta del Capítulo Hidalgo de Tauromaquia Mexicana, extendió una invitación a la audiencia de Canal 6 para asistir a la presentación del libro “México es Taurino”, destacando que se trata de una obra que busca resaltar la tradición, la historia y el valor cultural de la tauromaquia en el país.</t>
  </si>
  <si>
    <t>Este día se llevó a cabo la rueda de prensa convocada por Tauromaquia Mexicana Capítulo Hidalgo, donde se anunció la presentación del libro “México es Taurino”, en el marco de un posicionamiento sobre la tauromaquia. Durante el encuentro, integrantes de la organización destacaron su importancia como parte de la identidad cultural y abordaron su situación actual en el país.</t>
  </si>
  <si>
    <t>Este lunes 13 de abril de 2026 se llevó a cabo la conferencia matutina habitual del Gobierno del Estado de Hidalgo, a las 9:00 horas en la Sala del Pueblo del edificio de gobierno. En esta ocasión, la sesión fue encabezada por la secretaria de Salud de Hidalgo, Vanesa Escalante Arroyo; el secretario de Educación Pública de Hidalgo, Natividad Castrejón Valdez; el director general de CITNOVA, Francisco Patiño Cardona; y la presidenta de la Cámara Nacional de la Industria Restaurantera y Alimentos Condimentados (CANIRAC), delegación Hidalgo, Elena Carballal. Durante su participación, la Secretaria de Salud, Vanessa Escalante Arroyo, presentó un video ilustrativo sobre las brigadas de la salud destacando su impacto en la atención comunitaria y su enfoque en medicina preventiva a través de la detección oportuna. En materia educativa, el secretario de educación pública, Natividad Castrejón Valdés, informó que actualmente la matrícula de educación en este ámbito en Hidalgo asciende a 143 mil 69 estudiantes distribuidos en 69 mil 117 en el ámbito estatal, 34 mil 321 en instituciones federales, 24 mil 620 en la Universidad Autónoma del Estado de Hidalgo y 15 mil 11 en instituciones particulares. Por su parte, el Director General de Citnova, Francisco Patiño Cardona, dio a conocer la convocatoria de formación de capital humano a nivel posgrado, publicada el pasado 30 de marzo y orientada a la formación de especialistas altamente capacitados.</t>
  </si>
  <si>
    <t>Sedeco y CELEH firman convenio a favor del talento joven</t>
  </si>
  <si>
    <t>Sedeco</t>
  </si>
  <si>
    <t>En Ixmiquilpan, pobladores de la comunidad de Cerritos Remedios, se manifestaron en el juzgado penal luego de que se emitiera una sentencia a favor de Enedino Vázquez Hernández, de 102 años, quien fue despojado de un predio. De acuerdo con los inconformes, en 2014 un grupo de pobladores, mediante el uso de la fuerza y bajo supuestos derechos adquiridos por la delegación sobre la parcela, despojó al afectado de la cosecha y del terreno, justificando las acciones en usos y costumbres. Además del despojo del predio, el afectado y sus hijos fueron privados de sus derechos comunitarios, por lo que actualmente no pueden participar en asambleas ni acceder a servicios de la comunidad. Por estos hechos se inició una denuncia penal bajo el expediente D.P. 124/2022, el cual resolvió a favor de los particulares.</t>
  </si>
  <si>
    <t>TSJEH</t>
  </si>
  <si>
    <t>Despojo</t>
  </si>
  <si>
    <t>Un operativo realizado este domingo 12 de abril de 2026 en la colonia Sierra Bonita, en Pachuca, derivó en la detención de 37 personas que participaban en una pelea clandestina de gallos. De acuerdo con información de la Secretaría de Seguridad Pública, Tránsito y Vialidad municipal, el hecho fue reportado por ciudadanos y canalizado a través del C4, donde se alertó sobre la realización de este evento con apuestas y consumo de bebidas alcohólicas en un inmueble ubicado en la esquina de Sierra Madre Oriental y Montaña Himalaya. Al lugar acudieron elementos de la corporación municipal en coordinación con Policía Estatal, así como personal de la Dirección de Reglamentos y Espectáculos y de la Secretaría de Medio Ambiente, quienes llevaron a cabo la inspección correspondiente.</t>
  </si>
  <si>
    <t>El caso del multihomicidio ocurrido el pasado 9 de abril en el fraccionamiento San Isidro, en Tlanalapa, continúa su curso legal, luego de que autoridades aclararan la situación jurídica de los involucrados, precisando que únicamente dos personas permanecen como imputadas. De acuerdo con la información oficial, los hechos se registraron en un domicilio ubicado sobre la calle Plaza del Maguey, donde las víctimas se encontraban conviviendo con los ahora señalados. Presuntamente, A. R. H. y O. E. P. habrían disparado un arma de fuego en contra de los presentes.Como consecuencia del ataque, tres personas perdieron la vida en el lugar, mientras que otra más resultó gravemente lesionada, por lo que fue trasladada a un hospital para recibir atención médica especializada. En cuanto al estatus de los involucrados, las autoridades indicaron que dos personas fueron imputadas, dos más quedaron en calidad de testigos y una adicional fue reconocida como víctima y testigo, lo que modifica las primeras versiones difundidas tras el suceso.</t>
  </si>
  <si>
    <t>Radioescucha: la fila del verificentro que está hacia fraccionamientos haciendo doble fila y obstruyen constantemente la circulación vehicular. Llegan filas desde la carretera del verificentro. Piden atención para que se regule esa situación.</t>
  </si>
  <si>
    <t>Verificentros</t>
  </si>
  <si>
    <t>Organizaciones defensoras de los animales intensificaron sus acciones legales para impedir la realización de corridas de toros en Hidalgo, al promover recursos jurídicos y campañas de recolección de firmas. La vocera de Animal Héroes, Jimena Noguera, informó que se encuentran a la espera de que sea admitida una solicitud de amparo en contra de la corrida programada para el próximo 18 de abril, con la intención de obtener primero una suspensión provisional y posteriormente una definitiva, mientras se resuelve el caso de fondo. El evento forma parte de la Expo Feria La Ganadera de Hidalgo. Durante su visita a Pachuca, donde participó en una jornada de recolección de firmas para que el Congreso local reactive la iniciativa que busca prohibir estos espectáculos, la activista explicó que la estrategia contempla interponer recursos legales por cada corrida anunciada, incluyendo las fechas del 18 de abril y 30 de mayo. El objetivo, dijo, es generar un precedente en la entidad, como ha ocurrido en otras regiones del país.De acuerdo con la organización, las corridas de toros incurren en irregularidades legales debido a que no cumplen con la Norma Oficial Mexicana 033, la cual establece métodos para la muerte de animales que eviten sufrimiento innecesario. Señalan que, en estos espectáculos, los toros son sometidos a prácticas que vulneran dichos lineamientos antes de ser sacrificados. .</t>
  </si>
  <si>
    <t>Los municipios de Cuautepec de Hinojosa y Singuilucan, ambos ubicados en la región Tulancingo, fueron de los peores evaluados Índice de Evaluación del Desempeño Municipal 2025, publicado por la Auditoría Superior del Estado de Hidalgo (ASEH). Dichas demarcaciones obtuvieron 16.5 y 17 puntos respectivamente, estando sólo por debajo de Tianguistengo, que no obtuvo puntos en la evaluación realizada. De acuerdo con el informe, los municipios con los puntajes más bajos reflejan rezagos importantes en la implementación de herramientas de evaluación y gestión pública. Otros municipios que no alcanzaron ni siquiera 50 puntos, son Tenango de Doria, con 17; Huejutla, Mineral del Chico y Chapulhuacán, con 38, 39.5 y 43 puntos, respectivamente. Así como Tlanalapa y Atotonilco el Grande, que obtuvieron 46.5 puntos en cada caso y Tepetitlán, con 49 puntos. Con estos resultados, dichos gobiernos municipales son evidenciados estado crítico en planeación, seguimiento y evaluación del gasto público.</t>
  </si>
  <si>
    <t>Por lo menos en siete municipios del Estado de Hidalgo no han sido localizadas ambulancias entregadas en comodato, o existen irregularidades en su mantenimiento y manejo, encontrándose algunas de las unidades incluso sin uso alguno. La declaración fue ofrecida por Vanessa Escalante Arroyo, titular de la Secretaría de Salud en Hidalgo (SSH), señalando que las ambulancias se entregan en comodato a los gobiernos municipales. Ello para garantizar la prestación de servicio en situaciones de emergencia o cuando sea necesario el traslado de alguna persona de acuerdo a las necesidades que tenga en materia de atención a su salud. Sin embargo, se han identificado casos en los que las ambulancias no recibieron mantenimiento adecuado o no se encuentran operando en algunos municipios de la entidad con quienes en su momento se estableció el comodato respectivo. Los datos son ofrecidos luego de darse a conocer una denuncia ciudadana sobre la ausencia de una ambulancia en el municipio de Epazoyucan para trasladar a un paciente que lo requería.</t>
  </si>
  <si>
    <t>Ambulancia dañada</t>
  </si>
  <si>
    <t>El gobierno de Hidalgo dio a conocer la puesta en marcha de un proyecto para fortalecer la educación media superior, que contempla la construcción y ampliación de 26 planteles en distintas regiones del estado. El anuncio fue realizado este lunes 13 de abril de 2026 por el titular de la Secretaría de Educación Pública estatal, Natividad Castrejón Valdez, durante la conferencia semanal, donde explicó que esta estrategia se desarrolla en coordinación con el Gobierno Federal. El objetivo principal es ampliar la cobertura educativa y disminuir la deserción escolar, especialmente en zonas donde actualmente existe falta de infraestructura para atender la demanda de estudiantes de bachillerato. El plan incluye tanto la edificación de nuevos centros educativos como la ampliación de planteles ya existentes, además de la implementación del modelo “Margarita Maza”, enfocado en generar mayores oportunidades de formación para jóvenes en este nivel.</t>
  </si>
  <si>
    <t>Radioescucha reporta que le dieron cita a través de internet en el verificentro a las 8 de la mañana y ya casi son las 8 y no le atienden.</t>
  </si>
  <si>
    <t>Verificación vehicular</t>
  </si>
  <si>
    <t>Cinco vehículos automotores han caído en los dos años recientes al canal de riego ubicado en el acceso al fraccionamiento Rincones de la Hacienda, al margen del bulevar Quetzalcóatl, en Tulancingo, registrándose el accidente más reciente la mañana del lunes 13 de abril. Los vecinos de la zona refieren que los accidentes se deben al estrecho espacio para poder circular, el cual incluso se ha reducido por la caída de tierra hacia el canal de riego. Sobre el accidente más reciente, estuvo involucrada una camioneta Virtus, color negro, con placas de circulación LUM-496-A, cuya conductora salió del camino, quedando la unidad dentro del canal de riego. Además de los accidentes referidos, vecinos de la zona señalan que han sido varias ocasiones en las que otros vehículos han estado en riesgo de caer en el canal, pero la habilidad de los conductores ha evitado el riesgo de más accidentes. Agregaron que han solicitado a las autoridades que se realicen obras que permitan la circulación sin riesgos sobre la vialidad, sobre todo considerando que esta se desmorona constantemente, haciendo cada vez más angosto el camino.</t>
  </si>
  <si>
    <t>Vialidad En Mal Estado</t>
  </si>
  <si>
    <t>Vía telefónica el reporte de Bombero y Protección Civil con Abner Yáñez informa que se atendieron diversas emergencias entre ellas un incendio en un lote baldío en la Colonia Napateco; entre otras acciones</t>
  </si>
  <si>
    <t>Con el objetivo de fortalecer el funcionamiento de los tianguis y garantizar condiciones seguras para comerciantes y consumidores, se realizará reunión de trabajo entre líderes tianguistas y autoridades municipales el próximo miércoles, afirmó el secretario municipal, Edmundo Aguilar Aranda. En este encuentro participarán las direcciones de Mercados, Reglamentos, así como Bomberos y Protección Civil, quienes reiterarán los lineamientos de operación y promoverán la prevención de riesgos, los cuales de manera consecutiva se promueven. Se anticipó que, como parte de los acuerdos, los dirigentes firmarán una minuta de compromiso para que sus agremiados participen en capacitaciones sobre uso de extintores, manejo de gas LP, instalaciones eléctricas y atención a emergencias. Además, se emitirán recomendaciones para su implementación gradual, como el uso de tanques de gas de hasta 10 kilogramos con regulador, contar con extintores y botiquín de primeros auxilios, así como respetar distancias para garantizar la seguridad y el libre tránsito.</t>
  </si>
  <si>
    <t>Prevención de riesgos</t>
  </si>
  <si>
    <t>A partir de este 13 de abril entraron en vigor nuevos costos en distintas autopistas del país, lo que impacta directamente a usuarios que transitan entre Hidalgo, la Ciudad de México y la zona del Golfo. En el caso de la autopista México–Pachuca, la tarifa para automóviles quedó establecida en 72 pesos por cruce de caseta. En tanto, en la vía México–Tuxpan, el peaje en la caseta de Tejocotal, ubicada en Tulancingo, se elevó a 116 pesos para vehículos particulares. Por otro lado, el Arco Norte continúa manejando precios variables dependiendo del tramo recorrido. Un ejemplo es el trayecto desde el entronque con la México–Pachuca hasta la salida Tula I, cuyo costo aproximado es de 106 pesos.</t>
  </si>
  <si>
    <t>Luego de versiones que alertaban sobre un posible desbordamiento del río en la comunidad de Chapula, municipio de Tianguistengo, autoridades de Hidalgo aseguraron que no se ha registrado tal situación y que el incremento en el nivel del agua ha sido controlado. De acuerdo con información oficial, el coordinador de Comunicación Social del estado, Mundo Pineda, señaló que, con base en datos proporcionados por el subsecretario de Protección Civil, Román Bernal Díaz, el cauce principal del río se mantiene dentro de sus niveles, gracias a trabajos preventivos realizados previamente en la zona. No obstante, durante la madrugada de este lunes 13 de abril, alrededor de las 2:30 horas, circularon reportes ciudadanos que indicaban que el agua habría ingresado a algunas viviendas, lo que provocó la evacuación de varias familias hacia la galera comunitaria. Las autoridades explicaron que las lluvias atípicas registradas desde días anteriores ocasionaron el crecimiento de algunos ramales del río, lo que pudo generar afectaciones sin que esto represente un desbordamiento del afluente principal. Chapula es considerada una zona de riesgo debido a que el río cruza por el centro de la comunidad y se encuentra cerca de múltiples viviendas, lo que incrementa la posibilidad de inundaciones ante precipitaciones intensas. La preocupación entre los habitantes se mantiene, ya que esta localidad fue catalogada como inhabitable tras las lluvias de octubre de 2025, cuando el desbordamiento del río Amajac y varios deslaves provocaron daños severos en viviendas, caminos y servicios básicos, dejando a diversas familias en proceso de reubicación.</t>
  </si>
  <si>
    <t>Aclaración mañanera</t>
  </si>
  <si>
    <t>A poco más de seis meses del registro de la vaguada monzónica que afectó a los habitantes de buena parte de Huehuetla, aún están a la espera de que se realicen obras de rehabilitación e infraestructura, así como de mitigación de riesgos. Los habitantes del municipio exigen el dragado de los ríos que cruzan por las localidades de Arroyo Negro y Barrio Aztlán, zonas sumamente afectadas por las torrenciales lluvias que se registraron en octubre del año pasado. También exigen la rehabilitación del puente de Zinacatlán, uno de los más afectados, debido a la gran cantidad de personas que lo requieren para circular por la zona. Además, señalan como urgente la rehabilitación de planteles educativos afectados en su infraestructura tras el registro de las lluvias, hace poco más de seis meses. En el caso de la primaria “Benito Juárez”, se concretaron los trabajos de limpieza luego de que a las personas a cargo de las labores se les liquidaron sus pagos pendientes desde finales del año pasado. Pero desde hace aproximadamente dos meses no han existido avances en la reparación de la infraestructura educativa, por lo que los alumnos están asistiendo a tomar clases por las tardes a las instalaciones del Colegio de Bachilleres local. En el caso de la secundaria “Caudillo del Sur”, los estudiantes están tomando clases en estas instalaciones, pese a que se ha señalado posible colapso de algunas bardas, además que en algunos salones no cuentan con puertas o ventanas. Un plantel de educación preescolar está en condiciones similares a la secundaria citada, y del mismo modo, están asistiendo a dichas instalaciones con el riesgo que implica para el alumnado y el resto de la comunidad educativa. De no tener respuesta amenazan con manifestaciones para que sus peticiones sean atendidas.</t>
  </si>
  <si>
    <t>Como parte del proceso de planeación urbana, se llevó a cabo la Audiencia Pública del Programa Parcial de Desarrollo Urbano Pachuca–Mineral de la Reforma, con la participación de autoridades de los tres niveles de gobierno, sector académico, empresarial y ciudadanía. El alcalde Jorge Reyes destacó la importancia de evitar un crecimiento desordenado y establecer bases claras para el desarrollo a futuro; además se abrió un espacio de diálogo para recibir propuestas ciudadanas, como parte de la consulta pública que sigue vigente.</t>
  </si>
  <si>
    <t>Desarrollo Urbano</t>
  </si>
  <si>
    <t>Andrés Torres señala que en San Antonio el Desmonte recién pavimentaron con concreto hidráulico, pero ya lo rompieron para meter drenaje y tomas de agua. No es posible que primero hayan pavimentado y luego de un mes de haberse concluido la destrocen y ni la han inaugurado.</t>
  </si>
  <si>
    <t>Rehabilitación vial</t>
  </si>
  <si>
    <t>Radioescucha, Francisco Javier: está pausado el proyecto de bulevar Las Torres, lleva 5 meses sin obras.</t>
  </si>
  <si>
    <t>Abandono de obra</t>
  </si>
  <si>
    <t>El día de hoy habrá sesión en el Congreso en donde se analizarán diversas iniciativas.</t>
  </si>
  <si>
    <t>En cabina Alberto González menciona que estuvo en el lienzo charro de Huichapan el cuarto día del Circuito Excelencia Charra de nivel nacional, donde estaban los hermanos Jorge y José Antonio Rojo. En este sentido señala que es un “deporte” nacional la charrería e Hidalgo es la “cuna” y no tiene un recinto emblemático a la altura. Critica el maltrato animal que puede haber dentro de esta actividad y que sabe que Abelino Tovar gusta de ella , por lo que ve difícil que legisle en este tema.</t>
  </si>
  <si>
    <t>Excelencia charra</t>
  </si>
  <si>
    <t>Alberto González</t>
  </si>
  <si>
    <t>El Congreso del Estado de Hidalgo aprobó la entrega de financiamiento por parte del Banco Nacional de Obras y Servicios Públicos (Banobras) al municipio de San Salvador, por un monto de 7 millones 433 mil 305 pesos con 13 centavos, cuya fuente de pago será el Fondo de Aportaciones para la Infraestructura Social (FAIS). El presidente de la Junta de Gobierno, diputado Andrés Velázquez Vázquez, aseveró que los recursos serán manejados con transparencia, bajo supervisión y mecanismos administrativos que garantizan su correcta aplicación. Además, subrayó que diversas instancias fiscalizadoras vigilarán su uso y reconoció la madurez política para apoyar al presidente municipal en beneficio de la población de San Salvador.</t>
  </si>
  <si>
    <t>Deuda Pública</t>
  </si>
  <si>
    <t>En respuesta a la radioescucha Olga Islas que dice que eso que anuncia el secretario de Educación del estado, la creación de nuevos bachilleratos, yo pienso que debería de acondicionar con espacios dignos que existen, por ejemplo; el CECYTEH plantel Tepeapulco, al cual no le ha hecho nada; Andrés Torres señala que ayer el secretario de Educación, Natividad Castrejón anunció la creación de nuevos bachilleratos y que en el caso de ese CECYTEH de Tepeapulco tiene un gran problema porque está en comodato y no se le puede invertir recursos para su rehabilitación. No es propiedad pública y por ley no pude invertirse dinero público ahí. Los padres de familia deberían promover que se haga la donación de ese espacio a la Secretaría de Educación y entonces sí ya le podrían exigir.</t>
  </si>
  <si>
    <t>Infraestructura educativ</t>
  </si>
  <si>
    <t>Crecimiento urbano ordenado, prioridad para el gobierno de Julio Menchaca</t>
  </si>
  <si>
    <t>Semot fortalece la movilidad incluyente con tarifas preferentes</t>
  </si>
  <si>
    <t>Comité de Emergencias está activo, monitorea Tianguistengo y Huehuetla ante precipitaciones</t>
  </si>
  <si>
    <t>Reunión Gabinete De Seguridad</t>
  </si>
  <si>
    <t>En el bulevar Santa Catarina un tráiler volcó y quedó atravesado en la carretera, por lo que el paso está bloqueado. En el lugar se encuentran la policía municipal, estatal y cuerpos de emergencia.</t>
  </si>
  <si>
    <t>Radioescucha reporta falta de agua en Paseo Chavarria</t>
  </si>
  <si>
    <t>La mañana de este martes 14 de abril un trailer, aparentemente sin frenos, quedó montado sobre el acotamiento en el bulevar Santa Catarina obstruyendo un carril, tome precauciones y vías alternas al circular por esta zona.</t>
  </si>
  <si>
    <t>Accidente Vial</t>
  </si>
  <si>
    <t>Radioescucha reporta varias coladeras sin tapa en la calle Campo de Tiro en San Antonio</t>
  </si>
  <si>
    <t>Alcantarillado</t>
  </si>
  <si>
    <t>Gracias también a los conductores que se reportan con nosotros, al señor Sebastián García Nogués, de aquí de Tula, que pues nos comenta que subieron la caseta del Arco Norte.Sí, así es, ayer se dio a conocer esta información, no solamente en el Arco Norte, sino también en diversas carreteras de la provincia. El señor Sebastián señala que pues sí subieron la caseta del Arco Norte, pero ni siquiera son capaces de arreglar la autopista, dice que es una porquería, es cara y peligrosa, en todos los sentidos, si te asaltan, o caes en un bache pues es el sentir del señor Sebastián García Nogués, que seguramente también es el de muchos.</t>
  </si>
  <si>
    <t>Radioescucha reporta un bache muy grande en calle Sabino por Fernández de Lizardi en la colonia Francisco I. Madero.</t>
  </si>
  <si>
    <t>Integrantes de la Asamblea Nacional de Usuarios de Energía Eléctrica en Tepeji y del Río realizaron una manifestación afuera de las instalaciones de la Comisión Federal de Electricidad en la colonia San Francisco. Denuncian cobros excesivos en los recibos de luz y piden borrón y cuenta nueva, porque dicen que es impagable lo que deben por consumo de energía eléctrica.</t>
  </si>
  <si>
    <t>Cobros excesivos</t>
  </si>
  <si>
    <t>Comenta conductor Jesús Gozalez sobre el cambate al narcomenudeo, “Duros golpes a la gente que se dedica al narcotráfico aquí en Hidalgo, importante trabajo el que realiza la Secretaría de Seguridad Pública del Estado,de verdad que vale la pena dar (esta información”</t>
  </si>
  <si>
    <t>Combate Al Narcomenudeo</t>
  </si>
  <si>
    <t>Boletín 713: SSPH asegura a célula dedicada a la venta de sustancias ilícitas</t>
  </si>
  <si>
    <t>Boletín 712: Policía Estatal asegura en Yahualica a individuo con más de 9 mil dosis de droga</t>
  </si>
  <si>
    <t>Elementos de la Agencia de Investigación Criminal de la Procuraduría General de Justicia del Estado de Hidalgo, en coordinación con la Unidad de Alto Impacto realizaron un cateo por narcomenudeo en el municipio de Huichapan con saldo de dos personas detenidas. El operativo se llevó a cabo en un inmueble ubicado sobre la carretera Huichapan – San Juan del Río, donde fueron asegurados una mujer y un hombre, quienes ya están a disposición del Ministerio Público. En el lugar, autoridades aseguraron diversas dosis de vegetal verde con características de marihuana, bolsas con sustancias ilícitas, medicamentos y cartuchos útiles, además de vehículos.</t>
  </si>
  <si>
    <t>Tengo en la línea telefónica al maestro Salvador Uribe Lara, quien es delegado estatal de la Procuraduría de la Defensa del Contribuyente en Hidalgo, quien nos tiene información muy importante. Recordarle a nuestros radioescuchas que el mes de abril, como cada año, es la declaración anual de personas físicas, y que, pues, a través del portal del SAT, hay diversos mecanismos y herramientas que pueden ayudar en el seguimiento de este proceso. De hecho, hay un micrositio por parte de la PRODECON que ayuda a los contribuyentes para que no se cometa ningún error. ¿Qué recomendaciones primarias son las que debe conocer el contribuyente antes de hacer su declaración?</t>
  </si>
  <si>
    <t>Declaración patrimonial</t>
  </si>
  <si>
    <t>Boletín: Crecimiento urbano ordenado, prioridad para el gobierno de Julio Menchaca</t>
  </si>
  <si>
    <t>Boletín: La Subsecretaría de Protección Civil y Gestión de Riesgos informa que, derivado del incremento en el nivel del arroyo en la margen del río en Chapula, municipio de Tianguistengo, se presentó ingreso de agua en algunas viviendas de la comunidad (...) AUDIO APOYO</t>
  </si>
  <si>
    <t>Radioescucha reporta que el drenaje esta tapado en Ampliación La Loma</t>
  </si>
  <si>
    <t>El Congreso local entregó el financiamiento previamente avalado por más de 7.4 millones de pesos para el municipio de San Salvador, en un contexto marcado por adeudos acumulados y tensiones políticas.De acuerdo con el alcalde Norberto Martínez Cruz, el municipio enfrenta laudos laborales superiores a 13 millones de pesos, además de adeudos cercanos a 800 mil pesos con la Comisión Nacional del Agua (Conagua) y otros 800 mil con la Comisión Federal de Electricidad (CFE), así como más de 3 millones ante el Servicio de Administración Tributaria (SAT).El uso del financiamiento contará con seguimiento institucional para asegurar su correcta aplicación, afirmó el presidente de la Junta de Gobierno, Andrés Velázquez Vázquez. “Los recursos serán manejados con transparencia, bajo supervisión y mecanismos administrativos que garantizan su correcta aplicación”.</t>
  </si>
  <si>
    <t>Financiamiento</t>
  </si>
  <si>
    <t>Radioescucha reporta una gran fuga bajando el Boulevard Panoramico, llegando a Cubitos</t>
  </si>
  <si>
    <t>Información al momento es sobre la próxima apertura parcial del nuevo Hospital General Número 5 programada a partir del 16 de abril, se va a aperturar las especialidades de Medicina Interna, Nefrología, Ginecología, Pediatría, Geriatría y Alergología, es el que construyeron en Doxey actualmente tiene servicios de consulta externa, hoy van a abrir consulta familiar y que a partir del jueves estarán en Medicina Familiar las especialidades</t>
  </si>
  <si>
    <t>Hospital Tula</t>
  </si>
  <si>
    <t>Boletín 1042: Nueva era del deporte en Hidalgo: inversión histórica fortalece talento e infraestructura</t>
  </si>
  <si>
    <t>Impulso al deporte</t>
  </si>
  <si>
    <t>Huasca de Ocampo está nominado en los Premios México Desconocido 2026. El director de turismo de Huasca, Gustavo Guzmán, invita a votar en la página de www.mexicodesconocido.gov.mx. El primer pueblo mágico compite en dos importantes categorías. Mejor pueblo mágico para celebrar una boda, lo que llaman ahora las bodas destino. Sin duda este distintivo para Huasca lo posiciona ya en otros niveles a nivel internacional. También la otra categoría es mejores experiencias para vivir en México por los prismas basálticos</t>
  </si>
  <si>
    <t>Impulso Al Turismo</t>
  </si>
  <si>
    <t>Radioescucha reporta que las lamparas estan fundidas frente al Conalep en el Saucillo en Mineral de la Reforma</t>
  </si>
  <si>
    <t>Una pelea de gallos clandestina en la cual se realizaban apuestas y se consumían bebidas alcohólicas fue cancelada por la Policía Municipal de Pachuca, en un inmueble en la colonia Sierra Bonita. El operativo derivó de un reporte ciudadano al C cuatro. En el momento en que se realizó la intervención se confirmó que el evento no contaba con los permisos correspondientes, por lo que las personas detenidas y los animales fueron puestos a disposición del Ministerio Público.En plena capital hidalguense, este tipo de eventos clandestinos que sin duda, pues no solamente pues dejan de ser un evento dejan de ser un evento clandestino.</t>
  </si>
  <si>
    <t>Boletín 1618: Construirán 26 bachilleratos para ampliar cobertura educativa en Hidalgo</t>
  </si>
  <si>
    <t>En otra información, pero en materia de educación, Natividad Castrejón también se refirió a que solo dos escuelas sufrieron daños por estas lluvias atípicas que se han presentado en Hidalgo. AUDIO DE APOYO.Tengo en la línea telefónica al maestro Salvador Uribe Lara, quien es delegado estatal de la Procuraduría de la Defensa del Contribuyente en Hidalgo, quien nos tiene información muy importante. Recordarle a nuestros radioescuchas que el mes de abril, como cada año, es la declaración anual de personas físicas, y que, pues, a través del portal del SAT, hay diversos mecanismos y herramientas que pueden ayudar en el seguimiento de este proceso. De hecho, hay un micrositio por parte de la PRODECON que ayuda a los contribuyentes para que no se cometa ningún error. ¿Qué recomendaciones primarias son las que debe conocer el contribuyente antes de hacer su declaración?</t>
  </si>
  <si>
    <t>Boletín 1043: Educación, salud y ciencia: ejes estratégicos para el bienestar de Hidalgo</t>
  </si>
  <si>
    <t>En la comunidad de Xithi en Tepetitlán se ha registrado recientemente la presencia de un puma, lo que movilizó a autoridades ambientales para atender la situación. La Procuraduría Federal de Protección al Ambiente (PROFEPA) informó que ya realiza labores de monitoreo y conservación en la zona, con el objetivo de salvaguardar tanto a la población como al ejemplar silvestre.</t>
  </si>
  <si>
    <t>Monitoreo biológico</t>
  </si>
  <si>
    <t>Boletín: La Semot, a través de su organismo sectorizado el Sitmah, impulsa la movilidad incluyente como una política pública orientada a brindar el acceso digno y equitativo al transporte para todas y todos (...)</t>
  </si>
  <si>
    <t>Radioescucha reporta que no funciona la aplicación para pagar el agua de Cassim</t>
  </si>
  <si>
    <t>Pago De Agua</t>
  </si>
  <si>
    <t>En Tula, autoridades municipales, estatales y federales presentaron en el auditorio Jorge Reacosta, el cuaderno infantil de actividades para conocer la zona arqueológica de los Atlantes. El director del Centro INAH en Hidalgo, Manuel Villarruel Vásquez, hablo sobre la presentación del cuadernillo sobre la historia de Tula, es un documento que plantea ideas históricas sobre la evolución de este importante sitio arqueológico, pero a través de una forma visual muy gráfica y con un lenguaje adecuado para los niños puedan aprovecharlo, usarlo y disfrutarlo. Este es para conocer sobre Tula, sobre la zona arqueológica, todo lo que tiene que ver con los toltecas.</t>
  </si>
  <si>
    <t>Presentación Editorial</t>
  </si>
  <si>
    <t>En este momento vía telefónica Román Bernal Díaz, subsecretario de Protección Civil y Gestión de Riesgos - Habló sobre el cambio climático aquí en Hidalgo, los fenómenos meteorológicos que hoy se están presentando, pidio estar atentos a los comunicados que por los medios oficiales y los canales oficiales se estén emitiendo en relación al monitoreo de las condiciones meteorológicas. Entender que la protección civil es responsabilidad de todos.</t>
  </si>
  <si>
    <t>Entrevista pautada</t>
  </si>
  <si>
    <t>Vía telefónica Román Bernal Díaz, subsecretario de Protección Civil y Gestión de Riesgos - Habló sobre los cambio climático y fenómenos meteorológicos que impactan en el estado. Cómo estar preparado.</t>
  </si>
  <si>
    <t>En San Salvador en la comunidad de Lagunilla se frustrara un intento de extracción ilegal de biznagas cactáceas resguardadas por la legislación ambiental. En el sitio fueron localizados más de 30 ejemplares ya cortados y listos para su traslado.Sin embargo, la rápida intervención evitó que los responsables concretaran el robo.</t>
  </si>
  <si>
    <t>Protección Biodiversidad</t>
  </si>
  <si>
    <t>Radioescucha Sr. Alejandro comenta: ¿Cuándo van a abrir nuevamente el paso de la calle Melchor Ocampo y cruce con Santiago? Ya que es un verdadero caos, puras obras sin control y sin señalización.</t>
  </si>
  <si>
    <t>Rehabilitación Vial</t>
  </si>
  <si>
    <t>Boletín 1044: Comité de Emergencias está activo, monitorea Tianguistengo y Huehuetla ante precipitaciones</t>
  </si>
  <si>
    <t>Accidentes viales y ahogamientos fueron las causas de fallecimiento de 16 personas en Hidalgo al finalizar el periodo vacacional de Semana Santa y también de Cuaresma.</t>
  </si>
  <si>
    <t>– Radioescucha reporta nuevamente que los semáforos de Avenida Madero y del Río de las Avenidas no funcionan.</t>
  </si>
  <si>
    <t>Semaforización</t>
  </si>
  <si>
    <t>La Secretaria de Gobierno del Estado de Hidalgo informa que se identificó un perfil apócrifo en Facebook, que utiliza de menera indebibala identidad del titular de esta dependencia. Desde dicha cuenta se realizan solicitudes de amistad y envian mensajes privados que no son propias de la institución ni a la comunicaciñon oficial</t>
  </si>
  <si>
    <t>Suplantación de identidad</t>
  </si>
  <si>
    <t>En el estado de Hidalgo, esta un debate en torno a la tauromaquia, integrantes de tauromaquia mexicana, Capítulo Hidalgo, solicitaron que se consulte a 115 % comunidades indígenas de la entidad antes de avanzar en cualquier iniciativa que busque erradicar las corridas de toros. Los representantes del sector señalaron que más allá de afinidades o rechazos hacia esta práctica, existe una realidad económica que no puede ignorarse.Afirmaron que numerosas comunidades dependen de manera directa o indirecta de las festividades vinculadas a la tauromaquia. Hay miembros de las comunidades indígenas que aunque no usen los toros, dependen económicamente de manera directa o de manera indirecta de su actividad.</t>
  </si>
  <si>
    <t>Campesinos de los módulos de riego del Valle del Mezquital y de la región de Tula, se encuentran preocupados ante la falta de claridad en la información en torno a los trabajos que realiza la Conagua en los canales de riego, los cuales tenían que haber sido entregados el mes pasado, en marzo, ante esta situación los campesinos señalaron que podrían tomar las oficinas de Conagua, si no reciben información clara sobre los trabajos que se llevan a cabo en los canales de riego, , AUDIO APOYO</t>
  </si>
  <si>
    <t>Tecnificación De Riego</t>
  </si>
  <si>
    <t>El presidente municipal de Mineral de la Refoma Eduardo Medécigo Rubio, aseguró que la llegada del tren AIFA–Pachuca, cuya estación principal estará en Mineral de la Reforma, representa un proyecto de gran envergadura que permitirá la transformación y convertir al municipio en el más importante del estado de Hidalgo, AUDIO APOYO</t>
  </si>
  <si>
    <t>Tren AIFA</t>
  </si>
  <si>
    <t>Durante los trabajos del proyecto de salvamiento arqueológico del tren de pasajeros Ciudad de México-Querétaro, promovidos por la Secretaría de Cultura del Gobierno de México a través del INAH, se llevó a cabo un descubrimiento arqueológico significativo para la historia de Hidalgo.</t>
  </si>
  <si>
    <t>Vestigios Arqueológicos</t>
  </si>
  <si>
    <t>La temporada de huracanes 2026 ya tiene fechas definidas y listas oficiales de nombres para los ciclones tropicales que podrían formarse a lo largo del año, un periodo clave para la prevención y vigilancia meteorológica en México y otras regiones costeras. Además, especialistas advierten que el fenómeno de El Niño podría influir de manera significativa en la intensidad y frecuencia de estos sistemas. De acuerdo con los calendarios oficiales, en el océano Pacífico la temporada iniciará el 15 de mayo y concluirá el 30 de noviembre, mientras que en la cuenca del Atlántico comenzará el 1 de junio y finalizará en la misma fecha. Estas referencias permiten a las autoridades de protección civil y a la población prepararse ante posibles lluvias intensas, tormentas y huracanes.</t>
  </si>
  <si>
    <t>Autoridades de Santiago Tulantepec respondieron a una solicitud del regidor Horacio Islas Díaz sobre las observaciones millonarias que enfrenta la demarcación. El tesorero Jesús del Rosal Campos detalló que la suma de pendientes asciende a 15 millones 295 mil 955.07 pesos, producto de cuatro fiscalizaciones distintas. De la revisión de 2023, la Auditoría Superior de la Federación derivó dos pliegos de observaciones y dos promociones de responsabilidades administrativas, con 3 millones 958 mil 994 pesos por aclarar. La fiscalización de 2024 dejó otros 5 millones 667 mil 966 pesos en observaciones, también divididos en dos pliegos y dos promociones de responsabilidades. La Auditoría Superior del Estado de Hidalgo sumó observaciones por 3 millones 926 mil 605.16 pesos en 2023 y 3 millones 209 mil 688 pesos en 2024. Esto significa que solo en 2023 las observaciones combinadas de ambos órganos fiscalizadores alcanzaron 7 millones 885 mil 599.38 pesos, mientras que en 2024 fueron 7 millones 410 mil 335.68 pesos. Paralelamente, el director de Obras Públicas, Damián Hernández Bautista, informó que 20 obras ejecutadas entre 2020 y septiembre de 2024 no han sido recepcionadas. Las causas incluyen anomalías en las metas, mala calidad de los trabajos y falta de documentación en los expedientes. Estas obras se realizaron en diversas colonias y comunidades del municipio. Hernández Bautista señaló que, durante los primeros 30 días de la nueva administración, se realizaron recorridos de supervisión que permitieron elaborar reportes técnicos remitidos a la Contraloría estatal y a la auditoría local. A partir de mayo de 2025, dichos reportes motivaron una auditoría que permanece abierta hasta la fecha. La información fue proporcionada en respuesta a la exigencia del regidor Islas Díaz por conocer el origen de las observaciones que arrastra el municipio. Las autoridades actuales atribuyen estos pendientes a la gestión 2020-2024, aunque no han precisado si las promociones de responsabilidades administrativas derivarán en sanciones contra funcionarios anteriores.</t>
  </si>
  <si>
    <t>Observaciones ASEH</t>
  </si>
  <si>
    <t>Locutor Jesús Riveros da lectura a comentario de radioescucha que comentó sobre el aumento a la tarifa de transporte público, señala que las unidades están en malas condiciones y que muchas veces el servicio deja mucho que desear, cómo es posible que aun así quieran aumentar la tarifa.</t>
  </si>
  <si>
    <t>Aumento Tarifa De Transporte</t>
  </si>
  <si>
    <t>Locutor Jesús Riveros da lectura a comentario de radioescucha que reporta que en el centro de verificación vehicular hay un desastre.</t>
  </si>
  <si>
    <t>El gobernador de Hidalgo, Julio Menchaca Salazar, confirmó que la nueva tarifa del transporte público en la entidad podría definirse en las próximas semanas, después de varios meses de estudio. Esta medida ha sido uno de los temas más esperados por los usuarios del transporte público en la entidad, quienes han expresado preocupación sobre los posibles ajustes e incrementos. Según compartió el mandatario, las autoridades han evaluado en mesas de trabajo el impacto que pueda generar esta modificación en el sistema de transporte de Hidalgo. Asimismo, comentó que se han tomado en cuenta tanto las necesidades de los transportistas como la economía de los usuarios. Mientras que, sobre la cantidad en la que quedará la tarifa de transporte público en el estado de Hidalgo, Menchaca Salazar lo dejó en suspenso y dijo que próximamente será anunciada, pero que no lo considera como un aumento considerable, más bien razonable. Informó que será la Secretaría de Movilidad y Transporte estatal la que informará lo detalles de este ajuste al precio del pasaje, que sería resultado de un “estudio minucioso”.</t>
  </si>
  <si>
    <t>La Secretaría de Medio Ambiente y Recursos Naturales (Semarnat), en coordinación con el Instituto Nacional de los Pueblos Indígenas (INPI) como órgano técnico, realizó el 5 de abril una asamblea informativa en la comunidad de La Loma sobre el proyecto del Programa de Restauración Ecológica del Área de Influencia de la Presa Endhó, dando continuidad al diálogo con las distintas comunidades que integran el territorio. Durante el encuentro, representantes de la Semarnat presentaron las acciones para atender la problemática hídrica en la región, incluyendo el tratamiento de aguas residuales, la mitigación de descargas directas en ríos y la eliminación del lirio acuático y el mosco Culex. Compartieron que se fortalecerán las labores de monitoreo para mejorar la calidad del aire y se llevarán a cabo acciones de reforestación para recuperar los ecosistemas. El Programa de Restauración Ecológica del Área de Influencia de la Presa Endhó impulsará proyectos integrales coordinados entre diversas instituciones gubernamentales y comunidades. Las asambleas informativas forman parte del proceso de consulta previa, libre e informada que está dirigido a los integrantes de las comunidades indígenas que habitan en el área de influencia de la presa para garantizar su participación en la toma de decisiones sobre las acciones de restauración ambiental que se implementarán en la región.</t>
  </si>
  <si>
    <t>Presa Endhó</t>
  </si>
  <si>
    <t>La Secretaría de Gobernación realizó este lunes la toma de datos biométricos como parte de la actualización de la Clave Única de Registro de Población (CURP). Al encabezar el acto, la titular de esta dependencia, Rosa Icela Rodríguez Velázquez, sostuvo que la nueva CURP Biométrica “es una herramienta de justicia social, con la cual el Gobierno de México garantiza que cada persona cuente con una identidad única, verificable y protegida para fortalecer sus derechos”. Además, recalcó que no se trata solamente de un avance tecnológico ni un proyecto aislado, sino de “una transformación en la forma en que el Estado reconoce y protege la identidad de las personas como un derecho”. Rodríguez Velázquez apuntó que también es “parte del compromiso de la presidenta Claudia Sheinbaum Pardo de proteger este derecho humano a la identidad y hacer de la CURP el documento principal en el país”, en busca de que por medio de éste pueda brindarse de manera más eficiente, segura y accesible los servicios gubernamentales. De igual forma, dijo que reduce el riesgo de duplicidad, suplantación de identidad y uso indebido de información personal.</t>
  </si>
  <si>
    <t>CURP Biométrica</t>
  </si>
  <si>
    <t>El gobierno federal anunció la creación de la Escuela para Mandos, un nuevo esquema de formación dirigido a fortalecer la profesionalización de las corporaciones de seguridad en los ámbitos federal, estatal y municipal. El titular de la Secretaría de Seguridad y Protección Ciudadana, Omar García Harfuch, explicó que este proyecto busca desarrollar cuadros altamente capacitados para enfrentar la inseguridad y mejorar la coordinación entre las distintas instancias del país. De acuerdo con el funcionario, la iniciativa forma parte de una estrategia integral que prioriza la atención a las causas de la violencia, así como el fortalecimiento institucional de las policías locales. El modelo de formación, impulsado por el gabinete de seguridad, estará orientado a preparar a quienes ocupan cargos de mando en las instituciones de seguridad, con énfasis en el respeto a los derechos humanos, la honestidad y la conducción estratégica de las corporaciones. Asimismo, se prevé que la Escuela para Mandos contribuya a elevar las capacidades operativas y de gestión de las fuerzas de seguridad, con una visión coordinada entre los tres órdenes de gobierno. Este nuevo organismo estará integrado a la Academia Nacional de Seguridad Pública, como parte de la Estrategia Nacional de Seguridad del gobierno federal.</t>
  </si>
  <si>
    <t>Profesionalización policial</t>
  </si>
  <si>
    <t>El municipio Tepeji del Río contará con un plantel de la Universidad Rita Cetina tras las gestiones realizadas por el municipio y la administración estatal ante el gobierno de México a partir de solicitudes ciudadanas. Lo anterior lo reveló la alcaldesa Tania Valdez Cuéllar, quien expresó que la ciudadanía le planteó la necesidad de que el municipio contara con una institución de nivel superior y a partir de ello realizó las gestiones ante la administración del gobernador Julio Menchaca Salazar. Explicó que hubo insistencia de su gobierno en torno al tema y a su vez el mandatario estatal planteó el proyecto al gobierno de la presidenta Claudia Sheinbaum Pardo, mismo que autorizó el plantel para este municipio. Aseveró que comisariados de cuatro comunidades propusieron predios para convertirlos en la sede de esta nueva universidad, por lo que resaltó el apoyo ciudadano para la creación de espacios educativos.</t>
  </si>
  <si>
    <t>Universidad Rita Cetina</t>
  </si>
  <si>
    <t>La Semarnat Hidalgo confirmó que derivado del reporte sobre la presencia de un puma en el municipio de Tepetitlán, en coordinación con la PROFEPA y el Ayuntamiento, se realizó una visita de seguimiento al ejido Xithi para dialogar con autoridades locales. Durante este encuentro, se estableció una agenda de trabajo conjunta enfocada en la protección de la especie y su hábitat, con el objetivo de impulsar estrategias que permitan una coexistencia segura entre la fauna silvestre y las comunidades, así como la preservación de la biodiversidad en la región.</t>
  </si>
  <si>
    <t>Boletín: Citnova recibió las primeras propuestas para la convocatoria del Fondo Hidalgo</t>
  </si>
  <si>
    <t>Becas De Posgrado</t>
  </si>
  <si>
    <t>El día de hoy, re realizó la inauguración de la exposición gráfica 4.1 “Hióki” a cargo de Alejandro Velázquez, titular del Despacho del Gobernador. (AUDIO AVM); (AUDIO JMS).</t>
  </si>
  <si>
    <t>Boletín: Constata la Contraloría estatal entrega de siete vehículos a Seguridad Pública</t>
  </si>
  <si>
    <t>Vigilancia del gasto público</t>
  </si>
  <si>
    <t>El nuevo reglamento de tránsito y vialidad de Pachuca contempla no solo la regulación, y en su caso sanción, a los usuarios de motocicletas como medio de transporte en las calles y avenidas de la capital de Hidalgo, sino que también incluye lineamientos para la operación de vehículos motorizados como es el caso de scooters eléctricos y otro tipo de unidades similares que reflejen un incremento en el tránsito cotidiano de la ciudad, refirió la síndica jurídica del ayuntamiento pachuqueño, Jenny Melgarejo Chino. Dicho documento aún no es aprobado por el cabildo ni entra en vigor al carecer de su publicación en el Periódico Oficial del Estado de Hidalgo (POEH); aunado a esto, reconoció la asambleísta emanada del Partido Acción Nacional (PAN), se trabaja con la Secretaría de Seguridad Pública, Tránsito y Vialidad municipal y la Comisión de Movilidad del ayuntamiento para un análisis adicional de la propuesta en la que se incluyen los rubros de lineamientos para regulación de motocicletas y vehículos eléctricos, como scooters u otros tipos que ya se comercializan. Una vez que se tenga definición de la norma actualizada para estos vehículos eléctricos, refirió Melgarejo Chino, la tarea principal de la autoridad municipal será socializar a través de diferentes campañas las obligaciones, derechos y, en su caso, sanciones a las que pueden ser acreedores, pues el principal fallo en la ley es que no se da a conocer a la población para que se respete, sino que se disimula cumplir con esta obligación y no se acata la norma.</t>
  </si>
  <si>
    <t>Micromovilidad</t>
  </si>
  <si>
    <t>Habitantes de la localidad de Santa Elena Paliseca, en Cuautepec de Hinojosa, fueron testigos del inicio de una obra que marcará un antes y un después en sus condiciones de vida: la construcción integral en la calle 16 de Septiembre. Esta importante acción contempla una inversión de 2 millones 269 mil 904.54 pesos y beneficiará de manera directa a 50 habitantes, así como a más de 2 mil 500 personas de forma indirecta, quienes verán mejoradas sus condiciones de movilidad, acceso a servicios básicos y entorno urbano. Durante el acto protocolario de arranque, el presidente municipal Jorge Hernández Araus destacó que esta acción responde a las necesidades prioritarias de la población al integrar trabajos de agua potable, drenaje sanitario y pavimentación, lo que permitirá brindar servicios más eficientes y dignificar los espacios públicos. El proyecto incluye la instalación de 158 metros lineales de red de agua potable con tubería hidráulica, así como la construcción de una caja de válvulas, 150 metros de red de drenaje sanitario con tubería de alta densidad, seis pozos de visita y seis descargas sanitarias. En materia de infraestructura urbana, se contempla la construcción de mil 104.96 metros cuadrados de pavimento de concreto hidráulico, 286.50 metros lineales de guarniciones y 194.50 metros cuadrados de banquetas. También se realizará la aplicación de pintura de tránsito en guarniciones y la colocación de una mampara informativa. La administración que encabeza Hernández Araus en Cuautepec de Hinojosa continúa priorizando obras que atiendan las necesidades más sentidas de la ciudadanía con medidas que generen bienestar y desarrollo en las comunidades de toda la demarcación.</t>
  </si>
  <si>
    <t>Obras De Infraestructura</t>
  </si>
  <si>
    <t>Entrevista en cabina Gonzalo Herrera Muñoz, profesor investigador del programa educativo de la licenciatura en Turismo del ITESA: Habló sobre la licenciatura de turismo alternativo, las ventajas que ofrece dicho programa a los interesados en el cuidado del medio ambiente, destacando que, parte la dinámica de la educación superior en el Estado es buscar y orientar a las vocaciones regionales. El principal objetivo de los profesionistas que se forman bajo este perfil, tenga como finalidad el enaltecer el patrimonio biocultural de la entidad, expresó.</t>
  </si>
  <si>
    <t>Oferta educativa</t>
  </si>
  <si>
    <t>Más de siete municipios de Hidalgo presentan ambulancias en desuso, informó la secretaria de Salud estatal, Vanesa Escalante Arroyo, quien atribuyó esta situación a la falta de mantenimiento preventivo y correctivo por parte de los ayuntamientos. Durante la conferencia matutina de este lunes, la funcionaria explicó que muchas de estas unidades fueron entregadas en comodato por la Secretaría de Salud a los municipios, por lo que corresponde a las autoridades locales conservarlas en condiciones de operación. Escalante Arroyo señaló que actualmente se realiza un segundo diagnóstico sobre el estado de estas ambulancias, luego de detectar que varias no recibieron atención mecánica durante administraciones anteriores o incluso permanecen fuera de servicio.</t>
  </si>
  <si>
    <t>Boletín 46: Impulsa Hidalgo experiencias turísticas accesibles y seguras para personas adultas mayores</t>
  </si>
  <si>
    <t>Turismo inclusivo</t>
  </si>
  <si>
    <t>Boletín 634: Convocan a participar en el 2º Concurso Nacional de Huapango en Apan</t>
  </si>
  <si>
    <t>Concurso De Huapango</t>
  </si>
  <si>
    <t>Boletín: Colaboración Eudaldo Rivas - Habló sobre el reciente aumento a la canasta básica</t>
  </si>
  <si>
    <t>Reparto de utilidades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</si>
</sst>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35" tableType="queryTable" totalsRowShown="0">
  <autoFilter ref="A1:M235" xr:uid="{717AF3FA-E95C-4D17-A1C9-B8D7CBE34EF0}"/>
  <sortState xmlns:xlrd2="http://schemas.microsoft.com/office/spreadsheetml/2017/richdata2" ref="A2:M235">
    <sortCondition ref="B1:B235"/>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35"/>
  <sheetViews>
    <sheetView tabSelected="1" workbookViewId="0">
      <selection activeCell="B2" sqref="B2"/>
    </sheetView>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143</v>
      </c>
      <c r="C1" t="s">
        <v>144</v>
      </c>
      <c r="D1" t="s">
        <v>145</v>
      </c>
      <c r="E1" t="s">
        <v>1</v>
      </c>
      <c r="F1" t="s">
        <v>2</v>
      </c>
      <c r="G1" t="s">
        <v>4</v>
      </c>
      <c r="H1" t="s">
        <v>3</v>
      </c>
      <c r="I1" t="s">
        <v>5</v>
      </c>
      <c r="J1" t="s">
        <v>146</v>
      </c>
      <c r="K1" t="s">
        <v>147</v>
      </c>
      <c r="L1" t="s">
        <v>148</v>
      </c>
      <c r="M1" t="s">
        <v>156</v>
      </c>
    </row>
    <row r="2" spans="1:13" x14ac:dyDescent="0.25">
      <c r="A2" s="1">
        <v>46125</v>
      </c>
      <c r="B2" s="1" t="str">
        <f ca="1">IF(Información1[[#This Row],[Fecha]]='Ajuste de fechas'!$A$2,"Día actual","Día anterior")</f>
        <v>Día anterior</v>
      </c>
      <c r="C2" s="3" t="s">
        <v>71</v>
      </c>
      <c r="D2" t="s">
        <v>72</v>
      </c>
      <c r="E2" s="3" t="s">
        <v>111</v>
      </c>
      <c r="F2" s="3" t="s">
        <v>19</v>
      </c>
      <c r="G2" s="3" t="s">
        <v>94</v>
      </c>
      <c r="H2" s="3" t="s">
        <v>11</v>
      </c>
      <c r="I2" s="3" t="s">
        <v>7</v>
      </c>
      <c r="J2" s="3" t="s">
        <v>153</v>
      </c>
      <c r="K2" s="3" t="s">
        <v>73</v>
      </c>
      <c r="L2" s="3" t="s">
        <v>150</v>
      </c>
      <c r="M2">
        <v>1</v>
      </c>
    </row>
    <row r="3" spans="1:13" x14ac:dyDescent="0.25">
      <c r="A3" s="1">
        <v>46125</v>
      </c>
      <c r="B3" s="1" t="str">
        <f ca="1">IF(Información1[[#This Row],[Fecha]]='Ajuste de fechas'!$A$2,"Día actual","Día anterior")</f>
        <v>Día anterior</v>
      </c>
      <c r="C3" s="3" t="s">
        <v>71</v>
      </c>
      <c r="D3" t="s">
        <v>72</v>
      </c>
      <c r="E3" s="3" t="s">
        <v>112</v>
      </c>
      <c r="F3" s="3" t="s">
        <v>24</v>
      </c>
      <c r="G3" s="3" t="s">
        <v>93</v>
      </c>
      <c r="H3" s="3" t="s">
        <v>11</v>
      </c>
      <c r="I3" s="3" t="s">
        <v>7</v>
      </c>
      <c r="J3" s="3" t="s">
        <v>149</v>
      </c>
      <c r="K3" s="3" t="s">
        <v>73</v>
      </c>
      <c r="L3" s="3" t="s">
        <v>152</v>
      </c>
      <c r="M3">
        <v>1</v>
      </c>
    </row>
    <row r="4" spans="1:13" x14ac:dyDescent="0.25">
      <c r="A4" s="1">
        <v>46125</v>
      </c>
      <c r="B4" s="1" t="str">
        <f ca="1">IF(Información1[[#This Row],[Fecha]]='Ajuste de fechas'!$A$2,"Día actual","Día anterior")</f>
        <v>Día anterior</v>
      </c>
      <c r="C4" s="3" t="s">
        <v>71</v>
      </c>
      <c r="D4" t="s">
        <v>72</v>
      </c>
      <c r="E4" s="3" t="s">
        <v>113</v>
      </c>
      <c r="F4" s="3" t="s">
        <v>19</v>
      </c>
      <c r="G4" s="3" t="s">
        <v>88</v>
      </c>
      <c r="H4" s="3" t="s">
        <v>11</v>
      </c>
      <c r="I4" s="3" t="s">
        <v>7</v>
      </c>
      <c r="J4" s="3" t="s">
        <v>153</v>
      </c>
      <c r="K4" s="3" t="s">
        <v>73</v>
      </c>
      <c r="L4" s="3" t="s">
        <v>150</v>
      </c>
      <c r="M4">
        <v>1</v>
      </c>
    </row>
    <row r="5" spans="1:13" x14ac:dyDescent="0.25">
      <c r="A5" s="1">
        <v>46125</v>
      </c>
      <c r="B5" s="1" t="str">
        <f ca="1">IF(Información1[[#This Row],[Fecha]]='Ajuste de fechas'!$A$2,"Día actual","Día anterior")</f>
        <v>Día anterior</v>
      </c>
      <c r="C5" s="3" t="s">
        <v>71</v>
      </c>
      <c r="D5" t="s">
        <v>72</v>
      </c>
      <c r="E5" s="3" t="s">
        <v>114</v>
      </c>
      <c r="F5" s="3" t="s">
        <v>19</v>
      </c>
      <c r="G5" s="3" t="s">
        <v>76</v>
      </c>
      <c r="H5" s="3" t="s">
        <v>11</v>
      </c>
      <c r="I5" s="3" t="s">
        <v>7</v>
      </c>
      <c r="J5" s="3" t="s">
        <v>153</v>
      </c>
      <c r="K5" s="3" t="s">
        <v>73</v>
      </c>
      <c r="L5" s="3" t="s">
        <v>150</v>
      </c>
      <c r="M5">
        <v>1</v>
      </c>
    </row>
    <row r="6" spans="1:13" x14ac:dyDescent="0.25">
      <c r="A6" s="1">
        <v>46125</v>
      </c>
      <c r="B6" s="1" t="str">
        <f ca="1">IF(Información1[[#This Row],[Fecha]]='Ajuste de fechas'!$A$2,"Día actual","Día anterior")</f>
        <v>Día anterior</v>
      </c>
      <c r="C6" s="3" t="s">
        <v>71</v>
      </c>
      <c r="D6" t="s">
        <v>72</v>
      </c>
      <c r="E6" s="3" t="s">
        <v>115</v>
      </c>
      <c r="F6" s="3" t="s">
        <v>19</v>
      </c>
      <c r="G6" s="3" t="s">
        <v>103</v>
      </c>
      <c r="H6" s="3" t="s">
        <v>11</v>
      </c>
      <c r="I6" s="3" t="s">
        <v>7</v>
      </c>
      <c r="J6" s="3" t="s">
        <v>153</v>
      </c>
      <c r="K6" s="3" t="s">
        <v>73</v>
      </c>
      <c r="L6" s="3" t="s">
        <v>150</v>
      </c>
      <c r="M6">
        <v>1</v>
      </c>
    </row>
    <row r="7" spans="1:13" x14ac:dyDescent="0.25">
      <c r="A7" s="1">
        <v>46125</v>
      </c>
      <c r="B7" s="1" t="str">
        <f ca="1">IF(Información1[[#This Row],[Fecha]]='Ajuste de fechas'!$A$2,"Día actual","Día anterior")</f>
        <v>Día anterior</v>
      </c>
      <c r="C7" s="3" t="s">
        <v>71</v>
      </c>
      <c r="D7" t="s">
        <v>72</v>
      </c>
      <c r="E7" s="3" t="s">
        <v>116</v>
      </c>
      <c r="F7" s="3" t="s">
        <v>19</v>
      </c>
      <c r="G7" s="3" t="s">
        <v>50</v>
      </c>
      <c r="H7" s="3" t="s">
        <v>11</v>
      </c>
      <c r="I7" s="3" t="s">
        <v>7</v>
      </c>
      <c r="J7" s="3" t="s">
        <v>153</v>
      </c>
      <c r="K7" s="3" t="s">
        <v>73</v>
      </c>
      <c r="L7" s="3" t="s">
        <v>150</v>
      </c>
      <c r="M7">
        <v>1</v>
      </c>
    </row>
    <row r="8" spans="1:13" x14ac:dyDescent="0.25">
      <c r="A8" s="1">
        <v>46125</v>
      </c>
      <c r="B8" s="1" t="str">
        <f ca="1">IF(Información1[[#This Row],[Fecha]]='Ajuste de fechas'!$A$2,"Día actual","Día anterior")</f>
        <v>Día anterior</v>
      </c>
      <c r="C8" s="3" t="s">
        <v>71</v>
      </c>
      <c r="D8" t="s">
        <v>72</v>
      </c>
      <c r="E8" s="3" t="s">
        <v>117</v>
      </c>
      <c r="F8" s="3" t="s">
        <v>19</v>
      </c>
      <c r="G8" s="3" t="s">
        <v>100</v>
      </c>
      <c r="H8" s="3" t="s">
        <v>11</v>
      </c>
      <c r="I8" s="3" t="s">
        <v>7</v>
      </c>
      <c r="J8" s="3" t="s">
        <v>153</v>
      </c>
      <c r="K8" s="3" t="s">
        <v>73</v>
      </c>
      <c r="L8" s="3" t="s">
        <v>150</v>
      </c>
      <c r="M8">
        <v>1</v>
      </c>
    </row>
    <row r="9" spans="1:13" x14ac:dyDescent="0.25">
      <c r="A9" s="1">
        <v>46125</v>
      </c>
      <c r="B9" s="1" t="str">
        <f ca="1">IF(Información1[[#This Row],[Fecha]]='Ajuste de fechas'!$A$2,"Día actual","Día anterior")</f>
        <v>Día anterior</v>
      </c>
      <c r="C9" s="3" t="s">
        <v>71</v>
      </c>
      <c r="D9" t="s">
        <v>72</v>
      </c>
      <c r="E9" s="3" t="s">
        <v>118</v>
      </c>
      <c r="F9" s="3" t="s">
        <v>51</v>
      </c>
      <c r="G9" s="3" t="s">
        <v>87</v>
      </c>
      <c r="H9" s="3" t="s">
        <v>11</v>
      </c>
      <c r="I9" s="3" t="s">
        <v>7</v>
      </c>
      <c r="J9" s="3" t="s">
        <v>149</v>
      </c>
      <c r="K9" s="3" t="s">
        <v>73</v>
      </c>
      <c r="L9" s="3" t="s">
        <v>150</v>
      </c>
      <c r="M9">
        <v>1</v>
      </c>
    </row>
    <row r="10" spans="1:13" x14ac:dyDescent="0.25">
      <c r="A10" s="1">
        <v>46125</v>
      </c>
      <c r="B10" s="1" t="str">
        <f ca="1">IF(Información1[[#This Row],[Fecha]]='Ajuste de fechas'!$A$2,"Día actual","Día anterior")</f>
        <v>Día anterior</v>
      </c>
      <c r="C10" s="3" t="s">
        <v>71</v>
      </c>
      <c r="D10" t="s">
        <v>72</v>
      </c>
      <c r="E10" s="3" t="s">
        <v>119</v>
      </c>
      <c r="F10" s="3" t="s">
        <v>51</v>
      </c>
      <c r="G10" s="3" t="s">
        <v>52</v>
      </c>
      <c r="H10" s="3" t="s">
        <v>11</v>
      </c>
      <c r="I10" s="3" t="s">
        <v>7</v>
      </c>
      <c r="J10" s="3" t="s">
        <v>149</v>
      </c>
      <c r="K10" s="3" t="s">
        <v>73</v>
      </c>
      <c r="L10" s="3" t="s">
        <v>150</v>
      </c>
      <c r="M10">
        <v>1</v>
      </c>
    </row>
    <row r="11" spans="1:13" x14ac:dyDescent="0.25">
      <c r="A11" s="1">
        <v>46125</v>
      </c>
      <c r="B11" s="1" t="str">
        <f ca="1">IF(Información1[[#This Row],[Fecha]]='Ajuste de fechas'!$A$2,"Día actual","Día anterior")</f>
        <v>Día anterior</v>
      </c>
      <c r="C11" s="3" t="s">
        <v>71</v>
      </c>
      <c r="D11" t="s">
        <v>72</v>
      </c>
      <c r="E11" s="3" t="s">
        <v>120</v>
      </c>
      <c r="F11" s="3" t="s">
        <v>19</v>
      </c>
      <c r="G11" s="3" t="s">
        <v>78</v>
      </c>
      <c r="H11" s="3" t="s">
        <v>11</v>
      </c>
      <c r="I11" s="3" t="s">
        <v>7</v>
      </c>
      <c r="J11" s="3" t="s">
        <v>153</v>
      </c>
      <c r="K11" s="3" t="s">
        <v>73</v>
      </c>
      <c r="L11" s="3" t="s">
        <v>150</v>
      </c>
      <c r="M11">
        <v>1</v>
      </c>
    </row>
    <row r="12" spans="1:13" x14ac:dyDescent="0.25">
      <c r="A12" s="1">
        <v>46125</v>
      </c>
      <c r="B12" s="1" t="str">
        <f ca="1">IF(Información1[[#This Row],[Fecha]]='Ajuste de fechas'!$A$2,"Día actual","Día anterior")</f>
        <v>Día anterior</v>
      </c>
      <c r="C12" s="3" t="s">
        <v>71</v>
      </c>
      <c r="D12" t="s">
        <v>72</v>
      </c>
      <c r="E12" s="3" t="s">
        <v>121</v>
      </c>
      <c r="F12" s="3" t="s">
        <v>59</v>
      </c>
      <c r="G12" s="3" t="s">
        <v>105</v>
      </c>
      <c r="H12" s="3" t="s">
        <v>11</v>
      </c>
      <c r="I12" s="3" t="s">
        <v>7</v>
      </c>
      <c r="J12" s="3" t="s">
        <v>149</v>
      </c>
      <c r="K12" s="3" t="s">
        <v>73</v>
      </c>
      <c r="L12" s="3" t="s">
        <v>152</v>
      </c>
      <c r="M12">
        <v>1</v>
      </c>
    </row>
    <row r="13" spans="1:13" x14ac:dyDescent="0.25">
      <c r="A13" s="1">
        <v>46125</v>
      </c>
      <c r="B13" s="1" t="str">
        <f ca="1">IF(Información1[[#This Row],[Fecha]]='Ajuste de fechas'!$A$2,"Día actual","Día anterior")</f>
        <v>Día anterior</v>
      </c>
      <c r="C13" s="3" t="s">
        <v>71</v>
      </c>
      <c r="D13" t="s">
        <v>72</v>
      </c>
      <c r="E13" s="3" t="s">
        <v>122</v>
      </c>
      <c r="F13" s="3" t="s">
        <v>19</v>
      </c>
      <c r="G13" s="3" t="s">
        <v>29</v>
      </c>
      <c r="H13" s="3" t="s">
        <v>11</v>
      </c>
      <c r="I13" s="3" t="s">
        <v>7</v>
      </c>
      <c r="J13" s="3" t="s">
        <v>153</v>
      </c>
      <c r="K13" s="3" t="s">
        <v>73</v>
      </c>
      <c r="L13" s="3" t="s">
        <v>150</v>
      </c>
      <c r="M13">
        <v>1</v>
      </c>
    </row>
    <row r="14" spans="1:13" x14ac:dyDescent="0.25">
      <c r="A14" s="1">
        <v>46125</v>
      </c>
      <c r="B14" s="1" t="str">
        <f ca="1">IF(Información1[[#This Row],[Fecha]]='Ajuste de fechas'!$A$2,"Día actual","Día anterior")</f>
        <v>Día anterior</v>
      </c>
      <c r="C14" s="3" t="s">
        <v>71</v>
      </c>
      <c r="D14" t="s">
        <v>72</v>
      </c>
      <c r="E14" s="3" t="s">
        <v>123</v>
      </c>
      <c r="F14" s="3" t="s">
        <v>23</v>
      </c>
      <c r="G14" s="3" t="s">
        <v>97</v>
      </c>
      <c r="H14" s="3" t="s">
        <v>11</v>
      </c>
      <c r="I14" s="3" t="s">
        <v>7</v>
      </c>
      <c r="J14" s="3" t="s">
        <v>154</v>
      </c>
      <c r="K14" s="3" t="s">
        <v>73</v>
      </c>
      <c r="L14" s="3" t="s">
        <v>150</v>
      </c>
      <c r="M14">
        <v>1</v>
      </c>
    </row>
    <row r="15" spans="1:13" x14ac:dyDescent="0.25">
      <c r="A15" s="1">
        <v>46125</v>
      </c>
      <c r="B15" s="1" t="str">
        <f ca="1">IF(Información1[[#This Row],[Fecha]]='Ajuste de fechas'!$A$2,"Día actual","Día anterior")</f>
        <v>Día anterior</v>
      </c>
      <c r="C15" s="3" t="s">
        <v>71</v>
      </c>
      <c r="D15" t="s">
        <v>72</v>
      </c>
      <c r="E15" s="3" t="s">
        <v>124</v>
      </c>
      <c r="F15" s="3" t="s">
        <v>28</v>
      </c>
      <c r="G15" s="3" t="s">
        <v>34</v>
      </c>
      <c r="H15" s="3" t="s">
        <v>11</v>
      </c>
      <c r="I15" s="3" t="s">
        <v>7</v>
      </c>
      <c r="J15" s="3" t="s">
        <v>149</v>
      </c>
      <c r="K15" s="3" t="s">
        <v>73</v>
      </c>
      <c r="L15" s="3" t="s">
        <v>152</v>
      </c>
      <c r="M15">
        <v>1</v>
      </c>
    </row>
    <row r="16" spans="1:13" x14ac:dyDescent="0.25">
      <c r="A16" s="1">
        <v>46125</v>
      </c>
      <c r="B16" s="1" t="str">
        <f ca="1">IF(Información1[[#This Row],[Fecha]]='Ajuste de fechas'!$A$2,"Día actual","Día anterior")</f>
        <v>Día anterior</v>
      </c>
      <c r="C16" s="3" t="s">
        <v>71</v>
      </c>
      <c r="D16" t="s">
        <v>72</v>
      </c>
      <c r="E16" s="3" t="s">
        <v>125</v>
      </c>
      <c r="F16" s="3" t="s">
        <v>30</v>
      </c>
      <c r="G16" s="3" t="s">
        <v>92</v>
      </c>
      <c r="H16" s="3" t="s">
        <v>11</v>
      </c>
      <c r="I16" s="3" t="s">
        <v>7</v>
      </c>
      <c r="J16" s="3" t="s">
        <v>149</v>
      </c>
      <c r="K16" s="3" t="s">
        <v>73</v>
      </c>
      <c r="L16" s="3" t="s">
        <v>152</v>
      </c>
      <c r="M16">
        <v>1</v>
      </c>
    </row>
    <row r="17" spans="1:13" x14ac:dyDescent="0.25">
      <c r="A17" s="1">
        <v>46125</v>
      </c>
      <c r="B17" s="1" t="str">
        <f ca="1">IF(Información1[[#This Row],[Fecha]]='Ajuste de fechas'!$A$2,"Día actual","Día anterior")</f>
        <v>Día anterior</v>
      </c>
      <c r="C17" s="3" t="s">
        <v>71</v>
      </c>
      <c r="D17" t="s">
        <v>72</v>
      </c>
      <c r="E17" s="3" t="s">
        <v>126</v>
      </c>
      <c r="F17" s="3" t="s">
        <v>19</v>
      </c>
      <c r="G17" s="3" t="s">
        <v>92</v>
      </c>
      <c r="H17" s="3" t="s">
        <v>11</v>
      </c>
      <c r="I17" s="3" t="s">
        <v>7</v>
      </c>
      <c r="J17" s="3" t="s">
        <v>153</v>
      </c>
      <c r="K17" s="3" t="s">
        <v>73</v>
      </c>
      <c r="L17" s="3" t="s">
        <v>150</v>
      </c>
      <c r="M17">
        <v>1</v>
      </c>
    </row>
    <row r="18" spans="1:13" x14ac:dyDescent="0.25">
      <c r="A18" s="1">
        <v>46125</v>
      </c>
      <c r="B18" s="1" t="str">
        <f ca="1">IF(Información1[[#This Row],[Fecha]]='Ajuste de fechas'!$A$2,"Día actual","Día anterior")</f>
        <v>Día anterior</v>
      </c>
      <c r="C18" s="3" t="s">
        <v>71</v>
      </c>
      <c r="D18" t="s">
        <v>72</v>
      </c>
      <c r="E18" s="3" t="s">
        <v>127</v>
      </c>
      <c r="F18" s="3" t="s">
        <v>19</v>
      </c>
      <c r="G18" s="3" t="s">
        <v>50</v>
      </c>
      <c r="H18" s="3" t="s">
        <v>11</v>
      </c>
      <c r="I18" s="3" t="s">
        <v>7</v>
      </c>
      <c r="J18" s="3" t="s">
        <v>153</v>
      </c>
      <c r="K18" s="3" t="s">
        <v>73</v>
      </c>
      <c r="L18" s="3" t="s">
        <v>150</v>
      </c>
      <c r="M18">
        <v>1</v>
      </c>
    </row>
    <row r="19" spans="1:13" x14ac:dyDescent="0.25">
      <c r="A19" s="1">
        <v>46125</v>
      </c>
      <c r="B19" s="1" t="str">
        <f ca="1">IF(Información1[[#This Row],[Fecha]]='Ajuste de fechas'!$A$2,"Día actual","Día anterior")</f>
        <v>Día anterior</v>
      </c>
      <c r="C19" s="3" t="s">
        <v>71</v>
      </c>
      <c r="D19" t="s">
        <v>72</v>
      </c>
      <c r="E19" s="3" t="s">
        <v>128</v>
      </c>
      <c r="F19" s="3" t="s">
        <v>15</v>
      </c>
      <c r="G19" s="3" t="s">
        <v>110</v>
      </c>
      <c r="H19" s="3" t="s">
        <v>11</v>
      </c>
      <c r="I19" s="3" t="s">
        <v>7</v>
      </c>
      <c r="J19" s="3" t="s">
        <v>149</v>
      </c>
      <c r="K19" s="3" t="s">
        <v>73</v>
      </c>
      <c r="L19" s="3" t="s">
        <v>150</v>
      </c>
      <c r="M19">
        <v>1</v>
      </c>
    </row>
    <row r="20" spans="1:13" x14ac:dyDescent="0.25">
      <c r="A20" s="1">
        <v>46125</v>
      </c>
      <c r="B20" s="1" t="str">
        <f ca="1">IF(Información1[[#This Row],[Fecha]]='Ajuste de fechas'!$A$2,"Día actual","Día anterior")</f>
        <v>Día anterior</v>
      </c>
      <c r="C20" s="3" t="s">
        <v>71</v>
      </c>
      <c r="D20" t="s">
        <v>72</v>
      </c>
      <c r="E20" s="3" t="s">
        <v>129</v>
      </c>
      <c r="F20" s="3" t="s">
        <v>26</v>
      </c>
      <c r="G20" s="3" t="s">
        <v>110</v>
      </c>
      <c r="H20" s="3" t="s">
        <v>11</v>
      </c>
      <c r="I20" s="3" t="s">
        <v>7</v>
      </c>
      <c r="J20" s="3" t="s">
        <v>26</v>
      </c>
      <c r="K20" s="3" t="s">
        <v>73</v>
      </c>
      <c r="L20" s="3" t="s">
        <v>150</v>
      </c>
      <c r="M20">
        <v>1</v>
      </c>
    </row>
    <row r="21" spans="1:13" x14ac:dyDescent="0.25">
      <c r="A21" s="1">
        <v>46125</v>
      </c>
      <c r="B21" s="1" t="str">
        <f ca="1">IF(Información1[[#This Row],[Fecha]]='Ajuste de fechas'!$A$2,"Día actual","Día anterior")</f>
        <v>Día anterior</v>
      </c>
      <c r="C21" s="3" t="s">
        <v>71</v>
      </c>
      <c r="D21" t="s">
        <v>72</v>
      </c>
      <c r="E21" s="3" t="s">
        <v>130</v>
      </c>
      <c r="F21" s="3" t="s">
        <v>19</v>
      </c>
      <c r="G21" s="3" t="s">
        <v>131</v>
      </c>
      <c r="H21" s="3" t="s">
        <v>11</v>
      </c>
      <c r="I21" s="3" t="s">
        <v>27</v>
      </c>
      <c r="J21" s="3" t="s">
        <v>153</v>
      </c>
      <c r="K21" s="3" t="s">
        <v>73</v>
      </c>
      <c r="L21" s="3" t="s">
        <v>151</v>
      </c>
      <c r="M21">
        <v>1</v>
      </c>
    </row>
    <row r="22" spans="1:13" x14ac:dyDescent="0.25">
      <c r="A22" s="1">
        <v>46125</v>
      </c>
      <c r="B22" s="1" t="str">
        <f ca="1">IF(Información1[[#This Row],[Fecha]]='Ajuste de fechas'!$A$2,"Día actual","Día anterior")</f>
        <v>Día anterior</v>
      </c>
      <c r="C22" s="3" t="s">
        <v>71</v>
      </c>
      <c r="D22" t="s">
        <v>72</v>
      </c>
      <c r="E22" s="3" t="s">
        <v>132</v>
      </c>
      <c r="F22" s="3" t="s">
        <v>51</v>
      </c>
      <c r="G22" s="3" t="s">
        <v>131</v>
      </c>
      <c r="H22" s="3" t="s">
        <v>11</v>
      </c>
      <c r="I22" s="3" t="s">
        <v>27</v>
      </c>
      <c r="J22" s="3" t="s">
        <v>149</v>
      </c>
      <c r="K22" s="3" t="s">
        <v>73</v>
      </c>
      <c r="L22" s="3" t="s">
        <v>151</v>
      </c>
      <c r="M22">
        <v>1</v>
      </c>
    </row>
    <row r="23" spans="1:13" x14ac:dyDescent="0.25">
      <c r="A23" s="1">
        <v>46125</v>
      </c>
      <c r="B23" s="1" t="str">
        <f ca="1">IF(Información1[[#This Row],[Fecha]]='Ajuste de fechas'!$A$2,"Día actual","Día anterior")</f>
        <v>Día anterior</v>
      </c>
      <c r="C23" s="3" t="s">
        <v>71</v>
      </c>
      <c r="D23" t="s">
        <v>72</v>
      </c>
      <c r="E23" s="3" t="s">
        <v>133</v>
      </c>
      <c r="F23" s="3" t="s">
        <v>51</v>
      </c>
      <c r="G23" s="3" t="s">
        <v>131</v>
      </c>
      <c r="H23" s="3" t="s">
        <v>11</v>
      </c>
      <c r="I23" s="3" t="s">
        <v>7</v>
      </c>
      <c r="J23" s="3" t="s">
        <v>149</v>
      </c>
      <c r="K23" s="3" t="s">
        <v>73</v>
      </c>
      <c r="L23" s="3" t="s">
        <v>150</v>
      </c>
      <c r="M23">
        <v>1</v>
      </c>
    </row>
    <row r="24" spans="1:13" x14ac:dyDescent="0.25">
      <c r="A24" s="1">
        <v>46125</v>
      </c>
      <c r="B24" s="1" t="str">
        <f ca="1">IF(Información1[[#This Row],[Fecha]]='Ajuste de fechas'!$A$2,"Día actual","Día anterior")</f>
        <v>Día anterior</v>
      </c>
      <c r="C24" s="3" t="s">
        <v>71</v>
      </c>
      <c r="D24" t="s">
        <v>72</v>
      </c>
      <c r="E24" s="3" t="s">
        <v>134</v>
      </c>
      <c r="F24" s="3" t="s">
        <v>26</v>
      </c>
      <c r="G24" s="3" t="s">
        <v>33</v>
      </c>
      <c r="H24" s="3" t="s">
        <v>11</v>
      </c>
      <c r="I24" s="3" t="s">
        <v>7</v>
      </c>
      <c r="J24" s="3" t="s">
        <v>26</v>
      </c>
      <c r="K24" s="3" t="s">
        <v>73</v>
      </c>
      <c r="L24" s="3" t="s">
        <v>150</v>
      </c>
      <c r="M24">
        <v>1</v>
      </c>
    </row>
    <row r="25" spans="1:13" x14ac:dyDescent="0.25">
      <c r="A25" s="1">
        <v>46125</v>
      </c>
      <c r="B25" s="1" t="str">
        <f ca="1">IF(Información1[[#This Row],[Fecha]]='Ajuste de fechas'!$A$2,"Día actual","Día anterior")</f>
        <v>Día anterior</v>
      </c>
      <c r="C25" s="3" t="s">
        <v>71</v>
      </c>
      <c r="D25" t="s">
        <v>72</v>
      </c>
      <c r="E25" s="3" t="s">
        <v>135</v>
      </c>
      <c r="F25" s="3" t="s">
        <v>21</v>
      </c>
      <c r="G25" s="3" t="s">
        <v>33</v>
      </c>
      <c r="H25" s="3" t="s">
        <v>11</v>
      </c>
      <c r="I25" s="3" t="s">
        <v>7</v>
      </c>
      <c r="J25" s="3" t="s">
        <v>149</v>
      </c>
      <c r="K25" s="3" t="s">
        <v>73</v>
      </c>
      <c r="L25" s="3" t="s">
        <v>152</v>
      </c>
      <c r="M25">
        <v>1</v>
      </c>
    </row>
    <row r="26" spans="1:13" x14ac:dyDescent="0.25">
      <c r="A26" s="1">
        <v>46125</v>
      </c>
      <c r="B26" s="1" t="str">
        <f ca="1">IF(Información1[[#This Row],[Fecha]]='Ajuste de fechas'!$A$2,"Día actual","Día anterior")</f>
        <v>Día anterior</v>
      </c>
      <c r="C26" s="3" t="s">
        <v>55</v>
      </c>
      <c r="D26" t="s">
        <v>56</v>
      </c>
      <c r="E26" s="3" t="s">
        <v>136</v>
      </c>
      <c r="F26" s="3" t="s">
        <v>26</v>
      </c>
      <c r="G26" s="3" t="s">
        <v>61</v>
      </c>
      <c r="H26" s="3" t="s">
        <v>49</v>
      </c>
      <c r="I26" s="3" t="s">
        <v>27</v>
      </c>
      <c r="J26" s="3" t="s">
        <v>26</v>
      </c>
      <c r="K26" s="3" t="s">
        <v>32</v>
      </c>
      <c r="L26" s="3" t="s">
        <v>155</v>
      </c>
      <c r="M26">
        <v>1</v>
      </c>
    </row>
    <row r="27" spans="1:13" x14ac:dyDescent="0.25">
      <c r="A27" s="1">
        <v>46125</v>
      </c>
      <c r="B27" s="1" t="str">
        <f ca="1">IF(Información1[[#This Row],[Fecha]]='Ajuste de fechas'!$A$2,"Día actual","Día anterior")</f>
        <v>Día anterior</v>
      </c>
      <c r="C27" s="3" t="s">
        <v>55</v>
      </c>
      <c r="D27" t="s">
        <v>56</v>
      </c>
      <c r="E27" s="3" t="s">
        <v>137</v>
      </c>
      <c r="F27" s="3" t="s">
        <v>15</v>
      </c>
      <c r="G27" s="3" t="s">
        <v>57</v>
      </c>
      <c r="H27" s="3" t="s">
        <v>49</v>
      </c>
      <c r="I27" s="3" t="s">
        <v>27</v>
      </c>
      <c r="J27" s="3" t="s">
        <v>149</v>
      </c>
      <c r="K27" s="3" t="s">
        <v>32</v>
      </c>
      <c r="L27" s="3" t="s">
        <v>151</v>
      </c>
      <c r="M27">
        <v>1</v>
      </c>
    </row>
    <row r="28" spans="1:13" x14ac:dyDescent="0.25">
      <c r="A28" s="1">
        <v>46125</v>
      </c>
      <c r="B28" s="1" t="str">
        <f ca="1">IF(Información1[[#This Row],[Fecha]]='Ajuste de fechas'!$A$2,"Día actual","Día anterior")</f>
        <v>Día anterior</v>
      </c>
      <c r="C28" s="3" t="s">
        <v>55</v>
      </c>
      <c r="D28" t="s">
        <v>56</v>
      </c>
      <c r="E28" s="3" t="s">
        <v>138</v>
      </c>
      <c r="F28" s="3" t="s">
        <v>21</v>
      </c>
      <c r="G28" s="3" t="s">
        <v>33</v>
      </c>
      <c r="H28" s="3" t="s">
        <v>49</v>
      </c>
      <c r="I28" s="3" t="s">
        <v>7</v>
      </c>
      <c r="J28" s="3" t="s">
        <v>149</v>
      </c>
      <c r="K28" s="3" t="s">
        <v>32</v>
      </c>
      <c r="L28" s="3" t="s">
        <v>152</v>
      </c>
      <c r="M28">
        <v>1</v>
      </c>
    </row>
    <row r="29" spans="1:13" x14ac:dyDescent="0.25">
      <c r="A29" s="1">
        <v>46125</v>
      </c>
      <c r="B29" s="1" t="str">
        <f ca="1">IF(Información1[[#This Row],[Fecha]]='Ajuste de fechas'!$A$2,"Día actual","Día anterior")</f>
        <v>Día anterior</v>
      </c>
      <c r="C29" s="3" t="s">
        <v>55</v>
      </c>
      <c r="D29" t="s">
        <v>56</v>
      </c>
      <c r="E29" s="3" t="s">
        <v>139</v>
      </c>
      <c r="F29" s="3" t="s">
        <v>19</v>
      </c>
      <c r="G29" s="3" t="s">
        <v>85</v>
      </c>
      <c r="H29" s="3" t="s">
        <v>49</v>
      </c>
      <c r="I29" s="3" t="s">
        <v>7</v>
      </c>
      <c r="J29" s="3" t="s">
        <v>153</v>
      </c>
      <c r="K29" s="3" t="s">
        <v>32</v>
      </c>
      <c r="L29" s="3" t="s">
        <v>150</v>
      </c>
      <c r="M29">
        <v>1</v>
      </c>
    </row>
    <row r="30" spans="1:13" x14ac:dyDescent="0.25">
      <c r="A30" s="1">
        <v>46125</v>
      </c>
      <c r="B30" s="1" t="str">
        <f ca="1">IF(Información1[[#This Row],[Fecha]]='Ajuste de fechas'!$A$2,"Día actual","Día anterior")</f>
        <v>Día anterior</v>
      </c>
      <c r="C30" s="3" t="s">
        <v>55</v>
      </c>
      <c r="D30" t="s">
        <v>56</v>
      </c>
      <c r="E30" s="3" t="s">
        <v>140</v>
      </c>
      <c r="F30" s="3" t="s">
        <v>19</v>
      </c>
      <c r="G30" s="3" t="s">
        <v>78</v>
      </c>
      <c r="H30" s="3" t="s">
        <v>49</v>
      </c>
      <c r="I30" s="3" t="s">
        <v>7</v>
      </c>
      <c r="J30" s="3" t="s">
        <v>153</v>
      </c>
      <c r="K30" s="3" t="s">
        <v>32</v>
      </c>
      <c r="L30" s="3" t="s">
        <v>150</v>
      </c>
      <c r="M30">
        <v>1</v>
      </c>
    </row>
    <row r="31" spans="1:13" x14ac:dyDescent="0.25">
      <c r="A31" s="1">
        <v>46125</v>
      </c>
      <c r="B31" s="1" t="str">
        <f ca="1">IF(Información1[[#This Row],[Fecha]]='Ajuste de fechas'!$A$2,"Día actual","Día anterior")</f>
        <v>Día anterior</v>
      </c>
      <c r="C31" s="3" t="s">
        <v>55</v>
      </c>
      <c r="D31" t="s">
        <v>56</v>
      </c>
      <c r="E31" s="3" t="s">
        <v>141</v>
      </c>
      <c r="F31" s="3" t="s">
        <v>22</v>
      </c>
      <c r="G31" s="3" t="s">
        <v>89</v>
      </c>
      <c r="H31" s="3" t="s">
        <v>49</v>
      </c>
      <c r="I31" s="3" t="s">
        <v>7</v>
      </c>
      <c r="J31" s="3" t="s">
        <v>26</v>
      </c>
      <c r="K31" s="3" t="s">
        <v>32</v>
      </c>
      <c r="L31" s="3" t="s">
        <v>150</v>
      </c>
      <c r="M31">
        <v>1</v>
      </c>
    </row>
    <row r="32" spans="1:13" x14ac:dyDescent="0.25">
      <c r="A32" s="1">
        <v>46125</v>
      </c>
      <c r="B32" s="1" t="str">
        <f ca="1">IF(Información1[[#This Row],[Fecha]]='Ajuste de fechas'!$A$2,"Día actual","Día anterior")</f>
        <v>Día anterior</v>
      </c>
      <c r="C32" s="3" t="s">
        <v>55</v>
      </c>
      <c r="D32" t="s">
        <v>56</v>
      </c>
      <c r="E32" s="3" t="s">
        <v>142</v>
      </c>
      <c r="F32" s="3" t="s">
        <v>15</v>
      </c>
      <c r="G32" s="3" t="s">
        <v>95</v>
      </c>
      <c r="H32" s="3" t="s">
        <v>49</v>
      </c>
      <c r="I32" s="3" t="s">
        <v>7</v>
      </c>
      <c r="J32" s="3" t="s">
        <v>149</v>
      </c>
      <c r="K32" s="3" t="s">
        <v>32</v>
      </c>
      <c r="L32" s="3" t="s">
        <v>150</v>
      </c>
      <c r="M32">
        <v>1</v>
      </c>
    </row>
    <row r="33" spans="1:13" x14ac:dyDescent="0.25">
      <c r="A33" s="1">
        <v>46125</v>
      </c>
      <c r="B33" s="1" t="str">
        <f ca="1">IF(Información1[[#This Row],[Fecha]]='Ajuste de fechas'!$A$2,"Día actual","Día anterior")</f>
        <v>Día anterior</v>
      </c>
      <c r="C33" s="3" t="s">
        <v>8</v>
      </c>
      <c r="D33" t="s">
        <v>10</v>
      </c>
      <c r="E33" s="3" t="s">
        <v>159</v>
      </c>
      <c r="F33" s="3" t="s">
        <v>6</v>
      </c>
      <c r="G33" s="3" t="s">
        <v>99</v>
      </c>
      <c r="H33" s="3" t="s">
        <v>11</v>
      </c>
      <c r="I33" s="3" t="s">
        <v>27</v>
      </c>
      <c r="J33" s="3" t="s">
        <v>149</v>
      </c>
      <c r="K33" s="3" t="s">
        <v>9</v>
      </c>
      <c r="L33" s="3" t="s">
        <v>151</v>
      </c>
      <c r="M33">
        <v>1</v>
      </c>
    </row>
    <row r="34" spans="1:13" x14ac:dyDescent="0.25">
      <c r="A34" s="1">
        <v>46125</v>
      </c>
      <c r="B34" s="1" t="str">
        <f ca="1">IF(Información1[[#This Row],[Fecha]]='Ajuste de fechas'!$A$2,"Día actual","Día anterior")</f>
        <v>Día anterior</v>
      </c>
      <c r="C34" s="3" t="s">
        <v>42</v>
      </c>
      <c r="D34" t="s">
        <v>44</v>
      </c>
      <c r="E34" s="3" t="s">
        <v>160</v>
      </c>
      <c r="F34" s="3" t="s">
        <v>26</v>
      </c>
      <c r="G34" s="3" t="s">
        <v>81</v>
      </c>
      <c r="H34" s="3" t="s">
        <v>11</v>
      </c>
      <c r="I34" s="3" t="s">
        <v>7</v>
      </c>
      <c r="J34" s="3" t="s">
        <v>26</v>
      </c>
      <c r="K34" s="3" t="s">
        <v>106</v>
      </c>
      <c r="L34" s="3" t="s">
        <v>150</v>
      </c>
      <c r="M34">
        <v>1</v>
      </c>
    </row>
    <row r="35" spans="1:13" x14ac:dyDescent="0.25">
      <c r="A35" s="1">
        <v>46125</v>
      </c>
      <c r="B35" s="1" t="str">
        <f ca="1">IF(Información1[[#This Row],[Fecha]]='Ajuste de fechas'!$A$2,"Día actual","Día anterior")</f>
        <v>Día anterior</v>
      </c>
      <c r="C35" s="3" t="s">
        <v>42</v>
      </c>
      <c r="D35" t="s">
        <v>45</v>
      </c>
      <c r="E35" s="3" t="s">
        <v>160</v>
      </c>
      <c r="F35" s="3" t="s">
        <v>26</v>
      </c>
      <c r="G35" s="3" t="s">
        <v>81</v>
      </c>
      <c r="H35" s="3" t="s">
        <v>11</v>
      </c>
      <c r="I35" s="3" t="s">
        <v>7</v>
      </c>
      <c r="J35" s="3" t="s">
        <v>26</v>
      </c>
      <c r="K35" s="3" t="s">
        <v>43</v>
      </c>
      <c r="L35" s="3" t="s">
        <v>150</v>
      </c>
      <c r="M35">
        <v>1</v>
      </c>
    </row>
    <row r="36" spans="1:13" x14ac:dyDescent="0.25">
      <c r="A36" s="1">
        <v>46125</v>
      </c>
      <c r="B36" s="1" t="str">
        <f ca="1">IF(Información1[[#This Row],[Fecha]]='Ajuste de fechas'!$A$2,"Día actual","Día anterior")</f>
        <v>Día anterior</v>
      </c>
      <c r="C36" s="3" t="s">
        <v>42</v>
      </c>
      <c r="D36" t="s">
        <v>45</v>
      </c>
      <c r="E36" s="3" t="s">
        <v>161</v>
      </c>
      <c r="F36" s="3" t="s">
        <v>26</v>
      </c>
      <c r="G36" s="3" t="s">
        <v>81</v>
      </c>
      <c r="H36" s="3" t="s">
        <v>11</v>
      </c>
      <c r="I36" s="3" t="s">
        <v>7</v>
      </c>
      <c r="J36" s="3" t="s">
        <v>26</v>
      </c>
      <c r="K36" s="3" t="s">
        <v>43</v>
      </c>
      <c r="L36" s="3" t="s">
        <v>150</v>
      </c>
      <c r="M36">
        <v>1</v>
      </c>
    </row>
    <row r="37" spans="1:13" x14ac:dyDescent="0.25">
      <c r="A37" s="1">
        <v>46125</v>
      </c>
      <c r="B37" s="1" t="str">
        <f ca="1">IF(Información1[[#This Row],[Fecha]]='Ajuste de fechas'!$A$2,"Día actual","Día anterior")</f>
        <v>Día anterior</v>
      </c>
      <c r="C37" s="3" t="s">
        <v>42</v>
      </c>
      <c r="D37" t="s">
        <v>45</v>
      </c>
      <c r="E37" s="3" t="s">
        <v>162</v>
      </c>
      <c r="F37" s="3" t="s">
        <v>19</v>
      </c>
      <c r="G37" s="3" t="s">
        <v>58</v>
      </c>
      <c r="H37" s="3" t="s">
        <v>11</v>
      </c>
      <c r="I37" s="3" t="s">
        <v>7</v>
      </c>
      <c r="J37" s="3" t="s">
        <v>153</v>
      </c>
      <c r="K37" s="3" t="s">
        <v>43</v>
      </c>
      <c r="L37" s="3" t="s">
        <v>150</v>
      </c>
      <c r="M37">
        <v>1</v>
      </c>
    </row>
    <row r="38" spans="1:13" x14ac:dyDescent="0.25">
      <c r="A38" s="1">
        <v>46125</v>
      </c>
      <c r="B38" s="1" t="str">
        <f ca="1">IF(Información1[[#This Row],[Fecha]]='Ajuste de fechas'!$A$2,"Día actual","Día anterior")</f>
        <v>Día anterior</v>
      </c>
      <c r="C38" s="3" t="s">
        <v>8</v>
      </c>
      <c r="D38" t="s">
        <v>10</v>
      </c>
      <c r="E38" s="3" t="s">
        <v>20</v>
      </c>
      <c r="F38" s="3" t="s">
        <v>19</v>
      </c>
      <c r="G38" s="3" t="s">
        <v>104</v>
      </c>
      <c r="H38" s="3" t="s">
        <v>11</v>
      </c>
      <c r="I38" s="3" t="s">
        <v>12</v>
      </c>
      <c r="J38" s="3" t="s">
        <v>153</v>
      </c>
      <c r="K38" s="3" t="s">
        <v>14</v>
      </c>
      <c r="L38" s="3" t="s">
        <v>151</v>
      </c>
      <c r="M38">
        <v>1</v>
      </c>
    </row>
    <row r="39" spans="1:13" x14ac:dyDescent="0.25">
      <c r="A39" s="1">
        <v>46125</v>
      </c>
      <c r="B39" s="1" t="str">
        <f ca="1">IF(Información1[[#This Row],[Fecha]]='Ajuste de fechas'!$A$2,"Día actual","Día anterior")</f>
        <v>Día anterior</v>
      </c>
      <c r="C39" s="3" t="s">
        <v>8</v>
      </c>
      <c r="D39" t="s">
        <v>10</v>
      </c>
      <c r="E39" s="3" t="s">
        <v>18</v>
      </c>
      <c r="F39" s="3" t="s">
        <v>19</v>
      </c>
      <c r="G39" s="3" t="s">
        <v>104</v>
      </c>
      <c r="H39" s="3" t="s">
        <v>11</v>
      </c>
      <c r="I39" s="3" t="s">
        <v>12</v>
      </c>
      <c r="J39" s="3" t="s">
        <v>153</v>
      </c>
      <c r="K39" s="3" t="s">
        <v>14</v>
      </c>
      <c r="L39" s="3" t="s">
        <v>151</v>
      </c>
      <c r="M39">
        <v>1</v>
      </c>
    </row>
    <row r="40" spans="1:13" x14ac:dyDescent="0.25">
      <c r="A40" s="1">
        <v>46125</v>
      </c>
      <c r="B40" s="1" t="str">
        <f ca="1">IF(Información1[[#This Row],[Fecha]]='Ajuste de fechas'!$A$2,"Día actual","Día anterior")</f>
        <v>Día anterior</v>
      </c>
      <c r="C40" s="3" t="s">
        <v>8</v>
      </c>
      <c r="D40" t="s">
        <v>10</v>
      </c>
      <c r="E40" s="3" t="s">
        <v>163</v>
      </c>
      <c r="F40" s="3" t="s">
        <v>21</v>
      </c>
      <c r="G40" s="3" t="s">
        <v>104</v>
      </c>
      <c r="H40" s="3" t="s">
        <v>11</v>
      </c>
      <c r="I40" s="3" t="s">
        <v>12</v>
      </c>
      <c r="J40" s="3" t="s">
        <v>149</v>
      </c>
      <c r="K40" s="3" t="s">
        <v>14</v>
      </c>
      <c r="L40" s="3" t="s">
        <v>151</v>
      </c>
      <c r="M40">
        <v>1</v>
      </c>
    </row>
    <row r="41" spans="1:13" x14ac:dyDescent="0.25">
      <c r="A41" s="1">
        <v>46125</v>
      </c>
      <c r="B41" s="1" t="str">
        <f ca="1">IF(Información1[[#This Row],[Fecha]]='Ajuste de fechas'!$A$2,"Día actual","Día anterior")</f>
        <v>Día anterior</v>
      </c>
      <c r="C41" s="3" t="s">
        <v>8</v>
      </c>
      <c r="D41" t="s">
        <v>10</v>
      </c>
      <c r="E41" s="3" t="s">
        <v>13</v>
      </c>
      <c r="F41" s="3" t="s">
        <v>15</v>
      </c>
      <c r="G41" s="3" t="s">
        <v>104</v>
      </c>
      <c r="H41" s="3" t="s">
        <v>11</v>
      </c>
      <c r="I41" s="3" t="s">
        <v>12</v>
      </c>
      <c r="J41" s="3" t="s">
        <v>149</v>
      </c>
      <c r="K41" s="3" t="s">
        <v>14</v>
      </c>
      <c r="L41" s="3" t="s">
        <v>151</v>
      </c>
      <c r="M41">
        <v>1</v>
      </c>
    </row>
    <row r="42" spans="1:13" x14ac:dyDescent="0.25">
      <c r="A42" s="1">
        <v>46125</v>
      </c>
      <c r="B42" s="1" t="str">
        <f ca="1">IF(Información1[[#This Row],[Fecha]]='Ajuste de fechas'!$A$2,"Día actual","Día anterior")</f>
        <v>Día anterior</v>
      </c>
      <c r="C42" s="3" t="s">
        <v>8</v>
      </c>
      <c r="D42" t="s">
        <v>10</v>
      </c>
      <c r="E42" s="3" t="s">
        <v>16</v>
      </c>
      <c r="F42" s="3" t="s">
        <v>17</v>
      </c>
      <c r="G42" s="3" t="s">
        <v>104</v>
      </c>
      <c r="H42" s="3" t="s">
        <v>11</v>
      </c>
      <c r="I42" s="3" t="s">
        <v>12</v>
      </c>
      <c r="J42" s="3" t="s">
        <v>149</v>
      </c>
      <c r="K42" s="3" t="s">
        <v>14</v>
      </c>
      <c r="L42" s="3" t="s">
        <v>151</v>
      </c>
      <c r="M42">
        <v>1</v>
      </c>
    </row>
    <row r="43" spans="1:13" x14ac:dyDescent="0.25">
      <c r="A43" s="1">
        <v>46125</v>
      </c>
      <c r="B43" s="1" t="str">
        <f ca="1">IF(Información1[[#This Row],[Fecha]]='Ajuste de fechas'!$A$2,"Día actual","Día anterior")</f>
        <v>Día anterior</v>
      </c>
      <c r="C43" s="3" t="s">
        <v>8</v>
      </c>
      <c r="D43" t="s">
        <v>10</v>
      </c>
      <c r="E43" s="3" t="s">
        <v>107</v>
      </c>
      <c r="F43" s="3" t="s">
        <v>6</v>
      </c>
      <c r="G43" s="3" t="s">
        <v>104</v>
      </c>
      <c r="H43" s="3" t="s">
        <v>11</v>
      </c>
      <c r="I43" s="3" t="s">
        <v>12</v>
      </c>
      <c r="J43" s="3" t="s">
        <v>149</v>
      </c>
      <c r="K43" s="3" t="s">
        <v>14</v>
      </c>
      <c r="L43" s="3" t="s">
        <v>151</v>
      </c>
      <c r="M43">
        <v>1</v>
      </c>
    </row>
    <row r="44" spans="1:13" x14ac:dyDescent="0.25">
      <c r="A44" s="1">
        <v>46125</v>
      </c>
      <c r="B44" s="1" t="str">
        <f ca="1">IF(Información1[[#This Row],[Fecha]]='Ajuste de fechas'!$A$2,"Día actual","Día anterior")</f>
        <v>Día anterior</v>
      </c>
      <c r="C44" s="3" t="s">
        <v>42</v>
      </c>
      <c r="D44" t="s">
        <v>44</v>
      </c>
      <c r="E44" s="3" t="s">
        <v>164</v>
      </c>
      <c r="F44" s="3" t="s">
        <v>23</v>
      </c>
      <c r="G44" s="3" t="s">
        <v>165</v>
      </c>
      <c r="H44" s="3" t="s">
        <v>11</v>
      </c>
      <c r="I44" s="3" t="s">
        <v>7</v>
      </c>
      <c r="J44" s="3" t="s">
        <v>154</v>
      </c>
      <c r="K44" s="3" t="s">
        <v>106</v>
      </c>
      <c r="L44" s="3" t="s">
        <v>150</v>
      </c>
      <c r="M44">
        <v>1</v>
      </c>
    </row>
    <row r="45" spans="1:13" x14ac:dyDescent="0.25">
      <c r="A45" s="1">
        <v>46125</v>
      </c>
      <c r="B45" s="1" t="str">
        <f ca="1">IF(Información1[[#This Row],[Fecha]]='Ajuste de fechas'!$A$2,"Día actual","Día anterior")</f>
        <v>Día anterior</v>
      </c>
      <c r="C45" s="3" t="s">
        <v>8</v>
      </c>
      <c r="D45" t="s">
        <v>10</v>
      </c>
      <c r="E45" s="3" t="s">
        <v>166</v>
      </c>
      <c r="F45" s="3" t="s">
        <v>19</v>
      </c>
      <c r="G45" s="3" t="s">
        <v>167</v>
      </c>
      <c r="H45" s="3" t="s">
        <v>11</v>
      </c>
      <c r="I45" s="3" t="s">
        <v>7</v>
      </c>
      <c r="J45" s="3" t="s">
        <v>153</v>
      </c>
      <c r="K45" s="3" t="s">
        <v>9</v>
      </c>
      <c r="L45" s="3" t="s">
        <v>151</v>
      </c>
      <c r="M45">
        <v>1</v>
      </c>
    </row>
    <row r="46" spans="1:13" x14ac:dyDescent="0.25">
      <c r="A46" s="1">
        <v>46125</v>
      </c>
      <c r="B46" s="1" t="str">
        <f ca="1">IF(Información1[[#This Row],[Fecha]]='Ajuste de fechas'!$A$2,"Día actual","Día anterior")</f>
        <v>Día anterior</v>
      </c>
      <c r="C46" s="3" t="s">
        <v>42</v>
      </c>
      <c r="D46" t="s">
        <v>45</v>
      </c>
      <c r="E46" s="3" t="s">
        <v>168</v>
      </c>
      <c r="F46" s="3" t="s">
        <v>15</v>
      </c>
      <c r="G46" s="3" t="s">
        <v>169</v>
      </c>
      <c r="H46" s="3" t="s">
        <v>11</v>
      </c>
      <c r="I46" s="3" t="s">
        <v>7</v>
      </c>
      <c r="J46" s="3" t="s">
        <v>149</v>
      </c>
      <c r="K46" s="3" t="s">
        <v>43</v>
      </c>
      <c r="L46" s="3" t="s">
        <v>150</v>
      </c>
      <c r="M46">
        <v>1</v>
      </c>
    </row>
    <row r="47" spans="1:13" x14ac:dyDescent="0.25">
      <c r="A47" s="1">
        <v>46125</v>
      </c>
      <c r="B47" s="1" t="str">
        <f ca="1">IF(Información1[[#This Row],[Fecha]]='Ajuste de fechas'!$A$2,"Día actual","Día anterior")</f>
        <v>Día anterior</v>
      </c>
      <c r="C47" s="3" t="s">
        <v>42</v>
      </c>
      <c r="D47" t="s">
        <v>45</v>
      </c>
      <c r="E47" s="3" t="s">
        <v>170</v>
      </c>
      <c r="F47" s="3" t="s">
        <v>21</v>
      </c>
      <c r="G47" s="3" t="s">
        <v>171</v>
      </c>
      <c r="H47" s="3" t="s">
        <v>11</v>
      </c>
      <c r="I47" s="3" t="s">
        <v>7</v>
      </c>
      <c r="J47" s="3" t="s">
        <v>149</v>
      </c>
      <c r="K47" s="3" t="s">
        <v>43</v>
      </c>
      <c r="L47" s="3" t="s">
        <v>152</v>
      </c>
      <c r="M47">
        <v>1</v>
      </c>
    </row>
    <row r="48" spans="1:13" x14ac:dyDescent="0.25">
      <c r="A48" s="1">
        <v>46125</v>
      </c>
      <c r="B48" s="1" t="str">
        <f ca="1">IF(Información1[[#This Row],[Fecha]]='Ajuste de fechas'!$A$2,"Día actual","Día anterior")</f>
        <v>Día anterior</v>
      </c>
      <c r="C48" s="3" t="s">
        <v>8</v>
      </c>
      <c r="D48" t="s">
        <v>10</v>
      </c>
      <c r="E48" s="3" t="s">
        <v>172</v>
      </c>
      <c r="F48" s="3" t="s">
        <v>21</v>
      </c>
      <c r="G48" s="3" t="s">
        <v>171</v>
      </c>
      <c r="H48" s="3" t="s">
        <v>11</v>
      </c>
      <c r="I48" s="3" t="s">
        <v>7</v>
      </c>
      <c r="J48" s="3" t="s">
        <v>149</v>
      </c>
      <c r="K48" s="3" t="s">
        <v>14</v>
      </c>
      <c r="L48" s="3" t="s">
        <v>150</v>
      </c>
      <c r="M48">
        <v>1</v>
      </c>
    </row>
    <row r="49" spans="1:13" x14ac:dyDescent="0.25">
      <c r="A49" s="1">
        <v>46125</v>
      </c>
      <c r="B49" s="1" t="str">
        <f ca="1">IF(Información1[[#This Row],[Fecha]]='Ajuste de fechas'!$A$2,"Día actual","Día anterior")</f>
        <v>Día anterior</v>
      </c>
      <c r="C49" s="3" t="s">
        <v>42</v>
      </c>
      <c r="D49" t="s">
        <v>44</v>
      </c>
      <c r="E49" s="3" t="s">
        <v>173</v>
      </c>
      <c r="F49" s="3" t="s">
        <v>28</v>
      </c>
      <c r="G49" s="3" t="s">
        <v>174</v>
      </c>
      <c r="H49" s="3" t="s">
        <v>11</v>
      </c>
      <c r="I49" s="3" t="s">
        <v>7</v>
      </c>
      <c r="J49" s="3" t="s">
        <v>149</v>
      </c>
      <c r="K49" s="3" t="s">
        <v>106</v>
      </c>
      <c r="L49" s="3" t="s">
        <v>150</v>
      </c>
      <c r="M49">
        <v>1</v>
      </c>
    </row>
    <row r="50" spans="1:13" x14ac:dyDescent="0.25">
      <c r="A50" s="1">
        <v>46125</v>
      </c>
      <c r="B50" s="1" t="str">
        <f ca="1">IF(Información1[[#This Row],[Fecha]]='Ajuste de fechas'!$A$2,"Día actual","Día anterior")</f>
        <v>Día anterior</v>
      </c>
      <c r="C50" s="3" t="s">
        <v>8</v>
      </c>
      <c r="D50" t="s">
        <v>10</v>
      </c>
      <c r="E50" s="3" t="s">
        <v>175</v>
      </c>
      <c r="F50" s="3" t="s">
        <v>70</v>
      </c>
      <c r="G50" s="3" t="s">
        <v>176</v>
      </c>
      <c r="H50" s="3" t="s">
        <v>11</v>
      </c>
      <c r="I50" s="3" t="s">
        <v>7</v>
      </c>
      <c r="J50" s="3" t="s">
        <v>149</v>
      </c>
      <c r="K50" s="3" t="s">
        <v>14</v>
      </c>
      <c r="L50" s="3" t="s">
        <v>152</v>
      </c>
      <c r="M50">
        <v>1</v>
      </c>
    </row>
    <row r="51" spans="1:13" x14ac:dyDescent="0.25">
      <c r="A51" s="1">
        <v>46125</v>
      </c>
      <c r="B51" s="1" t="str">
        <f ca="1">IF(Información1[[#This Row],[Fecha]]='Ajuste de fechas'!$A$2,"Día actual","Día anterior")</f>
        <v>Día anterior</v>
      </c>
      <c r="C51" s="3" t="s">
        <v>42</v>
      </c>
      <c r="D51" t="s">
        <v>44</v>
      </c>
      <c r="E51" s="3" t="s">
        <v>177</v>
      </c>
      <c r="F51" s="3" t="s">
        <v>24</v>
      </c>
      <c r="G51" s="3" t="s">
        <v>178</v>
      </c>
      <c r="H51" s="3" t="s">
        <v>11</v>
      </c>
      <c r="I51" s="3" t="s">
        <v>7</v>
      </c>
      <c r="J51" s="3" t="s">
        <v>149</v>
      </c>
      <c r="K51" s="3" t="s">
        <v>106</v>
      </c>
      <c r="L51" s="3" t="s">
        <v>151</v>
      </c>
      <c r="M51">
        <v>1</v>
      </c>
    </row>
    <row r="52" spans="1:13" x14ac:dyDescent="0.25">
      <c r="A52" s="1">
        <v>46125</v>
      </c>
      <c r="B52" s="1" t="str">
        <f ca="1">IF(Información1[[#This Row],[Fecha]]='Ajuste de fechas'!$A$2,"Día actual","Día anterior")</f>
        <v>Día anterior</v>
      </c>
      <c r="C52" s="3" t="s">
        <v>8</v>
      </c>
      <c r="D52" t="s">
        <v>10</v>
      </c>
      <c r="E52" s="3" t="s">
        <v>179</v>
      </c>
      <c r="F52" s="3" t="s">
        <v>23</v>
      </c>
      <c r="G52" s="3" t="s">
        <v>84</v>
      </c>
      <c r="H52" s="3" t="s">
        <v>11</v>
      </c>
      <c r="I52" s="3" t="s">
        <v>7</v>
      </c>
      <c r="J52" s="3" t="s">
        <v>154</v>
      </c>
      <c r="K52" s="3" t="s">
        <v>14</v>
      </c>
      <c r="L52" s="3" t="s">
        <v>150</v>
      </c>
      <c r="M52">
        <v>1</v>
      </c>
    </row>
    <row r="53" spans="1:13" x14ac:dyDescent="0.25">
      <c r="A53" s="1">
        <v>46125</v>
      </c>
      <c r="B53" s="1" t="str">
        <f ca="1">IF(Información1[[#This Row],[Fecha]]='Ajuste de fechas'!$A$2,"Día actual","Día anterior")</f>
        <v>Día anterior</v>
      </c>
      <c r="C53" s="3" t="s">
        <v>38</v>
      </c>
      <c r="D53" t="s">
        <v>40</v>
      </c>
      <c r="E53" s="3" t="s">
        <v>180</v>
      </c>
      <c r="F53" s="3" t="s">
        <v>6</v>
      </c>
      <c r="G53" s="3" t="s">
        <v>181</v>
      </c>
      <c r="H53" s="3" t="s">
        <v>11</v>
      </c>
      <c r="I53" s="3" t="s">
        <v>7</v>
      </c>
      <c r="J53" s="3" t="s">
        <v>149</v>
      </c>
      <c r="K53" s="3" t="s">
        <v>39</v>
      </c>
      <c r="L53" s="3" t="s">
        <v>152</v>
      </c>
      <c r="M53">
        <v>1</v>
      </c>
    </row>
    <row r="54" spans="1:13" x14ac:dyDescent="0.25">
      <c r="A54" s="1">
        <v>46125</v>
      </c>
      <c r="B54" s="1" t="str">
        <f ca="1">IF(Información1[[#This Row],[Fecha]]='Ajuste de fechas'!$A$2,"Día actual","Día anterior")</f>
        <v>Día anterior</v>
      </c>
      <c r="C54" s="3" t="s">
        <v>8</v>
      </c>
      <c r="D54" t="s">
        <v>10</v>
      </c>
      <c r="E54" s="3" t="s">
        <v>182</v>
      </c>
      <c r="F54" s="3" t="s">
        <v>6</v>
      </c>
      <c r="G54" s="3" t="s">
        <v>183</v>
      </c>
      <c r="H54" s="3" t="s">
        <v>11</v>
      </c>
      <c r="I54" s="3" t="s">
        <v>27</v>
      </c>
      <c r="J54" s="3" t="s">
        <v>149</v>
      </c>
      <c r="K54" s="3" t="s">
        <v>9</v>
      </c>
      <c r="L54" s="3" t="s">
        <v>151</v>
      </c>
      <c r="M54">
        <v>1</v>
      </c>
    </row>
    <row r="55" spans="1:13" x14ac:dyDescent="0.25">
      <c r="A55" s="1">
        <v>46125</v>
      </c>
      <c r="B55" s="1" t="str">
        <f ca="1">IF(Información1[[#This Row],[Fecha]]='Ajuste de fechas'!$A$2,"Día actual","Día anterior")</f>
        <v>Día anterior</v>
      </c>
      <c r="C55" s="3" t="s">
        <v>42</v>
      </c>
      <c r="D55" t="s">
        <v>45</v>
      </c>
      <c r="E55" s="3" t="s">
        <v>185</v>
      </c>
      <c r="F55" s="3" t="s">
        <v>59</v>
      </c>
      <c r="G55" s="3" t="s">
        <v>105</v>
      </c>
      <c r="H55" s="3" t="s">
        <v>11</v>
      </c>
      <c r="I55" s="3" t="s">
        <v>7</v>
      </c>
      <c r="J55" s="3" t="s">
        <v>149</v>
      </c>
      <c r="K55" s="3" t="s">
        <v>43</v>
      </c>
      <c r="L55" s="3" t="s">
        <v>150</v>
      </c>
      <c r="M55">
        <v>1</v>
      </c>
    </row>
    <row r="56" spans="1:13" x14ac:dyDescent="0.25">
      <c r="A56" s="1">
        <v>46125</v>
      </c>
      <c r="B56" s="1" t="str">
        <f ca="1">IF(Información1[[#This Row],[Fecha]]='Ajuste de fechas'!$A$2,"Día actual","Día anterior")</f>
        <v>Día anterior</v>
      </c>
      <c r="C56" s="3" t="s">
        <v>42</v>
      </c>
      <c r="D56" t="s">
        <v>45</v>
      </c>
      <c r="E56" s="3" t="s">
        <v>186</v>
      </c>
      <c r="F56" s="3" t="s">
        <v>15</v>
      </c>
      <c r="G56" s="3" t="s">
        <v>102</v>
      </c>
      <c r="H56" s="3" t="s">
        <v>11</v>
      </c>
      <c r="I56" s="3" t="s">
        <v>7</v>
      </c>
      <c r="J56" s="3" t="s">
        <v>149</v>
      </c>
      <c r="K56" s="3" t="s">
        <v>43</v>
      </c>
      <c r="L56" s="3" t="s">
        <v>150</v>
      </c>
      <c r="M56">
        <v>1</v>
      </c>
    </row>
    <row r="57" spans="1:13" x14ac:dyDescent="0.25">
      <c r="A57" s="1">
        <v>46125</v>
      </c>
      <c r="B57" s="1" t="str">
        <f ca="1">IF(Información1[[#This Row],[Fecha]]='Ajuste de fechas'!$A$2,"Día actual","Día anterior")</f>
        <v>Día anterior</v>
      </c>
      <c r="C57" s="3" t="s">
        <v>8</v>
      </c>
      <c r="D57" t="s">
        <v>10</v>
      </c>
      <c r="E57" s="3" t="s">
        <v>187</v>
      </c>
      <c r="F57" s="3" t="s">
        <v>15</v>
      </c>
      <c r="G57" s="3" t="s">
        <v>102</v>
      </c>
      <c r="H57" s="3" t="s">
        <v>11</v>
      </c>
      <c r="I57" s="3" t="s">
        <v>7</v>
      </c>
      <c r="J57" s="3" t="s">
        <v>149</v>
      </c>
      <c r="K57" s="3" t="s">
        <v>14</v>
      </c>
      <c r="L57" s="3" t="s">
        <v>150</v>
      </c>
      <c r="M57">
        <v>1</v>
      </c>
    </row>
    <row r="58" spans="1:13" x14ac:dyDescent="0.25">
      <c r="A58" s="1">
        <v>46125</v>
      </c>
      <c r="B58" s="1" t="str">
        <f ca="1">IF(Información1[[#This Row],[Fecha]]='Ajuste de fechas'!$A$2,"Día actual","Día anterior")</f>
        <v>Día anterior</v>
      </c>
      <c r="C58" s="3" t="s">
        <v>42</v>
      </c>
      <c r="D58" t="s">
        <v>44</v>
      </c>
      <c r="E58" s="3" t="s">
        <v>188</v>
      </c>
      <c r="F58" s="3" t="s">
        <v>19</v>
      </c>
      <c r="G58" s="3" t="s">
        <v>96</v>
      </c>
      <c r="H58" s="3" t="s">
        <v>11</v>
      </c>
      <c r="I58" s="3" t="s">
        <v>27</v>
      </c>
      <c r="J58" s="3" t="s">
        <v>153</v>
      </c>
      <c r="K58" s="3" t="s">
        <v>106</v>
      </c>
      <c r="L58" s="3" t="s">
        <v>150</v>
      </c>
      <c r="M58">
        <v>1</v>
      </c>
    </row>
    <row r="59" spans="1:13" x14ac:dyDescent="0.25">
      <c r="A59" s="1">
        <v>46125</v>
      </c>
      <c r="B59" s="1" t="str">
        <f ca="1">IF(Información1[[#This Row],[Fecha]]='Ajuste de fechas'!$A$2,"Día actual","Día anterior")</f>
        <v>Día anterior</v>
      </c>
      <c r="C59" s="3" t="s">
        <v>42</v>
      </c>
      <c r="D59" t="s">
        <v>45</v>
      </c>
      <c r="E59" s="3" t="s">
        <v>189</v>
      </c>
      <c r="F59" s="3" t="s">
        <v>19</v>
      </c>
      <c r="G59" s="3" t="s">
        <v>96</v>
      </c>
      <c r="H59" s="3" t="s">
        <v>11</v>
      </c>
      <c r="I59" s="3" t="s">
        <v>7</v>
      </c>
      <c r="J59" s="3" t="s">
        <v>153</v>
      </c>
      <c r="K59" s="3" t="s">
        <v>43</v>
      </c>
      <c r="L59" s="3" t="s">
        <v>150</v>
      </c>
      <c r="M59">
        <v>1</v>
      </c>
    </row>
    <row r="60" spans="1:13" x14ac:dyDescent="0.25">
      <c r="A60" s="1">
        <v>46125</v>
      </c>
      <c r="B60" s="1" t="str">
        <f ca="1">IF(Información1[[#This Row],[Fecha]]='Ajuste de fechas'!$A$2,"Día actual","Día anterior")</f>
        <v>Día anterior</v>
      </c>
      <c r="C60" s="3" t="s">
        <v>42</v>
      </c>
      <c r="D60" t="s">
        <v>44</v>
      </c>
      <c r="E60" s="3" t="s">
        <v>190</v>
      </c>
      <c r="F60" s="3" t="s">
        <v>19</v>
      </c>
      <c r="G60" s="3" t="s">
        <v>79</v>
      </c>
      <c r="H60" s="3" t="s">
        <v>11</v>
      </c>
      <c r="I60" s="3" t="s">
        <v>27</v>
      </c>
      <c r="J60" s="3" t="s">
        <v>153</v>
      </c>
      <c r="K60" s="3" t="s">
        <v>106</v>
      </c>
      <c r="L60" s="3" t="s">
        <v>150</v>
      </c>
      <c r="M60">
        <v>1</v>
      </c>
    </row>
    <row r="61" spans="1:13" x14ac:dyDescent="0.25">
      <c r="A61" s="1">
        <v>46125</v>
      </c>
      <c r="B61" s="1" t="str">
        <f ca="1">IF(Información1[[#This Row],[Fecha]]='Ajuste de fechas'!$A$2,"Día actual","Día anterior")</f>
        <v>Día anterior</v>
      </c>
      <c r="C61" s="3" t="s">
        <v>42</v>
      </c>
      <c r="D61" t="s">
        <v>45</v>
      </c>
      <c r="E61" s="3" t="s">
        <v>190</v>
      </c>
      <c r="F61" s="3" t="s">
        <v>19</v>
      </c>
      <c r="G61" s="3" t="s">
        <v>79</v>
      </c>
      <c r="H61" s="3" t="s">
        <v>11</v>
      </c>
      <c r="I61" s="3" t="s">
        <v>7</v>
      </c>
      <c r="J61" s="3" t="s">
        <v>153</v>
      </c>
      <c r="K61" s="3" t="s">
        <v>43</v>
      </c>
      <c r="L61" s="3" t="s">
        <v>150</v>
      </c>
      <c r="M61">
        <v>1</v>
      </c>
    </row>
    <row r="62" spans="1:13" x14ac:dyDescent="0.25">
      <c r="A62" s="1">
        <v>46125</v>
      </c>
      <c r="B62" s="1" t="str">
        <f ca="1">IF(Información1[[#This Row],[Fecha]]='Ajuste de fechas'!$A$2,"Día actual","Día anterior")</f>
        <v>Día anterior</v>
      </c>
      <c r="C62" s="3" t="s">
        <v>42</v>
      </c>
      <c r="D62" t="s">
        <v>44</v>
      </c>
      <c r="E62" s="3" t="s">
        <v>191</v>
      </c>
      <c r="F62" s="3" t="s">
        <v>26</v>
      </c>
      <c r="G62" s="3" t="s">
        <v>192</v>
      </c>
      <c r="H62" s="3" t="s">
        <v>11</v>
      </c>
      <c r="I62" s="3" t="s">
        <v>7</v>
      </c>
      <c r="J62" s="3" t="s">
        <v>26</v>
      </c>
      <c r="K62" s="3" t="s">
        <v>106</v>
      </c>
      <c r="L62" s="3" t="s">
        <v>150</v>
      </c>
      <c r="M62">
        <v>1</v>
      </c>
    </row>
    <row r="63" spans="1:13" x14ac:dyDescent="0.25">
      <c r="A63" s="1">
        <v>46125</v>
      </c>
      <c r="B63" s="1" t="str">
        <f ca="1">IF(Información1[[#This Row],[Fecha]]='Ajuste de fechas'!$A$2,"Día actual","Día anterior")</f>
        <v>Día anterior</v>
      </c>
      <c r="C63" s="3" t="s">
        <v>42</v>
      </c>
      <c r="D63" t="s">
        <v>45</v>
      </c>
      <c r="E63" s="3" t="s">
        <v>191</v>
      </c>
      <c r="F63" s="3" t="s">
        <v>26</v>
      </c>
      <c r="G63" s="3" t="s">
        <v>192</v>
      </c>
      <c r="H63" s="3" t="s">
        <v>11</v>
      </c>
      <c r="I63" s="3" t="s">
        <v>7</v>
      </c>
      <c r="J63" s="3" t="s">
        <v>26</v>
      </c>
      <c r="K63" s="3" t="s">
        <v>43</v>
      </c>
      <c r="L63" s="3" t="s">
        <v>150</v>
      </c>
      <c r="M63">
        <v>1</v>
      </c>
    </row>
    <row r="64" spans="1:13" x14ac:dyDescent="0.25">
      <c r="A64" s="1">
        <v>46125</v>
      </c>
      <c r="B64" s="1" t="str">
        <f ca="1">IF(Información1[[#This Row],[Fecha]]='Ajuste de fechas'!$A$2,"Día actual","Día anterior")</f>
        <v>Día anterior</v>
      </c>
      <c r="C64" s="3" t="s">
        <v>42</v>
      </c>
      <c r="D64" t="s">
        <v>44</v>
      </c>
      <c r="E64" s="3" t="s">
        <v>193</v>
      </c>
      <c r="F64" s="3" t="s">
        <v>25</v>
      </c>
      <c r="G64" s="3" t="s">
        <v>194</v>
      </c>
      <c r="H64" s="3" t="s">
        <v>11</v>
      </c>
      <c r="I64" s="3" t="s">
        <v>7</v>
      </c>
      <c r="J64" s="3" t="s">
        <v>149</v>
      </c>
      <c r="K64" s="3" t="s">
        <v>106</v>
      </c>
      <c r="L64" s="3" t="s">
        <v>150</v>
      </c>
      <c r="M64">
        <v>1</v>
      </c>
    </row>
    <row r="65" spans="1:13" x14ac:dyDescent="0.25">
      <c r="A65" s="1">
        <v>46125</v>
      </c>
      <c r="B65" s="1" t="str">
        <f ca="1">IF(Información1[[#This Row],[Fecha]]='Ajuste de fechas'!$A$2,"Día actual","Día anterior")</f>
        <v>Día anterior</v>
      </c>
      <c r="C65" s="3" t="s">
        <v>42</v>
      </c>
      <c r="D65" t="s">
        <v>44</v>
      </c>
      <c r="E65" s="3" t="s">
        <v>195</v>
      </c>
      <c r="F65" s="3" t="s">
        <v>25</v>
      </c>
      <c r="G65" s="3" t="s">
        <v>194</v>
      </c>
      <c r="H65" s="3" t="s">
        <v>11</v>
      </c>
      <c r="I65" s="3" t="s">
        <v>7</v>
      </c>
      <c r="J65" s="3" t="s">
        <v>149</v>
      </c>
      <c r="K65" s="3" t="s">
        <v>106</v>
      </c>
      <c r="L65" s="3" t="s">
        <v>150</v>
      </c>
      <c r="M65">
        <v>1</v>
      </c>
    </row>
    <row r="66" spans="1:13" x14ac:dyDescent="0.25">
      <c r="A66" s="1">
        <v>46125</v>
      </c>
      <c r="B66" s="1" t="str">
        <f ca="1">IF(Información1[[#This Row],[Fecha]]='Ajuste de fechas'!$A$2,"Día actual","Día anterior")</f>
        <v>Día anterior</v>
      </c>
      <c r="C66" s="3" t="s">
        <v>42</v>
      </c>
      <c r="D66" t="s">
        <v>44</v>
      </c>
      <c r="E66" s="3" t="s">
        <v>196</v>
      </c>
      <c r="F66" s="3" t="s">
        <v>21</v>
      </c>
      <c r="G66" s="3" t="s">
        <v>194</v>
      </c>
      <c r="H66" s="3" t="s">
        <v>11</v>
      </c>
      <c r="I66" s="3" t="s">
        <v>7</v>
      </c>
      <c r="J66" s="3" t="s">
        <v>149</v>
      </c>
      <c r="K66" s="3" t="s">
        <v>106</v>
      </c>
      <c r="L66" s="3" t="s">
        <v>150</v>
      </c>
      <c r="M66">
        <v>1</v>
      </c>
    </row>
    <row r="67" spans="1:13" x14ac:dyDescent="0.25">
      <c r="A67" s="1">
        <v>46125</v>
      </c>
      <c r="B67" s="1" t="str">
        <f ca="1">IF(Información1[[#This Row],[Fecha]]='Ajuste de fechas'!$A$2,"Día actual","Día anterior")</f>
        <v>Día anterior</v>
      </c>
      <c r="C67" s="3" t="s">
        <v>67</v>
      </c>
      <c r="D67" t="s">
        <v>69</v>
      </c>
      <c r="E67" s="3" t="s">
        <v>197</v>
      </c>
      <c r="F67" s="3" t="s">
        <v>17</v>
      </c>
      <c r="G67" s="3" t="s">
        <v>198</v>
      </c>
      <c r="H67" s="3" t="s">
        <v>11</v>
      </c>
      <c r="I67" s="3" t="s">
        <v>7</v>
      </c>
      <c r="J67" s="3" t="s">
        <v>149</v>
      </c>
      <c r="K67" s="3" t="s">
        <v>68</v>
      </c>
      <c r="L67" s="3" t="s">
        <v>150</v>
      </c>
      <c r="M67">
        <v>1</v>
      </c>
    </row>
    <row r="68" spans="1:13" x14ac:dyDescent="0.25">
      <c r="A68" s="1">
        <v>46125</v>
      </c>
      <c r="B68" s="1" t="str">
        <f ca="1">IF(Información1[[#This Row],[Fecha]]='Ajuste de fechas'!$A$2,"Día actual","Día anterior")</f>
        <v>Día anterior</v>
      </c>
      <c r="C68" s="3" t="s">
        <v>42</v>
      </c>
      <c r="D68" t="s">
        <v>45</v>
      </c>
      <c r="E68" s="3" t="s">
        <v>199</v>
      </c>
      <c r="F68" s="3" t="s">
        <v>200</v>
      </c>
      <c r="G68" s="3" t="s">
        <v>109</v>
      </c>
      <c r="H68" s="3" t="s">
        <v>11</v>
      </c>
      <c r="I68" s="3" t="s">
        <v>7</v>
      </c>
      <c r="J68" s="3" t="s">
        <v>149</v>
      </c>
      <c r="K68" s="3" t="s">
        <v>43</v>
      </c>
      <c r="L68" s="3" t="s">
        <v>152</v>
      </c>
      <c r="M68">
        <v>1</v>
      </c>
    </row>
    <row r="69" spans="1:13" x14ac:dyDescent="0.25">
      <c r="A69" s="1">
        <v>46125</v>
      </c>
      <c r="B69" s="1" t="str">
        <f ca="1">IF(Información1[[#This Row],[Fecha]]='Ajuste de fechas'!$A$2,"Día actual","Día anterior")</f>
        <v>Día anterior</v>
      </c>
      <c r="C69" s="3" t="s">
        <v>8</v>
      </c>
      <c r="D69" t="s">
        <v>10</v>
      </c>
      <c r="E69" s="3" t="s">
        <v>201</v>
      </c>
      <c r="F69" s="3" t="s">
        <v>19</v>
      </c>
      <c r="G69" s="3" t="s">
        <v>202</v>
      </c>
      <c r="H69" s="3" t="s">
        <v>11</v>
      </c>
      <c r="I69" s="3" t="s">
        <v>7</v>
      </c>
      <c r="J69" s="3" t="s">
        <v>153</v>
      </c>
      <c r="K69" s="3" t="s">
        <v>9</v>
      </c>
      <c r="L69" s="3" t="s">
        <v>151</v>
      </c>
      <c r="M69">
        <v>1</v>
      </c>
    </row>
    <row r="70" spans="1:13" x14ac:dyDescent="0.25">
      <c r="A70" s="1">
        <v>46125</v>
      </c>
      <c r="B70" s="1" t="str">
        <f ca="1">IF(Información1[[#This Row],[Fecha]]='Ajuste de fechas'!$A$2,"Día actual","Día anterior")</f>
        <v>Día anterior</v>
      </c>
      <c r="C70" s="3" t="s">
        <v>8</v>
      </c>
      <c r="D70" t="s">
        <v>10</v>
      </c>
      <c r="E70" s="3" t="s">
        <v>203</v>
      </c>
      <c r="F70" s="3" t="s">
        <v>23</v>
      </c>
      <c r="G70" s="3" t="s">
        <v>204</v>
      </c>
      <c r="H70" s="3" t="s">
        <v>11</v>
      </c>
      <c r="I70" s="3" t="s">
        <v>7</v>
      </c>
      <c r="J70" s="3" t="s">
        <v>154</v>
      </c>
      <c r="K70" s="3" t="s">
        <v>14</v>
      </c>
      <c r="L70" s="3" t="s">
        <v>150</v>
      </c>
      <c r="M70">
        <v>1</v>
      </c>
    </row>
    <row r="71" spans="1:13" x14ac:dyDescent="0.25">
      <c r="A71" s="1">
        <v>46125</v>
      </c>
      <c r="B71" s="1" t="str">
        <f ca="1">IF(Información1[[#This Row],[Fecha]]='Ajuste de fechas'!$A$2,"Día actual","Día anterior")</f>
        <v>Día anterior</v>
      </c>
      <c r="C71" s="3" t="s">
        <v>42</v>
      </c>
      <c r="D71" t="s">
        <v>44</v>
      </c>
      <c r="E71" s="3" t="s">
        <v>205</v>
      </c>
      <c r="F71" s="3" t="s">
        <v>19</v>
      </c>
      <c r="G71" s="3" t="s">
        <v>78</v>
      </c>
      <c r="H71" s="3" t="s">
        <v>11</v>
      </c>
      <c r="I71" s="3" t="s">
        <v>27</v>
      </c>
      <c r="J71" s="3" t="s">
        <v>153</v>
      </c>
      <c r="K71" s="3" t="s">
        <v>106</v>
      </c>
      <c r="L71" s="3" t="s">
        <v>150</v>
      </c>
      <c r="M71">
        <v>1</v>
      </c>
    </row>
    <row r="72" spans="1:13" x14ac:dyDescent="0.25">
      <c r="A72" s="1">
        <v>46125</v>
      </c>
      <c r="B72" s="1" t="str">
        <f ca="1">IF(Información1[[#This Row],[Fecha]]='Ajuste de fechas'!$A$2,"Día actual","Día anterior")</f>
        <v>Día anterior</v>
      </c>
      <c r="C72" s="3" t="s">
        <v>8</v>
      </c>
      <c r="D72" t="s">
        <v>10</v>
      </c>
      <c r="E72" s="3" t="s">
        <v>206</v>
      </c>
      <c r="F72" s="3" t="s">
        <v>17</v>
      </c>
      <c r="G72" s="3" t="s">
        <v>207</v>
      </c>
      <c r="H72" s="3" t="s">
        <v>11</v>
      </c>
      <c r="I72" s="3" t="s">
        <v>27</v>
      </c>
      <c r="J72" s="3" t="s">
        <v>149</v>
      </c>
      <c r="K72" s="3" t="s">
        <v>9</v>
      </c>
      <c r="L72" s="3" t="s">
        <v>151</v>
      </c>
      <c r="M72">
        <v>1</v>
      </c>
    </row>
    <row r="73" spans="1:13" x14ac:dyDescent="0.25">
      <c r="A73" s="1">
        <v>46125</v>
      </c>
      <c r="B73" s="1" t="str">
        <f ca="1">IF(Información1[[#This Row],[Fecha]]='Ajuste de fechas'!$A$2,"Día actual","Día anterior")</f>
        <v>Día anterior</v>
      </c>
      <c r="C73" s="3" t="s">
        <v>8</v>
      </c>
      <c r="D73" t="s">
        <v>10</v>
      </c>
      <c r="E73" s="3" t="s">
        <v>208</v>
      </c>
      <c r="F73" s="3" t="s">
        <v>17</v>
      </c>
      <c r="G73" s="3" t="s">
        <v>207</v>
      </c>
      <c r="H73" s="3" t="s">
        <v>11</v>
      </c>
      <c r="I73" s="3" t="s">
        <v>27</v>
      </c>
      <c r="J73" s="3" t="s">
        <v>149</v>
      </c>
      <c r="K73" s="3" t="s">
        <v>9</v>
      </c>
      <c r="L73" s="3" t="s">
        <v>151</v>
      </c>
      <c r="M73">
        <v>1</v>
      </c>
    </row>
    <row r="74" spans="1:13" x14ac:dyDescent="0.25">
      <c r="A74" s="1">
        <v>46125</v>
      </c>
      <c r="B74" s="1" t="str">
        <f ca="1">IF(Información1[[#This Row],[Fecha]]='Ajuste de fechas'!$A$2,"Día actual","Día anterior")</f>
        <v>Día anterior</v>
      </c>
      <c r="C74" s="3" t="s">
        <v>8</v>
      </c>
      <c r="D74" t="s">
        <v>10</v>
      </c>
      <c r="E74" s="3" t="s">
        <v>209</v>
      </c>
      <c r="F74" s="3" t="s">
        <v>17</v>
      </c>
      <c r="G74" s="3" t="s">
        <v>207</v>
      </c>
      <c r="H74" s="3" t="s">
        <v>11</v>
      </c>
      <c r="I74" s="3" t="s">
        <v>27</v>
      </c>
      <c r="J74" s="3" t="s">
        <v>149</v>
      </c>
      <c r="K74" s="3" t="s">
        <v>9</v>
      </c>
      <c r="L74" s="3" t="s">
        <v>151</v>
      </c>
      <c r="M74">
        <v>1</v>
      </c>
    </row>
    <row r="75" spans="1:13" x14ac:dyDescent="0.25">
      <c r="A75" s="1">
        <v>46125</v>
      </c>
      <c r="B75" s="1" t="str">
        <f ca="1">IF(Información1[[#This Row],[Fecha]]='Ajuste de fechas'!$A$2,"Día actual","Día anterior")</f>
        <v>Día anterior</v>
      </c>
      <c r="C75" s="3" t="s">
        <v>8</v>
      </c>
      <c r="D75" t="s">
        <v>10</v>
      </c>
      <c r="E75" s="3" t="s">
        <v>210</v>
      </c>
      <c r="F75" s="3" t="s">
        <v>17</v>
      </c>
      <c r="G75" s="3" t="s">
        <v>207</v>
      </c>
      <c r="H75" s="3" t="s">
        <v>11</v>
      </c>
      <c r="I75" s="3" t="s">
        <v>27</v>
      </c>
      <c r="J75" s="3" t="s">
        <v>149</v>
      </c>
      <c r="K75" s="3" t="s">
        <v>9</v>
      </c>
      <c r="L75" s="3" t="s">
        <v>151</v>
      </c>
      <c r="M75">
        <v>1</v>
      </c>
    </row>
    <row r="76" spans="1:13" x14ac:dyDescent="0.25">
      <c r="A76" s="1">
        <v>46125</v>
      </c>
      <c r="B76" s="1" t="str">
        <f ca="1">IF(Información1[[#This Row],[Fecha]]='Ajuste de fechas'!$A$2,"Día actual","Día anterior")</f>
        <v>Día anterior</v>
      </c>
      <c r="C76" s="3" t="s">
        <v>42</v>
      </c>
      <c r="D76" t="s">
        <v>45</v>
      </c>
      <c r="E76" s="3" t="s">
        <v>211</v>
      </c>
      <c r="F76" s="3" t="s">
        <v>21</v>
      </c>
      <c r="G76" s="3" t="s">
        <v>33</v>
      </c>
      <c r="H76" s="3" t="s">
        <v>11</v>
      </c>
      <c r="I76" s="3" t="s">
        <v>7</v>
      </c>
      <c r="J76" s="3" t="s">
        <v>149</v>
      </c>
      <c r="K76" s="3" t="s">
        <v>43</v>
      </c>
      <c r="L76" s="3" t="s">
        <v>152</v>
      </c>
      <c r="M76">
        <v>1</v>
      </c>
    </row>
    <row r="77" spans="1:13" x14ac:dyDescent="0.25">
      <c r="A77" s="1">
        <v>46125</v>
      </c>
      <c r="B77" s="1" t="str">
        <f ca="1">IF(Información1[[#This Row],[Fecha]]='Ajuste de fechas'!$A$2,"Día actual","Día anterior")</f>
        <v>Día anterior</v>
      </c>
      <c r="C77" s="3" t="s">
        <v>42</v>
      </c>
      <c r="D77" t="s">
        <v>44</v>
      </c>
      <c r="E77" s="3" t="s">
        <v>212</v>
      </c>
      <c r="F77" s="3" t="s">
        <v>24</v>
      </c>
      <c r="G77" s="3" t="s">
        <v>93</v>
      </c>
      <c r="H77" s="3" t="s">
        <v>11</v>
      </c>
      <c r="I77" s="3" t="s">
        <v>7</v>
      </c>
      <c r="J77" s="3" t="s">
        <v>149</v>
      </c>
      <c r="K77" s="3" t="s">
        <v>106</v>
      </c>
      <c r="L77" s="3" t="s">
        <v>152</v>
      </c>
      <c r="M77">
        <v>1</v>
      </c>
    </row>
    <row r="78" spans="1:13" x14ac:dyDescent="0.25">
      <c r="A78" s="1">
        <v>46125</v>
      </c>
      <c r="B78" s="1" t="str">
        <f ca="1">IF(Información1[[#This Row],[Fecha]]='Ajuste de fechas'!$A$2,"Día actual","Día anterior")</f>
        <v>Día anterior</v>
      </c>
      <c r="C78" s="3" t="s">
        <v>42</v>
      </c>
      <c r="D78" t="s">
        <v>45</v>
      </c>
      <c r="E78" s="3" t="s">
        <v>213</v>
      </c>
      <c r="F78" s="3" t="s">
        <v>24</v>
      </c>
      <c r="G78" s="3" t="s">
        <v>93</v>
      </c>
      <c r="H78" s="3" t="s">
        <v>11</v>
      </c>
      <c r="I78" s="3" t="s">
        <v>7</v>
      </c>
      <c r="J78" s="3" t="s">
        <v>149</v>
      </c>
      <c r="K78" s="3" t="s">
        <v>43</v>
      </c>
      <c r="L78" s="3" t="s">
        <v>150</v>
      </c>
      <c r="M78">
        <v>1</v>
      </c>
    </row>
    <row r="79" spans="1:13" x14ac:dyDescent="0.25">
      <c r="A79" s="1">
        <v>46125</v>
      </c>
      <c r="B79" s="1" t="str">
        <f ca="1">IF(Información1[[#This Row],[Fecha]]='Ajuste de fechas'!$A$2,"Día actual","Día anterior")</f>
        <v>Día anterior</v>
      </c>
      <c r="C79" s="3" t="s">
        <v>42</v>
      </c>
      <c r="D79" t="s">
        <v>45</v>
      </c>
      <c r="E79" s="3" t="s">
        <v>214</v>
      </c>
      <c r="F79" s="3" t="s">
        <v>19</v>
      </c>
      <c r="G79" s="3" t="s">
        <v>215</v>
      </c>
      <c r="H79" s="3" t="s">
        <v>11</v>
      </c>
      <c r="I79" s="3" t="s">
        <v>27</v>
      </c>
      <c r="J79" s="3" t="s">
        <v>153</v>
      </c>
      <c r="K79" s="3" t="s">
        <v>43</v>
      </c>
      <c r="L79" s="3" t="s">
        <v>150</v>
      </c>
      <c r="M79">
        <v>2</v>
      </c>
    </row>
    <row r="80" spans="1:13" x14ac:dyDescent="0.25">
      <c r="A80" s="1">
        <v>46125</v>
      </c>
      <c r="B80" s="1" t="str">
        <f ca="1">IF(Información1[[#This Row],[Fecha]]='Ajuste de fechas'!$A$2,"Día actual","Día anterior")</f>
        <v>Día anterior</v>
      </c>
      <c r="C80" s="3" t="s">
        <v>8</v>
      </c>
      <c r="D80" t="s">
        <v>10</v>
      </c>
      <c r="E80" s="3" t="s">
        <v>216</v>
      </c>
      <c r="F80" s="3" t="s">
        <v>66</v>
      </c>
      <c r="G80" s="3" t="s">
        <v>98</v>
      </c>
      <c r="H80" s="3" t="s">
        <v>11</v>
      </c>
      <c r="I80" s="3" t="s">
        <v>7</v>
      </c>
      <c r="J80" s="3" t="s">
        <v>26</v>
      </c>
      <c r="K80" s="3" t="s">
        <v>14</v>
      </c>
      <c r="L80" s="3" t="s">
        <v>150</v>
      </c>
      <c r="M80">
        <v>1</v>
      </c>
    </row>
    <row r="81" spans="1:13" x14ac:dyDescent="0.25">
      <c r="A81" s="1">
        <v>46125</v>
      </c>
      <c r="B81" s="1" t="str">
        <f ca="1">IF(Información1[[#This Row],[Fecha]]='Ajuste de fechas'!$A$2,"Día actual","Día anterior")</f>
        <v>Día anterior</v>
      </c>
      <c r="C81" s="3" t="s">
        <v>8</v>
      </c>
      <c r="D81" t="s">
        <v>10</v>
      </c>
      <c r="E81" s="3" t="s">
        <v>217</v>
      </c>
      <c r="F81" s="3" t="s">
        <v>25</v>
      </c>
      <c r="G81" s="3" t="s">
        <v>77</v>
      </c>
      <c r="H81" s="3" t="s">
        <v>11</v>
      </c>
      <c r="I81" s="3" t="s">
        <v>7</v>
      </c>
      <c r="J81" s="3" t="s">
        <v>149</v>
      </c>
      <c r="K81" s="3" t="s">
        <v>14</v>
      </c>
      <c r="L81" s="3" t="s">
        <v>150</v>
      </c>
      <c r="M81">
        <v>1</v>
      </c>
    </row>
    <row r="82" spans="1:13" x14ac:dyDescent="0.25">
      <c r="A82" s="1">
        <v>46125</v>
      </c>
      <c r="B82" s="1" t="str">
        <f ca="1">IF(Información1[[#This Row],[Fecha]]='Ajuste de fechas'!$A$2,"Día actual","Día anterior")</f>
        <v>Día anterior</v>
      </c>
      <c r="C82" s="3" t="s">
        <v>42</v>
      </c>
      <c r="D82" t="s">
        <v>44</v>
      </c>
      <c r="E82" s="3" t="s">
        <v>218</v>
      </c>
      <c r="F82" s="3" t="s">
        <v>22</v>
      </c>
      <c r="G82" s="3" t="s">
        <v>219</v>
      </c>
      <c r="H82" s="3" t="s">
        <v>11</v>
      </c>
      <c r="I82" s="3" t="s">
        <v>7</v>
      </c>
      <c r="J82" s="3" t="s">
        <v>26</v>
      </c>
      <c r="K82" s="3" t="s">
        <v>106</v>
      </c>
      <c r="L82" s="3" t="s">
        <v>150</v>
      </c>
      <c r="M82">
        <v>1</v>
      </c>
    </row>
    <row r="83" spans="1:13" x14ac:dyDescent="0.25">
      <c r="A83" s="1">
        <v>46125</v>
      </c>
      <c r="B83" s="1" t="str">
        <f ca="1">IF(Información1[[#This Row],[Fecha]]='Ajuste de fechas'!$A$2,"Día actual","Día anterior")</f>
        <v>Día anterior</v>
      </c>
      <c r="C83" s="3" t="s">
        <v>42</v>
      </c>
      <c r="D83" t="s">
        <v>45</v>
      </c>
      <c r="E83" s="3" t="s">
        <v>218</v>
      </c>
      <c r="F83" s="3" t="s">
        <v>22</v>
      </c>
      <c r="G83" s="3" t="s">
        <v>219</v>
      </c>
      <c r="H83" s="3" t="s">
        <v>11</v>
      </c>
      <c r="I83" s="3" t="s">
        <v>7</v>
      </c>
      <c r="J83" s="3" t="s">
        <v>26</v>
      </c>
      <c r="K83" s="3" t="s">
        <v>43</v>
      </c>
      <c r="L83" s="3" t="s">
        <v>150</v>
      </c>
      <c r="M83">
        <v>1</v>
      </c>
    </row>
    <row r="84" spans="1:13" x14ac:dyDescent="0.25">
      <c r="A84" s="1">
        <v>46125</v>
      </c>
      <c r="B84" s="1" t="str">
        <f ca="1">IF(Información1[[#This Row],[Fecha]]='Ajuste de fechas'!$A$2,"Día actual","Día anterior")</f>
        <v>Día anterior</v>
      </c>
      <c r="C84" s="3" t="s">
        <v>38</v>
      </c>
      <c r="D84" t="s">
        <v>40</v>
      </c>
      <c r="E84" s="3" t="s">
        <v>220</v>
      </c>
      <c r="F84" s="3" t="s">
        <v>28</v>
      </c>
      <c r="G84" s="3" t="s">
        <v>34</v>
      </c>
      <c r="H84" s="3" t="s">
        <v>11</v>
      </c>
      <c r="I84" s="3" t="s">
        <v>7</v>
      </c>
      <c r="J84" s="3" t="s">
        <v>149</v>
      </c>
      <c r="K84" s="3" t="s">
        <v>39</v>
      </c>
      <c r="L84" s="3" t="s">
        <v>152</v>
      </c>
      <c r="M84">
        <v>1</v>
      </c>
    </row>
    <row r="85" spans="1:13" x14ac:dyDescent="0.25">
      <c r="A85" s="1">
        <v>46125</v>
      </c>
      <c r="B85" s="1" t="str">
        <f ca="1">IF(Información1[[#This Row],[Fecha]]='Ajuste de fechas'!$A$2,"Día actual","Día anterior")</f>
        <v>Día anterior</v>
      </c>
      <c r="C85" s="3" t="s">
        <v>42</v>
      </c>
      <c r="D85" t="s">
        <v>45</v>
      </c>
      <c r="E85" s="3" t="s">
        <v>220</v>
      </c>
      <c r="F85" s="3" t="s">
        <v>28</v>
      </c>
      <c r="G85" s="3" t="s">
        <v>34</v>
      </c>
      <c r="H85" s="3" t="s">
        <v>11</v>
      </c>
      <c r="I85" s="3" t="s">
        <v>7</v>
      </c>
      <c r="J85" s="3" t="s">
        <v>149</v>
      </c>
      <c r="K85" s="3" t="s">
        <v>43</v>
      </c>
      <c r="L85" s="3" t="s">
        <v>152</v>
      </c>
      <c r="M85">
        <v>1</v>
      </c>
    </row>
    <row r="86" spans="1:13" x14ac:dyDescent="0.25">
      <c r="A86" s="1">
        <v>46125</v>
      </c>
      <c r="B86" s="1" t="str">
        <f ca="1">IF(Información1[[#This Row],[Fecha]]='Ajuste de fechas'!$A$2,"Día actual","Día anterior")</f>
        <v>Día anterior</v>
      </c>
      <c r="C86" s="3" t="s">
        <v>38</v>
      </c>
      <c r="D86" t="s">
        <v>40</v>
      </c>
      <c r="E86" s="3" t="s">
        <v>221</v>
      </c>
      <c r="F86" s="3" t="s">
        <v>184</v>
      </c>
      <c r="G86" s="3" t="s">
        <v>222</v>
      </c>
      <c r="H86" s="3" t="s">
        <v>11</v>
      </c>
      <c r="I86" s="3" t="s">
        <v>7</v>
      </c>
      <c r="J86" s="3" t="s">
        <v>149</v>
      </c>
      <c r="K86" s="3" t="s">
        <v>39</v>
      </c>
      <c r="L86" s="3" t="s">
        <v>152</v>
      </c>
      <c r="M86">
        <v>1</v>
      </c>
    </row>
    <row r="87" spans="1:13" x14ac:dyDescent="0.25">
      <c r="A87" s="1">
        <v>46125</v>
      </c>
      <c r="B87" s="1" t="str">
        <f ca="1">IF(Información1[[#This Row],[Fecha]]='Ajuste de fechas'!$A$2,"Día actual","Día anterior")</f>
        <v>Día anterior</v>
      </c>
      <c r="C87" s="3" t="s">
        <v>8</v>
      </c>
      <c r="D87" t="s">
        <v>10</v>
      </c>
      <c r="E87" s="3" t="s">
        <v>223</v>
      </c>
      <c r="F87" s="3" t="s">
        <v>6</v>
      </c>
      <c r="G87" s="3" t="s">
        <v>224</v>
      </c>
      <c r="H87" s="3" t="s">
        <v>11</v>
      </c>
      <c r="I87" s="3" t="s">
        <v>27</v>
      </c>
      <c r="J87" s="3" t="s">
        <v>149</v>
      </c>
      <c r="K87" s="3" t="s">
        <v>9</v>
      </c>
      <c r="L87" s="3" t="s">
        <v>151</v>
      </c>
      <c r="M87">
        <v>1</v>
      </c>
    </row>
    <row r="88" spans="1:13" x14ac:dyDescent="0.25">
      <c r="A88" s="1">
        <v>46125</v>
      </c>
      <c r="B88" s="1" t="str">
        <f ca="1">IF(Información1[[#This Row],[Fecha]]='Ajuste de fechas'!$A$2,"Día actual","Día anterior")</f>
        <v>Día anterior</v>
      </c>
      <c r="C88" s="3" t="s">
        <v>62</v>
      </c>
      <c r="D88" t="s">
        <v>65</v>
      </c>
      <c r="E88" s="3" t="s">
        <v>225</v>
      </c>
      <c r="F88" s="3" t="s">
        <v>26</v>
      </c>
      <c r="G88" s="3" t="s">
        <v>226</v>
      </c>
      <c r="H88" s="3" t="s">
        <v>11</v>
      </c>
      <c r="I88" s="3" t="s">
        <v>7</v>
      </c>
      <c r="J88" s="3" t="s">
        <v>26</v>
      </c>
      <c r="K88" s="3" t="s">
        <v>63</v>
      </c>
      <c r="L88" s="3" t="s">
        <v>150</v>
      </c>
      <c r="M88">
        <v>1</v>
      </c>
    </row>
    <row r="89" spans="1:13" x14ac:dyDescent="0.25">
      <c r="A89" s="1">
        <v>46125</v>
      </c>
      <c r="B89" s="1" t="str">
        <f ca="1">IF(Información1[[#This Row],[Fecha]]='Ajuste de fechas'!$A$2,"Día actual","Día anterior")</f>
        <v>Día anterior</v>
      </c>
      <c r="C89" s="3" t="s">
        <v>62</v>
      </c>
      <c r="D89" t="s">
        <v>65</v>
      </c>
      <c r="E89" s="3" t="s">
        <v>227</v>
      </c>
      <c r="F89" s="3" t="s">
        <v>23</v>
      </c>
      <c r="G89" s="3" t="s">
        <v>165</v>
      </c>
      <c r="H89" s="3" t="s">
        <v>11</v>
      </c>
      <c r="I89" s="3" t="s">
        <v>7</v>
      </c>
      <c r="J89" s="3" t="s">
        <v>154</v>
      </c>
      <c r="K89" s="3" t="s">
        <v>63</v>
      </c>
      <c r="L89" s="3" t="s">
        <v>150</v>
      </c>
      <c r="M89">
        <v>1</v>
      </c>
    </row>
    <row r="90" spans="1:13" x14ac:dyDescent="0.25">
      <c r="A90" s="1">
        <v>46125</v>
      </c>
      <c r="B90" s="1" t="str">
        <f ca="1">IF(Información1[[#This Row],[Fecha]]='Ajuste de fechas'!$A$2,"Día actual","Día anterior")</f>
        <v>Día anterior</v>
      </c>
      <c r="C90" s="3" t="s">
        <v>62</v>
      </c>
      <c r="D90" t="s">
        <v>65</v>
      </c>
      <c r="E90" s="3" t="s">
        <v>228</v>
      </c>
      <c r="F90" s="3" t="s">
        <v>19</v>
      </c>
      <c r="G90" s="3" t="s">
        <v>229</v>
      </c>
      <c r="H90" s="3" t="s">
        <v>11</v>
      </c>
      <c r="I90" s="3" t="s">
        <v>7</v>
      </c>
      <c r="J90" s="3" t="s">
        <v>153</v>
      </c>
      <c r="K90" s="3" t="s">
        <v>63</v>
      </c>
      <c r="L90" s="3" t="s">
        <v>150</v>
      </c>
      <c r="M90">
        <v>1</v>
      </c>
    </row>
    <row r="91" spans="1:13" x14ac:dyDescent="0.25">
      <c r="A91" s="1">
        <v>46125</v>
      </c>
      <c r="B91" s="1" t="str">
        <f ca="1">IF(Información1[[#This Row],[Fecha]]='Ajuste de fechas'!$A$2,"Día actual","Día anterior")</f>
        <v>Día anterior</v>
      </c>
      <c r="C91" s="3" t="s">
        <v>62</v>
      </c>
      <c r="D91" t="s">
        <v>65</v>
      </c>
      <c r="E91" s="3" t="s">
        <v>230</v>
      </c>
      <c r="F91" s="3" t="s">
        <v>19</v>
      </c>
      <c r="G91" s="3" t="s">
        <v>54</v>
      </c>
      <c r="H91" s="3" t="s">
        <v>11</v>
      </c>
      <c r="I91" s="3" t="s">
        <v>7</v>
      </c>
      <c r="J91" s="3" t="s">
        <v>153</v>
      </c>
      <c r="K91" s="3" t="s">
        <v>63</v>
      </c>
      <c r="L91" s="3" t="s">
        <v>150</v>
      </c>
      <c r="M91">
        <v>1</v>
      </c>
    </row>
    <row r="92" spans="1:13" x14ac:dyDescent="0.25">
      <c r="A92" s="1">
        <v>46125</v>
      </c>
      <c r="B92" s="1" t="str">
        <f ca="1">IF(Información1[[#This Row],[Fecha]]='Ajuste de fechas'!$A$2,"Día actual","Día anterior")</f>
        <v>Día anterior</v>
      </c>
      <c r="C92" s="3" t="s">
        <v>62</v>
      </c>
      <c r="D92" t="s">
        <v>65</v>
      </c>
      <c r="E92" s="3" t="s">
        <v>231</v>
      </c>
      <c r="F92" s="3" t="s">
        <v>19</v>
      </c>
      <c r="G92" s="3" t="s">
        <v>192</v>
      </c>
      <c r="H92" s="3" t="s">
        <v>11</v>
      </c>
      <c r="I92" s="3" t="s">
        <v>7</v>
      </c>
      <c r="J92" s="3" t="s">
        <v>153</v>
      </c>
      <c r="K92" s="3" t="s">
        <v>63</v>
      </c>
      <c r="L92" s="3" t="s">
        <v>150</v>
      </c>
      <c r="M92">
        <v>1</v>
      </c>
    </row>
    <row r="93" spans="1:13" x14ac:dyDescent="0.25">
      <c r="A93" s="1">
        <v>46125</v>
      </c>
      <c r="B93" s="1" t="str">
        <f ca="1">IF(Información1[[#This Row],[Fecha]]='Ajuste de fechas'!$A$2,"Día actual","Día anterior")</f>
        <v>Día anterior</v>
      </c>
      <c r="C93" s="3" t="s">
        <v>62</v>
      </c>
      <c r="D93" t="s">
        <v>65</v>
      </c>
      <c r="E93" s="3" t="s">
        <v>232</v>
      </c>
      <c r="F93" s="3" t="s">
        <v>19</v>
      </c>
      <c r="G93" s="3" t="s">
        <v>79</v>
      </c>
      <c r="H93" s="3" t="s">
        <v>11</v>
      </c>
      <c r="I93" s="3" t="s">
        <v>7</v>
      </c>
      <c r="J93" s="3" t="s">
        <v>153</v>
      </c>
      <c r="K93" s="3" t="s">
        <v>63</v>
      </c>
      <c r="L93" s="3" t="s">
        <v>150</v>
      </c>
      <c r="M93">
        <v>1</v>
      </c>
    </row>
    <row r="94" spans="1:13" x14ac:dyDescent="0.25">
      <c r="A94" s="1">
        <v>46125</v>
      </c>
      <c r="B94" s="1" t="str">
        <f ca="1">IF(Información1[[#This Row],[Fecha]]='Ajuste de fechas'!$A$2,"Día actual","Día anterior")</f>
        <v>Día anterior</v>
      </c>
      <c r="C94" s="3" t="s">
        <v>62</v>
      </c>
      <c r="D94" t="s">
        <v>65</v>
      </c>
      <c r="E94" s="3" t="s">
        <v>233</v>
      </c>
      <c r="F94" s="3" t="s">
        <v>19</v>
      </c>
      <c r="G94" s="3" t="s">
        <v>234</v>
      </c>
      <c r="H94" s="3" t="s">
        <v>11</v>
      </c>
      <c r="I94" s="3" t="s">
        <v>7</v>
      </c>
      <c r="J94" s="3" t="s">
        <v>153</v>
      </c>
      <c r="K94" s="3" t="s">
        <v>63</v>
      </c>
      <c r="L94" s="3" t="s">
        <v>150</v>
      </c>
      <c r="M94">
        <v>1</v>
      </c>
    </row>
    <row r="95" spans="1:13" x14ac:dyDescent="0.25">
      <c r="A95" s="1">
        <v>46125</v>
      </c>
      <c r="B95" s="1" t="str">
        <f ca="1">IF(Información1[[#This Row],[Fecha]]='Ajuste de fechas'!$A$2,"Día actual","Día anterior")</f>
        <v>Día anterior</v>
      </c>
      <c r="C95" s="3" t="s">
        <v>62</v>
      </c>
      <c r="D95" t="s">
        <v>65</v>
      </c>
      <c r="E95" s="3" t="s">
        <v>235</v>
      </c>
      <c r="F95" s="3" t="s">
        <v>24</v>
      </c>
      <c r="G95" s="3" t="s">
        <v>81</v>
      </c>
      <c r="H95" s="3" t="s">
        <v>11</v>
      </c>
      <c r="I95" s="3" t="s">
        <v>7</v>
      </c>
      <c r="J95" s="3" t="s">
        <v>149</v>
      </c>
      <c r="K95" s="3" t="s">
        <v>63</v>
      </c>
      <c r="L95" s="3" t="s">
        <v>150</v>
      </c>
      <c r="M95">
        <v>1</v>
      </c>
    </row>
    <row r="96" spans="1:13" x14ac:dyDescent="0.25">
      <c r="A96" s="1">
        <v>46125</v>
      </c>
      <c r="B96" s="1" t="str">
        <f ca="1">IF(Información1[[#This Row],[Fecha]]='Ajuste de fechas'!$A$2,"Día actual","Día anterior")</f>
        <v>Día anterior</v>
      </c>
      <c r="C96" s="3" t="s">
        <v>62</v>
      </c>
      <c r="D96" t="s">
        <v>65</v>
      </c>
      <c r="E96" s="3" t="s">
        <v>236</v>
      </c>
      <c r="F96" s="3" t="s">
        <v>15</v>
      </c>
      <c r="G96" s="3" t="s">
        <v>237</v>
      </c>
      <c r="H96" s="3" t="s">
        <v>11</v>
      </c>
      <c r="I96" s="3" t="s">
        <v>7</v>
      </c>
      <c r="J96" s="3" t="s">
        <v>149</v>
      </c>
      <c r="K96" s="3" t="s">
        <v>63</v>
      </c>
      <c r="L96" s="3" t="s">
        <v>150</v>
      </c>
      <c r="M96">
        <v>1</v>
      </c>
    </row>
    <row r="97" spans="1:13" x14ac:dyDescent="0.25">
      <c r="A97" s="1">
        <v>46125</v>
      </c>
      <c r="B97" s="1" t="str">
        <f ca="1">IF(Información1[[#This Row],[Fecha]]='Ajuste de fechas'!$A$2,"Día actual","Día anterior")</f>
        <v>Día anterior</v>
      </c>
      <c r="C97" s="3" t="s">
        <v>35</v>
      </c>
      <c r="D97" t="s">
        <v>37</v>
      </c>
      <c r="E97" s="3" t="s">
        <v>238</v>
      </c>
      <c r="F97" s="3" t="s">
        <v>19</v>
      </c>
      <c r="G97" s="3" t="s">
        <v>79</v>
      </c>
      <c r="H97" s="3" t="s">
        <v>11</v>
      </c>
      <c r="I97" s="3" t="s">
        <v>7</v>
      </c>
      <c r="J97" s="3" t="s">
        <v>153</v>
      </c>
      <c r="K97" s="3" t="s">
        <v>36</v>
      </c>
      <c r="L97" s="3" t="s">
        <v>150</v>
      </c>
      <c r="M97">
        <v>1</v>
      </c>
    </row>
    <row r="98" spans="1:13" x14ac:dyDescent="0.25">
      <c r="A98" s="1">
        <v>46125</v>
      </c>
      <c r="B98" s="1" t="str">
        <f ca="1">IF(Información1[[#This Row],[Fecha]]='Ajuste de fechas'!$A$2,"Día actual","Día anterior")</f>
        <v>Día anterior</v>
      </c>
      <c r="C98" s="3" t="s">
        <v>35</v>
      </c>
      <c r="D98" t="s">
        <v>37</v>
      </c>
      <c r="E98" s="3" t="s">
        <v>239</v>
      </c>
      <c r="F98" s="3" t="s">
        <v>22</v>
      </c>
      <c r="G98" s="3" t="s">
        <v>240</v>
      </c>
      <c r="H98" s="3" t="s">
        <v>11</v>
      </c>
      <c r="I98" s="3" t="s">
        <v>7</v>
      </c>
      <c r="J98" s="3" t="s">
        <v>26</v>
      </c>
      <c r="K98" s="3" t="s">
        <v>36</v>
      </c>
      <c r="L98" s="3" t="s">
        <v>150</v>
      </c>
      <c r="M98">
        <v>1</v>
      </c>
    </row>
    <row r="99" spans="1:13" x14ac:dyDescent="0.25">
      <c r="A99" s="1">
        <v>46125</v>
      </c>
      <c r="B99" s="1" t="str">
        <f ca="1">IF(Información1[[#This Row],[Fecha]]='Ajuste de fechas'!$A$2,"Día actual","Día anterior")</f>
        <v>Día anterior</v>
      </c>
      <c r="C99" s="3" t="s">
        <v>35</v>
      </c>
      <c r="D99" t="s">
        <v>37</v>
      </c>
      <c r="E99" s="3" t="s">
        <v>241</v>
      </c>
      <c r="F99" s="3" t="s">
        <v>22</v>
      </c>
      <c r="G99" s="3" t="s">
        <v>240</v>
      </c>
      <c r="H99" s="3" t="s">
        <v>11</v>
      </c>
      <c r="I99" s="3" t="s">
        <v>7</v>
      </c>
      <c r="J99" s="3" t="s">
        <v>26</v>
      </c>
      <c r="K99" s="3" t="s">
        <v>36</v>
      </c>
      <c r="L99" s="3" t="s">
        <v>150</v>
      </c>
      <c r="M99">
        <v>1</v>
      </c>
    </row>
    <row r="100" spans="1:13" x14ac:dyDescent="0.25">
      <c r="A100" s="1">
        <v>46125</v>
      </c>
      <c r="B100" s="1" t="str">
        <f ca="1">IF(Información1[[#This Row],[Fecha]]='Ajuste de fechas'!$A$2,"Día actual","Día anterior")</f>
        <v>Día anterior</v>
      </c>
      <c r="C100" s="3" t="s">
        <v>35</v>
      </c>
      <c r="D100" t="s">
        <v>37</v>
      </c>
      <c r="E100" s="3" t="s">
        <v>141</v>
      </c>
      <c r="F100" s="3" t="s">
        <v>22</v>
      </c>
      <c r="G100" s="3" t="s">
        <v>90</v>
      </c>
      <c r="H100" s="3" t="s">
        <v>11</v>
      </c>
      <c r="I100" s="3" t="s">
        <v>7</v>
      </c>
      <c r="J100" s="3" t="s">
        <v>26</v>
      </c>
      <c r="K100" s="3" t="s">
        <v>36</v>
      </c>
      <c r="L100" s="3" t="s">
        <v>150</v>
      </c>
      <c r="M100">
        <v>1</v>
      </c>
    </row>
    <row r="101" spans="1:13" x14ac:dyDescent="0.25">
      <c r="A101" s="1">
        <v>46125</v>
      </c>
      <c r="B101" s="1" t="str">
        <f ca="1">IF(Información1[[#This Row],[Fecha]]='Ajuste de fechas'!$A$2,"Día actual","Día anterior")</f>
        <v>Día anterior</v>
      </c>
      <c r="C101" s="3" t="s">
        <v>35</v>
      </c>
      <c r="D101" t="s">
        <v>37</v>
      </c>
      <c r="E101" s="3" t="s">
        <v>242</v>
      </c>
      <c r="F101" s="3" t="s">
        <v>30</v>
      </c>
      <c r="G101" s="3" t="s">
        <v>92</v>
      </c>
      <c r="H101" s="3" t="s">
        <v>11</v>
      </c>
      <c r="I101" s="3" t="s">
        <v>7</v>
      </c>
      <c r="J101" s="3" t="s">
        <v>149</v>
      </c>
      <c r="K101" s="3" t="s">
        <v>36</v>
      </c>
      <c r="L101" s="3" t="s">
        <v>152</v>
      </c>
      <c r="M101">
        <v>1</v>
      </c>
    </row>
    <row r="102" spans="1:13" x14ac:dyDescent="0.25">
      <c r="A102" s="1">
        <v>46125</v>
      </c>
      <c r="B102" s="1" t="str">
        <f ca="1">IF(Información1[[#This Row],[Fecha]]='Ajuste de fechas'!$A$2,"Día actual","Día anterior")</f>
        <v>Día anterior</v>
      </c>
      <c r="C102" s="3" t="s">
        <v>35</v>
      </c>
      <c r="D102" t="s">
        <v>37</v>
      </c>
      <c r="E102" s="3" t="s">
        <v>243</v>
      </c>
      <c r="F102" s="3" t="s">
        <v>21</v>
      </c>
      <c r="G102" s="3" t="s">
        <v>75</v>
      </c>
      <c r="H102" s="3" t="s">
        <v>11</v>
      </c>
      <c r="I102" s="3" t="s">
        <v>7</v>
      </c>
      <c r="J102" s="3" t="s">
        <v>149</v>
      </c>
      <c r="K102" s="3" t="s">
        <v>36</v>
      </c>
      <c r="L102" s="3" t="s">
        <v>152</v>
      </c>
      <c r="M102">
        <v>1</v>
      </c>
    </row>
    <row r="103" spans="1:13" x14ac:dyDescent="0.25">
      <c r="A103" s="1">
        <v>46125</v>
      </c>
      <c r="B103" s="1" t="str">
        <f ca="1">IF(Información1[[#This Row],[Fecha]]='Ajuste de fechas'!$A$2,"Día actual","Día anterior")</f>
        <v>Día anterior</v>
      </c>
      <c r="C103" s="3" t="s">
        <v>35</v>
      </c>
      <c r="D103" t="s">
        <v>37</v>
      </c>
      <c r="E103" s="3" t="s">
        <v>211</v>
      </c>
      <c r="F103" s="3" t="s">
        <v>21</v>
      </c>
      <c r="G103" s="3" t="s">
        <v>33</v>
      </c>
      <c r="H103" s="3" t="s">
        <v>11</v>
      </c>
      <c r="I103" s="3" t="s">
        <v>7</v>
      </c>
      <c r="J103" s="3" t="s">
        <v>149</v>
      </c>
      <c r="K103" s="3" t="s">
        <v>36</v>
      </c>
      <c r="L103" s="3" t="s">
        <v>152</v>
      </c>
      <c r="M103">
        <v>1</v>
      </c>
    </row>
    <row r="104" spans="1:13" x14ac:dyDescent="0.25">
      <c r="A104" s="1">
        <v>46125</v>
      </c>
      <c r="B104" s="1" t="str">
        <f ca="1">IF(Información1[[#This Row],[Fecha]]='Ajuste de fechas'!$A$2,"Día actual","Día anterior")</f>
        <v>Día anterior</v>
      </c>
      <c r="C104" s="3" t="s">
        <v>35</v>
      </c>
      <c r="D104" t="s">
        <v>37</v>
      </c>
      <c r="E104" s="3" t="s">
        <v>244</v>
      </c>
      <c r="F104" s="3" t="s">
        <v>59</v>
      </c>
      <c r="G104" s="3" t="s">
        <v>105</v>
      </c>
      <c r="H104" s="3" t="s">
        <v>11</v>
      </c>
      <c r="I104" s="3" t="s">
        <v>7</v>
      </c>
      <c r="J104" s="3" t="s">
        <v>149</v>
      </c>
      <c r="K104" s="3" t="s">
        <v>36</v>
      </c>
      <c r="L104" s="3" t="s">
        <v>152</v>
      </c>
      <c r="M104">
        <v>1</v>
      </c>
    </row>
    <row r="105" spans="1:13" x14ac:dyDescent="0.25">
      <c r="A105" s="1">
        <v>46125</v>
      </c>
      <c r="B105" s="1" t="str">
        <f ca="1">IF(Información1[[#This Row],[Fecha]]='Ajuste de fechas'!$A$2,"Día actual","Día anterior")</f>
        <v>Día anterior</v>
      </c>
      <c r="C105" s="3" t="s">
        <v>35</v>
      </c>
      <c r="D105" t="s">
        <v>37</v>
      </c>
      <c r="E105" s="3" t="s">
        <v>245</v>
      </c>
      <c r="F105" s="3" t="s">
        <v>28</v>
      </c>
      <c r="G105" s="3" t="s">
        <v>34</v>
      </c>
      <c r="H105" s="3" t="s">
        <v>11</v>
      </c>
      <c r="I105" s="3" t="s">
        <v>7</v>
      </c>
      <c r="J105" s="3" t="s">
        <v>149</v>
      </c>
      <c r="K105" s="3" t="s">
        <v>36</v>
      </c>
      <c r="L105" s="3" t="s">
        <v>152</v>
      </c>
      <c r="M105">
        <v>1</v>
      </c>
    </row>
    <row r="106" spans="1:13" x14ac:dyDescent="0.25">
      <c r="A106" s="1">
        <v>46125</v>
      </c>
      <c r="B106" s="1" t="str">
        <f ca="1">IF(Información1[[#This Row],[Fecha]]='Ajuste de fechas'!$A$2,"Día actual","Día anterior")</f>
        <v>Día anterior</v>
      </c>
      <c r="C106" s="3" t="s">
        <v>35</v>
      </c>
      <c r="D106" t="s">
        <v>37</v>
      </c>
      <c r="E106" s="3" t="s">
        <v>246</v>
      </c>
      <c r="F106" s="3" t="s">
        <v>200</v>
      </c>
      <c r="G106" s="3" t="s">
        <v>109</v>
      </c>
      <c r="H106" s="3" t="s">
        <v>11</v>
      </c>
      <c r="I106" s="3" t="s">
        <v>7</v>
      </c>
      <c r="J106" s="3" t="s">
        <v>149</v>
      </c>
      <c r="K106" s="3" t="s">
        <v>36</v>
      </c>
      <c r="L106" s="3" t="s">
        <v>152</v>
      </c>
      <c r="M106">
        <v>1</v>
      </c>
    </row>
    <row r="107" spans="1:13" x14ac:dyDescent="0.25">
      <c r="A107" s="1">
        <v>46125</v>
      </c>
      <c r="B107" s="1" t="str">
        <f ca="1">IF(Información1[[#This Row],[Fecha]]='Ajuste de fechas'!$A$2,"Día actual","Día anterior")</f>
        <v>Día anterior</v>
      </c>
      <c r="C107" s="3" t="s">
        <v>62</v>
      </c>
      <c r="D107" t="s">
        <v>64</v>
      </c>
      <c r="E107" s="3" t="s">
        <v>247</v>
      </c>
      <c r="F107" s="3" t="s">
        <v>19</v>
      </c>
      <c r="G107" s="3" t="s">
        <v>248</v>
      </c>
      <c r="H107" s="3" t="s">
        <v>11</v>
      </c>
      <c r="I107" s="3" t="s">
        <v>7</v>
      </c>
      <c r="J107" s="3" t="s">
        <v>153</v>
      </c>
      <c r="K107" s="3" t="s">
        <v>63</v>
      </c>
      <c r="L107" s="3" t="s">
        <v>150</v>
      </c>
      <c r="M107">
        <v>1</v>
      </c>
    </row>
    <row r="108" spans="1:13" x14ac:dyDescent="0.25">
      <c r="A108" s="1">
        <v>46125</v>
      </c>
      <c r="B108" s="1" t="str">
        <f ca="1">IF(Información1[[#This Row],[Fecha]]='Ajuste de fechas'!$A$2,"Día actual","Día anterior")</f>
        <v>Día anterior</v>
      </c>
      <c r="C108" s="3" t="s">
        <v>62</v>
      </c>
      <c r="D108" t="s">
        <v>64</v>
      </c>
      <c r="E108" s="3" t="s">
        <v>249</v>
      </c>
      <c r="F108" s="3" t="s">
        <v>19</v>
      </c>
      <c r="G108" s="3" t="s">
        <v>94</v>
      </c>
      <c r="H108" s="3" t="s">
        <v>11</v>
      </c>
      <c r="I108" s="3" t="s">
        <v>7</v>
      </c>
      <c r="J108" s="3" t="s">
        <v>153</v>
      </c>
      <c r="K108" s="3" t="s">
        <v>63</v>
      </c>
      <c r="L108" s="3" t="s">
        <v>150</v>
      </c>
      <c r="M108">
        <v>1</v>
      </c>
    </row>
    <row r="109" spans="1:13" x14ac:dyDescent="0.25">
      <c r="A109" s="1">
        <v>46125</v>
      </c>
      <c r="B109" s="1" t="str">
        <f ca="1">IF(Información1[[#This Row],[Fecha]]='Ajuste de fechas'!$A$2,"Día actual","Día anterior")</f>
        <v>Día anterior</v>
      </c>
      <c r="C109" s="3" t="s">
        <v>62</v>
      </c>
      <c r="D109" t="s">
        <v>64</v>
      </c>
      <c r="E109" s="3" t="s">
        <v>250</v>
      </c>
      <c r="F109" s="3" t="s">
        <v>200</v>
      </c>
      <c r="G109" s="3" t="s">
        <v>194</v>
      </c>
      <c r="H109" s="3" t="s">
        <v>11</v>
      </c>
      <c r="I109" s="3" t="s">
        <v>7</v>
      </c>
      <c r="J109" s="3" t="s">
        <v>149</v>
      </c>
      <c r="K109" s="3" t="s">
        <v>47</v>
      </c>
      <c r="L109" s="3" t="s">
        <v>150</v>
      </c>
      <c r="M109">
        <v>1</v>
      </c>
    </row>
    <row r="110" spans="1:13" x14ac:dyDescent="0.25">
      <c r="A110" s="1">
        <v>46125</v>
      </c>
      <c r="B110" s="1" t="str">
        <f ca="1">IF(Información1[[#This Row],[Fecha]]='Ajuste de fechas'!$A$2,"Día actual","Día anterior")</f>
        <v>Día anterior</v>
      </c>
      <c r="C110" s="3" t="s">
        <v>62</v>
      </c>
      <c r="D110" t="s">
        <v>64</v>
      </c>
      <c r="E110" s="3" t="s">
        <v>251</v>
      </c>
      <c r="F110" s="3" t="s">
        <v>28</v>
      </c>
      <c r="G110" s="3" t="s">
        <v>194</v>
      </c>
      <c r="H110" s="3" t="s">
        <v>11</v>
      </c>
      <c r="I110" s="3" t="s">
        <v>7</v>
      </c>
      <c r="J110" s="3" t="s">
        <v>149</v>
      </c>
      <c r="K110" s="3" t="s">
        <v>47</v>
      </c>
      <c r="L110" s="3" t="s">
        <v>150</v>
      </c>
      <c r="M110">
        <v>1</v>
      </c>
    </row>
    <row r="111" spans="1:13" x14ac:dyDescent="0.25">
      <c r="A111" s="1">
        <v>46125</v>
      </c>
      <c r="B111" s="1" t="str">
        <f ca="1">IF(Información1[[#This Row],[Fecha]]='Ajuste de fechas'!$A$2,"Día actual","Día anterior")</f>
        <v>Día anterior</v>
      </c>
      <c r="C111" s="3" t="s">
        <v>62</v>
      </c>
      <c r="D111" t="s">
        <v>64</v>
      </c>
      <c r="E111" s="3" t="s">
        <v>252</v>
      </c>
      <c r="F111" s="3" t="s">
        <v>25</v>
      </c>
      <c r="G111" s="3" t="s">
        <v>194</v>
      </c>
      <c r="H111" s="3" t="s">
        <v>11</v>
      </c>
      <c r="I111" s="3" t="s">
        <v>7</v>
      </c>
      <c r="J111" s="3" t="s">
        <v>149</v>
      </c>
      <c r="K111" s="3" t="s">
        <v>47</v>
      </c>
      <c r="L111" s="3" t="s">
        <v>150</v>
      </c>
      <c r="M111">
        <v>1</v>
      </c>
    </row>
    <row r="112" spans="1:13" x14ac:dyDescent="0.25">
      <c r="A112" s="1">
        <v>46125</v>
      </c>
      <c r="B112" s="1" t="str">
        <f ca="1">IF(Información1[[#This Row],[Fecha]]='Ajuste de fechas'!$A$2,"Día actual","Día anterior")</f>
        <v>Día anterior</v>
      </c>
      <c r="C112" s="3" t="s">
        <v>62</v>
      </c>
      <c r="D112" t="s">
        <v>64</v>
      </c>
      <c r="E112" s="3" t="s">
        <v>253</v>
      </c>
      <c r="F112" s="3" t="s">
        <v>200</v>
      </c>
      <c r="G112" s="3" t="s">
        <v>194</v>
      </c>
      <c r="H112" s="3" t="s">
        <v>11</v>
      </c>
      <c r="I112" s="3" t="s">
        <v>7</v>
      </c>
      <c r="J112" s="3" t="s">
        <v>149</v>
      </c>
      <c r="K112" s="3" t="s">
        <v>47</v>
      </c>
      <c r="L112" s="3" t="s">
        <v>150</v>
      </c>
      <c r="M112">
        <v>1</v>
      </c>
    </row>
    <row r="113" spans="1:13" x14ac:dyDescent="0.25">
      <c r="A113" s="1">
        <v>46125</v>
      </c>
      <c r="B113" s="1" t="str">
        <f ca="1">IF(Información1[[#This Row],[Fecha]]='Ajuste de fechas'!$A$2,"Día actual","Día anterior")</f>
        <v>Día anterior</v>
      </c>
      <c r="C113" s="3" t="s">
        <v>62</v>
      </c>
      <c r="D113" t="s">
        <v>64</v>
      </c>
      <c r="E113" s="3" t="s">
        <v>244</v>
      </c>
      <c r="F113" s="3" t="s">
        <v>59</v>
      </c>
      <c r="G113" s="3" t="s">
        <v>105</v>
      </c>
      <c r="H113" s="3" t="s">
        <v>11</v>
      </c>
      <c r="I113" s="3" t="s">
        <v>7</v>
      </c>
      <c r="J113" s="3" t="s">
        <v>149</v>
      </c>
      <c r="K113" s="3" t="s">
        <v>47</v>
      </c>
      <c r="L113" s="3" t="s">
        <v>152</v>
      </c>
      <c r="M113">
        <v>1</v>
      </c>
    </row>
    <row r="114" spans="1:13" x14ac:dyDescent="0.25">
      <c r="A114" s="1">
        <v>46125</v>
      </c>
      <c r="B114" s="1" t="str">
        <f ca="1">IF(Información1[[#This Row],[Fecha]]='Ajuste de fechas'!$A$2,"Día actual","Día anterior")</f>
        <v>Día anterior</v>
      </c>
      <c r="C114" s="3" t="s">
        <v>62</v>
      </c>
      <c r="D114" t="s">
        <v>64</v>
      </c>
      <c r="E114" s="3" t="s">
        <v>211</v>
      </c>
      <c r="F114" s="3" t="s">
        <v>21</v>
      </c>
      <c r="G114" s="3" t="s">
        <v>33</v>
      </c>
      <c r="H114" s="3" t="s">
        <v>11</v>
      </c>
      <c r="I114" s="3" t="s">
        <v>7</v>
      </c>
      <c r="J114" s="3" t="s">
        <v>149</v>
      </c>
      <c r="K114" s="3" t="s">
        <v>47</v>
      </c>
      <c r="L114" s="3" t="s">
        <v>152</v>
      </c>
      <c r="M114">
        <v>1</v>
      </c>
    </row>
    <row r="115" spans="1:13" x14ac:dyDescent="0.25">
      <c r="A115" s="1">
        <v>46125</v>
      </c>
      <c r="B115" s="1" t="str">
        <f ca="1">IF(Información1[[#This Row],[Fecha]]='Ajuste de fechas'!$A$2,"Día actual","Día anterior")</f>
        <v>Día anterior</v>
      </c>
      <c r="C115" s="3" t="s">
        <v>46</v>
      </c>
      <c r="D115" t="s">
        <v>48</v>
      </c>
      <c r="E115" s="3" t="s">
        <v>108</v>
      </c>
      <c r="F115" s="3" t="s">
        <v>24</v>
      </c>
      <c r="G115" s="3" t="s">
        <v>86</v>
      </c>
      <c r="H115" s="3" t="s">
        <v>49</v>
      </c>
      <c r="I115" s="3" t="s">
        <v>7</v>
      </c>
      <c r="J115" s="3" t="s">
        <v>149</v>
      </c>
      <c r="K115" s="3" t="s">
        <v>47</v>
      </c>
      <c r="L115" s="3" t="s">
        <v>152</v>
      </c>
      <c r="M115">
        <v>1</v>
      </c>
    </row>
    <row r="116" spans="1:13" x14ac:dyDescent="0.25">
      <c r="A116" s="1">
        <v>46125</v>
      </c>
      <c r="B116" s="1" t="str">
        <f ca="1">IF(Información1[[#This Row],[Fecha]]='Ajuste de fechas'!$A$2,"Día actual","Día anterior")</f>
        <v>Día anterior</v>
      </c>
      <c r="C116" s="3" t="s">
        <v>46</v>
      </c>
      <c r="D116" t="s">
        <v>48</v>
      </c>
      <c r="E116" s="3" t="s">
        <v>255</v>
      </c>
      <c r="F116" s="3" t="s">
        <v>21</v>
      </c>
      <c r="G116" s="3" t="s">
        <v>75</v>
      </c>
      <c r="H116" s="3" t="s">
        <v>49</v>
      </c>
      <c r="I116" s="3" t="s">
        <v>7</v>
      </c>
      <c r="J116" s="3" t="s">
        <v>149</v>
      </c>
      <c r="K116" s="3" t="s">
        <v>47</v>
      </c>
      <c r="L116" s="3" t="s">
        <v>152</v>
      </c>
      <c r="M116">
        <v>1</v>
      </c>
    </row>
    <row r="117" spans="1:13" x14ac:dyDescent="0.25">
      <c r="A117" s="1">
        <v>46125</v>
      </c>
      <c r="B117" s="1" t="str">
        <f ca="1">IF(Información1[[#This Row],[Fecha]]='Ajuste de fechas'!$A$2,"Día actual","Día anterior")</f>
        <v>Día anterior</v>
      </c>
      <c r="C117" s="3" t="s">
        <v>46</v>
      </c>
      <c r="D117" t="s">
        <v>48</v>
      </c>
      <c r="E117" s="3" t="s">
        <v>256</v>
      </c>
      <c r="F117" s="3" t="s">
        <v>184</v>
      </c>
      <c r="G117" s="3" t="s">
        <v>222</v>
      </c>
      <c r="H117" s="3" t="s">
        <v>49</v>
      </c>
      <c r="I117" s="3" t="s">
        <v>7</v>
      </c>
      <c r="J117" s="3" t="s">
        <v>149</v>
      </c>
      <c r="K117" s="3" t="s">
        <v>47</v>
      </c>
      <c r="L117" s="3" t="s">
        <v>152</v>
      </c>
      <c r="M117">
        <v>1</v>
      </c>
    </row>
    <row r="118" spans="1:13" x14ac:dyDescent="0.25">
      <c r="A118" s="1">
        <v>46125</v>
      </c>
      <c r="B118" s="1" t="str">
        <f ca="1">IF(Información1[[#This Row],[Fecha]]='Ajuste de fechas'!$A$2,"Día actual","Día anterior")</f>
        <v>Día anterior</v>
      </c>
      <c r="C118" s="3" t="s">
        <v>46</v>
      </c>
      <c r="D118" t="s">
        <v>48</v>
      </c>
      <c r="E118" s="3" t="s">
        <v>257</v>
      </c>
      <c r="F118" s="3" t="s">
        <v>82</v>
      </c>
      <c r="G118" s="3" t="s">
        <v>91</v>
      </c>
      <c r="H118" s="3" t="s">
        <v>49</v>
      </c>
      <c r="I118" s="3" t="s">
        <v>7</v>
      </c>
      <c r="J118" s="3" t="s">
        <v>149</v>
      </c>
      <c r="K118" s="3" t="s">
        <v>47</v>
      </c>
      <c r="L118" s="3" t="s">
        <v>152</v>
      </c>
      <c r="M118">
        <v>1</v>
      </c>
    </row>
    <row r="119" spans="1:13" x14ac:dyDescent="0.25">
      <c r="A119" s="1">
        <v>46125</v>
      </c>
      <c r="B119" s="1" t="str">
        <f ca="1">IF(Información1[[#This Row],[Fecha]]='Ajuste de fechas'!$A$2,"Día actual","Día anterior")</f>
        <v>Día anterior</v>
      </c>
      <c r="C119" s="3" t="s">
        <v>46</v>
      </c>
      <c r="D119" t="s">
        <v>48</v>
      </c>
      <c r="E119" s="3" t="s">
        <v>138</v>
      </c>
      <c r="F119" s="3" t="s">
        <v>21</v>
      </c>
      <c r="G119" s="3" t="s">
        <v>33</v>
      </c>
      <c r="H119" s="3" t="s">
        <v>49</v>
      </c>
      <c r="I119" s="3" t="s">
        <v>7</v>
      </c>
      <c r="J119" s="3" t="s">
        <v>149</v>
      </c>
      <c r="K119" s="3" t="s">
        <v>47</v>
      </c>
      <c r="L119" s="3" t="s">
        <v>152</v>
      </c>
      <c r="M119">
        <v>1</v>
      </c>
    </row>
    <row r="120" spans="1:13" x14ac:dyDescent="0.25">
      <c r="A120" s="1">
        <v>46125</v>
      </c>
      <c r="B120" s="1" t="str">
        <f ca="1">IF(Información1[[#This Row],[Fecha]]='Ajuste de fechas'!$A$2,"Día actual","Día anterior")</f>
        <v>Día anterior</v>
      </c>
      <c r="C120" s="3" t="s">
        <v>46</v>
      </c>
      <c r="D120" t="s">
        <v>48</v>
      </c>
      <c r="E120" s="3" t="s">
        <v>258</v>
      </c>
      <c r="F120" s="3" t="s">
        <v>19</v>
      </c>
      <c r="G120" s="3" t="s">
        <v>259</v>
      </c>
      <c r="H120" s="3" t="s">
        <v>49</v>
      </c>
      <c r="I120" s="3" t="s">
        <v>7</v>
      </c>
      <c r="J120" s="3" t="s">
        <v>153</v>
      </c>
      <c r="K120" s="3" t="s">
        <v>260</v>
      </c>
      <c r="L120" s="3" t="s">
        <v>150</v>
      </c>
      <c r="M120">
        <v>1</v>
      </c>
    </row>
    <row r="121" spans="1:13" x14ac:dyDescent="0.25">
      <c r="A121" s="1">
        <v>46125</v>
      </c>
      <c r="B121" s="1" t="str">
        <f ca="1">IF(Información1[[#This Row],[Fecha]]='Ajuste de fechas'!$A$2,"Día actual","Día anterior")</f>
        <v>Día anterior</v>
      </c>
      <c r="C121" s="3" t="s">
        <v>46</v>
      </c>
      <c r="D121" t="s">
        <v>48</v>
      </c>
      <c r="E121" s="3" t="s">
        <v>112</v>
      </c>
      <c r="F121" s="3" t="s">
        <v>24</v>
      </c>
      <c r="G121" s="3" t="s">
        <v>93</v>
      </c>
      <c r="H121" s="3" t="s">
        <v>49</v>
      </c>
      <c r="I121" s="3" t="s">
        <v>27</v>
      </c>
      <c r="J121" s="3" t="s">
        <v>149</v>
      </c>
      <c r="K121" s="3" t="s">
        <v>47</v>
      </c>
      <c r="L121" s="3" t="s">
        <v>152</v>
      </c>
      <c r="M121">
        <v>1</v>
      </c>
    </row>
    <row r="122" spans="1:13" x14ac:dyDescent="0.25">
      <c r="A122" s="1">
        <v>46125</v>
      </c>
      <c r="B122" s="1" t="str">
        <f ca="1">IF(Información1[[#This Row],[Fecha]]='Ajuste de fechas'!$A$2,"Día actual","Día anterior")</f>
        <v>Día anterior</v>
      </c>
      <c r="C122" s="3" t="s">
        <v>46</v>
      </c>
      <c r="D122" t="s">
        <v>48</v>
      </c>
      <c r="E122" s="3" t="s">
        <v>261</v>
      </c>
      <c r="F122" s="3" t="s">
        <v>19</v>
      </c>
      <c r="G122" s="3" t="s">
        <v>50</v>
      </c>
      <c r="H122" s="3" t="s">
        <v>49</v>
      </c>
      <c r="I122" s="3" t="s">
        <v>7</v>
      </c>
      <c r="J122" s="3" t="s">
        <v>153</v>
      </c>
      <c r="K122" s="3" t="s">
        <v>47</v>
      </c>
      <c r="L122" s="3" t="s">
        <v>150</v>
      </c>
      <c r="M122">
        <v>1</v>
      </c>
    </row>
    <row r="123" spans="1:13" x14ac:dyDescent="0.25">
      <c r="A123" s="1">
        <v>46125</v>
      </c>
      <c r="B123" s="1" t="str">
        <f ca="1">IF(Información1[[#This Row],[Fecha]]='Ajuste de fechas'!$A$2,"Día actual","Día anterior")</f>
        <v>Día anterior</v>
      </c>
      <c r="C123" s="3" t="s">
        <v>46</v>
      </c>
      <c r="D123" t="s">
        <v>48</v>
      </c>
      <c r="E123" s="3" t="s">
        <v>262</v>
      </c>
      <c r="F123" s="3" t="s">
        <v>19</v>
      </c>
      <c r="G123" s="3" t="s">
        <v>54</v>
      </c>
      <c r="H123" s="3" t="s">
        <v>49</v>
      </c>
      <c r="I123" s="3" t="s">
        <v>7</v>
      </c>
      <c r="J123" s="3" t="s">
        <v>153</v>
      </c>
      <c r="K123" s="3" t="s">
        <v>47</v>
      </c>
      <c r="L123" s="3" t="s">
        <v>150</v>
      </c>
      <c r="M123">
        <v>1</v>
      </c>
    </row>
    <row r="124" spans="1:13" x14ac:dyDescent="0.25">
      <c r="A124" s="1">
        <v>46125</v>
      </c>
      <c r="B124" s="1" t="str">
        <f ca="1">IF(Información1[[#This Row],[Fecha]]='Ajuste de fechas'!$A$2,"Día actual","Día anterior")</f>
        <v>Día anterior</v>
      </c>
      <c r="C124" s="3" t="s">
        <v>46</v>
      </c>
      <c r="D124" t="s">
        <v>48</v>
      </c>
      <c r="E124" s="3" t="s">
        <v>263</v>
      </c>
      <c r="F124" s="3" t="s">
        <v>19</v>
      </c>
      <c r="G124" s="3" t="s">
        <v>215</v>
      </c>
      <c r="H124" s="3" t="s">
        <v>49</v>
      </c>
      <c r="I124" s="3" t="s">
        <v>27</v>
      </c>
      <c r="J124" s="3" t="s">
        <v>153</v>
      </c>
      <c r="K124" s="3" t="s">
        <v>47</v>
      </c>
      <c r="L124" s="3" t="s">
        <v>150</v>
      </c>
      <c r="M124">
        <v>1</v>
      </c>
    </row>
    <row r="125" spans="1:13" x14ac:dyDescent="0.25">
      <c r="A125" s="1">
        <v>46125</v>
      </c>
      <c r="B125" s="1" t="str">
        <f ca="1">IF(Información1[[#This Row],[Fecha]]='Ajuste de fechas'!$A$2,"Día actual","Día anterior")</f>
        <v>Día anterior</v>
      </c>
      <c r="C125" s="3" t="s">
        <v>46</v>
      </c>
      <c r="D125" t="s">
        <v>48</v>
      </c>
      <c r="E125" s="3" t="s">
        <v>124</v>
      </c>
      <c r="F125" s="3" t="s">
        <v>28</v>
      </c>
      <c r="G125" s="3" t="s">
        <v>34</v>
      </c>
      <c r="H125" s="3" t="s">
        <v>49</v>
      </c>
      <c r="I125" s="3" t="s">
        <v>7</v>
      </c>
      <c r="J125" s="3" t="s">
        <v>149</v>
      </c>
      <c r="K125" s="3" t="s">
        <v>47</v>
      </c>
      <c r="L125" s="3" t="s">
        <v>152</v>
      </c>
      <c r="M125">
        <v>1</v>
      </c>
    </row>
    <row r="126" spans="1:13" x14ac:dyDescent="0.25">
      <c r="A126" s="1">
        <v>46125</v>
      </c>
      <c r="B126" s="1" t="str">
        <f ca="1">IF(Información1[[#This Row],[Fecha]]='Ajuste de fechas'!$A$2,"Día actual","Día anterior")</f>
        <v>Día anterior</v>
      </c>
      <c r="C126" s="3" t="s">
        <v>46</v>
      </c>
      <c r="D126" t="s">
        <v>48</v>
      </c>
      <c r="E126" s="3" t="s">
        <v>264</v>
      </c>
      <c r="F126" s="3" t="s">
        <v>26</v>
      </c>
      <c r="G126" s="3" t="s">
        <v>219</v>
      </c>
      <c r="H126" s="3" t="s">
        <v>49</v>
      </c>
      <c r="I126" s="3" t="s">
        <v>7</v>
      </c>
      <c r="J126" s="3" t="s">
        <v>26</v>
      </c>
      <c r="K126" s="3" t="s">
        <v>47</v>
      </c>
      <c r="L126" s="3" t="s">
        <v>150</v>
      </c>
      <c r="M126">
        <v>1</v>
      </c>
    </row>
    <row r="127" spans="1:13" x14ac:dyDescent="0.25">
      <c r="A127" s="1">
        <v>46125</v>
      </c>
      <c r="B127" s="1" t="str">
        <f ca="1">IF(Información1[[#This Row],[Fecha]]='Ajuste de fechas'!$A$2,"Día actual","Día anterior")</f>
        <v>Día anterior</v>
      </c>
      <c r="C127" s="3" t="s">
        <v>46</v>
      </c>
      <c r="D127" t="s">
        <v>48</v>
      </c>
      <c r="E127" s="3" t="s">
        <v>265</v>
      </c>
      <c r="F127" s="3" t="s">
        <v>26</v>
      </c>
      <c r="G127" s="3" t="s">
        <v>219</v>
      </c>
      <c r="H127" s="3" t="s">
        <v>49</v>
      </c>
      <c r="I127" s="3" t="s">
        <v>7</v>
      </c>
      <c r="J127" s="3" t="s">
        <v>26</v>
      </c>
      <c r="K127" s="3" t="s">
        <v>47</v>
      </c>
      <c r="L127" s="3" t="s">
        <v>150</v>
      </c>
      <c r="M127">
        <v>1</v>
      </c>
    </row>
    <row r="128" spans="1:13" x14ac:dyDescent="0.25">
      <c r="A128" s="1">
        <v>46125</v>
      </c>
      <c r="B128" s="1" t="str">
        <f ca="1">IF(Información1[[#This Row],[Fecha]]='Ajuste de fechas'!$A$2,"Día actual","Día anterior")</f>
        <v>Día anterior</v>
      </c>
      <c r="C128" s="3" t="s">
        <v>46</v>
      </c>
      <c r="D128" t="s">
        <v>48</v>
      </c>
      <c r="E128" s="3" t="s">
        <v>266</v>
      </c>
      <c r="F128" s="3" t="s">
        <v>200</v>
      </c>
      <c r="G128" s="3" t="s">
        <v>194</v>
      </c>
      <c r="H128" s="3" t="s">
        <v>49</v>
      </c>
      <c r="I128" s="3" t="s">
        <v>7</v>
      </c>
      <c r="J128" s="3" t="s">
        <v>149</v>
      </c>
      <c r="K128" s="3" t="s">
        <v>47</v>
      </c>
      <c r="L128" s="3" t="s">
        <v>150</v>
      </c>
      <c r="M128">
        <v>1</v>
      </c>
    </row>
    <row r="129" spans="1:13" x14ac:dyDescent="0.25">
      <c r="A129" s="1">
        <v>46126</v>
      </c>
      <c r="B129" s="1" t="str">
        <f ca="1">IF(Información1[[#This Row],[Fecha]]='Ajuste de fechas'!$A$2,"Día actual","Día anterior")</f>
        <v>Día actual</v>
      </c>
      <c r="C129" s="3" t="s">
        <v>55</v>
      </c>
      <c r="D129" t="s">
        <v>56</v>
      </c>
      <c r="E129" s="3" t="s">
        <v>254</v>
      </c>
      <c r="F129" s="3" t="s">
        <v>28</v>
      </c>
      <c r="G129" s="3" t="s">
        <v>91</v>
      </c>
      <c r="H129" s="3" t="s">
        <v>49</v>
      </c>
      <c r="I129" s="3" t="s">
        <v>7</v>
      </c>
      <c r="J129" s="3" t="s">
        <v>149</v>
      </c>
      <c r="K129" s="3" t="s">
        <v>32</v>
      </c>
      <c r="L129" s="3" t="s">
        <v>150</v>
      </c>
      <c r="M129">
        <v>1</v>
      </c>
    </row>
    <row r="130" spans="1:13" x14ac:dyDescent="0.25">
      <c r="A130" s="1">
        <v>46126</v>
      </c>
      <c r="B130" s="1" t="str">
        <f ca="1">IF(Información1[[#This Row],[Fecha]]='Ajuste de fechas'!$A$2,"Día actual","Día anterior")</f>
        <v>Día actual</v>
      </c>
      <c r="C130" s="3" t="s">
        <v>71</v>
      </c>
      <c r="D130" t="s">
        <v>72</v>
      </c>
      <c r="E130" s="3" t="s">
        <v>267</v>
      </c>
      <c r="F130" s="3" t="s">
        <v>268</v>
      </c>
      <c r="G130" s="3" t="s">
        <v>75</v>
      </c>
      <c r="H130" s="3" t="s">
        <v>11</v>
      </c>
      <c r="I130" s="3" t="s">
        <v>7</v>
      </c>
      <c r="J130" s="3" t="s">
        <v>149</v>
      </c>
      <c r="K130" s="3" t="s">
        <v>73</v>
      </c>
      <c r="L130" s="3" t="s">
        <v>152</v>
      </c>
      <c r="M130">
        <v>1</v>
      </c>
    </row>
    <row r="131" spans="1:13" x14ac:dyDescent="0.25">
      <c r="A131" s="1">
        <v>46126</v>
      </c>
      <c r="B131" s="1" t="str">
        <f ca="1">IF(Información1[[#This Row],[Fecha]]='Ajuste de fechas'!$A$2,"Día actual","Día anterior")</f>
        <v>Día actual</v>
      </c>
      <c r="C131" s="3" t="s">
        <v>71</v>
      </c>
      <c r="D131" t="s">
        <v>72</v>
      </c>
      <c r="E131" s="3" t="s">
        <v>269</v>
      </c>
      <c r="F131" s="3" t="s">
        <v>270</v>
      </c>
      <c r="G131" s="3" t="s">
        <v>271</v>
      </c>
      <c r="H131" s="3" t="s">
        <v>11</v>
      </c>
      <c r="I131" s="3" t="s">
        <v>7</v>
      </c>
      <c r="J131" s="3" t="s">
        <v>26</v>
      </c>
      <c r="K131" s="3" t="s">
        <v>73</v>
      </c>
      <c r="L131" s="3" t="s">
        <v>150</v>
      </c>
      <c r="M131">
        <v>1</v>
      </c>
    </row>
    <row r="132" spans="1:13" x14ac:dyDescent="0.25">
      <c r="A132" s="1">
        <v>46126</v>
      </c>
      <c r="B132" s="1" t="str">
        <f ca="1">IF(Información1[[#This Row],[Fecha]]='Ajuste de fechas'!$A$2,"Día actual","Día anterior")</f>
        <v>Día actual</v>
      </c>
      <c r="C132" s="3" t="s">
        <v>71</v>
      </c>
      <c r="D132" t="s">
        <v>72</v>
      </c>
      <c r="E132" s="3" t="s">
        <v>272</v>
      </c>
      <c r="F132" s="3" t="s">
        <v>19</v>
      </c>
      <c r="G132" s="3" t="s">
        <v>192</v>
      </c>
      <c r="H132" s="3" t="s">
        <v>11</v>
      </c>
      <c r="I132" s="3" t="s">
        <v>7</v>
      </c>
      <c r="J132" s="3" t="s">
        <v>153</v>
      </c>
      <c r="K132" s="3" t="s">
        <v>73</v>
      </c>
      <c r="L132" s="3" t="s">
        <v>150</v>
      </c>
      <c r="M132">
        <v>1</v>
      </c>
    </row>
    <row r="133" spans="1:13" x14ac:dyDescent="0.25">
      <c r="A133" s="1">
        <v>46126</v>
      </c>
      <c r="B133" s="1" t="str">
        <f ca="1">IF(Información1[[#This Row],[Fecha]]='Ajuste de fechas'!$A$2,"Día actual","Día anterior")</f>
        <v>Día actual</v>
      </c>
      <c r="C133" s="3" t="s">
        <v>71</v>
      </c>
      <c r="D133" t="s">
        <v>72</v>
      </c>
      <c r="E133" s="3" t="s">
        <v>273</v>
      </c>
      <c r="F133" s="3" t="s">
        <v>24</v>
      </c>
      <c r="G133" s="3" t="s">
        <v>76</v>
      </c>
      <c r="H133" s="3" t="s">
        <v>11</v>
      </c>
      <c r="I133" s="3" t="s">
        <v>7</v>
      </c>
      <c r="J133" s="3" t="s">
        <v>149</v>
      </c>
      <c r="K133" s="3" t="s">
        <v>73</v>
      </c>
      <c r="L133" s="3" t="s">
        <v>150</v>
      </c>
      <c r="M133">
        <v>1</v>
      </c>
    </row>
    <row r="134" spans="1:13" x14ac:dyDescent="0.25">
      <c r="A134" s="1">
        <v>46126</v>
      </c>
      <c r="B134" s="1" t="str">
        <f ca="1">IF(Información1[[#This Row],[Fecha]]='Ajuste de fechas'!$A$2,"Día actual","Día anterior")</f>
        <v>Día actual</v>
      </c>
      <c r="C134" s="3" t="s">
        <v>71</v>
      </c>
      <c r="D134" t="s">
        <v>72</v>
      </c>
      <c r="E134" s="3" t="s">
        <v>274</v>
      </c>
      <c r="F134" s="3" t="s">
        <v>59</v>
      </c>
      <c r="G134" s="3" t="s">
        <v>275</v>
      </c>
      <c r="H134" s="3" t="s">
        <v>11</v>
      </c>
      <c r="I134" s="3" t="s">
        <v>27</v>
      </c>
      <c r="J134" s="3" t="s">
        <v>149</v>
      </c>
      <c r="K134" s="3" t="s">
        <v>9</v>
      </c>
      <c r="L134" s="3" t="s">
        <v>151</v>
      </c>
      <c r="M134">
        <v>1</v>
      </c>
    </row>
    <row r="135" spans="1:13" x14ac:dyDescent="0.25">
      <c r="A135" s="1">
        <v>46126</v>
      </c>
      <c r="B135" s="1" t="str">
        <f ca="1">IF(Información1[[#This Row],[Fecha]]='Ajuste de fechas'!$A$2,"Día actual","Día anterior")</f>
        <v>Día actual</v>
      </c>
      <c r="C135" s="3" t="s">
        <v>71</v>
      </c>
      <c r="D135" t="s">
        <v>72</v>
      </c>
      <c r="E135" s="3" t="s">
        <v>276</v>
      </c>
      <c r="F135" s="3" t="s">
        <v>41</v>
      </c>
      <c r="G135" s="3" t="s">
        <v>219</v>
      </c>
      <c r="H135" s="3" t="s">
        <v>11</v>
      </c>
      <c r="I135" s="3" t="s">
        <v>27</v>
      </c>
      <c r="J135" s="3" t="s">
        <v>149</v>
      </c>
      <c r="K135" s="3" t="s">
        <v>73</v>
      </c>
      <c r="L135" s="3" t="s">
        <v>150</v>
      </c>
      <c r="M135">
        <v>1</v>
      </c>
    </row>
    <row r="136" spans="1:13" x14ac:dyDescent="0.25">
      <c r="A136" s="1">
        <v>46126</v>
      </c>
      <c r="B136" s="1" t="str">
        <f ca="1">IF(Información1[[#This Row],[Fecha]]='Ajuste de fechas'!$A$2,"Día actual","Día anterior")</f>
        <v>Día actual</v>
      </c>
      <c r="C136" s="3" t="s">
        <v>71</v>
      </c>
      <c r="D136" t="s">
        <v>72</v>
      </c>
      <c r="E136" s="3" t="s">
        <v>277</v>
      </c>
      <c r="F136" s="3" t="s">
        <v>19</v>
      </c>
      <c r="G136" s="3" t="s">
        <v>240</v>
      </c>
      <c r="H136" s="3" t="s">
        <v>11</v>
      </c>
      <c r="I136" s="3" t="s">
        <v>27</v>
      </c>
      <c r="J136" s="3" t="s">
        <v>153</v>
      </c>
      <c r="K136" s="3" t="s">
        <v>73</v>
      </c>
      <c r="L136" s="3" t="s">
        <v>150</v>
      </c>
      <c r="M136">
        <v>2</v>
      </c>
    </row>
    <row r="137" spans="1:13" x14ac:dyDescent="0.25">
      <c r="A137" s="1">
        <v>46126</v>
      </c>
      <c r="B137" s="1" t="str">
        <f ca="1">IF(Información1[[#This Row],[Fecha]]='Ajuste de fechas'!$A$2,"Día actual","Día anterior")</f>
        <v>Día actual</v>
      </c>
      <c r="C137" s="3" t="s">
        <v>71</v>
      </c>
      <c r="D137" t="s">
        <v>72</v>
      </c>
      <c r="E137" s="3" t="s">
        <v>278</v>
      </c>
      <c r="F137" s="3" t="s">
        <v>25</v>
      </c>
      <c r="G137" s="3" t="s">
        <v>279</v>
      </c>
      <c r="H137" s="3" t="s">
        <v>11</v>
      </c>
      <c r="I137" s="3" t="s">
        <v>7</v>
      </c>
      <c r="J137" s="3" t="s">
        <v>149</v>
      </c>
      <c r="K137" s="3" t="s">
        <v>73</v>
      </c>
      <c r="L137" s="3" t="s">
        <v>150</v>
      </c>
      <c r="M137">
        <v>1</v>
      </c>
    </row>
    <row r="138" spans="1:13" x14ac:dyDescent="0.25">
      <c r="A138" s="1">
        <v>46126</v>
      </c>
      <c r="B138" s="1" t="str">
        <f ca="1">IF(Información1[[#This Row],[Fecha]]='Ajuste de fechas'!$A$2,"Día actual","Día anterior")</f>
        <v>Día actual</v>
      </c>
      <c r="C138" s="3" t="s">
        <v>71</v>
      </c>
      <c r="D138" t="s">
        <v>72</v>
      </c>
      <c r="E138" s="3" t="s">
        <v>280</v>
      </c>
      <c r="F138" s="3" t="s">
        <v>21</v>
      </c>
      <c r="G138" s="3" t="s">
        <v>194</v>
      </c>
      <c r="H138" s="3" t="s">
        <v>11</v>
      </c>
      <c r="I138" s="3" t="s">
        <v>7</v>
      </c>
      <c r="J138" s="3" t="s">
        <v>149</v>
      </c>
      <c r="K138" s="3" t="s">
        <v>73</v>
      </c>
      <c r="L138" s="3" t="s">
        <v>150</v>
      </c>
      <c r="M138">
        <v>1</v>
      </c>
    </row>
    <row r="139" spans="1:13" x14ac:dyDescent="0.25">
      <c r="A139" s="1">
        <v>46126</v>
      </c>
      <c r="B139" s="1" t="str">
        <f ca="1">IF(Información1[[#This Row],[Fecha]]='Ajuste de fechas'!$A$2,"Día actual","Día anterior")</f>
        <v>Día actual</v>
      </c>
      <c r="C139" s="3" t="s">
        <v>71</v>
      </c>
      <c r="D139" t="s">
        <v>72</v>
      </c>
      <c r="E139" s="3" t="s">
        <v>281</v>
      </c>
      <c r="F139" s="3" t="s">
        <v>59</v>
      </c>
      <c r="G139" s="3" t="s">
        <v>282</v>
      </c>
      <c r="H139" s="3" t="s">
        <v>11</v>
      </c>
      <c r="I139" s="3" t="s">
        <v>27</v>
      </c>
      <c r="J139" s="3" t="s">
        <v>149</v>
      </c>
      <c r="K139" s="3" t="s">
        <v>9</v>
      </c>
      <c r="L139" s="3" t="s">
        <v>151</v>
      </c>
      <c r="M139">
        <v>1</v>
      </c>
    </row>
    <row r="140" spans="1:13" x14ac:dyDescent="0.25">
      <c r="A140" s="1">
        <v>46126</v>
      </c>
      <c r="B140" s="1" t="str">
        <f ca="1">IF(Información1[[#This Row],[Fecha]]='Ajuste de fechas'!$A$2,"Día actual","Día anterior")</f>
        <v>Día actual</v>
      </c>
      <c r="C140" s="3" t="s">
        <v>71</v>
      </c>
      <c r="D140" t="s">
        <v>72</v>
      </c>
      <c r="E140" s="3" t="s">
        <v>283</v>
      </c>
      <c r="F140" s="3" t="s">
        <v>19</v>
      </c>
      <c r="G140" s="3" t="s">
        <v>284</v>
      </c>
      <c r="H140" s="3" t="s">
        <v>11</v>
      </c>
      <c r="I140" s="3" t="s">
        <v>27</v>
      </c>
      <c r="J140" s="3" t="s">
        <v>153</v>
      </c>
      <c r="K140" s="3" t="s">
        <v>73</v>
      </c>
      <c r="L140" s="3" t="s">
        <v>150</v>
      </c>
      <c r="M140">
        <v>1</v>
      </c>
    </row>
    <row r="141" spans="1:13" x14ac:dyDescent="0.25">
      <c r="A141" s="1">
        <v>46126</v>
      </c>
      <c r="B141" s="1" t="str">
        <f ca="1">IF(Información1[[#This Row],[Fecha]]='Ajuste de fechas'!$A$2,"Día actual","Día anterior")</f>
        <v>Día actual</v>
      </c>
      <c r="C141" s="3" t="s">
        <v>71</v>
      </c>
      <c r="D141" t="s">
        <v>72</v>
      </c>
      <c r="E141" s="3" t="s">
        <v>285</v>
      </c>
      <c r="F141" s="3" t="s">
        <v>19</v>
      </c>
      <c r="G141" s="3" t="s">
        <v>50</v>
      </c>
      <c r="H141" s="3" t="s">
        <v>11</v>
      </c>
      <c r="I141" s="3" t="s">
        <v>7</v>
      </c>
      <c r="J141" s="3" t="s">
        <v>153</v>
      </c>
      <c r="K141" s="3" t="s">
        <v>73</v>
      </c>
      <c r="L141" s="3" t="s">
        <v>150</v>
      </c>
      <c r="M141">
        <v>1</v>
      </c>
    </row>
    <row r="142" spans="1:13" x14ac:dyDescent="0.25">
      <c r="A142" s="1">
        <v>46126</v>
      </c>
      <c r="B142" s="1" t="str">
        <f ca="1">IF(Información1[[#This Row],[Fecha]]='Ajuste de fechas'!$A$2,"Día actual","Día anterior")</f>
        <v>Día actual</v>
      </c>
      <c r="C142" s="3" t="s">
        <v>71</v>
      </c>
      <c r="D142" t="s">
        <v>72</v>
      </c>
      <c r="E142" s="3" t="s">
        <v>286</v>
      </c>
      <c r="F142" s="3" t="s">
        <v>19</v>
      </c>
      <c r="G142" s="3" t="s">
        <v>287</v>
      </c>
      <c r="H142" s="3" t="s">
        <v>11</v>
      </c>
      <c r="I142" s="3" t="s">
        <v>7</v>
      </c>
      <c r="J142" s="3" t="s">
        <v>153</v>
      </c>
      <c r="K142" s="3" t="s">
        <v>73</v>
      </c>
      <c r="L142" s="3" t="s">
        <v>150</v>
      </c>
      <c r="M142">
        <v>1</v>
      </c>
    </row>
    <row r="143" spans="1:13" x14ac:dyDescent="0.25">
      <c r="A143" s="1">
        <v>46126</v>
      </c>
      <c r="B143" s="1" t="str">
        <f ca="1">IF(Información1[[#This Row],[Fecha]]='Ajuste de fechas'!$A$2,"Día actual","Día anterior")</f>
        <v>Día actual</v>
      </c>
      <c r="C143" s="3" t="s">
        <v>71</v>
      </c>
      <c r="D143" t="s">
        <v>72</v>
      </c>
      <c r="E143" s="3" t="s">
        <v>288</v>
      </c>
      <c r="F143" s="3" t="s">
        <v>23</v>
      </c>
      <c r="G143" s="3" t="s">
        <v>165</v>
      </c>
      <c r="H143" s="3" t="s">
        <v>11</v>
      </c>
      <c r="I143" s="3" t="s">
        <v>7</v>
      </c>
      <c r="J143" s="3" t="s">
        <v>154</v>
      </c>
      <c r="K143" s="3" t="s">
        <v>73</v>
      </c>
      <c r="L143" s="3" t="s">
        <v>150</v>
      </c>
      <c r="M143">
        <v>1</v>
      </c>
    </row>
    <row r="144" spans="1:13" x14ac:dyDescent="0.25">
      <c r="A144" s="1">
        <v>46126</v>
      </c>
      <c r="B144" s="1" t="str">
        <f ca="1">IF(Información1[[#This Row],[Fecha]]='Ajuste de fechas'!$A$2,"Día actual","Día anterior")</f>
        <v>Día actual</v>
      </c>
      <c r="C144" s="3" t="s">
        <v>71</v>
      </c>
      <c r="D144" t="s">
        <v>72</v>
      </c>
      <c r="E144" s="3" t="s">
        <v>289</v>
      </c>
      <c r="F144" s="3" t="s">
        <v>200</v>
      </c>
      <c r="G144" s="3" t="s">
        <v>290</v>
      </c>
      <c r="H144" s="3" t="s">
        <v>11</v>
      </c>
      <c r="I144" s="3" t="s">
        <v>7</v>
      </c>
      <c r="J144" s="3" t="s">
        <v>149</v>
      </c>
      <c r="K144" s="3" t="s">
        <v>73</v>
      </c>
      <c r="L144" s="3" t="s">
        <v>150</v>
      </c>
      <c r="M144">
        <v>1</v>
      </c>
    </row>
    <row r="145" spans="1:13" x14ac:dyDescent="0.25">
      <c r="A145" s="1">
        <v>46126</v>
      </c>
      <c r="B145" s="1" t="str">
        <f ca="1">IF(Información1[[#This Row],[Fecha]]='Ajuste de fechas'!$A$2,"Día actual","Día anterior")</f>
        <v>Día actual</v>
      </c>
      <c r="C145" s="3" t="s">
        <v>71</v>
      </c>
      <c r="D145" t="s">
        <v>72</v>
      </c>
      <c r="E145" s="3" t="s">
        <v>291</v>
      </c>
      <c r="F145" s="3" t="s">
        <v>31</v>
      </c>
      <c r="G145" s="3" t="s">
        <v>97</v>
      </c>
      <c r="H145" s="3" t="s">
        <v>11</v>
      </c>
      <c r="I145" s="3" t="s">
        <v>27</v>
      </c>
      <c r="J145" s="3" t="s">
        <v>149</v>
      </c>
      <c r="K145" s="3" t="s">
        <v>73</v>
      </c>
      <c r="L145" s="3" t="s">
        <v>150</v>
      </c>
      <c r="M145">
        <v>1</v>
      </c>
    </row>
    <row r="146" spans="1:13" x14ac:dyDescent="0.25">
      <c r="A146" s="1">
        <v>46126</v>
      </c>
      <c r="B146" s="1" t="str">
        <f ca="1">IF(Información1[[#This Row],[Fecha]]='Ajuste de fechas'!$A$2,"Día actual","Día anterior")</f>
        <v>Día actual</v>
      </c>
      <c r="C146" s="3" t="s">
        <v>55</v>
      </c>
      <c r="D146" t="s">
        <v>56</v>
      </c>
      <c r="E146" s="3" t="s">
        <v>292</v>
      </c>
      <c r="F146" s="3" t="s">
        <v>19</v>
      </c>
      <c r="G146" s="3" t="s">
        <v>293</v>
      </c>
      <c r="H146" s="3" t="s">
        <v>49</v>
      </c>
      <c r="I146" s="3" t="s">
        <v>7</v>
      </c>
      <c r="J146" s="3" t="s">
        <v>153</v>
      </c>
      <c r="K146" s="3" t="s">
        <v>32</v>
      </c>
      <c r="L146" s="3" t="s">
        <v>150</v>
      </c>
      <c r="M146">
        <v>1</v>
      </c>
    </row>
    <row r="147" spans="1:13" x14ac:dyDescent="0.25">
      <c r="A147" s="1">
        <v>46126</v>
      </c>
      <c r="B147" s="1" t="str">
        <f ca="1">IF(Información1[[#This Row],[Fecha]]='Ajuste de fechas'!$A$2,"Día actual","Día anterior")</f>
        <v>Día actual</v>
      </c>
      <c r="C147" s="3" t="s">
        <v>55</v>
      </c>
      <c r="D147" t="s">
        <v>56</v>
      </c>
      <c r="E147" s="3" t="s">
        <v>294</v>
      </c>
      <c r="F147" s="3" t="s">
        <v>6</v>
      </c>
      <c r="G147" s="3" t="s">
        <v>295</v>
      </c>
      <c r="H147" s="3" t="s">
        <v>49</v>
      </c>
      <c r="I147" s="3" t="s">
        <v>27</v>
      </c>
      <c r="J147" s="3" t="s">
        <v>149</v>
      </c>
      <c r="K147" s="3" t="s">
        <v>32</v>
      </c>
      <c r="L147" s="3" t="s">
        <v>151</v>
      </c>
      <c r="M147">
        <v>1</v>
      </c>
    </row>
    <row r="148" spans="1:13" x14ac:dyDescent="0.25">
      <c r="A148" s="1">
        <v>46126</v>
      </c>
      <c r="B148" s="1" t="str">
        <f ca="1">IF(Información1[[#This Row],[Fecha]]='Ajuste de fechas'!$A$2,"Día actual","Día anterior")</f>
        <v>Día actual</v>
      </c>
      <c r="C148" s="3" t="s">
        <v>55</v>
      </c>
      <c r="D148" t="s">
        <v>56</v>
      </c>
      <c r="E148" s="3" t="s">
        <v>296</v>
      </c>
      <c r="F148" s="3" t="s">
        <v>6</v>
      </c>
      <c r="G148" s="3" t="s">
        <v>297</v>
      </c>
      <c r="H148" s="3" t="s">
        <v>49</v>
      </c>
      <c r="I148" s="3" t="s">
        <v>27</v>
      </c>
      <c r="J148" s="3" t="s">
        <v>149</v>
      </c>
      <c r="K148" s="3" t="s">
        <v>9</v>
      </c>
      <c r="L148" s="3" t="s">
        <v>151</v>
      </c>
      <c r="M148">
        <v>1</v>
      </c>
    </row>
    <row r="149" spans="1:13" x14ac:dyDescent="0.25">
      <c r="A149" s="1">
        <v>46126</v>
      </c>
      <c r="B149" s="1" t="str">
        <f ca="1">IF(Información1[[#This Row],[Fecha]]='Ajuste de fechas'!$A$2,"Día actual","Día anterior")</f>
        <v>Día actual</v>
      </c>
      <c r="C149" s="3" t="s">
        <v>55</v>
      </c>
      <c r="D149" t="s">
        <v>56</v>
      </c>
      <c r="E149" s="3" t="s">
        <v>298</v>
      </c>
      <c r="F149" s="3" t="s">
        <v>22</v>
      </c>
      <c r="G149" s="3" t="s">
        <v>61</v>
      </c>
      <c r="H149" s="3" t="s">
        <v>49</v>
      </c>
      <c r="I149" s="3" t="s">
        <v>7</v>
      </c>
      <c r="J149" s="3" t="s">
        <v>26</v>
      </c>
      <c r="K149" s="3" t="s">
        <v>32</v>
      </c>
      <c r="L149" s="3" t="s">
        <v>150</v>
      </c>
      <c r="M149">
        <v>1</v>
      </c>
    </row>
    <row r="150" spans="1:13" x14ac:dyDescent="0.25">
      <c r="A150" s="1">
        <v>46126</v>
      </c>
      <c r="B150" s="1" t="str">
        <f ca="1">IF(Información1[[#This Row],[Fecha]]='Ajuste de fechas'!$A$2,"Día actual","Día anterior")</f>
        <v>Día actual</v>
      </c>
      <c r="C150" s="3" t="s">
        <v>55</v>
      </c>
      <c r="D150" t="s">
        <v>56</v>
      </c>
      <c r="E150" s="3" t="s">
        <v>299</v>
      </c>
      <c r="F150" s="3" t="s">
        <v>26</v>
      </c>
      <c r="G150" s="3" t="s">
        <v>300</v>
      </c>
      <c r="H150" s="3" t="s">
        <v>49</v>
      </c>
      <c r="I150" s="3" t="s">
        <v>7</v>
      </c>
      <c r="J150" s="3" t="s">
        <v>26</v>
      </c>
      <c r="K150" s="3" t="s">
        <v>301</v>
      </c>
      <c r="L150" s="3" t="s">
        <v>151</v>
      </c>
      <c r="M150">
        <v>1</v>
      </c>
    </row>
    <row r="151" spans="1:13" x14ac:dyDescent="0.25">
      <c r="A151" s="1">
        <v>46126</v>
      </c>
      <c r="B151" s="1" t="str">
        <f ca="1">IF(Información1[[#This Row],[Fecha]]='Ajuste de fechas'!$A$2,"Día actual","Día anterior")</f>
        <v>Día actual</v>
      </c>
      <c r="C151" s="3" t="s">
        <v>55</v>
      </c>
      <c r="D151" t="s">
        <v>56</v>
      </c>
      <c r="E151" s="3" t="s">
        <v>302</v>
      </c>
      <c r="F151" s="3" t="s">
        <v>22</v>
      </c>
      <c r="G151" s="3" t="s">
        <v>303</v>
      </c>
      <c r="H151" s="3" t="s">
        <v>49</v>
      </c>
      <c r="I151" s="3" t="s">
        <v>7</v>
      </c>
      <c r="J151" s="3" t="s">
        <v>26</v>
      </c>
      <c r="K151" s="3" t="s">
        <v>32</v>
      </c>
      <c r="L151" s="3" t="s">
        <v>150</v>
      </c>
      <c r="M151">
        <v>1</v>
      </c>
    </row>
    <row r="152" spans="1:13" x14ac:dyDescent="0.25">
      <c r="A152" s="1">
        <v>46126</v>
      </c>
      <c r="B152" s="1" t="str">
        <f ca="1">IF(Información1[[#This Row],[Fecha]]='Ajuste de fechas'!$A$2,"Día actual","Día anterior")</f>
        <v>Día actual</v>
      </c>
      <c r="C152" s="3" t="s">
        <v>55</v>
      </c>
      <c r="D152" t="s">
        <v>56</v>
      </c>
      <c r="E152" s="3" t="s">
        <v>304</v>
      </c>
      <c r="F152" s="3" t="s">
        <v>21</v>
      </c>
      <c r="G152" s="3" t="s">
        <v>305</v>
      </c>
      <c r="H152" s="3" t="s">
        <v>49</v>
      </c>
      <c r="I152" s="3" t="s">
        <v>7</v>
      </c>
      <c r="J152" s="3" t="s">
        <v>149</v>
      </c>
      <c r="K152" s="3" t="s">
        <v>32</v>
      </c>
      <c r="L152" s="3" t="s">
        <v>151</v>
      </c>
      <c r="M152">
        <v>1</v>
      </c>
    </row>
    <row r="153" spans="1:13" x14ac:dyDescent="0.25">
      <c r="A153" s="1">
        <v>46126</v>
      </c>
      <c r="B153" s="1" t="str">
        <f ca="1">IF(Información1[[#This Row],[Fecha]]='Ajuste de fechas'!$A$2,"Día actual","Día anterior")</f>
        <v>Día actual</v>
      </c>
      <c r="C153" s="3" t="s">
        <v>55</v>
      </c>
      <c r="D153" t="s">
        <v>56</v>
      </c>
      <c r="E153" s="3" t="s">
        <v>306</v>
      </c>
      <c r="F153" s="3" t="s">
        <v>70</v>
      </c>
      <c r="G153" s="3" t="s">
        <v>293</v>
      </c>
      <c r="H153" s="3" t="s">
        <v>49</v>
      </c>
      <c r="I153" s="3" t="s">
        <v>7</v>
      </c>
      <c r="J153" s="3" t="s">
        <v>149</v>
      </c>
      <c r="K153" s="3" t="s">
        <v>32</v>
      </c>
      <c r="L153" s="3" t="s">
        <v>152</v>
      </c>
      <c r="M153">
        <v>1</v>
      </c>
    </row>
    <row r="154" spans="1:13" x14ac:dyDescent="0.25">
      <c r="A154" s="1">
        <v>46126</v>
      </c>
      <c r="B154" s="1" t="str">
        <f ca="1">IF(Información1[[#This Row],[Fecha]]='Ajuste de fechas'!$A$2,"Día actual","Día anterior")</f>
        <v>Día actual</v>
      </c>
      <c r="C154" s="3" t="s">
        <v>55</v>
      </c>
      <c r="D154" t="s">
        <v>56</v>
      </c>
      <c r="E154" s="3" t="s">
        <v>307</v>
      </c>
      <c r="F154" s="3" t="s">
        <v>17</v>
      </c>
      <c r="G154" s="3" t="s">
        <v>198</v>
      </c>
      <c r="H154" s="3" t="s">
        <v>49</v>
      </c>
      <c r="I154" s="3" t="s">
        <v>7</v>
      </c>
      <c r="J154" s="3" t="s">
        <v>149</v>
      </c>
      <c r="K154" s="3" t="s">
        <v>32</v>
      </c>
      <c r="L154" s="3" t="s">
        <v>152</v>
      </c>
      <c r="M154">
        <v>1</v>
      </c>
    </row>
    <row r="155" spans="1:13" x14ac:dyDescent="0.25">
      <c r="A155" s="1">
        <v>46126</v>
      </c>
      <c r="B155" s="1" t="str">
        <f ca="1">IF(Información1[[#This Row],[Fecha]]='Ajuste de fechas'!$A$2,"Día actual","Día anterior")</f>
        <v>Día actual</v>
      </c>
      <c r="C155" s="3" t="s">
        <v>55</v>
      </c>
      <c r="D155" t="s">
        <v>56</v>
      </c>
      <c r="E155" s="3" t="s">
        <v>308</v>
      </c>
      <c r="F155" s="3" t="s">
        <v>28</v>
      </c>
      <c r="G155" s="3" t="s">
        <v>309</v>
      </c>
      <c r="H155" s="3" t="s">
        <v>49</v>
      </c>
      <c r="I155" s="3" t="s">
        <v>7</v>
      </c>
      <c r="J155" s="3" t="s">
        <v>149</v>
      </c>
      <c r="K155" s="3" t="s">
        <v>32</v>
      </c>
      <c r="L155" s="3" t="s">
        <v>152</v>
      </c>
      <c r="M155">
        <v>1</v>
      </c>
    </row>
    <row r="156" spans="1:13" x14ac:dyDescent="0.25">
      <c r="A156" s="1">
        <v>46126</v>
      </c>
      <c r="B156" s="1" t="str">
        <f ca="1">IF(Información1[[#This Row],[Fecha]]='Ajuste de fechas'!$A$2,"Día actual","Día anterior")</f>
        <v>Día actual</v>
      </c>
      <c r="C156" s="3" t="s">
        <v>55</v>
      </c>
      <c r="D156" t="s">
        <v>56</v>
      </c>
      <c r="E156" s="3" t="s">
        <v>310</v>
      </c>
      <c r="F156" s="3" t="s">
        <v>24</v>
      </c>
      <c r="G156" s="3" t="s">
        <v>50</v>
      </c>
      <c r="H156" s="3" t="s">
        <v>49</v>
      </c>
      <c r="I156" s="3" t="s">
        <v>7</v>
      </c>
      <c r="J156" s="3" t="s">
        <v>149</v>
      </c>
      <c r="K156" s="3" t="s">
        <v>32</v>
      </c>
      <c r="L156" s="3" t="s">
        <v>150</v>
      </c>
      <c r="M156">
        <v>1</v>
      </c>
    </row>
    <row r="157" spans="1:13" x14ac:dyDescent="0.25">
      <c r="A157" s="1">
        <v>46126</v>
      </c>
      <c r="B157" s="1" t="str">
        <f ca="1">IF(Información1[[#This Row],[Fecha]]='Ajuste de fechas'!$A$2,"Día actual","Día anterior")</f>
        <v>Día actual</v>
      </c>
      <c r="C157" s="3" t="s">
        <v>8</v>
      </c>
      <c r="D157" t="s">
        <v>10</v>
      </c>
      <c r="E157" s="3" t="s">
        <v>311</v>
      </c>
      <c r="F157" s="3" t="s">
        <v>6</v>
      </c>
      <c r="G157" s="3" t="s">
        <v>99</v>
      </c>
      <c r="H157" s="3" t="s">
        <v>11</v>
      </c>
      <c r="I157" s="3" t="s">
        <v>27</v>
      </c>
      <c r="J157" s="3" t="s">
        <v>149</v>
      </c>
      <c r="K157" s="3" t="s">
        <v>9</v>
      </c>
      <c r="L157" s="3" t="s">
        <v>151</v>
      </c>
      <c r="M157">
        <v>1</v>
      </c>
    </row>
    <row r="158" spans="1:13" x14ac:dyDescent="0.25">
      <c r="A158" s="1">
        <v>46126</v>
      </c>
      <c r="B158" s="1" t="str">
        <f ca="1">IF(Información1[[#This Row],[Fecha]]='Ajuste de fechas'!$A$2,"Día actual","Día anterior")</f>
        <v>Día actual</v>
      </c>
      <c r="C158" s="3" t="s">
        <v>8</v>
      </c>
      <c r="D158" t="s">
        <v>10</v>
      </c>
      <c r="E158" s="3" t="s">
        <v>312</v>
      </c>
      <c r="F158" s="3" t="s">
        <v>26</v>
      </c>
      <c r="G158" s="3" t="s">
        <v>313</v>
      </c>
      <c r="H158" s="3" t="s">
        <v>11</v>
      </c>
      <c r="I158" s="3" t="s">
        <v>7</v>
      </c>
      <c r="J158" s="3" t="s">
        <v>26</v>
      </c>
      <c r="K158" s="3" t="s">
        <v>14</v>
      </c>
      <c r="L158" s="3" t="s">
        <v>150</v>
      </c>
      <c r="M158">
        <v>1</v>
      </c>
    </row>
    <row r="159" spans="1:13" x14ac:dyDescent="0.25">
      <c r="A159" s="1">
        <v>46126</v>
      </c>
      <c r="B159" s="1" t="str">
        <f ca="1">IF(Información1[[#This Row],[Fecha]]='Ajuste de fechas'!$A$2,"Día actual","Día anterior")</f>
        <v>Día actual</v>
      </c>
      <c r="C159" s="3" t="s">
        <v>8</v>
      </c>
      <c r="D159" t="s">
        <v>10</v>
      </c>
      <c r="E159" s="3" t="s">
        <v>314</v>
      </c>
      <c r="F159" s="3" t="s">
        <v>6</v>
      </c>
      <c r="G159" s="3" t="s">
        <v>315</v>
      </c>
      <c r="H159" s="3" t="s">
        <v>11</v>
      </c>
      <c r="I159" s="3" t="s">
        <v>27</v>
      </c>
      <c r="J159" s="3" t="s">
        <v>149</v>
      </c>
      <c r="K159" s="3" t="s">
        <v>9</v>
      </c>
      <c r="L159" s="3" t="s">
        <v>151</v>
      </c>
      <c r="M159">
        <v>1</v>
      </c>
    </row>
    <row r="160" spans="1:13" x14ac:dyDescent="0.25">
      <c r="A160" s="1">
        <v>46126</v>
      </c>
      <c r="B160" s="1" t="str">
        <f ca="1">IF(Información1[[#This Row],[Fecha]]='Ajuste de fechas'!$A$2,"Día actual","Día anterior")</f>
        <v>Día actual</v>
      </c>
      <c r="C160" s="3" t="s">
        <v>8</v>
      </c>
      <c r="D160" t="s">
        <v>10</v>
      </c>
      <c r="E160" s="3" t="s">
        <v>20</v>
      </c>
      <c r="F160" s="3" t="s">
        <v>19</v>
      </c>
      <c r="G160" s="3" t="s">
        <v>104</v>
      </c>
      <c r="H160" s="3" t="s">
        <v>11</v>
      </c>
      <c r="I160" s="3" t="s">
        <v>12</v>
      </c>
      <c r="J160" s="3" t="s">
        <v>153</v>
      </c>
      <c r="K160" s="3" t="s">
        <v>14</v>
      </c>
      <c r="L160" s="3" t="s">
        <v>151</v>
      </c>
      <c r="M160">
        <v>1</v>
      </c>
    </row>
    <row r="161" spans="1:13" x14ac:dyDescent="0.25">
      <c r="A161" s="1">
        <v>46126</v>
      </c>
      <c r="B161" s="1" t="str">
        <f ca="1">IF(Información1[[#This Row],[Fecha]]='Ajuste de fechas'!$A$2,"Día actual","Día anterior")</f>
        <v>Día actual</v>
      </c>
      <c r="C161" s="3" t="s">
        <v>8</v>
      </c>
      <c r="D161" t="s">
        <v>10</v>
      </c>
      <c r="E161" s="3" t="s">
        <v>18</v>
      </c>
      <c r="F161" s="3" t="s">
        <v>19</v>
      </c>
      <c r="G161" s="3" t="s">
        <v>104</v>
      </c>
      <c r="H161" s="3" t="s">
        <v>11</v>
      </c>
      <c r="I161" s="3" t="s">
        <v>12</v>
      </c>
      <c r="J161" s="3" t="s">
        <v>153</v>
      </c>
      <c r="K161" s="3" t="s">
        <v>14</v>
      </c>
      <c r="L161" s="3" t="s">
        <v>151</v>
      </c>
      <c r="M161">
        <v>1</v>
      </c>
    </row>
    <row r="162" spans="1:13" x14ac:dyDescent="0.25">
      <c r="A162" s="1">
        <v>46126</v>
      </c>
      <c r="B162" s="1" t="str">
        <f ca="1">IF(Información1[[#This Row],[Fecha]]='Ajuste de fechas'!$A$2,"Día actual","Día anterior")</f>
        <v>Día actual</v>
      </c>
      <c r="C162" s="3" t="s">
        <v>8</v>
      </c>
      <c r="D162" t="s">
        <v>10</v>
      </c>
      <c r="E162" s="3" t="s">
        <v>83</v>
      </c>
      <c r="F162" s="3" t="s">
        <v>22</v>
      </c>
      <c r="G162" s="3" t="s">
        <v>104</v>
      </c>
      <c r="H162" s="3" t="s">
        <v>11</v>
      </c>
      <c r="I162" s="3" t="s">
        <v>12</v>
      </c>
      <c r="J162" s="3" t="s">
        <v>26</v>
      </c>
      <c r="K162" s="3" t="s">
        <v>14</v>
      </c>
      <c r="L162" s="3" t="s">
        <v>151</v>
      </c>
      <c r="M162">
        <v>1</v>
      </c>
    </row>
    <row r="163" spans="1:13" x14ac:dyDescent="0.25">
      <c r="A163" s="1">
        <v>46126</v>
      </c>
      <c r="B163" s="1" t="str">
        <f ca="1">IF(Información1[[#This Row],[Fecha]]='Ajuste de fechas'!$A$2,"Día actual","Día anterior")</f>
        <v>Día actual</v>
      </c>
      <c r="C163" s="3" t="s">
        <v>8</v>
      </c>
      <c r="D163" t="s">
        <v>10</v>
      </c>
      <c r="E163" s="3" t="s">
        <v>163</v>
      </c>
      <c r="F163" s="3" t="s">
        <v>21</v>
      </c>
      <c r="G163" s="3" t="s">
        <v>104</v>
      </c>
      <c r="H163" s="3" t="s">
        <v>11</v>
      </c>
      <c r="I163" s="3" t="s">
        <v>12</v>
      </c>
      <c r="J163" s="3" t="s">
        <v>149</v>
      </c>
      <c r="K163" s="3" t="s">
        <v>14</v>
      </c>
      <c r="L163" s="3" t="s">
        <v>151</v>
      </c>
      <c r="M163">
        <v>1</v>
      </c>
    </row>
    <row r="164" spans="1:13" x14ac:dyDescent="0.25">
      <c r="A164" s="1">
        <v>46126</v>
      </c>
      <c r="B164" s="1" t="str">
        <f ca="1">IF(Información1[[#This Row],[Fecha]]='Ajuste de fechas'!$A$2,"Día actual","Día anterior")</f>
        <v>Día actual</v>
      </c>
      <c r="C164" s="3" t="s">
        <v>8</v>
      </c>
      <c r="D164" t="s">
        <v>10</v>
      </c>
      <c r="E164" s="3" t="s">
        <v>13</v>
      </c>
      <c r="F164" s="3" t="s">
        <v>15</v>
      </c>
      <c r="G164" s="3" t="s">
        <v>104</v>
      </c>
      <c r="H164" s="3" t="s">
        <v>11</v>
      </c>
      <c r="I164" s="3" t="s">
        <v>12</v>
      </c>
      <c r="J164" s="3" t="s">
        <v>149</v>
      </c>
      <c r="K164" s="3" t="s">
        <v>14</v>
      </c>
      <c r="L164" s="3" t="s">
        <v>151</v>
      </c>
      <c r="M164">
        <v>1</v>
      </c>
    </row>
    <row r="165" spans="1:13" x14ac:dyDescent="0.25">
      <c r="A165" s="1">
        <v>46126</v>
      </c>
      <c r="B165" s="1" t="str">
        <f ca="1">IF(Información1[[#This Row],[Fecha]]='Ajuste de fechas'!$A$2,"Día actual","Día anterior")</f>
        <v>Día actual</v>
      </c>
      <c r="C165" s="3" t="s">
        <v>8</v>
      </c>
      <c r="D165" t="s">
        <v>10</v>
      </c>
      <c r="E165" s="3" t="s">
        <v>16</v>
      </c>
      <c r="F165" s="3" t="s">
        <v>17</v>
      </c>
      <c r="G165" s="3" t="s">
        <v>104</v>
      </c>
      <c r="H165" s="3" t="s">
        <v>11</v>
      </c>
      <c r="I165" s="3" t="s">
        <v>12</v>
      </c>
      <c r="J165" s="3" t="s">
        <v>149</v>
      </c>
      <c r="K165" s="3" t="s">
        <v>14</v>
      </c>
      <c r="L165" s="3" t="s">
        <v>151</v>
      </c>
      <c r="M165">
        <v>1</v>
      </c>
    </row>
    <row r="166" spans="1:13" x14ac:dyDescent="0.25">
      <c r="A166" s="1">
        <v>46126</v>
      </c>
      <c r="B166" s="1" t="str">
        <f ca="1">IF(Información1[[#This Row],[Fecha]]='Ajuste de fechas'!$A$2,"Día actual","Día anterior")</f>
        <v>Día actual</v>
      </c>
      <c r="C166" s="3" t="s">
        <v>8</v>
      </c>
      <c r="D166" t="s">
        <v>10</v>
      </c>
      <c r="E166" s="3" t="s">
        <v>107</v>
      </c>
      <c r="F166" s="3" t="s">
        <v>6</v>
      </c>
      <c r="G166" s="3" t="s">
        <v>104</v>
      </c>
      <c r="H166" s="3" t="s">
        <v>11</v>
      </c>
      <c r="I166" s="3" t="s">
        <v>12</v>
      </c>
      <c r="J166" s="3" t="s">
        <v>149</v>
      </c>
      <c r="K166" s="3" t="s">
        <v>14</v>
      </c>
      <c r="L166" s="3" t="s">
        <v>151</v>
      </c>
      <c r="M166">
        <v>1</v>
      </c>
    </row>
    <row r="167" spans="1:13" x14ac:dyDescent="0.25">
      <c r="A167" s="1">
        <v>46126</v>
      </c>
      <c r="B167" s="1" t="str">
        <f ca="1">IF(Información1[[#This Row],[Fecha]]='Ajuste de fechas'!$A$2,"Día actual","Día anterior")</f>
        <v>Día actual</v>
      </c>
      <c r="C167" s="3" t="s">
        <v>42</v>
      </c>
      <c r="D167" t="s">
        <v>45</v>
      </c>
      <c r="E167" s="3" t="s">
        <v>316</v>
      </c>
      <c r="F167" s="3" t="s">
        <v>23</v>
      </c>
      <c r="G167" s="3" t="s">
        <v>165</v>
      </c>
      <c r="H167" s="3" t="s">
        <v>11</v>
      </c>
      <c r="I167" s="3" t="s">
        <v>7</v>
      </c>
      <c r="J167" s="3" t="s">
        <v>154</v>
      </c>
      <c r="K167" s="3" t="s">
        <v>43</v>
      </c>
      <c r="L167" s="3" t="s">
        <v>150</v>
      </c>
      <c r="M167">
        <v>1</v>
      </c>
    </row>
    <row r="168" spans="1:13" x14ac:dyDescent="0.25">
      <c r="A168" s="1">
        <v>46126</v>
      </c>
      <c r="B168" s="1" t="str">
        <f ca="1">IF(Información1[[#This Row],[Fecha]]='Ajuste de fechas'!$A$2,"Día actual","Día anterior")</f>
        <v>Día actual</v>
      </c>
      <c r="C168" s="3" t="s">
        <v>8</v>
      </c>
      <c r="D168" t="s">
        <v>10</v>
      </c>
      <c r="E168" s="3" t="s">
        <v>317</v>
      </c>
      <c r="F168" s="3" t="s">
        <v>19</v>
      </c>
      <c r="G168" s="3" t="s">
        <v>167</v>
      </c>
      <c r="H168" s="3" t="s">
        <v>11</v>
      </c>
      <c r="I168" s="3" t="s">
        <v>27</v>
      </c>
      <c r="J168" s="3" t="s">
        <v>153</v>
      </c>
      <c r="K168" s="3" t="s">
        <v>9</v>
      </c>
      <c r="L168" s="3" t="s">
        <v>151</v>
      </c>
      <c r="M168">
        <v>1</v>
      </c>
    </row>
    <row r="169" spans="1:13" x14ac:dyDescent="0.25">
      <c r="A169" s="1">
        <v>46126</v>
      </c>
      <c r="B169" s="1" t="str">
        <f ca="1">IF(Información1[[#This Row],[Fecha]]='Ajuste de fechas'!$A$2,"Día actual","Día anterior")</f>
        <v>Día actual</v>
      </c>
      <c r="C169" s="3" t="s">
        <v>42</v>
      </c>
      <c r="D169" t="s">
        <v>45</v>
      </c>
      <c r="E169" s="3" t="s">
        <v>318</v>
      </c>
      <c r="F169" s="3" t="s">
        <v>23</v>
      </c>
      <c r="G169" s="3" t="s">
        <v>319</v>
      </c>
      <c r="H169" s="3" t="s">
        <v>11</v>
      </c>
      <c r="I169" s="3" t="s">
        <v>7</v>
      </c>
      <c r="J169" s="3" t="s">
        <v>154</v>
      </c>
      <c r="K169" s="3" t="s">
        <v>43</v>
      </c>
      <c r="L169" s="3" t="s">
        <v>150</v>
      </c>
      <c r="M169">
        <v>1</v>
      </c>
    </row>
    <row r="170" spans="1:13" x14ac:dyDescent="0.25">
      <c r="A170" s="1">
        <v>46126</v>
      </c>
      <c r="B170" s="1" t="str">
        <f ca="1">IF(Información1[[#This Row],[Fecha]]='Ajuste de fechas'!$A$2,"Día actual","Día anterior")</f>
        <v>Día actual</v>
      </c>
      <c r="C170" s="3" t="s">
        <v>42</v>
      </c>
      <c r="D170" t="s">
        <v>44</v>
      </c>
      <c r="E170" s="3" t="s">
        <v>320</v>
      </c>
      <c r="F170" s="3" t="s">
        <v>24</v>
      </c>
      <c r="G170" s="3" t="s">
        <v>321</v>
      </c>
      <c r="H170" s="3" t="s">
        <v>11</v>
      </c>
      <c r="I170" s="3" t="s">
        <v>12</v>
      </c>
      <c r="J170" s="3" t="s">
        <v>149</v>
      </c>
      <c r="K170" s="3" t="s">
        <v>106</v>
      </c>
      <c r="L170" s="3" t="s">
        <v>151</v>
      </c>
      <c r="M170">
        <v>1</v>
      </c>
    </row>
    <row r="171" spans="1:13" x14ac:dyDescent="0.25">
      <c r="A171" s="1">
        <v>46126</v>
      </c>
      <c r="B171" s="1" t="str">
        <f ca="1">IF(Información1[[#This Row],[Fecha]]='Ajuste de fechas'!$A$2,"Día actual","Día anterior")</f>
        <v>Día actual</v>
      </c>
      <c r="C171" s="3" t="s">
        <v>42</v>
      </c>
      <c r="D171" t="s">
        <v>44</v>
      </c>
      <c r="E171" s="3" t="s">
        <v>322</v>
      </c>
      <c r="F171" s="3" t="s">
        <v>24</v>
      </c>
      <c r="G171" s="3" t="s">
        <v>321</v>
      </c>
      <c r="H171" s="3" t="s">
        <v>11</v>
      </c>
      <c r="I171" s="3" t="s">
        <v>7</v>
      </c>
      <c r="J171" s="3" t="s">
        <v>149</v>
      </c>
      <c r="K171" s="3" t="s">
        <v>106</v>
      </c>
      <c r="L171" s="3" t="s">
        <v>152</v>
      </c>
      <c r="M171">
        <v>1</v>
      </c>
    </row>
    <row r="172" spans="1:13" x14ac:dyDescent="0.25">
      <c r="A172" s="1">
        <v>46126</v>
      </c>
      <c r="B172" s="1" t="str">
        <f ca="1">IF(Información1[[#This Row],[Fecha]]='Ajuste de fechas'!$A$2,"Día actual","Día anterior")</f>
        <v>Día actual</v>
      </c>
      <c r="C172" s="3" t="s">
        <v>42</v>
      </c>
      <c r="D172" t="s">
        <v>44</v>
      </c>
      <c r="E172" s="3" t="s">
        <v>323</v>
      </c>
      <c r="F172" s="3" t="s">
        <v>24</v>
      </c>
      <c r="G172" s="3" t="s">
        <v>321</v>
      </c>
      <c r="H172" s="3" t="s">
        <v>11</v>
      </c>
      <c r="I172" s="3" t="s">
        <v>7</v>
      </c>
      <c r="J172" s="3" t="s">
        <v>149</v>
      </c>
      <c r="K172" s="3" t="s">
        <v>106</v>
      </c>
      <c r="L172" s="3" t="s">
        <v>152</v>
      </c>
      <c r="M172">
        <v>1</v>
      </c>
    </row>
    <row r="173" spans="1:13" x14ac:dyDescent="0.25">
      <c r="A173" s="1">
        <v>46126</v>
      </c>
      <c r="B173" s="1" t="str">
        <f ca="1">IF(Información1[[#This Row],[Fecha]]='Ajuste de fechas'!$A$2,"Día actual","Día anterior")</f>
        <v>Día actual</v>
      </c>
      <c r="C173" s="3" t="s">
        <v>42</v>
      </c>
      <c r="D173" t="s">
        <v>45</v>
      </c>
      <c r="E173" s="3" t="s">
        <v>323</v>
      </c>
      <c r="F173" s="3" t="s">
        <v>24</v>
      </c>
      <c r="G173" s="3" t="s">
        <v>321</v>
      </c>
      <c r="H173" s="3" t="s">
        <v>11</v>
      </c>
      <c r="I173" s="3" t="s">
        <v>7</v>
      </c>
      <c r="J173" s="3" t="s">
        <v>149</v>
      </c>
      <c r="K173" s="3" t="s">
        <v>43</v>
      </c>
      <c r="L173" s="3" t="s">
        <v>152</v>
      </c>
      <c r="M173">
        <v>1</v>
      </c>
    </row>
    <row r="174" spans="1:13" x14ac:dyDescent="0.25">
      <c r="A174" s="1">
        <v>46126</v>
      </c>
      <c r="B174" s="1" t="str">
        <f ca="1">IF(Información1[[#This Row],[Fecha]]='Ajuste de fechas'!$A$2,"Día actual","Día anterior")</f>
        <v>Día actual</v>
      </c>
      <c r="C174" s="3" t="s">
        <v>42</v>
      </c>
      <c r="D174" t="s">
        <v>45</v>
      </c>
      <c r="E174" s="3" t="s">
        <v>322</v>
      </c>
      <c r="F174" s="3" t="s">
        <v>24</v>
      </c>
      <c r="G174" s="3" t="s">
        <v>321</v>
      </c>
      <c r="H174" s="3" t="s">
        <v>11</v>
      </c>
      <c r="I174" s="3" t="s">
        <v>7</v>
      </c>
      <c r="J174" s="3" t="s">
        <v>149</v>
      </c>
      <c r="K174" s="3" t="s">
        <v>43</v>
      </c>
      <c r="L174" s="3" t="s">
        <v>152</v>
      </c>
      <c r="M174">
        <v>1</v>
      </c>
    </row>
    <row r="175" spans="1:13" x14ac:dyDescent="0.25">
      <c r="A175" s="1">
        <v>46126</v>
      </c>
      <c r="B175" s="1" t="str">
        <f ca="1">IF(Información1[[#This Row],[Fecha]]='Ajuste de fechas'!$A$2,"Día actual","Día anterior")</f>
        <v>Día actual</v>
      </c>
      <c r="C175" s="3" t="s">
        <v>42</v>
      </c>
      <c r="D175" t="s">
        <v>45</v>
      </c>
      <c r="E175" s="3" t="s">
        <v>324</v>
      </c>
      <c r="F175" s="3" t="s">
        <v>51</v>
      </c>
      <c r="G175" s="3" t="s">
        <v>321</v>
      </c>
      <c r="H175" s="3" t="s">
        <v>11</v>
      </c>
      <c r="I175" s="3" t="s">
        <v>7</v>
      </c>
      <c r="J175" s="3" t="s">
        <v>149</v>
      </c>
      <c r="K175" s="3" t="s">
        <v>43</v>
      </c>
      <c r="L175" s="3" t="s">
        <v>150</v>
      </c>
      <c r="M175">
        <v>1</v>
      </c>
    </row>
    <row r="176" spans="1:13" x14ac:dyDescent="0.25">
      <c r="A176" s="1">
        <v>46126</v>
      </c>
      <c r="B176" s="1" t="str">
        <f ca="1">IF(Información1[[#This Row],[Fecha]]='Ajuste de fechas'!$A$2,"Día actual","Día anterior")</f>
        <v>Día actual</v>
      </c>
      <c r="C176" s="3" t="s">
        <v>42</v>
      </c>
      <c r="D176" t="s">
        <v>45</v>
      </c>
      <c r="E176" s="3" t="s">
        <v>325</v>
      </c>
      <c r="F176" s="3" t="s">
        <v>23</v>
      </c>
      <c r="G176" s="3" t="s">
        <v>326</v>
      </c>
      <c r="H176" s="3" t="s">
        <v>11</v>
      </c>
      <c r="I176" s="3" t="s">
        <v>7</v>
      </c>
      <c r="J176" s="3" t="s">
        <v>154</v>
      </c>
      <c r="K176" s="3" t="s">
        <v>43</v>
      </c>
      <c r="L176" s="3" t="s">
        <v>150</v>
      </c>
      <c r="M176">
        <v>1</v>
      </c>
    </row>
    <row r="177" spans="1:13" x14ac:dyDescent="0.25">
      <c r="A177" s="1">
        <v>46126</v>
      </c>
      <c r="B177" s="1" t="str">
        <f ca="1">IF(Información1[[#This Row],[Fecha]]='Ajuste de fechas'!$A$2,"Día actual","Día anterior")</f>
        <v>Día actual</v>
      </c>
      <c r="C177" s="3" t="s">
        <v>8</v>
      </c>
      <c r="D177" t="s">
        <v>10</v>
      </c>
      <c r="E177" s="3" t="s">
        <v>327</v>
      </c>
      <c r="F177" s="3" t="s">
        <v>70</v>
      </c>
      <c r="G177" s="3" t="s">
        <v>293</v>
      </c>
      <c r="H177" s="3" t="s">
        <v>11</v>
      </c>
      <c r="I177" s="3" t="s">
        <v>7</v>
      </c>
      <c r="J177" s="3" t="s">
        <v>149</v>
      </c>
      <c r="K177" s="3" t="s">
        <v>14</v>
      </c>
      <c r="L177" s="3" t="s">
        <v>152</v>
      </c>
      <c r="M177">
        <v>1</v>
      </c>
    </row>
    <row r="178" spans="1:13" x14ac:dyDescent="0.25">
      <c r="A178" s="1">
        <v>46126</v>
      </c>
      <c r="B178" s="1" t="str">
        <f ca="1">IF(Información1[[#This Row],[Fecha]]='Ajuste de fechas'!$A$2,"Día actual","Día anterior")</f>
        <v>Día actual</v>
      </c>
      <c r="C178" s="3" t="s">
        <v>42</v>
      </c>
      <c r="D178" t="s">
        <v>45</v>
      </c>
      <c r="E178" s="3" t="s">
        <v>328</v>
      </c>
      <c r="F178" s="3" t="s">
        <v>15</v>
      </c>
      <c r="G178" s="3" t="s">
        <v>229</v>
      </c>
      <c r="H178" s="3" t="s">
        <v>11</v>
      </c>
      <c r="I178" s="3" t="s">
        <v>7</v>
      </c>
      <c r="J178" s="3" t="s">
        <v>149</v>
      </c>
      <c r="K178" s="3" t="s">
        <v>43</v>
      </c>
      <c r="L178" s="3" t="s">
        <v>152</v>
      </c>
      <c r="M178">
        <v>1</v>
      </c>
    </row>
    <row r="179" spans="1:13" x14ac:dyDescent="0.25">
      <c r="A179" s="1">
        <v>46126</v>
      </c>
      <c r="B179" s="1" t="str">
        <f ca="1">IF(Información1[[#This Row],[Fecha]]='Ajuste de fechas'!$A$2,"Día actual","Día anterior")</f>
        <v>Día actual</v>
      </c>
      <c r="C179" s="3" t="s">
        <v>8</v>
      </c>
      <c r="D179" t="s">
        <v>10</v>
      </c>
      <c r="E179" s="3" t="s">
        <v>328</v>
      </c>
      <c r="F179" s="3" t="s">
        <v>15</v>
      </c>
      <c r="G179" s="3" t="s">
        <v>229</v>
      </c>
      <c r="H179" s="3" t="s">
        <v>11</v>
      </c>
      <c r="I179" s="3" t="s">
        <v>7</v>
      </c>
      <c r="J179" s="3" t="s">
        <v>149</v>
      </c>
      <c r="K179" s="3" t="s">
        <v>14</v>
      </c>
      <c r="L179" s="3" t="s">
        <v>152</v>
      </c>
      <c r="M179">
        <v>1</v>
      </c>
    </row>
    <row r="180" spans="1:13" x14ac:dyDescent="0.25">
      <c r="A180" s="1">
        <v>46126</v>
      </c>
      <c r="B180" s="1" t="str">
        <f ca="1">IF(Información1[[#This Row],[Fecha]]='Ajuste de fechas'!$A$2,"Día actual","Día anterior")</f>
        <v>Día actual</v>
      </c>
      <c r="C180" s="3" t="s">
        <v>8</v>
      </c>
      <c r="D180" t="s">
        <v>10</v>
      </c>
      <c r="E180" s="3" t="s">
        <v>329</v>
      </c>
      <c r="F180" s="3" t="s">
        <v>6</v>
      </c>
      <c r="G180" s="3" t="s">
        <v>183</v>
      </c>
      <c r="H180" s="3" t="s">
        <v>11</v>
      </c>
      <c r="I180" s="3" t="s">
        <v>27</v>
      </c>
      <c r="J180" s="3" t="s">
        <v>149</v>
      </c>
      <c r="K180" s="3" t="s">
        <v>9</v>
      </c>
      <c r="L180" s="3" t="s">
        <v>151</v>
      </c>
      <c r="M180">
        <v>1</v>
      </c>
    </row>
    <row r="181" spans="1:13" x14ac:dyDescent="0.25">
      <c r="A181" s="1">
        <v>46126</v>
      </c>
      <c r="B181" s="1" t="str">
        <f ca="1">IF(Información1[[#This Row],[Fecha]]='Ajuste de fechas'!$A$2,"Día actual","Día anterior")</f>
        <v>Día actual</v>
      </c>
      <c r="C181" s="3" t="s">
        <v>8</v>
      </c>
      <c r="D181" t="s">
        <v>10</v>
      </c>
      <c r="E181" s="3" t="s">
        <v>330</v>
      </c>
      <c r="F181" s="3" t="s">
        <v>22</v>
      </c>
      <c r="G181" s="3" t="s">
        <v>331</v>
      </c>
      <c r="H181" s="3" t="s">
        <v>11</v>
      </c>
      <c r="I181" s="3" t="s">
        <v>7</v>
      </c>
      <c r="J181" s="3" t="s">
        <v>26</v>
      </c>
      <c r="K181" s="3" t="s">
        <v>14</v>
      </c>
      <c r="L181" s="3" t="s">
        <v>150</v>
      </c>
      <c r="M181">
        <v>1</v>
      </c>
    </row>
    <row r="182" spans="1:13" x14ac:dyDescent="0.25">
      <c r="A182" s="1">
        <v>46126</v>
      </c>
      <c r="B182" s="1" t="str">
        <f ca="1">IF(Información1[[#This Row],[Fecha]]='Ajuste de fechas'!$A$2,"Día actual","Día anterior")</f>
        <v>Día actual</v>
      </c>
      <c r="C182" s="3" t="s">
        <v>8</v>
      </c>
      <c r="D182" t="s">
        <v>10</v>
      </c>
      <c r="E182" s="3" t="s">
        <v>332</v>
      </c>
      <c r="F182" s="3" t="s">
        <v>6</v>
      </c>
      <c r="G182" s="3" t="s">
        <v>101</v>
      </c>
      <c r="H182" s="3" t="s">
        <v>11</v>
      </c>
      <c r="I182" s="3" t="s">
        <v>27</v>
      </c>
      <c r="J182" s="3" t="s">
        <v>149</v>
      </c>
      <c r="K182" s="3" t="s">
        <v>9</v>
      </c>
      <c r="L182" s="3" t="s">
        <v>151</v>
      </c>
      <c r="M182">
        <v>1</v>
      </c>
    </row>
    <row r="183" spans="1:13" x14ac:dyDescent="0.25">
      <c r="A183" s="1">
        <v>46126</v>
      </c>
      <c r="B183" s="1" t="str">
        <f ca="1">IF(Información1[[#This Row],[Fecha]]='Ajuste de fechas'!$A$2,"Día actual","Día anterior")</f>
        <v>Día actual</v>
      </c>
      <c r="C183" s="3" t="s">
        <v>42</v>
      </c>
      <c r="D183" t="s">
        <v>44</v>
      </c>
      <c r="E183" s="3" t="s">
        <v>333</v>
      </c>
      <c r="F183" s="3" t="s">
        <v>23</v>
      </c>
      <c r="G183" s="3" t="s">
        <v>334</v>
      </c>
      <c r="H183" s="3" t="s">
        <v>11</v>
      </c>
      <c r="I183" s="3" t="s">
        <v>7</v>
      </c>
      <c r="J183" s="3" t="s">
        <v>154</v>
      </c>
      <c r="K183" s="3" t="s">
        <v>106</v>
      </c>
      <c r="L183" s="3" t="s">
        <v>150</v>
      </c>
      <c r="M183">
        <v>1</v>
      </c>
    </row>
    <row r="184" spans="1:13" x14ac:dyDescent="0.25">
      <c r="A184" s="1">
        <v>46126</v>
      </c>
      <c r="B184" s="1" t="str">
        <f ca="1">IF(Información1[[#This Row],[Fecha]]='Ajuste de fechas'!$A$2,"Día actual","Día anterior")</f>
        <v>Día actual</v>
      </c>
      <c r="C184" s="3" t="s">
        <v>38</v>
      </c>
      <c r="D184" t="s">
        <v>40</v>
      </c>
      <c r="E184" s="3" t="s">
        <v>335</v>
      </c>
      <c r="F184" s="3" t="s">
        <v>200</v>
      </c>
      <c r="G184" s="3" t="s">
        <v>336</v>
      </c>
      <c r="H184" s="3" t="s">
        <v>11</v>
      </c>
      <c r="I184" s="3" t="s">
        <v>7</v>
      </c>
      <c r="J184" s="3" t="s">
        <v>149</v>
      </c>
      <c r="K184" s="3" t="s">
        <v>39</v>
      </c>
      <c r="L184" s="3" t="s">
        <v>152</v>
      </c>
      <c r="M184">
        <v>1</v>
      </c>
    </row>
    <row r="185" spans="1:13" x14ac:dyDescent="0.25">
      <c r="A185" s="1">
        <v>46126</v>
      </c>
      <c r="B185" s="1" t="str">
        <f ca="1">IF(Información1[[#This Row],[Fecha]]='Ajuste de fechas'!$A$2,"Día actual","Día anterior")</f>
        <v>Día actual</v>
      </c>
      <c r="C185" s="3" t="s">
        <v>42</v>
      </c>
      <c r="D185" t="s">
        <v>45</v>
      </c>
      <c r="E185" s="3" t="s">
        <v>337</v>
      </c>
      <c r="F185" s="3" t="s">
        <v>41</v>
      </c>
      <c r="G185" s="3" t="s">
        <v>338</v>
      </c>
      <c r="H185" s="3" t="s">
        <v>11</v>
      </c>
      <c r="I185" s="3" t="s">
        <v>7</v>
      </c>
      <c r="J185" s="3" t="s">
        <v>149</v>
      </c>
      <c r="K185" s="3" t="s">
        <v>43</v>
      </c>
      <c r="L185" s="3" t="s">
        <v>150</v>
      </c>
      <c r="M185">
        <v>1</v>
      </c>
    </row>
    <row r="186" spans="1:13" x14ac:dyDescent="0.25">
      <c r="A186" s="1">
        <v>46126</v>
      </c>
      <c r="B186" s="1" t="str">
        <f ca="1">IF(Información1[[#This Row],[Fecha]]='Ajuste de fechas'!$A$2,"Día actual","Día anterior")</f>
        <v>Día actual</v>
      </c>
      <c r="C186" s="3" t="s">
        <v>8</v>
      </c>
      <c r="D186" t="s">
        <v>10</v>
      </c>
      <c r="E186" s="3" t="s">
        <v>339</v>
      </c>
      <c r="F186" s="3" t="s">
        <v>19</v>
      </c>
      <c r="G186" s="3" t="s">
        <v>29</v>
      </c>
      <c r="H186" s="3" t="s">
        <v>11</v>
      </c>
      <c r="I186" s="3" t="s">
        <v>27</v>
      </c>
      <c r="J186" s="3" t="s">
        <v>153</v>
      </c>
      <c r="K186" s="3" t="s">
        <v>9</v>
      </c>
      <c r="L186" s="3" t="s">
        <v>151</v>
      </c>
      <c r="M186">
        <v>1</v>
      </c>
    </row>
    <row r="187" spans="1:13" x14ac:dyDescent="0.25">
      <c r="A187" s="1">
        <v>46126</v>
      </c>
      <c r="B187" s="1" t="str">
        <f ca="1">IF(Información1[[#This Row],[Fecha]]='Ajuste de fechas'!$A$2,"Día actual","Día anterior")</f>
        <v>Día actual</v>
      </c>
      <c r="C187" s="3" t="s">
        <v>42</v>
      </c>
      <c r="D187" t="s">
        <v>45</v>
      </c>
      <c r="E187" s="3" t="s">
        <v>340</v>
      </c>
      <c r="F187" s="3" t="s">
        <v>19</v>
      </c>
      <c r="G187" s="3" t="s">
        <v>192</v>
      </c>
      <c r="H187" s="3" t="s">
        <v>11</v>
      </c>
      <c r="I187" s="3" t="s">
        <v>7</v>
      </c>
      <c r="J187" s="3" t="s">
        <v>153</v>
      </c>
      <c r="K187" s="3" t="s">
        <v>43</v>
      </c>
      <c r="L187" s="3" t="s">
        <v>150</v>
      </c>
      <c r="M187">
        <v>1</v>
      </c>
    </row>
    <row r="188" spans="1:13" x14ac:dyDescent="0.25">
      <c r="A188" s="1">
        <v>46126</v>
      </c>
      <c r="B188" s="1" t="str">
        <f ca="1">IF(Información1[[#This Row],[Fecha]]='Ajuste de fechas'!$A$2,"Día actual","Día anterior")</f>
        <v>Día actual</v>
      </c>
      <c r="C188" s="3" t="s">
        <v>38</v>
      </c>
      <c r="D188" t="s">
        <v>40</v>
      </c>
      <c r="E188" s="3" t="s">
        <v>341</v>
      </c>
      <c r="F188" s="3" t="s">
        <v>21</v>
      </c>
      <c r="G188" s="3" t="s">
        <v>194</v>
      </c>
      <c r="H188" s="3" t="s">
        <v>11</v>
      </c>
      <c r="I188" s="3" t="s">
        <v>7</v>
      </c>
      <c r="J188" s="3" t="s">
        <v>149</v>
      </c>
      <c r="K188" s="3" t="s">
        <v>39</v>
      </c>
      <c r="L188" s="3" t="s">
        <v>152</v>
      </c>
      <c r="M188">
        <v>1</v>
      </c>
    </row>
    <row r="189" spans="1:13" x14ac:dyDescent="0.25">
      <c r="A189" s="1">
        <v>46126</v>
      </c>
      <c r="B189" s="1" t="str">
        <f ca="1">IF(Información1[[#This Row],[Fecha]]='Ajuste de fechas'!$A$2,"Día actual","Día anterior")</f>
        <v>Día actual</v>
      </c>
      <c r="C189" s="3" t="s">
        <v>67</v>
      </c>
      <c r="D189" t="s">
        <v>69</v>
      </c>
      <c r="E189" s="3" t="s">
        <v>341</v>
      </c>
      <c r="F189" s="3" t="s">
        <v>21</v>
      </c>
      <c r="G189" s="3" t="s">
        <v>194</v>
      </c>
      <c r="H189" s="3" t="s">
        <v>11</v>
      </c>
      <c r="I189" s="3" t="s">
        <v>7</v>
      </c>
      <c r="J189" s="3" t="s">
        <v>149</v>
      </c>
      <c r="K189" s="3" t="s">
        <v>68</v>
      </c>
      <c r="L189" s="3" t="s">
        <v>152</v>
      </c>
      <c r="M189">
        <v>1</v>
      </c>
    </row>
    <row r="190" spans="1:13" x14ac:dyDescent="0.25">
      <c r="A190" s="1">
        <v>46126</v>
      </c>
      <c r="B190" s="1" t="str">
        <f ca="1">IF(Información1[[#This Row],[Fecha]]='Ajuste de fechas'!$A$2,"Día actual","Día anterior")</f>
        <v>Día actual</v>
      </c>
      <c r="C190" s="3" t="s">
        <v>42</v>
      </c>
      <c r="D190" t="s">
        <v>45</v>
      </c>
      <c r="E190" s="3" t="s">
        <v>342</v>
      </c>
      <c r="F190" s="3" t="s">
        <v>21</v>
      </c>
      <c r="G190" s="3" t="s">
        <v>194</v>
      </c>
      <c r="H190" s="3" t="s">
        <v>11</v>
      </c>
      <c r="I190" s="3" t="s">
        <v>7</v>
      </c>
      <c r="J190" s="3" t="s">
        <v>149</v>
      </c>
      <c r="K190" s="3" t="s">
        <v>43</v>
      </c>
      <c r="L190" s="3" t="s">
        <v>150</v>
      </c>
      <c r="M190">
        <v>1</v>
      </c>
    </row>
    <row r="191" spans="1:13" x14ac:dyDescent="0.25">
      <c r="A191" s="1">
        <v>46126</v>
      </c>
      <c r="B191" s="1" t="str">
        <f ca="1">IF(Información1[[#This Row],[Fecha]]='Ajuste de fechas'!$A$2,"Día actual","Día anterior")</f>
        <v>Día actual</v>
      </c>
      <c r="C191" s="3" t="s">
        <v>42</v>
      </c>
      <c r="D191" t="s">
        <v>45</v>
      </c>
      <c r="E191" s="3" t="s">
        <v>343</v>
      </c>
      <c r="F191" s="3" t="s">
        <v>200</v>
      </c>
      <c r="G191" s="3" t="s">
        <v>194</v>
      </c>
      <c r="H191" s="3" t="s">
        <v>11</v>
      </c>
      <c r="I191" s="3" t="s">
        <v>7</v>
      </c>
      <c r="J191" s="3" t="s">
        <v>149</v>
      </c>
      <c r="K191" s="3" t="s">
        <v>43</v>
      </c>
      <c r="L191" s="3" t="s">
        <v>152</v>
      </c>
      <c r="M191">
        <v>1</v>
      </c>
    </row>
    <row r="192" spans="1:13" x14ac:dyDescent="0.25">
      <c r="A192" s="1">
        <v>46126</v>
      </c>
      <c r="B192" s="1" t="str">
        <f ca="1">IF(Información1[[#This Row],[Fecha]]='Ajuste de fechas'!$A$2,"Día actual","Día anterior")</f>
        <v>Día actual</v>
      </c>
      <c r="C192" s="3" t="s">
        <v>8</v>
      </c>
      <c r="D192" t="s">
        <v>10</v>
      </c>
      <c r="E192" s="3" t="s">
        <v>195</v>
      </c>
      <c r="F192" s="3" t="s">
        <v>25</v>
      </c>
      <c r="G192" s="3" t="s">
        <v>194</v>
      </c>
      <c r="H192" s="3" t="s">
        <v>11</v>
      </c>
      <c r="I192" s="3" t="s">
        <v>7</v>
      </c>
      <c r="J192" s="3" t="s">
        <v>149</v>
      </c>
      <c r="K192" s="3" t="s">
        <v>14</v>
      </c>
      <c r="L192" s="3" t="s">
        <v>150</v>
      </c>
      <c r="M192">
        <v>1</v>
      </c>
    </row>
    <row r="193" spans="1:13" x14ac:dyDescent="0.25">
      <c r="A193" s="1">
        <v>46126</v>
      </c>
      <c r="B193" s="1" t="str">
        <f ca="1">IF(Información1[[#This Row],[Fecha]]='Ajuste de fechas'!$A$2,"Día actual","Día anterior")</f>
        <v>Día actual</v>
      </c>
      <c r="C193" s="3" t="s">
        <v>8</v>
      </c>
      <c r="D193" t="s">
        <v>10</v>
      </c>
      <c r="E193" s="3" t="s">
        <v>196</v>
      </c>
      <c r="F193" s="3" t="s">
        <v>21</v>
      </c>
      <c r="G193" s="3" t="s">
        <v>194</v>
      </c>
      <c r="H193" s="3" t="s">
        <v>11</v>
      </c>
      <c r="I193" s="3" t="s">
        <v>7</v>
      </c>
      <c r="J193" s="3" t="s">
        <v>149</v>
      </c>
      <c r="K193" s="3" t="s">
        <v>14</v>
      </c>
      <c r="L193" s="3" t="s">
        <v>150</v>
      </c>
      <c r="M193">
        <v>1</v>
      </c>
    </row>
    <row r="194" spans="1:13" x14ac:dyDescent="0.25">
      <c r="A194" s="1">
        <v>46126</v>
      </c>
      <c r="B194" s="1" t="str">
        <f ca="1">IF(Información1[[#This Row],[Fecha]]='Ajuste de fechas'!$A$2,"Día actual","Día anterior")</f>
        <v>Día actual</v>
      </c>
      <c r="C194" s="3" t="s">
        <v>42</v>
      </c>
      <c r="D194" t="s">
        <v>44</v>
      </c>
      <c r="E194" s="3" t="s">
        <v>344</v>
      </c>
      <c r="F194" s="3" t="s">
        <v>59</v>
      </c>
      <c r="G194" s="3" t="s">
        <v>345</v>
      </c>
      <c r="H194" s="3" t="s">
        <v>11</v>
      </c>
      <c r="I194" s="3" t="s">
        <v>7</v>
      </c>
      <c r="J194" s="3" t="s">
        <v>149</v>
      </c>
      <c r="K194" s="3" t="s">
        <v>106</v>
      </c>
      <c r="L194" s="3" t="s">
        <v>150</v>
      </c>
      <c r="M194">
        <v>1</v>
      </c>
    </row>
    <row r="195" spans="1:13" x14ac:dyDescent="0.25">
      <c r="A195" s="1">
        <v>46126</v>
      </c>
      <c r="B195" s="1" t="str">
        <f ca="1">IF(Información1[[#This Row],[Fecha]]='Ajuste de fechas'!$A$2,"Día actual","Día anterior")</f>
        <v>Día actual</v>
      </c>
      <c r="C195" s="3" t="s">
        <v>38</v>
      </c>
      <c r="D195" t="s">
        <v>40</v>
      </c>
      <c r="E195" s="3" t="s">
        <v>346</v>
      </c>
      <c r="F195" s="3" t="s">
        <v>17</v>
      </c>
      <c r="G195" s="3" t="s">
        <v>198</v>
      </c>
      <c r="H195" s="3" t="s">
        <v>11</v>
      </c>
      <c r="I195" s="3" t="s">
        <v>7</v>
      </c>
      <c r="J195" s="3" t="s">
        <v>149</v>
      </c>
      <c r="K195" s="3" t="s">
        <v>39</v>
      </c>
      <c r="L195" s="3" t="s">
        <v>152</v>
      </c>
      <c r="M195">
        <v>1</v>
      </c>
    </row>
    <row r="196" spans="1:13" x14ac:dyDescent="0.25">
      <c r="A196" s="1">
        <v>46126</v>
      </c>
      <c r="B196" s="1" t="str">
        <f ca="1">IF(Información1[[#This Row],[Fecha]]='Ajuste de fechas'!$A$2,"Día actual","Día anterior")</f>
        <v>Día actual</v>
      </c>
      <c r="C196" s="3" t="s">
        <v>8</v>
      </c>
      <c r="D196" t="s">
        <v>10</v>
      </c>
      <c r="E196" s="3" t="s">
        <v>347</v>
      </c>
      <c r="F196" s="3" t="s">
        <v>6</v>
      </c>
      <c r="G196" s="3" t="s">
        <v>348</v>
      </c>
      <c r="H196" s="3" t="s">
        <v>11</v>
      </c>
      <c r="I196" s="3" t="s">
        <v>27</v>
      </c>
      <c r="J196" s="3" t="s">
        <v>149</v>
      </c>
      <c r="K196" s="3" t="s">
        <v>9</v>
      </c>
      <c r="L196" s="3" t="s">
        <v>151</v>
      </c>
      <c r="M196">
        <v>1</v>
      </c>
    </row>
    <row r="197" spans="1:13" x14ac:dyDescent="0.25">
      <c r="A197" s="1">
        <v>46126</v>
      </c>
      <c r="B197" s="1" t="str">
        <f ca="1">IF(Información1[[#This Row],[Fecha]]='Ajuste de fechas'!$A$2,"Día actual","Día anterior")</f>
        <v>Día actual</v>
      </c>
      <c r="C197" s="3" t="s">
        <v>42</v>
      </c>
      <c r="D197" t="s">
        <v>44</v>
      </c>
      <c r="E197" s="3" t="s">
        <v>349</v>
      </c>
      <c r="F197" s="3" t="s">
        <v>23</v>
      </c>
      <c r="G197" s="3" t="s">
        <v>350</v>
      </c>
      <c r="H197" s="3" t="s">
        <v>11</v>
      </c>
      <c r="I197" s="3" t="s">
        <v>7</v>
      </c>
      <c r="J197" s="3" t="s">
        <v>154</v>
      </c>
      <c r="K197" s="3" t="s">
        <v>106</v>
      </c>
      <c r="L197" s="3" t="s">
        <v>150</v>
      </c>
      <c r="M197">
        <v>1</v>
      </c>
    </row>
    <row r="198" spans="1:13" x14ac:dyDescent="0.25">
      <c r="A198" s="1">
        <v>46126</v>
      </c>
      <c r="B198" s="1" t="str">
        <f ca="1">IF(Información1[[#This Row],[Fecha]]='Ajuste de fechas'!$A$2,"Día actual","Día anterior")</f>
        <v>Día actual</v>
      </c>
      <c r="C198" s="3" t="s">
        <v>42</v>
      </c>
      <c r="D198" t="s">
        <v>44</v>
      </c>
      <c r="E198" s="3" t="s">
        <v>351</v>
      </c>
      <c r="F198" s="3" t="s">
        <v>15</v>
      </c>
      <c r="G198" s="3" t="s">
        <v>234</v>
      </c>
      <c r="H198" s="3" t="s">
        <v>11</v>
      </c>
      <c r="I198" s="3" t="s">
        <v>12</v>
      </c>
      <c r="J198" s="3" t="s">
        <v>149</v>
      </c>
      <c r="K198" s="3" t="s">
        <v>106</v>
      </c>
      <c r="L198" s="3" t="s">
        <v>352</v>
      </c>
      <c r="M198">
        <v>1</v>
      </c>
    </row>
    <row r="199" spans="1:13" x14ac:dyDescent="0.25">
      <c r="A199" s="1">
        <v>46126</v>
      </c>
      <c r="B199" s="1" t="str">
        <f ca="1">IF(Información1[[#This Row],[Fecha]]='Ajuste de fechas'!$A$2,"Día actual","Día anterior")</f>
        <v>Día actual</v>
      </c>
      <c r="C199" s="3" t="s">
        <v>38</v>
      </c>
      <c r="D199" t="s">
        <v>40</v>
      </c>
      <c r="E199" s="3" t="s">
        <v>353</v>
      </c>
      <c r="F199" s="3" t="s">
        <v>15</v>
      </c>
      <c r="G199" s="3" t="s">
        <v>234</v>
      </c>
      <c r="H199" s="3" t="s">
        <v>11</v>
      </c>
      <c r="I199" s="3" t="s">
        <v>12</v>
      </c>
      <c r="J199" s="3" t="s">
        <v>149</v>
      </c>
      <c r="K199" s="3" t="s">
        <v>39</v>
      </c>
      <c r="L199" s="3" t="s">
        <v>352</v>
      </c>
      <c r="M199">
        <v>1</v>
      </c>
    </row>
    <row r="200" spans="1:13" x14ac:dyDescent="0.25">
      <c r="A200" s="1">
        <v>46126</v>
      </c>
      <c r="B200" s="1" t="str">
        <f ca="1">IF(Información1[[#This Row],[Fecha]]='Ajuste de fechas'!$A$2,"Día actual","Día anterior")</f>
        <v>Día actual</v>
      </c>
      <c r="C200" s="3" t="s">
        <v>42</v>
      </c>
      <c r="D200" t="s">
        <v>44</v>
      </c>
      <c r="E200" s="3" t="s">
        <v>354</v>
      </c>
      <c r="F200" s="3" t="s">
        <v>19</v>
      </c>
      <c r="G200" s="3" t="s">
        <v>355</v>
      </c>
      <c r="H200" s="3" t="s">
        <v>11</v>
      </c>
      <c r="I200" s="3" t="s">
        <v>7</v>
      </c>
      <c r="J200" s="3" t="s">
        <v>153</v>
      </c>
      <c r="K200" s="3" t="s">
        <v>106</v>
      </c>
      <c r="L200" s="3" t="s">
        <v>150</v>
      </c>
      <c r="M200">
        <v>1</v>
      </c>
    </row>
    <row r="201" spans="1:13" x14ac:dyDescent="0.25">
      <c r="A201" s="1">
        <v>46126</v>
      </c>
      <c r="B201" s="1" t="str">
        <f ca="1">IF(Información1[[#This Row],[Fecha]]='Ajuste de fechas'!$A$2,"Día actual","Día anterior")</f>
        <v>Día actual</v>
      </c>
      <c r="C201" s="3" t="s">
        <v>8</v>
      </c>
      <c r="D201" t="s">
        <v>10</v>
      </c>
      <c r="E201" s="3" t="s">
        <v>356</v>
      </c>
      <c r="F201" s="3" t="s">
        <v>6</v>
      </c>
      <c r="G201" s="3" t="s">
        <v>357</v>
      </c>
      <c r="H201" s="3" t="s">
        <v>11</v>
      </c>
      <c r="I201" s="3" t="s">
        <v>27</v>
      </c>
      <c r="J201" s="3" t="s">
        <v>149</v>
      </c>
      <c r="K201" s="3" t="s">
        <v>9</v>
      </c>
      <c r="L201" s="3" t="s">
        <v>151</v>
      </c>
      <c r="M201">
        <v>1</v>
      </c>
    </row>
    <row r="202" spans="1:13" x14ac:dyDescent="0.25">
      <c r="A202" s="1">
        <v>46126</v>
      </c>
      <c r="B202" s="1" t="str">
        <f ca="1">IF(Información1[[#This Row],[Fecha]]='Ajuste de fechas'!$A$2,"Día actual","Día anterior")</f>
        <v>Día actual</v>
      </c>
      <c r="C202" s="3" t="s">
        <v>42</v>
      </c>
      <c r="D202" t="s">
        <v>45</v>
      </c>
      <c r="E202" s="3" t="s">
        <v>358</v>
      </c>
      <c r="F202" s="3" t="s">
        <v>28</v>
      </c>
      <c r="G202" s="3" t="s">
        <v>309</v>
      </c>
      <c r="H202" s="3" t="s">
        <v>11</v>
      </c>
      <c r="I202" s="3" t="s">
        <v>7</v>
      </c>
      <c r="J202" s="3" t="s">
        <v>149</v>
      </c>
      <c r="K202" s="3" t="s">
        <v>43</v>
      </c>
      <c r="L202" s="3" t="s">
        <v>152</v>
      </c>
      <c r="M202">
        <v>1</v>
      </c>
    </row>
    <row r="203" spans="1:13" x14ac:dyDescent="0.25">
      <c r="A203" s="1">
        <v>46126</v>
      </c>
      <c r="B203" s="1" t="str">
        <f ca="1">IF(Información1[[#This Row],[Fecha]]='Ajuste de fechas'!$A$2,"Día actual","Día anterior")</f>
        <v>Día actual</v>
      </c>
      <c r="C203" s="3" t="s">
        <v>8</v>
      </c>
      <c r="D203" t="s">
        <v>10</v>
      </c>
      <c r="E203" s="3" t="s">
        <v>359</v>
      </c>
      <c r="F203" s="3" t="s">
        <v>28</v>
      </c>
      <c r="G203" s="3" t="s">
        <v>309</v>
      </c>
      <c r="H203" s="3" t="s">
        <v>11</v>
      </c>
      <c r="I203" s="3" t="s">
        <v>7</v>
      </c>
      <c r="J203" s="3" t="s">
        <v>149</v>
      </c>
      <c r="K203" s="3" t="s">
        <v>14</v>
      </c>
      <c r="L203" s="3" t="s">
        <v>150</v>
      </c>
      <c r="M203">
        <v>1</v>
      </c>
    </row>
    <row r="204" spans="1:13" x14ac:dyDescent="0.25">
      <c r="A204" s="1">
        <v>46126</v>
      </c>
      <c r="B204" s="1" t="str">
        <f ca="1">IF(Información1[[#This Row],[Fecha]]='Ajuste de fechas'!$A$2,"Día actual","Día anterior")</f>
        <v>Día actual</v>
      </c>
      <c r="C204" s="3" t="s">
        <v>8</v>
      </c>
      <c r="D204" t="s">
        <v>10</v>
      </c>
      <c r="E204" s="3" t="s">
        <v>360</v>
      </c>
      <c r="F204" s="3" t="s">
        <v>19</v>
      </c>
      <c r="G204" s="3" t="s">
        <v>361</v>
      </c>
      <c r="H204" s="3" t="s">
        <v>11</v>
      </c>
      <c r="I204" s="3" t="s">
        <v>27</v>
      </c>
      <c r="J204" s="3" t="s">
        <v>153</v>
      </c>
      <c r="K204" s="3" t="s">
        <v>9</v>
      </c>
      <c r="L204" s="3" t="s">
        <v>151</v>
      </c>
      <c r="M204">
        <v>1</v>
      </c>
    </row>
    <row r="205" spans="1:13" x14ac:dyDescent="0.25">
      <c r="A205" s="1">
        <v>46126</v>
      </c>
      <c r="B205" s="1" t="str">
        <f ca="1">IF(Información1[[#This Row],[Fecha]]='Ajuste de fechas'!$A$2,"Día actual","Día anterior")</f>
        <v>Día actual</v>
      </c>
      <c r="C205" s="3" t="s">
        <v>42</v>
      </c>
      <c r="D205" t="s">
        <v>44</v>
      </c>
      <c r="E205" s="3" t="s">
        <v>362</v>
      </c>
      <c r="F205" s="3" t="s">
        <v>15</v>
      </c>
      <c r="G205" s="3" t="s">
        <v>363</v>
      </c>
      <c r="H205" s="3" t="s">
        <v>11</v>
      </c>
      <c r="I205" s="3" t="s">
        <v>7</v>
      </c>
      <c r="J205" s="3" t="s">
        <v>149</v>
      </c>
      <c r="K205" s="3" t="s">
        <v>106</v>
      </c>
      <c r="L205" s="3" t="s">
        <v>150</v>
      </c>
      <c r="M205">
        <v>1</v>
      </c>
    </row>
    <row r="206" spans="1:13" x14ac:dyDescent="0.25">
      <c r="A206" s="1">
        <v>46126</v>
      </c>
      <c r="B206" s="1" t="str">
        <f ca="1">IF(Información1[[#This Row],[Fecha]]='Ajuste de fechas'!$A$2,"Día actual","Día anterior")</f>
        <v>Día actual</v>
      </c>
      <c r="C206" s="3" t="s">
        <v>42</v>
      </c>
      <c r="D206" t="s">
        <v>44</v>
      </c>
      <c r="E206" s="3" t="s">
        <v>364</v>
      </c>
      <c r="F206" s="3" t="s">
        <v>26</v>
      </c>
      <c r="G206" s="3" t="s">
        <v>219</v>
      </c>
      <c r="H206" s="3" t="s">
        <v>11</v>
      </c>
      <c r="I206" s="3" t="s">
        <v>7</v>
      </c>
      <c r="J206" s="3" t="s">
        <v>26</v>
      </c>
      <c r="K206" s="3" t="s">
        <v>106</v>
      </c>
      <c r="L206" s="3" t="s">
        <v>150</v>
      </c>
      <c r="M206">
        <v>1</v>
      </c>
    </row>
    <row r="207" spans="1:13" x14ac:dyDescent="0.25">
      <c r="A207" s="1">
        <v>46126</v>
      </c>
      <c r="B207" s="1" t="str">
        <f ca="1">IF(Información1[[#This Row],[Fecha]]='Ajuste de fechas'!$A$2,"Día actual","Día anterior")</f>
        <v>Día actual</v>
      </c>
      <c r="C207" s="3" t="s">
        <v>42</v>
      </c>
      <c r="D207" t="s">
        <v>44</v>
      </c>
      <c r="E207" s="3" t="s">
        <v>365</v>
      </c>
      <c r="F207" s="3" t="s">
        <v>23</v>
      </c>
      <c r="G207" s="3" t="s">
        <v>366</v>
      </c>
      <c r="H207" s="3" t="s">
        <v>11</v>
      </c>
      <c r="I207" s="3" t="s">
        <v>27</v>
      </c>
      <c r="J207" s="3" t="s">
        <v>154</v>
      </c>
      <c r="K207" s="3" t="s">
        <v>106</v>
      </c>
      <c r="L207" s="3" t="s">
        <v>150</v>
      </c>
      <c r="M207">
        <v>1</v>
      </c>
    </row>
    <row r="208" spans="1:13" x14ac:dyDescent="0.25">
      <c r="A208" s="1">
        <v>46126</v>
      </c>
      <c r="B208" s="1" t="str">
        <f ca="1">IF(Información1[[#This Row],[Fecha]]='Ajuste de fechas'!$A$2,"Día actual","Día anterior")</f>
        <v>Día actual</v>
      </c>
      <c r="C208" s="3" t="s">
        <v>8</v>
      </c>
      <c r="D208" t="s">
        <v>10</v>
      </c>
      <c r="E208" s="3" t="s">
        <v>367</v>
      </c>
      <c r="F208" s="3" t="s">
        <v>19</v>
      </c>
      <c r="G208" s="3" t="s">
        <v>368</v>
      </c>
      <c r="H208" s="3" t="s">
        <v>11</v>
      </c>
      <c r="I208" s="3" t="s">
        <v>7</v>
      </c>
      <c r="J208" s="3" t="s">
        <v>153</v>
      </c>
      <c r="K208" s="3" t="s">
        <v>14</v>
      </c>
      <c r="L208" s="3" t="s">
        <v>150</v>
      </c>
      <c r="M208">
        <v>1</v>
      </c>
    </row>
    <row r="209" spans="1:13" x14ac:dyDescent="0.25">
      <c r="A209" s="1">
        <v>46126</v>
      </c>
      <c r="B209" s="1" t="str">
        <f ca="1">IF(Información1[[#This Row],[Fecha]]='Ajuste de fechas'!$A$2,"Día actual","Día anterior")</f>
        <v>Día actual</v>
      </c>
      <c r="C209" s="3" t="s">
        <v>42</v>
      </c>
      <c r="D209" t="s">
        <v>44</v>
      </c>
      <c r="E209" s="3" t="s">
        <v>369</v>
      </c>
      <c r="F209" s="3" t="s">
        <v>23</v>
      </c>
      <c r="G209" s="3" t="s">
        <v>370</v>
      </c>
      <c r="H209" s="3" t="s">
        <v>11</v>
      </c>
      <c r="I209" s="3" t="s">
        <v>7</v>
      </c>
      <c r="J209" s="3" t="s">
        <v>154</v>
      </c>
      <c r="K209" s="3" t="s">
        <v>106</v>
      </c>
      <c r="L209" s="3" t="s">
        <v>150</v>
      </c>
      <c r="M209">
        <v>1</v>
      </c>
    </row>
    <row r="210" spans="1:13" x14ac:dyDescent="0.25">
      <c r="A210" s="1">
        <v>46126</v>
      </c>
      <c r="B210" s="1" t="str">
        <f ca="1">IF(Información1[[#This Row],[Fecha]]='Ajuste de fechas'!$A$2,"Día actual","Día anterior")</f>
        <v>Día actual</v>
      </c>
      <c r="C210" s="3" t="s">
        <v>62</v>
      </c>
      <c r="D210" t="s">
        <v>65</v>
      </c>
      <c r="E210" s="3" t="s">
        <v>371</v>
      </c>
      <c r="F210" s="3" t="s">
        <v>23</v>
      </c>
      <c r="G210" s="3" t="s">
        <v>95</v>
      </c>
      <c r="H210" s="3" t="s">
        <v>11</v>
      </c>
      <c r="I210" s="3" t="s">
        <v>7</v>
      </c>
      <c r="J210" s="3" t="s">
        <v>154</v>
      </c>
      <c r="K210" s="3" t="s">
        <v>63</v>
      </c>
      <c r="L210" s="3" t="s">
        <v>150</v>
      </c>
      <c r="M210">
        <v>1</v>
      </c>
    </row>
    <row r="211" spans="1:13" x14ac:dyDescent="0.25">
      <c r="A211" s="1">
        <v>46126</v>
      </c>
      <c r="B211" s="1" t="str">
        <f ca="1">IF(Información1[[#This Row],[Fecha]]='Ajuste de fechas'!$A$2,"Día actual","Día anterior")</f>
        <v>Día actual</v>
      </c>
      <c r="C211" s="3" t="s">
        <v>62</v>
      </c>
      <c r="D211" t="s">
        <v>65</v>
      </c>
      <c r="E211" s="3" t="s">
        <v>372</v>
      </c>
      <c r="F211" s="3" t="s">
        <v>19</v>
      </c>
      <c r="G211" s="3" t="s">
        <v>373</v>
      </c>
      <c r="H211" s="3" t="s">
        <v>11</v>
      </c>
      <c r="I211" s="3" t="s">
        <v>7</v>
      </c>
      <c r="J211" s="3" t="s">
        <v>153</v>
      </c>
      <c r="K211" s="3" t="s">
        <v>63</v>
      </c>
      <c r="L211" s="3" t="s">
        <v>150</v>
      </c>
      <c r="M211">
        <v>1</v>
      </c>
    </row>
    <row r="212" spans="1:13" x14ac:dyDescent="0.25">
      <c r="A212" s="1">
        <v>46126</v>
      </c>
      <c r="B212" s="1" t="str">
        <f ca="1">IF(Información1[[#This Row],[Fecha]]='Ajuste de fechas'!$A$2,"Día actual","Día anterior")</f>
        <v>Día actual</v>
      </c>
      <c r="C212" s="3" t="s">
        <v>62</v>
      </c>
      <c r="D212" t="s">
        <v>65</v>
      </c>
      <c r="E212" s="3" t="s">
        <v>374</v>
      </c>
      <c r="F212" s="3" t="s">
        <v>17</v>
      </c>
      <c r="G212" s="3" t="s">
        <v>375</v>
      </c>
      <c r="H212" s="3" t="s">
        <v>11</v>
      </c>
      <c r="I212" s="3" t="s">
        <v>27</v>
      </c>
      <c r="J212" s="3" t="s">
        <v>149</v>
      </c>
      <c r="K212" s="3" t="s">
        <v>9</v>
      </c>
      <c r="L212" s="3" t="s">
        <v>151</v>
      </c>
      <c r="M212">
        <v>1</v>
      </c>
    </row>
    <row r="213" spans="1:13" x14ac:dyDescent="0.25">
      <c r="A213" s="1">
        <v>46126</v>
      </c>
      <c r="B213" s="1" t="str">
        <f ca="1">IF(Información1[[#This Row],[Fecha]]='Ajuste de fechas'!$A$2,"Día actual","Día anterior")</f>
        <v>Día actual</v>
      </c>
      <c r="C213" s="3" t="s">
        <v>62</v>
      </c>
      <c r="D213" t="s">
        <v>65</v>
      </c>
      <c r="E213" s="3" t="s">
        <v>376</v>
      </c>
      <c r="F213" s="3" t="s">
        <v>59</v>
      </c>
      <c r="G213" s="3" t="s">
        <v>275</v>
      </c>
      <c r="H213" s="3" t="s">
        <v>11</v>
      </c>
      <c r="I213" s="3" t="s">
        <v>27</v>
      </c>
      <c r="J213" s="3" t="s">
        <v>149</v>
      </c>
      <c r="K213" s="3" t="s">
        <v>9</v>
      </c>
      <c r="L213" s="3" t="s">
        <v>151</v>
      </c>
      <c r="M213">
        <v>1</v>
      </c>
    </row>
    <row r="214" spans="1:13" x14ac:dyDescent="0.25">
      <c r="A214" s="1">
        <v>46126</v>
      </c>
      <c r="B214" s="1" t="str">
        <f ca="1">IF(Información1[[#This Row],[Fecha]]='Ajuste de fechas'!$A$2,"Día actual","Día anterior")</f>
        <v>Día actual</v>
      </c>
      <c r="C214" s="3" t="s">
        <v>62</v>
      </c>
      <c r="D214" t="s">
        <v>65</v>
      </c>
      <c r="E214" s="3" t="s">
        <v>377</v>
      </c>
      <c r="F214" s="3" t="s">
        <v>28</v>
      </c>
      <c r="G214" s="3" t="s">
        <v>375</v>
      </c>
      <c r="H214" s="3" t="s">
        <v>11</v>
      </c>
      <c r="I214" s="3" t="s">
        <v>7</v>
      </c>
      <c r="J214" s="3" t="s">
        <v>149</v>
      </c>
      <c r="K214" s="3" t="s">
        <v>63</v>
      </c>
      <c r="L214" s="3" t="s">
        <v>150</v>
      </c>
      <c r="M214">
        <v>1</v>
      </c>
    </row>
    <row r="215" spans="1:13" x14ac:dyDescent="0.25">
      <c r="A215" s="1">
        <v>46126</v>
      </c>
      <c r="B215" s="1" t="str">
        <f ca="1">IF(Información1[[#This Row],[Fecha]]='Ajuste de fechas'!$A$2,"Día actual","Día anterior")</f>
        <v>Día actual</v>
      </c>
      <c r="C215" s="3" t="s">
        <v>35</v>
      </c>
      <c r="D215" t="s">
        <v>37</v>
      </c>
      <c r="E215" s="3" t="s">
        <v>378</v>
      </c>
      <c r="F215" s="3" t="s">
        <v>23</v>
      </c>
      <c r="G215" s="3" t="s">
        <v>379</v>
      </c>
      <c r="H215" s="3" t="s">
        <v>11</v>
      </c>
      <c r="I215" s="3" t="s">
        <v>7</v>
      </c>
      <c r="J215" s="3" t="s">
        <v>154</v>
      </c>
      <c r="K215" s="3" t="s">
        <v>36</v>
      </c>
      <c r="L215" s="3" t="s">
        <v>150</v>
      </c>
      <c r="M215">
        <v>1</v>
      </c>
    </row>
    <row r="216" spans="1:13" x14ac:dyDescent="0.25">
      <c r="A216" s="1">
        <v>46126</v>
      </c>
      <c r="B216" s="1" t="str">
        <f ca="1">IF(Información1[[#This Row],[Fecha]]='Ajuste de fechas'!$A$2,"Día actual","Día anterior")</f>
        <v>Día actual</v>
      </c>
      <c r="C216" s="3" t="s">
        <v>35</v>
      </c>
      <c r="D216" t="s">
        <v>37</v>
      </c>
      <c r="E216" s="3" t="s">
        <v>380</v>
      </c>
      <c r="F216" s="3" t="s">
        <v>23</v>
      </c>
      <c r="G216" s="3" t="s">
        <v>381</v>
      </c>
      <c r="H216" s="3" t="s">
        <v>11</v>
      </c>
      <c r="I216" s="3" t="s">
        <v>7</v>
      </c>
      <c r="J216" s="3" t="s">
        <v>154</v>
      </c>
      <c r="K216" s="3" t="s">
        <v>36</v>
      </c>
      <c r="L216" s="3" t="s">
        <v>150</v>
      </c>
      <c r="M216">
        <v>1</v>
      </c>
    </row>
    <row r="217" spans="1:13" x14ac:dyDescent="0.25">
      <c r="A217" s="1">
        <v>46126</v>
      </c>
      <c r="B217" s="1" t="str">
        <f ca="1">IF(Información1[[#This Row],[Fecha]]='Ajuste de fechas'!$A$2,"Día actual","Día anterior")</f>
        <v>Día actual</v>
      </c>
      <c r="C217" s="3" t="s">
        <v>35</v>
      </c>
      <c r="D217" t="s">
        <v>37</v>
      </c>
      <c r="E217" s="3" t="s">
        <v>382</v>
      </c>
      <c r="F217" s="3" t="s">
        <v>23</v>
      </c>
      <c r="G217" s="3" t="s">
        <v>383</v>
      </c>
      <c r="H217" s="3" t="s">
        <v>11</v>
      </c>
      <c r="I217" s="3" t="s">
        <v>7</v>
      </c>
      <c r="J217" s="3" t="s">
        <v>154</v>
      </c>
      <c r="K217" s="3" t="s">
        <v>36</v>
      </c>
      <c r="L217" s="3" t="s">
        <v>150</v>
      </c>
      <c r="M217">
        <v>1</v>
      </c>
    </row>
    <row r="218" spans="1:13" x14ac:dyDescent="0.25">
      <c r="A218" s="1">
        <v>46126</v>
      </c>
      <c r="B218" s="1" t="str">
        <f ca="1">IF(Información1[[#This Row],[Fecha]]='Ajuste de fechas'!$A$2,"Día actual","Día anterior")</f>
        <v>Día actual</v>
      </c>
      <c r="C218" s="3" t="s">
        <v>35</v>
      </c>
      <c r="D218" t="s">
        <v>37</v>
      </c>
      <c r="E218" s="3" t="s">
        <v>384</v>
      </c>
      <c r="F218" s="3" t="s">
        <v>19</v>
      </c>
      <c r="G218" s="3" t="s">
        <v>385</v>
      </c>
      <c r="H218" s="3" t="s">
        <v>11</v>
      </c>
      <c r="I218" s="3" t="s">
        <v>7</v>
      </c>
      <c r="J218" s="3" t="s">
        <v>153</v>
      </c>
      <c r="K218" s="3" t="s">
        <v>36</v>
      </c>
      <c r="L218" s="3" t="s">
        <v>150</v>
      </c>
      <c r="M218">
        <v>1</v>
      </c>
    </row>
    <row r="219" spans="1:13" x14ac:dyDescent="0.25">
      <c r="A219" s="1">
        <v>46126</v>
      </c>
      <c r="B219" s="1" t="str">
        <f ca="1">IF(Información1[[#This Row],[Fecha]]='Ajuste de fechas'!$A$2,"Día actual","Día anterior")</f>
        <v>Día actual</v>
      </c>
      <c r="C219" s="3" t="s">
        <v>35</v>
      </c>
      <c r="D219" t="s">
        <v>37</v>
      </c>
      <c r="E219" s="3" t="s">
        <v>386</v>
      </c>
      <c r="F219" s="3" t="s">
        <v>59</v>
      </c>
      <c r="G219" s="3" t="s">
        <v>345</v>
      </c>
      <c r="H219" s="3" t="s">
        <v>11</v>
      </c>
      <c r="I219" s="3" t="s">
        <v>7</v>
      </c>
      <c r="J219" s="3" t="s">
        <v>149</v>
      </c>
      <c r="K219" s="3" t="s">
        <v>36</v>
      </c>
      <c r="L219" s="3" t="s">
        <v>150</v>
      </c>
      <c r="M219">
        <v>1</v>
      </c>
    </row>
    <row r="220" spans="1:13" x14ac:dyDescent="0.25">
      <c r="A220" s="1">
        <v>46126</v>
      </c>
      <c r="B220" s="1" t="str">
        <f ca="1">IF(Información1[[#This Row],[Fecha]]='Ajuste de fechas'!$A$2,"Día actual","Día anterior")</f>
        <v>Día actual</v>
      </c>
      <c r="C220" s="3" t="s">
        <v>35</v>
      </c>
      <c r="D220" t="s">
        <v>37</v>
      </c>
      <c r="E220" s="3" t="s">
        <v>387</v>
      </c>
      <c r="F220" s="3" t="s">
        <v>70</v>
      </c>
      <c r="G220" s="3" t="s">
        <v>388</v>
      </c>
      <c r="H220" s="3" t="s">
        <v>11</v>
      </c>
      <c r="I220" s="3" t="s">
        <v>7</v>
      </c>
      <c r="J220" s="3" t="s">
        <v>149</v>
      </c>
      <c r="K220" s="3" t="s">
        <v>36</v>
      </c>
      <c r="L220" s="3" t="s">
        <v>152</v>
      </c>
      <c r="M220">
        <v>1</v>
      </c>
    </row>
    <row r="221" spans="1:13" x14ac:dyDescent="0.25">
      <c r="A221" s="1">
        <v>46126</v>
      </c>
      <c r="B221" s="1" t="str">
        <f ca="1">IF(Información1[[#This Row],[Fecha]]='Ajuste de fechas'!$A$2,"Día actual","Día anterior")</f>
        <v>Día actual</v>
      </c>
      <c r="C221" s="3" t="s">
        <v>35</v>
      </c>
      <c r="D221" t="s">
        <v>37</v>
      </c>
      <c r="E221" s="3" t="s">
        <v>389</v>
      </c>
      <c r="F221" s="3" t="s">
        <v>82</v>
      </c>
      <c r="G221" s="3" t="s">
        <v>91</v>
      </c>
      <c r="H221" s="3" t="s">
        <v>11</v>
      </c>
      <c r="I221" s="3" t="s">
        <v>7</v>
      </c>
      <c r="J221" s="3" t="s">
        <v>149</v>
      </c>
      <c r="K221" s="3" t="s">
        <v>36</v>
      </c>
      <c r="L221" s="3" t="s">
        <v>150</v>
      </c>
      <c r="M221">
        <v>1</v>
      </c>
    </row>
    <row r="222" spans="1:13" x14ac:dyDescent="0.25">
      <c r="A222" s="1">
        <v>46126</v>
      </c>
      <c r="B222" s="1" t="str">
        <f ca="1">IF(Información1[[#This Row],[Fecha]]='Ajuste de fechas'!$A$2,"Día actual","Día anterior")</f>
        <v>Día actual</v>
      </c>
      <c r="C222" s="3" t="s">
        <v>35</v>
      </c>
      <c r="D222" t="s">
        <v>37</v>
      </c>
      <c r="E222" s="3" t="s">
        <v>327</v>
      </c>
      <c r="F222" s="3" t="s">
        <v>70</v>
      </c>
      <c r="G222" s="3" t="s">
        <v>293</v>
      </c>
      <c r="H222" s="3" t="s">
        <v>11</v>
      </c>
      <c r="I222" s="3" t="s">
        <v>7</v>
      </c>
      <c r="J222" s="3" t="s">
        <v>149</v>
      </c>
      <c r="K222" s="3" t="s">
        <v>36</v>
      </c>
      <c r="L222" s="3" t="s">
        <v>152</v>
      </c>
      <c r="M222">
        <v>1</v>
      </c>
    </row>
    <row r="223" spans="1:13" x14ac:dyDescent="0.25">
      <c r="A223" s="1">
        <v>46126</v>
      </c>
      <c r="B223" s="1" t="str">
        <f ca="1">IF(Información1[[#This Row],[Fecha]]='Ajuste de fechas'!$A$2,"Día actual","Día anterior")</f>
        <v>Día actual</v>
      </c>
      <c r="C223" s="3" t="s">
        <v>35</v>
      </c>
      <c r="D223" t="s">
        <v>37</v>
      </c>
      <c r="E223" s="3" t="s">
        <v>390</v>
      </c>
      <c r="F223" s="3" t="s">
        <v>53</v>
      </c>
      <c r="G223" s="3" t="s">
        <v>391</v>
      </c>
      <c r="H223" s="3" t="s">
        <v>11</v>
      </c>
      <c r="I223" s="3" t="s">
        <v>7</v>
      </c>
      <c r="J223" s="3" t="s">
        <v>149</v>
      </c>
      <c r="K223" s="3" t="s">
        <v>36</v>
      </c>
      <c r="L223" s="3" t="s">
        <v>152</v>
      </c>
      <c r="M223">
        <v>1</v>
      </c>
    </row>
    <row r="224" spans="1:13" x14ac:dyDescent="0.25">
      <c r="A224" s="1">
        <v>46126</v>
      </c>
      <c r="B224" s="1" t="str">
        <f ca="1">IF(Información1[[#This Row],[Fecha]]='Ajuste de fechas'!$A$2,"Día actual","Día anterior")</f>
        <v>Día actual</v>
      </c>
      <c r="C224" s="3" t="s">
        <v>35</v>
      </c>
      <c r="D224" t="s">
        <v>37</v>
      </c>
      <c r="E224" s="3" t="s">
        <v>322</v>
      </c>
      <c r="F224" s="3" t="s">
        <v>24</v>
      </c>
      <c r="G224" s="3" t="s">
        <v>321</v>
      </c>
      <c r="H224" s="3" t="s">
        <v>11</v>
      </c>
      <c r="I224" s="3" t="s">
        <v>7</v>
      </c>
      <c r="J224" s="3" t="s">
        <v>149</v>
      </c>
      <c r="K224" s="3" t="s">
        <v>36</v>
      </c>
      <c r="L224" s="3" t="s">
        <v>152</v>
      </c>
      <c r="M224">
        <v>1</v>
      </c>
    </row>
    <row r="225" spans="1:13" x14ac:dyDescent="0.25">
      <c r="A225" s="1">
        <v>46126</v>
      </c>
      <c r="B225" s="1" t="str">
        <f ca="1">IF(Información1[[#This Row],[Fecha]]='Ajuste de fechas'!$A$2,"Día actual","Día anterior")</f>
        <v>Día actual</v>
      </c>
      <c r="C225" s="3" t="s">
        <v>35</v>
      </c>
      <c r="D225" t="s">
        <v>37</v>
      </c>
      <c r="E225" s="3" t="s">
        <v>323</v>
      </c>
      <c r="F225" s="3" t="s">
        <v>24</v>
      </c>
      <c r="G225" s="3" t="s">
        <v>321</v>
      </c>
      <c r="H225" s="3" t="s">
        <v>11</v>
      </c>
      <c r="I225" s="3" t="s">
        <v>7</v>
      </c>
      <c r="J225" s="3" t="s">
        <v>149</v>
      </c>
      <c r="K225" s="3" t="s">
        <v>36</v>
      </c>
      <c r="L225" s="3" t="s">
        <v>152</v>
      </c>
      <c r="M225">
        <v>1</v>
      </c>
    </row>
    <row r="226" spans="1:13" x14ac:dyDescent="0.25">
      <c r="A226" s="1">
        <v>46126</v>
      </c>
      <c r="B226" s="1" t="str">
        <f ca="1">IF(Información1[[#This Row],[Fecha]]='Ajuste de fechas'!$A$2,"Día actual","Día anterior")</f>
        <v>Día actual</v>
      </c>
      <c r="C226" s="3" t="s">
        <v>35</v>
      </c>
      <c r="D226" t="s">
        <v>37</v>
      </c>
      <c r="E226" s="3" t="s">
        <v>358</v>
      </c>
      <c r="F226" s="3" t="s">
        <v>28</v>
      </c>
      <c r="G226" s="3" t="s">
        <v>309</v>
      </c>
      <c r="H226" s="3" t="s">
        <v>11</v>
      </c>
      <c r="I226" s="3" t="s">
        <v>7</v>
      </c>
      <c r="J226" s="3" t="s">
        <v>149</v>
      </c>
      <c r="K226" s="3" t="s">
        <v>36</v>
      </c>
      <c r="L226" s="3" t="s">
        <v>152</v>
      </c>
      <c r="M226">
        <v>1</v>
      </c>
    </row>
    <row r="227" spans="1:13" x14ac:dyDescent="0.25">
      <c r="A227" s="1">
        <v>46126</v>
      </c>
      <c r="B227" s="1" t="str">
        <f ca="1">IF(Información1[[#This Row],[Fecha]]='Ajuste de fechas'!$A$2,"Día actual","Día anterior")</f>
        <v>Día actual</v>
      </c>
      <c r="C227" s="3" t="s">
        <v>62</v>
      </c>
      <c r="D227" t="s">
        <v>64</v>
      </c>
      <c r="E227" s="3" t="s">
        <v>392</v>
      </c>
      <c r="F227" s="3" t="s">
        <v>19</v>
      </c>
      <c r="G227" s="3" t="s">
        <v>393</v>
      </c>
      <c r="H227" s="3" t="s">
        <v>11</v>
      </c>
      <c r="I227" s="3" t="s">
        <v>7</v>
      </c>
      <c r="J227" s="3" t="s">
        <v>153</v>
      </c>
      <c r="K227" s="3" t="s">
        <v>63</v>
      </c>
      <c r="L227" s="3" t="s">
        <v>150</v>
      </c>
      <c r="M227">
        <v>1</v>
      </c>
    </row>
    <row r="228" spans="1:13" x14ac:dyDescent="0.25">
      <c r="A228" s="1">
        <v>46126</v>
      </c>
      <c r="B228" s="1" t="str">
        <f ca="1">IF(Información1[[#This Row],[Fecha]]='Ajuste de fechas'!$A$2,"Día actual","Día anterior")</f>
        <v>Día actual</v>
      </c>
      <c r="C228" s="3" t="s">
        <v>62</v>
      </c>
      <c r="D228" t="s">
        <v>64</v>
      </c>
      <c r="E228" s="3" t="s">
        <v>394</v>
      </c>
      <c r="F228" s="3" t="s">
        <v>19</v>
      </c>
      <c r="G228" s="3" t="s">
        <v>395</v>
      </c>
      <c r="H228" s="3" t="s">
        <v>11</v>
      </c>
      <c r="I228" s="3" t="s">
        <v>7</v>
      </c>
      <c r="J228" s="3" t="s">
        <v>153</v>
      </c>
      <c r="K228" s="3" t="s">
        <v>63</v>
      </c>
      <c r="L228" s="3" t="s">
        <v>150</v>
      </c>
      <c r="M228">
        <v>1</v>
      </c>
    </row>
    <row r="229" spans="1:13" x14ac:dyDescent="0.25">
      <c r="A229" s="1">
        <v>46126</v>
      </c>
      <c r="B229" s="1" t="str">
        <f ca="1">IF(Información1[[#This Row],[Fecha]]='Ajuste de fechas'!$A$2,"Día actual","Día anterior")</f>
        <v>Día actual</v>
      </c>
      <c r="C229" s="3" t="s">
        <v>62</v>
      </c>
      <c r="D229" t="s">
        <v>64</v>
      </c>
      <c r="E229" s="3" t="s">
        <v>396</v>
      </c>
      <c r="F229" s="3" t="s">
        <v>21</v>
      </c>
      <c r="G229" s="3" t="s">
        <v>397</v>
      </c>
      <c r="H229" s="3" t="s">
        <v>11</v>
      </c>
      <c r="I229" s="3" t="s">
        <v>7</v>
      </c>
      <c r="J229" s="3" t="s">
        <v>149</v>
      </c>
      <c r="K229" s="3" t="s">
        <v>47</v>
      </c>
      <c r="L229" s="3" t="s">
        <v>155</v>
      </c>
      <c r="M229">
        <v>1</v>
      </c>
    </row>
    <row r="230" spans="1:13" x14ac:dyDescent="0.25">
      <c r="A230" s="1">
        <v>46126</v>
      </c>
      <c r="B230" s="1" t="str">
        <f ca="1">IF(Información1[[#This Row],[Fecha]]='Ajuste de fechas'!$A$2,"Día actual","Día anterior")</f>
        <v>Día actual</v>
      </c>
      <c r="C230" s="3" t="s">
        <v>62</v>
      </c>
      <c r="D230" t="s">
        <v>64</v>
      </c>
      <c r="E230" s="3" t="s">
        <v>398</v>
      </c>
      <c r="F230" s="3" t="s">
        <v>25</v>
      </c>
      <c r="G230" s="3" t="s">
        <v>279</v>
      </c>
      <c r="H230" s="3" t="s">
        <v>11</v>
      </c>
      <c r="I230" s="3" t="s">
        <v>7</v>
      </c>
      <c r="J230" s="3" t="s">
        <v>149</v>
      </c>
      <c r="K230" s="3" t="s">
        <v>63</v>
      </c>
      <c r="L230" s="3" t="s">
        <v>150</v>
      </c>
      <c r="M230">
        <v>1</v>
      </c>
    </row>
    <row r="231" spans="1:13" x14ac:dyDescent="0.25">
      <c r="A231" s="1">
        <v>46126</v>
      </c>
      <c r="B231" s="1" t="str">
        <f ca="1">IF(Información1[[#This Row],[Fecha]]='Ajuste de fechas'!$A$2,"Día actual","Día anterior")</f>
        <v>Día actual</v>
      </c>
      <c r="C231" s="3" t="s">
        <v>62</v>
      </c>
      <c r="D231" t="s">
        <v>64</v>
      </c>
      <c r="E231" s="3" t="s">
        <v>399</v>
      </c>
      <c r="F231" s="3" t="s">
        <v>41</v>
      </c>
      <c r="G231" s="3" t="s">
        <v>400</v>
      </c>
      <c r="H231" s="3" t="s">
        <v>11</v>
      </c>
      <c r="I231" s="3" t="s">
        <v>7</v>
      </c>
      <c r="J231" s="3" t="s">
        <v>149</v>
      </c>
      <c r="K231" s="3" t="s">
        <v>47</v>
      </c>
      <c r="L231" s="3" t="s">
        <v>152</v>
      </c>
      <c r="M231">
        <v>1</v>
      </c>
    </row>
    <row r="232" spans="1:13" x14ac:dyDescent="0.25">
      <c r="A232" s="1">
        <v>46126</v>
      </c>
      <c r="B232" s="1" t="str">
        <f ca="1">IF(Información1[[#This Row],[Fecha]]='Ajuste de fechas'!$A$2,"Día actual","Día anterior")</f>
        <v>Día actual</v>
      </c>
      <c r="C232" s="3" t="s">
        <v>62</v>
      </c>
      <c r="D232" t="s">
        <v>64</v>
      </c>
      <c r="E232" s="3" t="s">
        <v>401</v>
      </c>
      <c r="F232" s="3" t="s">
        <v>74</v>
      </c>
      <c r="G232" s="3" t="s">
        <v>402</v>
      </c>
      <c r="H232" s="3" t="s">
        <v>11</v>
      </c>
      <c r="I232" s="3" t="s">
        <v>7</v>
      </c>
      <c r="J232" s="3" t="s">
        <v>149</v>
      </c>
      <c r="K232" s="3" t="s">
        <v>47</v>
      </c>
      <c r="L232" s="3" t="s">
        <v>152</v>
      </c>
      <c r="M232">
        <v>1</v>
      </c>
    </row>
    <row r="233" spans="1:13" x14ac:dyDescent="0.25">
      <c r="A233" s="1">
        <v>46126</v>
      </c>
      <c r="B233" s="1" t="str">
        <f ca="1">IF(Información1[[#This Row],[Fecha]]='Ajuste de fechas'!$A$2,"Día actual","Día anterior")</f>
        <v>Día actual</v>
      </c>
      <c r="C233" s="3" t="s">
        <v>62</v>
      </c>
      <c r="D233" t="s">
        <v>64</v>
      </c>
      <c r="E233" s="3" t="s">
        <v>403</v>
      </c>
      <c r="F233" s="3" t="s">
        <v>60</v>
      </c>
      <c r="G233" s="3" t="s">
        <v>404</v>
      </c>
      <c r="H233" s="3" t="s">
        <v>11</v>
      </c>
      <c r="I233" s="3" t="s">
        <v>7</v>
      </c>
      <c r="J233" s="3" t="s">
        <v>149</v>
      </c>
      <c r="K233" s="3" t="s">
        <v>47</v>
      </c>
      <c r="L233" s="3" t="s">
        <v>152</v>
      </c>
      <c r="M233">
        <v>1</v>
      </c>
    </row>
    <row r="234" spans="1:13" x14ac:dyDescent="0.25">
      <c r="A234" s="1">
        <v>46126</v>
      </c>
      <c r="B234" s="1" t="str">
        <f ca="1">IF(Información1[[#This Row],[Fecha]]='Ajuste de fechas'!$A$2,"Día actual","Día anterior")</f>
        <v>Día actual</v>
      </c>
      <c r="C234" s="3" t="s">
        <v>62</v>
      </c>
      <c r="D234" t="s">
        <v>64</v>
      </c>
      <c r="E234" s="3" t="s">
        <v>323</v>
      </c>
      <c r="F234" s="3" t="s">
        <v>24</v>
      </c>
      <c r="G234" s="3" t="s">
        <v>80</v>
      </c>
      <c r="H234" s="3" t="s">
        <v>11</v>
      </c>
      <c r="I234" s="3" t="s">
        <v>7</v>
      </c>
      <c r="J234" s="3" t="s">
        <v>149</v>
      </c>
      <c r="K234" s="3" t="s">
        <v>47</v>
      </c>
      <c r="L234" s="3" t="s">
        <v>152</v>
      </c>
      <c r="M234">
        <v>1</v>
      </c>
    </row>
    <row r="235" spans="1:13" x14ac:dyDescent="0.25">
      <c r="A235" s="1">
        <v>46126</v>
      </c>
      <c r="B235" s="1" t="str">
        <f ca="1">IF(Información1[[#This Row],[Fecha]]='Ajuste de fechas'!$A$2,"Día actual","Día anterior")</f>
        <v>Día actual</v>
      </c>
      <c r="C235" s="3" t="s">
        <v>62</v>
      </c>
      <c r="D235" t="s">
        <v>64</v>
      </c>
      <c r="E235" s="3" t="s">
        <v>358</v>
      </c>
      <c r="F235" s="3" t="s">
        <v>28</v>
      </c>
      <c r="G235" s="3" t="s">
        <v>309</v>
      </c>
      <c r="H235" s="3" t="s">
        <v>11</v>
      </c>
      <c r="I235" s="3" t="s">
        <v>7</v>
      </c>
      <c r="J235" s="3" t="s">
        <v>149</v>
      </c>
      <c r="K235" s="3" t="s">
        <v>47</v>
      </c>
      <c r="L235" s="3" t="s">
        <v>152</v>
      </c>
      <c r="M23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157</v>
      </c>
      <c r="B1" t="s">
        <v>158</v>
      </c>
    </row>
    <row r="2" spans="1:2" x14ac:dyDescent="0.25">
      <c r="A2" s="2">
        <f ca="1">TODAY()</f>
        <v>46126</v>
      </c>
      <c r="B2" s="2">
        <f ca="1">A2-1</f>
        <v>46125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2026-04-14T23:39:18Z</dcterms:modified>
</cp:coreProperties>
</file>