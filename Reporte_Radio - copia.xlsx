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79ABEDCE-5171-441A-9CDE-61FD8BFC5924}"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Radio!$A$1:$M$205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10" i="2"/>
  <c r="B18" i="2"/>
  <c r="B26" i="2"/>
  <c r="B34" i="2"/>
  <c r="B42" i="2"/>
  <c r="B50" i="2"/>
  <c r="B58" i="2"/>
  <c r="B66" i="2"/>
  <c r="B74" i="2"/>
  <c r="B82" i="2"/>
  <c r="B90" i="2"/>
  <c r="B98" i="2"/>
  <c r="B106" i="2"/>
  <c r="B114" i="2"/>
  <c r="B122" i="2"/>
  <c r="B130" i="2"/>
  <c r="B138" i="2"/>
  <c r="B146" i="2"/>
  <c r="B154" i="2"/>
  <c r="B162" i="2"/>
  <c r="B170" i="2"/>
  <c r="B178" i="2"/>
  <c r="B186" i="2"/>
  <c r="B194" i="2"/>
  <c r="B202" i="2"/>
  <c r="B41" i="2"/>
  <c r="B81" i="2"/>
  <c r="B121" i="2"/>
  <c r="B137" i="2"/>
  <c r="B169" i="2"/>
  <c r="B3" i="2"/>
  <c r="B11" i="2"/>
  <c r="B19" i="2"/>
  <c r="B27" i="2"/>
  <c r="B35" i="2"/>
  <c r="B43" i="2"/>
  <c r="B51" i="2"/>
  <c r="B59" i="2"/>
  <c r="B67" i="2"/>
  <c r="B75" i="2"/>
  <c r="B83" i="2"/>
  <c r="B91" i="2"/>
  <c r="B99" i="2"/>
  <c r="B107" i="2"/>
  <c r="B115" i="2"/>
  <c r="B123" i="2"/>
  <c r="B131" i="2"/>
  <c r="B139" i="2"/>
  <c r="B147" i="2"/>
  <c r="B155" i="2"/>
  <c r="B163" i="2"/>
  <c r="B171" i="2"/>
  <c r="B179" i="2"/>
  <c r="B187" i="2"/>
  <c r="B195" i="2"/>
  <c r="B203" i="2"/>
  <c r="B174" i="2"/>
  <c r="B23" i="2"/>
  <c r="B79" i="2"/>
  <c r="B111" i="2"/>
  <c r="B159" i="2"/>
  <c r="B24" i="2"/>
  <c r="B64" i="2"/>
  <c r="B96" i="2"/>
  <c r="B144" i="2"/>
  <c r="B184" i="2"/>
  <c r="B33" i="2"/>
  <c r="B49" i="2"/>
  <c r="B73" i="2"/>
  <c r="B105" i="2"/>
  <c r="B129" i="2"/>
  <c r="B161" i="2"/>
  <c r="B201" i="2"/>
  <c r="B4" i="2"/>
  <c r="B12" i="2"/>
  <c r="B20" i="2"/>
  <c r="B28" i="2"/>
  <c r="B36" i="2"/>
  <c r="B44" i="2"/>
  <c r="B52" i="2"/>
  <c r="B60" i="2"/>
  <c r="B68" i="2"/>
  <c r="B76" i="2"/>
  <c r="B84" i="2"/>
  <c r="B92" i="2"/>
  <c r="B100" i="2"/>
  <c r="B108" i="2"/>
  <c r="B116" i="2"/>
  <c r="B124" i="2"/>
  <c r="B132" i="2"/>
  <c r="B140" i="2"/>
  <c r="B148" i="2"/>
  <c r="B156" i="2"/>
  <c r="B164" i="2"/>
  <c r="B172" i="2"/>
  <c r="B180" i="2"/>
  <c r="B188" i="2"/>
  <c r="B196" i="2"/>
  <c r="B204" i="2"/>
  <c r="B205" i="2"/>
  <c r="B182" i="2"/>
  <c r="B198" i="2"/>
  <c r="B15" i="2"/>
  <c r="B63" i="2"/>
  <c r="B87" i="2"/>
  <c r="B127" i="2"/>
  <c r="B143" i="2"/>
  <c r="B183" i="2"/>
  <c r="B191" i="2"/>
  <c r="B8" i="2"/>
  <c r="B48" i="2"/>
  <c r="B80" i="2"/>
  <c r="B112" i="2"/>
  <c r="B128" i="2"/>
  <c r="B152" i="2"/>
  <c r="B176" i="2"/>
  <c r="B17" i="2"/>
  <c r="B65" i="2"/>
  <c r="B113" i="2"/>
  <c r="B153" i="2"/>
  <c r="B185" i="2"/>
  <c r="B5" i="2"/>
  <c r="B13" i="2"/>
  <c r="B21" i="2"/>
  <c r="B29" i="2"/>
  <c r="B37" i="2"/>
  <c r="B45" i="2"/>
  <c r="B53" i="2"/>
  <c r="B61" i="2"/>
  <c r="B69" i="2"/>
  <c r="B77" i="2"/>
  <c r="B85" i="2"/>
  <c r="B93" i="2"/>
  <c r="B101" i="2"/>
  <c r="B109" i="2"/>
  <c r="B117" i="2"/>
  <c r="B125" i="2"/>
  <c r="B133" i="2"/>
  <c r="B141" i="2"/>
  <c r="B149" i="2"/>
  <c r="B157" i="2"/>
  <c r="B165" i="2"/>
  <c r="B173" i="2"/>
  <c r="B181" i="2"/>
  <c r="B189" i="2"/>
  <c r="B197" i="2"/>
  <c r="B158" i="2"/>
  <c r="B7" i="2"/>
  <c r="B55" i="2"/>
  <c r="B95" i="2"/>
  <c r="B119" i="2"/>
  <c r="B151" i="2"/>
  <c r="B175" i="2"/>
  <c r="B199" i="2"/>
  <c r="B16" i="2"/>
  <c r="B40" i="2"/>
  <c r="B72" i="2"/>
  <c r="B104" i="2"/>
  <c r="B136" i="2"/>
  <c r="B160" i="2"/>
  <c r="B192" i="2"/>
  <c r="B9" i="2"/>
  <c r="B57" i="2"/>
  <c r="B97" i="2"/>
  <c r="B145" i="2"/>
  <c r="B193" i="2"/>
  <c r="B6" i="2"/>
  <c r="B14" i="2"/>
  <c r="B22" i="2"/>
  <c r="B30" i="2"/>
  <c r="B38" i="2"/>
  <c r="B46" i="2"/>
  <c r="B54" i="2"/>
  <c r="B62" i="2"/>
  <c r="B70" i="2"/>
  <c r="B78" i="2"/>
  <c r="B86" i="2"/>
  <c r="B94" i="2"/>
  <c r="B102" i="2"/>
  <c r="B110" i="2"/>
  <c r="B118" i="2"/>
  <c r="B126" i="2"/>
  <c r="B134" i="2"/>
  <c r="B142" i="2"/>
  <c r="B150" i="2"/>
  <c r="B166" i="2"/>
  <c r="B190" i="2"/>
  <c r="B31" i="2"/>
  <c r="B39" i="2"/>
  <c r="B47" i="2"/>
  <c r="B71" i="2"/>
  <c r="B103" i="2"/>
  <c r="B135" i="2"/>
  <c r="B167" i="2"/>
  <c r="B32" i="2"/>
  <c r="B56" i="2"/>
  <c r="B88" i="2"/>
  <c r="B120" i="2"/>
  <c r="B168" i="2"/>
  <c r="B200" i="2"/>
  <c r="B25" i="2"/>
  <c r="B89"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<sst xmlns="http://schemas.openxmlformats.org/spreadsheetml/2006/main" count="2055" uniqueCount="362">
  <si>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</si>
  <si>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</si>
  <si>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</si>
  <si>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</si>
  <si>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</si>
  <si>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</si>
  <si>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</si>
  <si>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</si>
  <si>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</si>
  <si>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</si>
  <si>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</si>
  <si>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</si>
  <si>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</si>
  <si>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</si>
  <si>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</si>
  <si>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</si>
  <si>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</si>
  <si>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</si>
  <si>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</si>
  <si>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</si>
  <si>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</si>
  <si>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</si>
  <si>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</si>
  <si>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</si>
  <si>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</si>
  <si>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</si>
  <si>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</si>
  <si>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</si>
  <si>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</si>
  <si>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</si>
  <si>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</si>
  <si>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</si>
  <si>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</si>
  <si>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</si>
  <si>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</si>
  <si>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</si>
  <si>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</si>
  <si>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</si>
  <si>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</si>
  <si>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</si>
  <si>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</si>
  <si>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</si>
  <si>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</si>
  <si>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</si>
  <si>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</si>
  <si>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</si>
  <si>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</si>
  <si>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</si>
  <si>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</si>
  <si>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</si>
  <si>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</si>
  <si>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</si>
  <si>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</si>
  <si>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</si>
  <si>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</si>
  <si>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</si>
  <si>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</si>
  <si>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SSH</t>
  </si>
  <si>
    <t>Enlace Hidalgo2</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</si>
  <si>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</si>
  <si>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</si>
  <si>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</si>
  <si>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</si>
  <si>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</si>
  <si>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</si>
  <si>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</si>
  <si>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</si>
  <si>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</si>
  <si>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Semaforización</t>
  </si>
  <si>
    <t>Ley del ISSSTE</t>
  </si>
  <si>
    <t>Ke Buena 106.7 FM</t>
  </si>
  <si>
    <t>Noticias 106.7</t>
  </si>
  <si>
    <t>David Cárdenas</t>
  </si>
  <si>
    <t>Regidor ebrio</t>
  </si>
  <si>
    <t>Enfoque Regional Meridiano</t>
  </si>
  <si>
    <t>Jesús González</t>
  </si>
  <si>
    <t>Queja padres de familia</t>
  </si>
  <si>
    <t>OCSAD</t>
  </si>
  <si>
    <t>Procuraduría Municipal del Menor</t>
  </si>
  <si>
    <t>Prevención De Riesgos</t>
  </si>
  <si>
    <t>Fuga De Agua</t>
  </si>
  <si>
    <t>Combate Al Narcomenudeo</t>
  </si>
  <si>
    <t>Eulalio Larrieta agradece a Carlos Gamiño por estar al pendiente de temas</t>
  </si>
  <si>
    <t>Bienestar</t>
  </si>
  <si>
    <t>TV Cable hidalguense Canal 6</t>
  </si>
  <si>
    <t>Contigo Noticias</t>
  </si>
  <si>
    <t>Localización de cuerpo</t>
  </si>
  <si>
    <t>Quejas Tuzobús</t>
  </si>
  <si>
    <t>Alerta Meteorológica</t>
  </si>
  <si>
    <t>Mando Coordinado</t>
  </si>
  <si>
    <t>Exigen destitución de funcionario</t>
  </si>
  <si>
    <t>Desalojo de manifestantes</t>
  </si>
  <si>
    <t>Alcantarillado</t>
  </si>
  <si>
    <t>Radioescucha Sr. Juan reporta que los semáforos de Prismas y Nuevo Hidalgo con dirección a Tulipanes, ya que no funcionan bien</t>
  </si>
  <si>
    <t>Habitantes de las comunidades Acuapa 1 y Acuapa 2, en el municipio de Huejutla, retuvieron a siete trabajadores de la Comisión Federal de Electricidad (CFE) este lunes, como medida de presión para exigir la atención de diversas problemáticas relacionadas con el servicio de energía eléctrica. De acuerdo con los inconformes, una de las principales demandas es la reubicación de varios postes que, desde hace meses, solicitaron mover debido a que algunos quedaron prácticamente en medio de calles y vialidades, lo que representa un riesgo para peatones y automovilistas. Ante la falta de atención, la mañana de este lunes 8 de junio los habitantes decidieron aplicar sus usos y costumbres y trasladaron a siete empleados de la CFE a la comunidad de Huejutla, donde permanecen retenidos mientras esperan una solución concreta a sus peticiones. Los vecinos responsabilizaron al ingeniero Juan Aranda por la falta de seguimiento a las solicitudes presentadas y señalaron que el problema se ha prolongado por varios meses sin que exista una respuesta efectiva. Los inconformes advirtieron que no liberarán a los trabajadores hasta que se establezcan compromisos claros para realizar los trabajos solicitados y mejorar el suministro eléctrico. Asimismo, señalaron que, de no obtener una respuesta en las próximas horas, podrían intensificar sus acciones mediante el bloqueo de la carretera federal Álamo-Tamazunchale, a la altura del crucero de Macuxtepetla. Los pobladores de Huejutla señalaron que, pese a las gestiones realizadas ante la paraestatal, no han obtenido respuesta favorable. Además, afirmaron que persisten las quejas por constantes variaciones de voltaje y frecuentes apagones que afectan a familias de ambas comunidades, y esto provoca daños en aparatos eléctricos y afectaciones en las actividades cotidianas. Por su parte, la Comisión Federal de Electricidad no había emitido una postura oficial sobre los hechos ni sobre las demandas planteadas por los habitantes de Acuapa 1 y Acuapa 2.</t>
  </si>
  <si>
    <t>Retención</t>
  </si>
  <si>
    <t>Locutor Jesús Riveros informa sobre una movilización policiaca en Tulancingo, debido a un asalto a Joyería.</t>
  </si>
  <si>
    <t>Inseguridad</t>
  </si>
  <si>
    <t>como resultado del trabajo coordinado entre ciudadanía, gobierno municipal e integrantes del H. Ayuntamiento, el presidente Jorge Hernández Araus encabezó la inauguración de la obra de construcción de pavimentación hidráulica en la calle 8 de Septiembre, en la comunidad de Santa María Nativitas. Esta importante mejora representó una inversión de 1 millón 885 mil 393 pesos con 40 centavos, recursos destinados a fortalecer la infraestructura urbana y mejorar las condiciones de movilidad y seguridad para quienes transitan diariamente por esta vialidad, beneficiando de manera directa a 65 habitantes y de forma indirecta a 2 mil 878.</t>
  </si>
  <si>
    <t>Pavimentación hidráulica</t>
  </si>
  <si>
    <t>Locutor Irving Sánchez da lectura a comentario de radioescucha que reportan la inconformidad de padres de familia por el incremento en la cuota de inscripción en una Escuela Primaria de Tulancingo.</t>
  </si>
  <si>
    <t>Locutor Irving Sánchez da lectura a comentario de radioescucha que reportan la inconformidad de padres de familia por los maestros de la Escuela Primaria Río Seco Puente de Doria del municipio de Huasca de Ocampo, solicitan la intervención de la SEPH para que no falten tanto los maestros, que haya una mejor educación en favor de las y los alumnos de este plantel educativo.</t>
  </si>
  <si>
    <t>La recepción de remesas en Hidalgo registró una baja durante el primer trimestre de 2026, según datos publicados por el Banco de México. En el periodo enero-marzo, el estado captó 396.375 millones de dólares, cifra menor a los 449.643 millones reportados en el último trimestre de 2025. El municipio de Ixmiquilpan se mantuvo como el segundo con mayor captación de remesas en la entidad, solo detrás de Tulancingo de Bravo. Ixmiquilpan recibió 58.856 millones de dólares, mientras que en el trimestre octubre-diciembre de 2025 había alcanzado 66.748 millones. Tulancingo de Bravo encabezó la lista con 60.535 millones de dólares en el primer trimestre, por debajo de los 67.619 millones registrados el trimestre anterior. Pachuca de Soto ocupó el tercer lugar con 43.794 millones de dólares, frente a los 49.523 millones del cierre de 2025. En la región, Actopan reportó 20.532 millones de dólares; Zimapán, 19.160 millones; Huichapan, 14.392 millones, y Chapulhuacán, 7.366 millones. En contraste, Tasquillo y Alfajayucan recibieron poco más de 2 millones de dólares cada uno. Los datos reflejan una tendencia a la baja generalizada en la captación de remesas en los principales municipios receptores de Hidalgo al arranque de 2026.</t>
  </si>
  <si>
    <t>Remesas</t>
  </si>
  <si>
    <t>Tatiana Ángeles impulsa el cooperativismo como alternativa económica en México En tiempos donde las grandes corporaciones dominan buena parte de la economía nacional, la diputada Tatiana Ángeles Moreno volvió a poner sobre la mesa un tema que pocas veces recibe reflectores: el cooperativismo como motor de desarrollo social y económico para miles de familias mexicanas. Durante un foro organizado por la histórica Cooperativa Pascual, reconocida por su emblemática marca Boing!, Tatiana Ángeles y el legislador Alfonso Ramírez Cuéllar coincidieron en que las cooperativas representan mucho más que un modelo de negocio: son una forma de distribuir oportunidades, fortalecer la economía social y devolverle a los trabajadores el control de su esfuerzo y producción.</t>
  </si>
  <si>
    <t>Impulso al cooperativismo</t>
  </si>
  <si>
    <t>Con el propósito de fortalecer la cultura cívica y democrática entre la comunidad estudiantil hidalguense, el Instituto Estatal Electoral de Hidalgo (IEEH) realizó la donación de 250 ejemplares de productos editoriales propios a la Subsecretaría de Educación Media, Superior y Superior de la Secretaría de Educación Pública de Hidalgo (SEPH). Esta acción busca acercar materiales informativos y de divulgación en materia electoral a la comunidad educativa, promover el conocimiento de los valores democráticos, la participación ciudadana y la importancia de las Instituciones Electorales en la vida pública del Estado. La Consejera Presidenta Mtra. María Magdalena González Escalona, destacó que la entrega de los ejemplares forma parte del compromiso institucional de promover la cultura democrática y fortalecer la participación ciudadana entre las juventudes hidalguenses; señaló además, que los materiales serán distribuidos en distintos planteles educativos del estado con el propósito de acercar a la comunidad estudiantil contenidos especializados sobre democracia, Procesos Electorales y participación ciudadana. Finalmente, Daniel Fragoso Torres, Subsecretario de Educación Media, Superior y Superior del Estado, reconoció en el IEEH a un aliado estratégico en la promoción de la cultura cívica entre las juventudes, precisando que los materiales editoriales serán incorporados a las bibliotecas de instituciones de Educación Media Superior y Superior de Hidalgo. Destacó, que dichas publicaciones contribuirán a fortalecer el conocimiento y la reflexión de las comunidades educativas sobre la democracia, la participación ciudadana y la evolución de los Procesos Electorales en Hidalgo, reflexionando que el acceso a los libros y al conocimiento sigue siendo una herramienta fundamental para fomentar el pensamiento crítico y consolidar una ciudadanía informada y participativa.</t>
  </si>
  <si>
    <t>IEEH</t>
  </si>
  <si>
    <t>Donación de libros</t>
  </si>
  <si>
    <t>El próximo 18 y 19 de junio en el municipio de la Misión se realizará el Primer Festival del Chile Rayado La Misión 2026, en donde se realizarán diversas actividades culturales, religiosas y deportivas. De acuerdo con el programa, algunas de las actividades que se llevaran a cabo están: misa por los agricultores del chile rayado, cabalgata en honor a los productores, rodada de bicicletas, corredor gastronómico, juego de rayuela y un programa cultural. El pasado 13 de mayo el gobierno de Hidalgo, junto con la academia y el sector productivo, obtuvo la indicación geográfica que se traducirá en mayores oportunidades. Con el compromiso de fortalecer el patrimonio agroalimentario y cultural de Hidalgo, el gobernador Julio Menchaca Salazar recibió, por parte del Instituto Mexicano de la Propiedad Industrial (IMPI), la Declaratoria de Protección de la Indicación Geográfica del Chile Rayado de La Misión, un elemento jurídico que impulsa el comercio justo y la generación de mayores oportunidades para las familias productoras de la Sierra Gorda hidalguense. Menchaca Salazar agregó que la indicación geográfica permitirá detonar el desarrollo económico y fortalecer la protección de los conocimientos tradicionales de las y los productores de esta variedad del chile jalapeño que se caracteriza por sus rayas pronunciadas. Al respecto, Santiago Nieto Castillo, director general del IMPI, detalló que hay indicios de la producción del chile rayado en La Misión desde hace más de un siglo, misma que ha perdurado de manera ininterrumpida de generación en generación y, a la fecha, la mayoría de la población está relacionada con este fruto que se cosecha en más de dos mil hectáreas. “Hoy, el chile rayado de La Misión forma parte del Atlas Turístico de México de la Secretaría de Turismo del Gobierno de México”, señaló Nieto Castillo al reconocer la labor de la administración del gobernador Julio Menchaca para la defensa del patrimonio hidalguense, lo que ha resultado en la indicación geográfica del aguamiel, el registro de mil 588 marcas y la tramitación de 17 patentes en forma y 49 en fondo. En ese sentido, destacó que Hidalgo ocupa el octavo lugar a nivel nacional en materia de patentes de ciencia, innovación y tecnología, y adelantó que ya se trabaja en la protección de alimentos como la barbacoa, el ximbó y el destilado de pulque.</t>
  </si>
  <si>
    <t>Indi</t>
  </si>
  <si>
    <t>Estudiante del ITESHU presenta proyecto de educación financiera ante CITNOVA</t>
  </si>
  <si>
    <t>Educación financiera</t>
  </si>
  <si>
    <t>El IHE, a través de la Tercera Jornada Nacional por la Paz y contra las Adicciones, estudiantes, docentes y autoridades suman esfuerzos para construir una cultura de bienestar y sana convivencia.</t>
  </si>
  <si>
    <t>Prevención De Adicciones</t>
  </si>
  <si>
    <t>Julio Menchaca acompaña fortalecimiento del Colegio de Notarios del Estado de Hidalgo (AUDIO JMS)</t>
  </si>
  <si>
    <t>Conmemoración Aniversario</t>
  </si>
  <si>
    <t>Julio Menchaca respalda a la Industria de Desarrollo y Promoción de Vivienda (AUDIO JMS)</t>
  </si>
  <si>
    <t>Toma de protesta</t>
  </si>
  <si>
    <t>Tulancingo vivió una jornada histórica marcada por la pasión futbolera y el intercambio cultural con la visita de la delegación de leyendas de la selección de Sudáfrica 2010, cuyos integrantes fueron recibidos con entusiasmo por cientos de habitantes que se sumaron a las actividades organizadas en el marco de la cuenta regresiva rumbo a la Copa Mundial de la FIFA 2026. La visita inició con una cálida bienvenida en la explanada de La Floresta, donde la secretaria de Turismo de Hidalgo, Elizabeth Quintanar Gómez; el subsecretario Salvador Navarrete Zorrilla; y la presidenta municipal, Lorena García Cázares, encabezaron, junto con una multitud de aficionados, el acto de recepción, acompañado de música que reflejó la identidad y hospitalidad de Tulancingo. Posteriormente, las leyendas sudafricanas participaron en una clínica deportiva dirigida a 50 niños que forman parte del Mundialito Intercolegial Fut 7 2026. Durante la actividad compartieron técnicas de control de balón, definición y estrategia de juego, además de convivir con estudiantes de nivel básico, quienes tuvieron la oportunidad de aprender de futbolistas que formaron parte de una generación histórica para su país. En la zona del ferrocarril se llevó a cabo una firma de autógrafos que reunió a decenas de aficionados. Entre fotografías, sonrisas y muestras de cariño, los visitantes convivieron con niños, jóvenes y familias enteras. En este espacio también degustaron platillos típicos de la región, mostrando interés por la gastronomía y las tradiciones locales. Como parte final de su estancia en el municipio, la delegación recorrió la zona arqueológica de Huapalcalco. Ahí presenciaron danzas prehispánicas y conocieron la importancia cultural del lugar, que recientemente cumplió tres años de haber sido declarado Zona de Monumentos Históricos por el Instituto Nacional de Antropología e Historia. Más allá del fútbol, la visita permitió fortalecer los lazos de amistad entre culturas y proyectar a Tulancingo como un destino con capacidad para albergar eventos de alcance internacional. Con saldo blanco y una amplia participación social, la despedida de las leyendas de Sudáfrica 2010 dejó una estela de entusiasmo y orgullo entre los tulancinguenses.</t>
  </si>
  <si>
    <t>En vivo desde las instalaciones de Gobierno del Estado, locutor Juan Carlos Santamaría informó que, la conferencia matutina de Gobierno de Hidalgo inició con la presentación de un video en el que se pudo observar al gobernador Julio Menchaca Salazar platicando en lo que ha denominado “Círculos de Diálogo” con personas del municipio de Progreso de Obregón y de esta charla, destaca que, el mandatario estatal les dijo a los pobladores con quienes se reunió que “Nadie debe pedir nada a cambio de los apoyos que llegan directamente a los beneficiarios de los programas sociales de las diferentes instancias de Gobierno para poder solicitarlos y entregarlos”.</t>
  </si>
  <si>
    <t>Mañanera de Hidalgo</t>
  </si>
  <si>
    <t>En vivo desde las instalaciones de Gobierno del Estado, locutor Juan Carlos Santamaría informó sobre la participación de Danny Jordaan, presidente de la Federación Sudafricana Fútbol, quien se refirió al partido del día de ayer del “Juego de Leyendas”; en el que, la selección de México se impuso cinco goles por dos.</t>
  </si>
  <si>
    <t>En vivo desde las instalaciones de Gobierno del Estado, locutor Juan Carlos Santamaría informó sobre la participación de Beryl Rose Sisulu, embajadora de Sudáfrica en México, quien ha hecho un reconocimiento por la parte cultura e histórica que une a los pueblos sudafricanos y mexicano a través de lo que fue Nelson Mandela (en su momento) y esta lucha del pueblo sudafricano por eliminar situaciones que segregaban a algunas personas, una lucha que se mantiene en el mundo, en ese sentido, destacó la empatía del pueblo mexicano con el sudafricano y lo grato que ha sido su presencia en el Estado de Hidalgo.</t>
  </si>
  <si>
    <t>En vivo desde las instalaciones de Gobierno del Estado, locutor Juan Carlos Santamaría informó que, el Coordinador de Comunicación Gubernamental, Edmundo Pineda López ha presentado a quienes estarán encabezando esta conferencia mañanera, que es peculiar, recordemos, que la justa futbolera internacional que comienza esta semana está permeando en muchas de las actividades, por lo que, el día de hoy, se tiene la presencia Beryl Rose Sisulu, embajadora de Sudáfrica en México; Danny Jordaan, presidente de la Federación Sudafricana Fútbol; dos integrantes de la selección de Sudáfrica del Mundial 2010 y quienes ha estado recorriendo diferentes municipios, como, Tulancingo que ha estado en la agenda del denominado “Juego de Leyendas”; por parte del Estado, está la secretaria de Turismo, Elizabeth Quintanar y Óscar “El Conejo” Pérez, quien además de ser el titular del Inhide, formó parte de aquella selección mexicana del mundial 2010.</t>
  </si>
  <si>
    <t>Respecto a la nota sobre la visita de las leyendas de la selección de Sudáfrica 2010 a Tulancingo, Jesús Riveros comentó que, durante la conferencia mañanera de Gobierno del Estado de Hidalgo los propios exjugadores profesionales han expresado lo agradable que ha sido su estancia en el Valle de Tulancingo y por supuesto, en el Estado de Hidalgo.</t>
  </si>
  <si>
    <t>Gobierno</t>
  </si>
  <si>
    <t>Turismo</t>
  </si>
  <si>
    <t>Un ataque armado registrado en la comunidad de El Dendho, municipio de Atitalaquia, dejó como saldo un hombre sin vida y una mujer lesionada, luego de que ambos fueran agredidos a balazos por sujetos que viajaban en una camioneta. De acuerdo con los primeros reportes, los hechos ocurrieron cuando los ocupantes de una camioneta Toyota color blanco interceptaron un vehículo Chevrolet en el que viajaban las víctimas y abrieron fuego en su contra para posteriormente darse a la fuga. En el lugar perdió la vida un hombre identificado con las iniciales C. L. V. P., de 49 años de edad, mientras que una mujer, identificada como G. M. H., resultó herida por impactos de arma de fuego, por lo que fue trasladada a un hospital para recibir atención médica. Tras la agresión, elementos de corporaciones policiales municipales, estatales y cuerpos de emergencia acudieron al sitio para atender la situación y acordonar la zona, mientras se realizaban las diligencias correspondientes. Asimismo, se implementó un operativo de búsqueda para localizar a los responsables, quienes escaparon con dirección a la carretera Tula-Jorobas. La Procuraduría General de Justicia del Estado de Hidalgo (PGJEH) inició las investigaciones para esclarecer el móvil del ataque, identificar a los agresores y determinar las circunstancias en las que ocurrió este hecho violento. Hasta el momento no se han reportado detenidos. Peritos y agentes ministeriales realizaron el procesamiento de la escena, así como la recolección de indicios que permitan integrar la carpeta de investigación correspondiente. Apenas la mañana del jueves 4 de junio se reportó que un hombre perdió la vida tras ser atacado con un arma de fuego en esta misma comunidad de El Dendho, municipio de Atitalaquia, Hidalgo.</t>
  </si>
  <si>
    <t>Ataque Armado</t>
  </si>
  <si>
    <t>La noche de este domingo dos hombres perdieron la vida de manera instantánea tras ser atropellados sobre la autopista México-Tuxpan, a la altura de la caseta de peaje de San Alejo. El accidente se registró en el kilómetro 107 de la vía de cuota, en el tramo Tejocotal-San Alejo, cerca de la zona de baños de la caseta. Inicialmente se reportó la presencia de dos personas lesionadas por un presunto atropellamiento; sin embargo, al arribo de los cuerpos de emergencia se confirmó que ambas víctimas ya no contaban con signos vitales. Aunque circula la versión de que uno de los fallecidos sería el conductor de un autobús de turismo y el otro su ayudante, esta información no ha sido confirmada por las autoridades correspondientes. Tras el percance, personal de MRO Golfo Centro que opera la autopista y elementos de la Guardia Nacional (GN), división Carreteras, implementaron un operativo de abanderamiento para resguardar la zona y prevenir nuevos accidentes. Agentes periciales y de investigación de la Procuraduría General de Justicia del Estado de Hidalgo (PGJEH), se encargaron del levantamiento de los cuerpos</t>
  </si>
  <si>
    <t>Accidente Carretero</t>
  </si>
  <si>
    <t>En Atitalaquia en el Barrio Dendho un hombre de 49 años perdió la vida por arma de fuego. El cuerpo se localizó dentro de un vehículo junto con una mujer que resultó lesionada y fue trasladada a un hospital.</t>
  </si>
  <si>
    <t>Homicidios</t>
  </si>
  <si>
    <t>Dos hombres fueron asesinados a balazos la tarde de este sábado en la comunidad de El Carmen. Los primeros reportes indican que los agresores viajaban en motocicleta y los atacaron cerca del panteón de la colonia El Chamizal. Paramédicos confirmaron el fallecimiento en el lugar.</t>
  </si>
  <si>
    <t>Tras la manifestación y bloqueo carretero del pasado viernes, hoy lunes, trabajadores Hospital del ISSSTE de Pachuca ,retomaron la protesta en el nosocomio para exigir la destitución de la administradora Ivonne Hernández Anaya.Los quejosos colocaron lonas en los cristales y barandales del lobby de tal, donde señalaron que el personal trabaja bajo protesta ante la administración de la subdirectora administrativa, de quien piden su destitución debido a la falta de transparencia, que no tramita el pago y vulnera los derechos de los trabajadores, AUDIO APOYO</t>
  </si>
  <si>
    <t>Cuatro personas fallecidas, entre ellas una menor de edad y siete más lesionadas, fue el saldo de un accidente registrado ayer domingo en la carretera que conduce a las Grutas de Tolantongo, en el Cardonal. Según información preliminar, la policía municipal, el percance ocurrió cuando un urbano de transporte se vino a ser involucrada en un choque con otro vehículo en una de las vialidades de acceso al corredor turístico. Liz Quintanar, secretaria de Turismo, que habla sobre este hecho, AUDIO APOYO</t>
  </si>
  <si>
    <t>Deceso turista</t>
  </si>
  <si>
    <t>Dos personas fueron localizadas sin vida y calcinales de una obra negra en la colonia Jacarandas, en Pachuca, informaron a autoridades locales. El hallazgo se realizó durante la mañana del pasado sábado, cuando vecinos alertaron a la policía sobre la presencia de humo y restos humanos al interior de la casa en construcción.Al arribar al sitio, los oficiales constataron que se trataba de dos cuervos calcinados, por lo que la zona fue ocultada y resguardada.</t>
  </si>
  <si>
    <t>Localización De Restos</t>
  </si>
  <si>
    <t>El regidor con licencia Omar Ramírez, tras recuperar su libertad, sostuvo una reunión con sus cercanos, a quienes les externó su agradecimiento. Aseguró que no se irá del municipio, se tomará un tiempo para definir sus prioridades y dijo que no le dan ganas de regresar a retoamar sus actividades como regidor del ayuntamiento</t>
  </si>
  <si>
    <t>Detención Regidor</t>
  </si>
  <si>
    <t>Habitantes de la comunidad de Santa Teresa en el municipio de Yahualica, expulsaron a un hombre que era señalado por vecinos de presuntamente dedicarse a la venta de drogas en la localidad.De acuerdo con vecinos, la medida se realizó de manera pacífica y con la presencia de autoridades comunitarias para evitar cualquier incidente. Habitantes señalaron que la determinación se tomó luego de diversos acontecimientos que habían generado preocupación entre la población, por lo que decidieron actuar mediante los mecanismos internos de la comunidad.</t>
  </si>
  <si>
    <t>Usos y costumbres</t>
  </si>
  <si>
    <t>En esta conferencia de prensa de los lunes estuvo la embajadora de Sudáfrica en México Beryl Rose Sisulu , quien agradeció al gobernador de Hidalgo, Julio Menchaca, por su actividad. AUDIO APOYO,</t>
  </si>
  <si>
    <t>Durante la conferencia de prensa, la conferencia mañanera de los lunes del gobierno de Hidalgo, el director del Instituto Hidalguense del Deporte, Carl Pérez, presentó el programa Ponte Pila , AUDIO APOYO,</t>
  </si>
  <si>
    <t>La fiesta futbolera llegó a Hidalgo, convirtiendo al Estado en el primero en hablar del mundo. Así lo dijo durante la conferencia de los lunes la secretaria de turismo, Liz Quintanar “ Esto es el resultado de la elección del gobernador a la embajada, de la unión con el ministro de Deporte, Cultura y Artes, y de todo el comité, para que por primera vez, seamos el primer Estado en donde se hable mundial “ AUDIO APOYO</t>
  </si>
  <si>
    <t>La selección mexicana recibió este lunes el abanderamiento oficial rumbo al Mundial 2026 en una ceremonia encabezada por la presidenta Claudia Sheinbaum en el Centro de Alto Rendimiento de la Federación Mexicana de Fútbol. A tres días del partido inaugural de la Copa del Mundo, el representativo nacional recibió la bandera como parte de la tradición protocolaria previa a las competencias internacionales de mayor relevancia.</t>
  </si>
  <si>
    <t>En este evento de la libertad de expresión, estuvo el presidente municipal Cristhian Martínez Reséndiz, quien anunció el trabajo que realizan los medios de comunicación aquí en Tula. “Todo el gremio es tan fundamental para nuestro municipio de Tula, ustedes que han hecho transcurrir la historia de nuestro municipio que han formado parte de ella, junto con sus familias y las generaciones “, AUDIO APOYO</t>
  </si>
  <si>
    <t>Día libertad de expresión</t>
  </si>
  <si>
    <t>Periodistas de Tula se reunieron en el busto del profesor Francisco Tobar, fundador del periódico La Región. Fue Gabriela Tovar González la actual directora del periódico, quien habló de esta conmemoración. Es para nosotros un día muy importante para quienes ejercemos el periodismo. El periodista de Tepeji del Río, Gabriel Pérez, dijo que hay nuevos retos para el periodismo. AUDIO APOYO</t>
  </si>
  <si>
    <t>Julio Menchaca reconoce labor del gremio periodístico hidalguense , AUDIO JMS APOYO</t>
  </si>
  <si>
    <t>Radioescucha reporta que en Fraccionamiento Virreyes hay muchos baches y son un peligro, que el señor Medecigo nos ponga tantita atención</t>
  </si>
  <si>
    <t>Bacheo</t>
  </si>
  <si>
    <t>Radioescucha Sra. Ramírez reporta una coladera abierta en Avenidas de las Santas junto a la parada de las colectivas en La Providencia, Mineral de la Reforma.</t>
  </si>
  <si>
    <t>Radioescucha manda audio reporta que los policías de tránsito solo están quitando la placa en el 1ero de Mayo y como a los locatarios que dejan su carro todo el día no les dicen nada.</t>
  </si>
  <si>
    <t>Multa de tránsito</t>
  </si>
  <si>
    <t>Radioescucha reporta que los policías de tránsito son prepotentes y groseros y solo se dedican a infraccionar por cualquier cosa.</t>
  </si>
  <si>
    <t>Radioescucha reporta que siguen sin arreglar los semáforos que están rumbo a Tulipanes por Chedraui, no funcionan</t>
  </si>
  <si>
    <t>Radioescucha Sr. Castillo reporta que el día de ayer un taxista en el paradero externo de Plaza Bella nos quería cobrar de Plaza Bella a Palmar $90.00 pesos, que porque según había tráfico.</t>
  </si>
  <si>
    <t>Alteración tarifa de transporte</t>
  </si>
  <si>
    <t>Radioescucha pide a los choferes del transporte público que manejen con cuidado, ya que con los charcos pasan y mojan a los otros vehículos, también a las personas que van caminando.</t>
  </si>
  <si>
    <t>Queja transporte público</t>
  </si>
  <si>
    <t>Radioescucha reporta una fuga de agua calle Jorge Rojo Lugo en colonia San Antonio el Desmonte , ya se reporto varias veces y no viene hacer nada Caasim</t>
  </si>
  <si>
    <t>Radioescucha reporta nuevamente un tráiler de una empresa que pasa por calle Arrayanes en la colonia Piracantos, es una unidad muy pesada, y ya rompió varias tomas de agua. El chofer dice que el dueño es amigo del gobernador y puede hacer lo que quiera</t>
  </si>
  <si>
    <t>Influyentismo</t>
  </si>
  <si>
    <t>Como parte de las acciones permanentes, la Dirección General de Protección Civil y Gestión de Riesgos mantiene activos los protocolos de actuación, monitoreo y supervisión en distintos puntos de la capital ante las condiciones meteorológicas registradas.De acuerdo con los recorridos y reportes de vigilancia, se presentaron encharcamientos ligeros y moderados en diversas zonas de la ciudad, sin que hasta el momento se reporten afectaciones a viviendas, vehículos o personas.Asimismo, se verificó el funcionamiento de la infraestructura pluvial, constatando que los drenes operan con normalidad y mantienen su capacidad de desalojo de agua.Personal de Protección Civil continúa con la supervisión de puntos susceptibles a acumulación de agua y mantiene vigilancia preventiva para atender de manera oportuna cualquier eventualidad.</t>
  </si>
  <si>
    <t>En el marco del Día Mundial de la Bicicleta, el Instituto Mexicano del Seguro Social (IMSS) en Hidalgo destaca los beneficios a la salud de esta práctica deportiva, además de ser un medio de transporte económico, ecológico y sustentable.El jefe de la Oficina de Cultura Física y Deporte de la Jefatura de Salud en el Trabajo, Prestaciones Económicas y Sociales, Jonathan Meneses Ghenno, del IMSS en la entidad afirmó que, el uso regular de la bicicleta representa un beneficio importante al sistema cardiovascular y respiratorio, además de la mejora en el estado general de salud.</t>
  </si>
  <si>
    <t>Promoción De La Salud</t>
  </si>
  <si>
    <t>Hidalgo cerró la temporada de influenza estacional 2025-2026 con 418 casos y 31 muertes, lo que duplicó los fallecimientos a causa de ese padecimiento en comparación con el periodo 2024-2025, y se ubicó en el cuarto lugar nacional con más mortalidad.La Dirección General de Epidemiología (DGE) reveló que la entidad acumuló 418 casos en la temporada estacional que inició la última semana de septiembre de 2025 y concluyó la tercera semana de mayo de 2026, cantidad que aumentó 23.3 por ciento en comparación con los 339 casos del periodo anterior.Además, la institución dependiente de la Secretaría de Salud federal informó que en los ocho meses ocurrieron 31 muertes por influenza, cifra que incrementó más del 100 por ciento respecto de los 13 decesos de septiembre de 2024 a mayo del 2025.</t>
  </si>
  <si>
    <t>Influenza</t>
  </si>
  <si>
    <t>La Secretaria de Educación Pública del Estado de Hidalgo, informó que con motivo del Campeonato de Fútbol 2026, el próximo 11 de junio se autoriza a las comunidades escolares, madres y padres de familia, personas tutoras, directivos y docentes a determinar en conjunto la estrategia más adecuada para participar de manera ordenada y responsable en este evento deportivo.La participación podrá realizarse tanto en el entorno escolar como en el ámbito familiar, siempre privilegiando el bienestar de las y los estudiantes así como el cumplimiento de los objetivos educativos.</t>
  </si>
  <si>
    <t>Gobierno de Hidalgo genera espacios de inclusión para personas con síndrome de Down y autismo</t>
  </si>
  <si>
    <t>Inclusión</t>
  </si>
  <si>
    <t>Elementos de la Secretaría de Seguridad Pública de Hidalgo (SSPH) aseguraron 10 kilos 800 gramos de presunta marihuana ocultos en dos envíos de paquetería procedentes de Veracruz y con destino a la Ciudad de México.La acción se realizó tras una denuncia recibida por el Centro de Control, Comando, Comunicaciones, Cómputo, Coordinación e Inteligencia (C5i), luego de que trabajadores de una empresa de mensajería reportaran paquetes con características inusuales.Durante la inspección, los agentes localizaron 20 bolsas con hierba seca con características propias de la marihuana, equivalentes a cerca de 36 mil dosis.La sustancia asegurada fue puesta a disposición de la autoridad competente para el desarrollo de las investigaciones correspondientes</t>
  </si>
  <si>
    <t xml:space="preserve">SSPH frena robo de combustible por drenaje en Atotonilco de Tula
</t>
  </si>
  <si>
    <t>Combate Al Huachicol</t>
  </si>
  <si>
    <t>UTEC participa en encuentro latinoamericano de óptica y fotónica</t>
  </si>
  <si>
    <t>Divulgación científica</t>
  </si>
  <si>
    <t>Tras el fuerte accidente vial registrado la noche de pasado jueves, alrededor de las 22:00 horas, sobre la carretera federal México - Tampico, a la altura de la entrada al lugar conocido como Ajacaya. Una camioneta pickup se salió de la cinta asfáltica y se precipitó a un profundo barranco. Al descender para auxiliar a las víctimas, los cuerpos de emergencia se encontraron con una escena alarmante: el vehículo estaba vacío. El conductor ha sido identificado como, Renato Alonso Sánchez, de 42 años, de Acoxcatlán, y su unidad una Nissan NP 300, color blanca, con placas de circulación HT-2897-G del estado de Hidalgo Hasta el momento se desconoce su paradero y su estado físico, por lo que se solicita urgentemente el apoyo de la ciudadanía y voluntarios para unirse a las brigadas de búsqueda en la zona.</t>
  </si>
  <si>
    <t>Búsqueda de personas</t>
  </si>
  <si>
    <t>Cuatro personas perdieron la vida en un accidente vial registrado la noche del sábado 6 de junio en la vialidad de acceso a las Grutas de Tolantongo, dentro del municipio de Cardonal. De acuerdo a reporte inicial, la camioneta Urvan donde viajaban los fallecidos registró una falla mecánica en el sistema de frenado y terminó impactándose contra un autobús de turistas. Los fallecidos fueron una mujer, una menor de edad y dos hombres, además de existir siete personas lesionadas, las cuales fueron trasladadas para recibir atención médica. Presuntamente las personas fallecidas, una menor, una mujer y dos hombres eran originarios de Guanajuato. Personal de atención a emergencias acudieron al sitio para apoyar las labores de rescate y atención, posteriormente llegaron representantes de la Procuraduría General de Justicia del Estado de Hidalgo para iniciar las investigaciones respectivas y con ello deslindar responsabilidades.</t>
  </si>
  <si>
    <t>Una persona colgada de la rama de un árbol fue localizada la tarde del viernes 5 de junio, confirmándose posteriormente que ya no contaba con signos vitales. El hallazgo fue realizado en un camino dentro de la localidad de Los Romeros, al norte del municipio de Santiago Tulantepec, a donde acudieron elementos de Bomberos y Protección Civil local. Tras descolgar el cuerpo del hombre y verificar sus signos vitales, se confirmó que ya no contaba con estos; el sitio fue resguardado por los elementos policiacos para el inicio de las investigaciones por parte de autoridades ministeriales. El cuerpo del hombre, del que no se tiene identificación alguna hasta el momento, presentaba una lesión grave en el cuello, estando colgado a unos cuatro metros del suelo, aproximadamente.</t>
  </si>
  <si>
    <t>Suicidio</t>
  </si>
  <si>
    <t>Dos hombres fueron encontrados sin vida y completamente calcinados al interior de una construcción en obra negra ubicada en la colonia Jacarandas, a espaldas del Centro de Reinserción Social (Cereso) para Adultos de Pachuca, en un hecho que ha generado consternación entre los habitantes de la zona y que ya es investigado por las autoridades ministeriales. El hallazgo se realizó durante la mañana de este domingo, luego de que elementos de Seguridad Pública acudieran al inmueble y confirmaran la presencia de los cuerpos entre los restos calcinados de la construcción. La Procuraduría General de Justicia del Estado de Hidalgo mantiene abierta la carpeta de investigación correspondiente</t>
  </si>
  <si>
    <t>Los cuerpos de dos hombres con heridas de bala, fueron hallados en las inmediaciones de la colonia El Chamizal de la localidad de El Carmen, en el municipio de Tula de Allende. De acuerdo con los primeros reportes, vecinos de la zona alertaron a las autoridades tras escuchar múltiples detonaciones de arma de fuego en un camino de terracería. Tras recibir el reporte, elementos de Seguridad Pública y cuerpos de emergencia se trasladaron al sitio, donde localizaron a dos hombres con lesiones provocadas por proyectil de arma de fuego. Paramédicos que acudieron al lugar confirmaron que ambas víctimas ya no contaban con signos vitales, por lo que la zona fue acordonada y resguardada por las autoridades. Posteriormente, se solicitó la presencia de personal de la Procuraduría General de Justicia del Estado de Hidalgo, así como de peritos y agentes de investigación, quienes realizaron las diligencias correspondientes y el levantamiento de los cuerpos.</t>
  </si>
  <si>
    <t>Daniel Martínez comenta que el pasado fin de semana se reportó un presunto robo a mano armada en una tienda de autoservicio en el centro de Tulancingo, se hizo el reporte a Seguridad Pública y días después se acudió a preguntar qué avances se tenía y "casi tres días después no tenemos un triste parte informativo" de cómo va el avance. No tenemos nada. En este sentido, cuestiona si funciona el Mando Coordinado y que transparentar la información sirve para saber qué se está haciendo. "tiene sus asegunes el mando coordinado, aseveró.</t>
  </si>
  <si>
    <t>Tras la incorporación de Tezontepec de Aldama y Progreso de Obregón al esquema de Mando Coordinado, el gobierno estatal prevé que en breve la totalidad de los municipios de Hidalgo se encuentren integrados a este modelo de seguridad. Así lo informó el secretario de Gobierno, Guillermo Olivares Reyna, quien explicó que ambos ayuntamientos aprobaron previamente en sesión de cabildo su adhesión al esquema y que posteriormente se realizó la presentación oficial de los nuevos responsables de seguridad pública en ambas demarcaciones. “El interés fue de ellos, desde luego primero pasó por Cabildo, aprobaron con oportunidad su incorporación a mando coordinado”, señaló el funcionario. Olivares Reyna detalló que junto con el secretario de Seguridad Pública de Hidalgo, Salvador Cruz Neri, y el encargado del despacho de la Procuraduría General de Justicia del Estado de Hidalgo, acudieron a dar posesión y reconocimiento público a quienes asumirán la responsabilidad de la seguridad pública en Tezontepec de Aldama y Progreso de Obregón. Indicó que los nuevos mandos asumieron el compromiso de mantener cercanía con la ciudadanía, atender de manera oportuna las problemáticas que se presenten y combatir los delitos con honestidad.</t>
  </si>
  <si>
    <t>La tarde del viernes 5 de junio, integrantes de la Coordinadora Nacional de Trabajadores de la Educación (CNTE) en Hidalgo marcharon por las principales calles de Pachuca para manifestar su respaldo al paro nacional que mantienen docentes de entidades como Oaxaca, Chiapas, Guerrero, Michoacán, entre otros. El grupo de manifestantes se concentró en el bulevar Felipe Angeles a la altura de la estación Estadio Hidalgo del Tuzobús, desde el punto de reunión salieron con rumbo al Centro de la ciudad, lo que impidió la circulación de vehículos durante su marcha. Los docentes coreaban consignas como: “Hidalgo presente, en la lucha de la CNTE”, “El paro, el paro, es culpa del Estado”, “Gobierne quien gobierne, los derechos se defienden”, “Si no hay solución, no rodará el balón”, y “Va a caer, va a caer, la reforma va a caer”, por mencionar algunas. Avanzaron por avenida Juárez y al llegar a la glorieta de Los Insurgentes, siguieron por avenida Revolución hasta pasar por plaza Juárez. En la zona centro, marcharon por las calles Ignacio Allende y Mariano Matamoros, hasta finalizar en la plaza Independencia. Tras casi hora y media de marcha, integrantes de la CNTE provenientes de diferentes regiones de llegaron a las inmediaciones del Reloj Monumental, donde emitieron sus posicionamientos y exigencias como la abrogación a la Ley del ISSSTE de 2007, y se pronunciaron en la negativa de aceptar el aumento salarial del 9 por ciento.</t>
  </si>
  <si>
    <t>La Comisión de Derechos Humanos del Estado de Hidalgo (CDHEH) inició un cuaderno de antecedentes bajo el folio CA-VG-0409-26 por los hechos registrados durante la manifestación de trabajadores del Hospital ISSSTE Columba Rivera, ubicado en la ciudad de Pachuca, el pasado 5 de junio. En dicha fecha, los trabajadores del nosocomio público se manifestaron y bloquearon el bulevar Felipe Ángeles para señalar falta de transparencia en el manejo de recursos y retención injustificada de pagos a los colaboradores. Elementos de seguridad pública implementaron una barrera de contención con equipo antimotín, además que en el mismo operativo fueron detenidas dos personas, y otras más señalaron que fueron presuntamente agredidas por elementos policiales. Al respecto, Ana Karen Parra Bonilla, presidenta del organismo, señaló que las manifestaciones “no deben ser objeto de criminalización” y corresponde vigilar que la actuación se apegue al respeto de los derechos humanos. Parra Bonilla indicó que personal de la CDHEH acudió al lugar de los hechos para dar seguimiento a la situación y como las solicitudes de las y los quejosos corresponden hacia una instancia federal, no podrían intervenir. Sin embargo, se encargaron de supervisar las condiciones de las personas detenidas y verificar que las autoridades de seguridad realizaran el Registro Nacional de Detenciones conforme a los procedimientos establecidos. “Nosotros seguimos en la misma postura de que las manifestaciones no pueden ser acto de criminalizar, pero también tenemos que responder que si hay un acto que no responda a la manifestación, tendrá que seguir su curso de manera normal”. Asimismo, mencionó que hasta el momento no se han presentado quejas formales relacionadas con la actuación de los elementos de seguridad durante la movilización.</t>
  </si>
  <si>
    <t>CDHEH</t>
  </si>
  <si>
    <t>Integrantes de la comunidad LGBTIQ+ participaron en la vigésima sexta edición de la Marcha del Orgullo en Pachuca, donde hicieron un llamado a frenar los discursos de odio, la discriminación y la violencia contra las personas de la diversidad sexogenérica. Aunque una intensa lluvia registrada obligó a suspender momentáneamente las actividades y a que las y los asistentes tuvieron que resguardarse, el recorrido se reanudó conforme a lo programado. Con decenas de asistentes, el contingente partió de la Plaza Independencia, frente al Reloj Monumental de Pachuca, encabezado por integrantes de organizaciones de la sociedad civil, así como por el regidor por acción afirmativa de diversidad sexual y de género, Arlan Cruz Olvera; la presidenta de la Comisión de Derechos Humanos del Estado de Hidalgo (CDHEH), Ana Karen Parra Bonilla, y la diputada local Johana Montcerrat Hernández Pérez.</t>
  </si>
  <si>
    <t>Marcha LGBTTTIQ+</t>
  </si>
  <si>
    <t>Ana Karen Juárez Navarrete, nueva presidenta de la Cámara Nacional de la Industria de Desarrollo y Promoción de Vivienda (Canadevi) en Hidalgo, dijo que en la entidad se proyecta la construcción de 31 mil 500 viviendas a través del programa Vivienda para el Bienestar. Lo anterior fue dicho en discurso durante la toma de protesta de la nueva mesa directiva de la organización, la que fue tomada por el Gobernador Julio Menchaca Salazar. La nueva dirigente de la Canadevi Hidalgo destacó que la industria de la vivienda genera más de 30 mil empleos directos en la entidad y mantiene inversiones superiores a los 26 mil millones de pesos en proyectos habitacionales, cifra que representa cerca de una cuarta parte de la inversión privada anunciada en Hidalgo. Adelantó que impulsará desarrollos que contemplen más áreas verdes y mejores condiciones de sustentabilidad. A su vez, reconoció el respaldo del gobierno estatal para generar condiciones que permitan concretar inversiones del sector con mayor rapidez, certeza jurídica y eficiencia administrativa. En su intervención, Carlos Ramírez Capó, presidente nacional de Canadevi, aseguró que Hidalgo cuenta con un escenario favorable para atraer nuevas inversiones derivadas de los Polos de Desarrollo Económico para el Bienestar y el corredor vinculado al Aeropuerto Internacional Felipe Ángeles (AIFA). El Gobernador Menchaca Salazar destacó la importancia del sector vivienda para garantizar el arraigo de las familias y generar condiciones de bienestar. Señaló que los distintos sectores de la sociedad trabajan para ofrecer un presente y un futuro con mayor certidumbre, donde el acceso a una vivienda digna juega un papel fundamental.</t>
  </si>
  <si>
    <t>Julio Menchaca acompaña fortalecimiento del Colegio de Notarios del Estado de Hidalgo</t>
  </si>
  <si>
    <t>Daniel Martínez y su equipo comentan que el comunicado de la SEPH respecto a que cada comunidad en planteles educativos dentro del Estado de Hidalgo determinará como participará el próximo 11 de junio, día que se inaugura la Copa Mundial, que organizan México, Estados Unidos y Canadá, dicen que es con fuso y que lo más fácil era que dijeran si había o no clases y que para qué le dieron tantas vueltas y que "se están desembarrando" y dejándole la chamba de decidir a los planteles educativos y que es sabido que cuando se tomas decisiones entre planteles y padres de familia siempre hay confusión.</t>
  </si>
  <si>
    <t>Cada comunidad en planteles educativos dentro del Estado de Hidalgo determinará como participará el próximo 11 de junio, día que se inaugura la Copa Mundial, que organizan México, Estados Unidos y Canadá. Por medio de un documento, la Secretaría de Educación Pública en Hidalgo (SEPH) establece que la decisión al respecto deberá ser tomada en conjunto por madres y padres de familia, personas tutoras, directivos y docentes de cada plantel educativo. Estos deberán establecer “la estrategia más adecuada para que la participación se realice de forma ordenada y responsable”. Incluso abrió la posibilidad de que las actividades relacionadas con la inauguración del Mundial puedan desarrollarse tanto dentro de los planteles educativos como en el ámbito familiar. “La participación podrá realizarse tanto en el entorno escolar como en el ámbito familiar, siempre privilegiando el bienestar de las y los estudiantes, así como el cumplimiento de los objetivos educativos”. La semana pasada, la SEPH descartó que se vayan a suspender clases en las escuelas de la entidad por la ceremonia de inauguración a llevarse a cabo el próximo jueves 11 de junio, en el Estadio Ciudad de México. Hasta el momento, sólo el gobierno de la Ciudad de México anunció que el próximo jueves 11 de junio se suspenderán clases en educación preescolar, primaria, secundaria y media superior de la capital del país con motivo de la inauguración de la Copa Mundial de Futbol.</t>
  </si>
  <si>
    <t>Ivett Bulos González, regidora presidenta de la comisión de Fomento Económico del Ayuntamiento de Tulancingo, informó que desde tiempo atrás en algunos hoteles de la entidad se pide identificación a los adultos que ingresan acompañados de menores de edad, así como el pasaporte de estos últimos u otro documento que acredite el vínculo familiar entre ambos, pero ahora que ya será obligatorio, consideró apremiante capacitar a los prestadores de servicios turísticos de hospedaje. La exdirigente de la Asociación Mexicana de Hoteles y Moteles del Estado de Hidalgo celebró que la LXVI Legislatura local haya aprobado por unanimidad la reforma a la Ley de Turismo Sustentable y a la Ley de los Derechos de Niñas, Niños y Adolescentes e insistió en que la capacitación es indispensable para garantizar el cumplimiento irrestricto de las nuevas disposiciones. Y es que el dictamen aprobado obliga a los prestadores de servicios turísticos de hospedaje a implementar rigurosos mecanismos de seguridad y aplicar los protocolos que emita la Secretaría de Turismo de Hidalgo para verificar plenamente la identidad de los adultos que soliciten alojamiento y acreditar formalmente el parentesco o tutoría legal cuando ingresen acompañados de niñas, niños o adolescentes.</t>
  </si>
  <si>
    <t>Protección del menor</t>
  </si>
  <si>
    <t>El ex regidor de Actopan, Omar Leonardo Ramírez Gutiérrez, detenido al ser acusado del delito de homicidio, obtuvo su libertad tras revocarse el auto de vinculación a proceso que tenía, sin que esto signifique que haya sido absuelto del delito señalado. El Magistrado Raúl Arroyo González, integrante de la Séptima Sala Unitaria del Sistema Penal Acusatorio del Tribunal Superior de Justicia del Estado de Hidalgo, señaló que los datos de prueba presentados contra el ex regidor no alcanzaban el grado de probabilidad exigido por la ley para sostener la imputación por homicidio. Los elementos que valoró fue una valoración incorrecta de los datos de prueba de la jueza Janett Montiel, lo que derivó en una vulneración al derecho fundamental al debido proceso. Por tal motivo se determinó que los testimonios presentados para sustentar la imputación presentaban inconsistencias temporales y problemas de credibilidad. La sentencia señala que los elementos aportados por la fiscalía permiten establecer la existencia de un hecho con apariencia de delito, éstos resultan insuficientes para acreditar el nivel de probabilidad contra Omar Leonardo Ramírez Gutiérrez. De igual manera se consideró relevante que algunos de los testigos que señalaron al ex regidor fueron entrevistados mientras recibían atención médica y presentaban condiciones documentadas relacionadas con intoxicación por alcohol lo que ponía en duda la confiabilidad de sus declaraciones. Por ello, la Séptima Sala Unitaria revocó la vinculación a proceso dictada por la jueza Janett Montiel Mendoza y, en su lugar, emitió un auto de no vinculación a proceso a favor de Ramírez Gutiérrez.</t>
  </si>
  <si>
    <t>TSJEH</t>
  </si>
  <si>
    <t>Derivado de un video difundido por medio de redes sociales, donde se observa al Síndico municipal de Singuilucan, Donato de Jesús Ramírez Olvera, realizando violencia verbal e incluso amenazas de muerte, un grupo de regidoras y regidores solicitaron dar vista de lo ocurrido ante el Ministerio Público, así como la destitución del asambleísta. Lo anterior por medio de un documento fechado el pasado 2 de junio, dirigido a la Contraloría municipal, con los nombres de las y los asambleístas locales Areli López Alcántara, Ali Deniss Martínez Romero, Alberto Vargas Bistrain y Felipe León Téllez. En el documento, publicado en las redes sociales de la regidora López Alcántara, se narra que la noche del pasado 30 de mayo de este año, en las inmediaciones del edificio de la alcaldía y en el marco de la feria local, Ramírez Alcántara lanzó las agresiones verbales hacia ciudadanos presentes, incluso amenazas de muerte. El Síndico municipal “se encontraba en la vía pública en estado alterado, aparentemente bajo el influjo de alcohol o sustancias, actuando con agresividad y en total contravención a la dignidad y responsabilidad que su investidura exige”, señala el documento.</t>
  </si>
  <si>
    <t>Ya hay protestas dentro de las instalaciones del ISSSTE, pero aún no hay bloqueo de la carretera.</t>
  </si>
  <si>
    <t>En cabina Alberto González comenta sobre el Día de la Libertad de Expresión y señala que actualmente en los medios de comunicación tienen esa libertad de expresión con este gobierno.</t>
  </si>
  <si>
    <t>Libertad de expresión</t>
  </si>
  <si>
    <t>La Secretaría de Educación Pública de Hidalgo (SEPH), en apego a su compromiso de promover la formación integral de las y los estudiantes, reconoce la relevancia de los acontecimientos que fortalecen la identidad cultural y la convivencia social. Con motivo de la inauguración de la Copa Mundial de Futbol 2026, el próximo 11 de junio, se autoriza a las comunidades escolares -madres, padres de familia, personas tutoras, directivos y docentes- a determinar en conjunto, la estrategia más adecuada para participar de manera ordenada y responsable en este evento deportivo. La participación podrá realizarse tanto en el entorno escolar como en el ámbito familiar, siempre privilegiando el bienestar de las y los estudiantes, así como el cumplimiento de los objetivos educativos. La SEPH reafirma que esta medida busca fomentar la integración de la familia y de la comunidad, así como el reconocimiento de un acontecimiento de impacto mundial, garantizando que los aprendizajes y procesos formativos de las y los estudiantes continúen fortaleciéndose.</t>
  </si>
  <si>
    <t>Una persona sin vida y tres lesionados, fue el saldo que dejó un accidente vial en Ixmiquilpan. De acuerdo con la policía municipal, dicho percance se presentó a la altura de la comunidad de Remedios, dónde una camioneta impactó contra la barda de una vivienda. Por dicho hecho, una persona perdió la vida en el lugar y tres más resultaron lesionadas.</t>
  </si>
  <si>
    <t>Accidente Vial</t>
  </si>
  <si>
    <t>Una trágica colisión vehicular registrada en este municipio dejó como saldo preliminar cuatro personas sin vida incluida una menor de edad y al menos siete lesionados de gravedad, lo que generó una intensa movilización de los cuerpos de emergencia y seguridad de la región. El percance automovilístico ocurrió sobre la carretera que conduce hacia las Grutas de Tolantongo, dónde una camioneta de pasajeros tipo urvan impactó de manera frontal contra un autobús que circulaba por la zona, provocando que ambas unidades sufrieran daños materiales de consideración. Horas más tarde personal de la Procuraduría General de Justicia del Estado de Hidalgo (PGJEH) arribó a la zona para realizar las diligencias de ley, el peritaje terrestre para deslindar responsabilidades, y el posterior levantamiento de los cuerpos para su traslado al Servicio Médico Forense (Semefo).</t>
  </si>
  <si>
    <t>SEGOBH reafirma su política de puertas abiertas con atención directa a la población</t>
  </si>
  <si>
    <t>Mesas de acercamiento</t>
  </si>
  <si>
    <t>IHE realiza Jornada Nacional por la Paz y contra las Adicciones</t>
  </si>
  <si>
    <t>El día del hoy el Secretario de Gobierno, Guillermo Olivares encabezará el Lunes Cívico en la Plaza Juárez de Pachuca.</t>
  </si>
  <si>
    <t>Lunes Cívico</t>
  </si>
  <si>
    <t>Debido a los acontecimientos del viernes pasado en el Hospital del ISSSTE de Pachuca, en donde trabajadores de este sistema de salud anunciaron que hoy es muy probable que haya protestas y bloqueo en parte del bulevar Felipe Ángeles.</t>
  </si>
  <si>
    <t>Andrés torres comenta que ya casi se cumplen dos meses de que el 1010 AM El Vocero Huasteco, se encuentra fuera del aire por la ignorancia supina del área administrativa, que dice que no va a abastecer de diesel porque cuesta muy caro y entonces no hay energía estación. Asegura que es mucha irresponsabilidad de gente que cobra un salario, pero que olímpicamente le envía un escrito donde le dicen que ni pida diesel, por lo que están incomunicados con las comunidades de la huasteca y quienes están poniendo en riesgo al no poderse informar, también les están violando su derecho humano a la comunicación y como si no fuera suficiente están incumpliendo con hacer su trabajo. Asevera que lo único que les importa es "corretear" el siguiente cargo, la presidencia ,municipal, el "carguito" en gobierno en lugar de ponerse a trabajar y todavía te amenazan de que si dices algo te van a correr. Es el cuarto director que quiere brincarle al siguiente cargo y lo que menos le interesa es Radio y televisión de Hidalgo, lo que quiere es irse a la diputación, lo que quiere es irse a la secretaría tal, lo que quiere es el siguiente hueso</t>
  </si>
  <si>
    <t>Círculos de diálogo</t>
  </si>
  <si>
    <t>SSPH frena robo de combustible por drenaje en Atotonilco de Tula</t>
  </si>
  <si>
    <t>El Centro de Conciliación Laboral del Estado de Hidalgo se posiciona como el primer lugar a nivel nacional.</t>
  </si>
  <si>
    <t>Conciliación Laboral</t>
  </si>
  <si>
    <t>La vivienda se ha convertido en uno de los sectores estratégicos para el desarrollo económico de Hidalgo, no solo por la construcción de nuevos hogares, sino también por la generación de empleos, inversión y crecimiento urbano ordenado. Bajo este contexto, el gobernador Julio Menchaca Salazar encabezó la toma de protesta del nuevo Consejo Directivo de la Cámara Nacional de la Industria de Desarrollo y Promoción de Vivienda, La Canadevi Hidalgo, que ahora será presidida por Ana Karen Juárez Navarrete. Durante el encuentro, el mandatario estatal destacó la importancia de fortalecer el desarrollo habitacional de manera responsable, al considerar que el acceso a una vivienda digna representa uno de los pilares para el bienestar de las familias. Por su parte, la nueva presidenta de la Canadevi en Hidalgo informó que como parte del programa Vivienda para el Bienestar, se contempla la construcción de 31,500 viviendas en la entidad, una cifra que representa uno de los proyectos habitacionales más importantes para los próximos años.</t>
  </si>
  <si>
    <t>Dos personas fueron localizadas sin vida y calcinados de una obra negra en la colonia Jacarandas, en Pachuca, informaron a autoridades locales. El hallazgo se realizó durante la mañana del pasado sábado, cuando vecinos alertaron a la policía sobre la presencia de humo y restos humanos al interior de la casa en construcción. Al arribar al sitio, los oficiales constataron que se trataba de dos cuervos calcinados, por lo que la zona fue ocultada y resguardada.</t>
  </si>
  <si>
    <t>Se registró un robo en una joyería de Tulancingo, por lo que se registra una fuerte movilización. Se habla de la posible detención de un presunto delincuente.</t>
  </si>
  <si>
    <t>Asalto A Comercio</t>
  </si>
  <si>
    <t>La Poderosa Tuxpan 93.1 FM</t>
  </si>
  <si>
    <t>NN Nuestras Noticias Zona Norte</t>
  </si>
  <si>
    <t>Hidalgo, líder nacional en rapidez para resolver conflictos laborales, AUDIO APOYO</t>
  </si>
  <si>
    <t>Liz Argüelles</t>
  </si>
  <si>
    <t>Julio Menchaca respalda a la Industria de Desarrollo y Promoción de Vivienda, AUDIO JMS</t>
  </si>
  <si>
    <t>El mandatario estatal Julio Menchaca acerca de la manifestación de trabajadores de la clínica del ISSSTE, dijo que se debe de respetar también el libre tránsito y que si alguien en el cumplimiento de sus responsabilidad excede los protocolos tendrá una sanción. Niega que en su gobierno exista represión.</t>
  </si>
  <si>
    <t>En el marco del día de la libertad de expresión en México, el gobernador del estado de Hidalgo, Julio Menchaca Salazar, expresó un mensaje de reconocimiento a las y los representantes de los medios de comunicación, destacando la importancia de su labor en la construcción de una sociedad informada y participativa. Durante su intervención, el mandatario estatal agradeció el trabajo que diariamente realizan los periodistas, reporteros, camarógrafos, fotógrafos y comunicadores para llevar información oportuna a la ciudadanía. Asimismo, reiteró el compromiso de su administración con el respeto irrestricto a la libertad de expresión y al ejercicio periodístico como pilares fundamentales de la vida democrática.</t>
  </si>
  <si>
    <t>En el marco del día de la libertad de expresión en México, conmemorado cada 7 de junio y establecido en 1951 como una fecha para reconocer la importancia de una prensa libre en la vida democrática del país, se llevó a cabo la conferencia matutina habitual del Gobierno del Estado de Hidalgo a las 9:00 en la Sala del Pueblo del edificio de gobierno. La jornada estuvo encabezada por la Secretaria de Turismo del Estado de Hidalgo, Elizabeth Quintanar Gómez; la embajadora de Sudáfrica en México, Betty Rosi Sulú; el presidente de la Asociación Sudafricana de Fútbol, Dani Jordán; el entrenador del equipo Leyendas de Sudáfrica, Gordon Igerson; los exfutbolistas sudafricanos Siboncio Gacza y Lance Davids; así como Oscar Pérez Rojas, referente histórico del fútbol mexicano y actual director del Instituto hidalguense del Deporte. La sesión inició con la proyección de un material audiovisual sobre los círculos de diálogo impulsados a través de las rutas de la transformación, en esta ocasión las acciones desarrolladas en el municipio de Progreso de Obregón. Durante su intervención, la secretaria de Turismo del estado de Hidalgo, Elizabeth Quintanar Gómez, destacó el fortalecimiento de los vínculos entre México y Sudáfrica, así como el trabajo institucional realizado para concretar la presencia de la selección sudafricana en territorio hidalguense. Asimismo, resaltó el impacto turístico, deportivo y cultural que representa este intercambio internacional para la entidad. La embajadora hizo una llamada al ministro Mackenzie y le dijo: deben de venir a Hidalgo, debemos de tener un encuentro de un partido amistoso, legendario.</t>
  </si>
  <si>
    <t>Con el programa Raíces de Hidalgo, Sebiso impulsa el reencuentro de familias migrantes</t>
  </si>
  <si>
    <t>Apoyo A Migrantes</t>
  </si>
  <si>
    <t>Estudiantes de la UPH desarrollan sistema inteligente para reducir el consumo eléctrico</t>
  </si>
  <si>
    <t>Investigación académica</t>
  </si>
  <si>
    <t>El regidor con licencia Omar Ramírez, tras recuperar su libertad, sostuvo una reunión con sus cercanos, a quienes les externó su agradecimiento. Aseguró que no se irá del municipio y se tomará un tiempo para definir sus prioridades. “No me iré. No hice nada, quienes estuvieron presentes saben que no hicimos nada, lo único que hicimos fue defender nuestro patrimonio”, externó a unas hora de retomar su vida cotidiana, luego de salir de reclusión. Play Video En cuanto a retomar sus actividades como regidor del ayuntamiento de Actopan, el militante del Partido Verde Ecologista de México, dijo que no le dan ganas de regresar, pues lo que desea es estar cerca de su familia en este momento. Asimismo, de manera pública agradeció a Claudia Sheinbaum Pardo,presidenta de México, pues explicó que su esposa recurrió a ella y revisaron su caso, condición que le permitió que se le liberara por no estar relacionado. También agradeció al gobernador estatal.</t>
  </si>
  <si>
    <t>En Tezontepec de Aldama, SSPH recupera más de 3 mil litros de hidrocarburo robado</t>
  </si>
  <si>
    <t>La mañana de este lunes en la escuela primaria “Himno Nacional “, ubicada en la cabecera municipal dé Alfajayucan, un enjambre de abejas tabaco , al menos, a 20 estudiantes.Las autoridades del plantel dieron aviso a Protección Civil del municipio cuando los insectos iniciaron su ataque por lo que fue necesario evacuar el plantel y suspender labores.</t>
  </si>
  <si>
    <t>Una persona perdió la vida y dos más resultaron lesionadas tras la volcadura de una camioneta. El trágico accidente ocurrió la tarde del domingo sobre la carretera que conecta con la localidad de Remedios (en la zona de Samayoa), municipio de Ixmiquilpan, Hidalgo.</t>
  </si>
  <si>
    <t>Una persona perdió la vida la mañana de este lunes 8 de junio cuando era trasladado para recibir atención médica. El incidente se registró sobre bulevar Felipe Ángeles, en Pachuca, donde una camioneta habría salido de la vialidad a un costado del carril de circulación del Tuzobús, a la altura de la estación San Antonio, hasta donde acudió personal de atención a emergencias. Se reportó el fallecimiento de una de las personas que viajaba en la unidad, quien era trasladado para recibir atención médica; hasta ahora no se han dado a conocer los motivos o la causa precisa de su muerte. Por medio de un comunicado, el Sistema Integrado de Transporte Masivo de Hidalgo informó que ninguna unidad del Transporte Metropolitano se vio involucrada en el incidente, agregando que el servicio tampoco tuvo afectaciones. Pero la presencia de ambulancia y personal de auxilio generó reducción de velocidad y atención de los conductores que pasaban por el sitio.</t>
  </si>
  <si>
    <t>Elementos de seguridad pública de Tlaxcoapan hicieron el hallazgo durante recorrido de vigilancia, tras lo cual solicitaron el apoyo de personal de Protección Civil, quienes tras revisión a la persona, confirmaron que ya no tenía signos vitales. Hasta el momento no se ha informado oficialmente si el cuerpo presentaba lesiones visibles, huellas de violencia o algún otro indicio que permita establecer de manera preliminar la causa del fallecimiento. De acuerdo con los reportes disponibles, familiares del joven acudieron al lugar y lo identificaron con las iniciales J.J.R.G., señalando que tenía reporte de desaparición desde el pasado 6 de junio de este año.</t>
  </si>
  <si>
    <t>Gabinete de Seguridad informa de la recuperación de más de 50 mil litros de combustible</t>
  </si>
  <si>
    <t>Reunión Gabinete De Seguridad</t>
  </si>
  <si>
    <t>A toda la población derechohabiente y no derechohabiente al IMSS, se le comunica que este 8 y 15 de junio 2026 se estará llevando a cabo la jornada de vasectomías en la UMF No. 34.</t>
  </si>
  <si>
    <t>Prevención cáncer de mama</t>
  </si>
  <si>
    <t>Ante lluvias SIPDUS mantiene monitoreo y despliegue de maquinaria en todo el estado</t>
  </si>
  <si>
    <t>Atención Afectaciones Por Lluvias</t>
  </si>
  <si>
    <t>El censo dirigido a pueblos y comunidades indígenas del municipio, que inició el pasado 25 de mayo, registra a la fecha un avance del 70 por ciento, de acuerdo con información de la Secretaría de Desarrollo Humano y Social. El titular de la dependencia, Alberto Campillo Santos, señaló que este ejercicio se encuentra en su etapa final y tiene como meta la aplicación de 900 cuestionarios. Precisó que la comunidad de Santa María Asunción será la última en participar en esta importante actividad de consulta y participación ciudadana. El personal encargado del levantamiento acude plenamente identificado mediante gafete oficial, oficio de comisión, chaleco institucional y equipo electrónico para la captura de datos. La información se registra a través de tabletas electrónicas y es enviada de manera directa a la Unidad de Planeación y Prospectiva del Estado de Hidalgo, instancia responsable de su procesamiento, validación y resguardo. Hasta el momento, el censo se ha desarrollado con una positiva participación ciudadana en las comunidades de Tepaltzingo, Laguna del Cerrito, San Rafael Loma Bonita, San Rafael El Jagüey, San Vidal, Huitititla y Santa Ana Hueytlalpan. La presidenta municipal, Lorena García Cázares, ha reiterado la importancia de escuchar y atender la voz de las comunidades indígenas, con el propósito de impulsar políticas públicas que respondan de manera más precisa a sus necesidades y contribuyan a reducir rezagos históricos en materia de inclusión, bienestar y desarrollo social. Los resultados obtenidos servirán como base para la planeación y ejecución de acciones gubernamentales durante la segunda mitad de la actual administración municipal.</t>
  </si>
  <si>
    <t>Consulta Indígena</t>
  </si>
  <si>
    <t>Con la actualización del Programa Municipal de Desarrollo Urbano y Ordenamiento Territorial (PMDU) de Tulancingo, será posible que se puedan gestionar y aplicar más recursos para obras y acciones públicas, consideró la alcaldesa Lorena García Cázares. Durante la conmemoración del Día de la Libertad de Expresión, el pasado domingo 7 de junio, la funcionaria hizo un recuento de obras y acciones realizadas durante la actual administración municipal que encabeza. Fue en ese recuento donde señaló que la actualización del PMDU, tiene un rezago de aproximadamente 25 años, pues al no estar bien establecidas las zonas de desarrollo, reserva territorial, uso agrícola, entre otras, no se ha podido en varios casos obtener recursos públicos que se puedan aplicar para el desarrollo de Tulancingo. A inicios del pasado mes de mayo, por Armando Pérez Alcibar, titular de la Secretaría municipal de Desarrollo Urbano, Obras Públicas y Medio Ambiente, señaló que ya se está trabajando en dicha actualización. En entrevista realizada en ese momento, señaló que en el actual PMDU señala que la colonia El Paraíso en varias de sus secciones, así como las colonias San Antonio Farías y Jaltepec, entre otras, estén consideradas como agrícolas tecnificadas.</t>
  </si>
  <si>
    <t>Ordenamiento Territorial</t>
  </si>
  <si>
    <t>La Asociación Nacional de Transportistas (ANTAC) anunció una jornada de protestas y movilizaciones para el próximo 11 de junio, fecha en la que México será sede del partido inaugural del Mundial 2026. La organización informó que la manifestación tiene como finalidad exponer diversas problemáticas que afectan al sector, principalmente los robos al transporte de carga, la inseguridad en carreteras y las dificultades que enfrentan operadores y empresas para realizar sus actividades en distintas regiones del país. De acuerdo con los convocantes, la elección de la fecha busca aprovechar la atención internacional que generará el arranque del Mundial, evento que concentrará a miles de visitantes, medios de comunicación y representantes de distintos países. Se prevé que las movilizaciones se desarrollen en puntos carreteros y accesos estratégicos de varias entidades del país. Entre las zonas donde podrían registrarse afectaciones se encuentran las ciudades que albergarán encuentros mundialistas: Ciudad de México, Guadalajara y Monterrey. En el caso de la capital del país, transportistas contemplan realizar concentraciones en vialidades de gran afluencia vehicular y en rutas de acceso hacia el Estadio Azteca, recinto programado para recibir el partido inaugural del torneo. Los representantes de ANTAC señalaron que buscan que las autoridades federales fortalezcan las acciones para combatir los delitos que afectan al autotransporte, un sector que continuamente reporta pérdidas económicas derivadas de asaltos y actos de violencia en carreteras. Además de las organizaciones de transportistas, algunos colectivos relacionados con actividades productivas del campo han expresado su intención de sumarse a las protestas para exponer demandas propias de sus sectores.</t>
  </si>
  <si>
    <t>Bloqueo Carretero</t>
  </si>
  <si>
    <t>Vía telefónica Gerardo González, Gerardo González, líder en Hidalgo de la AMOTAC asevera que no han bajado los robos y ataque a los transportistas sobre todo en la carretera Puebla- Veracruz, por lo que están considerando realizar un paro nacional a modo de protesta ante esta situación (La entrevista se interrumpe debido a problemas con la internet)</t>
  </si>
  <si>
    <t>Bloqueo transportistas</t>
  </si>
  <si>
    <t>Entrevista</t>
  </si>
  <si>
    <t>Respecto a la información de la localización de una credencial de un habitante d​e Acaxochitlán en una fosa clandestina de Sonora, el ayuntamiento informa que Emanuel se encuentra bien y en casa. La credencial de Emmanuel O. V., joven originario de San Pedr⁠o Tlachichilco, fue extraviada por su propietario hace tiempo. Él se encuentra bien, en su hogar y con su familia; nunca estuvo‌ desaparecido ni en situación de riesgo. La localización ‌de la credencial durante una búsqueda en Sonora no está relacionada con la desaparición del joven ni con una situación de riesgo.</t>
  </si>
  <si>
    <t>Localización de identificaciones</t>
  </si>
  <si>
    <t>Trabajadores del Hospital General “Columba Rivera Osorio” del ISSSTE en Pachuca volvieron a manifestarse este lunes para exigir soluciones a diversas problemáticas laborales que, aseguran, afectan a cientos de empleados de distintas áreas del nosocomio. Vestidos con batas blancas y acompañados de pancartas, médicos, enfermeras, laboratoristas y personal administrativo realizaron una protesta pacífica en la que denunciaron retrasos en pagos, exceso de carga de trabajo y presuntas anomalías en procesos administrativos. Durante la movilización, los inconformes recordaron que en una protesta previa se registraron incidentes que dejaron tres trabajadores lesionados. Según señalaron, una enfermera continúa incapacitada debido a las heridas sufridas, mientras que otros dos empleados permanecen activos pese a no contar con prestaciones laborales. Enrique Gil Borja, secretario de Educación Sindical de la Sección 18 del ISSSTE, informó que ya fueron identificados cuatro elementos de seguridad que presuntamente participaron en las agresiones. Indicó que se integró un reporte detallado de lo ocurrido para que las autoridades correspondientes determinen las posibles responsabilidades. Uno de los principales reclamos de los manifestantes es la destitución de la subdirectora administrativa del hospital, Ivonne Hernández Anaya, a quien atribuyen presuntas irregularidades relacionadas con la gestión de pagos y trámites laborales. Mireya Hernández, supervisora del hospital, afirmó que la remoción de la funcionaria es una exigencia central del movimiento, al considerar que durante su gestión se han vulnerado derechos laborales de los trabajadores.</t>
  </si>
  <si>
    <t>Una iniciativa presentada en el Congreso de Hidalgo busca establecer medidas específicas para prevenir y sancionar las agresiones digitales contra trabajadores del sector educativo, una problemática que ha cobrado relevancia con el uso cada vez más frecuente de redes sociales y aplicaciones de mensajería. La propuesta fue impulsada por el diputado local José Alejandro Pérez Ramírez, quien planteó la necesidad de dotar al estado de herramientas jurídicas que permitan atender los casos de ciberacoso dirigidos a maestras, maestros y demás personal que labora en instituciones educativas. De acuerdo con el planteamiento, los espacios digitales han facilitado la comunicación entre integrantes de la comunidad escolar, pero también han sido utilizados para difundir contenido ofensivo, mensajes intimidatorios, señalamientos sin sustento y campañas que afectan la imagen y el desempeño profesional de trabajadores de la educación.</t>
  </si>
  <si>
    <t>Iniciativa</t>
  </si>
  <si>
    <t>Cuatro robos a joyerías en Tulancingo se han registrado durante la actual administración municipal, siendo el más reciente este lunes 8 de junio en un local ubicado en el edificio Hidalgo, en el centro de la ciudad. De acuerdo a registros hemerográficos, el primer robo a joyería dentro del municipio se registró el 8 de mayo del año pasado, en un local ubicado en la calle Libertad Poniente, en el centro de la ciudad. En esa ocasión un hombre de 51 años de edad fue lesionado por los asaltantes en ataque por arma de fuego. Tras revisar las cámaras de videovigilancia del establecimiento, las autoridades identificaron a tres sujetos a bordo de una motocicleta color rojo con blanco como los presuntos responsables del atraco; no se registraron personas detenidas relacionadas con el asalto. Posteriormente, el 22 de junio del 2025, una joyería ubicada en avenida Manuel Fernando Soto, entre las calles Hidalgo y Primero de Mayo también fue asaltada. El pasado 13 de febrero se registró un tercer asalto en una joyería ubicada en la calle Hidalgo, entre 21 de Marzo y Fernando Soto, con saldo de una persona lesionada por arma de fuego. El robo más reciente se registró la tarde del lunes 8 de junio a una joyería ubicada también en el centro de la ciudad. Se conoció que en dicho robo habrían participado cinco personas, quienes tras cometer el ilícito, huyeron hacia la zona de museos de Tulancingo. Dos hombres y una mujer que presuntamente participaron del robo fueron detenidos en operativo conjunto entre elementos policiacos municipales y agentes de la Secretaría de Seguridad Pública de Hidalgo. Ello luego de que abandonaran sobre bulevar Bicentenario, casi al cruce con bulevar Matamoros, la motocicleta en la que se trasladaban. Además, fueron recuperadas piezas de joyería y se aseguraron un arma corta y dos motocicletas con reporte de robo.</t>
  </si>
  <si>
    <t>Detención</t>
  </si>
  <si>
    <t>La Unidad de Rehabilitación de Fauna Silvestre va a liberar en Tenango de Doria a una Martucha, que ha sido exitosamente rehabilitada.</t>
  </si>
  <si>
    <t>Rehabilitación animal</t>
  </si>
  <si>
    <t>Vía telefónica Milton Cortés comenta que este fin de semana se realizó una reunión con autoridades estatales, en la que se determinó un plazo de 15 días para atender las problemáticas como encharcamientos, municipalización y seguridad de fraccionamientos y colonias ubicadas en Mineral de la Reforma y Zempoala.</t>
  </si>
  <si>
    <t>Atención A Manifestantes</t>
  </si>
  <si>
    <t>Milton Cortés</t>
  </si>
  <si>
    <t>Andrés Torres menciona que la Constitución de Hidalgo dice que la próxima gubernatura será de solo dos años para empatar las elecciones con las federales, pero se habla de modificar esto para que sea de 5 años. Sin embargo, hasta el momento no hay una iniciativa y debe ser antes de septiembre para que dé tiempo.</t>
  </si>
  <si>
    <t>Sucesión Gubernamental</t>
  </si>
  <si>
    <t>Andrés Torres comenta que ayer el gobernador aclaró que todas las unidades que están operando en el nuevo Sistema Metropolitano de Trasporte son nuevas y que no habían llegado antes porque estaban "atoradas" en la aduana de Veracruz y que el video que circuló en redes sociales donde se venía una unidad mal pintada, fue editado. Asimismo, el gobernador dijo que todos los días se trabaja para ajustar horarios y corridas, así como que está abierta la convocatoria para ser chofer de este Sistema de Transporte.</t>
  </si>
  <si>
    <t>Radioescucha: el parador (del Tuzobús) no tiene un horario definido, por lo que pide que las autoridades ya lo definan.</t>
  </si>
  <si>
    <t>Andrés Torres en respuesta a un radioescucha sobe el Mando Coordenado, señala que el propósito de que este exista y que los municipios se unan es responder de manera oportuna y eficaz a situaciones de emergencia y que el gobernador Julio Menchaca es el que está al frente del Gabinete de Seguridad y por lo tanto del Mando Coordinado no el secretario de Seguridad Pública.</t>
  </si>
  <si>
    <t>Andrés Torres en respuesta a un radioescucha que pregunta que cómo va el ambiente político en Hidalgo, responde que hay una creciente teoría de que la secretaria de Salud, Vanesa Escalante Arroyo, podría ser la candidata de Morena a la gubernatura de Hidalgo en el 2028. Asimismo, dice que se han aplicado encuestas por parte de Morena gobierno del estado con base en figuras que contenderían para la renovación del Congreso estatal, las diputaciones federales y las 84 alcaldías en el 2027 y los resultados no fueron nada positivos. Hubo municipios como en Pachuca, Tulancingo e Ixmiquilpan en donde esperaban que los resultados fueran positivos y no fue así. Cuauhtémoc Ochoa pidió varias presidencias municipales, como la de Pachuca encabezada por Benjamín Rico y la respuesta fue que no, que le van a dar algo por Santiago Tulantepec o Singuilucan, pero entonces pidió que lo dejen poner a su candidato a diputado federal en Huejutla, Raúl Badillo. Se avecina tormenta en la huasteca.</t>
  </si>
  <si>
    <t>Aspirantes</t>
  </si>
  <si>
    <t>Candidaturas</t>
  </si>
  <si>
    <t>Sucesión gubernamental</t>
  </si>
  <si>
    <t>André Torres hace una llamado a la presidencia municipal de Pachuca a que verifiquen y apoyen a dos personas en situación de calle, pues hoy por la mañana frente a las instalaciones del SAT encontraron a una mujer en una jardinera y hay otro hombre que al parecer vive debajo del puente 500 años de Minería.</t>
  </si>
  <si>
    <t>Apoyo a personas vulnerables</t>
  </si>
  <si>
    <t>Una intensa lluvia registrada este lunes provocó severas afectaciones en diversas zonas del municipio de Tepeji, reportándose inundaciones en viviendas, el colapso de una barda, la caída de más de una decena de árboles y al menos una persona lesionada. De acuerdo con los reportes de la dirección de protección civil municipal, el incidente que causó daños humanos ocurrió en la Plaza Central, donde el peso del agua y el viento provocaron el colapso de una estructura, la cual impactó a una persona. El ojo de la tormenta se concentró en las zonas habitacionales, en la colonia Ignacio Ramírez, el volumen de la precipitación causó el desbordamiento de un cuerpo de agua, lo que agravó la situación en la zona. La dependencia confirmó que el agua ingresó a múltiples viviendas particulares de las colonias Ignacio Ramírez, La Corona, Ojo de Agua. Elementos de Protección Civil, en coordinación con servicios municipales, desplegaron un operativo para el retiro de 11 árboles caídos y múltiples ramas que obstruían la vía pública y ponían en riesgo a la población.</t>
  </si>
  <si>
    <t>Afectaciones Por Lluvias</t>
  </si>
  <si>
    <t>Andrés Torres informa que la reportera Maripaz Roldán, quien junto con el camarógrafo de Radio y Televisión de Hidalgo, Danilo Badillo fue agredida físicamente por personal de seguridad privada durante una protesta de trabajadores de la salud frente al hospital del ISSSTE en Pachuca, ya habló con varias autoridades y fue invitada por la Coordinación de Comunicación Social del Estado de Hidalgo a presentar su denuncia ante la Procuraduría General de Justicia del Estado y expresó que lo que más molesta es la indiferencia y acoso que se vive en la televisión estatal y "solo espero que no me corran, me falta poco para irme, pero me quiero ir yo sola". Es lo que dice Maripaz Roldán en una denuncia pública que hace sobre el acoso laboral que vivimos en Radio y Televisión de Hidalgo. En este sentido, Andrés Torres señala que da todo su apoyo a Maripaz Roldán y Danilo Badillo.</t>
  </si>
  <si>
    <t>Acoso Laboral</t>
  </si>
  <si>
    <t>Ayer en la conferencia mañanera el gobernador Julio Menchaca y dirigió un mensaje a las y los integrantes de la prensa con motivo del Día de la Libertad de Expresión. El mandatario hizo un reconocimiento al trabajo y conminó a a todos los trabajadores de la prensa en nuestro estado a conducirse con profesionalismo y ética.</t>
  </si>
  <si>
    <t>La mañana de este lunes en la escuela primaria “Himno Nacional “, ubicada en la cabecera municipal dé Alfajayucan, un enjambre de abejas tabaco , al menos, a 20 estudiantes. Las autoridades del plantel dieron aviso a Protección Civil del municipio cuando los insectos iniciaron su ataque por lo que fue necesario evacuar el plantel y suspender labores. De acuerdo a los primeros reportes otorgados por el municipio, por lo menos 20 niños y niñas fueron trasladados al centro de salud local para valoración ya que presentaban diversas picaduras.</t>
  </si>
  <si>
    <t>Andrés Torres comenta que el 1010 AM El Vocero Huasteco cumple dos meses fuera del aire y espera que las autoridades administrativas de Radio y Televisión de Hidalgo se ponga a trabajar y entiendan que es importantísimo y se puede caer en faltas legales si no pone al aire esta estación solo por un capricho, porque el diesel solo es para las camionetas del director y de los directores, que ahora dicen que ellos pagan su gasolina, lo cual es totalmente falso. Asegura que estuvo en una reunión con el gobernador, en la que llegaron áreas preguntando por los vehículos y donde el director general pidió que su carro tuviera llanta de refacción y don Orlando Ángeles, Oficial Mayor montó en cólera y les pidió que por escrito les pasara todos los requerimientos para los vehículos, porque lo que les importaba era traer camioneta, no tratar de arreglar los problemas de radio y Televisión de Hidalgo.</t>
  </si>
  <si>
    <t>La mañana de este martes, se presentó un accidente vial en el bulevar Felipe Ángeles, en Pachuca. De acuerdo con la Policía municipal, el percance se presentó a la altura de Venta Prieta, donde un vehículo particular impactó contra un letrero vial.</t>
  </si>
  <si>
    <t>Radioescucha reporta que fue al Centro de Salud para realizarse un estudio y no pudo realizarlos porque no tienen insumos; comenta que es una persona de la 3.ª edad y no puede pagarlos de manera particular.</t>
  </si>
  <si>
    <t>Abasto De Insumos Médicos</t>
  </si>
  <si>
    <t>Radioescucha reporta una coladera destapada; es un peligro para la gente que transita, esto en las oficinas de la Auditoría Superior, del lado donde venden comida en la banqueta.</t>
  </si>
  <si>
    <t>El accidente carretero registrado el fin de semana en la ruta hacia las Grutas de Tolantongo dejó un saldo de cuatro personas fallecidas y varios lesionados, todos originarios del municipio de Tarandacuao, Guanajuato.Las autoridades de ambos estados continúan brindando apoyo a las familias afectadas mientras avanza la atención médica de los sobrevivientes.Las víctimas mortales fueron identificadas como una mujer de 50 años, una joven de 18 años, una niña de nueve años y un hombre de 60 años. De acuerdo con la información confirmada por autoridades guanajuatenses, varias de las personas involucradas pertenecían a una misma familia.Entre las personas fallecidas se encontraba María Carolina Sandoval García, trabajadora del Ayuntamiento de Tarandacuao, quien perdió la vida junto con su hija Daniela García Sandoval y su sobrina Ana Sofía. También falleció Juan Parrales Ríos, quien viajaba con el grupo.</t>
  </si>
  <si>
    <t>Enlace clima Luis García de la Conagua en la Republica Mexicana e Hidalgo, zona huasteca máxima de 30 mínima de 20, para la Sierra 27 máxima mínima de 17, Altiplano máxima de 20 mínima de 10, para Pachuca y Tizayuca 22 mínima de 11, en la Zona Tepehua máxima de 27 mínima de 17, Valle de Tulancingo máxima de 20 mínima de 10 en el Valle del Mezquital máxima 25 mínimas de 13 , Huichapan y Tecozayutla máxima 24 y mínima de 12</t>
  </si>
  <si>
    <t>La Subsecretaría de Protección Civil y Gestión de Riesgos de Hidalgo, informo de la permanencia de Semáforo Amarillo para el Valle del Mezquital , Sierra Alta y la Huasteca</t>
  </si>
  <si>
    <t>Radioescucha pide a las autoridades ir a checar un encharcamiento; por la colonia Cuesco, está antes de llegar a Colegio Londres.</t>
  </si>
  <si>
    <t>Anegamiento</t>
  </si>
  <si>
    <t>Saderh entrega más de 9 mdp en apoyos para las y los productores de la región del Valle del Mezquital, AUDIO APOYO</t>
  </si>
  <si>
    <t>Saderh</t>
  </si>
  <si>
    <t>Apoyo Al Agro</t>
  </si>
  <si>
    <t>Hans Islas, del ayuntamiento de Mineral de la Reforma, informa que ya se pasó el reporte del patrullaje en la colonia 11 de julio.</t>
  </si>
  <si>
    <t>La mañana de este lunes en la escuela primaria “Himno Nacional “, ubicada en la cabecera municipal dé Alfajayucan, un enjambre de abejas tabaco , al menos, a 20 estudiantes.Las autoridades del plantel dieron aviso a Protección Civil del municipio cuando los insectos iniciaron su ataque por lo que fue necesario evacuar el plantel y suspender labores</t>
  </si>
  <si>
    <t>La Presidencia Municipal de Pachuca informó que, a través del programa Auxilio Vial, se han brindado mil 176 atenciones a automovilistas en lo que va de 2026.De acuerdo con la Secretaría de Seguridad Pública, Tránsito y Vialidad, los servicios incluyen asistencia mecánica básica, cambio de neumáticos, paso de corriente, apoyo para la compra de combustible o refacciones, así como el resguardo de unidades en caso necesario.</t>
  </si>
  <si>
    <t>Auxilio vial</t>
  </si>
  <si>
    <t>Radioescucha reporta que el transito que se hace al sur d ela ciudad es por la falta de balizamiento en las calles , que la ingenieria de transito y vialidad ya chequen eso</t>
  </si>
  <si>
    <t>Balizamiento</t>
  </si>
  <si>
    <t>El gobernador Julio Menchaca hablo sobre el tema de la cooperativa La Cruz Azul en Tula, confirmó que se reunió con el ingeniero Víctor Velásquez, presidente del consejo de la cooperativa. Señaló que habrá buenas noticias en los próximos días, AUDIO JMS</t>
  </si>
  <si>
    <t>Cruz Azul</t>
  </si>
  <si>
    <t>El mandatario estatal Julio Menchaca fue cuestionado sobre la manifestación de trabajadores de la clínica del ISSSTE, dijo que se debe de respetar también el libre tránsito y que si alguien en el cumplimiento de sus responsabilidad excede los protocolos tendrá una sanción. Niega que en su gobierno exista represión. México es donde alguien pueda insultar a un policía o un militar, todavía tenemos el síndrome del 68,AUDIO JMS</t>
  </si>
  <si>
    <t>Tras la manifestación y bloqueo carretero del pasado viernes, trabajadores del Hospital ISSSTE de Pachuca, retomaron las protestas y varias horas después, lograron la remoción de la administradora Ivonne Hernández Anaya y el pago a personal suplente y de guardia, AUDIO APOYO</t>
  </si>
  <si>
    <t>El gobernador Julio Menchaca fue cuestionado sobre la situación que viven los pobladores de las comunidades ribereñas de la presa Endho, en torno al mosco cúlex y el uso de avionetas para acabar con estos insectos. AUDIO JMS</t>
  </si>
  <si>
    <t>Fumigación mosco Culex</t>
  </si>
  <si>
    <t>Radioescucha manda fotos de una persona que va vestida de negro y se esta saltando a las casa para robar , esto en la parte de atrás de Xochiquétzal y Paseo Toltecas, piden a las autoridades pongas cartas en el asunto para detener a esta persona</t>
  </si>
  <si>
    <t>Radioescucha pide al ayuntamiento que los apoye en limpiar el área verde en colonia Alta Tensión</t>
  </si>
  <si>
    <t>Limpieza Urbana</t>
  </si>
  <si>
    <t>Con nueve votos en contra, cinco a favor y tres abstenciones, el ayuntamiento de Ixmiquilpan no aprobó la minuta enviada por el Congreso de Hidalgo que reforma y adiciona la Constitución Política del Estado de Hidalgo, en donde se reducirían los espacios al interior del Cabildo, quitando una sindicatura a Ixmiquilpan.Lo anterior lo informó el regidor Enrique Simón Romero, quien externó que eliminar un espacio edilicio no resuelve ninguna problemática en Ixmiquilpan; la reforma tendría que haber planteado la profesionalización, ser más eficientes y productivos, así como que exista una verdadera independencia entre el cuerpo edilicio y el titular del ejecutivo para así dar mejores resultados.</t>
  </si>
  <si>
    <t>Plan B</t>
  </si>
  <si>
    <t>El presidente municipal, Cristhian Martínez Reséndiz,quien encabezó esta instalación de esta Procuraduría Municipal para la Protección de Niñas, Niños y Adolescentes en este municipio, destacó que la creación de esta instancia representa un paso firme en la consolidación de políticas públicas orientadas a garantizar el pleno ejercicio de los derechos de las niñas, niños y adolescentes, colocando su bienestar como una prioridad para la administración municipal, AUDIO APOYO</t>
  </si>
  <si>
    <t>Formalizan Tula y Tepeji Procuradurías de Protección para Niñas, Niños y Adolescentes, AUDIO APOYO</t>
  </si>
  <si>
    <t>Radioescucha reporta a un conductor de taxi, que iba hablando por celular en un buen tramo, el número de su medallón es 0825.</t>
  </si>
  <si>
    <t>Radioescucha reporta que en la esquina de Arizpe, rompieron un tubo de agua</t>
  </si>
  <si>
    <t>Reparación De Tubería</t>
  </si>
  <si>
    <t>Radioescucha reporta que en la esquina de Arizpe, las personas que estan arregalndo la calle, rompieron un tubo de agua y solo le pusieron tierra, pedimos Caasim cheque eso</t>
  </si>
  <si>
    <t>La Asociación Hidalguense para la Protección de los Animales advirtió que recurrirá a las máximas instancias judiciales, incluida la Suprema Corte de Justicia de la Nación (SCJN), si el gobierno municipal insiste en realizar la Santiagada este año.Paola Monterrubio Islas, representante de la asociación, reveló que justo antes de la edición del año pasado, en coordinación con la organización Jauría de Balú, sostuvieron una reunión con la alcaldesa Yanet Fernández Fernández, a quien le exhortaron formalmente la creación de un reglamento de bienestar animal para el municipio, la atención a las denuncias por maltrato y la eliminación definitiva de la Santiagada. “No fue así, no cumplió”, acusó la activista.</t>
  </si>
  <si>
    <t>Santiagada</t>
  </si>
  <si>
    <t>El gobierno municipal de Mineral de la Reforma puso en operación una Unidad Médica Móvil para acercar servicios de atención a habitantes de colonias, fraccionamientos y comunidades del municipio.Durante la presentación, el presidente municipal, Eduardo Medécigo Rubio, acompañado por la presidenta del Sistema Municipal DIF, Samantha Esparza Hernández, informó que la unidad fue adquirida con recursos propios del municipio.</t>
  </si>
  <si>
    <t>Unidad Médica Móviles</t>
  </si>
  <si>
    <t>Radioescucha reporta que Bosques del Peñar es abandonado desde hace muchos años por parte del ayuntamiento; ojalá pronto vengan a arreglar las calles, que le hacen mucha falta.</t>
  </si>
  <si>
    <t>Vialidad En Mal Estado</t>
  </si>
  <si>
    <t>Radioescucha Sr. Fidel comenta que las calles de Piracantos estan en muy mal estado, tienen muchos baches</t>
  </si>
  <si>
    <t>Radioescucha manda audio, informa que una femenina fue golpeada, tocada y amenazada de muerte por unos vecinos la semana pasada; fue a la Procuraduría de la Mujer y le dieron cita hasta el 18 de junio. Su vida está en riesgo, sufrió golpes y todo. ¿Qué se debe hacer? Uno se debe esperar hasta que la maten.</t>
  </si>
  <si>
    <t>Violencia De Género</t>
  </si>
  <si>
    <t>La tarde de este martes, un sujeto resultó lesionado al intentar ganarle el paso al tren con su vehículo, en Tlaxcoapan. De acuerdo con la Policía municipal, el percance se presentó a la altura de la comunidad Teocalco, donde un vehículo compacto intentó ganarle el paso a una locomotora, lo que produjo el percance. Por este hecho, una persona resultó lesionada, por lo que tuvo que ser trasladada a un hospital para su atención médica. En estos momentos, peritos de la secretaría de Seguridad Pública de Tlaxcoapan se encargan de las indagatorias correspondientes para deslindar responsabilidades.</t>
  </si>
  <si>
    <t>Accidente de tren</t>
  </si>
  <si>
    <t>En un hecho distinto, también sobre la autopista México-Tuxpan, se reportó un accidente a la altura del kilómetro 115, con dirección a la Ciudad de México, en el tramo San Alejo-Tejocotal. En este segundo caso, un tractocamión con un solo remolque salió de la carpeta asfáltica y terminó recargado sobre un talud en la cuneta. La unidad quedó en una posición de riesgo, cerca de volcar, por lo que se generó reducción de carril en la zona. De acuerdo con los reportes, el conductor resultó ileso y no se registraron personas lesionadas por este percance. Sin embargo, autoridades y personal de Capufe acudieron al sitio para tomar conocimiento de los hechos y coordinar las labores correspondientes. Se advirtió que podría presentarse un cierre más tarde debido a las maniobras necesarias para retirar la unidad, por lo que se pidió a los automovilistas atender las indicaciones viales y circular con precaución.</t>
  </si>
  <si>
    <t>Cinco personas resultaron lesionadas la mañana de este martes tras un choque entre un autobús de pasajeros y un tractocamión con caja seca sobre la carretera México-Tuxpan, en el tramo Tejocotal-Nuevo Necaxa. El percance ocurrió a la altura del kilómetro 123+200, en inmediaciones del punto conocido como “La Desviación”, dentro de una zona de circulación constante para unidades de carga, transporte público y vehículos particulares que transitan por esta vía. De acuerdo con la información preliminar, elementos de la Dirección de Seguridad Pública de Acaxochitlán realizaban recorridos de vigilancia cuando recibieron la instrucción de trasladarse al sitio para atender un hecho de tránsito terrestre reportado en la autopista. Al llegar al lugar, los policías municipales establecieron contacto con agentes de la Guardia Nacional, quienes fungieron como primeros respondientes en la atención del accidente. Posteriormente se realizaron las labores de apoyo, abanderamiento y coordinación para permitir la atención de las personas lesionadas. En el hecho estuvieron involucradas dos unidades. La primera fue un tractocamión marca International, con placas de circulación 02-BF-4Z, conducido por una persona identificada con las iniciales L.A.V. La segunda fue un autobús de transporte público de pasajeros de la línea Futura, marca Volvo, con placas 62-HC-2C, cuyo operador fue identificado con las iniciales C.C.A.M.L. Según los reportes disponibles, el autobús se impactó contra la parte posterior del tractocamión. Tras el choque, cinco personas resultaron lesionadas y fueron trasladadas a distintos centros hospitalarios para su valoración y atención médica. Hasta el momento no se ha informado de manera oficial la gravedad de las lesiones ni la identidad de los pasajeros afectados. Tampoco se han dado a conocer mayores detalles sobre si alguno de los conductores requirió atención médica.</t>
  </si>
  <si>
    <t>Entrevista vía telefónica Jesús García, director de Bomberos y Protección Civil de Tulancingo. - Habló sobre las recomendaciones ante la presencia de lluvias, así como las actividades en materia de prevención y monitoreo de presas y ríos en Tulancingo; en ese sentido, habló sobre la acumulación de basura que es una de las principales causas de encharcamientos derivado de las lluvias, motivo por el que pide a la ciudadanía evitar realizar estas acciones y contribuir a un mejor cuidado. Dijo, que trabajan de manera conjunta con las diferentes dependencias como la Subsecretaría de Protección Civil y Protección de Riesgos a fin de implementar las estrategias adecuadas y prevenir afectaciones.</t>
  </si>
  <si>
    <t>Irving Sánchez</t>
  </si>
  <si>
    <t>Locutor Irving Sánchez da lectura a comentario de radioescucha que reporta aumento de tarifas en las cuotas escolares.</t>
  </si>
  <si>
    <t>Las intensas lluvias registradas durante las últimas horas en Hidalgo han provocado afectaciones en diversas regiones del estado, particularmente en la Sierra Otomí-Tepehua y la Huasteca, donde varias comunidades permanecen incomunicadas debido al colapso de pasos provisionales habilitados tras los daños ocasionados por la vaguada monzónica de octubre pasado. Por ello, las autoridades mantienen un monitoreo permanente en las zonas consideradas de mayor vulnerabilidad, donde se han intensificado las labores preventivas y los recorridos de supervisión. Elementos de Protección Civil, Seguridad Pública y dependencias de los tres órdenes de gobierno permanecen desplegados en distintos puntos de la entidad para atender cualquier contingencia y brindar apoyo a las localidades afectadas. Ante el pronóstico de que las lluvias continuarán en gran parte del territorio estatal, las autoridades exhortaron a la población a mantenerse atenta a los avisos oficiales, evitar cruzar ríos, arroyos o zonas inundadas, y reportar cualquier emergencia a los números de atención correspondientes. El gobierno estatal informó que los protocolos de prevención y respuesta se mantienen activos para actuar de manera oportuna ante cualquier situación de riesgo derivada de las condiciones meteorológicas que afectan a la entidad. De acuerdo con el gobernador de Hidalgo, Julio Menchaca Salazar, la entidad se encuentra en alerta roja debido a las intensas lluvias. El mandatario confirmó que ya existen comunidades incomunicadas por el colapso de pasos provisionales y señaló que el monitoreo es permanente en las regiones de la Sierra Otomí-Tepehua y la Huasteca, donde se concentra la atención de las autoridades para salvaguardar la integridad de la población.</t>
  </si>
  <si>
    <t>Pese a que existe la veda del uso del fuego, Hidalgo superó las tres mil hectáreas afectadas por los incendios forestales y se encuentra entre las diez entidades con incidencia media de incendios, de acuerdo con el Reporte Semanal Nacional de Incendios Forestales, elaborado por la Comisión Nacional Forestal (Conafor). ntre el 1 de enero y el 4 de junio de este año Hidalgo registró 118 incendios forestales que afectaron tres mil 127 hectáreas, de las cuales 176 hectáreas son de arbolado de renuevo, dos mil 175 de material arbustivo, 718 hectáreas de hierba y 56 hectáreas de hojarasca. El reporte de la Conafor señala que los 10 estados con mayor presencia de incendios son: Jalisco con 670, Estado de México con 474, Michoacán con 448, Ciudad de México con 381, Guerrero con 261, Chihuahua con 245, Durango con 242, Chiapas con 234, Oaxaca con 219 y Puebla con 194. En tanto Hidalgo se encuentra entre los diez estados con inciden media de incendios junto con Nayarit, Zacatecas, San Luis Potosí, Aguascalientes, Guanajuato, Veracruz, Tlaxcala, Morelos y Campeche. Los municipios en los que se han registrado los 118 incendios forestales en Hidalgo son: Pachuca de Soto, Tulancingo de Bravo, Singuilucan, Epazoyucan, Huichapan, Mineral de la Reforma, Tepeapulco, Cuautepec, Francisco I. Madero, San Agustín Tlaxiaca, Acaxochitlán, Acatlán, Apan, Tula de Allende y Zempoala. Además de El Arenal, Emiliano Zapata, Jacala, San Salvador, Tlanalapa, Zapotlán, Ajacuba, Almoloya, Huasca, Metztitlán, Mineral del Chico, Mineral del Monte, Omitlán, Tasquillo, Tezontepec de Aldama, Villa de Tezontepec y Zacualtipán de Ángeles. Actualmente continúa vigente la veda del uso del fuego, implementada por la Secretaría del Medio Ambiente y Recursos Naturales de Hidalgo (Semarnath), comenzó el pasado 5 de febrero y concluirá el 30 de junio, la cual tiene como objetivo disminuir los incendios forestales en la entidad. A través de esta acción se establecieron como zonas de veda para el uso el fuego todos los ecosistemas forestales en el estado de Hidalgo, siendo éstas las áreas cubiertas de vegetación forestal, pastizales, maleza, matorrales y en general, en cualquiera de los diferentes tipos de asociaciones vegetales en terrenos forestales o preferentemente forestales, así como áreas de otro uso distinto al forestal que colinde y límite con este tipo de terrenos de la entidad. La veda del uso del fuego lo prohíbe en fogatas a cielo abierto para actividades de recreación; actividades de campismo; en terrenos forestales o preferentemente forestales designados a la actividad de ecoturismo, que no cuenten con la infraestructura para dicha actividad. Así como las quemas para eliminar residuos de cosechas, pastos; la preparación de forrajes para el ganado; los esquilmos agrícolas en áreas adyacentes a zonas con vegetación forestal; basura orgánica y desperdicios contaminantes; uso de pirotecnia y globos de cantoya; actividades cinegéticas; y la eliminación de residuos por aprovechamiento forestal. Como acciones preventivas se recomendó no dejar residuos de basura principalmente vidrios o cristales que puedan hacer efecto lupa y generar la ignición dentro de terrenos forestales o preferentemente forestales; y encender fogatas en áreas no apropiadas, que no cuenten con la infraestructura adecuada designada para dicha actividad.</t>
  </si>
  <si>
    <t>Incendios forestales</t>
  </si>
  <si>
    <t>l Instituto Nacional Electoral (INE) comenzó la emisión de los nuevos tipos “I” y “J” de la Credencial para Votar, documentos que incorporan innovaciones tecnológicas orientadas a reforzar la seguridad, la autenticidad y la protección de los datos personales de millones de ciudadanos mexicanos. La actualización forma parte de la evolución permanente que ha experimentado la credencial desde que el entonces Instituto Federal Electoral asumió, en 1992, la responsabilidad de emitir este documento de identificación oficial. Durante más de tres décadas, la autoridad electoral ha incorporado mecanismos cada vez más sofisticados para prevenir alteraciones, falsificaciones y usos indebidos. Entre las principales novedades destaca la incorporación de un nuevo Dispositivo de Imagen Ópticamente Variable Difractivo (DOVID), considerado uno de los sistemas de autenticación documental más avanzados utilizados hasta ahora en la credencial. Este elemento permite apreciar efectos visuales que cambian según el ángulo de observación, además de integrar microtextos, nanotextos, efectos tridimensionales y variaciones de color difíciles de reproducir mediante métodos convencionales. La nueva generación de credenciales también incorpora fotografías a color de alta resolución, imágenes impresas con tintas reactivas a la luz ultravioleta, imágenes latentes y diversos patrones de seguridad que facilitan la verificación de la autenticidad del documento. Como parte de una estrategia de inclusión, el nuevo diseño integra elementos táctiles para apoyar a personas con discapacidad visual. Entre ellos destaca una muesca ubicada en la parte superior izquierda de la credencial que permite identificar y orientar el documento mediante el tacto. La seguridad del nuevo modelo se sustenta en una arquitectura compuesta por múltiples capas de protección física, óptica, digital y criptográfica. Entre los mecanismos incorporados se encuentran microtextos personalizados, líneas Guilloche generadas por software especializado, efectos moiré, impresión arcoíris, fotografías fantasmas, tintas fotocromáticas y termocromáticas, así como complejos patrones geométricos de seguridad.</t>
  </si>
  <si>
    <t>Credencial de elector</t>
  </si>
  <si>
    <t>Las lluvias registradas durante los últimos días han provocado derrumbes y deslaves en diversos puntos del tramo carretero Santuario-Nicolás Flores, situación que ha generado afectaciones a la circulación y mantiene en alerta a las autoridades municipales y cuerpos de emergencia. De acuerdo con reportes oficiales, personal de Protección Civil y operadores de maquinaria pesada trabajan de manera permanente en la remoción de tierra, piedras y material desprendido de los cerros, con el objetivo de mantener despejadas las vialidades y reducir riesgos para los automovilistas. Aunque el tránsito vehicular continúa, las autoridades han solicitado a la población extremar precauciones al circular por la zona, ya que durante el día se desarrollan trabajos de limpieza en distintos puntos de la carretera y persiste el riesgo de nuevos desprendimientos debido a la saturación de humedad en los terrenos. Cabe recordar que Nicolás Flores fue uno de los municipios más afectados por la vaguada monzónica que impactó a Hidalgo en octubre de 2025, fenómeno meteorológico que dejó severos daños en carreteras, caminos rurales, puentes y accesos comunitarios a consecuencia de deslaves, derrumbes y anegaciones. Las afectaciones registradas el año pasado dejaron incomunicadas temporalmente a varias localidades y provocaron daños que durante meses dificultaron la movilidad de los habitantes, especialmente en las comunidades ubicadas en las zonas más alejadas del municipio. Por lo anterior, hace aproximadamente un mes autoridades municipales informaron que se daría inició a diversas acciones de rehabilitación en la infraestructura dañada, trabajos que cuentan con el respaldo del gobierno estatal y federal.</t>
  </si>
  <si>
    <t>El mandatario estatal Julio Menchaca habló acerca de la manifestación de trabajadores de la clínica del ISSSTE, dijo que se debe de respetar también el libre tránsito y que si alguien en el cumplimiento de sus responsabilidad excede los protocolos tendrá una sanción. Niega que en su gobierno exista represión.</t>
  </si>
  <si>
    <t>La Casa de la Mujer Indígena de Tenango de Doria registra 76 por ciento de avance</t>
  </si>
  <si>
    <t>Casa de la Mujer Indígena</t>
  </si>
  <si>
    <t>Saderh entrega más de 9 mdp en apoyos para las y los productores de la región del Valle del Mezquital</t>
  </si>
  <si>
    <t>Sudáfrica e Hidalgo estrecharán lazos tras histórico encuentro deportivo</t>
  </si>
  <si>
    <t>El Instituto Nacional Electoral (INE) comenzó la emisión de los nuevos tipos “I” y “J” de la Credencial para Votar, documentos que incorporan innovaciones tecnológicas orientadas a reforzar la seguridad, la autenticidad y la protección de los datos personales de millones de ciudadanos mexicanos. La actualización forma parte de la evolución permanente que ha experimentado la credencial desde que el entonces Instituto Federal Electoral asumió, en 1992, la responsabilidad de emitir este documento de identificación oficial. Durante más de tres décadas, la autoridad electoral ha incorporado mecanismos cada vez más sofisticados para prevenir alteraciones, falsificaciones y usos indebidos. Entre las principales novedades destaca la incorporación de un nuevo Dispositivo de Imagen Ópticamente Variable Difractivo (DOVID), considerado uno de los sistemas de autenticación documental más avanzados utilizados hasta ahora en la credencial. Este elemento permite apreciar efectos visuales que cambian según el ángulo de observación, además de integrar microtextos, nanotextos, efectos tridimensionales y variaciones de color difíciles de reproducir mediante métodos convencionales. La nueva generación de credenciales también incorpora fotografías a color de alta resolución, imágenes impresas con tintas reactivas a la luz ultravioleta, imágenes latentes y diversos patrones de seguridad que facilitan la verificación de la autenticidad del documento. Como parte de una estrategia de inclusión, el nuevo diseño integra elementos táctiles para apoyar a personas con discapacidad visual. Entre ellos destaca una muesca ubicada en la parte superior izquierda de la credencial que permite identificar y orientar el documento mediante el tacto. La seguridad del nuevo modelo se sustenta en una arquitectura compuesta por múltiples capas de protección física, óptica, digital y criptográfica. Entre los mecanismos incorporados se encuentran microtextos personalizados, líneas Guilloche generadas por software especializado, efectos moiré, impresión arcoíris, fotografías fantasmas, tintas fotocromáticas y termocromáticas, así como complejos patrones geométricos de seguridad.</t>
  </si>
  <si>
    <t>La Unidad de Rehabilitación de Fauna Silvestre participará en la liberación de una martucha (Potos flavus), especie protegida en México y catalogada como Sujeta a Protección Especial de acuerdo con la Norma Oficial Mexicana NOM-059-SEMARNAT. Este hecho representa uno de los logros más importantes de la Unidad, ya que es la primera ocasión en que se rehabilita exitosamente un ejemplar de esta especie hasta alcanzar las condiciones necesarias para su retorno a la vida silvestre. La liberación se realizará en coordinación con la PROFEPA y autoridades del municipio de Tenango de Doria, como parte de los esfuerzos conjuntos para la conservación de la biodiversidad y la protección de la fauna silvestre. El ejemplar, llamado “Tena”, fue localizado por personal de la Dirección de Ecología en una zona afectada por un incendio forestal. Posteriormente, fue trasladado a la Unidad de Rehabilitación en abril de 2025 por personal de la Secretaría de Medio Ambiente y Recursos Naturales de Hidalgo. A su ingreso, la cría tenía aproximadamente cinco días de nacida y pesaba poco más de 250 gramos, por lo que requirió atención especializada. Para su recuperación se diseñó un programa de nutrición específico y se implementó vigilancia permanente para garantizar su desarrollo. Tras varios meses de cuidados, el ejemplar fue trasladado a un biosimulador donde continuó su proceso de rehabilitación, fortaleciendo las habilidades necesarias para sobrevivir de manera independiente en su hábitat natural. La liberación de esta martucha representa un caso exitoso de conservación y recuperación de fauna silvestre, así como un ejemplo del trabajo coordinado entre instituciones para proteger el patrimonio natural de Hidalgo. Estas acciones se alinean con la visión del gobierno encabezado por el presidente municipal Jorge Reyes, que ha impulsado políticas enfocadas en el cuidado del medio ambiente, la protección de los animales y la preservación de los recursos naturales, fortaleciendo el compromiso de Pachuca con el desarrollo sostenible y la conservación de la biodiversidad.</t>
  </si>
  <si>
    <t>Liberación Fauna Silvestre</t>
  </si>
  <si>
    <t>Derivado de la nota sobre el asalto en una Joyería de Tulancingo, Jesús Riveros comentó que van cuatro asaltos en lo que va del 2026 en Tulancingo, por lo que hace un llamado a las autoridades para reforzar las medidas de seguridad en el municipio.</t>
  </si>
  <si>
    <t>Entrevista vía telefónica Jimena Verónica Carrera Quiroz, alumna del Instituto Tecnológico Superior del Oriente del Estado de Hidalgo - Habló sobre su destacada participación en el Campeonato Mundial de Robótica VEX U 2026 celebrado en St. Louis, Missouri, Estados Unidos. El equipo ITESA1 destacó al posicionarse como el mejor representante del estado de Hidalgo y el tercer equipo mexicano mejor clasificado de la justa. Durante esta justa internacional, el equipo tuvo la oportunidad de competir con universidades de países como: Australia, Puerto Rico, Colombia, Libia y Nueva Zelanda, así como con alumnos de universidades de Nebraska, Illinois, New Jersey y Ohio, de Estados Unidos.</t>
  </si>
  <si>
    <t>Campeonato de robótica</t>
  </si>
  <si>
    <t>Una fuerte movilización policíaca se registró la tarde de este lunes 8 de junio en el centro de Tulancingo, debido al asalto a una joyería, perpetrado por sujetos que huyeron en motocicleta y que fueron perseguidos por elementos policíacos. Hay por lo menos un detenido. El asalto de la joyería “Jade” ubicado al interior del edificio Hidalgo, en pleno centro de Tulancingo, fue reportado inmediatamente a las autoridades. De acuerdo con un video de cámara de vigilancia fue aproximadamente a las 14:10 horas el momento que se registró dicho asalto y donde se percibe el momento en que los tres sujetos salen del establecimiento con una bolsa negra, donde se presume que llevaban su botín. Tras dar aviso a las fuerzas de seguridad pública, los elementos se movilizaron y siguieron a los sujetos que huían a bordo de dos motocicletas. Los presuntos responsables del asalto fueron alcanzados en el Boulevard Bicentenario, donde abandonaron la moto e inmediatamente emprendieron la huida a pie. Las personas detenidas, así como los objetos asegurados, fueron puestos a disposición del Ministerio Público para la integración de la carpeta de investigación correspondiente y el deslinde de responsabilidades.</t>
  </si>
  <si>
    <t>Julio Menchaca reconoce labor del gremio periodístico hidalguense</t>
  </si>
  <si>
    <t>Abre Contraloría convocatoria para el Premio Nacional de Contraloría Social 2026 en Hidalgo</t>
  </si>
  <si>
    <t>Contraloría</t>
  </si>
  <si>
    <t>Contraloría Social</t>
  </si>
  <si>
    <t>Referente al accidente vial registrado el día de hoy sobre el bulevar Felipe Ángeles, a la altura de la estación San Antonio, el Sistema Integrado de Transporte Masivo de Hidalgo (Sitmah) informa que ninguna unidad del Transporte Metropolitano se vio involucrada en este siniestro.</t>
  </si>
  <si>
    <t>La Subsecretaría de Protección Civil y Gestión de Riesgos informa a la población que, para este 09 de junio de 2026, se prevén intervalos de chubascos con lluvias puntuales fuertes de 25 a 50 mm en las regiones norte y este del estado, así como vientos de 20 a 30 km/h con rachas de 40 a 60 km/h.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</si>
</sst>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5" tableType="queryTable" totalsRowShown="0">
  <autoFilter ref="A1:M20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5"/>
  <sheetViews>
    <sheetView tabSelected="1" topLeftCell="A202" workbookViewId="0">
      <selection activeCell="A220" sqref="A220"/>
    </sheetView>
  </sheetViews>
  <sheetFormatPr baseColWidth="10" defaultRowHeight="14.5" x14ac:dyDescent="0.35"/>
  <cols>
    <col min="1" max="1" width="8.1796875" bestFit="1" customWidth="1"/>
    <col min="2" max="2" width="10.26953125" bestFit="1" customWidth="1"/>
    <col min="3" max="3" width="24.6328125" bestFit="1" customWidth="1"/>
    <col min="4" max="4" width="27.6328125" bestFit="1" customWidth="1"/>
    <col min="5" max="5" width="80.7265625" bestFit="1" customWidth="1"/>
    <col min="6" max="6" width="14.26953125" bestFit="1" customWidth="1"/>
    <col min="7" max="7" width="28.26953125" bestFit="1" customWidth="1"/>
    <col min="8" max="8" width="9.6328125"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46181</v>
      </c>
      <c r="B2" s="1" t="str">
        <f ca="1">IF(Información1[[#This Row],[Fecha]]='Ajuste de fechas'!$A$2,"Día actual","Día anterior")</f>
        <v>Día anterior</v>
      </c>
      <c r="C2" s="3" t="s">
        <v>50</v>
      </c>
      <c r="D2" t="s">
        <v>58</v>
      </c>
      <c r="E2" s="3" t="s">
        <v>94</v>
      </c>
      <c r="F2" s="3" t="s">
        <v>22</v>
      </c>
      <c r="G2" s="3" t="s">
        <v>95</v>
      </c>
      <c r="H2" s="3" t="s">
        <v>11</v>
      </c>
      <c r="I2" s="3" t="s">
        <v>25</v>
      </c>
      <c r="J2" s="3" t="s">
        <v>44</v>
      </c>
      <c r="K2" s="3" t="s">
        <v>51</v>
      </c>
      <c r="L2" s="3" t="s">
        <v>40</v>
      </c>
      <c r="M2">
        <v>1</v>
      </c>
    </row>
    <row r="3" spans="1:13" x14ac:dyDescent="0.35">
      <c r="A3" s="2">
        <v>46181</v>
      </c>
      <c r="B3" s="1" t="str">
        <f ca="1">IF(Información1[[#This Row],[Fecha]]='Ajuste de fechas'!$A$2,"Día actual","Día anterior")</f>
        <v>Día anterior</v>
      </c>
      <c r="C3" s="3" t="s">
        <v>50</v>
      </c>
      <c r="D3" t="s">
        <v>58</v>
      </c>
      <c r="E3" s="3" t="s">
        <v>96</v>
      </c>
      <c r="F3" s="3" t="s">
        <v>19</v>
      </c>
      <c r="G3" s="3" t="s">
        <v>97</v>
      </c>
      <c r="H3" s="3" t="s">
        <v>11</v>
      </c>
      <c r="I3" s="3" t="s">
        <v>25</v>
      </c>
      <c r="J3" s="3" t="s">
        <v>43</v>
      </c>
      <c r="K3" s="3" t="s">
        <v>51</v>
      </c>
      <c r="L3" s="3" t="s">
        <v>40</v>
      </c>
      <c r="M3">
        <v>1</v>
      </c>
    </row>
    <row r="4" spans="1:13" x14ac:dyDescent="0.35">
      <c r="A4" s="2">
        <v>46181</v>
      </c>
      <c r="B4" s="1" t="str">
        <f ca="1">IF(Información1[[#This Row],[Fecha]]='Ajuste de fechas'!$A$2,"Día actual","Día anterior")</f>
        <v>Día anterior</v>
      </c>
      <c r="C4" s="3" t="s">
        <v>50</v>
      </c>
      <c r="D4" t="s">
        <v>58</v>
      </c>
      <c r="E4" s="3" t="s">
        <v>98</v>
      </c>
      <c r="F4" s="3" t="s">
        <v>19</v>
      </c>
      <c r="G4" s="3" t="s">
        <v>99</v>
      </c>
      <c r="H4" s="3" t="s">
        <v>11</v>
      </c>
      <c r="I4" s="3" t="s">
        <v>7</v>
      </c>
      <c r="J4" s="3" t="s">
        <v>43</v>
      </c>
      <c r="K4" s="3" t="s">
        <v>51</v>
      </c>
      <c r="L4" s="3" t="s">
        <v>40</v>
      </c>
      <c r="M4">
        <v>1</v>
      </c>
    </row>
    <row r="5" spans="1:13" x14ac:dyDescent="0.35">
      <c r="A5" s="2">
        <v>46181</v>
      </c>
      <c r="B5" s="1" t="str">
        <f ca="1">IF(Información1[[#This Row],[Fecha]]='Ajuste de fechas'!$A$2,"Día actual","Día anterior")</f>
        <v>Día anterior</v>
      </c>
      <c r="C5" s="3" t="s">
        <v>50</v>
      </c>
      <c r="D5" t="s">
        <v>58</v>
      </c>
      <c r="E5" s="3" t="s">
        <v>100</v>
      </c>
      <c r="F5" s="3" t="s">
        <v>21</v>
      </c>
      <c r="G5" s="3" t="s">
        <v>76</v>
      </c>
      <c r="H5" s="3" t="s">
        <v>11</v>
      </c>
      <c r="I5" s="3" t="s">
        <v>25</v>
      </c>
      <c r="J5" s="3" t="s">
        <v>39</v>
      </c>
      <c r="K5" s="3" t="s">
        <v>9</v>
      </c>
      <c r="L5" s="3" t="s">
        <v>41</v>
      </c>
      <c r="M5">
        <v>1</v>
      </c>
    </row>
    <row r="6" spans="1:13" x14ac:dyDescent="0.35">
      <c r="A6" s="2">
        <v>46181</v>
      </c>
      <c r="B6" s="1" t="str">
        <f ca="1">IF(Información1[[#This Row],[Fecha]]='Ajuste de fechas'!$A$2,"Día actual","Día anterior")</f>
        <v>Día anterior</v>
      </c>
      <c r="C6" s="3" t="s">
        <v>50</v>
      </c>
      <c r="D6" t="s">
        <v>58</v>
      </c>
      <c r="E6" s="3" t="s">
        <v>101</v>
      </c>
      <c r="F6" s="3" t="s">
        <v>21</v>
      </c>
      <c r="G6" s="3" t="s">
        <v>76</v>
      </c>
      <c r="H6" s="3" t="s">
        <v>11</v>
      </c>
      <c r="I6" s="3" t="s">
        <v>25</v>
      </c>
      <c r="J6" s="3" t="s">
        <v>39</v>
      </c>
      <c r="K6" s="3" t="s">
        <v>9</v>
      </c>
      <c r="L6" s="3" t="s">
        <v>41</v>
      </c>
      <c r="M6">
        <v>1</v>
      </c>
    </row>
    <row r="7" spans="1:13" x14ac:dyDescent="0.35">
      <c r="A7" s="2">
        <v>46181</v>
      </c>
      <c r="B7" s="1" t="str">
        <f ca="1">IF(Información1[[#This Row],[Fecha]]='Ajuste de fechas'!$A$2,"Día actual","Día anterior")</f>
        <v>Día anterior</v>
      </c>
      <c r="C7" s="3" t="s">
        <v>70</v>
      </c>
      <c r="D7" t="s">
        <v>71</v>
      </c>
      <c r="E7" s="3" t="s">
        <v>102</v>
      </c>
      <c r="F7" s="3" t="s">
        <v>24</v>
      </c>
      <c r="G7" s="3" t="s">
        <v>103</v>
      </c>
      <c r="H7" s="3" t="s">
        <v>11</v>
      </c>
      <c r="I7" s="3" t="s">
        <v>7</v>
      </c>
      <c r="J7" s="3" t="s">
        <v>24</v>
      </c>
      <c r="K7" s="3" t="s">
        <v>72</v>
      </c>
      <c r="L7" s="3" t="s">
        <v>40</v>
      </c>
      <c r="M7">
        <v>1</v>
      </c>
    </row>
    <row r="8" spans="1:13" x14ac:dyDescent="0.35">
      <c r="A8" s="2">
        <v>46181</v>
      </c>
      <c r="B8" s="1" t="str">
        <f ca="1">IF(Información1[[#This Row],[Fecha]]='Ajuste de fechas'!$A$2,"Día actual","Día anterior")</f>
        <v>Día anterior</v>
      </c>
      <c r="C8" s="3" t="s">
        <v>70</v>
      </c>
      <c r="D8" t="s">
        <v>71</v>
      </c>
      <c r="E8" s="3" t="s">
        <v>104</v>
      </c>
      <c r="F8" s="3" t="s">
        <v>24</v>
      </c>
      <c r="G8" s="3" t="s">
        <v>105</v>
      </c>
      <c r="H8" s="3" t="s">
        <v>11</v>
      </c>
      <c r="I8" s="3" t="s">
        <v>7</v>
      </c>
      <c r="J8" s="3" t="s">
        <v>24</v>
      </c>
      <c r="K8" s="3" t="s">
        <v>72</v>
      </c>
      <c r="L8" s="3" t="s">
        <v>40</v>
      </c>
      <c r="M8">
        <v>1</v>
      </c>
    </row>
    <row r="9" spans="1:13" x14ac:dyDescent="0.35">
      <c r="A9" s="2">
        <v>46181</v>
      </c>
      <c r="B9" s="1" t="str">
        <f ca="1">IF(Información1[[#This Row],[Fecha]]='Ajuste de fechas'!$A$2,"Día actual","Día anterior")</f>
        <v>Día anterior</v>
      </c>
      <c r="C9" s="3" t="s">
        <v>70</v>
      </c>
      <c r="D9" t="s">
        <v>71</v>
      </c>
      <c r="E9" s="3" t="s">
        <v>106</v>
      </c>
      <c r="F9" s="3" t="s">
        <v>107</v>
      </c>
      <c r="G9" s="3" t="s">
        <v>108</v>
      </c>
      <c r="H9" s="3" t="s">
        <v>11</v>
      </c>
      <c r="I9" s="3" t="s">
        <v>7</v>
      </c>
      <c r="J9" s="3" t="s">
        <v>24</v>
      </c>
      <c r="K9" s="3" t="s">
        <v>72</v>
      </c>
      <c r="L9" s="3" t="s">
        <v>40</v>
      </c>
      <c r="M9">
        <v>1</v>
      </c>
    </row>
    <row r="10" spans="1:13" x14ac:dyDescent="0.35">
      <c r="A10" s="2">
        <v>46181</v>
      </c>
      <c r="B10" s="1" t="str">
        <f ca="1">IF(Información1[[#This Row],[Fecha]]='Ajuste de fechas'!$A$2,"Día actual","Día anterior")</f>
        <v>Día anterior</v>
      </c>
      <c r="C10" s="3" t="s">
        <v>70</v>
      </c>
      <c r="D10" t="s">
        <v>71</v>
      </c>
      <c r="E10" s="3" t="s">
        <v>109</v>
      </c>
      <c r="F10" s="3" t="s">
        <v>26</v>
      </c>
      <c r="G10" s="3" t="s">
        <v>110</v>
      </c>
      <c r="H10" s="3" t="s">
        <v>11</v>
      </c>
      <c r="I10" s="3" t="s">
        <v>7</v>
      </c>
      <c r="J10" s="3" t="s">
        <v>39</v>
      </c>
      <c r="K10" s="3" t="s">
        <v>72</v>
      </c>
      <c r="L10" s="3" t="s">
        <v>40</v>
      </c>
      <c r="M10">
        <v>1</v>
      </c>
    </row>
    <row r="11" spans="1:13" x14ac:dyDescent="0.35">
      <c r="A11" s="2">
        <v>46181</v>
      </c>
      <c r="B11" s="1" t="str">
        <f ca="1">IF(Información1[[#This Row],[Fecha]]='Ajuste de fechas'!$A$2,"Día actual","Día anterior")</f>
        <v>Día anterior</v>
      </c>
      <c r="C11" s="3" t="s">
        <v>70</v>
      </c>
      <c r="D11" t="s">
        <v>71</v>
      </c>
      <c r="E11" s="3" t="s">
        <v>111</v>
      </c>
      <c r="F11" s="3" t="s">
        <v>21</v>
      </c>
      <c r="G11" s="3" t="s">
        <v>112</v>
      </c>
      <c r="H11" s="3" t="s">
        <v>11</v>
      </c>
      <c r="I11" s="3" t="s">
        <v>7</v>
      </c>
      <c r="J11" s="3" t="s">
        <v>39</v>
      </c>
      <c r="K11" s="3" t="s">
        <v>72</v>
      </c>
      <c r="L11" s="3" t="s">
        <v>42</v>
      </c>
      <c r="M11">
        <v>1</v>
      </c>
    </row>
    <row r="12" spans="1:13" x14ac:dyDescent="0.35">
      <c r="A12" s="2">
        <v>46181</v>
      </c>
      <c r="B12" s="1" t="str">
        <f ca="1">IF(Información1[[#This Row],[Fecha]]='Ajuste de fechas'!$A$2,"Día actual","Día anterior")</f>
        <v>Día anterior</v>
      </c>
      <c r="C12" s="3" t="s">
        <v>70</v>
      </c>
      <c r="D12" t="s">
        <v>71</v>
      </c>
      <c r="E12" s="3" t="s">
        <v>113</v>
      </c>
      <c r="F12" s="3" t="s">
        <v>21</v>
      </c>
      <c r="G12" s="3" t="s">
        <v>114</v>
      </c>
      <c r="H12" s="3" t="s">
        <v>11</v>
      </c>
      <c r="I12" s="3" t="s">
        <v>7</v>
      </c>
      <c r="J12" s="3" t="s">
        <v>39</v>
      </c>
      <c r="K12" s="3" t="s">
        <v>72</v>
      </c>
      <c r="L12" s="3" t="s">
        <v>42</v>
      </c>
      <c r="M12">
        <v>1</v>
      </c>
    </row>
    <row r="13" spans="1:13" x14ac:dyDescent="0.35">
      <c r="A13" s="2">
        <v>46181</v>
      </c>
      <c r="B13" s="1" t="str">
        <f ca="1">IF(Información1[[#This Row],[Fecha]]='Ajuste de fechas'!$A$2,"Día actual","Día anterior")</f>
        <v>Día anterior</v>
      </c>
      <c r="C13" s="3" t="s">
        <v>70</v>
      </c>
      <c r="D13" t="s">
        <v>71</v>
      </c>
      <c r="E13" s="3" t="s">
        <v>115</v>
      </c>
      <c r="F13" s="3" t="s">
        <v>26</v>
      </c>
      <c r="G13" s="3" t="s">
        <v>116</v>
      </c>
      <c r="H13" s="3" t="s">
        <v>11</v>
      </c>
      <c r="I13" s="3" t="s">
        <v>7</v>
      </c>
      <c r="J13" s="3" t="s">
        <v>39</v>
      </c>
      <c r="K13" s="3" t="s">
        <v>72</v>
      </c>
      <c r="L13" s="3" t="s">
        <v>42</v>
      </c>
      <c r="M13">
        <v>1</v>
      </c>
    </row>
    <row r="14" spans="1:13" x14ac:dyDescent="0.35">
      <c r="A14" s="2">
        <v>46181</v>
      </c>
      <c r="B14" s="1" t="str">
        <f ca="1">IF(Información1[[#This Row],[Fecha]]='Ajuste de fechas'!$A$2,"Día actual","Día anterior")</f>
        <v>Día anterior</v>
      </c>
      <c r="C14" s="3" t="s">
        <v>70</v>
      </c>
      <c r="D14" t="s">
        <v>71</v>
      </c>
      <c r="E14" s="3" t="s">
        <v>117</v>
      </c>
      <c r="F14" s="3" t="s">
        <v>26</v>
      </c>
      <c r="G14" s="3" t="s">
        <v>118</v>
      </c>
      <c r="H14" s="3" t="s">
        <v>11</v>
      </c>
      <c r="I14" s="3" t="s">
        <v>7</v>
      </c>
      <c r="J14" s="3" t="s">
        <v>39</v>
      </c>
      <c r="K14" s="3" t="s">
        <v>72</v>
      </c>
      <c r="L14" s="3" t="s">
        <v>42</v>
      </c>
      <c r="M14">
        <v>1</v>
      </c>
    </row>
    <row r="15" spans="1:13" x14ac:dyDescent="0.35">
      <c r="A15" s="2">
        <v>46181</v>
      </c>
      <c r="B15" s="1" t="str">
        <f ca="1">IF(Información1[[#This Row],[Fecha]]='Ajuste de fechas'!$A$2,"Día actual","Día anterior")</f>
        <v>Día anterior</v>
      </c>
      <c r="C15" s="3" t="s">
        <v>50</v>
      </c>
      <c r="D15" t="s">
        <v>52</v>
      </c>
      <c r="E15" s="3" t="s">
        <v>119</v>
      </c>
      <c r="F15" s="3" t="s">
        <v>19</v>
      </c>
      <c r="G15" s="3" t="s">
        <v>53</v>
      </c>
      <c r="H15" s="3" t="s">
        <v>11</v>
      </c>
      <c r="I15" s="3" t="s">
        <v>7</v>
      </c>
      <c r="J15" s="3" t="s">
        <v>43</v>
      </c>
      <c r="K15" s="3" t="s">
        <v>51</v>
      </c>
      <c r="L15" s="3" t="s">
        <v>40</v>
      </c>
      <c r="M15">
        <v>1</v>
      </c>
    </row>
    <row r="16" spans="1:13" x14ac:dyDescent="0.35">
      <c r="A16" s="2">
        <v>46181</v>
      </c>
      <c r="B16" s="1" t="str">
        <f ca="1">IF(Información1[[#This Row],[Fecha]]='Ajuste de fechas'!$A$2,"Día actual","Día anterior")</f>
        <v>Día anterior</v>
      </c>
      <c r="C16" s="3" t="s">
        <v>50</v>
      </c>
      <c r="D16" t="s">
        <v>52</v>
      </c>
      <c r="E16" s="3" t="s">
        <v>120</v>
      </c>
      <c r="F16" s="3" t="s">
        <v>26</v>
      </c>
      <c r="G16" s="3" t="s">
        <v>216</v>
      </c>
      <c r="H16" s="3" t="s">
        <v>11</v>
      </c>
      <c r="I16" s="3" t="s">
        <v>7</v>
      </c>
      <c r="J16" s="3" t="s">
        <v>39</v>
      </c>
      <c r="K16" s="3" t="s">
        <v>49</v>
      </c>
      <c r="L16" s="3" t="s">
        <v>40</v>
      </c>
      <c r="M16">
        <v>1</v>
      </c>
    </row>
    <row r="17" spans="1:13" x14ac:dyDescent="0.35">
      <c r="A17" s="2">
        <v>46181</v>
      </c>
      <c r="B17" s="1" t="str">
        <f ca="1">IF(Información1[[#This Row],[Fecha]]='Ajuste de fechas'!$A$2,"Día actual","Día anterior")</f>
        <v>Día anterior</v>
      </c>
      <c r="C17" s="3" t="s">
        <v>50</v>
      </c>
      <c r="D17" t="s">
        <v>52</v>
      </c>
      <c r="E17" s="3" t="s">
        <v>122</v>
      </c>
      <c r="F17" s="3" t="s">
        <v>77</v>
      </c>
      <c r="G17" s="3" t="s">
        <v>121</v>
      </c>
      <c r="H17" s="3" t="s">
        <v>11</v>
      </c>
      <c r="I17" s="3" t="s">
        <v>12</v>
      </c>
      <c r="J17" s="3" t="s">
        <v>39</v>
      </c>
      <c r="K17" s="3" t="s">
        <v>49</v>
      </c>
      <c r="L17" s="3" t="s">
        <v>40</v>
      </c>
      <c r="M17">
        <v>1</v>
      </c>
    </row>
    <row r="18" spans="1:13" x14ac:dyDescent="0.35">
      <c r="A18" s="2">
        <v>46181</v>
      </c>
      <c r="B18" s="1" t="str">
        <f ca="1">IF(Información1[[#This Row],[Fecha]]='Ajuste de fechas'!$A$2,"Día actual","Día anterior")</f>
        <v>Día anterior</v>
      </c>
      <c r="C18" s="3" t="s">
        <v>50</v>
      </c>
      <c r="D18" t="s">
        <v>52</v>
      </c>
      <c r="E18" s="3" t="s">
        <v>123</v>
      </c>
      <c r="F18" s="3" t="s">
        <v>77</v>
      </c>
      <c r="G18" s="3" t="s">
        <v>121</v>
      </c>
      <c r="H18" s="3" t="s">
        <v>11</v>
      </c>
      <c r="I18" s="3" t="s">
        <v>12</v>
      </c>
      <c r="J18" s="3" t="s">
        <v>39</v>
      </c>
      <c r="K18" s="3" t="s">
        <v>49</v>
      </c>
      <c r="L18" s="3" t="s">
        <v>40</v>
      </c>
      <c r="M18">
        <v>1</v>
      </c>
    </row>
    <row r="19" spans="1:13" x14ac:dyDescent="0.35">
      <c r="A19" s="2">
        <v>46181</v>
      </c>
      <c r="B19" s="1" t="str">
        <f ca="1">IF(Información1[[#This Row],[Fecha]]='Ajuste de fechas'!$A$2,"Día actual","Día anterior")</f>
        <v>Día anterior</v>
      </c>
      <c r="C19" s="3" t="s">
        <v>50</v>
      </c>
      <c r="D19" t="s">
        <v>52</v>
      </c>
      <c r="E19" s="3" t="s">
        <v>124</v>
      </c>
      <c r="F19" s="3" t="s">
        <v>77</v>
      </c>
      <c r="G19" s="3" t="s">
        <v>121</v>
      </c>
      <c r="H19" s="3" t="s">
        <v>11</v>
      </c>
      <c r="I19" s="3" t="s">
        <v>7</v>
      </c>
      <c r="J19" s="3" t="s">
        <v>39</v>
      </c>
      <c r="K19" s="3" t="s">
        <v>49</v>
      </c>
      <c r="L19" s="3" t="s">
        <v>40</v>
      </c>
      <c r="M19">
        <v>1</v>
      </c>
    </row>
    <row r="20" spans="1:13" x14ac:dyDescent="0.35">
      <c r="A20" s="2">
        <v>46181</v>
      </c>
      <c r="B20" s="1" t="str">
        <f ca="1">IF(Información1[[#This Row],[Fecha]]='Ajuste de fechas'!$A$2,"Día actual","Día anterior")</f>
        <v>Día anterior</v>
      </c>
      <c r="C20" s="3" t="s">
        <v>50</v>
      </c>
      <c r="D20" t="s">
        <v>52</v>
      </c>
      <c r="E20" s="3" t="s">
        <v>125</v>
      </c>
      <c r="F20" s="3" t="s">
        <v>77</v>
      </c>
      <c r="G20" s="3" t="s">
        <v>121</v>
      </c>
      <c r="H20" s="3" t="s">
        <v>11</v>
      </c>
      <c r="I20" s="3" t="s">
        <v>12</v>
      </c>
      <c r="J20" s="3" t="s">
        <v>39</v>
      </c>
      <c r="K20" s="3" t="s">
        <v>51</v>
      </c>
      <c r="L20" s="3" t="s">
        <v>41</v>
      </c>
      <c r="M20">
        <v>1</v>
      </c>
    </row>
    <row r="21" spans="1:13" x14ac:dyDescent="0.35">
      <c r="A21" s="2">
        <v>46181</v>
      </c>
      <c r="B21" s="1" t="str">
        <f ca="1">IF(Información1[[#This Row],[Fecha]]='Ajuste de fechas'!$A$2,"Día actual","Día anterior")</f>
        <v>Día anterior</v>
      </c>
      <c r="C21" s="3" t="s">
        <v>50</v>
      </c>
      <c r="D21" t="s">
        <v>52</v>
      </c>
      <c r="E21" s="3" t="s">
        <v>119</v>
      </c>
      <c r="F21" s="3" t="s">
        <v>127</v>
      </c>
      <c r="G21" s="3" t="s">
        <v>53</v>
      </c>
      <c r="H21" s="3" t="s">
        <v>11</v>
      </c>
      <c r="I21" s="3" t="s">
        <v>7</v>
      </c>
      <c r="J21" s="3" t="s">
        <v>39</v>
      </c>
      <c r="K21" s="3" t="s">
        <v>51</v>
      </c>
      <c r="L21" s="3" t="s">
        <v>40</v>
      </c>
      <c r="M21">
        <v>1</v>
      </c>
    </row>
    <row r="22" spans="1:13" x14ac:dyDescent="0.35">
      <c r="A22" s="2">
        <v>46181</v>
      </c>
      <c r="B22" s="1" t="str">
        <f ca="1">IF(Información1[[#This Row],[Fecha]]='Ajuste de fechas'!$A$2,"Día actual","Día anterior")</f>
        <v>Día anterior</v>
      </c>
      <c r="C22" s="3" t="s">
        <v>50</v>
      </c>
      <c r="D22" t="s">
        <v>52</v>
      </c>
      <c r="E22" s="3" t="s">
        <v>128</v>
      </c>
      <c r="F22" s="3" t="s">
        <v>48</v>
      </c>
      <c r="G22" s="3" t="s">
        <v>129</v>
      </c>
      <c r="H22" s="3" t="s">
        <v>11</v>
      </c>
      <c r="I22" s="3" t="s">
        <v>7</v>
      </c>
      <c r="J22" s="3" t="s">
        <v>39</v>
      </c>
      <c r="K22" s="3" t="s">
        <v>51</v>
      </c>
      <c r="L22" s="3" t="s">
        <v>40</v>
      </c>
      <c r="M22">
        <v>1</v>
      </c>
    </row>
    <row r="23" spans="1:13" x14ac:dyDescent="0.35">
      <c r="A23" s="2">
        <v>46181</v>
      </c>
      <c r="B23" s="1" t="str">
        <f ca="1">IF(Información1[[#This Row],[Fecha]]='Ajuste de fechas'!$A$2,"Día actual","Día anterior")</f>
        <v>Día anterior</v>
      </c>
      <c r="C23" s="3" t="s">
        <v>50</v>
      </c>
      <c r="D23" t="s">
        <v>52</v>
      </c>
      <c r="E23" s="3" t="s">
        <v>130</v>
      </c>
      <c r="F23" s="3" t="s">
        <v>48</v>
      </c>
      <c r="G23" s="3" t="s">
        <v>131</v>
      </c>
      <c r="H23" s="3" t="s">
        <v>11</v>
      </c>
      <c r="I23" s="3" t="s">
        <v>7</v>
      </c>
      <c r="J23" s="3" t="s">
        <v>39</v>
      </c>
      <c r="K23" s="3" t="s">
        <v>51</v>
      </c>
      <c r="L23" s="3" t="s">
        <v>40</v>
      </c>
      <c r="M23">
        <v>1</v>
      </c>
    </row>
    <row r="24" spans="1:13" x14ac:dyDescent="0.35">
      <c r="A24" s="2">
        <v>46181</v>
      </c>
      <c r="B24" s="1" t="str">
        <f ca="1">IF(Información1[[#This Row],[Fecha]]='Ajuste de fechas'!$A$2,"Día actual","Día anterior")</f>
        <v>Día anterior</v>
      </c>
      <c r="C24" s="3" t="s">
        <v>28</v>
      </c>
      <c r="D24" t="s">
        <v>74</v>
      </c>
      <c r="E24" s="3" t="s">
        <v>132</v>
      </c>
      <c r="F24" s="3" t="s">
        <v>19</v>
      </c>
      <c r="G24" s="3" t="s">
        <v>133</v>
      </c>
      <c r="H24" s="3" t="s">
        <v>11</v>
      </c>
      <c r="I24" s="3" t="s">
        <v>25</v>
      </c>
      <c r="J24" s="3" t="s">
        <v>43</v>
      </c>
      <c r="K24" s="3" t="s">
        <v>75</v>
      </c>
      <c r="L24" s="3" t="s">
        <v>40</v>
      </c>
      <c r="M24">
        <v>1</v>
      </c>
    </row>
    <row r="25" spans="1:13" x14ac:dyDescent="0.35">
      <c r="A25" s="2">
        <v>46181</v>
      </c>
      <c r="B25" s="1" t="str">
        <f ca="1">IF(Información1[[#This Row],[Fecha]]='Ajuste de fechas'!$A$2,"Día actual","Día anterior")</f>
        <v>Día anterior</v>
      </c>
      <c r="C25" s="3" t="s">
        <v>28</v>
      </c>
      <c r="D25" t="s">
        <v>74</v>
      </c>
      <c r="E25" s="3" t="s">
        <v>134</v>
      </c>
      <c r="F25" s="3" t="s">
        <v>23</v>
      </c>
      <c r="G25" s="3" t="s">
        <v>133</v>
      </c>
      <c r="H25" s="3" t="s">
        <v>11</v>
      </c>
      <c r="I25" s="3" t="s">
        <v>25</v>
      </c>
      <c r="J25" s="3" t="s">
        <v>39</v>
      </c>
      <c r="K25" s="3" t="s">
        <v>75</v>
      </c>
      <c r="L25" s="3" t="s">
        <v>40</v>
      </c>
      <c r="M25">
        <v>1</v>
      </c>
    </row>
    <row r="26" spans="1:13" x14ac:dyDescent="0.35">
      <c r="A26" s="2">
        <v>46181</v>
      </c>
      <c r="B26" s="1" t="str">
        <f ca="1">IF(Información1[[#This Row],[Fecha]]='Ajuste de fechas'!$A$2,"Día actual","Día anterior")</f>
        <v>Día anterior</v>
      </c>
      <c r="C26" s="3" t="s">
        <v>28</v>
      </c>
      <c r="D26" t="s">
        <v>74</v>
      </c>
      <c r="E26" s="3" t="s">
        <v>135</v>
      </c>
      <c r="F26" s="3" t="s">
        <v>22</v>
      </c>
      <c r="G26" s="3" t="s">
        <v>90</v>
      </c>
      <c r="H26" s="3" t="s">
        <v>11</v>
      </c>
      <c r="I26" s="3" t="s">
        <v>25</v>
      </c>
      <c r="J26" s="3" t="s">
        <v>44</v>
      </c>
      <c r="K26" s="3" t="s">
        <v>75</v>
      </c>
      <c r="L26" s="3" t="s">
        <v>40</v>
      </c>
      <c r="M26">
        <v>1</v>
      </c>
    </row>
    <row r="27" spans="1:13" x14ac:dyDescent="0.35">
      <c r="A27" s="2">
        <v>46181</v>
      </c>
      <c r="B27" s="1" t="str">
        <f ca="1">IF(Información1[[#This Row],[Fecha]]='Ajuste de fechas'!$A$2,"Día actual","Día anterior")</f>
        <v>Día anterior</v>
      </c>
      <c r="C27" s="3" t="s">
        <v>28</v>
      </c>
      <c r="D27" t="s">
        <v>74</v>
      </c>
      <c r="E27" s="3" t="s">
        <v>136</v>
      </c>
      <c r="F27" s="3" t="s">
        <v>127</v>
      </c>
      <c r="G27" s="3" t="s">
        <v>137</v>
      </c>
      <c r="H27" s="3" t="s">
        <v>11</v>
      </c>
      <c r="I27" s="3" t="s">
        <v>7</v>
      </c>
      <c r="J27" s="3" t="s">
        <v>39</v>
      </c>
      <c r="K27" s="3" t="s">
        <v>75</v>
      </c>
      <c r="L27" s="3" t="s">
        <v>40</v>
      </c>
      <c r="M27">
        <v>1</v>
      </c>
    </row>
    <row r="28" spans="1:13" x14ac:dyDescent="0.35">
      <c r="A28" s="2">
        <v>46181</v>
      </c>
      <c r="B28" s="1" t="str">
        <f ca="1">IF(Información1[[#This Row],[Fecha]]='Ajuste de fechas'!$A$2,"Día actual","Día anterior")</f>
        <v>Día anterior</v>
      </c>
      <c r="C28" s="3" t="s">
        <v>28</v>
      </c>
      <c r="D28" t="s">
        <v>74</v>
      </c>
      <c r="E28" s="3" t="s">
        <v>138</v>
      </c>
      <c r="F28" s="3" t="s">
        <v>48</v>
      </c>
      <c r="G28" s="3" t="s">
        <v>139</v>
      </c>
      <c r="H28" s="3" t="s">
        <v>11</v>
      </c>
      <c r="I28" s="3" t="s">
        <v>7</v>
      </c>
      <c r="J28" s="3" t="s">
        <v>39</v>
      </c>
      <c r="K28" s="3" t="s">
        <v>75</v>
      </c>
      <c r="L28" s="3" t="s">
        <v>40</v>
      </c>
      <c r="M28">
        <v>1</v>
      </c>
    </row>
    <row r="29" spans="1:13" x14ac:dyDescent="0.35">
      <c r="A29" s="2">
        <v>46181</v>
      </c>
      <c r="B29" s="1" t="str">
        <f ca="1">IF(Información1[[#This Row],[Fecha]]='Ajuste de fechas'!$A$2,"Día actual","Día anterior")</f>
        <v>Día anterior</v>
      </c>
      <c r="C29" s="3" t="s">
        <v>28</v>
      </c>
      <c r="D29" t="s">
        <v>74</v>
      </c>
      <c r="E29" s="3" t="s">
        <v>140</v>
      </c>
      <c r="F29" s="3" t="s">
        <v>19</v>
      </c>
      <c r="G29" s="3" t="s">
        <v>141</v>
      </c>
      <c r="H29" s="3" t="s">
        <v>11</v>
      </c>
      <c r="I29" s="3" t="s">
        <v>7</v>
      </c>
      <c r="J29" s="3" t="s">
        <v>43</v>
      </c>
      <c r="K29" s="3" t="s">
        <v>75</v>
      </c>
      <c r="L29" s="3" t="s">
        <v>40</v>
      </c>
      <c r="M29">
        <v>1</v>
      </c>
    </row>
    <row r="30" spans="1:13" x14ac:dyDescent="0.35">
      <c r="A30" s="2">
        <v>46181</v>
      </c>
      <c r="B30" s="1" t="str">
        <f ca="1">IF(Información1[[#This Row],[Fecha]]='Ajuste de fechas'!$A$2,"Día actual","Día anterior")</f>
        <v>Día anterior</v>
      </c>
      <c r="C30" s="3" t="s">
        <v>28</v>
      </c>
      <c r="D30" t="s">
        <v>74</v>
      </c>
      <c r="E30" s="3" t="s">
        <v>142</v>
      </c>
      <c r="F30" s="3" t="s">
        <v>19</v>
      </c>
      <c r="G30" s="3" t="s">
        <v>143</v>
      </c>
      <c r="H30" s="3" t="s">
        <v>11</v>
      </c>
      <c r="I30" s="3" t="s">
        <v>7</v>
      </c>
      <c r="J30" s="3" t="s">
        <v>43</v>
      </c>
      <c r="K30" s="3" t="s">
        <v>75</v>
      </c>
      <c r="L30" s="3" t="s">
        <v>40</v>
      </c>
      <c r="M30">
        <v>1</v>
      </c>
    </row>
    <row r="31" spans="1:13" x14ac:dyDescent="0.35">
      <c r="A31" s="2">
        <v>46181</v>
      </c>
      <c r="B31" s="1" t="str">
        <f ca="1">IF(Información1[[#This Row],[Fecha]]='Ajuste de fechas'!$A$2,"Día actual","Día anterior")</f>
        <v>Día anterior</v>
      </c>
      <c r="C31" s="3" t="s">
        <v>28</v>
      </c>
      <c r="D31" t="s">
        <v>74</v>
      </c>
      <c r="E31" s="3" t="s">
        <v>144</v>
      </c>
      <c r="F31" s="3" t="s">
        <v>77</v>
      </c>
      <c r="G31" s="3" t="s">
        <v>121</v>
      </c>
      <c r="H31" s="3" t="s">
        <v>11</v>
      </c>
      <c r="I31" s="3" t="s">
        <v>7</v>
      </c>
      <c r="J31" s="3" t="s">
        <v>39</v>
      </c>
      <c r="K31" s="3" t="s">
        <v>75</v>
      </c>
      <c r="L31" s="3" t="s">
        <v>40</v>
      </c>
      <c r="M31">
        <v>1</v>
      </c>
    </row>
    <row r="32" spans="1:13" x14ac:dyDescent="0.35">
      <c r="A32" s="2">
        <v>46181</v>
      </c>
      <c r="B32" s="1" t="str">
        <f ca="1">IF(Información1[[#This Row],[Fecha]]='Ajuste de fechas'!$A$2,"Día actual","Día anterior")</f>
        <v>Día anterior</v>
      </c>
      <c r="C32" s="3" t="s">
        <v>28</v>
      </c>
      <c r="D32" t="s">
        <v>74</v>
      </c>
      <c r="E32" s="3" t="s">
        <v>145</v>
      </c>
      <c r="F32" s="3" t="s">
        <v>21</v>
      </c>
      <c r="G32" s="3" t="s">
        <v>121</v>
      </c>
      <c r="H32" s="3" t="s">
        <v>11</v>
      </c>
      <c r="I32" s="3" t="s">
        <v>7</v>
      </c>
      <c r="J32" s="3" t="s">
        <v>39</v>
      </c>
      <c r="K32" s="3" t="s">
        <v>75</v>
      </c>
      <c r="L32" s="3" t="s">
        <v>40</v>
      </c>
      <c r="M32">
        <v>1</v>
      </c>
    </row>
    <row r="33" spans="1:13" x14ac:dyDescent="0.35">
      <c r="A33" s="2">
        <v>46181</v>
      </c>
      <c r="B33" s="1" t="str">
        <f ca="1">IF(Información1[[#This Row],[Fecha]]='Ajuste de fechas'!$A$2,"Día actual","Día anterior")</f>
        <v>Día anterior</v>
      </c>
      <c r="C33" s="3" t="s">
        <v>28</v>
      </c>
      <c r="D33" t="s">
        <v>74</v>
      </c>
      <c r="E33" s="3" t="s">
        <v>146</v>
      </c>
      <c r="F33" s="3" t="s">
        <v>127</v>
      </c>
      <c r="G33" s="3" t="s">
        <v>121</v>
      </c>
      <c r="H33" s="3" t="s">
        <v>11</v>
      </c>
      <c r="I33" s="3" t="s">
        <v>7</v>
      </c>
      <c r="J33" s="3" t="s">
        <v>39</v>
      </c>
      <c r="K33" s="3" t="s">
        <v>75</v>
      </c>
      <c r="L33" s="3" t="s">
        <v>40</v>
      </c>
      <c r="M33">
        <v>1</v>
      </c>
    </row>
    <row r="34" spans="1:13" x14ac:dyDescent="0.35">
      <c r="A34" s="2">
        <v>46181</v>
      </c>
      <c r="B34" s="1" t="str">
        <f ca="1">IF(Información1[[#This Row],[Fecha]]='Ajuste de fechas'!$A$2,"Día actual","Día anterior")</f>
        <v>Día anterior</v>
      </c>
      <c r="C34" s="3" t="s">
        <v>28</v>
      </c>
      <c r="D34" t="s">
        <v>74</v>
      </c>
      <c r="E34" s="3" t="s">
        <v>147</v>
      </c>
      <c r="F34" s="3" t="s">
        <v>22</v>
      </c>
      <c r="G34" s="3" t="s">
        <v>53</v>
      </c>
      <c r="H34" s="3" t="s">
        <v>11</v>
      </c>
      <c r="I34" s="3" t="s">
        <v>7</v>
      </c>
      <c r="J34" s="3" t="s">
        <v>44</v>
      </c>
      <c r="K34" s="3" t="s">
        <v>75</v>
      </c>
      <c r="L34" s="3" t="s">
        <v>40</v>
      </c>
      <c r="M34">
        <v>1</v>
      </c>
    </row>
    <row r="35" spans="1:13" x14ac:dyDescent="0.35">
      <c r="A35" s="2">
        <v>46181</v>
      </c>
      <c r="B35" s="1" t="str">
        <f ca="1">IF(Información1[[#This Row],[Fecha]]='Ajuste de fechas'!$A$2,"Día actual","Día anterior")</f>
        <v>Día anterior</v>
      </c>
      <c r="C35" s="3" t="s">
        <v>28</v>
      </c>
      <c r="D35" t="s">
        <v>74</v>
      </c>
      <c r="E35" s="3" t="s">
        <v>148</v>
      </c>
      <c r="F35" s="3" t="s">
        <v>19</v>
      </c>
      <c r="G35" s="3" t="s">
        <v>149</v>
      </c>
      <c r="H35" s="3" t="s">
        <v>11</v>
      </c>
      <c r="I35" s="3" t="s">
        <v>7</v>
      </c>
      <c r="J35" s="3" t="s">
        <v>43</v>
      </c>
      <c r="K35" s="3" t="s">
        <v>75</v>
      </c>
      <c r="L35" s="3" t="s">
        <v>40</v>
      </c>
      <c r="M35">
        <v>1</v>
      </c>
    </row>
    <row r="36" spans="1:13" x14ac:dyDescent="0.35">
      <c r="A36" s="2">
        <v>46181</v>
      </c>
      <c r="B36" s="1" t="str">
        <f ca="1">IF(Información1[[#This Row],[Fecha]]='Ajuste de fechas'!$A$2,"Día actual","Día anterior")</f>
        <v>Día anterior</v>
      </c>
      <c r="C36" s="3" t="s">
        <v>28</v>
      </c>
      <c r="D36" t="s">
        <v>74</v>
      </c>
      <c r="E36" s="3" t="s">
        <v>150</v>
      </c>
      <c r="F36" s="3" t="s">
        <v>24</v>
      </c>
      <c r="G36" s="3" t="s">
        <v>149</v>
      </c>
      <c r="H36" s="3" t="s">
        <v>11</v>
      </c>
      <c r="I36" s="3" t="s">
        <v>7</v>
      </c>
      <c r="J36" s="3" t="s">
        <v>24</v>
      </c>
      <c r="K36" s="3" t="s">
        <v>75</v>
      </c>
      <c r="L36" s="3" t="s">
        <v>40</v>
      </c>
      <c r="M36">
        <v>1</v>
      </c>
    </row>
    <row r="37" spans="1:13" x14ac:dyDescent="0.35">
      <c r="A37" s="2">
        <v>46181</v>
      </c>
      <c r="B37" s="1" t="str">
        <f ca="1">IF(Información1[[#This Row],[Fecha]]='Ajuste de fechas'!$A$2,"Día actual","Día anterior")</f>
        <v>Día anterior</v>
      </c>
      <c r="C37" s="3" t="s">
        <v>28</v>
      </c>
      <c r="D37" t="s">
        <v>74</v>
      </c>
      <c r="E37" s="3" t="s">
        <v>151</v>
      </c>
      <c r="F37" s="3" t="s">
        <v>77</v>
      </c>
      <c r="G37" s="3" t="s">
        <v>149</v>
      </c>
      <c r="H37" s="3" t="s">
        <v>11</v>
      </c>
      <c r="I37" s="3" t="s">
        <v>7</v>
      </c>
      <c r="J37" s="3" t="s">
        <v>39</v>
      </c>
      <c r="K37" s="3" t="s">
        <v>75</v>
      </c>
      <c r="L37" s="3" t="s">
        <v>42</v>
      </c>
      <c r="M37">
        <v>1</v>
      </c>
    </row>
    <row r="38" spans="1:13" x14ac:dyDescent="0.35">
      <c r="A38" s="2">
        <v>46181</v>
      </c>
      <c r="B38" s="1" t="str">
        <f ca="1">IF(Información1[[#This Row],[Fecha]]='Ajuste de fechas'!$A$2,"Día actual","Día anterior")</f>
        <v>Día anterior</v>
      </c>
      <c r="C38" s="3" t="s">
        <v>8</v>
      </c>
      <c r="D38" t="s">
        <v>10</v>
      </c>
      <c r="E38" s="3" t="s">
        <v>152</v>
      </c>
      <c r="F38" s="3" t="s">
        <v>19</v>
      </c>
      <c r="G38" s="3" t="s">
        <v>153</v>
      </c>
      <c r="H38" s="3" t="s">
        <v>11</v>
      </c>
      <c r="I38" s="3" t="s">
        <v>25</v>
      </c>
      <c r="J38" s="3" t="s">
        <v>43</v>
      </c>
      <c r="K38" s="3" t="s">
        <v>9</v>
      </c>
      <c r="L38" s="3" t="s">
        <v>41</v>
      </c>
      <c r="M38">
        <v>1</v>
      </c>
    </row>
    <row r="39" spans="1:13" x14ac:dyDescent="0.35">
      <c r="A39" s="2">
        <v>46181</v>
      </c>
      <c r="B39" s="1" t="str">
        <f ca="1">IF(Información1[[#This Row],[Fecha]]='Ajuste de fechas'!$A$2,"Día actual","Día anterior")</f>
        <v>Día anterior</v>
      </c>
      <c r="C39" s="3" t="s">
        <v>8</v>
      </c>
      <c r="D39" t="s">
        <v>10</v>
      </c>
      <c r="E39" s="3" t="s">
        <v>154</v>
      </c>
      <c r="F39" s="3" t="s">
        <v>19</v>
      </c>
      <c r="G39" s="3" t="s">
        <v>92</v>
      </c>
      <c r="H39" s="3" t="s">
        <v>11</v>
      </c>
      <c r="I39" s="3" t="s">
        <v>25</v>
      </c>
      <c r="J39" s="3" t="s">
        <v>43</v>
      </c>
      <c r="K39" s="3" t="s">
        <v>9</v>
      </c>
      <c r="L39" s="3" t="s">
        <v>41</v>
      </c>
      <c r="M39">
        <v>1</v>
      </c>
    </row>
    <row r="40" spans="1:13" x14ac:dyDescent="0.35">
      <c r="A40" s="2">
        <v>46181</v>
      </c>
      <c r="B40" s="1" t="str">
        <f ca="1">IF(Información1[[#This Row],[Fecha]]='Ajuste de fechas'!$A$2,"Día actual","Día anterior")</f>
        <v>Día anterior</v>
      </c>
      <c r="C40" s="3" t="s">
        <v>8</v>
      </c>
      <c r="D40" t="s">
        <v>10</v>
      </c>
      <c r="E40" s="3" t="s">
        <v>155</v>
      </c>
      <c r="F40" s="3" t="s">
        <v>19</v>
      </c>
      <c r="G40" s="3" t="s">
        <v>156</v>
      </c>
      <c r="H40" s="3" t="s">
        <v>11</v>
      </c>
      <c r="I40" s="3" t="s">
        <v>25</v>
      </c>
      <c r="J40" s="3" t="s">
        <v>43</v>
      </c>
      <c r="K40" s="3" t="s">
        <v>9</v>
      </c>
      <c r="L40" s="3" t="s">
        <v>41</v>
      </c>
      <c r="M40">
        <v>1</v>
      </c>
    </row>
    <row r="41" spans="1:13" x14ac:dyDescent="0.35">
      <c r="A41" s="2">
        <v>46181</v>
      </c>
      <c r="B41" s="1" t="str">
        <f ca="1">IF(Información1[[#This Row],[Fecha]]='Ajuste de fechas'!$A$2,"Día actual","Día anterior")</f>
        <v>Día anterior</v>
      </c>
      <c r="C41" s="3" t="s">
        <v>8</v>
      </c>
      <c r="D41" t="s">
        <v>10</v>
      </c>
      <c r="E41" s="3" t="s">
        <v>157</v>
      </c>
      <c r="F41" s="3" t="s">
        <v>19</v>
      </c>
      <c r="G41" s="3" t="s">
        <v>156</v>
      </c>
      <c r="H41" s="3" t="s">
        <v>11</v>
      </c>
      <c r="I41" s="3" t="s">
        <v>25</v>
      </c>
      <c r="J41" s="3" t="s">
        <v>43</v>
      </c>
      <c r="K41" s="3" t="s">
        <v>9</v>
      </c>
      <c r="L41" s="3" t="s">
        <v>41</v>
      </c>
      <c r="M41">
        <v>1</v>
      </c>
    </row>
    <row r="42" spans="1:13" x14ac:dyDescent="0.35">
      <c r="A42" s="2">
        <v>46181</v>
      </c>
      <c r="B42" s="1" t="str">
        <f ca="1">IF(Información1[[#This Row],[Fecha]]='Ajuste de fechas'!$A$2,"Día actual","Día anterior")</f>
        <v>Día anterior</v>
      </c>
      <c r="C42" s="3" t="s">
        <v>8</v>
      </c>
      <c r="D42" t="s">
        <v>10</v>
      </c>
      <c r="E42" s="3" t="s">
        <v>158</v>
      </c>
      <c r="F42" s="3" t="s">
        <v>19</v>
      </c>
      <c r="G42" s="3" t="s">
        <v>68</v>
      </c>
      <c r="H42" s="3" t="s">
        <v>11</v>
      </c>
      <c r="I42" s="3" t="s">
        <v>25</v>
      </c>
      <c r="J42" s="3" t="s">
        <v>43</v>
      </c>
      <c r="K42" s="3" t="s">
        <v>9</v>
      </c>
      <c r="L42" s="3" t="s">
        <v>41</v>
      </c>
      <c r="M42">
        <v>1</v>
      </c>
    </row>
    <row r="43" spans="1:13" x14ac:dyDescent="0.35">
      <c r="A43" s="2">
        <v>46181</v>
      </c>
      <c r="B43" s="1" t="str">
        <f ca="1">IF(Información1[[#This Row],[Fecha]]='Ajuste de fechas'!$A$2,"Día actual","Día anterior")</f>
        <v>Día anterior</v>
      </c>
      <c r="C43" s="3" t="s">
        <v>8</v>
      </c>
      <c r="D43" t="s">
        <v>10</v>
      </c>
      <c r="E43" s="3" t="s">
        <v>159</v>
      </c>
      <c r="F43" s="3" t="s">
        <v>17</v>
      </c>
      <c r="G43" s="3" t="s">
        <v>160</v>
      </c>
      <c r="H43" s="3" t="s">
        <v>11</v>
      </c>
      <c r="I43" s="3" t="s">
        <v>25</v>
      </c>
      <c r="J43" s="3" t="s">
        <v>39</v>
      </c>
      <c r="K43" s="3" t="s">
        <v>9</v>
      </c>
      <c r="L43" s="3" t="s">
        <v>41</v>
      </c>
      <c r="M43">
        <v>1</v>
      </c>
    </row>
    <row r="44" spans="1:13" x14ac:dyDescent="0.35">
      <c r="A44" s="2">
        <v>46181</v>
      </c>
      <c r="B44" s="1" t="str">
        <f ca="1">IF(Información1[[#This Row],[Fecha]]='Ajuste de fechas'!$A$2,"Día actual","Día anterior")</f>
        <v>Día anterior</v>
      </c>
      <c r="C44" s="3" t="s">
        <v>8</v>
      </c>
      <c r="D44" t="s">
        <v>10</v>
      </c>
      <c r="E44" s="3" t="s">
        <v>161</v>
      </c>
      <c r="F44" s="3" t="s">
        <v>17</v>
      </c>
      <c r="G44" s="3" t="s">
        <v>162</v>
      </c>
      <c r="H44" s="3" t="s">
        <v>11</v>
      </c>
      <c r="I44" s="3" t="s">
        <v>25</v>
      </c>
      <c r="J44" s="3" t="s">
        <v>39</v>
      </c>
      <c r="K44" s="3" t="s">
        <v>9</v>
      </c>
      <c r="L44" s="3" t="s">
        <v>41</v>
      </c>
      <c r="M44">
        <v>1</v>
      </c>
    </row>
    <row r="45" spans="1:13" x14ac:dyDescent="0.35">
      <c r="A45" s="2">
        <v>46181</v>
      </c>
      <c r="B45" s="1" t="str">
        <f ca="1">IF(Información1[[#This Row],[Fecha]]='Ajuste de fechas'!$A$2,"Día actual","Día anterior")</f>
        <v>Día anterior</v>
      </c>
      <c r="C45" s="3" t="s">
        <v>8</v>
      </c>
      <c r="D45" t="s">
        <v>10</v>
      </c>
      <c r="E45" s="3" t="s">
        <v>163</v>
      </c>
      <c r="F45" s="3" t="s">
        <v>6</v>
      </c>
      <c r="G45" s="3" t="s">
        <v>80</v>
      </c>
      <c r="H45" s="3" t="s">
        <v>11</v>
      </c>
      <c r="I45" s="3" t="s">
        <v>25</v>
      </c>
      <c r="J45" s="3" t="s">
        <v>39</v>
      </c>
      <c r="K45" s="3" t="s">
        <v>9</v>
      </c>
      <c r="L45" s="3" t="s">
        <v>41</v>
      </c>
      <c r="M45">
        <v>1</v>
      </c>
    </row>
    <row r="46" spans="1:13" x14ac:dyDescent="0.35">
      <c r="A46" s="2">
        <v>46181</v>
      </c>
      <c r="B46" s="1" t="str">
        <f ca="1">IF(Información1[[#This Row],[Fecha]]='Ajuste de fechas'!$A$2,"Día actual","Día anterior")</f>
        <v>Día anterior</v>
      </c>
      <c r="C46" s="3" t="s">
        <v>8</v>
      </c>
      <c r="D46" t="s">
        <v>10</v>
      </c>
      <c r="E46" s="3" t="s">
        <v>164</v>
      </c>
      <c r="F46" s="3" t="s">
        <v>26</v>
      </c>
      <c r="G46" s="3" t="s">
        <v>165</v>
      </c>
      <c r="H46" s="3" t="s">
        <v>11</v>
      </c>
      <c r="I46" s="3" t="s">
        <v>25</v>
      </c>
      <c r="J46" s="3" t="s">
        <v>39</v>
      </c>
      <c r="K46" s="3" t="s">
        <v>9</v>
      </c>
      <c r="L46" s="3" t="s">
        <v>41</v>
      </c>
      <c r="M46">
        <v>1</v>
      </c>
    </row>
    <row r="47" spans="1:13" x14ac:dyDescent="0.35">
      <c r="A47" s="2">
        <v>46181</v>
      </c>
      <c r="B47" s="1" t="str">
        <f ca="1">IF(Información1[[#This Row],[Fecha]]='Ajuste de fechas'!$A$2,"Día actual","Día anterior")</f>
        <v>Día anterior</v>
      </c>
      <c r="C47" s="3" t="s">
        <v>8</v>
      </c>
      <c r="D47" t="s">
        <v>10</v>
      </c>
      <c r="E47" s="3" t="s">
        <v>166</v>
      </c>
      <c r="F47" s="3" t="s">
        <v>19</v>
      </c>
      <c r="G47" s="3" t="s">
        <v>79</v>
      </c>
      <c r="H47" s="3" t="s">
        <v>11</v>
      </c>
      <c r="I47" s="3" t="s">
        <v>7</v>
      </c>
      <c r="J47" s="3" t="s">
        <v>43</v>
      </c>
      <c r="K47" s="3" t="s">
        <v>14</v>
      </c>
      <c r="L47" s="3" t="s">
        <v>40</v>
      </c>
      <c r="M47">
        <v>1</v>
      </c>
    </row>
    <row r="48" spans="1:13" x14ac:dyDescent="0.35">
      <c r="A48" s="2">
        <v>46181</v>
      </c>
      <c r="B48" s="1" t="str">
        <f ca="1">IF(Información1[[#This Row],[Fecha]]='Ajuste de fechas'!$A$2,"Día actual","Día anterior")</f>
        <v>Día anterior</v>
      </c>
      <c r="C48" s="3" t="s">
        <v>8</v>
      </c>
      <c r="D48" t="s">
        <v>10</v>
      </c>
      <c r="E48" s="3" t="s">
        <v>167</v>
      </c>
      <c r="F48" s="3" t="s">
        <v>22</v>
      </c>
      <c r="G48" s="3" t="s">
        <v>168</v>
      </c>
      <c r="H48" s="3" t="s">
        <v>11</v>
      </c>
      <c r="I48" s="3" t="s">
        <v>7</v>
      </c>
      <c r="J48" s="3" t="s">
        <v>44</v>
      </c>
      <c r="K48" s="3" t="s">
        <v>14</v>
      </c>
      <c r="L48" s="3" t="s">
        <v>40</v>
      </c>
      <c r="M48">
        <v>1</v>
      </c>
    </row>
    <row r="49" spans="1:13" x14ac:dyDescent="0.35">
      <c r="A49" s="2">
        <v>46181</v>
      </c>
      <c r="B49" s="1" t="str">
        <f ca="1">IF(Información1[[#This Row],[Fecha]]='Ajuste de fechas'!$A$2,"Día actual","Día anterior")</f>
        <v>Día anterior</v>
      </c>
      <c r="C49" s="3" t="s">
        <v>8</v>
      </c>
      <c r="D49" t="s">
        <v>10</v>
      </c>
      <c r="E49" s="3" t="s">
        <v>169</v>
      </c>
      <c r="F49" s="3" t="s">
        <v>57</v>
      </c>
      <c r="G49" s="3" t="s">
        <v>170</v>
      </c>
      <c r="H49" s="3" t="s">
        <v>11</v>
      </c>
      <c r="I49" s="3" t="s">
        <v>7</v>
      </c>
      <c r="J49" s="3" t="s">
        <v>39</v>
      </c>
      <c r="K49" s="3" t="s">
        <v>14</v>
      </c>
      <c r="L49" s="3" t="s">
        <v>40</v>
      </c>
      <c r="M49">
        <v>1</v>
      </c>
    </row>
    <row r="50" spans="1:13" x14ac:dyDescent="0.35">
      <c r="A50" s="2">
        <v>46181</v>
      </c>
      <c r="B50" s="1" t="str">
        <f ca="1">IF(Información1[[#This Row],[Fecha]]='Ajuste de fechas'!$A$2,"Día actual","Día anterior")</f>
        <v>Día anterior</v>
      </c>
      <c r="C50" s="3" t="s">
        <v>8</v>
      </c>
      <c r="D50" t="s">
        <v>10</v>
      </c>
      <c r="E50" s="3" t="s">
        <v>171</v>
      </c>
      <c r="F50" s="3" t="s">
        <v>21</v>
      </c>
      <c r="G50" s="3" t="s">
        <v>53</v>
      </c>
      <c r="H50" s="3" t="s">
        <v>11</v>
      </c>
      <c r="I50" s="3" t="s">
        <v>7</v>
      </c>
      <c r="J50" s="3" t="s">
        <v>39</v>
      </c>
      <c r="K50" s="3" t="s">
        <v>14</v>
      </c>
      <c r="L50" s="3" t="s">
        <v>40</v>
      </c>
      <c r="M50">
        <v>1</v>
      </c>
    </row>
    <row r="51" spans="1:13" x14ac:dyDescent="0.35">
      <c r="A51" s="2">
        <v>46181</v>
      </c>
      <c r="B51" s="1" t="str">
        <f ca="1">IF(Información1[[#This Row],[Fecha]]='Ajuste de fechas'!$A$2,"Día actual","Día anterior")</f>
        <v>Día anterior</v>
      </c>
      <c r="C51" s="3" t="s">
        <v>8</v>
      </c>
      <c r="D51" t="s">
        <v>10</v>
      </c>
      <c r="E51" s="3" t="s">
        <v>172</v>
      </c>
      <c r="F51" s="3" t="s">
        <v>83</v>
      </c>
      <c r="G51" s="3" t="s">
        <v>173</v>
      </c>
      <c r="H51" s="3" t="s">
        <v>11</v>
      </c>
      <c r="I51" s="3" t="s">
        <v>7</v>
      </c>
      <c r="J51" s="3" t="s">
        <v>39</v>
      </c>
      <c r="K51" s="3" t="s">
        <v>14</v>
      </c>
      <c r="L51" s="3" t="s">
        <v>42</v>
      </c>
      <c r="M51">
        <v>1</v>
      </c>
    </row>
    <row r="52" spans="1:13" x14ac:dyDescent="0.35">
      <c r="A52" s="2">
        <v>46181</v>
      </c>
      <c r="B52" s="1" t="str">
        <f ca="1">IF(Información1[[#This Row],[Fecha]]='Ajuste de fechas'!$A$2,"Día actual","Día anterior")</f>
        <v>Día anterior</v>
      </c>
      <c r="C52" s="3" t="s">
        <v>8</v>
      </c>
      <c r="D52" t="s">
        <v>10</v>
      </c>
      <c r="E52" s="3" t="s">
        <v>174</v>
      </c>
      <c r="F52" s="3" t="s">
        <v>23</v>
      </c>
      <c r="G52" s="3" t="s">
        <v>81</v>
      </c>
      <c r="H52" s="3" t="s">
        <v>11</v>
      </c>
      <c r="I52" s="3" t="s">
        <v>7</v>
      </c>
      <c r="J52" s="3" t="s">
        <v>39</v>
      </c>
      <c r="K52" s="3" t="s">
        <v>14</v>
      </c>
      <c r="L52" s="3" t="s">
        <v>40</v>
      </c>
      <c r="M52">
        <v>1</v>
      </c>
    </row>
    <row r="53" spans="1:13" x14ac:dyDescent="0.35">
      <c r="A53" s="2">
        <v>46181</v>
      </c>
      <c r="B53" s="1" t="str">
        <f ca="1">IF(Información1[[#This Row],[Fecha]]='Ajuste de fechas'!$A$2,"Día actual","Día anterior")</f>
        <v>Día anterior</v>
      </c>
      <c r="C53" s="3" t="s">
        <v>8</v>
      </c>
      <c r="D53" t="s">
        <v>10</v>
      </c>
      <c r="E53" s="3" t="s">
        <v>20</v>
      </c>
      <c r="F53" s="3" t="s">
        <v>19</v>
      </c>
      <c r="G53" s="3" t="s">
        <v>32</v>
      </c>
      <c r="H53" s="3" t="s">
        <v>11</v>
      </c>
      <c r="I53" s="3" t="s">
        <v>12</v>
      </c>
      <c r="J53" s="3" t="s">
        <v>43</v>
      </c>
      <c r="K53" s="3" t="s">
        <v>14</v>
      </c>
      <c r="L53" s="3" t="s">
        <v>41</v>
      </c>
      <c r="M53">
        <v>1</v>
      </c>
    </row>
    <row r="54" spans="1:13" x14ac:dyDescent="0.35">
      <c r="A54" s="2">
        <v>46181</v>
      </c>
      <c r="B54" s="1" t="str">
        <f ca="1">IF(Información1[[#This Row],[Fecha]]='Ajuste de fechas'!$A$2,"Día actual","Día anterior")</f>
        <v>Día anterior</v>
      </c>
      <c r="C54" s="3" t="s">
        <v>8</v>
      </c>
      <c r="D54" t="s">
        <v>10</v>
      </c>
      <c r="E54" s="3" t="s">
        <v>18</v>
      </c>
      <c r="F54" s="3" t="s">
        <v>19</v>
      </c>
      <c r="G54" s="3" t="s">
        <v>32</v>
      </c>
      <c r="H54" s="3" t="s">
        <v>11</v>
      </c>
      <c r="I54" s="3" t="s">
        <v>12</v>
      </c>
      <c r="J54" s="3" t="s">
        <v>43</v>
      </c>
      <c r="K54" s="3" t="s">
        <v>14</v>
      </c>
      <c r="L54" s="3" t="s">
        <v>41</v>
      </c>
      <c r="M54">
        <v>1</v>
      </c>
    </row>
    <row r="55" spans="1:13" x14ac:dyDescent="0.35">
      <c r="A55" s="2">
        <v>46181</v>
      </c>
      <c r="B55" s="1" t="str">
        <f ca="1">IF(Información1[[#This Row],[Fecha]]='Ajuste de fechas'!$A$2,"Día actual","Día anterior")</f>
        <v>Día anterior</v>
      </c>
      <c r="C55" s="3" t="s">
        <v>8</v>
      </c>
      <c r="D55" t="s">
        <v>10</v>
      </c>
      <c r="E55" s="3" t="s">
        <v>82</v>
      </c>
      <c r="F55" s="3" t="s">
        <v>56</v>
      </c>
      <c r="G55" s="3" t="s">
        <v>32</v>
      </c>
      <c r="H55" s="3" t="s">
        <v>11</v>
      </c>
      <c r="I55" s="3" t="s">
        <v>12</v>
      </c>
      <c r="J55" s="3" t="s">
        <v>24</v>
      </c>
      <c r="K55" s="3" t="s">
        <v>14</v>
      </c>
      <c r="L55" s="3" t="s">
        <v>41</v>
      </c>
      <c r="M55">
        <v>1</v>
      </c>
    </row>
    <row r="56" spans="1:13" x14ac:dyDescent="0.35">
      <c r="A56" s="2">
        <v>46181</v>
      </c>
      <c r="B56" s="1" t="str">
        <f ca="1">IF(Información1[[#This Row],[Fecha]]='Ajuste de fechas'!$A$2,"Día actual","Día anterior")</f>
        <v>Día anterior</v>
      </c>
      <c r="C56" s="3" t="s">
        <v>8</v>
      </c>
      <c r="D56" t="s">
        <v>10</v>
      </c>
      <c r="E56" s="3" t="s">
        <v>54</v>
      </c>
      <c r="F56" s="3" t="s">
        <v>21</v>
      </c>
      <c r="G56" s="3" t="s">
        <v>32</v>
      </c>
      <c r="H56" s="3" t="s">
        <v>11</v>
      </c>
      <c r="I56" s="3" t="s">
        <v>12</v>
      </c>
      <c r="J56" s="3" t="s">
        <v>39</v>
      </c>
      <c r="K56" s="3" t="s">
        <v>14</v>
      </c>
      <c r="L56" s="3" t="s">
        <v>41</v>
      </c>
      <c r="M56">
        <v>1</v>
      </c>
    </row>
    <row r="57" spans="1:13" x14ac:dyDescent="0.35">
      <c r="A57" s="2">
        <v>46181</v>
      </c>
      <c r="B57" s="1" t="str">
        <f ca="1">IF(Información1[[#This Row],[Fecha]]='Ajuste de fechas'!$A$2,"Día actual","Día anterior")</f>
        <v>Día anterior</v>
      </c>
      <c r="C57" s="3" t="s">
        <v>8</v>
      </c>
      <c r="D57" t="s">
        <v>10</v>
      </c>
      <c r="E57" s="3" t="s">
        <v>13</v>
      </c>
      <c r="F57" s="3" t="s">
        <v>15</v>
      </c>
      <c r="G57" s="3" t="s">
        <v>32</v>
      </c>
      <c r="H57" s="3" t="s">
        <v>11</v>
      </c>
      <c r="I57" s="3" t="s">
        <v>12</v>
      </c>
      <c r="J57" s="3" t="s">
        <v>39</v>
      </c>
      <c r="K57" s="3" t="s">
        <v>14</v>
      </c>
      <c r="L57" s="3" t="s">
        <v>41</v>
      </c>
      <c r="M57">
        <v>1</v>
      </c>
    </row>
    <row r="58" spans="1:13" x14ac:dyDescent="0.35">
      <c r="A58" s="2">
        <v>46181</v>
      </c>
      <c r="B58" s="1" t="str">
        <f ca="1">IF(Información1[[#This Row],[Fecha]]='Ajuste de fechas'!$A$2,"Día actual","Día anterior")</f>
        <v>Día anterior</v>
      </c>
      <c r="C58" s="3" t="s">
        <v>8</v>
      </c>
      <c r="D58" t="s">
        <v>10</v>
      </c>
      <c r="E58" s="3" t="s">
        <v>16</v>
      </c>
      <c r="F58" s="3" t="s">
        <v>17</v>
      </c>
      <c r="G58" s="3" t="s">
        <v>32</v>
      </c>
      <c r="H58" s="3" t="s">
        <v>11</v>
      </c>
      <c r="I58" s="3" t="s">
        <v>12</v>
      </c>
      <c r="J58" s="3" t="s">
        <v>39</v>
      </c>
      <c r="K58" s="3" t="s">
        <v>14</v>
      </c>
      <c r="L58" s="3" t="s">
        <v>41</v>
      </c>
      <c r="M58">
        <v>1</v>
      </c>
    </row>
    <row r="59" spans="1:13" x14ac:dyDescent="0.35">
      <c r="A59" s="2">
        <v>46181</v>
      </c>
      <c r="B59" s="1" t="str">
        <f ca="1">IF(Información1[[#This Row],[Fecha]]='Ajuste de fechas'!$A$2,"Día actual","Día anterior")</f>
        <v>Día anterior</v>
      </c>
      <c r="C59" s="3" t="s">
        <v>8</v>
      </c>
      <c r="D59" t="s">
        <v>10</v>
      </c>
      <c r="E59" s="3" t="s">
        <v>55</v>
      </c>
      <c r="F59" s="3" t="s">
        <v>6</v>
      </c>
      <c r="G59" s="3" t="s">
        <v>32</v>
      </c>
      <c r="H59" s="3" t="s">
        <v>11</v>
      </c>
      <c r="I59" s="3" t="s">
        <v>12</v>
      </c>
      <c r="J59" s="3" t="s">
        <v>39</v>
      </c>
      <c r="K59" s="3" t="s">
        <v>14</v>
      </c>
      <c r="L59" s="3" t="s">
        <v>41</v>
      </c>
      <c r="M59">
        <v>1</v>
      </c>
    </row>
    <row r="60" spans="1:13" x14ac:dyDescent="0.35">
      <c r="A60" s="2">
        <v>46181</v>
      </c>
      <c r="B60" s="1" t="str">
        <f ca="1">IF(Información1[[#This Row],[Fecha]]='Ajuste de fechas'!$A$2,"Día actual","Día anterior")</f>
        <v>Día anterior</v>
      </c>
      <c r="C60" s="3" t="s">
        <v>64</v>
      </c>
      <c r="D60" t="s">
        <v>65</v>
      </c>
      <c r="E60" s="3" t="s">
        <v>175</v>
      </c>
      <c r="F60" s="3" t="s">
        <v>23</v>
      </c>
      <c r="G60" s="3" t="s">
        <v>176</v>
      </c>
      <c r="H60" s="3" t="s">
        <v>11</v>
      </c>
      <c r="I60" s="3" t="s">
        <v>7</v>
      </c>
      <c r="J60" s="3" t="s">
        <v>39</v>
      </c>
      <c r="K60" s="3" t="s">
        <v>66</v>
      </c>
      <c r="L60" s="3" t="s">
        <v>40</v>
      </c>
      <c r="M60">
        <v>1</v>
      </c>
    </row>
    <row r="61" spans="1:13" x14ac:dyDescent="0.35">
      <c r="A61" s="2">
        <v>46181</v>
      </c>
      <c r="B61" s="1" t="str">
        <f ca="1">IF(Información1[[#This Row],[Fecha]]='Ajuste de fechas'!$A$2,"Día actual","Día anterior")</f>
        <v>Día anterior</v>
      </c>
      <c r="C61" s="3" t="s">
        <v>64</v>
      </c>
      <c r="D61" t="s">
        <v>65</v>
      </c>
      <c r="E61" s="3" t="s">
        <v>177</v>
      </c>
      <c r="F61" s="3" t="s">
        <v>21</v>
      </c>
      <c r="G61" s="3" t="s">
        <v>178</v>
      </c>
      <c r="H61" s="3" t="s">
        <v>11</v>
      </c>
      <c r="I61" s="3" t="s">
        <v>7</v>
      </c>
      <c r="J61" s="3" t="s">
        <v>39</v>
      </c>
      <c r="K61" s="3" t="s">
        <v>66</v>
      </c>
      <c r="L61" s="3" t="s">
        <v>42</v>
      </c>
      <c r="M61">
        <v>1</v>
      </c>
    </row>
    <row r="62" spans="1:13" x14ac:dyDescent="0.35">
      <c r="A62" s="2">
        <v>46181</v>
      </c>
      <c r="B62" s="1" t="str">
        <f ca="1">IF(Información1[[#This Row],[Fecha]]='Ajuste de fechas'!$A$2,"Día actual","Día anterior")</f>
        <v>Día anterior</v>
      </c>
      <c r="C62" s="3" t="s">
        <v>64</v>
      </c>
      <c r="D62" t="s">
        <v>65</v>
      </c>
      <c r="E62" s="3" t="s">
        <v>179</v>
      </c>
      <c r="F62" s="3" t="s">
        <v>19</v>
      </c>
      <c r="G62" s="3" t="s">
        <v>180</v>
      </c>
      <c r="H62" s="3" t="s">
        <v>11</v>
      </c>
      <c r="I62" s="3" t="s">
        <v>7</v>
      </c>
      <c r="J62" s="3" t="s">
        <v>43</v>
      </c>
      <c r="K62" s="3" t="s">
        <v>66</v>
      </c>
      <c r="L62" s="3" t="s">
        <v>40</v>
      </c>
      <c r="M62">
        <v>1</v>
      </c>
    </row>
    <row r="63" spans="1:13" x14ac:dyDescent="0.35">
      <c r="A63" s="2">
        <v>46181</v>
      </c>
      <c r="B63" s="1" t="str">
        <f ca="1">IF(Información1[[#This Row],[Fecha]]='Ajuste de fechas'!$A$2,"Día actual","Día anterior")</f>
        <v>Día anterior</v>
      </c>
      <c r="C63" s="3" t="s">
        <v>64</v>
      </c>
      <c r="D63" t="s">
        <v>65</v>
      </c>
      <c r="E63" s="3" t="s">
        <v>181</v>
      </c>
      <c r="F63" s="3" t="s">
        <v>48</v>
      </c>
      <c r="G63" s="3" t="s">
        <v>137</v>
      </c>
      <c r="H63" s="3" t="s">
        <v>11</v>
      </c>
      <c r="I63" s="3" t="s">
        <v>7</v>
      </c>
      <c r="J63" s="3" t="s">
        <v>39</v>
      </c>
      <c r="K63" s="3" t="s">
        <v>66</v>
      </c>
      <c r="L63" s="3" t="s">
        <v>40</v>
      </c>
      <c r="M63">
        <v>1</v>
      </c>
    </row>
    <row r="64" spans="1:13" x14ac:dyDescent="0.35">
      <c r="A64" s="2">
        <v>46181</v>
      </c>
      <c r="B64" s="1" t="str">
        <f ca="1">IF(Información1[[#This Row],[Fecha]]='Ajuste de fechas'!$A$2,"Día actual","Día anterior")</f>
        <v>Día anterior</v>
      </c>
      <c r="C64" s="3" t="s">
        <v>64</v>
      </c>
      <c r="D64" t="s">
        <v>65</v>
      </c>
      <c r="E64" s="3" t="s">
        <v>182</v>
      </c>
      <c r="F64" s="3" t="s">
        <v>19</v>
      </c>
      <c r="G64" s="3" t="s">
        <v>183</v>
      </c>
      <c r="H64" s="3" t="s">
        <v>11</v>
      </c>
      <c r="I64" s="3" t="s">
        <v>7</v>
      </c>
      <c r="J64" s="3" t="s">
        <v>43</v>
      </c>
      <c r="K64" s="3" t="s">
        <v>66</v>
      </c>
      <c r="L64" s="3" t="s">
        <v>40</v>
      </c>
      <c r="M64">
        <v>1</v>
      </c>
    </row>
    <row r="65" spans="1:13" x14ac:dyDescent="0.35">
      <c r="A65" s="2">
        <v>46181</v>
      </c>
      <c r="B65" s="1" t="str">
        <f ca="1">IF(Información1[[#This Row],[Fecha]]='Ajuste de fechas'!$A$2,"Día actual","Día anterior")</f>
        <v>Día anterior</v>
      </c>
      <c r="C65" s="3" t="s">
        <v>64</v>
      </c>
      <c r="D65" t="s">
        <v>65</v>
      </c>
      <c r="E65" s="3" t="s">
        <v>184</v>
      </c>
      <c r="F65" s="3" t="s">
        <v>48</v>
      </c>
      <c r="G65" s="3" t="s">
        <v>139</v>
      </c>
      <c r="H65" s="3" t="s">
        <v>11</v>
      </c>
      <c r="I65" s="3" t="s">
        <v>25</v>
      </c>
      <c r="J65" s="3" t="s">
        <v>39</v>
      </c>
      <c r="K65" s="3" t="s">
        <v>66</v>
      </c>
      <c r="L65" s="3" t="s">
        <v>40</v>
      </c>
      <c r="M65">
        <v>1</v>
      </c>
    </row>
    <row r="66" spans="1:13" x14ac:dyDescent="0.35">
      <c r="A66" s="2">
        <v>46181</v>
      </c>
      <c r="B66" s="1" t="str">
        <f ca="1">IF(Información1[[#This Row],[Fecha]]='Ajuste de fechas'!$A$2,"Día actual","Día anterior")</f>
        <v>Día anterior</v>
      </c>
      <c r="C66" s="3" t="s">
        <v>64</v>
      </c>
      <c r="D66" t="s">
        <v>65</v>
      </c>
      <c r="E66" s="3" t="s">
        <v>185</v>
      </c>
      <c r="F66" s="3" t="s">
        <v>48</v>
      </c>
      <c r="G66" s="3" t="s">
        <v>133</v>
      </c>
      <c r="H66" s="3" t="s">
        <v>11</v>
      </c>
      <c r="I66" s="3" t="s">
        <v>25</v>
      </c>
      <c r="J66" s="3" t="s">
        <v>39</v>
      </c>
      <c r="K66" s="3" t="s">
        <v>66</v>
      </c>
      <c r="L66" s="3" t="s">
        <v>40</v>
      </c>
      <c r="M66">
        <v>1</v>
      </c>
    </row>
    <row r="67" spans="1:13" x14ac:dyDescent="0.35">
      <c r="A67" s="2">
        <v>46181</v>
      </c>
      <c r="B67" s="1" t="str">
        <f ca="1">IF(Información1[[#This Row],[Fecha]]='Ajuste de fechas'!$A$2,"Día actual","Día anterior")</f>
        <v>Día anterior</v>
      </c>
      <c r="C67" s="3" t="s">
        <v>64</v>
      </c>
      <c r="D67" t="s">
        <v>65</v>
      </c>
      <c r="E67" s="3" t="s">
        <v>186</v>
      </c>
      <c r="F67" s="3" t="s">
        <v>23</v>
      </c>
      <c r="G67" s="3" t="s">
        <v>89</v>
      </c>
      <c r="H67" s="3" t="s">
        <v>11</v>
      </c>
      <c r="I67" s="3" t="s">
        <v>25</v>
      </c>
      <c r="J67" s="3" t="s">
        <v>39</v>
      </c>
      <c r="K67" s="3" t="s">
        <v>66</v>
      </c>
      <c r="L67" s="3" t="s">
        <v>41</v>
      </c>
      <c r="M67">
        <v>1</v>
      </c>
    </row>
    <row r="68" spans="1:13" x14ac:dyDescent="0.35">
      <c r="A68" s="2">
        <v>46181</v>
      </c>
      <c r="B68" s="1" t="str">
        <f ca="1">IF(Información1[[#This Row],[Fecha]]='Ajuste de fechas'!$A$2,"Día actual","Día anterior")</f>
        <v>Día anterior</v>
      </c>
      <c r="C68" s="3" t="s">
        <v>64</v>
      </c>
      <c r="D68" t="s">
        <v>65</v>
      </c>
      <c r="E68" s="3" t="s">
        <v>187</v>
      </c>
      <c r="F68" s="3" t="s">
        <v>15</v>
      </c>
      <c r="G68" s="3" t="s">
        <v>89</v>
      </c>
      <c r="H68" s="3" t="s">
        <v>11</v>
      </c>
      <c r="I68" s="3" t="s">
        <v>7</v>
      </c>
      <c r="J68" s="3" t="s">
        <v>39</v>
      </c>
      <c r="K68" s="3" t="s">
        <v>66</v>
      </c>
      <c r="L68" s="3" t="s">
        <v>40</v>
      </c>
      <c r="M68">
        <v>1</v>
      </c>
    </row>
    <row r="69" spans="1:13" x14ac:dyDescent="0.35">
      <c r="A69" s="2">
        <v>46181</v>
      </c>
      <c r="B69" s="1" t="str">
        <f ca="1">IF(Información1[[#This Row],[Fecha]]='Ajuste de fechas'!$A$2,"Día actual","Día anterior")</f>
        <v>Día anterior</v>
      </c>
      <c r="C69" s="3" t="s">
        <v>64</v>
      </c>
      <c r="D69" t="s">
        <v>65</v>
      </c>
      <c r="E69" s="3" t="s">
        <v>188</v>
      </c>
      <c r="F69" s="3" t="s">
        <v>22</v>
      </c>
      <c r="G69" s="3" t="s">
        <v>69</v>
      </c>
      <c r="H69" s="3" t="s">
        <v>11</v>
      </c>
      <c r="I69" s="3" t="s">
        <v>7</v>
      </c>
      <c r="J69" s="3" t="s">
        <v>44</v>
      </c>
      <c r="K69" s="3" t="s">
        <v>66</v>
      </c>
      <c r="L69" s="3" t="s">
        <v>40</v>
      </c>
      <c r="M69">
        <v>1</v>
      </c>
    </row>
    <row r="70" spans="1:13" x14ac:dyDescent="0.35">
      <c r="A70" s="2">
        <v>46181</v>
      </c>
      <c r="B70" s="1" t="str">
        <f ca="1">IF(Información1[[#This Row],[Fecha]]='Ajuste de fechas'!$A$2,"Día actual","Día anterior")</f>
        <v>Día anterior</v>
      </c>
      <c r="C70" s="3" t="s">
        <v>64</v>
      </c>
      <c r="D70" t="s">
        <v>65</v>
      </c>
      <c r="E70" s="3" t="s">
        <v>189</v>
      </c>
      <c r="F70" s="3" t="s">
        <v>190</v>
      </c>
      <c r="G70" s="3" t="s">
        <v>90</v>
      </c>
      <c r="H70" s="3" t="s">
        <v>11</v>
      </c>
      <c r="I70" s="3" t="s">
        <v>7</v>
      </c>
      <c r="J70" s="3" t="s">
        <v>24</v>
      </c>
      <c r="K70" s="3" t="s">
        <v>66</v>
      </c>
      <c r="L70" s="3" t="s">
        <v>40</v>
      </c>
      <c r="M70">
        <v>1</v>
      </c>
    </row>
    <row r="71" spans="1:13" x14ac:dyDescent="0.35">
      <c r="A71" s="2">
        <v>46181</v>
      </c>
      <c r="B71" s="1" t="str">
        <f ca="1">IF(Información1[[#This Row],[Fecha]]='Ajuste de fechas'!$A$2,"Día actual","Día anterior")</f>
        <v>Día anterior</v>
      </c>
      <c r="C71" s="3" t="s">
        <v>64</v>
      </c>
      <c r="D71" t="s">
        <v>65</v>
      </c>
      <c r="E71" s="3" t="s">
        <v>191</v>
      </c>
      <c r="F71" s="3" t="s">
        <v>190</v>
      </c>
      <c r="G71" s="3" t="s">
        <v>192</v>
      </c>
      <c r="H71" s="3" t="s">
        <v>11</v>
      </c>
      <c r="I71" s="3" t="s">
        <v>7</v>
      </c>
      <c r="J71" s="3" t="s">
        <v>24</v>
      </c>
      <c r="K71" s="3" t="s">
        <v>66</v>
      </c>
      <c r="L71" s="3" t="s">
        <v>40</v>
      </c>
      <c r="M71">
        <v>1</v>
      </c>
    </row>
    <row r="72" spans="1:13" x14ac:dyDescent="0.35">
      <c r="A72" s="2">
        <v>46181</v>
      </c>
      <c r="B72" s="1" t="str">
        <f ca="1">IF(Información1[[#This Row],[Fecha]]='Ajuste de fechas'!$A$2,"Día actual","Día anterior")</f>
        <v>Día anterior</v>
      </c>
      <c r="C72" s="3" t="s">
        <v>64</v>
      </c>
      <c r="D72" t="s">
        <v>65</v>
      </c>
      <c r="E72" s="3" t="s">
        <v>193</v>
      </c>
      <c r="F72" s="3" t="s">
        <v>26</v>
      </c>
      <c r="G72" s="3" t="s">
        <v>118</v>
      </c>
      <c r="H72" s="3" t="s">
        <v>11</v>
      </c>
      <c r="I72" s="3" t="s">
        <v>7</v>
      </c>
      <c r="J72" s="3" t="s">
        <v>39</v>
      </c>
      <c r="K72" s="3" t="s">
        <v>66</v>
      </c>
      <c r="L72" s="3" t="s">
        <v>40</v>
      </c>
      <c r="M72">
        <v>1</v>
      </c>
    </row>
    <row r="73" spans="1:13" x14ac:dyDescent="0.35">
      <c r="A73" s="2">
        <v>46181</v>
      </c>
      <c r="B73" s="1" t="str">
        <f ca="1">IF(Información1[[#This Row],[Fecha]]='Ajuste de fechas'!$A$2,"Día actual","Día anterior")</f>
        <v>Día anterior</v>
      </c>
      <c r="C73" s="3" t="s">
        <v>64</v>
      </c>
      <c r="D73" t="s">
        <v>65</v>
      </c>
      <c r="E73" s="3" t="s">
        <v>194</v>
      </c>
      <c r="F73" s="3" t="s">
        <v>26</v>
      </c>
      <c r="G73" s="3" t="s">
        <v>116</v>
      </c>
      <c r="H73" s="3" t="s">
        <v>11</v>
      </c>
      <c r="I73" s="3" t="s">
        <v>7</v>
      </c>
      <c r="J73" s="3" t="s">
        <v>39</v>
      </c>
      <c r="K73" s="3" t="s">
        <v>66</v>
      </c>
      <c r="L73" s="3" t="s">
        <v>42</v>
      </c>
      <c r="M73">
        <v>1</v>
      </c>
    </row>
    <row r="74" spans="1:13" x14ac:dyDescent="0.35">
      <c r="A74" s="2">
        <v>46181</v>
      </c>
      <c r="B74" s="1" t="str">
        <f ca="1">IF(Información1[[#This Row],[Fecha]]='Ajuste de fechas'!$A$2,"Día actual","Día anterior")</f>
        <v>Día anterior</v>
      </c>
      <c r="C74" s="3" t="s">
        <v>64</v>
      </c>
      <c r="D74" t="s">
        <v>65</v>
      </c>
      <c r="E74" s="3" t="s">
        <v>195</v>
      </c>
      <c r="F74" s="3" t="s">
        <v>21</v>
      </c>
      <c r="G74" s="3" t="s">
        <v>53</v>
      </c>
      <c r="H74" s="3" t="s">
        <v>11</v>
      </c>
      <c r="I74" s="3" t="s">
        <v>25</v>
      </c>
      <c r="J74" s="3" t="s">
        <v>39</v>
      </c>
      <c r="K74" s="3" t="s">
        <v>66</v>
      </c>
      <c r="L74" s="3" t="s">
        <v>41</v>
      </c>
      <c r="M74">
        <v>1</v>
      </c>
    </row>
    <row r="75" spans="1:13" x14ac:dyDescent="0.35">
      <c r="A75" s="2">
        <v>46181</v>
      </c>
      <c r="B75" s="1" t="str">
        <f ca="1">IF(Información1[[#This Row],[Fecha]]='Ajuste de fechas'!$A$2,"Día actual","Día anterior")</f>
        <v>Día anterior</v>
      </c>
      <c r="C75" s="3" t="s">
        <v>64</v>
      </c>
      <c r="D75" t="s">
        <v>65</v>
      </c>
      <c r="E75" s="3" t="s">
        <v>196</v>
      </c>
      <c r="F75" s="3" t="s">
        <v>21</v>
      </c>
      <c r="G75" s="3" t="s">
        <v>53</v>
      </c>
      <c r="H75" s="3" t="s">
        <v>11</v>
      </c>
      <c r="I75" s="3" t="s">
        <v>7</v>
      </c>
      <c r="J75" s="3" t="s">
        <v>39</v>
      </c>
      <c r="K75" s="3" t="s">
        <v>66</v>
      </c>
      <c r="L75" s="3" t="s">
        <v>40</v>
      </c>
      <c r="M75">
        <v>1</v>
      </c>
    </row>
    <row r="76" spans="1:13" x14ac:dyDescent="0.35">
      <c r="A76" s="2">
        <v>46181</v>
      </c>
      <c r="B76" s="1" t="str">
        <f ca="1">IF(Información1[[#This Row],[Fecha]]='Ajuste de fechas'!$A$2,"Día actual","Día anterior")</f>
        <v>Día anterior</v>
      </c>
      <c r="C76" s="3" t="s">
        <v>64</v>
      </c>
      <c r="D76" t="s">
        <v>65</v>
      </c>
      <c r="E76" s="3" t="s">
        <v>67</v>
      </c>
      <c r="F76" s="3" t="s">
        <v>19</v>
      </c>
      <c r="G76" s="3" t="s">
        <v>59</v>
      </c>
      <c r="H76" s="3" t="s">
        <v>11</v>
      </c>
      <c r="I76" s="3" t="s">
        <v>7</v>
      </c>
      <c r="J76" s="3" t="s">
        <v>43</v>
      </c>
      <c r="K76" s="3" t="s">
        <v>66</v>
      </c>
      <c r="L76" s="3" t="s">
        <v>40</v>
      </c>
      <c r="M76">
        <v>1</v>
      </c>
    </row>
    <row r="77" spans="1:13" x14ac:dyDescent="0.35">
      <c r="A77" s="2">
        <v>46181</v>
      </c>
      <c r="B77" s="1" t="str">
        <f ca="1">IF(Información1[[#This Row],[Fecha]]='Ajuste de fechas'!$A$2,"Día actual","Día anterior")</f>
        <v>Día anterior</v>
      </c>
      <c r="C77" s="3" t="s">
        <v>64</v>
      </c>
      <c r="D77" t="s">
        <v>65</v>
      </c>
      <c r="E77" s="3" t="s">
        <v>197</v>
      </c>
      <c r="F77" s="3" t="s">
        <v>19</v>
      </c>
      <c r="G77" s="3" t="s">
        <v>198</v>
      </c>
      <c r="H77" s="3" t="s">
        <v>11</v>
      </c>
      <c r="I77" s="3" t="s">
        <v>7</v>
      </c>
      <c r="J77" s="3" t="s">
        <v>43</v>
      </c>
      <c r="K77" s="3" t="s">
        <v>66</v>
      </c>
      <c r="L77" s="3" t="s">
        <v>40</v>
      </c>
      <c r="M77">
        <v>1</v>
      </c>
    </row>
    <row r="78" spans="1:13" x14ac:dyDescent="0.35">
      <c r="A78" s="2">
        <v>46181</v>
      </c>
      <c r="B78" s="1" t="str">
        <f ca="1">IF(Información1[[#This Row],[Fecha]]='Ajuste de fechas'!$A$2,"Día actual","Día anterior")</f>
        <v>Día anterior</v>
      </c>
      <c r="C78" s="3" t="s">
        <v>64</v>
      </c>
      <c r="D78" t="s">
        <v>65</v>
      </c>
      <c r="E78" s="3" t="s">
        <v>199</v>
      </c>
      <c r="F78" s="3" t="s">
        <v>200</v>
      </c>
      <c r="G78" s="3" t="s">
        <v>141</v>
      </c>
      <c r="H78" s="3" t="s">
        <v>11</v>
      </c>
      <c r="I78" s="3" t="s">
        <v>7</v>
      </c>
      <c r="J78" s="3" t="s">
        <v>24</v>
      </c>
      <c r="K78" s="3" t="s">
        <v>66</v>
      </c>
      <c r="L78" s="3" t="s">
        <v>40</v>
      </c>
      <c r="M78">
        <v>1</v>
      </c>
    </row>
    <row r="79" spans="1:13" x14ac:dyDescent="0.35">
      <c r="A79" s="2">
        <v>46181</v>
      </c>
      <c r="B79" s="1" t="str">
        <f ca="1">IF(Información1[[#This Row],[Fecha]]='Ajuste de fechas'!$A$2,"Día actual","Día anterior")</f>
        <v>Día anterior</v>
      </c>
      <c r="C79" s="3" t="s">
        <v>64</v>
      </c>
      <c r="D79" t="s">
        <v>65</v>
      </c>
      <c r="E79" s="3" t="s">
        <v>201</v>
      </c>
      <c r="F79" s="3" t="s">
        <v>19</v>
      </c>
      <c r="G79" s="3" t="s">
        <v>73</v>
      </c>
      <c r="H79" s="3" t="s">
        <v>11</v>
      </c>
      <c r="I79" s="3" t="s">
        <v>7</v>
      </c>
      <c r="J79" s="3" t="s">
        <v>43</v>
      </c>
      <c r="K79" s="3" t="s">
        <v>66</v>
      </c>
      <c r="L79" s="3" t="s">
        <v>40</v>
      </c>
      <c r="M79">
        <v>1</v>
      </c>
    </row>
    <row r="80" spans="1:13" x14ac:dyDescent="0.35">
      <c r="A80" s="2">
        <v>46181</v>
      </c>
      <c r="B80" s="1" t="str">
        <f ca="1">IF(Información1[[#This Row],[Fecha]]='Ajuste de fechas'!$A$2,"Día actual","Día anterior")</f>
        <v>Día anterior</v>
      </c>
      <c r="C80" s="3" t="s">
        <v>29</v>
      </c>
      <c r="D80" t="s">
        <v>30</v>
      </c>
      <c r="E80" s="3" t="s">
        <v>202</v>
      </c>
      <c r="F80" s="3" t="s">
        <v>22</v>
      </c>
      <c r="G80" s="3" t="s">
        <v>90</v>
      </c>
      <c r="H80" s="3" t="s">
        <v>60</v>
      </c>
      <c r="I80" s="3" t="s">
        <v>12</v>
      </c>
      <c r="J80" s="3" t="s">
        <v>44</v>
      </c>
      <c r="K80" s="3" t="s">
        <v>27</v>
      </c>
      <c r="L80" s="3" t="s">
        <v>40</v>
      </c>
      <c r="M80">
        <v>1</v>
      </c>
    </row>
    <row r="81" spans="1:13" x14ac:dyDescent="0.35">
      <c r="A81" s="2">
        <v>46181</v>
      </c>
      <c r="B81" s="1" t="str">
        <f ca="1">IF(Información1[[#This Row],[Fecha]]='Ajuste de fechas'!$A$2,"Día actual","Día anterior")</f>
        <v>Día anterior</v>
      </c>
      <c r="C81" s="3" t="s">
        <v>29</v>
      </c>
      <c r="D81" t="s">
        <v>30</v>
      </c>
      <c r="E81" s="3" t="s">
        <v>203</v>
      </c>
      <c r="F81" s="3" t="s">
        <v>126</v>
      </c>
      <c r="G81" s="3" t="s">
        <v>204</v>
      </c>
      <c r="H81" s="3" t="s">
        <v>60</v>
      </c>
      <c r="I81" s="3" t="s">
        <v>12</v>
      </c>
      <c r="J81" s="3" t="s">
        <v>39</v>
      </c>
      <c r="K81" s="3" t="s">
        <v>27</v>
      </c>
      <c r="L81" s="3" t="s">
        <v>41</v>
      </c>
      <c r="M81">
        <v>1</v>
      </c>
    </row>
    <row r="82" spans="1:13" x14ac:dyDescent="0.35">
      <c r="A82" s="2">
        <v>46181</v>
      </c>
      <c r="B82" s="1" t="str">
        <f ca="1">IF(Información1[[#This Row],[Fecha]]='Ajuste de fechas'!$A$2,"Día actual","Día anterior")</f>
        <v>Día anterior</v>
      </c>
      <c r="C82" s="3" t="s">
        <v>29</v>
      </c>
      <c r="D82" t="s">
        <v>30</v>
      </c>
      <c r="E82" s="3" t="s">
        <v>205</v>
      </c>
      <c r="F82" s="3" t="s">
        <v>21</v>
      </c>
      <c r="G82" s="3" t="s">
        <v>53</v>
      </c>
      <c r="H82" s="3" t="s">
        <v>60</v>
      </c>
      <c r="I82" s="3" t="s">
        <v>7</v>
      </c>
      <c r="J82" s="3" t="s">
        <v>39</v>
      </c>
      <c r="K82" s="3" t="s">
        <v>27</v>
      </c>
      <c r="L82" s="3" t="s">
        <v>40</v>
      </c>
      <c r="M82">
        <v>1</v>
      </c>
    </row>
    <row r="83" spans="1:13" x14ac:dyDescent="0.35">
      <c r="A83" s="2">
        <v>46181</v>
      </c>
      <c r="B83" s="1" t="str">
        <f ca="1">IF(Información1[[#This Row],[Fecha]]='Ajuste de fechas'!$A$2,"Día actual","Día anterior")</f>
        <v>Día anterior</v>
      </c>
      <c r="C83" s="3" t="s">
        <v>29</v>
      </c>
      <c r="D83" t="s">
        <v>30</v>
      </c>
      <c r="E83" s="3" t="s">
        <v>184</v>
      </c>
      <c r="F83" s="3" t="s">
        <v>48</v>
      </c>
      <c r="G83" s="3" t="s">
        <v>86</v>
      </c>
      <c r="H83" s="3" t="s">
        <v>60</v>
      </c>
      <c r="I83" s="3" t="s">
        <v>7</v>
      </c>
      <c r="J83" s="3" t="s">
        <v>39</v>
      </c>
      <c r="K83" s="3" t="s">
        <v>27</v>
      </c>
      <c r="L83" s="3" t="s">
        <v>40</v>
      </c>
      <c r="M83">
        <v>1</v>
      </c>
    </row>
    <row r="84" spans="1:13" x14ac:dyDescent="0.35">
      <c r="A84" s="2">
        <v>46181</v>
      </c>
      <c r="B84" s="1" t="str">
        <f ca="1">IF(Información1[[#This Row],[Fecha]]='Ajuste de fechas'!$A$2,"Día actual","Día anterior")</f>
        <v>Día anterior</v>
      </c>
      <c r="C84" s="3" t="s">
        <v>29</v>
      </c>
      <c r="D84" t="s">
        <v>30</v>
      </c>
      <c r="E84" s="3" t="s">
        <v>132</v>
      </c>
      <c r="F84" s="3" t="s">
        <v>19</v>
      </c>
      <c r="G84" s="3" t="s">
        <v>133</v>
      </c>
      <c r="H84" s="3" t="s">
        <v>60</v>
      </c>
      <c r="I84" s="3" t="s">
        <v>25</v>
      </c>
      <c r="J84" s="3" t="s">
        <v>43</v>
      </c>
      <c r="K84" s="3" t="s">
        <v>27</v>
      </c>
      <c r="L84" s="3" t="s">
        <v>40</v>
      </c>
      <c r="M84">
        <v>1</v>
      </c>
    </row>
    <row r="85" spans="1:13" x14ac:dyDescent="0.35">
      <c r="A85" s="2">
        <v>46181</v>
      </c>
      <c r="B85" s="1" t="str">
        <f ca="1">IF(Información1[[#This Row],[Fecha]]='Ajuste de fechas'!$A$2,"Día actual","Día anterior")</f>
        <v>Día anterior</v>
      </c>
      <c r="C85" s="3" t="s">
        <v>29</v>
      </c>
      <c r="D85" t="s">
        <v>30</v>
      </c>
      <c r="E85" s="3" t="s">
        <v>206</v>
      </c>
      <c r="F85" s="3" t="s">
        <v>19</v>
      </c>
      <c r="G85" s="3" t="s">
        <v>207</v>
      </c>
      <c r="H85" s="3" t="s">
        <v>60</v>
      </c>
      <c r="I85" s="3" t="s">
        <v>7</v>
      </c>
      <c r="J85" s="3" t="s">
        <v>43</v>
      </c>
      <c r="K85" s="3" t="s">
        <v>27</v>
      </c>
      <c r="L85" s="3" t="s">
        <v>40</v>
      </c>
      <c r="M85">
        <v>1</v>
      </c>
    </row>
    <row r="86" spans="1:13" x14ac:dyDescent="0.35">
      <c r="A86" s="2">
        <v>46181</v>
      </c>
      <c r="B86" s="1" t="str">
        <f ca="1">IF(Información1[[#This Row],[Fecha]]='Ajuste de fechas'!$A$2,"Día actual","Día anterior")</f>
        <v>Día anterior</v>
      </c>
      <c r="C86" s="3" t="s">
        <v>29</v>
      </c>
      <c r="D86" t="s">
        <v>30</v>
      </c>
      <c r="E86" s="3" t="s">
        <v>208</v>
      </c>
      <c r="F86" s="3" t="s">
        <v>48</v>
      </c>
      <c r="G86" s="3" t="s">
        <v>137</v>
      </c>
      <c r="H86" s="3" t="s">
        <v>60</v>
      </c>
      <c r="I86" s="3" t="s">
        <v>7</v>
      </c>
      <c r="J86" s="3" t="s">
        <v>39</v>
      </c>
      <c r="K86" s="3" t="s">
        <v>27</v>
      </c>
      <c r="L86" s="3" t="s">
        <v>40</v>
      </c>
      <c r="M86">
        <v>1</v>
      </c>
    </row>
    <row r="87" spans="1:13" x14ac:dyDescent="0.35">
      <c r="A87" s="2">
        <v>46181</v>
      </c>
      <c r="B87" s="1" t="str">
        <f ca="1">IF(Información1[[#This Row],[Fecha]]='Ajuste de fechas'!$A$2,"Día actual","Día anterior")</f>
        <v>Día anterior</v>
      </c>
      <c r="C87" s="3" t="s">
        <v>29</v>
      </c>
      <c r="D87" t="s">
        <v>30</v>
      </c>
      <c r="E87" s="3" t="s">
        <v>209</v>
      </c>
      <c r="F87" s="3" t="s">
        <v>15</v>
      </c>
      <c r="G87" s="3" t="s">
        <v>210</v>
      </c>
      <c r="H87" s="3" t="s">
        <v>60</v>
      </c>
      <c r="I87" s="3" t="s">
        <v>7</v>
      </c>
      <c r="J87" s="3" t="s">
        <v>39</v>
      </c>
      <c r="K87" s="3" t="s">
        <v>27</v>
      </c>
      <c r="L87" s="3" t="s">
        <v>42</v>
      </c>
      <c r="M87">
        <v>1</v>
      </c>
    </row>
    <row r="88" spans="1:13" x14ac:dyDescent="0.35">
      <c r="A88" s="2">
        <v>46181</v>
      </c>
      <c r="B88" s="1" t="str">
        <f ca="1">IF(Información1[[#This Row],[Fecha]]='Ajuste de fechas'!$A$2,"Día actual","Día anterior")</f>
        <v>Día anterior</v>
      </c>
      <c r="C88" s="3" t="s">
        <v>29</v>
      </c>
      <c r="D88" t="s">
        <v>30</v>
      </c>
      <c r="E88" s="3" t="s">
        <v>211</v>
      </c>
      <c r="F88" s="3" t="s">
        <v>21</v>
      </c>
      <c r="G88" s="3" t="s">
        <v>114</v>
      </c>
      <c r="H88" s="3" t="s">
        <v>60</v>
      </c>
      <c r="I88" s="3" t="s">
        <v>7</v>
      </c>
      <c r="J88" s="3" t="s">
        <v>39</v>
      </c>
      <c r="K88" s="3" t="s">
        <v>27</v>
      </c>
      <c r="L88" s="3" t="s">
        <v>42</v>
      </c>
      <c r="M88">
        <v>1</v>
      </c>
    </row>
    <row r="89" spans="1:13" x14ac:dyDescent="0.35">
      <c r="A89" s="2">
        <v>46181</v>
      </c>
      <c r="B89" s="1" t="str">
        <f ca="1">IF(Información1[[#This Row],[Fecha]]='Ajuste de fechas'!$A$2,"Día actual","Día anterior")</f>
        <v>Día anterior</v>
      </c>
      <c r="C89" s="3" t="s">
        <v>29</v>
      </c>
      <c r="D89" t="s">
        <v>30</v>
      </c>
      <c r="E89" s="3" t="s">
        <v>111</v>
      </c>
      <c r="F89" s="3" t="s">
        <v>21</v>
      </c>
      <c r="G89" s="3" t="s">
        <v>112</v>
      </c>
      <c r="H89" s="3" t="s">
        <v>60</v>
      </c>
      <c r="I89" s="3" t="s">
        <v>7</v>
      </c>
      <c r="J89" s="3" t="s">
        <v>39</v>
      </c>
      <c r="K89" s="3" t="s">
        <v>27</v>
      </c>
      <c r="L89" s="3" t="s">
        <v>42</v>
      </c>
      <c r="M89">
        <v>1</v>
      </c>
    </row>
    <row r="90" spans="1:13" x14ac:dyDescent="0.35">
      <c r="A90" s="2">
        <v>46181</v>
      </c>
      <c r="B90" s="1" t="str">
        <f ca="1">IF(Información1[[#This Row],[Fecha]]='Ajuste de fechas'!$A$2,"Día actual","Día anterior")</f>
        <v>Día anterior</v>
      </c>
      <c r="C90" s="3" t="s">
        <v>29</v>
      </c>
      <c r="D90" t="s">
        <v>30</v>
      </c>
      <c r="E90" s="3" t="s">
        <v>212</v>
      </c>
      <c r="F90" s="3" t="s">
        <v>15</v>
      </c>
      <c r="G90" s="3" t="s">
        <v>213</v>
      </c>
      <c r="H90" s="3" t="s">
        <v>60</v>
      </c>
      <c r="I90" s="3" t="s">
        <v>7</v>
      </c>
      <c r="J90" s="3" t="s">
        <v>39</v>
      </c>
      <c r="K90" s="3" t="s">
        <v>27</v>
      </c>
      <c r="L90" s="3" t="s">
        <v>40</v>
      </c>
      <c r="M90">
        <v>1</v>
      </c>
    </row>
    <row r="91" spans="1:13" x14ac:dyDescent="0.35">
      <c r="A91" s="2">
        <v>46181</v>
      </c>
      <c r="B91" s="1" t="str">
        <f ca="1">IF(Información1[[#This Row],[Fecha]]='Ajuste de fechas'!$A$2,"Día actual","Día anterior")</f>
        <v>Día anterior</v>
      </c>
      <c r="C91" s="3" t="s">
        <v>29</v>
      </c>
      <c r="D91" t="s">
        <v>30</v>
      </c>
      <c r="E91" s="3" t="s">
        <v>214</v>
      </c>
      <c r="F91" s="3" t="s">
        <v>22</v>
      </c>
      <c r="G91" s="3" t="s">
        <v>90</v>
      </c>
      <c r="H91" s="3" t="s">
        <v>60</v>
      </c>
      <c r="I91" s="3" t="s">
        <v>7</v>
      </c>
      <c r="J91" s="3" t="s">
        <v>44</v>
      </c>
      <c r="K91" s="3" t="s">
        <v>27</v>
      </c>
      <c r="L91" s="3" t="s">
        <v>40</v>
      </c>
      <c r="M91">
        <v>1</v>
      </c>
    </row>
    <row r="92" spans="1:13" x14ac:dyDescent="0.35">
      <c r="A92" s="2">
        <v>46181</v>
      </c>
      <c r="B92" s="1" t="str">
        <f ca="1">IF(Información1[[#This Row],[Fecha]]='Ajuste de fechas'!$A$2,"Día actual","Día anterior")</f>
        <v>Día anterior</v>
      </c>
      <c r="C92" s="3" t="s">
        <v>29</v>
      </c>
      <c r="D92" t="s">
        <v>30</v>
      </c>
      <c r="E92" s="3" t="s">
        <v>215</v>
      </c>
      <c r="F92" s="3" t="s">
        <v>15</v>
      </c>
      <c r="G92" s="3" t="s">
        <v>62</v>
      </c>
      <c r="H92" s="3" t="s">
        <v>60</v>
      </c>
      <c r="I92" s="3" t="s">
        <v>25</v>
      </c>
      <c r="J92" s="3" t="s">
        <v>39</v>
      </c>
      <c r="K92" s="3" t="s">
        <v>27</v>
      </c>
      <c r="L92" s="3" t="s">
        <v>41</v>
      </c>
      <c r="M92">
        <v>1</v>
      </c>
    </row>
    <row r="93" spans="1:13" x14ac:dyDescent="0.35">
      <c r="A93" s="2">
        <v>46181</v>
      </c>
      <c r="B93" s="1" t="str">
        <f ca="1">IF(Información1[[#This Row],[Fecha]]='Ajuste de fechas'!$A$2,"Día actual","Día anterior")</f>
        <v>Día anterior</v>
      </c>
      <c r="C93" s="3" t="s">
        <v>84</v>
      </c>
      <c r="D93" t="s">
        <v>85</v>
      </c>
      <c r="E93" s="3" t="s">
        <v>217</v>
      </c>
      <c r="F93" s="3" t="s">
        <v>23</v>
      </c>
      <c r="G93" s="3" t="s">
        <v>176</v>
      </c>
      <c r="H93" s="3" t="s">
        <v>60</v>
      </c>
      <c r="I93" s="3" t="s">
        <v>7</v>
      </c>
      <c r="J93" s="3" t="s">
        <v>39</v>
      </c>
      <c r="K93" s="3" t="s">
        <v>49</v>
      </c>
      <c r="L93" s="3" t="s">
        <v>42</v>
      </c>
      <c r="M93">
        <v>1</v>
      </c>
    </row>
    <row r="94" spans="1:13" x14ac:dyDescent="0.35">
      <c r="A94" s="2">
        <v>46181</v>
      </c>
      <c r="B94" s="1" t="str">
        <f ca="1">IF(Información1[[#This Row],[Fecha]]='Ajuste de fechas'!$A$2,"Día actual","Día anterior")</f>
        <v>Día anterior</v>
      </c>
      <c r="C94" s="3" t="s">
        <v>84</v>
      </c>
      <c r="D94" t="s">
        <v>85</v>
      </c>
      <c r="E94" s="3" t="s">
        <v>218</v>
      </c>
      <c r="F94" s="3" t="s">
        <v>77</v>
      </c>
      <c r="G94" s="3" t="s">
        <v>219</v>
      </c>
      <c r="H94" s="3" t="s">
        <v>60</v>
      </c>
      <c r="I94" s="3" t="s">
        <v>7</v>
      </c>
      <c r="J94" s="3" t="s">
        <v>39</v>
      </c>
      <c r="K94" s="3" t="s">
        <v>49</v>
      </c>
      <c r="L94" s="3" t="s">
        <v>42</v>
      </c>
      <c r="M94">
        <v>1</v>
      </c>
    </row>
    <row r="95" spans="1:13" x14ac:dyDescent="0.35">
      <c r="A95" s="2">
        <v>46181</v>
      </c>
      <c r="B95" s="1" t="str">
        <f ca="1">IF(Información1[[#This Row],[Fecha]]='Ajuste de fechas'!$A$2,"Día actual","Día anterior")</f>
        <v>Día anterior</v>
      </c>
      <c r="C95" s="3" t="s">
        <v>84</v>
      </c>
      <c r="D95" t="s">
        <v>85</v>
      </c>
      <c r="E95" s="3" t="s">
        <v>220</v>
      </c>
      <c r="F95" s="3" t="s">
        <v>26</v>
      </c>
      <c r="G95" s="3" t="s">
        <v>118</v>
      </c>
      <c r="H95" s="3" t="s">
        <v>60</v>
      </c>
      <c r="I95" s="3" t="s">
        <v>7</v>
      </c>
      <c r="J95" s="3" t="s">
        <v>39</v>
      </c>
      <c r="K95" s="3" t="s">
        <v>49</v>
      </c>
      <c r="L95" s="3" t="s">
        <v>40</v>
      </c>
      <c r="M95">
        <v>1</v>
      </c>
    </row>
    <row r="96" spans="1:13" x14ac:dyDescent="0.35">
      <c r="A96" s="2">
        <v>46181</v>
      </c>
      <c r="B96" s="1" t="str">
        <f ca="1">IF(Información1[[#This Row],[Fecha]]='Ajuste de fechas'!$A$2,"Día actual","Día anterior")</f>
        <v>Día anterior</v>
      </c>
      <c r="C96" s="3" t="s">
        <v>84</v>
      </c>
      <c r="D96" t="s">
        <v>85</v>
      </c>
      <c r="E96" s="3" t="s">
        <v>221</v>
      </c>
      <c r="F96" s="3" t="s">
        <v>48</v>
      </c>
      <c r="G96" s="3" t="s">
        <v>139</v>
      </c>
      <c r="H96" s="3" t="s">
        <v>60</v>
      </c>
      <c r="I96" s="3" t="s">
        <v>7</v>
      </c>
      <c r="J96" s="3" t="s">
        <v>39</v>
      </c>
      <c r="K96" s="3" t="s">
        <v>49</v>
      </c>
      <c r="L96" s="3" t="s">
        <v>40</v>
      </c>
      <c r="M96">
        <v>1</v>
      </c>
    </row>
    <row r="97" spans="1:13" x14ac:dyDescent="0.35">
      <c r="A97" s="2">
        <v>46181</v>
      </c>
      <c r="B97" s="1" t="str">
        <f ca="1">IF(Información1[[#This Row],[Fecha]]='Ajuste de fechas'!$A$2,"Día actual","Día anterior")</f>
        <v>Día anterior</v>
      </c>
      <c r="C97" s="3" t="s">
        <v>84</v>
      </c>
      <c r="D97" t="s">
        <v>85</v>
      </c>
      <c r="E97" s="3" t="s">
        <v>222</v>
      </c>
      <c r="F97" s="3" t="s">
        <v>19</v>
      </c>
      <c r="G97" s="3" t="s">
        <v>223</v>
      </c>
      <c r="H97" s="3" t="s">
        <v>60</v>
      </c>
      <c r="I97" s="3" t="s">
        <v>7</v>
      </c>
      <c r="J97" s="3" t="s">
        <v>43</v>
      </c>
      <c r="K97" s="3" t="s">
        <v>49</v>
      </c>
      <c r="L97" s="3" t="s">
        <v>40</v>
      </c>
      <c r="M97">
        <v>1</v>
      </c>
    </row>
    <row r="98" spans="1:13" x14ac:dyDescent="0.35">
      <c r="A98" s="2">
        <v>46181</v>
      </c>
      <c r="B98" s="1" t="str">
        <f ca="1">IF(Información1[[#This Row],[Fecha]]='Ajuste de fechas'!$A$2,"Día actual","Día anterior")</f>
        <v>Día anterior</v>
      </c>
      <c r="C98" s="3" t="s">
        <v>84</v>
      </c>
      <c r="D98" t="s">
        <v>85</v>
      </c>
      <c r="E98" s="3" t="s">
        <v>206</v>
      </c>
      <c r="F98" s="3" t="s">
        <v>19</v>
      </c>
      <c r="G98" s="3" t="s">
        <v>207</v>
      </c>
      <c r="H98" s="3" t="s">
        <v>60</v>
      </c>
      <c r="I98" s="3" t="s">
        <v>7</v>
      </c>
      <c r="J98" s="3" t="s">
        <v>43</v>
      </c>
      <c r="K98" s="3" t="s">
        <v>49</v>
      </c>
      <c r="L98" s="3" t="s">
        <v>40</v>
      </c>
      <c r="M98">
        <v>1</v>
      </c>
    </row>
    <row r="99" spans="1:13" x14ac:dyDescent="0.35">
      <c r="A99" s="2">
        <v>46182</v>
      </c>
      <c r="B99" s="1" t="str">
        <f ca="1">IF(Información1[[#This Row],[Fecha]]='Ajuste de fechas'!$A$2,"Día actual","Día anterior")</f>
        <v>Día actual</v>
      </c>
      <c r="C99" s="3" t="s">
        <v>84</v>
      </c>
      <c r="D99" t="s">
        <v>65</v>
      </c>
      <c r="E99" s="3" t="s">
        <v>229</v>
      </c>
      <c r="F99" s="3" t="s">
        <v>26</v>
      </c>
      <c r="G99" s="3" t="s">
        <v>91</v>
      </c>
      <c r="H99" s="3" t="s">
        <v>60</v>
      </c>
      <c r="I99" s="3" t="s">
        <v>7</v>
      </c>
      <c r="J99" s="3" t="s">
        <v>39</v>
      </c>
      <c r="K99" s="3" t="s">
        <v>49</v>
      </c>
      <c r="L99" s="3" t="s">
        <v>40</v>
      </c>
      <c r="M99">
        <v>1</v>
      </c>
    </row>
    <row r="100" spans="1:13" x14ac:dyDescent="0.35">
      <c r="A100" s="2">
        <v>46182</v>
      </c>
      <c r="B100" s="1" t="str">
        <f ca="1">IF(Información1[[#This Row],[Fecha]]='Ajuste de fechas'!$A$2,"Día actual","Día anterior")</f>
        <v>Día actual</v>
      </c>
      <c r="C100" s="3" t="s">
        <v>84</v>
      </c>
      <c r="D100" t="s">
        <v>65</v>
      </c>
      <c r="E100" s="3" t="s">
        <v>230</v>
      </c>
      <c r="F100" s="3" t="s">
        <v>26</v>
      </c>
      <c r="G100" s="3" t="s">
        <v>204</v>
      </c>
      <c r="H100" s="3" t="s">
        <v>60</v>
      </c>
      <c r="I100" s="3" t="s">
        <v>7</v>
      </c>
      <c r="J100" s="3" t="s">
        <v>39</v>
      </c>
      <c r="K100" s="3" t="s">
        <v>49</v>
      </c>
      <c r="L100" s="3" t="s">
        <v>40</v>
      </c>
      <c r="M100">
        <v>1</v>
      </c>
    </row>
    <row r="101" spans="1:13" x14ac:dyDescent="0.35">
      <c r="A101" s="2">
        <v>46182</v>
      </c>
      <c r="B101" s="1" t="str">
        <f ca="1">IF(Información1[[#This Row],[Fecha]]='Ajuste de fechas'!$A$2,"Día actual","Día anterior")</f>
        <v>Día actual</v>
      </c>
      <c r="C101" s="3" t="s">
        <v>84</v>
      </c>
      <c r="D101" t="s">
        <v>65</v>
      </c>
      <c r="E101" s="3" t="s">
        <v>231</v>
      </c>
      <c r="F101" s="3" t="s">
        <v>77</v>
      </c>
      <c r="G101" s="3" t="s">
        <v>121</v>
      </c>
      <c r="H101" s="3" t="s">
        <v>60</v>
      </c>
      <c r="I101" s="3" t="s">
        <v>7</v>
      </c>
      <c r="J101" s="3" t="s">
        <v>39</v>
      </c>
      <c r="K101" s="3" t="s">
        <v>49</v>
      </c>
      <c r="L101" s="3" t="s">
        <v>40</v>
      </c>
      <c r="M101">
        <v>1</v>
      </c>
    </row>
    <row r="102" spans="1:13" x14ac:dyDescent="0.35">
      <c r="A102" s="2">
        <v>46182</v>
      </c>
      <c r="B102" s="1" t="str">
        <f ca="1">IF(Información1[[#This Row],[Fecha]]='Ajuste de fechas'!$A$2,"Día actual","Día anterior")</f>
        <v>Día actual</v>
      </c>
      <c r="C102" s="3" t="s">
        <v>64</v>
      </c>
      <c r="D102" t="s">
        <v>65</v>
      </c>
      <c r="E102" s="3" t="s">
        <v>232</v>
      </c>
      <c r="F102" s="3" t="s">
        <v>83</v>
      </c>
      <c r="G102" s="3" t="s">
        <v>233</v>
      </c>
      <c r="H102" s="3" t="s">
        <v>11</v>
      </c>
      <c r="I102" s="3" t="s">
        <v>7</v>
      </c>
      <c r="J102" s="3" t="s">
        <v>39</v>
      </c>
      <c r="K102" s="3" t="s">
        <v>66</v>
      </c>
      <c r="L102" s="3" t="s">
        <v>42</v>
      </c>
      <c r="M102">
        <v>1</v>
      </c>
    </row>
    <row r="103" spans="1:13" x14ac:dyDescent="0.35">
      <c r="A103" s="2">
        <v>46182</v>
      </c>
      <c r="B103" s="1" t="str">
        <f ca="1">IF(Información1[[#This Row],[Fecha]]='Ajuste de fechas'!$A$2,"Día actual","Día anterior")</f>
        <v>Día actual</v>
      </c>
      <c r="C103" s="3" t="s">
        <v>64</v>
      </c>
      <c r="D103" t="s">
        <v>65</v>
      </c>
      <c r="E103" s="3" t="s">
        <v>234</v>
      </c>
      <c r="F103" s="3" t="s">
        <v>21</v>
      </c>
      <c r="G103" s="3" t="s">
        <v>235</v>
      </c>
      <c r="H103" s="3" t="s">
        <v>11</v>
      </c>
      <c r="I103" s="3" t="s">
        <v>7</v>
      </c>
      <c r="J103" s="3" t="s">
        <v>39</v>
      </c>
      <c r="K103" s="3" t="s">
        <v>66</v>
      </c>
      <c r="L103" s="3" t="s">
        <v>42</v>
      </c>
      <c r="M103">
        <v>1</v>
      </c>
    </row>
    <row r="104" spans="1:13" x14ac:dyDescent="0.35">
      <c r="A104" s="2">
        <v>46182</v>
      </c>
      <c r="B104" s="1" t="str">
        <f ca="1">IF(Información1[[#This Row],[Fecha]]='Ajuste de fechas'!$A$2,"Día actual","Día anterior")</f>
        <v>Día actual</v>
      </c>
      <c r="C104" s="3" t="s">
        <v>64</v>
      </c>
      <c r="D104" t="s">
        <v>65</v>
      </c>
      <c r="E104" s="3" t="s">
        <v>236</v>
      </c>
      <c r="F104" s="3" t="s">
        <v>19</v>
      </c>
      <c r="G104" s="3" t="s">
        <v>141</v>
      </c>
      <c r="H104" s="3" t="s">
        <v>11</v>
      </c>
      <c r="I104" s="3" t="s">
        <v>7</v>
      </c>
      <c r="J104" s="3" t="s">
        <v>43</v>
      </c>
      <c r="K104" s="3" t="s">
        <v>66</v>
      </c>
      <c r="L104" s="3" t="s">
        <v>40</v>
      </c>
      <c r="M104">
        <v>1</v>
      </c>
    </row>
    <row r="105" spans="1:13" x14ac:dyDescent="0.35">
      <c r="A105" s="2">
        <v>46182</v>
      </c>
      <c r="B105" s="1" t="str">
        <f ca="1">IF(Información1[[#This Row],[Fecha]]='Ajuste de fechas'!$A$2,"Día actual","Día anterior")</f>
        <v>Día actual</v>
      </c>
      <c r="C105" s="3" t="s">
        <v>64</v>
      </c>
      <c r="D105" t="s">
        <v>65</v>
      </c>
      <c r="E105" s="3" t="s">
        <v>237</v>
      </c>
      <c r="F105" s="3" t="s">
        <v>23</v>
      </c>
      <c r="G105" s="3" t="s">
        <v>176</v>
      </c>
      <c r="H105" s="3" t="s">
        <v>11</v>
      </c>
      <c r="I105" s="3" t="s">
        <v>7</v>
      </c>
      <c r="J105" s="3" t="s">
        <v>39</v>
      </c>
      <c r="K105" s="3" t="s">
        <v>66</v>
      </c>
      <c r="L105" s="3" t="s">
        <v>42</v>
      </c>
      <c r="M105">
        <v>1</v>
      </c>
    </row>
    <row r="106" spans="1:13" x14ac:dyDescent="0.35">
      <c r="A106" s="2">
        <v>46182</v>
      </c>
      <c r="B106" s="1" t="str">
        <f ca="1">IF(Información1[[#This Row],[Fecha]]='Ajuste de fechas'!$A$2,"Día actual","Día anterior")</f>
        <v>Día actual</v>
      </c>
      <c r="C106" s="3" t="s">
        <v>64</v>
      </c>
      <c r="D106" t="s">
        <v>65</v>
      </c>
      <c r="E106" s="3" t="s">
        <v>238</v>
      </c>
      <c r="F106" s="3" t="s">
        <v>19</v>
      </c>
      <c r="G106" s="3" t="s">
        <v>59</v>
      </c>
      <c r="H106" s="3" t="s">
        <v>11</v>
      </c>
      <c r="I106" s="3" t="s">
        <v>7</v>
      </c>
      <c r="J106" s="3" t="s">
        <v>43</v>
      </c>
      <c r="K106" s="3" t="s">
        <v>66</v>
      </c>
      <c r="L106" s="3" t="s">
        <v>40</v>
      </c>
      <c r="M106">
        <v>1</v>
      </c>
    </row>
    <row r="107" spans="1:13" x14ac:dyDescent="0.35">
      <c r="A107" s="2">
        <v>46182</v>
      </c>
      <c r="B107" s="1" t="str">
        <f ca="1">IF(Información1[[#This Row],[Fecha]]='Ajuste de fechas'!$A$2,"Día actual","Día anterior")</f>
        <v>Día actual</v>
      </c>
      <c r="C107" s="3" t="s">
        <v>64</v>
      </c>
      <c r="D107" t="s">
        <v>65</v>
      </c>
      <c r="E107" s="3" t="s">
        <v>239</v>
      </c>
      <c r="F107" s="3" t="s">
        <v>19</v>
      </c>
      <c r="G107" s="3" t="s">
        <v>59</v>
      </c>
      <c r="H107" s="3" t="s">
        <v>11</v>
      </c>
      <c r="I107" s="3" t="s">
        <v>7</v>
      </c>
      <c r="J107" s="3" t="s">
        <v>43</v>
      </c>
      <c r="K107" s="3" t="s">
        <v>66</v>
      </c>
      <c r="L107" s="3" t="s">
        <v>40</v>
      </c>
      <c r="M107">
        <v>1</v>
      </c>
    </row>
    <row r="108" spans="1:13" x14ac:dyDescent="0.35">
      <c r="A108" s="2">
        <v>46182</v>
      </c>
      <c r="B108" s="1" t="str">
        <f ca="1">IF(Información1[[#This Row],[Fecha]]='Ajuste de fechas'!$A$2,"Día actual","Día anterior")</f>
        <v>Día actual</v>
      </c>
      <c r="C108" s="3" t="s">
        <v>64</v>
      </c>
      <c r="D108" t="s">
        <v>65</v>
      </c>
      <c r="E108" s="3" t="s">
        <v>240</v>
      </c>
      <c r="F108" s="3" t="s">
        <v>17</v>
      </c>
      <c r="G108" s="3" t="s">
        <v>207</v>
      </c>
      <c r="H108" s="3" t="s">
        <v>11</v>
      </c>
      <c r="I108" s="3" t="s">
        <v>7</v>
      </c>
      <c r="J108" s="3" t="s">
        <v>39</v>
      </c>
      <c r="K108" s="3" t="s">
        <v>66</v>
      </c>
      <c r="L108" s="3" t="s">
        <v>40</v>
      </c>
      <c r="M108">
        <v>1</v>
      </c>
    </row>
    <row r="109" spans="1:13" x14ac:dyDescent="0.35">
      <c r="A109" s="2">
        <v>46182</v>
      </c>
      <c r="B109" s="1" t="str">
        <f ca="1">IF(Información1[[#This Row],[Fecha]]='Ajuste de fechas'!$A$2,"Día actual","Día anterior")</f>
        <v>Día actual</v>
      </c>
      <c r="C109" s="3" t="s">
        <v>64</v>
      </c>
      <c r="D109" t="s">
        <v>65</v>
      </c>
      <c r="E109" s="3" t="s">
        <v>241</v>
      </c>
      <c r="F109" s="3" t="s">
        <v>19</v>
      </c>
      <c r="G109" s="3" t="s">
        <v>86</v>
      </c>
      <c r="H109" s="3" t="s">
        <v>11</v>
      </c>
      <c r="I109" s="3" t="s">
        <v>7</v>
      </c>
      <c r="J109" s="3" t="s">
        <v>43</v>
      </c>
      <c r="K109" s="3" t="s">
        <v>66</v>
      </c>
      <c r="L109" s="3" t="s">
        <v>40</v>
      </c>
      <c r="M109">
        <v>1</v>
      </c>
    </row>
    <row r="110" spans="1:13" x14ac:dyDescent="0.35">
      <c r="A110" s="2">
        <v>46182</v>
      </c>
      <c r="B110" s="1" t="str">
        <f ca="1">IF(Información1[[#This Row],[Fecha]]='Ajuste de fechas'!$A$2,"Día actual","Día anterior")</f>
        <v>Día actual</v>
      </c>
      <c r="C110" s="3" t="s">
        <v>64</v>
      </c>
      <c r="D110" t="s">
        <v>65</v>
      </c>
      <c r="E110" s="3" t="s">
        <v>132</v>
      </c>
      <c r="F110" s="3" t="s">
        <v>48</v>
      </c>
      <c r="G110" s="3" t="s">
        <v>133</v>
      </c>
      <c r="H110" s="3" t="s">
        <v>11</v>
      </c>
      <c r="I110" s="3" t="s">
        <v>25</v>
      </c>
      <c r="J110" s="3" t="s">
        <v>39</v>
      </c>
      <c r="K110" s="3" t="s">
        <v>66</v>
      </c>
      <c r="L110" s="3" t="s">
        <v>40</v>
      </c>
      <c r="M110">
        <v>1</v>
      </c>
    </row>
    <row r="111" spans="1:13" x14ac:dyDescent="0.35">
      <c r="A111" s="2">
        <v>46182</v>
      </c>
      <c r="B111" s="1" t="str">
        <f ca="1">IF(Información1[[#This Row],[Fecha]]='Ajuste de fechas'!$A$2,"Día actual","Día anterior")</f>
        <v>Día actual</v>
      </c>
      <c r="C111" s="3" t="s">
        <v>64</v>
      </c>
      <c r="D111" t="s">
        <v>65</v>
      </c>
      <c r="E111" s="3" t="s">
        <v>242</v>
      </c>
      <c r="F111" s="3" t="s">
        <v>26</v>
      </c>
      <c r="G111" s="3" t="s">
        <v>243</v>
      </c>
      <c r="H111" s="3" t="s">
        <v>11</v>
      </c>
      <c r="I111" s="3" t="s">
        <v>7</v>
      </c>
      <c r="J111" s="3" t="s">
        <v>39</v>
      </c>
      <c r="K111" s="3" t="s">
        <v>66</v>
      </c>
      <c r="L111" s="3" t="s">
        <v>42</v>
      </c>
      <c r="M111">
        <v>1</v>
      </c>
    </row>
    <row r="112" spans="1:13" x14ac:dyDescent="0.35">
      <c r="A112" s="2">
        <v>46182</v>
      </c>
      <c r="B112" s="1" t="str">
        <f ca="1">IF(Información1[[#This Row],[Fecha]]='Ajuste de fechas'!$A$2,"Día actual","Día anterior")</f>
        <v>Día actual</v>
      </c>
      <c r="C112" s="3" t="s">
        <v>64</v>
      </c>
      <c r="D112" t="s">
        <v>65</v>
      </c>
      <c r="E112" s="3" t="s">
        <v>244</v>
      </c>
      <c r="F112" s="3" t="s">
        <v>22</v>
      </c>
      <c r="G112" s="3" t="s">
        <v>245</v>
      </c>
      <c r="H112" s="3" t="s">
        <v>11</v>
      </c>
      <c r="I112" s="3" t="s">
        <v>7</v>
      </c>
      <c r="J112" s="3" t="s">
        <v>44</v>
      </c>
      <c r="K112" s="3" t="s">
        <v>66</v>
      </c>
      <c r="L112" s="3" t="s">
        <v>40</v>
      </c>
      <c r="M112">
        <v>1</v>
      </c>
    </row>
    <row r="113" spans="1:13" x14ac:dyDescent="0.35">
      <c r="A113" s="2">
        <v>46182</v>
      </c>
      <c r="B113" s="1" t="str">
        <f ca="1">IF(Información1[[#This Row],[Fecha]]='Ajuste de fechas'!$A$2,"Día actual","Día anterior")</f>
        <v>Día actual</v>
      </c>
      <c r="C113" s="3" t="s">
        <v>64</v>
      </c>
      <c r="D113" t="s">
        <v>65</v>
      </c>
      <c r="E113" s="3" t="s">
        <v>246</v>
      </c>
      <c r="F113" s="3" t="s">
        <v>6</v>
      </c>
      <c r="G113" s="3" t="s">
        <v>247</v>
      </c>
      <c r="H113" s="3" t="s">
        <v>11</v>
      </c>
      <c r="I113" s="3" t="s">
        <v>7</v>
      </c>
      <c r="J113" s="3" t="s">
        <v>39</v>
      </c>
      <c r="K113" s="3" t="s">
        <v>66</v>
      </c>
      <c r="L113" s="3" t="s">
        <v>42</v>
      </c>
      <c r="M113">
        <v>1</v>
      </c>
    </row>
    <row r="114" spans="1:13" x14ac:dyDescent="0.35">
      <c r="A114" s="2">
        <v>46182</v>
      </c>
      <c r="B114" s="1" t="str">
        <f ca="1">IF(Información1[[#This Row],[Fecha]]='Ajuste de fechas'!$A$2,"Día actual","Día anterior")</f>
        <v>Día actual</v>
      </c>
      <c r="C114" s="3" t="s">
        <v>64</v>
      </c>
      <c r="D114" t="s">
        <v>65</v>
      </c>
      <c r="E114" s="3" t="s">
        <v>248</v>
      </c>
      <c r="F114" s="3" t="s">
        <v>19</v>
      </c>
      <c r="G114" s="3" t="s">
        <v>249</v>
      </c>
      <c r="H114" s="3" t="s">
        <v>11</v>
      </c>
      <c r="I114" s="3" t="s">
        <v>7</v>
      </c>
      <c r="J114" s="3" t="s">
        <v>43</v>
      </c>
      <c r="K114" s="3" t="s">
        <v>66</v>
      </c>
      <c r="L114" s="3" t="s">
        <v>40</v>
      </c>
      <c r="M114">
        <v>1</v>
      </c>
    </row>
    <row r="115" spans="1:13" x14ac:dyDescent="0.35">
      <c r="A115" s="2">
        <v>46182</v>
      </c>
      <c r="B115" s="1" t="str">
        <f ca="1">IF(Información1[[#This Row],[Fecha]]='Ajuste de fechas'!$A$2,"Día actual","Día anterior")</f>
        <v>Día actual</v>
      </c>
      <c r="C115" s="3" t="s">
        <v>64</v>
      </c>
      <c r="D115" t="s">
        <v>65</v>
      </c>
      <c r="E115" s="3" t="s">
        <v>250</v>
      </c>
      <c r="F115" s="3" t="s">
        <v>19</v>
      </c>
      <c r="G115" s="3" t="s">
        <v>251</v>
      </c>
      <c r="H115" s="3" t="s">
        <v>11</v>
      </c>
      <c r="I115" s="3" t="s">
        <v>7</v>
      </c>
      <c r="J115" s="3" t="s">
        <v>43</v>
      </c>
      <c r="K115" s="3" t="s">
        <v>66</v>
      </c>
      <c r="L115" s="3" t="s">
        <v>40</v>
      </c>
      <c r="M115">
        <v>1</v>
      </c>
    </row>
    <row r="116" spans="1:13" x14ac:dyDescent="0.35">
      <c r="A116" s="2">
        <v>46182</v>
      </c>
      <c r="B116" s="1" t="str">
        <f ca="1">IF(Información1[[#This Row],[Fecha]]='Ajuste de fechas'!$A$2,"Día actual","Día anterior")</f>
        <v>Día actual</v>
      </c>
      <c r="C116" s="3" t="s">
        <v>64</v>
      </c>
      <c r="D116" t="s">
        <v>65</v>
      </c>
      <c r="E116" s="3" t="s">
        <v>252</v>
      </c>
      <c r="F116" s="3" t="s">
        <v>22</v>
      </c>
      <c r="G116" s="3" t="s">
        <v>253</v>
      </c>
      <c r="H116" s="3" t="s">
        <v>11</v>
      </c>
      <c r="I116" s="3" t="s">
        <v>25</v>
      </c>
      <c r="J116" s="3" t="s">
        <v>44</v>
      </c>
      <c r="K116" s="3" t="s">
        <v>66</v>
      </c>
      <c r="L116" s="3" t="s">
        <v>40</v>
      </c>
      <c r="M116">
        <v>1</v>
      </c>
    </row>
    <row r="117" spans="1:13" x14ac:dyDescent="0.35">
      <c r="A117" s="2">
        <v>46182</v>
      </c>
      <c r="B117" s="1" t="str">
        <f ca="1">IF(Información1[[#This Row],[Fecha]]='Ajuste de fechas'!$A$2,"Día actual","Día anterior")</f>
        <v>Día actual</v>
      </c>
      <c r="C117" s="3" t="s">
        <v>64</v>
      </c>
      <c r="D117" t="s">
        <v>65</v>
      </c>
      <c r="E117" s="3" t="s">
        <v>254</v>
      </c>
      <c r="F117" s="3" t="s">
        <v>22</v>
      </c>
      <c r="G117" s="3" t="s">
        <v>255</v>
      </c>
      <c r="H117" s="3" t="s">
        <v>11</v>
      </c>
      <c r="I117" s="3" t="s">
        <v>25</v>
      </c>
      <c r="J117" s="3" t="s">
        <v>44</v>
      </c>
      <c r="K117" s="3" t="s">
        <v>66</v>
      </c>
      <c r="L117" s="3" t="s">
        <v>256</v>
      </c>
      <c r="M117">
        <v>1</v>
      </c>
    </row>
    <row r="118" spans="1:13" x14ac:dyDescent="0.35">
      <c r="A118" s="2">
        <v>46182</v>
      </c>
      <c r="B118" s="1" t="str">
        <f ca="1">IF(Información1[[#This Row],[Fecha]]='Ajuste de fechas'!$A$2,"Día actual","Día anterior")</f>
        <v>Día actual</v>
      </c>
      <c r="C118" s="3" t="s">
        <v>64</v>
      </c>
      <c r="D118" t="s">
        <v>65</v>
      </c>
      <c r="E118" s="3" t="s">
        <v>67</v>
      </c>
      <c r="F118" s="3" t="s">
        <v>19</v>
      </c>
      <c r="G118" s="3" t="s">
        <v>59</v>
      </c>
      <c r="H118" s="3" t="s">
        <v>11</v>
      </c>
      <c r="I118" s="3" t="s">
        <v>7</v>
      </c>
      <c r="J118" s="3" t="s">
        <v>43</v>
      </c>
      <c r="K118" s="3" t="s">
        <v>66</v>
      </c>
      <c r="L118" s="3" t="s">
        <v>40</v>
      </c>
      <c r="M118">
        <v>1</v>
      </c>
    </row>
    <row r="119" spans="1:13" x14ac:dyDescent="0.35">
      <c r="A119" s="2">
        <v>46182</v>
      </c>
      <c r="B119" s="1" t="str">
        <f ca="1">IF(Información1[[#This Row],[Fecha]]='Ajuste de fechas'!$A$2,"Día actual","Día anterior")</f>
        <v>Día actual</v>
      </c>
      <c r="C119" s="3" t="s">
        <v>64</v>
      </c>
      <c r="D119" t="s">
        <v>65</v>
      </c>
      <c r="E119" s="3" t="s">
        <v>257</v>
      </c>
      <c r="F119" s="3" t="s">
        <v>19</v>
      </c>
      <c r="G119" s="3" t="s">
        <v>258</v>
      </c>
      <c r="H119" s="3" t="s">
        <v>11</v>
      </c>
      <c r="I119" s="3" t="s">
        <v>7</v>
      </c>
      <c r="J119" s="3" t="s">
        <v>43</v>
      </c>
      <c r="K119" s="3" t="s">
        <v>66</v>
      </c>
      <c r="L119" s="3" t="s">
        <v>40</v>
      </c>
      <c r="M119">
        <v>1</v>
      </c>
    </row>
    <row r="120" spans="1:13" x14ac:dyDescent="0.35">
      <c r="A120" s="2">
        <v>46182</v>
      </c>
      <c r="B120" s="1" t="str">
        <f ca="1">IF(Información1[[#This Row],[Fecha]]='Ajuste de fechas'!$A$2,"Día actual","Día anterior")</f>
        <v>Día actual</v>
      </c>
      <c r="C120" s="3" t="s">
        <v>64</v>
      </c>
      <c r="D120" t="s">
        <v>65</v>
      </c>
      <c r="E120" s="3" t="s">
        <v>259</v>
      </c>
      <c r="F120" s="3" t="s">
        <v>22</v>
      </c>
      <c r="G120" s="3" t="s">
        <v>90</v>
      </c>
      <c r="H120" s="3" t="s">
        <v>11</v>
      </c>
      <c r="I120" s="3" t="s">
        <v>7</v>
      </c>
      <c r="J120" s="3" t="s">
        <v>44</v>
      </c>
      <c r="K120" s="3" t="s">
        <v>66</v>
      </c>
      <c r="L120" s="3" t="s">
        <v>40</v>
      </c>
      <c r="M120">
        <v>1</v>
      </c>
    </row>
    <row r="121" spans="1:13" x14ac:dyDescent="0.35">
      <c r="A121" s="2">
        <v>46182</v>
      </c>
      <c r="B121" s="1" t="str">
        <f ca="1">IF(Información1[[#This Row],[Fecha]]='Ajuste de fechas'!$A$2,"Día actual","Día anterior")</f>
        <v>Día actual</v>
      </c>
      <c r="C121" s="3" t="s">
        <v>64</v>
      </c>
      <c r="D121" t="s">
        <v>65</v>
      </c>
      <c r="E121" s="3" t="s">
        <v>260</v>
      </c>
      <c r="F121" s="3" t="s">
        <v>56</v>
      </c>
      <c r="G121" s="3" t="s">
        <v>261</v>
      </c>
      <c r="H121" s="3" t="s">
        <v>11</v>
      </c>
      <c r="I121" s="3" t="s">
        <v>7</v>
      </c>
      <c r="J121" s="3" t="s">
        <v>24</v>
      </c>
      <c r="K121" s="3" t="s">
        <v>66</v>
      </c>
      <c r="L121" s="3" t="s">
        <v>40</v>
      </c>
      <c r="M121">
        <v>1</v>
      </c>
    </row>
    <row r="122" spans="1:13" x14ac:dyDescent="0.35">
      <c r="A122" s="2">
        <v>46182</v>
      </c>
      <c r="B122" s="1" t="str">
        <f ca="1">IF(Información1[[#This Row],[Fecha]]='Ajuste de fechas'!$A$2,"Día actual","Día anterior")</f>
        <v>Día actual</v>
      </c>
      <c r="C122" s="3" t="s">
        <v>64</v>
      </c>
      <c r="D122" t="s">
        <v>65</v>
      </c>
      <c r="E122" s="3" t="s">
        <v>262</v>
      </c>
      <c r="F122" s="3" t="s">
        <v>23</v>
      </c>
      <c r="G122" s="3" t="s">
        <v>263</v>
      </c>
      <c r="H122" s="3" t="s">
        <v>11</v>
      </c>
      <c r="I122" s="3" t="s">
        <v>7</v>
      </c>
      <c r="J122" s="3" t="s">
        <v>39</v>
      </c>
      <c r="K122" s="3" t="s">
        <v>66</v>
      </c>
      <c r="L122" s="3" t="s">
        <v>40</v>
      </c>
      <c r="M122">
        <v>1</v>
      </c>
    </row>
    <row r="123" spans="1:13" x14ac:dyDescent="0.35">
      <c r="A123" s="2">
        <v>46182</v>
      </c>
      <c r="B123" s="1" t="str">
        <f ca="1">IF(Información1[[#This Row],[Fecha]]='Ajuste de fechas'!$A$2,"Día actual","Día anterior")</f>
        <v>Día actual</v>
      </c>
      <c r="C123" s="3" t="s">
        <v>29</v>
      </c>
      <c r="D123" t="s">
        <v>30</v>
      </c>
      <c r="E123" s="3" t="s">
        <v>264</v>
      </c>
      <c r="F123" s="3" t="s">
        <v>19</v>
      </c>
      <c r="G123" s="3" t="s">
        <v>265</v>
      </c>
      <c r="H123" s="3" t="s">
        <v>60</v>
      </c>
      <c r="I123" s="3" t="s">
        <v>7</v>
      </c>
      <c r="J123" s="3" t="s">
        <v>43</v>
      </c>
      <c r="K123" s="3" t="s">
        <v>27</v>
      </c>
      <c r="L123" s="3" t="s">
        <v>40</v>
      </c>
      <c r="M123">
        <v>1</v>
      </c>
    </row>
    <row r="124" spans="1:13" x14ac:dyDescent="0.35">
      <c r="A124" s="2">
        <v>46182</v>
      </c>
      <c r="B124" s="1" t="str">
        <f ca="1">IF(Información1[[#This Row],[Fecha]]='Ajuste de fechas'!$A$2,"Día actual","Día anterior")</f>
        <v>Día actual</v>
      </c>
      <c r="C124" s="3" t="s">
        <v>29</v>
      </c>
      <c r="D124" t="s">
        <v>30</v>
      </c>
      <c r="E124" s="3" t="s">
        <v>266</v>
      </c>
      <c r="F124" s="3" t="s">
        <v>15</v>
      </c>
      <c r="G124" s="3" t="s">
        <v>267</v>
      </c>
      <c r="H124" s="3" t="s">
        <v>60</v>
      </c>
      <c r="I124" s="3" t="s">
        <v>7</v>
      </c>
      <c r="J124" s="3" t="s">
        <v>39</v>
      </c>
      <c r="K124" s="3" t="s">
        <v>268</v>
      </c>
      <c r="L124" s="3" t="s">
        <v>40</v>
      </c>
      <c r="M124">
        <v>1</v>
      </c>
    </row>
    <row r="125" spans="1:13" x14ac:dyDescent="0.35">
      <c r="A125" s="2">
        <v>46182</v>
      </c>
      <c r="B125" s="1" t="str">
        <f ca="1">IF(Información1[[#This Row],[Fecha]]='Ajuste de fechas'!$A$2,"Día actual","Día anterior")</f>
        <v>Día actual</v>
      </c>
      <c r="C125" s="3" t="s">
        <v>29</v>
      </c>
      <c r="D125" t="s">
        <v>30</v>
      </c>
      <c r="E125" s="3" t="s">
        <v>269</v>
      </c>
      <c r="F125" s="3" t="s">
        <v>56</v>
      </c>
      <c r="G125" s="3" t="s">
        <v>270</v>
      </c>
      <c r="H125" s="3" t="s">
        <v>60</v>
      </c>
      <c r="I125" s="3" t="s">
        <v>7</v>
      </c>
      <c r="J125" s="3" t="s">
        <v>24</v>
      </c>
      <c r="K125" s="3" t="s">
        <v>27</v>
      </c>
      <c r="L125" s="3" t="s">
        <v>41</v>
      </c>
      <c r="M125">
        <v>1</v>
      </c>
    </row>
    <row r="126" spans="1:13" x14ac:dyDescent="0.35">
      <c r="A126" s="2">
        <v>46182</v>
      </c>
      <c r="B126" s="1" t="str">
        <f ca="1">IF(Información1[[#This Row],[Fecha]]='Ajuste de fechas'!$A$2,"Día actual","Día anterior")</f>
        <v>Día actual</v>
      </c>
      <c r="C126" s="3" t="s">
        <v>29</v>
      </c>
      <c r="D126" t="s">
        <v>30</v>
      </c>
      <c r="E126" s="3" t="s">
        <v>271</v>
      </c>
      <c r="F126" s="3" t="s">
        <v>26</v>
      </c>
      <c r="G126" s="3" t="s">
        <v>61</v>
      </c>
      <c r="H126" s="3" t="s">
        <v>60</v>
      </c>
      <c r="I126" s="3" t="s">
        <v>7</v>
      </c>
      <c r="J126" s="3" t="s">
        <v>39</v>
      </c>
      <c r="K126" s="3" t="s">
        <v>27</v>
      </c>
      <c r="L126" s="3" t="s">
        <v>40</v>
      </c>
      <c r="M126">
        <v>1</v>
      </c>
    </row>
    <row r="127" spans="1:13" x14ac:dyDescent="0.35">
      <c r="A127" s="2">
        <v>46182</v>
      </c>
      <c r="B127" s="1" t="str">
        <f ca="1">IF(Información1[[#This Row],[Fecha]]='Ajuste de fechas'!$A$2,"Día actual","Día anterior")</f>
        <v>Día actual</v>
      </c>
      <c r="C127" s="3" t="s">
        <v>29</v>
      </c>
      <c r="D127" t="s">
        <v>30</v>
      </c>
      <c r="E127" s="3" t="s">
        <v>272</v>
      </c>
      <c r="F127" s="3" t="s">
        <v>17</v>
      </c>
      <c r="G127" s="3" t="s">
        <v>87</v>
      </c>
      <c r="H127" s="3" t="s">
        <v>60</v>
      </c>
      <c r="I127" s="3" t="s">
        <v>7</v>
      </c>
      <c r="J127" s="3" t="s">
        <v>39</v>
      </c>
      <c r="K127" s="3" t="s">
        <v>9</v>
      </c>
      <c r="L127" s="3" t="s">
        <v>41</v>
      </c>
      <c r="M127">
        <v>1</v>
      </c>
    </row>
    <row r="128" spans="1:13" x14ac:dyDescent="0.35">
      <c r="A128" s="2">
        <v>46182</v>
      </c>
      <c r="B128" s="1" t="str">
        <f ca="1">IF(Información1[[#This Row],[Fecha]]='Ajuste de fechas'!$A$2,"Día actual","Día anterior")</f>
        <v>Día actual</v>
      </c>
      <c r="C128" s="3" t="s">
        <v>29</v>
      </c>
      <c r="D128" t="s">
        <v>30</v>
      </c>
      <c r="E128" s="3" t="s">
        <v>273</v>
      </c>
      <c r="F128" s="3" t="s">
        <v>26</v>
      </c>
      <c r="G128" s="3" t="s">
        <v>89</v>
      </c>
      <c r="H128" s="3" t="s">
        <v>60</v>
      </c>
      <c r="I128" s="3" t="s">
        <v>7</v>
      </c>
      <c r="J128" s="3" t="s">
        <v>39</v>
      </c>
      <c r="K128" s="3" t="s">
        <v>27</v>
      </c>
      <c r="L128" s="3" t="s">
        <v>41</v>
      </c>
      <c r="M128">
        <v>1</v>
      </c>
    </row>
    <row r="129" spans="1:13" x14ac:dyDescent="0.35">
      <c r="A129" s="2">
        <v>46182</v>
      </c>
      <c r="B129" s="1" t="str">
        <f ca="1">IF(Información1[[#This Row],[Fecha]]='Ajuste de fechas'!$A$2,"Día actual","Día anterior")</f>
        <v>Día actual</v>
      </c>
      <c r="C129" s="3" t="s">
        <v>29</v>
      </c>
      <c r="D129" t="s">
        <v>30</v>
      </c>
      <c r="E129" s="3" t="s">
        <v>274</v>
      </c>
      <c r="F129" s="3" t="s">
        <v>275</v>
      </c>
      <c r="G129" s="3" t="s">
        <v>276</v>
      </c>
      <c r="H129" s="3" t="s">
        <v>60</v>
      </c>
      <c r="I129" s="3" t="s">
        <v>7</v>
      </c>
      <c r="J129" s="3" t="s">
        <v>277</v>
      </c>
      <c r="K129" s="3" t="s">
        <v>27</v>
      </c>
      <c r="L129" s="3" t="s">
        <v>41</v>
      </c>
      <c r="M129">
        <v>1</v>
      </c>
    </row>
    <row r="130" spans="1:13" x14ac:dyDescent="0.35">
      <c r="A130" s="2">
        <v>46182</v>
      </c>
      <c r="B130" s="1" t="str">
        <f ca="1">IF(Información1[[#This Row],[Fecha]]='Ajuste de fechas'!$A$2,"Día actual","Día anterior")</f>
        <v>Día actual</v>
      </c>
      <c r="C130" s="3" t="s">
        <v>29</v>
      </c>
      <c r="D130" t="s">
        <v>30</v>
      </c>
      <c r="E130" s="3" t="s">
        <v>274</v>
      </c>
      <c r="F130" s="3" t="s">
        <v>57</v>
      </c>
      <c r="G130" s="3" t="s">
        <v>270</v>
      </c>
      <c r="H130" s="3" t="s">
        <v>60</v>
      </c>
      <c r="I130" s="3" t="s">
        <v>7</v>
      </c>
      <c r="J130" s="3" t="s">
        <v>39</v>
      </c>
      <c r="K130" s="3" t="s">
        <v>27</v>
      </c>
      <c r="L130" s="3" t="s">
        <v>41</v>
      </c>
      <c r="M130">
        <v>1</v>
      </c>
    </row>
    <row r="131" spans="1:13" x14ac:dyDescent="0.35">
      <c r="A131" s="2">
        <v>46182</v>
      </c>
      <c r="B131" s="1" t="str">
        <f ca="1">IF(Información1[[#This Row],[Fecha]]='Ajuste de fechas'!$A$2,"Día actual","Día anterior")</f>
        <v>Día actual</v>
      </c>
      <c r="C131" s="3" t="s">
        <v>29</v>
      </c>
      <c r="D131" t="s">
        <v>30</v>
      </c>
      <c r="E131" s="3" t="s">
        <v>278</v>
      </c>
      <c r="F131" s="3" t="s">
        <v>19</v>
      </c>
      <c r="G131" s="3" t="s">
        <v>279</v>
      </c>
      <c r="H131" s="3" t="s">
        <v>60</v>
      </c>
      <c r="I131" s="3" t="s">
        <v>7</v>
      </c>
      <c r="J131" s="3" t="s">
        <v>43</v>
      </c>
      <c r="K131" s="3" t="s">
        <v>27</v>
      </c>
      <c r="L131" s="3" t="s">
        <v>40</v>
      </c>
      <c r="M131">
        <v>1</v>
      </c>
    </row>
    <row r="132" spans="1:13" x14ac:dyDescent="0.35">
      <c r="A132" s="2">
        <v>46182</v>
      </c>
      <c r="B132" s="1" t="str">
        <f ca="1">IF(Información1[[#This Row],[Fecha]]='Ajuste de fechas'!$A$2,"Día actual","Día anterior")</f>
        <v>Día actual</v>
      </c>
      <c r="C132" s="3" t="s">
        <v>29</v>
      </c>
      <c r="D132" t="s">
        <v>30</v>
      </c>
      <c r="E132" s="3" t="s">
        <v>280</v>
      </c>
      <c r="F132" s="3" t="s">
        <v>19</v>
      </c>
      <c r="G132" s="3" t="s">
        <v>281</v>
      </c>
      <c r="H132" s="3" t="s">
        <v>60</v>
      </c>
      <c r="I132" s="3" t="s">
        <v>7</v>
      </c>
      <c r="J132" s="3" t="s">
        <v>43</v>
      </c>
      <c r="K132" s="3" t="s">
        <v>27</v>
      </c>
      <c r="L132" s="3" t="s">
        <v>40</v>
      </c>
      <c r="M132">
        <v>1</v>
      </c>
    </row>
    <row r="133" spans="1:13" x14ac:dyDescent="0.35">
      <c r="A133" s="2">
        <v>46182</v>
      </c>
      <c r="B133" s="1" t="str">
        <f ca="1">IF(Información1[[#This Row],[Fecha]]='Ajuste de fechas'!$A$2,"Día actual","Día anterior")</f>
        <v>Día actual</v>
      </c>
      <c r="C133" s="3" t="s">
        <v>29</v>
      </c>
      <c r="D133" t="s">
        <v>30</v>
      </c>
      <c r="E133" s="3" t="s">
        <v>242</v>
      </c>
      <c r="F133" s="3" t="s">
        <v>26</v>
      </c>
      <c r="G133" s="3" t="s">
        <v>243</v>
      </c>
      <c r="H133" s="3" t="s">
        <v>60</v>
      </c>
      <c r="I133" s="3" t="s">
        <v>7</v>
      </c>
      <c r="J133" s="3" t="s">
        <v>39</v>
      </c>
      <c r="K133" s="3" t="s">
        <v>27</v>
      </c>
      <c r="L133" s="3" t="s">
        <v>42</v>
      </c>
      <c r="M133">
        <v>1</v>
      </c>
    </row>
    <row r="134" spans="1:13" x14ac:dyDescent="0.35">
      <c r="A134" s="2">
        <v>46182</v>
      </c>
      <c r="B134" s="1" t="str">
        <f ca="1">IF(Información1[[#This Row],[Fecha]]='Ajuste de fechas'!$A$2,"Día actual","Día anterior")</f>
        <v>Día actual</v>
      </c>
      <c r="C134" s="3" t="s">
        <v>29</v>
      </c>
      <c r="D134" t="s">
        <v>30</v>
      </c>
      <c r="E134" s="3" t="s">
        <v>282</v>
      </c>
      <c r="F134" s="3" t="s">
        <v>15</v>
      </c>
      <c r="G134" s="3" t="s">
        <v>283</v>
      </c>
      <c r="H134" s="3" t="s">
        <v>60</v>
      </c>
      <c r="I134" s="3" t="s">
        <v>25</v>
      </c>
      <c r="J134" s="3" t="s">
        <v>39</v>
      </c>
      <c r="K134" s="3" t="s">
        <v>27</v>
      </c>
      <c r="L134" s="3" t="s">
        <v>40</v>
      </c>
      <c r="M134">
        <v>1</v>
      </c>
    </row>
    <row r="135" spans="1:13" x14ac:dyDescent="0.35">
      <c r="A135" s="2">
        <v>46182</v>
      </c>
      <c r="B135" s="1" t="str">
        <f ca="1">IF(Información1[[#This Row],[Fecha]]='Ajuste de fechas'!$A$2,"Día actual","Día anterior")</f>
        <v>Día actual</v>
      </c>
      <c r="C135" s="3" t="s">
        <v>29</v>
      </c>
      <c r="D135" t="s">
        <v>30</v>
      </c>
      <c r="E135" s="3" t="s">
        <v>284</v>
      </c>
      <c r="F135" s="3" t="s">
        <v>26</v>
      </c>
      <c r="G135" s="3" t="s">
        <v>149</v>
      </c>
      <c r="H135" s="3" t="s">
        <v>60</v>
      </c>
      <c r="I135" s="3" t="s">
        <v>7</v>
      </c>
      <c r="J135" s="3" t="s">
        <v>39</v>
      </c>
      <c r="K135" s="3" t="s">
        <v>27</v>
      </c>
      <c r="L135" s="3" t="s">
        <v>40</v>
      </c>
      <c r="M135">
        <v>1</v>
      </c>
    </row>
    <row r="136" spans="1:13" x14ac:dyDescent="0.35">
      <c r="A136" s="2">
        <v>46182</v>
      </c>
      <c r="B136" s="1" t="str">
        <f ca="1">IF(Información1[[#This Row],[Fecha]]='Ajuste de fechas'!$A$2,"Día actual","Día anterior")</f>
        <v>Día actual</v>
      </c>
      <c r="C136" s="3" t="s">
        <v>29</v>
      </c>
      <c r="D136" t="s">
        <v>30</v>
      </c>
      <c r="E136" s="3" t="s">
        <v>285</v>
      </c>
      <c r="F136" s="3" t="s">
        <v>19</v>
      </c>
      <c r="G136" s="3" t="s">
        <v>59</v>
      </c>
      <c r="H136" s="3" t="s">
        <v>60</v>
      </c>
      <c r="I136" s="3" t="s">
        <v>25</v>
      </c>
      <c r="J136" s="3" t="s">
        <v>43</v>
      </c>
      <c r="K136" s="3" t="s">
        <v>27</v>
      </c>
      <c r="L136" s="3" t="s">
        <v>40</v>
      </c>
      <c r="M136">
        <v>1</v>
      </c>
    </row>
    <row r="137" spans="1:13" x14ac:dyDescent="0.35">
      <c r="A137" s="2">
        <v>46182</v>
      </c>
      <c r="B137" s="1" t="str">
        <f ca="1">IF(Información1[[#This Row],[Fecha]]='Ajuste de fechas'!$A$2,"Día actual","Día anterior")</f>
        <v>Día actual</v>
      </c>
      <c r="C137" s="3" t="s">
        <v>29</v>
      </c>
      <c r="D137" t="s">
        <v>30</v>
      </c>
      <c r="E137" s="3" t="s">
        <v>286</v>
      </c>
      <c r="F137" s="3" t="s">
        <v>15</v>
      </c>
      <c r="G137" s="3" t="s">
        <v>62</v>
      </c>
      <c r="H137" s="3" t="s">
        <v>60</v>
      </c>
      <c r="I137" s="3" t="s">
        <v>25</v>
      </c>
      <c r="J137" s="3" t="s">
        <v>39</v>
      </c>
      <c r="K137" s="3" t="s">
        <v>27</v>
      </c>
      <c r="L137" s="3" t="s">
        <v>41</v>
      </c>
      <c r="M137">
        <v>1</v>
      </c>
    </row>
    <row r="138" spans="1:13" x14ac:dyDescent="0.35">
      <c r="A138" s="2">
        <v>46182</v>
      </c>
      <c r="B138" s="1" t="str">
        <f ca="1">IF(Información1[[#This Row],[Fecha]]='Ajuste de fechas'!$A$2,"Día actual","Día anterior")</f>
        <v>Día actual</v>
      </c>
      <c r="C138" s="3" t="s">
        <v>29</v>
      </c>
      <c r="D138" t="s">
        <v>30</v>
      </c>
      <c r="E138" s="3" t="s">
        <v>287</v>
      </c>
      <c r="F138" s="3" t="s">
        <v>19</v>
      </c>
      <c r="G138" s="3" t="s">
        <v>207</v>
      </c>
      <c r="H138" s="3" t="s">
        <v>60</v>
      </c>
      <c r="I138" s="3" t="s">
        <v>7</v>
      </c>
      <c r="J138" s="3" t="s">
        <v>43</v>
      </c>
      <c r="K138" s="3" t="s">
        <v>27</v>
      </c>
      <c r="L138" s="3" t="s">
        <v>40</v>
      </c>
      <c r="M138">
        <v>1</v>
      </c>
    </row>
    <row r="139" spans="1:13" x14ac:dyDescent="0.35">
      <c r="A139" s="2">
        <v>46182</v>
      </c>
      <c r="B139" s="1" t="str">
        <f ca="1">IF(Información1[[#This Row],[Fecha]]='Ajuste de fechas'!$A$2,"Día actual","Día anterior")</f>
        <v>Día actual</v>
      </c>
      <c r="C139" s="3" t="s">
        <v>8</v>
      </c>
      <c r="D139" t="s">
        <v>10</v>
      </c>
      <c r="E139" s="3" t="s">
        <v>288</v>
      </c>
      <c r="F139" s="3" t="s">
        <v>57</v>
      </c>
      <c r="G139" s="3" t="s">
        <v>289</v>
      </c>
      <c r="H139" s="3" t="s">
        <v>11</v>
      </c>
      <c r="I139" s="3" t="s">
        <v>25</v>
      </c>
      <c r="J139" s="3" t="s">
        <v>39</v>
      </c>
      <c r="K139" s="3" t="s">
        <v>9</v>
      </c>
      <c r="L139" s="3" t="s">
        <v>41</v>
      </c>
      <c r="M139">
        <v>1</v>
      </c>
    </row>
    <row r="140" spans="1:13" x14ac:dyDescent="0.35">
      <c r="A140" s="2">
        <v>46182</v>
      </c>
      <c r="B140" s="1" t="str">
        <f ca="1">IF(Información1[[#This Row],[Fecha]]='Ajuste de fechas'!$A$2,"Día actual","Día anterior")</f>
        <v>Día actual</v>
      </c>
      <c r="C140" s="3" t="s">
        <v>8</v>
      </c>
      <c r="D140" t="s">
        <v>10</v>
      </c>
      <c r="E140" s="3" t="s">
        <v>290</v>
      </c>
      <c r="F140" s="3" t="s">
        <v>19</v>
      </c>
      <c r="G140" s="3" t="s">
        <v>92</v>
      </c>
      <c r="H140" s="3" t="s">
        <v>11</v>
      </c>
      <c r="I140" s="3" t="s">
        <v>25</v>
      </c>
      <c r="J140" s="3" t="s">
        <v>43</v>
      </c>
      <c r="K140" s="3" t="s">
        <v>9</v>
      </c>
      <c r="L140" s="3" t="s">
        <v>41</v>
      </c>
      <c r="M140">
        <v>1</v>
      </c>
    </row>
    <row r="141" spans="1:13" x14ac:dyDescent="0.35">
      <c r="A141" s="2">
        <v>46182</v>
      </c>
      <c r="B141" s="1" t="str">
        <f ca="1">IF(Información1[[#This Row],[Fecha]]='Ajuste de fechas'!$A$2,"Día actual","Día anterior")</f>
        <v>Día actual</v>
      </c>
      <c r="C141" s="3" t="s">
        <v>28</v>
      </c>
      <c r="D141" t="s">
        <v>74</v>
      </c>
      <c r="E141" s="3" t="s">
        <v>291</v>
      </c>
      <c r="F141" s="3" t="s">
        <v>24</v>
      </c>
      <c r="G141" s="3" t="s">
        <v>88</v>
      </c>
      <c r="H141" s="3" t="s">
        <v>11</v>
      </c>
      <c r="I141" s="3" t="s">
        <v>7</v>
      </c>
      <c r="J141" s="3" t="s">
        <v>24</v>
      </c>
      <c r="K141" s="3" t="s">
        <v>75</v>
      </c>
      <c r="L141" s="3" t="s">
        <v>40</v>
      </c>
      <c r="M141">
        <v>1</v>
      </c>
    </row>
    <row r="142" spans="1:13" x14ac:dyDescent="0.35">
      <c r="A142" s="2">
        <v>46182</v>
      </c>
      <c r="B142" s="1" t="str">
        <f ca="1">IF(Información1[[#This Row],[Fecha]]='Ajuste de fechas'!$A$2,"Día actual","Día anterior")</f>
        <v>Día actual</v>
      </c>
      <c r="C142" s="3" t="s">
        <v>28</v>
      </c>
      <c r="D142" t="s">
        <v>74</v>
      </c>
      <c r="E142" s="3" t="s">
        <v>292</v>
      </c>
      <c r="F142" s="3" t="s">
        <v>22</v>
      </c>
      <c r="G142" s="3" t="s">
        <v>88</v>
      </c>
      <c r="H142" s="3" t="s">
        <v>11</v>
      </c>
      <c r="I142" s="3" t="s">
        <v>7</v>
      </c>
      <c r="J142" s="3" t="s">
        <v>44</v>
      </c>
      <c r="K142" s="3" t="s">
        <v>75</v>
      </c>
      <c r="L142" s="3" t="s">
        <v>40</v>
      </c>
      <c r="M142">
        <v>1</v>
      </c>
    </row>
    <row r="143" spans="1:13" x14ac:dyDescent="0.35">
      <c r="A143" s="2">
        <v>46182</v>
      </c>
      <c r="B143" s="1" t="str">
        <f ca="1">IF(Información1[[#This Row],[Fecha]]='Ajuste de fechas'!$A$2,"Día actual","Día anterior")</f>
        <v>Día actual</v>
      </c>
      <c r="C143" s="3" t="s">
        <v>28</v>
      </c>
      <c r="D143" t="s">
        <v>74</v>
      </c>
      <c r="E143" s="3" t="s">
        <v>293</v>
      </c>
      <c r="F143" s="3" t="s">
        <v>15</v>
      </c>
      <c r="G143" s="3" t="s">
        <v>88</v>
      </c>
      <c r="H143" s="3" t="s">
        <v>11</v>
      </c>
      <c r="I143" s="3" t="s">
        <v>7</v>
      </c>
      <c r="J143" s="3" t="s">
        <v>39</v>
      </c>
      <c r="K143" s="3" t="s">
        <v>75</v>
      </c>
      <c r="L143" s="3" t="s">
        <v>40</v>
      </c>
      <c r="M143">
        <v>1</v>
      </c>
    </row>
    <row r="144" spans="1:13" x14ac:dyDescent="0.35">
      <c r="A144" s="2">
        <v>46182</v>
      </c>
      <c r="B144" s="1" t="str">
        <f ca="1">IF(Información1[[#This Row],[Fecha]]='Ajuste de fechas'!$A$2,"Día actual","Día anterior")</f>
        <v>Día actual</v>
      </c>
      <c r="C144" s="3" t="s">
        <v>8</v>
      </c>
      <c r="D144" t="s">
        <v>10</v>
      </c>
      <c r="E144" s="3" t="s">
        <v>294</v>
      </c>
      <c r="F144" s="3" t="s">
        <v>6</v>
      </c>
      <c r="G144" s="3" t="s">
        <v>295</v>
      </c>
      <c r="H144" s="3" t="s">
        <v>11</v>
      </c>
      <c r="I144" s="3" t="s">
        <v>7</v>
      </c>
      <c r="J144" s="3" t="s">
        <v>39</v>
      </c>
      <c r="K144" s="3" t="s">
        <v>9</v>
      </c>
      <c r="L144" s="3" t="s">
        <v>41</v>
      </c>
      <c r="M144">
        <v>1</v>
      </c>
    </row>
    <row r="145" spans="1:13" x14ac:dyDescent="0.35">
      <c r="A145" s="2">
        <v>46182</v>
      </c>
      <c r="B145" s="1" t="str">
        <f ca="1">IF(Información1[[#This Row],[Fecha]]='Ajuste de fechas'!$A$2,"Día actual","Día anterior")</f>
        <v>Día actual</v>
      </c>
      <c r="C145" s="3" t="s">
        <v>224</v>
      </c>
      <c r="D145" t="s">
        <v>225</v>
      </c>
      <c r="E145" s="3" t="s">
        <v>296</v>
      </c>
      <c r="F145" s="3" t="s">
        <v>297</v>
      </c>
      <c r="G145" s="3" t="s">
        <v>298</v>
      </c>
      <c r="H145" s="3" t="s">
        <v>11</v>
      </c>
      <c r="I145" s="3" t="s">
        <v>7</v>
      </c>
      <c r="J145" s="3" t="s">
        <v>39</v>
      </c>
      <c r="K145" s="3" t="s">
        <v>227</v>
      </c>
      <c r="L145" s="3" t="s">
        <v>42</v>
      </c>
      <c r="M145">
        <v>1</v>
      </c>
    </row>
    <row r="146" spans="1:13" x14ac:dyDescent="0.35">
      <c r="A146" s="2">
        <v>46182</v>
      </c>
      <c r="B146" s="1" t="str">
        <f ca="1">IF(Información1[[#This Row],[Fecha]]='Ajuste de fechas'!$A$2,"Día actual","Día anterior")</f>
        <v>Día actual</v>
      </c>
      <c r="C146" s="3" t="s">
        <v>8</v>
      </c>
      <c r="D146" t="s">
        <v>10</v>
      </c>
      <c r="E146" s="3" t="s">
        <v>246</v>
      </c>
      <c r="F146" s="3" t="s">
        <v>6</v>
      </c>
      <c r="G146" s="3" t="s">
        <v>247</v>
      </c>
      <c r="H146" s="3" t="s">
        <v>11</v>
      </c>
      <c r="I146" s="3" t="s">
        <v>7</v>
      </c>
      <c r="J146" s="3" t="s">
        <v>39</v>
      </c>
      <c r="K146" s="3" t="s">
        <v>14</v>
      </c>
      <c r="L146" s="3" t="s">
        <v>42</v>
      </c>
      <c r="M146">
        <v>1</v>
      </c>
    </row>
    <row r="147" spans="1:13" x14ac:dyDescent="0.35">
      <c r="A147" s="2">
        <v>46182</v>
      </c>
      <c r="B147" s="1" t="str">
        <f ca="1">IF(Información1[[#This Row],[Fecha]]='Ajuste de fechas'!$A$2,"Día actual","Día anterior")</f>
        <v>Día actual</v>
      </c>
      <c r="C147" s="3" t="s">
        <v>8</v>
      </c>
      <c r="D147" t="s">
        <v>10</v>
      </c>
      <c r="E147" s="3" t="s">
        <v>299</v>
      </c>
      <c r="F147" s="3" t="s">
        <v>19</v>
      </c>
      <c r="G147" s="3" t="s">
        <v>32</v>
      </c>
      <c r="H147" s="3" t="s">
        <v>11</v>
      </c>
      <c r="I147" s="3" t="s">
        <v>12</v>
      </c>
      <c r="J147" s="3" t="s">
        <v>43</v>
      </c>
      <c r="K147" s="3" t="s">
        <v>9</v>
      </c>
      <c r="L147" s="3" t="s">
        <v>41</v>
      </c>
      <c r="M147">
        <v>1</v>
      </c>
    </row>
    <row r="148" spans="1:13" x14ac:dyDescent="0.35">
      <c r="A148" s="2">
        <v>46182</v>
      </c>
      <c r="B148" s="1" t="str">
        <f ca="1">IF(Información1[[#This Row],[Fecha]]='Ajuste de fechas'!$A$2,"Día actual","Día anterior")</f>
        <v>Día actual</v>
      </c>
      <c r="C148" s="3" t="s">
        <v>8</v>
      </c>
      <c r="D148" t="s">
        <v>10</v>
      </c>
      <c r="E148" s="3" t="s">
        <v>20</v>
      </c>
      <c r="F148" s="3" t="s">
        <v>19</v>
      </c>
      <c r="G148" s="3" t="s">
        <v>32</v>
      </c>
      <c r="H148" s="3" t="s">
        <v>11</v>
      </c>
      <c r="I148" s="3" t="s">
        <v>12</v>
      </c>
      <c r="J148" s="3" t="s">
        <v>43</v>
      </c>
      <c r="K148" s="3" t="s">
        <v>14</v>
      </c>
      <c r="L148" s="3" t="s">
        <v>41</v>
      </c>
      <c r="M148">
        <v>1</v>
      </c>
    </row>
    <row r="149" spans="1:13" x14ac:dyDescent="0.35">
      <c r="A149" s="2">
        <v>46182</v>
      </c>
      <c r="B149" s="1" t="str">
        <f ca="1">IF(Información1[[#This Row],[Fecha]]='Ajuste de fechas'!$A$2,"Día actual","Día anterior")</f>
        <v>Día actual</v>
      </c>
      <c r="C149" s="3" t="s">
        <v>8</v>
      </c>
      <c r="D149" t="s">
        <v>10</v>
      </c>
      <c r="E149" s="3" t="s">
        <v>18</v>
      </c>
      <c r="F149" s="3" t="s">
        <v>19</v>
      </c>
      <c r="G149" s="3" t="s">
        <v>32</v>
      </c>
      <c r="H149" s="3" t="s">
        <v>11</v>
      </c>
      <c r="I149" s="3" t="s">
        <v>12</v>
      </c>
      <c r="J149" s="3" t="s">
        <v>43</v>
      </c>
      <c r="K149" s="3" t="s">
        <v>14</v>
      </c>
      <c r="L149" s="3" t="s">
        <v>41</v>
      </c>
      <c r="M149">
        <v>1</v>
      </c>
    </row>
    <row r="150" spans="1:13" x14ac:dyDescent="0.35">
      <c r="A150" s="2">
        <v>46182</v>
      </c>
      <c r="B150" s="1" t="str">
        <f ca="1">IF(Información1[[#This Row],[Fecha]]='Ajuste de fechas'!$A$2,"Día actual","Día anterior")</f>
        <v>Día actual</v>
      </c>
      <c r="C150" s="3" t="s">
        <v>8</v>
      </c>
      <c r="D150" t="s">
        <v>10</v>
      </c>
      <c r="E150" s="3" t="s">
        <v>54</v>
      </c>
      <c r="F150" s="3" t="s">
        <v>21</v>
      </c>
      <c r="G150" s="3" t="s">
        <v>32</v>
      </c>
      <c r="H150" s="3" t="s">
        <v>11</v>
      </c>
      <c r="I150" s="3" t="s">
        <v>12</v>
      </c>
      <c r="J150" s="3" t="s">
        <v>39</v>
      </c>
      <c r="K150" s="3" t="s">
        <v>14</v>
      </c>
      <c r="L150" s="3" t="s">
        <v>41</v>
      </c>
      <c r="M150">
        <v>1</v>
      </c>
    </row>
    <row r="151" spans="1:13" x14ac:dyDescent="0.35">
      <c r="A151" s="2">
        <v>46182</v>
      </c>
      <c r="B151" s="1" t="str">
        <f ca="1">IF(Información1[[#This Row],[Fecha]]='Ajuste de fechas'!$A$2,"Día actual","Día anterior")</f>
        <v>Día actual</v>
      </c>
      <c r="C151" s="3" t="s">
        <v>8</v>
      </c>
      <c r="D151" t="s">
        <v>10</v>
      </c>
      <c r="E151" s="3" t="s">
        <v>13</v>
      </c>
      <c r="F151" s="3" t="s">
        <v>15</v>
      </c>
      <c r="G151" s="3" t="s">
        <v>32</v>
      </c>
      <c r="H151" s="3" t="s">
        <v>11</v>
      </c>
      <c r="I151" s="3" t="s">
        <v>12</v>
      </c>
      <c r="J151" s="3" t="s">
        <v>39</v>
      </c>
      <c r="K151" s="3" t="s">
        <v>14</v>
      </c>
      <c r="L151" s="3" t="s">
        <v>41</v>
      </c>
      <c r="M151">
        <v>1</v>
      </c>
    </row>
    <row r="152" spans="1:13" x14ac:dyDescent="0.35">
      <c r="A152" s="2">
        <v>46182</v>
      </c>
      <c r="B152" s="1" t="str">
        <f ca="1">IF(Información1[[#This Row],[Fecha]]='Ajuste de fechas'!$A$2,"Día actual","Día anterior")</f>
        <v>Día actual</v>
      </c>
      <c r="C152" s="3" t="s">
        <v>8</v>
      </c>
      <c r="D152" t="s">
        <v>10</v>
      </c>
      <c r="E152" s="3" t="s">
        <v>16</v>
      </c>
      <c r="F152" s="3" t="s">
        <v>17</v>
      </c>
      <c r="G152" s="3" t="s">
        <v>32</v>
      </c>
      <c r="H152" s="3" t="s">
        <v>11</v>
      </c>
      <c r="I152" s="3" t="s">
        <v>12</v>
      </c>
      <c r="J152" s="3" t="s">
        <v>39</v>
      </c>
      <c r="K152" s="3" t="s">
        <v>14</v>
      </c>
      <c r="L152" s="3" t="s">
        <v>41</v>
      </c>
      <c r="M152">
        <v>1</v>
      </c>
    </row>
    <row r="153" spans="1:13" x14ac:dyDescent="0.35">
      <c r="A153" s="2">
        <v>46182</v>
      </c>
      <c r="B153" s="1" t="str">
        <f ca="1">IF(Información1[[#This Row],[Fecha]]='Ajuste de fechas'!$A$2,"Día actual","Día anterior")</f>
        <v>Día actual</v>
      </c>
      <c r="C153" s="3" t="s">
        <v>8</v>
      </c>
      <c r="D153" t="s">
        <v>10</v>
      </c>
      <c r="E153" s="3" t="s">
        <v>55</v>
      </c>
      <c r="F153" s="3" t="s">
        <v>6</v>
      </c>
      <c r="G153" s="3" t="s">
        <v>32</v>
      </c>
      <c r="H153" s="3" t="s">
        <v>11</v>
      </c>
      <c r="I153" s="3" t="s">
        <v>12</v>
      </c>
      <c r="J153" s="3" t="s">
        <v>39</v>
      </c>
      <c r="K153" s="3" t="s">
        <v>14</v>
      </c>
      <c r="L153" s="3" t="s">
        <v>41</v>
      </c>
      <c r="M153">
        <v>1</v>
      </c>
    </row>
    <row r="154" spans="1:13" x14ac:dyDescent="0.35">
      <c r="A154" s="2">
        <v>46182</v>
      </c>
      <c r="B154" s="1" t="str">
        <f ca="1">IF(Información1[[#This Row],[Fecha]]='Ajuste de fechas'!$A$2,"Día actual","Día anterior")</f>
        <v>Día actual</v>
      </c>
      <c r="C154" s="3" t="s">
        <v>8</v>
      </c>
      <c r="D154" t="s">
        <v>10</v>
      </c>
      <c r="E154" s="3" t="s">
        <v>300</v>
      </c>
      <c r="F154" s="3" t="s">
        <v>19</v>
      </c>
      <c r="G154" s="3" t="s">
        <v>59</v>
      </c>
      <c r="H154" s="3" t="s">
        <v>11</v>
      </c>
      <c r="I154" s="3" t="s">
        <v>7</v>
      </c>
      <c r="J154" s="3" t="s">
        <v>43</v>
      </c>
      <c r="K154" s="3" t="s">
        <v>9</v>
      </c>
      <c r="L154" s="3" t="s">
        <v>41</v>
      </c>
      <c r="M154">
        <v>1</v>
      </c>
    </row>
    <row r="155" spans="1:13" x14ac:dyDescent="0.35">
      <c r="A155" s="2">
        <v>46182</v>
      </c>
      <c r="B155" s="1" t="str">
        <f ca="1">IF(Información1[[#This Row],[Fecha]]='Ajuste de fechas'!$A$2,"Día actual","Día anterior")</f>
        <v>Día actual</v>
      </c>
      <c r="C155" s="3" t="s">
        <v>8</v>
      </c>
      <c r="D155" t="s">
        <v>10</v>
      </c>
      <c r="E155" s="3" t="s">
        <v>301</v>
      </c>
      <c r="F155" s="3" t="s">
        <v>19</v>
      </c>
      <c r="G155" s="3" t="s">
        <v>302</v>
      </c>
      <c r="H155" s="3" t="s">
        <v>11</v>
      </c>
      <c r="I155" s="3" t="s">
        <v>7</v>
      </c>
      <c r="J155" s="3" t="s">
        <v>43</v>
      </c>
      <c r="K155" s="3" t="s">
        <v>14</v>
      </c>
      <c r="L155" s="3" t="s">
        <v>40</v>
      </c>
      <c r="M155">
        <v>1</v>
      </c>
    </row>
    <row r="156" spans="1:13" x14ac:dyDescent="0.35">
      <c r="A156" s="2">
        <v>46182</v>
      </c>
      <c r="B156" s="1" t="str">
        <f ca="1">IF(Información1[[#This Row],[Fecha]]='Ajuste de fechas'!$A$2,"Día actual","Día anterior")</f>
        <v>Día actual</v>
      </c>
      <c r="C156" s="3" t="s">
        <v>8</v>
      </c>
      <c r="D156" t="s">
        <v>10</v>
      </c>
      <c r="E156" s="3" t="s">
        <v>303</v>
      </c>
      <c r="F156" s="3" t="s">
        <v>19</v>
      </c>
      <c r="G156" s="3" t="s">
        <v>304</v>
      </c>
      <c r="H156" s="3" t="s">
        <v>11</v>
      </c>
      <c r="I156" s="3" t="s">
        <v>25</v>
      </c>
      <c r="J156" s="3" t="s">
        <v>43</v>
      </c>
      <c r="K156" s="3" t="s">
        <v>9</v>
      </c>
      <c r="L156" s="3" t="s">
        <v>41</v>
      </c>
      <c r="M156">
        <v>1</v>
      </c>
    </row>
    <row r="157" spans="1:13" x14ac:dyDescent="0.35">
      <c r="A157" s="2">
        <v>46182</v>
      </c>
      <c r="B157" s="1" t="str">
        <f ca="1">IF(Información1[[#This Row],[Fecha]]='Ajuste de fechas'!$A$2,"Día actual","Día anterior")</f>
        <v>Día actual</v>
      </c>
      <c r="C157" s="3" t="s">
        <v>8</v>
      </c>
      <c r="D157" t="s">
        <v>10</v>
      </c>
      <c r="E157" s="3" t="s">
        <v>217</v>
      </c>
      <c r="F157" s="3" t="s">
        <v>23</v>
      </c>
      <c r="G157" s="3" t="s">
        <v>176</v>
      </c>
      <c r="H157" s="3" t="s">
        <v>11</v>
      </c>
      <c r="I157" s="3" t="s">
        <v>7</v>
      </c>
      <c r="J157" s="3" t="s">
        <v>39</v>
      </c>
      <c r="K157" s="3" t="s">
        <v>14</v>
      </c>
      <c r="L157" s="3" t="s">
        <v>42</v>
      </c>
      <c r="M157">
        <v>1</v>
      </c>
    </row>
    <row r="158" spans="1:13" x14ac:dyDescent="0.35">
      <c r="A158" s="2">
        <v>46181</v>
      </c>
      <c r="B158" s="1" t="str">
        <f ca="1">IF(Información1[[#This Row],[Fecha]]='Ajuste de fechas'!$A$2,"Día actual","Día anterior")</f>
        <v>Día anterior</v>
      </c>
      <c r="C158" s="3" t="s">
        <v>224</v>
      </c>
      <c r="D158" t="s">
        <v>225</v>
      </c>
      <c r="E158" s="3" t="s">
        <v>226</v>
      </c>
      <c r="F158" s="3" t="s">
        <v>77</v>
      </c>
      <c r="G158" s="3" t="s">
        <v>219</v>
      </c>
      <c r="H158" s="3" t="s">
        <v>11</v>
      </c>
      <c r="I158" s="3" t="s">
        <v>7</v>
      </c>
      <c r="J158" s="3" t="s">
        <v>39</v>
      </c>
      <c r="K158" s="3" t="s">
        <v>227</v>
      </c>
      <c r="L158" s="3" t="s">
        <v>42</v>
      </c>
      <c r="M158">
        <v>1</v>
      </c>
    </row>
    <row r="159" spans="1:13" x14ac:dyDescent="0.35">
      <c r="A159" s="2">
        <v>46182</v>
      </c>
      <c r="B159" s="1" t="str">
        <f ca="1">IF(Información1[[#This Row],[Fecha]]='Ajuste de fechas'!$A$2,"Día actual","Día anterior")</f>
        <v>Día actual</v>
      </c>
      <c r="C159" s="3" t="s">
        <v>28</v>
      </c>
      <c r="D159" t="s">
        <v>74</v>
      </c>
      <c r="E159" s="3" t="s">
        <v>305</v>
      </c>
      <c r="F159" s="3" t="s">
        <v>26</v>
      </c>
      <c r="G159" s="3" t="s">
        <v>306</v>
      </c>
      <c r="H159" s="3" t="s">
        <v>11</v>
      </c>
      <c r="I159" s="3" t="s">
        <v>7</v>
      </c>
      <c r="J159" s="3" t="s">
        <v>39</v>
      </c>
      <c r="K159" s="3" t="s">
        <v>75</v>
      </c>
      <c r="L159" s="3" t="s">
        <v>40</v>
      </c>
      <c r="M159">
        <v>1</v>
      </c>
    </row>
    <row r="160" spans="1:13" x14ac:dyDescent="0.35">
      <c r="A160" s="2">
        <v>46182</v>
      </c>
      <c r="B160" s="1" t="str">
        <f ca="1">IF(Información1[[#This Row],[Fecha]]='Ajuste de fechas'!$A$2,"Día actual","Día anterior")</f>
        <v>Día actual</v>
      </c>
      <c r="C160" s="3" t="s">
        <v>28</v>
      </c>
      <c r="D160" t="s">
        <v>74</v>
      </c>
      <c r="E160" s="3" t="s">
        <v>307</v>
      </c>
      <c r="F160" s="3" t="s">
        <v>26</v>
      </c>
      <c r="G160" s="3" t="s">
        <v>91</v>
      </c>
      <c r="H160" s="3" t="s">
        <v>11</v>
      </c>
      <c r="I160" s="3" t="s">
        <v>7</v>
      </c>
      <c r="J160" s="3" t="s">
        <v>39</v>
      </c>
      <c r="K160" s="3" t="s">
        <v>75</v>
      </c>
      <c r="L160" s="3" t="s">
        <v>40</v>
      </c>
      <c r="M160">
        <v>1</v>
      </c>
    </row>
    <row r="161" spans="1:13" x14ac:dyDescent="0.35">
      <c r="A161" s="2">
        <v>46182</v>
      </c>
      <c r="B161" s="1" t="str">
        <f ca="1">IF(Información1[[#This Row],[Fecha]]='Ajuste de fechas'!$A$2,"Día actual","Día anterior")</f>
        <v>Día actual</v>
      </c>
      <c r="C161" s="3" t="s">
        <v>28</v>
      </c>
      <c r="D161" t="s">
        <v>74</v>
      </c>
      <c r="E161" s="3" t="s">
        <v>308</v>
      </c>
      <c r="F161" s="3" t="s">
        <v>22</v>
      </c>
      <c r="G161" s="3" t="s">
        <v>90</v>
      </c>
      <c r="H161" s="3" t="s">
        <v>11</v>
      </c>
      <c r="I161" s="3" t="s">
        <v>7</v>
      </c>
      <c r="J161" s="3" t="s">
        <v>44</v>
      </c>
      <c r="K161" s="3" t="s">
        <v>75</v>
      </c>
      <c r="L161" s="3" t="s">
        <v>40</v>
      </c>
      <c r="M161">
        <v>1</v>
      </c>
    </row>
    <row r="162" spans="1:13" x14ac:dyDescent="0.35">
      <c r="A162" s="2">
        <v>46182</v>
      </c>
      <c r="B162" s="1" t="str">
        <f ca="1">IF(Información1[[#This Row],[Fecha]]='Ajuste de fechas'!$A$2,"Día actual","Día anterior")</f>
        <v>Día actual</v>
      </c>
      <c r="C162" s="3" t="s">
        <v>28</v>
      </c>
      <c r="D162" t="s">
        <v>74</v>
      </c>
      <c r="E162" s="3" t="s">
        <v>309</v>
      </c>
      <c r="F162" s="3" t="s">
        <v>26</v>
      </c>
      <c r="G162" s="3" t="s">
        <v>310</v>
      </c>
      <c r="H162" s="3" t="s">
        <v>11</v>
      </c>
      <c r="I162" s="3" t="s">
        <v>7</v>
      </c>
      <c r="J162" s="3" t="s">
        <v>39</v>
      </c>
      <c r="K162" s="3" t="s">
        <v>75</v>
      </c>
      <c r="L162" s="3" t="s">
        <v>40</v>
      </c>
      <c r="M162">
        <v>1</v>
      </c>
    </row>
    <row r="163" spans="1:13" x14ac:dyDescent="0.35">
      <c r="A163" s="2">
        <v>46182</v>
      </c>
      <c r="B163" s="1" t="str">
        <f ca="1">IF(Información1[[#This Row],[Fecha]]='Ajuste de fechas'!$A$2,"Día actual","Día anterior")</f>
        <v>Día actual</v>
      </c>
      <c r="C163" s="3" t="s">
        <v>8</v>
      </c>
      <c r="D163" t="s">
        <v>10</v>
      </c>
      <c r="E163" s="3" t="s">
        <v>311</v>
      </c>
      <c r="F163" s="3" t="s">
        <v>19</v>
      </c>
      <c r="G163" s="3" t="s">
        <v>97</v>
      </c>
      <c r="H163" s="3" t="s">
        <v>11</v>
      </c>
      <c r="I163" s="3" t="s">
        <v>25</v>
      </c>
      <c r="J163" s="3" t="s">
        <v>43</v>
      </c>
      <c r="K163" s="3" t="s">
        <v>9</v>
      </c>
      <c r="L163" s="3" t="s">
        <v>41</v>
      </c>
      <c r="M163">
        <v>1</v>
      </c>
    </row>
    <row r="164" spans="1:13" x14ac:dyDescent="0.35">
      <c r="A164" s="2">
        <v>46182</v>
      </c>
      <c r="B164" s="1" t="str">
        <f ca="1">IF(Información1[[#This Row],[Fecha]]='Ajuste de fechas'!$A$2,"Día actual","Día anterior")</f>
        <v>Día actual</v>
      </c>
      <c r="C164" s="3" t="s">
        <v>8</v>
      </c>
      <c r="D164" t="s">
        <v>10</v>
      </c>
      <c r="E164" s="3" t="s">
        <v>312</v>
      </c>
      <c r="F164" s="3" t="s">
        <v>19</v>
      </c>
      <c r="G164" s="3" t="s">
        <v>313</v>
      </c>
      <c r="H164" s="3" t="s">
        <v>11</v>
      </c>
      <c r="I164" s="3" t="s">
        <v>7</v>
      </c>
      <c r="J164" s="3" t="s">
        <v>43</v>
      </c>
      <c r="K164" s="3" t="s">
        <v>9</v>
      </c>
      <c r="L164" s="3" t="s">
        <v>41</v>
      </c>
      <c r="M164">
        <v>1</v>
      </c>
    </row>
    <row r="165" spans="1:13" x14ac:dyDescent="0.35">
      <c r="A165" s="2">
        <v>46182</v>
      </c>
      <c r="B165" s="1" t="str">
        <f ca="1">IF(Información1[[#This Row],[Fecha]]='Ajuste de fechas'!$A$2,"Día actual","Día anterior")</f>
        <v>Día actual</v>
      </c>
      <c r="C165" s="3" t="s">
        <v>28</v>
      </c>
      <c r="D165" t="s">
        <v>74</v>
      </c>
      <c r="E165" s="3" t="s">
        <v>314</v>
      </c>
      <c r="F165" s="3" t="s">
        <v>19</v>
      </c>
      <c r="G165" s="3" t="s">
        <v>315</v>
      </c>
      <c r="H165" s="3" t="s">
        <v>11</v>
      </c>
      <c r="I165" s="3" t="s">
        <v>7</v>
      </c>
      <c r="J165" s="3" t="s">
        <v>43</v>
      </c>
      <c r="K165" s="3" t="s">
        <v>75</v>
      </c>
      <c r="L165" s="3" t="s">
        <v>40</v>
      </c>
      <c r="M165">
        <v>1</v>
      </c>
    </row>
    <row r="166" spans="1:13" x14ac:dyDescent="0.35">
      <c r="A166" s="2">
        <v>46182</v>
      </c>
      <c r="B166" s="1" t="str">
        <f ca="1">IF(Información1[[#This Row],[Fecha]]='Ajuste de fechas'!$A$2,"Día actual","Día anterior")</f>
        <v>Día actual</v>
      </c>
      <c r="C166" s="3" t="s">
        <v>8</v>
      </c>
      <c r="D166" t="s">
        <v>10</v>
      </c>
      <c r="E166" s="3" t="s">
        <v>211</v>
      </c>
      <c r="F166" s="3" t="s">
        <v>21</v>
      </c>
      <c r="G166" s="3" t="s">
        <v>114</v>
      </c>
      <c r="H166" s="3" t="s">
        <v>11</v>
      </c>
      <c r="I166" s="3" t="s">
        <v>7</v>
      </c>
      <c r="J166" s="3" t="s">
        <v>39</v>
      </c>
      <c r="K166" s="3" t="s">
        <v>14</v>
      </c>
      <c r="L166" s="3" t="s">
        <v>42</v>
      </c>
      <c r="M166">
        <v>1</v>
      </c>
    </row>
    <row r="167" spans="1:13" x14ac:dyDescent="0.35">
      <c r="A167" s="2">
        <v>46182</v>
      </c>
      <c r="B167" s="1" t="str">
        <f ca="1">IF(Información1[[#This Row],[Fecha]]='Ajuste de fechas'!$A$2,"Día actual","Día anterior")</f>
        <v>Día actual</v>
      </c>
      <c r="C167" s="3" t="s">
        <v>28</v>
      </c>
      <c r="D167" t="s">
        <v>74</v>
      </c>
      <c r="E167" s="3" t="s">
        <v>316</v>
      </c>
      <c r="F167" s="3" t="s">
        <v>19</v>
      </c>
      <c r="G167" s="3" t="s">
        <v>78</v>
      </c>
      <c r="H167" s="3" t="s">
        <v>11</v>
      </c>
      <c r="I167" s="3" t="s">
        <v>7</v>
      </c>
      <c r="J167" s="3" t="s">
        <v>43</v>
      </c>
      <c r="K167" s="3" t="s">
        <v>75</v>
      </c>
      <c r="L167" s="3" t="s">
        <v>40</v>
      </c>
      <c r="M167">
        <v>1</v>
      </c>
    </row>
    <row r="168" spans="1:13" x14ac:dyDescent="0.35">
      <c r="A168" s="2">
        <v>46182</v>
      </c>
      <c r="B168" s="1" t="str">
        <f ca="1">IF(Información1[[#This Row],[Fecha]]='Ajuste de fechas'!$A$2,"Día actual","Día anterior")</f>
        <v>Día actual</v>
      </c>
      <c r="C168" s="3" t="s">
        <v>28</v>
      </c>
      <c r="D168" t="s">
        <v>74</v>
      </c>
      <c r="E168" s="3" t="s">
        <v>317</v>
      </c>
      <c r="F168" s="3" t="s">
        <v>63</v>
      </c>
      <c r="G168" s="3" t="s">
        <v>78</v>
      </c>
      <c r="H168" s="3" t="s">
        <v>11</v>
      </c>
      <c r="I168" s="3" t="s">
        <v>7</v>
      </c>
      <c r="J168" s="3" t="s">
        <v>39</v>
      </c>
      <c r="K168" s="3" t="s">
        <v>75</v>
      </c>
      <c r="L168" s="3" t="s">
        <v>42</v>
      </c>
      <c r="M168">
        <v>1</v>
      </c>
    </row>
    <row r="169" spans="1:13" x14ac:dyDescent="0.35">
      <c r="A169" s="2">
        <v>46182</v>
      </c>
      <c r="B169" s="1" t="str">
        <f ca="1">IF(Información1[[#This Row],[Fecha]]='Ajuste de fechas'!$A$2,"Día actual","Día anterior")</f>
        <v>Día actual</v>
      </c>
      <c r="C169" s="3" t="s">
        <v>8</v>
      </c>
      <c r="D169" t="s">
        <v>10</v>
      </c>
      <c r="E169" s="3" t="s">
        <v>318</v>
      </c>
      <c r="F169" s="3" t="s">
        <v>17</v>
      </c>
      <c r="G169" s="3" t="s">
        <v>162</v>
      </c>
      <c r="H169" s="3" t="s">
        <v>11</v>
      </c>
      <c r="I169" s="3" t="s">
        <v>25</v>
      </c>
      <c r="J169" s="3" t="s">
        <v>39</v>
      </c>
      <c r="K169" s="3" t="s">
        <v>9</v>
      </c>
      <c r="L169" s="3" t="s">
        <v>41</v>
      </c>
      <c r="M169">
        <v>1</v>
      </c>
    </row>
    <row r="170" spans="1:13" x14ac:dyDescent="0.35">
      <c r="A170" s="2">
        <v>46182</v>
      </c>
      <c r="B170" s="1" t="str">
        <f ca="1">IF(Información1[[#This Row],[Fecha]]='Ajuste de fechas'!$A$2,"Día actual","Día anterior")</f>
        <v>Día actual</v>
      </c>
      <c r="C170" s="3" t="s">
        <v>8</v>
      </c>
      <c r="D170" t="s">
        <v>10</v>
      </c>
      <c r="E170" s="3" t="s">
        <v>319</v>
      </c>
      <c r="F170" s="3" t="s">
        <v>6</v>
      </c>
      <c r="G170" s="3" t="s">
        <v>320</v>
      </c>
      <c r="H170" s="3" t="s">
        <v>11</v>
      </c>
      <c r="I170" s="3" t="s">
        <v>25</v>
      </c>
      <c r="J170" s="3" t="s">
        <v>39</v>
      </c>
      <c r="K170" s="3" t="s">
        <v>9</v>
      </c>
      <c r="L170" s="3" t="s">
        <v>41</v>
      </c>
      <c r="M170">
        <v>1</v>
      </c>
    </row>
    <row r="171" spans="1:13" x14ac:dyDescent="0.35">
      <c r="A171" s="2">
        <v>46182</v>
      </c>
      <c r="B171" s="1" t="str">
        <f ca="1">IF(Información1[[#This Row],[Fecha]]='Ajuste de fechas'!$A$2,"Día actual","Día anterior")</f>
        <v>Día actual</v>
      </c>
      <c r="C171" s="3" t="s">
        <v>8</v>
      </c>
      <c r="D171" t="s">
        <v>10</v>
      </c>
      <c r="E171" s="3" t="s">
        <v>321</v>
      </c>
      <c r="F171" s="3" t="s">
        <v>6</v>
      </c>
      <c r="G171" s="3" t="s">
        <v>320</v>
      </c>
      <c r="H171" s="3" t="s">
        <v>11</v>
      </c>
      <c r="I171" s="3" t="s">
        <v>25</v>
      </c>
      <c r="J171" s="3" t="s">
        <v>39</v>
      </c>
      <c r="K171" s="3" t="s">
        <v>9</v>
      </c>
      <c r="L171" s="3" t="s">
        <v>41</v>
      </c>
      <c r="M171">
        <v>1</v>
      </c>
    </row>
    <row r="172" spans="1:13" x14ac:dyDescent="0.35">
      <c r="A172" s="2">
        <v>46182</v>
      </c>
      <c r="B172" s="1" t="str">
        <f ca="1">IF(Información1[[#This Row],[Fecha]]='Ajuste de fechas'!$A$2,"Día actual","Día anterior")</f>
        <v>Día actual</v>
      </c>
      <c r="C172" s="3" t="s">
        <v>28</v>
      </c>
      <c r="D172" t="s">
        <v>74</v>
      </c>
      <c r="E172" s="3" t="s">
        <v>242</v>
      </c>
      <c r="F172" s="3" t="s">
        <v>26</v>
      </c>
      <c r="G172" s="3" t="s">
        <v>243</v>
      </c>
      <c r="H172" s="3" t="s">
        <v>11</v>
      </c>
      <c r="I172" s="3" t="s">
        <v>7</v>
      </c>
      <c r="J172" s="3" t="s">
        <v>39</v>
      </c>
      <c r="K172" s="3" t="s">
        <v>75</v>
      </c>
      <c r="L172" s="3" t="s">
        <v>42</v>
      </c>
      <c r="M172">
        <v>1</v>
      </c>
    </row>
    <row r="173" spans="1:13" x14ac:dyDescent="0.35">
      <c r="A173" s="2">
        <v>46182</v>
      </c>
      <c r="B173" s="1" t="str">
        <f ca="1">IF(Información1[[#This Row],[Fecha]]='Ajuste de fechas'!$A$2,"Día actual","Día anterior")</f>
        <v>Día actual</v>
      </c>
      <c r="C173" s="3" t="s">
        <v>28</v>
      </c>
      <c r="D173" t="s">
        <v>74</v>
      </c>
      <c r="E173" s="3" t="s">
        <v>322</v>
      </c>
      <c r="F173" s="3" t="s">
        <v>24</v>
      </c>
      <c r="G173" s="3" t="s">
        <v>323</v>
      </c>
      <c r="H173" s="3" t="s">
        <v>11</v>
      </c>
      <c r="I173" s="3" t="s">
        <v>7</v>
      </c>
      <c r="J173" s="3" t="s">
        <v>24</v>
      </c>
      <c r="K173" s="3" t="s">
        <v>75</v>
      </c>
      <c r="L173" s="3" t="s">
        <v>40</v>
      </c>
      <c r="M173">
        <v>1</v>
      </c>
    </row>
    <row r="174" spans="1:13" x14ac:dyDescent="0.35">
      <c r="A174" s="2">
        <v>46182</v>
      </c>
      <c r="B174" s="1" t="str">
        <f ca="1">IF(Información1[[#This Row],[Fecha]]='Ajuste de fechas'!$A$2,"Día actual","Día anterior")</f>
        <v>Día actual</v>
      </c>
      <c r="C174" s="3" t="s">
        <v>8</v>
      </c>
      <c r="D174" t="s">
        <v>10</v>
      </c>
      <c r="E174" s="3" t="s">
        <v>93</v>
      </c>
      <c r="F174" s="3" t="s">
        <v>19</v>
      </c>
      <c r="G174" s="3" t="s">
        <v>68</v>
      </c>
      <c r="H174" s="3" t="s">
        <v>11</v>
      </c>
      <c r="I174" s="3" t="s">
        <v>25</v>
      </c>
      <c r="J174" s="3" t="s">
        <v>43</v>
      </c>
      <c r="K174" s="3" t="s">
        <v>9</v>
      </c>
      <c r="L174" s="3" t="s">
        <v>41</v>
      </c>
      <c r="M174">
        <v>1</v>
      </c>
    </row>
    <row r="175" spans="1:13" x14ac:dyDescent="0.35">
      <c r="A175" s="2">
        <v>46181</v>
      </c>
      <c r="B175" s="1" t="str">
        <f ca="1">IF(Información1[[#This Row],[Fecha]]='Ajuste de fechas'!$A$2,"Día actual","Día anterior")</f>
        <v>Día anterior</v>
      </c>
      <c r="C175" s="3" t="s">
        <v>224</v>
      </c>
      <c r="D175" t="s">
        <v>225</v>
      </c>
      <c r="E175" s="3" t="s">
        <v>228</v>
      </c>
      <c r="F175" s="3" t="s">
        <v>26</v>
      </c>
      <c r="G175" s="3" t="s">
        <v>118</v>
      </c>
      <c r="H175" s="3" t="s">
        <v>11</v>
      </c>
      <c r="I175" s="3" t="s">
        <v>7</v>
      </c>
      <c r="J175" s="3" t="s">
        <v>39</v>
      </c>
      <c r="K175" s="3" t="s">
        <v>227</v>
      </c>
      <c r="L175" s="3" t="s">
        <v>42</v>
      </c>
      <c r="M175">
        <v>1</v>
      </c>
    </row>
    <row r="176" spans="1:13" x14ac:dyDescent="0.35">
      <c r="A176" s="2">
        <v>46182</v>
      </c>
      <c r="B176" s="1" t="str">
        <f ca="1">IF(Información1[[#This Row],[Fecha]]='Ajuste de fechas'!$A$2,"Día actual","Día anterior")</f>
        <v>Día actual</v>
      </c>
      <c r="C176" s="3" t="s">
        <v>8</v>
      </c>
      <c r="D176" t="s">
        <v>10</v>
      </c>
      <c r="E176" s="3" t="s">
        <v>324</v>
      </c>
      <c r="F176" s="3" t="s">
        <v>19</v>
      </c>
      <c r="G176" s="3" t="s">
        <v>325</v>
      </c>
      <c r="H176" s="3" t="s">
        <v>11</v>
      </c>
      <c r="I176" s="3" t="s">
        <v>7</v>
      </c>
      <c r="J176" s="3" t="s">
        <v>43</v>
      </c>
      <c r="K176" s="3" t="s">
        <v>14</v>
      </c>
      <c r="L176" s="3" t="s">
        <v>41</v>
      </c>
      <c r="M176">
        <v>1</v>
      </c>
    </row>
    <row r="177" spans="1:13" x14ac:dyDescent="0.35">
      <c r="A177" s="2">
        <v>46182</v>
      </c>
      <c r="B177" s="1" t="str">
        <f ca="1">IF(Información1[[#This Row],[Fecha]]='Ajuste de fechas'!$A$2,"Día actual","Día anterior")</f>
        <v>Día actual</v>
      </c>
      <c r="C177" s="3" t="s">
        <v>8</v>
      </c>
      <c r="D177" t="s">
        <v>10</v>
      </c>
      <c r="E177" s="3" t="s">
        <v>326</v>
      </c>
      <c r="F177" s="3" t="s">
        <v>19</v>
      </c>
      <c r="G177" s="3" t="s">
        <v>327</v>
      </c>
      <c r="H177" s="3" t="s">
        <v>11</v>
      </c>
      <c r="I177" s="3" t="s">
        <v>25</v>
      </c>
      <c r="J177" s="3" t="s">
        <v>43</v>
      </c>
      <c r="K177" s="3" t="s">
        <v>9</v>
      </c>
      <c r="L177" s="3" t="s">
        <v>41</v>
      </c>
      <c r="M177">
        <v>1</v>
      </c>
    </row>
    <row r="178" spans="1:13" x14ac:dyDescent="0.35">
      <c r="A178" s="2">
        <v>46182</v>
      </c>
      <c r="B178" s="1" t="str">
        <f ca="1">IF(Información1[[#This Row],[Fecha]]='Ajuste de fechas'!$A$2,"Día actual","Día anterior")</f>
        <v>Día actual</v>
      </c>
      <c r="C178" s="3" t="s">
        <v>8</v>
      </c>
      <c r="D178" t="s">
        <v>10</v>
      </c>
      <c r="E178" s="3" t="s">
        <v>328</v>
      </c>
      <c r="F178" s="3" t="s">
        <v>19</v>
      </c>
      <c r="G178" s="3" t="s">
        <v>327</v>
      </c>
      <c r="H178" s="3" t="s">
        <v>11</v>
      </c>
      <c r="I178" s="3" t="s">
        <v>25</v>
      </c>
      <c r="J178" s="3" t="s">
        <v>43</v>
      </c>
      <c r="K178" s="3" t="s">
        <v>9</v>
      </c>
      <c r="L178" s="3" t="s">
        <v>41</v>
      </c>
      <c r="M178">
        <v>1</v>
      </c>
    </row>
    <row r="179" spans="1:13" x14ac:dyDescent="0.35">
      <c r="A179" s="2">
        <v>46182</v>
      </c>
      <c r="B179" s="1" t="str">
        <f ca="1">IF(Información1[[#This Row],[Fecha]]='Ajuste de fechas'!$A$2,"Día actual","Día anterior")</f>
        <v>Día actual</v>
      </c>
      <c r="C179" s="3" t="s">
        <v>8</v>
      </c>
      <c r="D179" t="s">
        <v>10</v>
      </c>
      <c r="E179" s="3" t="s">
        <v>329</v>
      </c>
      <c r="F179" s="3" t="s">
        <v>48</v>
      </c>
      <c r="G179" s="3" t="s">
        <v>330</v>
      </c>
      <c r="H179" s="3" t="s">
        <v>11</v>
      </c>
      <c r="I179" s="3" t="s">
        <v>25</v>
      </c>
      <c r="J179" s="3" t="s">
        <v>39</v>
      </c>
      <c r="K179" s="3" t="s">
        <v>9</v>
      </c>
      <c r="L179" s="3" t="s">
        <v>41</v>
      </c>
      <c r="M179">
        <v>1</v>
      </c>
    </row>
    <row r="180" spans="1:13" x14ac:dyDescent="0.35">
      <c r="A180" s="2">
        <v>46182</v>
      </c>
      <c r="B180" s="1" t="str">
        <f ca="1">IF(Información1[[#This Row],[Fecha]]='Ajuste de fechas'!$A$2,"Día actual","Día anterior")</f>
        <v>Día actual</v>
      </c>
      <c r="C180" s="3" t="s">
        <v>50</v>
      </c>
      <c r="D180" t="s">
        <v>58</v>
      </c>
      <c r="E180" s="3" t="s">
        <v>331</v>
      </c>
      <c r="F180" s="3" t="s">
        <v>19</v>
      </c>
      <c r="G180" s="3" t="s">
        <v>332</v>
      </c>
      <c r="H180" s="3" t="s">
        <v>11</v>
      </c>
      <c r="I180" s="3" t="s">
        <v>7</v>
      </c>
      <c r="J180" s="3" t="s">
        <v>43</v>
      </c>
      <c r="K180" s="3" t="s">
        <v>51</v>
      </c>
      <c r="L180" s="3" t="s">
        <v>40</v>
      </c>
      <c r="M180">
        <v>1</v>
      </c>
    </row>
    <row r="181" spans="1:13" x14ac:dyDescent="0.35">
      <c r="A181" s="2">
        <v>46182</v>
      </c>
      <c r="B181" s="1" t="str">
        <f ca="1">IF(Información1[[#This Row],[Fecha]]='Ajuste de fechas'!$A$2,"Día actual","Día anterior")</f>
        <v>Día actual</v>
      </c>
      <c r="C181" s="3" t="s">
        <v>50</v>
      </c>
      <c r="D181" t="s">
        <v>58</v>
      </c>
      <c r="E181" s="3" t="s">
        <v>333</v>
      </c>
      <c r="F181" s="3" t="s">
        <v>19</v>
      </c>
      <c r="G181" s="3" t="s">
        <v>131</v>
      </c>
      <c r="H181" s="3" t="s">
        <v>11</v>
      </c>
      <c r="I181" s="3" t="s">
        <v>7</v>
      </c>
      <c r="J181" s="3" t="s">
        <v>43</v>
      </c>
      <c r="K181" s="3" t="s">
        <v>51</v>
      </c>
      <c r="L181" s="3" t="s">
        <v>40</v>
      </c>
      <c r="M181">
        <v>1</v>
      </c>
    </row>
    <row r="182" spans="1:13" x14ac:dyDescent="0.35">
      <c r="A182" s="2">
        <v>46182</v>
      </c>
      <c r="B182" s="1" t="str">
        <f ca="1">IF(Información1[[#This Row],[Fecha]]='Ajuste de fechas'!$A$2,"Día actual","Día anterior")</f>
        <v>Día actual</v>
      </c>
      <c r="C182" s="3" t="s">
        <v>50</v>
      </c>
      <c r="D182" t="s">
        <v>58</v>
      </c>
      <c r="E182" s="3" t="s">
        <v>334</v>
      </c>
      <c r="F182" s="3" t="s">
        <v>19</v>
      </c>
      <c r="G182" s="3" t="s">
        <v>131</v>
      </c>
      <c r="H182" s="3" t="s">
        <v>11</v>
      </c>
      <c r="I182" s="3" t="s">
        <v>7</v>
      </c>
      <c r="J182" s="3" t="s">
        <v>43</v>
      </c>
      <c r="K182" s="3" t="s">
        <v>51</v>
      </c>
      <c r="L182" s="3" t="s">
        <v>40</v>
      </c>
      <c r="M182">
        <v>1</v>
      </c>
    </row>
    <row r="183" spans="1:13" x14ac:dyDescent="0.35">
      <c r="A183" s="2">
        <v>46182</v>
      </c>
      <c r="B183" s="1" t="str">
        <f ca="1">IF(Información1[[#This Row],[Fecha]]='Ajuste de fechas'!$A$2,"Día actual","Día anterior")</f>
        <v>Día actual</v>
      </c>
      <c r="C183" s="3" t="s">
        <v>50</v>
      </c>
      <c r="D183" t="s">
        <v>58</v>
      </c>
      <c r="E183" s="3" t="s">
        <v>335</v>
      </c>
      <c r="F183" s="3" t="s">
        <v>19</v>
      </c>
      <c r="G183" s="3" t="s">
        <v>247</v>
      </c>
      <c r="H183" s="3" t="s">
        <v>11</v>
      </c>
      <c r="I183" s="3" t="s">
        <v>7</v>
      </c>
      <c r="J183" s="3" t="s">
        <v>43</v>
      </c>
      <c r="K183" s="3" t="s">
        <v>336</v>
      </c>
      <c r="L183" s="3" t="s">
        <v>256</v>
      </c>
      <c r="M183">
        <v>1</v>
      </c>
    </row>
    <row r="184" spans="1:13" x14ac:dyDescent="0.35">
      <c r="A184" s="2">
        <v>46182</v>
      </c>
      <c r="B184" s="1" t="str">
        <f ca="1">IF(Información1[[#This Row],[Fecha]]='Ajuste de fechas'!$A$2,"Día actual","Día anterior")</f>
        <v>Día actual</v>
      </c>
      <c r="C184" s="3" t="s">
        <v>50</v>
      </c>
      <c r="D184" t="s">
        <v>58</v>
      </c>
      <c r="E184" s="3" t="s">
        <v>337</v>
      </c>
      <c r="F184" s="3" t="s">
        <v>21</v>
      </c>
      <c r="G184" s="3" t="s">
        <v>76</v>
      </c>
      <c r="H184" s="3" t="s">
        <v>11</v>
      </c>
      <c r="I184" s="3" t="s">
        <v>25</v>
      </c>
      <c r="J184" s="3" t="s">
        <v>39</v>
      </c>
      <c r="K184" s="3" t="s">
        <v>9</v>
      </c>
      <c r="L184" s="3" t="s">
        <v>41</v>
      </c>
      <c r="M184">
        <v>1</v>
      </c>
    </row>
    <row r="185" spans="1:13" x14ac:dyDescent="0.35">
      <c r="A185" s="2">
        <v>46182</v>
      </c>
      <c r="B185" s="1" t="str">
        <f ca="1">IF(Información1[[#This Row],[Fecha]]='Ajuste de fechas'!$A$2,"Día actual","Día anterior")</f>
        <v>Día actual</v>
      </c>
      <c r="C185" s="3" t="s">
        <v>50</v>
      </c>
      <c r="D185" t="s">
        <v>58</v>
      </c>
      <c r="E185" s="3" t="s">
        <v>338</v>
      </c>
      <c r="F185" s="3" t="s">
        <v>26</v>
      </c>
      <c r="G185" s="3" t="s">
        <v>281</v>
      </c>
      <c r="H185" s="3" t="s">
        <v>11</v>
      </c>
      <c r="I185" s="3" t="s">
        <v>7</v>
      </c>
      <c r="J185" s="3" t="s">
        <v>39</v>
      </c>
      <c r="K185" s="3" t="s">
        <v>51</v>
      </c>
      <c r="L185" s="3" t="s">
        <v>40</v>
      </c>
      <c r="M185">
        <v>1</v>
      </c>
    </row>
    <row r="186" spans="1:13" x14ac:dyDescent="0.35">
      <c r="A186" s="2">
        <v>46182</v>
      </c>
      <c r="B186" s="1" t="str">
        <f ca="1">IF(Información1[[#This Row],[Fecha]]='Ajuste de fechas'!$A$2,"Día actual","Día anterior")</f>
        <v>Día actual</v>
      </c>
      <c r="C186" s="3" t="s">
        <v>70</v>
      </c>
      <c r="D186" t="s">
        <v>71</v>
      </c>
      <c r="E186" s="3" t="s">
        <v>339</v>
      </c>
      <c r="F186" s="3" t="s">
        <v>22</v>
      </c>
      <c r="G186" s="3" t="s">
        <v>340</v>
      </c>
      <c r="H186" s="3" t="s">
        <v>11</v>
      </c>
      <c r="I186" s="3" t="s">
        <v>7</v>
      </c>
      <c r="J186" s="3" t="s">
        <v>44</v>
      </c>
      <c r="K186" s="3" t="s">
        <v>72</v>
      </c>
      <c r="L186" s="3" t="s">
        <v>40</v>
      </c>
      <c r="M186">
        <v>1</v>
      </c>
    </row>
    <row r="187" spans="1:13" x14ac:dyDescent="0.35">
      <c r="A187" s="2">
        <v>46182</v>
      </c>
      <c r="B187" s="1" t="str">
        <f ca="1">IF(Información1[[#This Row],[Fecha]]='Ajuste de fechas'!$A$2,"Día actual","Día anterior")</f>
        <v>Día actual</v>
      </c>
      <c r="C187" s="3" t="s">
        <v>70</v>
      </c>
      <c r="D187" t="s">
        <v>71</v>
      </c>
      <c r="E187" s="3" t="s">
        <v>341</v>
      </c>
      <c r="F187" s="3" t="s">
        <v>24</v>
      </c>
      <c r="G187" s="3" t="s">
        <v>342</v>
      </c>
      <c r="H187" s="3" t="s">
        <v>11</v>
      </c>
      <c r="I187" s="3" t="s">
        <v>7</v>
      </c>
      <c r="J187" s="3" t="s">
        <v>24</v>
      </c>
      <c r="K187" s="3" t="s">
        <v>72</v>
      </c>
      <c r="L187" s="3" t="s">
        <v>40</v>
      </c>
      <c r="M187">
        <v>1</v>
      </c>
    </row>
    <row r="188" spans="1:13" x14ac:dyDescent="0.35">
      <c r="A188" s="2">
        <v>46182</v>
      </c>
      <c r="B188" s="1" t="str">
        <f ca="1">IF(Información1[[#This Row],[Fecha]]='Ajuste de fechas'!$A$2,"Día actual","Día anterior")</f>
        <v>Día actual</v>
      </c>
      <c r="C188" s="3" t="s">
        <v>70</v>
      </c>
      <c r="D188" t="s">
        <v>71</v>
      </c>
      <c r="E188" s="3" t="s">
        <v>343</v>
      </c>
      <c r="F188" s="3" t="s">
        <v>19</v>
      </c>
      <c r="G188" s="3" t="s">
        <v>281</v>
      </c>
      <c r="H188" s="3" t="s">
        <v>11</v>
      </c>
      <c r="I188" s="3" t="s">
        <v>7</v>
      </c>
      <c r="J188" s="3" t="s">
        <v>43</v>
      </c>
      <c r="K188" s="3" t="s">
        <v>72</v>
      </c>
      <c r="L188" s="3" t="s">
        <v>40</v>
      </c>
      <c r="M188">
        <v>1</v>
      </c>
    </row>
    <row r="189" spans="1:13" x14ac:dyDescent="0.35">
      <c r="A189" s="2">
        <v>46182</v>
      </c>
      <c r="B189" s="1" t="str">
        <f ca="1">IF(Información1[[#This Row],[Fecha]]='Ajuste de fechas'!$A$2,"Día actual","Día anterior")</f>
        <v>Día actual</v>
      </c>
      <c r="C189" s="3" t="s">
        <v>70</v>
      </c>
      <c r="D189" t="s">
        <v>71</v>
      </c>
      <c r="E189" s="3" t="s">
        <v>344</v>
      </c>
      <c r="F189" s="3" t="s">
        <v>26</v>
      </c>
      <c r="G189" s="3" t="s">
        <v>91</v>
      </c>
      <c r="H189" s="3" t="s">
        <v>11</v>
      </c>
      <c r="I189" s="3" t="s">
        <v>7</v>
      </c>
      <c r="J189" s="3" t="s">
        <v>39</v>
      </c>
      <c r="K189" s="3" t="s">
        <v>72</v>
      </c>
      <c r="L189" s="3" t="s">
        <v>40</v>
      </c>
      <c r="M189">
        <v>1</v>
      </c>
    </row>
    <row r="190" spans="1:13" x14ac:dyDescent="0.35">
      <c r="A190" s="2">
        <v>46182</v>
      </c>
      <c r="B190" s="1" t="str">
        <f ca="1">IF(Información1[[#This Row],[Fecha]]='Ajuste de fechas'!$A$2,"Día actual","Día anterior")</f>
        <v>Día actual</v>
      </c>
      <c r="C190" s="3" t="s">
        <v>70</v>
      </c>
      <c r="D190" t="s">
        <v>71</v>
      </c>
      <c r="E190" s="3" t="s">
        <v>345</v>
      </c>
      <c r="F190" s="3" t="s">
        <v>31</v>
      </c>
      <c r="G190" s="3" t="s">
        <v>346</v>
      </c>
      <c r="H190" s="3" t="s">
        <v>11</v>
      </c>
      <c r="I190" s="3" t="s">
        <v>7</v>
      </c>
      <c r="J190" s="3" t="s">
        <v>39</v>
      </c>
      <c r="K190" s="3" t="s">
        <v>72</v>
      </c>
      <c r="L190" s="3" t="s">
        <v>42</v>
      </c>
      <c r="M190">
        <v>1</v>
      </c>
    </row>
    <row r="191" spans="1:13" x14ac:dyDescent="0.35">
      <c r="A191" s="2">
        <v>46182</v>
      </c>
      <c r="B191" s="1" t="str">
        <f ca="1">IF(Información1[[#This Row],[Fecha]]='Ajuste de fechas'!$A$2,"Día actual","Día anterior")</f>
        <v>Día actual</v>
      </c>
      <c r="C191" s="3" t="s">
        <v>70</v>
      </c>
      <c r="D191" t="s">
        <v>71</v>
      </c>
      <c r="E191" s="3" t="s">
        <v>347</v>
      </c>
      <c r="F191" s="3" t="s">
        <v>297</v>
      </c>
      <c r="G191" s="3" t="s">
        <v>298</v>
      </c>
      <c r="H191" s="3" t="s">
        <v>11</v>
      </c>
      <c r="I191" s="3" t="s">
        <v>7</v>
      </c>
      <c r="J191" s="3" t="s">
        <v>39</v>
      </c>
      <c r="K191" s="3" t="s">
        <v>72</v>
      </c>
      <c r="L191" s="3" t="s">
        <v>42</v>
      </c>
      <c r="M191">
        <v>1</v>
      </c>
    </row>
    <row r="192" spans="1:13" x14ac:dyDescent="0.35">
      <c r="A192" s="2">
        <v>46182</v>
      </c>
      <c r="B192" s="1" t="str">
        <f ca="1">IF(Información1[[#This Row],[Fecha]]='Ajuste de fechas'!$A$2,"Día actual","Día anterior")</f>
        <v>Día actual</v>
      </c>
      <c r="C192" s="3" t="s">
        <v>70</v>
      </c>
      <c r="D192" t="s">
        <v>71</v>
      </c>
      <c r="E192" s="3" t="s">
        <v>348</v>
      </c>
      <c r="F192" s="3" t="s">
        <v>77</v>
      </c>
      <c r="G192" s="3" t="s">
        <v>121</v>
      </c>
      <c r="H192" s="3" t="s">
        <v>11</v>
      </c>
      <c r="I192" s="3" t="s">
        <v>7</v>
      </c>
      <c r="J192" s="3" t="s">
        <v>39</v>
      </c>
      <c r="K192" s="3" t="s">
        <v>72</v>
      </c>
      <c r="L192" s="3" t="s">
        <v>42</v>
      </c>
      <c r="M192">
        <v>1</v>
      </c>
    </row>
    <row r="193" spans="1:13" x14ac:dyDescent="0.35">
      <c r="A193" s="2">
        <v>46182</v>
      </c>
      <c r="B193" s="1" t="str">
        <f ca="1">IF(Información1[[#This Row],[Fecha]]='Ajuste de fechas'!$A$2,"Día actual","Día anterior")</f>
        <v>Día actual</v>
      </c>
      <c r="C193" s="3" t="s">
        <v>70</v>
      </c>
      <c r="D193" t="s">
        <v>71</v>
      </c>
      <c r="E193" s="3" t="s">
        <v>246</v>
      </c>
      <c r="F193" s="3" t="s">
        <v>6</v>
      </c>
      <c r="G193" s="3" t="s">
        <v>247</v>
      </c>
      <c r="H193" s="3" t="s">
        <v>11</v>
      </c>
      <c r="I193" s="3" t="s">
        <v>7</v>
      </c>
      <c r="J193" s="3" t="s">
        <v>39</v>
      </c>
      <c r="K193" s="3" t="s">
        <v>72</v>
      </c>
      <c r="L193" s="3" t="s">
        <v>42</v>
      </c>
      <c r="M193">
        <v>1</v>
      </c>
    </row>
    <row r="194" spans="1:13" x14ac:dyDescent="0.35">
      <c r="A194" s="2">
        <v>46182</v>
      </c>
      <c r="B194" s="1" t="str">
        <f ca="1">IF(Información1[[#This Row],[Fecha]]='Ajuste de fechas'!$A$2,"Día actual","Día anterior")</f>
        <v>Día actual</v>
      </c>
      <c r="C194" s="3" t="s">
        <v>70</v>
      </c>
      <c r="D194" t="s">
        <v>71</v>
      </c>
      <c r="E194" s="3" t="s">
        <v>242</v>
      </c>
      <c r="F194" s="3" t="s">
        <v>26</v>
      </c>
      <c r="G194" s="3" t="s">
        <v>243</v>
      </c>
      <c r="H194" s="3" t="s">
        <v>11</v>
      </c>
      <c r="I194" s="3" t="s">
        <v>7</v>
      </c>
      <c r="J194" s="3" t="s">
        <v>39</v>
      </c>
      <c r="K194" s="3" t="s">
        <v>72</v>
      </c>
      <c r="L194" s="3" t="s">
        <v>42</v>
      </c>
      <c r="M194">
        <v>1</v>
      </c>
    </row>
    <row r="195" spans="1:13" x14ac:dyDescent="0.35">
      <c r="A195" s="2">
        <v>46182</v>
      </c>
      <c r="B195" s="1" t="str">
        <f ca="1">IF(Información1[[#This Row],[Fecha]]='Ajuste de fechas'!$A$2,"Día actual","Día anterior")</f>
        <v>Día actual</v>
      </c>
      <c r="C195" s="3" t="s">
        <v>50</v>
      </c>
      <c r="D195" t="s">
        <v>52</v>
      </c>
      <c r="E195" s="3" t="s">
        <v>349</v>
      </c>
      <c r="F195" s="3" t="s">
        <v>24</v>
      </c>
      <c r="G195" s="3" t="s">
        <v>342</v>
      </c>
      <c r="H195" s="3" t="s">
        <v>11</v>
      </c>
      <c r="I195" s="3" t="s">
        <v>7</v>
      </c>
      <c r="J195" s="3" t="s">
        <v>24</v>
      </c>
      <c r="K195" s="3" t="s">
        <v>51</v>
      </c>
      <c r="L195" s="3" t="s">
        <v>40</v>
      </c>
      <c r="M195">
        <v>1</v>
      </c>
    </row>
    <row r="196" spans="1:13" x14ac:dyDescent="0.35">
      <c r="A196" s="2">
        <v>46182</v>
      </c>
      <c r="B196" s="1" t="str">
        <f ca="1">IF(Información1[[#This Row],[Fecha]]='Ajuste de fechas'!$A$2,"Día actual","Día anterior")</f>
        <v>Día actual</v>
      </c>
      <c r="C196" s="3" t="s">
        <v>50</v>
      </c>
      <c r="D196" t="s">
        <v>52</v>
      </c>
      <c r="E196" s="3" t="s">
        <v>350</v>
      </c>
      <c r="F196" s="3" t="s">
        <v>19</v>
      </c>
      <c r="G196" s="3" t="s">
        <v>351</v>
      </c>
      <c r="H196" s="3" t="s">
        <v>11</v>
      </c>
      <c r="I196" s="3" t="s">
        <v>7</v>
      </c>
      <c r="J196" s="3" t="s">
        <v>43</v>
      </c>
      <c r="K196" s="3" t="s">
        <v>49</v>
      </c>
      <c r="L196" s="3" t="s">
        <v>40</v>
      </c>
      <c r="M196">
        <v>1</v>
      </c>
    </row>
    <row r="197" spans="1:13" x14ac:dyDescent="0.35">
      <c r="A197" s="2">
        <v>46182</v>
      </c>
      <c r="B197" s="1" t="str">
        <f ca="1">IF(Información1[[#This Row],[Fecha]]='Ajuste de fechas'!$A$2,"Día actual","Día anterior")</f>
        <v>Día actual</v>
      </c>
      <c r="C197" s="3" t="s">
        <v>50</v>
      </c>
      <c r="D197" t="s">
        <v>52</v>
      </c>
      <c r="E197" s="3" t="s">
        <v>352</v>
      </c>
      <c r="F197" s="3" t="s">
        <v>19</v>
      </c>
      <c r="G197" s="3" t="s">
        <v>223</v>
      </c>
      <c r="H197" s="3" t="s">
        <v>11</v>
      </c>
      <c r="I197" s="3" t="s">
        <v>25</v>
      </c>
      <c r="J197" s="3" t="s">
        <v>43</v>
      </c>
      <c r="K197" s="3" t="s">
        <v>51</v>
      </c>
      <c r="L197" s="3" t="s">
        <v>41</v>
      </c>
      <c r="M197">
        <v>1</v>
      </c>
    </row>
    <row r="198" spans="1:13" x14ac:dyDescent="0.35">
      <c r="A198" s="2">
        <v>46182</v>
      </c>
      <c r="B198" s="1" t="str">
        <f ca="1">IF(Información1[[#This Row],[Fecha]]='Ajuste de fechas'!$A$2,"Día actual","Día anterior")</f>
        <v>Día actual</v>
      </c>
      <c r="C198" s="3" t="s">
        <v>50</v>
      </c>
      <c r="D198" t="s">
        <v>52</v>
      </c>
      <c r="E198" s="3" t="s">
        <v>353</v>
      </c>
      <c r="F198" s="3" t="s">
        <v>21</v>
      </c>
      <c r="G198" s="3" t="s">
        <v>354</v>
      </c>
      <c r="H198" s="3" t="s">
        <v>11</v>
      </c>
      <c r="I198" s="3" t="s">
        <v>12</v>
      </c>
      <c r="J198" s="3" t="s">
        <v>39</v>
      </c>
      <c r="K198" s="3" t="s">
        <v>49</v>
      </c>
      <c r="L198" s="3" t="s">
        <v>256</v>
      </c>
      <c r="M198">
        <v>1</v>
      </c>
    </row>
    <row r="199" spans="1:13" x14ac:dyDescent="0.35">
      <c r="A199" s="2">
        <v>46182</v>
      </c>
      <c r="B199" s="1" t="str">
        <f ca="1">IF(Información1[[#This Row],[Fecha]]='Ajuste de fechas'!$A$2,"Día actual","Día anterior")</f>
        <v>Día actual</v>
      </c>
      <c r="C199" s="3" t="s">
        <v>50</v>
      </c>
      <c r="D199" t="s">
        <v>52</v>
      </c>
      <c r="E199" s="3" t="s">
        <v>355</v>
      </c>
      <c r="F199" s="3" t="s">
        <v>23</v>
      </c>
      <c r="G199" s="3" t="s">
        <v>263</v>
      </c>
      <c r="H199" s="3" t="s">
        <v>11</v>
      </c>
      <c r="I199" s="3" t="s">
        <v>7</v>
      </c>
      <c r="J199" s="3" t="s">
        <v>39</v>
      </c>
      <c r="K199" s="3" t="s">
        <v>51</v>
      </c>
      <c r="L199" s="3" t="s">
        <v>40</v>
      </c>
      <c r="M199">
        <v>1</v>
      </c>
    </row>
    <row r="200" spans="1:13" x14ac:dyDescent="0.35">
      <c r="A200" s="2">
        <v>46182</v>
      </c>
      <c r="B200" s="1" t="str">
        <f ca="1">IF(Información1[[#This Row],[Fecha]]='Ajuste de fechas'!$A$2,"Día actual","Día anterior")</f>
        <v>Día actual</v>
      </c>
      <c r="C200" s="3" t="s">
        <v>50</v>
      </c>
      <c r="D200" t="s">
        <v>52</v>
      </c>
      <c r="E200" s="3" t="s">
        <v>356</v>
      </c>
      <c r="F200" s="3" t="s">
        <v>26</v>
      </c>
      <c r="G200" s="3" t="s">
        <v>149</v>
      </c>
      <c r="H200" s="3" t="s">
        <v>11</v>
      </c>
      <c r="I200" s="3" t="s">
        <v>7</v>
      </c>
      <c r="J200" s="3" t="s">
        <v>39</v>
      </c>
      <c r="K200" s="3" t="s">
        <v>49</v>
      </c>
      <c r="L200" s="3" t="s">
        <v>42</v>
      </c>
      <c r="M200">
        <v>1</v>
      </c>
    </row>
    <row r="201" spans="1:13" x14ac:dyDescent="0.35">
      <c r="A201" s="2">
        <v>46182</v>
      </c>
      <c r="B201" s="1" t="str">
        <f ca="1">IF(Información1[[#This Row],[Fecha]]='Ajuste de fechas'!$A$2,"Día actual","Día anterior")</f>
        <v>Día actual</v>
      </c>
      <c r="C201" s="3" t="s">
        <v>50</v>
      </c>
      <c r="D201" t="s">
        <v>52</v>
      </c>
      <c r="E201" s="3" t="s">
        <v>357</v>
      </c>
      <c r="F201" s="3" t="s">
        <v>358</v>
      </c>
      <c r="G201" s="3" t="s">
        <v>359</v>
      </c>
      <c r="H201" s="3" t="s">
        <v>11</v>
      </c>
      <c r="I201" s="3" t="s">
        <v>7</v>
      </c>
      <c r="J201" s="3" t="s">
        <v>39</v>
      </c>
      <c r="K201" s="3" t="s">
        <v>49</v>
      </c>
      <c r="L201" s="3" t="s">
        <v>42</v>
      </c>
      <c r="M201">
        <v>1</v>
      </c>
    </row>
    <row r="202" spans="1:13" x14ac:dyDescent="0.35">
      <c r="A202" s="2">
        <v>46182</v>
      </c>
      <c r="B202" s="1" t="str">
        <f ca="1">IF(Información1[[#This Row],[Fecha]]='Ajuste de fechas'!$A$2,"Día actual","Día anterior")</f>
        <v>Día actual</v>
      </c>
      <c r="C202" s="3" t="s">
        <v>50</v>
      </c>
      <c r="D202" t="s">
        <v>52</v>
      </c>
      <c r="E202" s="3" t="s">
        <v>360</v>
      </c>
      <c r="F202" s="3" t="s">
        <v>17</v>
      </c>
      <c r="G202" s="3" t="s">
        <v>207</v>
      </c>
      <c r="H202" s="3" t="s">
        <v>11</v>
      </c>
      <c r="I202" s="3" t="s">
        <v>7</v>
      </c>
      <c r="J202" s="3" t="s">
        <v>39</v>
      </c>
      <c r="K202" s="3" t="s">
        <v>49</v>
      </c>
      <c r="L202" s="3" t="s">
        <v>42</v>
      </c>
      <c r="M202">
        <v>1</v>
      </c>
    </row>
    <row r="203" spans="1:13" x14ac:dyDescent="0.35">
      <c r="A203" s="2">
        <v>46182</v>
      </c>
      <c r="B203" s="1" t="str">
        <f ca="1">IF(Información1[[#This Row],[Fecha]]='Ajuste de fechas'!$A$2,"Día actual","Día anterior")</f>
        <v>Día actual</v>
      </c>
      <c r="C203" s="3" t="s">
        <v>50</v>
      </c>
      <c r="D203" t="s">
        <v>52</v>
      </c>
      <c r="E203" s="3" t="s">
        <v>246</v>
      </c>
      <c r="F203" s="3" t="s">
        <v>6</v>
      </c>
      <c r="G203" s="3" t="s">
        <v>247</v>
      </c>
      <c r="H203" s="3" t="s">
        <v>11</v>
      </c>
      <c r="I203" s="3" t="s">
        <v>7</v>
      </c>
      <c r="J203" s="3" t="s">
        <v>39</v>
      </c>
      <c r="K203" s="3" t="s">
        <v>49</v>
      </c>
      <c r="L203" s="3" t="s">
        <v>42</v>
      </c>
      <c r="M203">
        <v>1</v>
      </c>
    </row>
    <row r="204" spans="1:13" x14ac:dyDescent="0.35">
      <c r="A204" s="2">
        <v>46182</v>
      </c>
      <c r="B204" s="1" t="str">
        <f ca="1">IF(Información1[[#This Row],[Fecha]]='Ajuste de fechas'!$A$2,"Día actual","Día anterior")</f>
        <v>Día actual</v>
      </c>
      <c r="C204" s="3" t="s">
        <v>50</v>
      </c>
      <c r="D204" t="s">
        <v>52</v>
      </c>
      <c r="E204" s="3" t="s">
        <v>361</v>
      </c>
      <c r="F204" s="3" t="s">
        <v>15</v>
      </c>
      <c r="G204" s="3" t="s">
        <v>88</v>
      </c>
      <c r="H204" s="3" t="s">
        <v>11</v>
      </c>
      <c r="I204" s="3" t="s">
        <v>7</v>
      </c>
      <c r="J204" s="3" t="s">
        <v>39</v>
      </c>
      <c r="K204" s="3" t="s">
        <v>49</v>
      </c>
      <c r="L204" s="3" t="s">
        <v>42</v>
      </c>
      <c r="M204">
        <v>1</v>
      </c>
    </row>
    <row r="205" spans="1:13" x14ac:dyDescent="0.35">
      <c r="A205" s="2">
        <v>46182</v>
      </c>
      <c r="B205" s="1" t="str">
        <f ca="1">IF(Información1[[#This Row],[Fecha]]='Ajuste de fechas'!$A$2,"Día actual","Día anterior")</f>
        <v>Día actual</v>
      </c>
      <c r="C205" s="3" t="s">
        <v>50</v>
      </c>
      <c r="D205" t="s">
        <v>52</v>
      </c>
      <c r="E205" s="3" t="s">
        <v>242</v>
      </c>
      <c r="F205" s="3" t="s">
        <v>26</v>
      </c>
      <c r="G205" s="3" t="s">
        <v>243</v>
      </c>
      <c r="H205" s="3" t="s">
        <v>11</v>
      </c>
      <c r="I205" s="3" t="s">
        <v>7</v>
      </c>
      <c r="J205" s="3" t="s">
        <v>39</v>
      </c>
      <c r="K205" s="3" t="s">
        <v>49</v>
      </c>
      <c r="L205" s="3" t="s">
        <v>42</v>
      </c>
      <c r="M20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46</v>
      </c>
      <c r="B1" t="s">
        <v>47</v>
      </c>
    </row>
    <row r="2" spans="1:2" x14ac:dyDescent="0.35">
      <c r="A2" s="2">
        <f ca="1">TODAY()</f>
        <v>46182</v>
      </c>
      <c r="B2" s="2">
        <f ca="1">A2-1</f>
        <v>46181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2026-06-09T23:11:13Z</dcterms:modified>
</cp:coreProperties>
</file>