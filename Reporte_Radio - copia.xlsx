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455C3165-10AA-4D09-8972-561E674F757C}" xr6:coauthVersionLast="47" xr6:coauthVersionMax="47" xr10:uidLastSave="{00000000-0000-0000-0000-000000000000}"/>
  <bookViews>
    <workbookView xWindow="-110" yWindow="-110" windowWidth="19420" windowHeight="10300" xr2:uid="{5C0A4D95-2E1C-48C6-BF5D-23E5933B5009}"/>
  </bookViews>
  <sheets>
    <sheet name="Radio" sheetId="2" r:id="rId1"/>
    <sheet name="Ajuste de fechas" sheetId="1" r:id="rId2"/>
  </sheets>
  <definedNames>
    <definedName name="DatosExternos_1" localSheetId="0" hidden="1">Radio!$A$1:$M$210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10" i="2"/>
  <c r="B18" i="2"/>
  <c r="B26" i="2"/>
  <c r="B34" i="2"/>
  <c r="B42" i="2"/>
  <c r="B50" i="2"/>
  <c r="B58" i="2"/>
  <c r="B66" i="2"/>
  <c r="B74" i="2"/>
  <c r="B82" i="2"/>
  <c r="B90" i="2"/>
  <c r="B98" i="2"/>
  <c r="B106" i="2"/>
  <c r="B114" i="2"/>
  <c r="B122" i="2"/>
  <c r="B130" i="2"/>
  <c r="B138" i="2"/>
  <c r="B146" i="2"/>
  <c r="B154" i="2"/>
  <c r="B162" i="2"/>
  <c r="B170" i="2"/>
  <c r="B178" i="2"/>
  <c r="B186" i="2"/>
  <c r="B194" i="2"/>
  <c r="B202" i="2"/>
  <c r="B210" i="2"/>
  <c r="B22" i="2"/>
  <c r="B46" i="2"/>
  <c r="B62" i="2"/>
  <c r="B94" i="2"/>
  <c r="B118" i="2"/>
  <c r="B150" i="2"/>
  <c r="B182" i="2"/>
  <c r="B47" i="2"/>
  <c r="B111" i="2"/>
  <c r="B135" i="2"/>
  <c r="B175" i="2"/>
  <c r="B207" i="2"/>
  <c r="B40" i="2"/>
  <c r="B56" i="2"/>
  <c r="B72" i="2"/>
  <c r="B104" i="2"/>
  <c r="B136" i="2"/>
  <c r="B184" i="2"/>
  <c r="B25" i="2"/>
  <c r="B57" i="2"/>
  <c r="B81" i="2"/>
  <c r="B113" i="2"/>
  <c r="B161" i="2"/>
  <c r="B201" i="2"/>
  <c r="B3" i="2"/>
  <c r="B11" i="2"/>
  <c r="B19" i="2"/>
  <c r="B27" i="2"/>
  <c r="B35" i="2"/>
  <c r="B43" i="2"/>
  <c r="B51" i="2"/>
  <c r="B59" i="2"/>
  <c r="B67" i="2"/>
  <c r="B75" i="2"/>
  <c r="B83" i="2"/>
  <c r="B91" i="2"/>
  <c r="B99" i="2"/>
  <c r="B107" i="2"/>
  <c r="B115" i="2"/>
  <c r="B123" i="2"/>
  <c r="B131" i="2"/>
  <c r="B139" i="2"/>
  <c r="B147" i="2"/>
  <c r="B155" i="2"/>
  <c r="B163" i="2"/>
  <c r="B171" i="2"/>
  <c r="B179" i="2"/>
  <c r="B187" i="2"/>
  <c r="B195" i="2"/>
  <c r="B203" i="2"/>
  <c r="B38" i="2"/>
  <c r="B86" i="2"/>
  <c r="B134" i="2"/>
  <c r="B174" i="2"/>
  <c r="B55" i="2"/>
  <c r="B167" i="2"/>
  <c r="B48" i="2"/>
  <c r="B88" i="2"/>
  <c r="B152" i="2"/>
  <c r="B192" i="2"/>
  <c r="B9" i="2"/>
  <c r="B89" i="2"/>
  <c r="B153" i="2"/>
  <c r="B209" i="2"/>
  <c r="B4" i="2"/>
  <c r="B12" i="2"/>
  <c r="B20" i="2"/>
  <c r="B28" i="2"/>
  <c r="B36" i="2"/>
  <c r="B44" i="2"/>
  <c r="B52" i="2"/>
  <c r="B60" i="2"/>
  <c r="B68" i="2"/>
  <c r="B76" i="2"/>
  <c r="B84" i="2"/>
  <c r="B92" i="2"/>
  <c r="B100" i="2"/>
  <c r="B108" i="2"/>
  <c r="B116" i="2"/>
  <c r="B124" i="2"/>
  <c r="B132" i="2"/>
  <c r="B140" i="2"/>
  <c r="B148" i="2"/>
  <c r="B156" i="2"/>
  <c r="B164" i="2"/>
  <c r="B172" i="2"/>
  <c r="B180" i="2"/>
  <c r="B188" i="2"/>
  <c r="B196" i="2"/>
  <c r="B204" i="2"/>
  <c r="B14" i="2"/>
  <c r="B54" i="2"/>
  <c r="B70" i="2"/>
  <c r="B110" i="2"/>
  <c r="B142" i="2"/>
  <c r="B166" i="2"/>
  <c r="B206" i="2"/>
  <c r="B63" i="2"/>
  <c r="B103" i="2"/>
  <c r="B127" i="2"/>
  <c r="B151" i="2"/>
  <c r="B191" i="2"/>
  <c r="B8" i="2"/>
  <c r="B64" i="2"/>
  <c r="B96" i="2"/>
  <c r="B128" i="2"/>
  <c r="B176" i="2"/>
  <c r="B17" i="2"/>
  <c r="B65" i="2"/>
  <c r="B73" i="2"/>
  <c r="B105" i="2"/>
  <c r="B145" i="2"/>
  <c r="B185" i="2"/>
  <c r="B5" i="2"/>
  <c r="B13" i="2"/>
  <c r="B21" i="2"/>
  <c r="B29" i="2"/>
  <c r="B37" i="2"/>
  <c r="B45" i="2"/>
  <c r="B53" i="2"/>
  <c r="B61" i="2"/>
  <c r="B69" i="2"/>
  <c r="B77" i="2"/>
  <c r="B85" i="2"/>
  <c r="B93" i="2"/>
  <c r="B101" i="2"/>
  <c r="B109" i="2"/>
  <c r="B117" i="2"/>
  <c r="B125" i="2"/>
  <c r="B133" i="2"/>
  <c r="B141" i="2"/>
  <c r="B149" i="2"/>
  <c r="B157" i="2"/>
  <c r="B165" i="2"/>
  <c r="B173" i="2"/>
  <c r="B181" i="2"/>
  <c r="B189" i="2"/>
  <c r="B197" i="2"/>
  <c r="B205" i="2"/>
  <c r="B30" i="2"/>
  <c r="B78" i="2"/>
  <c r="B126" i="2"/>
  <c r="B158" i="2"/>
  <c r="B198" i="2"/>
  <c r="B71" i="2"/>
  <c r="B143" i="2"/>
  <c r="B199" i="2"/>
  <c r="B32" i="2"/>
  <c r="B80" i="2"/>
  <c r="B144" i="2"/>
  <c r="B33" i="2"/>
  <c r="B97" i="2"/>
  <c r="B137" i="2"/>
  <c r="B193" i="2"/>
  <c r="B6" i="2"/>
  <c r="B102" i="2"/>
  <c r="B190" i="2"/>
  <c r="B87" i="2"/>
  <c r="B183" i="2"/>
  <c r="B24" i="2"/>
  <c r="B112" i="2"/>
  <c r="B160" i="2"/>
  <c r="B200" i="2"/>
  <c r="B49" i="2"/>
  <c r="B121" i="2"/>
  <c r="B169" i="2"/>
  <c r="B7" i="2"/>
  <c r="B15" i="2"/>
  <c r="B23" i="2"/>
  <c r="B31" i="2"/>
  <c r="B39" i="2"/>
  <c r="B79" i="2"/>
  <c r="B95" i="2"/>
  <c r="B119" i="2"/>
  <c r="B159" i="2"/>
  <c r="B16" i="2"/>
  <c r="B120" i="2"/>
  <c r="B168" i="2"/>
  <c r="B208" i="2"/>
  <c r="B41" i="2"/>
  <c r="B129" i="2"/>
  <c r="B17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<sst xmlns="http://schemas.openxmlformats.org/spreadsheetml/2006/main" count="2105" uniqueCount="378">
  <si>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</si>
  <si>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</si>
  <si>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</si>
  <si>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</si>
  <si>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</si>
  <si>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</si>
  <si>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</si>
  <si>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</si>
  <si>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</si>
  <si>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</si>
  <si>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</si>
  <si>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</si>
  <si>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</si>
  <si>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</si>
  <si>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</si>
  <si>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</si>
  <si>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</si>
  <si>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</si>
  <si>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</si>
  <si>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</si>
  <si>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</si>
  <si>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</si>
  <si>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</si>
  <si>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</si>
  <si>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</si>
  <si>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</si>
  <si>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</si>
  <si>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</si>
  <si>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</si>
  <si>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</si>
  <si>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</si>
  <si>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</si>
  <si>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</si>
  <si>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</si>
  <si>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</si>
  <si>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</si>
  <si>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</si>
  <si>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</si>
  <si>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</si>
  <si>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</si>
  <si>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</si>
  <si>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</si>
  <si>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</si>
  <si>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</si>
  <si>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</si>
  <si>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</si>
  <si>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</si>
  <si>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</si>
  <si>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</si>
  <si>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</si>
  <si>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</si>
  <si>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</si>
  <si>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</si>
  <si>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Mundial De Futbol</t>
  </si>
  <si>
    <t>Eulalio Larrieta agradece Paola García y Lic. Sarahi Pineda, por estar atentas a los mensajes de la ciudadanía y por atenderlos.</t>
  </si>
  <si>
    <t>Congreso</t>
  </si>
  <si>
    <t>Enlace Hidalgo2</t>
  </si>
  <si>
    <t>Auxilio a la ciudadanía</t>
  </si>
  <si>
    <t>TV local</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</si>
  <si>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</si>
  <si>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</si>
  <si>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</si>
  <si>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</si>
  <si>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</si>
  <si>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</si>
  <si>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</si>
  <si>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</si>
  <si>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</si>
  <si>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</si>
  <si>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</si>
  <si>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OCSAD</t>
  </si>
  <si>
    <t>Prevención De Riesgos</t>
  </si>
  <si>
    <t>Fuga De Agua</t>
  </si>
  <si>
    <t>Eulalio Larrieta agradece a Carlos Gamiño por estar al pendiente de temas</t>
  </si>
  <si>
    <t>TV Cable hidalguense Canal 6</t>
  </si>
  <si>
    <t>Contigo Noticias</t>
  </si>
  <si>
    <t>Localización de cuerpo</t>
  </si>
  <si>
    <t>Alerta Meteorológica</t>
  </si>
  <si>
    <t>Turismo</t>
  </si>
  <si>
    <t>Queja transporte público</t>
  </si>
  <si>
    <t>La Poderosa Tuxpan 93.1 FM</t>
  </si>
  <si>
    <t>NN Nuestras Noticias Zona Norte</t>
  </si>
  <si>
    <t>Liz Argüelles</t>
  </si>
  <si>
    <t>Milton Cortés</t>
  </si>
  <si>
    <t>Vialidad En Mal Estado</t>
  </si>
  <si>
    <t>Irving Sánchez</t>
  </si>
  <si>
    <t>Reubicación de viviendas</t>
  </si>
  <si>
    <t>Ruta de la Transformación</t>
  </si>
  <si>
    <t>Localización de persona</t>
  </si>
  <si>
    <t>Polifórum</t>
  </si>
  <si>
    <t>Zona Arqueológica</t>
  </si>
  <si>
    <t>Justa Deportiva</t>
  </si>
  <si>
    <t>Bloqueo Carretero</t>
  </si>
  <si>
    <t>Bloqueo transportistas</t>
  </si>
  <si>
    <t>Entrevista</t>
  </si>
  <si>
    <t>Aspirantes</t>
  </si>
  <si>
    <t>Accidente Vial</t>
  </si>
  <si>
    <t>Limpieza Urbana</t>
  </si>
  <si>
    <t>Mañanera de Hidalgo</t>
  </si>
  <si>
    <t>Investigación académica</t>
  </si>
  <si>
    <t>Reunión Gabinete De Seguridad</t>
  </si>
  <si>
    <t>Detención</t>
  </si>
  <si>
    <t>SSH</t>
  </si>
  <si>
    <t>Queja padres de familia</t>
  </si>
  <si>
    <t>Entre 2019 y 2020, durante la administración del exgobernador Omar Fayad, la Secretaría de Salud de Hidalgo otorgó contratos que suman más de 23 millones de pesos a Inmedicen, S.A. de C.V., empresa fundada por Justo Aurelio Rivera Parrazales, presunto operador financiero del Cártel del Noreste detenido durante el fin de semana en Mérida, Yucatán.</t>
  </si>
  <si>
    <t>Anomalías Fayad</t>
  </si>
  <si>
    <t>Radioescucha Sra. Blanca Cruz manda audio y reporta falta de agua en Fraccionamiento Progreso</t>
  </si>
  <si>
    <t>Abasto de agua</t>
  </si>
  <si>
    <t>Radioescucha manda audio y reporta falta de agua en Rojo Gómez a la altura del dispensario; ya lleva más de una semana sin ni una gota.</t>
  </si>
  <si>
    <t>Radioescucha reporta falta de agua en Fraccionamiento Progreso, ya llevamos Más de 5 días sin agua</t>
  </si>
  <si>
    <t>Radioescucha reporta que el jueves 16 una pipa fue a dejar agua a unas casas en la colonia Rojo Gómez, y le pedimos al conductor si nos podía abastecer de agua y nos dijo que no porque no tenía ningún folio.</t>
  </si>
  <si>
    <t>Radioescucha reporta falta de agua en la colonia Morelos , llevamos 3 semanas sin agua</t>
  </si>
  <si>
    <t>Radioescucha reporta falta de agua en la colonia Morelos</t>
  </si>
  <si>
    <t>En seguimiento al siniestro de tránsito ocurrido el día 10 de julio en el que se vieron involucradas una unidad de carga y una unidad del servicio de transporte público en la modalidad de colectivo de la ruta 108 PCH C, sobre Bulevar Minero, a la altura de Centro Cultural Hidalguense de esta ciudad, la Semot, a través su organismo sectorizado STCH, informa lo siguiente:</t>
  </si>
  <si>
    <t>Accidente de Transporte Público</t>
  </si>
  <si>
    <t>Una mujer embarazada resultó lesionada luego de que una camioneta presuntamente circulaba en sentido contrario y se impactara contra un puesto instalado con motivo de la feria del barrio del Carmen, sobre la avenida Zaragoza, en el municipio de Ixmiquilpan.De acuerdo con los primeros reportes, al interior del puesto descansaba un matrimonio cuando ocurrió el accidente. Tras el impacto, la mujer presentó lesiones y fue atendida por cuerpos de emergencia, quienes la trasladaron al Hospital Regional del Valle del Mezquital, debido a que presuntamente inició trabajo de parto.Información preliminar señala que el conductor abandonó el lugar tras el percance e intentó evadir su responsabilidad; sin embargo, fue localizado y asegurado momentos después por elementos de seguridad pública con apoyo de ciudadanos, en la zona centro del municipio.</t>
  </si>
  <si>
    <t>Una mujer perdió la vida la mañana de este lunes luego de un accidente de tránsito registrado sobre la carretera Tezontepec–San Juan Achichilco, a la altura del ejido de Acayutlán, en el municipio de Tezontepec de Aldama.De acuerdo con el reporte oficial, durante recorridos de seguridad y vigilancia, elementos policiales localizaron una motocicleta que presuntamente salió del camino. En el sitio también fue encontrada una mujer sin signos vitales.La unidad involucrada es una motocicleta marca Vento, modelo 300 GTS, color gris con verde y sin placas de circulación.</t>
  </si>
  <si>
    <t>Vecinos del fraccionamiento La Herradura, en Pachuca, Hidalgo, denunciaron la presunta agresión de una mujer y un hombre en contra de guardias de seguridad privada, luego de un conflicto generado por el ingreso de vehículos al complejo habitacional. A través de redes sociales comenzó a difundirse un video donde se observa a la pareja discutiendo con los vigilantes del lugar.</t>
  </si>
  <si>
    <t>Agresión</t>
  </si>
  <si>
    <t>Aumentan los fraudes bancarios en Hidalgo, tenga mucho cuidado por favor. Ya hay varias estrategias de seguridad que usted puede implementar para que no sea víctima de estos delincuentes. La Comisión Nacional para la Protección y Defensa de los Usuarios de Servicios Financieros, CONDUSEF, informó que al corte del 30 de junio se presentaron 1,341 denuncias por posibles fraudes bancarios en la entidad, un incremento del 12% respecto al mismo periodo del año anterior. El presidente de la CONDUSEF, Óscar Rosado Jiménez, señaló que las pérdidas económicas ya superan los 15 millones de pesos y advirtió que los delincuentes han perfeccionado sus métodos de engaño, AUDIO APOYO</t>
  </si>
  <si>
    <t>Alerta De Fraude</t>
  </si>
  <si>
    <t>Enfoque Regional Matutino</t>
  </si>
  <si>
    <t>Aumentan los fraudes bancarios en Hidalgo, tenga mucho cuidado por favor. Ya hay varias estrategias de seguridad que usted puede implementar para que no sea víctima de estos delincuentes. La Comisión Nacional para la Protección y Defensa de los Usuarios de Servicios Financieros, CONDUSEF, informó que al corte del 30 de junio se presentaron 1,341 denuncias por posibles fraudes bancarios en la entidad, un incremento del 12% respecto al mismo periodo del año anterior. El presidente de la CONDUSEF, Óscar Rosado Jiménez, señaló que las pérdidas económicas ya superan los 15 millones de pesos y advirtió que los delincuentes han perfeccionado sus métodos de engaño. El funcionario explicó que cuando las víctimas entregan voluntariamente sus datos personales, claves o información bancaria mediante ya sea llamadas, mensajes o páginas falsas, recuperar el dinero resulta mucho más complicado, por lo que hace un llamado a la población a no compartir información confidencial y siempre verificar la autenticidad de cualquier solicitud bancaria. Mucho ojo, si usted no siente confianza en alguna llamada bancaria, usted puede decirle: 'prefiero acudir a sucursal a verificar toda esta información'. AUDIO DE APOYO</t>
  </si>
  <si>
    <t>Rodolfo López</t>
  </si>
  <si>
    <t>En cabina, participación de Jorge Hernández, director de Comunicación Social del Ayuntamiento de Pachuca, con el tema: trabajos de reportes de la ciudadania comolo fueron faenas el fin de semana en colonias de Pachuca, Alumbrado público de La Palma, continuan el programa “Colonia x Colonia”, tambien informo sobre los cursos de verano en el parque de convivencias y el otro curso es en INMUDE de Pachuca Campamento de Verano se llevan a cabo en la Unidad Deportiva Municipal de Pachuca</t>
  </si>
  <si>
    <t>Participación</t>
  </si>
  <si>
    <t>Hidalgo se ubicó entre las entidades con mejores indicadores educativos del país en cobertura y eficiencia terminal de educación básica, así lo informó el secretario de Educación Pública Estatal Natividad Castrejón Valdés.El funcionario detalló que el estado alcanzó una cobertura del 96.7 por ciento en secundaria, lo que coloca a Hidalgo en el quinto lugar nacional, mientras que en eficiencia terminal obtuvo el sexto sitio en primaria con un 100 por ciento y el cuarto lugar en secundaria con 93.4 por ciento. Natividad Castrejón señaló que estos resultados reflejan el nivel de permanencia y conclusión de estudios en educación básica, así como el trabajo.</t>
  </si>
  <si>
    <t>Cobertura educativa</t>
  </si>
  <si>
    <t>Hidalgo se ubica entre los estados con mejores resultados del país en cobertura y permanencia escolar en educación básica. Así lo informó el secretario de Educación Pública, Natividad Castrejón Valdés, al destacar que la entidad ocupa el quinto lugar nacional en cobertura de secundaria con un 96.7%. Es decir, 97 de cada 100 adolescentes en edad de cursarla asisten a la escuela. Además, en eficiencia terminal Hidalgo alcanzó el sexto lugar nacional en primaria con un 100% y el cuarto lugar en secundaria con un 93.4%. El funcionario señaló que esos resultados reflejan el trabajo conjunto de docentes, directivos, familias y comunidades escolares y aseguró que el objetivo del gobierno de Julio Menchaca es garantizar que ninguna niña, niño o adolescente se quede sin la oportunidad de concluir su educación básica. AUDIO DE APOYO</t>
  </si>
  <si>
    <t>Tras dos cateos, SSPH desactiva dos centros de venta de droga en Actopan</t>
  </si>
  <si>
    <t>Combate Al Narcomenudeo</t>
  </si>
  <si>
    <t>Desde aquí, desde la redacción de Enfoque Regional, desde Super Estéreo, mandamos un abrazo y nuestro cariño y solidaridad al secretario de Educación Pública de Hidalgo, al licenciado Natividad Castrejón, por esta pérdida tan irreparable.</t>
  </si>
  <si>
    <t>Condolencias</t>
  </si>
  <si>
    <t>Conductor Eulalio Larrieta da sus condolencias al secretario Natividad Castrejón por el fallecimiento de su hermano Ignacio Castrejón Valdez.</t>
  </si>
  <si>
    <t>El Secretario de Educación Pública de Hidalgo, Natividad Castrejón Valdés, informó que durante el ciclo escolar 2025-2026 fueron integrados 5910 consejos de participación escolar en planteles de educación básica de las 12 regiones del estado, esto con el propósito de fortalecer la colaboración entre las familias, las escuelas y las autoridades educativas.El titular del Instituto Hidalguense de Educación señaló que como parte de esta estrategia se llevaron a cabo 18 capacitaciones regionales para 2806 madres, padres de familia y personas tutoras quienes recibieron orientación sobre las funciones y organización de estos consejos.</t>
  </si>
  <si>
    <t>Consejo de participación escolar</t>
  </si>
  <si>
    <t>Con relación a los hechos registrados la mañana de ayer, la SIPDUS informa que, en el paso deprimido del Río de las Avenidas, a la altura del viaducto Rojo Gómez y la colonia Real de Minas, en los carriles con dirección al centro de Pachuca de Soto, varios vehículos se vieron afectados por una rejilla que se desoldó debido a la carga vehicular continua de la vialidad</t>
  </si>
  <si>
    <t>Conservación de vialidades</t>
  </si>
  <si>
    <t>En lo que pues fue del mundial que ya terminó, los contagios de COVID-19 aumentaron en un 154 por ciento en la Ciudad de México, entidad que encabeza los registros de casos acumulados y muertes por esta enfermedad a nivel nacional. De acuerdo con cifras de la Secretaría de Salud Federal, desde el 13 de junio, dos días después de que inició el torneo, se habían contabilizado tres decesos y 124 casos confirmados mediante prueba, de los cuales 65 correspondían a mujeres; en tanto que hasta la semana pasada la dependencia reportó 316 contagios acumulados en la ciudad, lo que representa un incremento de 192 infecciones. A nivel nacional se reportaron 855 casos confirmados y 21 decesos en el mismo periodo. Las entidades de residencia con mayor número de casos de COVID-19 son Ciudad de México con 37 por ciento, Hidalgo, Estado de México, Zacatecas y Jalisco, así lo indicó la Secretaría de Salud Federal.</t>
  </si>
  <si>
    <t>Covid 19</t>
  </si>
  <si>
    <t>En otro hecho, cinco personas fueron detenidas tras ser señaladas por su presunta participación en el robo con violencia de un teléfono celular a una joven. Esto ocurrió en la zona limítrofe entre Tepeji del Río, aquí en el estado de Hidalgo, y Jilotepec, Estado de México. La detención se realizó durante un operativo conjunto entre la Secretaría de Seguridad del Estado de México y la Policía Municipal, luego de que la víctima solicitara apoyo. Los cinco detenidos fueron puestos a disposición del Ministerio Público, mientras se investiga su posible relación con una célula dedicada al robo de teléfonos celulares en esta región</t>
  </si>
  <si>
    <t>Es muy lamentable informar que Ignacio Nacho Castrejón Valdés, conocido como Nacho, exalcalde de Sombrerete, Zacatecas, hermano del secretario de Educación Pública de Hidalgo, Natividad Castrejón Valdés, fue localizado sin vida este pasado sábado a un costado de la carretera federal 45, esto en el tramo de la Carretera Federal 45 entre Sain Alto - Sombrerete, a la altura del entronque con la comunidad de Santa Anita.La información preliminar indica que el exfuncionario habría sido privado de la libertad horas antes en su domicilio por un grupo de hombres armados.</t>
  </si>
  <si>
    <t>Ejecuciones</t>
  </si>
  <si>
    <t>Triste noticia, una jornada marcada por distintos hechos en Zacatecas dejó al menos diez personas sin vida. Entre estas diez víctimas se encuentra Ignacio N., expresidente municipal de Sombrerete y hermano del secretario de Educación Pública de Hidalgo. De acuerdo con los primeros reportes, el exalcalde fue privado de la libertad por un grupo armado la noche del viernes, y su cuerpo fue localizado horas después a un costado de la carretera federal 45, entre Sain Alto y Sombrerete. Ya la fiscalía de Zacatecas inició una carpeta de investigación por homicidio y mantiene las indagatorias para identificar y detener a los responsables. Ojalá que se puedan realizar las investigaciones correspondientes; se hizo un llamado ya por parte de las autoridades para que se esclarezcan los hechos</t>
  </si>
  <si>
    <t>Tras la sentencia de siete años de prisión impuesta a cuatro integrantes del grupo delictivo “Los Hijos del Diablo “por el delito de extorsión, el presidente de la Comisión de Comunicaciones y Transportes del Congreso de Hidalgo, Juan Pablo Escalante Urban, se pronunció sobre el caso.Dijo que esta red de extorsión manejaba que se tenían que hacer unos depósitos en diferentes cuentas bancarias en bancos no muy comunes y para muchos nombres. Estos sentenciados también fueron condenados al pago de 18 millones 160 mil 500 pesos por concepto de reparación del daño a favor de las empresas de autobuses Baltazar, Autobuses México Tizayuca y Anexas así como de otras personas afectadas</t>
  </si>
  <si>
    <t>Extorsión</t>
  </si>
  <si>
    <t>En Atitalaquia fue inaugurada la nueva cancha de frontón de la unidad deportiva municipal, una obra que busca fortalecer el tejido social, fomentar el deporte y preservar una de las tradiciones con mayor arraigo en el municipio. Durante el acto de inauguración, el secretario de Gobierno de Hidalgo, Guillermo Olivares Reyna, destacó que el impulso al deporte es una prioridad del gobernador Julio Menchaca Salazar, al contribuir a la formación de las nuevas generaciones y a la construcción de entornos seguros- La obra, realizada con una inversión municipal de dos millones veintitantos mil pesos, cuenta con una infraestructura moderna para la práctica recreativa y competitiva del frontenis. . AUDIO DE APOYO</t>
  </si>
  <si>
    <t>Fomento Al Deporte</t>
  </si>
  <si>
    <t>Radioescucha reporta falta de agua en la colonia Rojo Gomez, llavamos mas de 2 semana sin agua, no tenems apoyo de nada por parte de Caasim, ni pipas de agua</t>
  </si>
  <si>
    <t>En el pueblo mágico de Tecozautla fue presentada una estrategia nacional muy interesante. Se llama Avanzamos por México. Está impulsada por la Secretaría de Turismo Federal y BBVA México para que prestadores de servicios turísticos puedan aceptar pagos electrónicos de forma sencilla desde sus dispositivos móviles. Y es que ya vemos muchos que, no es presunción, pero ya no utilizamos tanto el efectivo. Hay personas que o es transferencia o es uso de tarjetas o alguna otra forma de pago, pero el efectivo, las monedas, el papel moneda, pues ya no lo utilizan tanto. Por eso la estrategia que está impulsando el gobierno federal en trabajo constante es muy importante, el gobierno federal en pues también en trabajo constante.</t>
  </si>
  <si>
    <t>Impulso Al Turismo</t>
  </si>
  <si>
    <t>Hidalgo volvió a destacar a nivel nacional en innovación científica: estudiantes del CECyTE Hidalgo, plantel Chilcuautla, obtuvieron el primer lugar del Premio Nacional Juventud del Agua 2026, el certamen, hay que decirlo, más importante del país en materia hídrica. Zoé Angélica Guzmán Coronado y Alí Grez Escamilla ganaron con un proyecto que propone transformar residuos de hidrocarburos que contaminan los océanos en regeneradores de suelo mediante micorremediación y también pues una utilización alternativa y sustentable para que tenga un mejor impacto ambiental. Además del primer lugar nacional, recibieron el reconocimiento al impacto social y ciudadano, el primer lugar de la región oriente y una mención honorífica de ProNatura México. Con este resultado, las jóvenes hidalguenses perfilan para representar a México en el Stockholm Junior Water Prize, del concurso estudiantil más importante del mundo sobre agua y desarrollo sostenible. Felicidades a estos estudiantes del CECyTE Hidalgo, plantel Chilcuautla.</t>
  </si>
  <si>
    <t>Justa Académica</t>
  </si>
  <si>
    <t>Radioescucha pide a la presidencia municipal de Pachuca, hacer Faena</t>
  </si>
  <si>
    <t>La Secretaría de Seguridad Pública, Tránsito y Vialidad de Pachuca informó sobre la localización sana y salva de una adolescente de 12 años de edad, quien contaba con un reporte de búsqueda vigente, tras un operativo coordinado en la Central de Autobuses de la capital hidalguense.El éxito de este resguardo ciudadano se logró gracias a la inmediata comunicación entre la Central de Radio C4 y el personal operativo de la terminal terrestre, activando los protocolos de seguridad.Los oficiales municipales se trasladaron de urgencia a las instalaciones de la Central de Autobuses, ubicadas sobre el Bulevar Javier Rojo Gómez, tras recibir la alerta de extravío.</t>
  </si>
  <si>
    <t>Radioescucha reporta lámparas no funcionan en la colonia Miguel Hidalgo y llevan más de 3 o 5 semanas, esto en Circuito Estandarte de Guadalupe.</t>
  </si>
  <si>
    <t>Luminarias</t>
  </si>
  <si>
    <t>Dando conituidad a la conferencia de prensa semanal, Abraham Mendoza Zenteno, Delegado de Programas para el Desarrollo en Hidalgo, informó sobre el acompañamiento que se ha brindado a las familias afectadas, detallando las acciones que se han implementado para garantizar la entrega de apoyos y también el seguimiento a las personas damnificadas, AUDIO APOYO</t>
  </si>
  <si>
    <t>Delegación</t>
  </si>
  <si>
    <t>En la conferencia semanal también estuvo Julio Valera Piedras es el delegado de la Oficina de Representación de la Secretaría de Desarrollo Agrario, Territorial y Urbano (SEDATU) en el Estado de Hidalgo, quien explicó la logística que se ha implementado para atender la reubicación de las familias afectadas. AUDIO APOYO</t>
  </si>
  <si>
    <t>Hoy es lunes; como cada semana, el Gobierno del Estado de Hidalgo lleva a cabo su conferencia semanal. El secretario de Infraestructura Pública y Desarrollo Urbano Sostenible de la SIDDUS, Alejandro Sánchez García, informó sobre el avance de las acciones de reconstrucción emprendidas tras la emergencia provocada por la vaguada monzónica que impactó a la entidad en octubre de 2020, dejando afectaciones en 28 municipios, cobró la vida de más de 20 personas y dañó de manera considerable la infraestructura carretera y rehubicando a más de 2000 familias, por lo que las obras de recuperación continúan en distintas partes del estado. APOYO APOYO</t>
  </si>
  <si>
    <t>El municipio de Tepeji del Río cuenta con un nuevo espacio de arte urbano dedicado al futbolista hidalguense Raúl Jiménez. Se trata del mural "Un gol al cielo", una obra inaugurada como parte de las actividades del Encuentro Internacional de Arte Mural.La pieza artística busca reconocer la trayectoria deportiva del delantero mexicano, así como destacar su capacidad de resiliencia y el impacto que ha tenido como referente para nuevas generaciones de futbolistas.</t>
  </si>
  <si>
    <t>El alcalde Cristhian Martínez entregó la rehabilitación del pavimento asfáltico de la avenida tolteca en la comunidad de san marcos, aquí en tula de allende, una de las vialidades más importantes de la zona. la obra incluyó la rehabilitación de más de 2,645 metros cuadrados de pavimento y la instalación de 16 postes con luminarias led, mejorando la movilidad, la seguridad y la iluminación para quienes transitan diariamente por este corredor. la inversión fue de un millón 667 mil pesos. el presidente municipal destacó que estas acciones forman parte de la estrategia para modernizar la infraestructura urbana, recuperar espacios públicos y elevar la calidad de vida de las familias tulenses, AUDIO APOYO</t>
  </si>
  <si>
    <t>Obras De Infraestructura</t>
  </si>
  <si>
    <t>El alcalde Cristhian Martínez entregó la rehabilitación del pavimento asfáltico de la avenida tolteca en la comunidad de san marcos, aquí en tula de allende, una de las vialidades más importantes de la zona. la obra incluyó la rehabilitación de más de 2,645 metros cuadrados de pavimento y la instalación de 16 postes con luminarias led, mejorando la movilidad, la seguridad y la iluminación para quienes transitan diariamente por este corredor. la inversión fue de un millón 667 mil pesos. el presidente municipal destacó que estas acciones forman parte de la estrategia para modernizar la infraestructura urbana, recuperar espacios públicos y elevar la calidad de vida de las familias tulenses.</t>
  </si>
  <si>
    <t>El Instituto Hidalguense de Educación (IHE), a través de la Dirección de Programas Curriculares y el Departamento de Ciencia y Tecnología, implementó durante el ciclo escolar 2025-2026 el taller "Recuperación del medio ambiente con bombas de vida", con el objetivo de fortalecer la conciencia ambiental entre estudiantes de educación básica. El secretario de Educación Pública de Hidalgo y director general del IHE, Natividad Castrejón Valdez, señaló que esta estrategia busca formar una comunidad escolar comprometida con el desarrollo sostenible y la protección de los recursos naturales.</t>
  </si>
  <si>
    <t>Reforestación</t>
  </si>
  <si>
    <t>La Unidad de Rehabilitación de Fauna de Pachuca recibió un ejemplar de mono aullador de manto, especie catalogada en peligro de extinción, que fue entregado de manera voluntaria por ciudadanos en coordinación con la clínica veterinaria Grumeveth.Las personas que realizaron la entrega informaron que desconocían que la posesión de este tipo de fauna silvestre constituye un delito federal, por tratarse de una especie protegida por la legislación ambiental mexicana.Tras una valoración veterinaria, especialistas determinaron que se trata de una hembra de aproximadamente dos meses de edad, la cual presenta un cuadro de diarrea, por lo que actualmente permanece bajo tratamiento para estabilizar su estado de salud.De manera paralela, la Unidad de Rehabilitación de Fauna inició las gestiones ante la Procuraduría Federal de Protección al Ambiente (PROFEPA) para trasladar al ejemplar a un centro especializado, donde continuará su proceso de rehabilitación con la finalidad de que, cuando las condiciones lo permitan, pueda ser reintegrado a su hábitat natural.</t>
  </si>
  <si>
    <t>Rescate de especies</t>
  </si>
  <si>
    <t>El Centro INAH Hidalgo, a través de un comunicado publicado en su página oficial de Facebook, informó que la resolución del Segundo Tribunal Colegiado del Vigésimo Noveno Circuito, con sede en Pachuca, no implica que el sitio patrimonial de Huapalcalco pierda su calidad como Zona de Monumentos Arqueológicos (ZMA), ya que su protección está determinada por la Ley Federal sobre Zonas y Monumentos Arqueológicos e Históricos. En virtud de su relevancia histórica, cita la publicación, el Instituto Nacional de Antropología e Historia (INAH) mantiene su trabajo de protección, conservación, investigación, puesta en valor y difusión en Huapalcalco. El Centro INAH Hidalgo puntualiza en su publicación que, la ZMA de Huapalcalco, ubicada en Tulancingo, mantiene plenamente vigente su protección jurídica por lo que continúa resguardada bajo el marco legal aplicable para la salvaguarda del patrimonio arqueológico de la nación. Reiteró, además, su firme compromiso con la protección, conservación, investigación y difusión de este recinto, así como con la defensa de su integridad y preservación para las generaciones presentes y futuras, en estricto cumplimiento de la legislación en materia de patrimonio cultural. Esto, luego de que la asociación civil Niebla y Tiempo señalara que quedaría sin efecto el decreto presidencial de 2023 que declaró a Huapalcalco como ZMA.</t>
  </si>
  <si>
    <t>El desarrollo del cuarto informe de Gobierno del Poder Ejecutivo en el Estado de Hidalgo está considerado que sea el próximo 4 de septiembre en Pachuca, así ha sido comentado ya, por parte del mandatario Julio Menchaca Salazar, se carece de la sede, pero ya se está considerando que será el próximo 4 de septiembre.</t>
  </si>
  <si>
    <t>Informe De Gobierno</t>
  </si>
  <si>
    <t>CECyTE Hidalgo, primer lugar en Premio Nacional Juvenil del Agua</t>
  </si>
  <si>
    <t>Tras dos cateos, SSPH desactiva dos centros de venta de droga en Actopan.</t>
  </si>
  <si>
    <t>Se impulsa el uso de herramientas tecnológicas para cobro de servicios.</t>
  </si>
  <si>
    <t>En atención a las solicitudes de habitantes de diversas colonias del municipio, el diputado Aldo Meza Hernández se sumó a las jornadas de bacheo organizadas por vecinas y vecinos, mediante la donación de 10 toneladas de asfalto caliente y el apoyo para la renta de maquinaria durante el tiempo requerido para los trabajos.</t>
  </si>
  <si>
    <t>Bacheo</t>
  </si>
  <si>
    <t>Entrevista vía telefónica Edmundo Ramírez Martínez, director general del Colegio de Estudios Científicos y Tecnológicos del Estado de Hidalgo (CECyTEH) - Habló sobre el premio que ganaron Zoé Angélica Guzmán Coronado y Ali Gress Escamilla, estudiantes del plantel Chilcuautla, quienes ganaron el primer lugar en el Premio Nacional Juvenil del Agua, la premiación se llevó a cabo en la Embajada de Suecia en México, contando con el aval del Stockholm International Water Institute. Asimismo, destacó que este año el CECyTEH ha logrado destacar en diversas competencias nacionales gracias al talento de las y los estudiantes, pero, sobre todo, dijo, “Gracias al gobernador Julio Menchaca, que desde el primer día de su gobierno le ha apostado a la educación, a la ciencia y a la tecnología”.</t>
  </si>
  <si>
    <t>CEDSPI entregará lentes gratuitos en comunidades de Xochiatipan y Atlapexco.</t>
  </si>
  <si>
    <t>Salud Visual</t>
  </si>
  <si>
    <t>CECyTE Hidalgo, primer lugar en Premio Nacional Juvenil del Agua.</t>
  </si>
  <si>
    <t>Nueva cancha de frontón en Atitalaquia impulsa el deporte y fortalece la convivencia social.</t>
  </si>
  <si>
    <t>Locutor Juan Carlos Santamaría envía condolencias al secretario de Educación Pública de Hidalgo, Natividad Castrejón por el sensible fallecimiento de su hermano, Ignacio Castrejón Valdez.</t>
  </si>
  <si>
    <t>Hidalgo destaca a nivel nacional por cobertura y permanencia en educación básica</t>
  </si>
  <si>
    <t>En vivo desde la conferencia matutina, Jan Carlos Santamaría informó que, da inicio la conferencia con la presentación de las y los funcionarios que estarán participando son: Erika Toledo, titular de la Comisión Estatal de Vivienda; el secretario de Infraestructura Pública y Desarrollo Urbano Sostenible, Alejandro Sánchez García; además, del Delegado en Hidalgo de la Sedatu, Julio Valera Piedras y el Delegado de Programas para el Bienestar en la entidad, Abraham Mendoza Zenteno. Los funcionarios han sido presentados por el titular de Comunicación Gubernamental del Gobierno del Estado, Edmundo Pineda López.</t>
  </si>
  <si>
    <t>Escuchando la participación de Alejandro Sánchez García, secretario de Infraestructura Pública y Desarrollo Urbano Sostenible, dio a conocer los pormenores de las intervenciones en los municipios que fueron afectados por las lluvias en octubre pasado, asimismo, se han anunciado las giras de trabajo que estará realizando durante esta semana, el gobernador del Estado, Julio Menchaca Salazar, justamente, para dar cuenta sobre los avances en cuanto a apoyos en estos municipios afectados por las lluvias, informó locutor Juan Carlos Santamaría.</t>
  </si>
  <si>
    <t>Como resultado del creciente interés de las y los egresados de bachillerato por formar parte de la Universidad Intercultural del Estado de Hidalgo (UICEH), la institución abrió una nueva y última convocatoria de admisión para el semestre agosto-diciembre 2026. La UICEH se ha consolidado como una institución referente en la educación superior intercultural del estado y del país, entre sus logros más recientes destaca la obtención de la certificación internacional de su Sistema de Gestión para Organizaciones Educativas bajo la norma ISO 21001:2018, reconocimiento que acredita la calidad de sus procesos institucionales y su compromiso con la mejora continua. Asimismo, la universidad obtuvo el reconocimiento por parte de la Secretaría de Salud como Universidad Promotora de la Salud, fortaleciendo acciones orientadas a promover estilos de vida sanos, la prevención y el bienestar integral de estudiantes, docentes y personal administrativo. Ubicada en el corazón de la Sierra Otomí-Tepehua, en el municipio de Tenango de Doria, la UICEH ofrece un modelo educativo intercultural que integra el conocimiento científico con los saberes de los pueblos originarios, promoviendo una formación profesional con sentido humanista, compromiso social y respeto por la diversidad cultural y lingüística. Uno de los principales apoyos para la permanencia escolar es el acceso a diversos programas de becas, entre ellos la Beca Jóvenes Escribiendo el Futuro, que permite a estudiantes en situación de vulnerabilidad continuar sus estudios superiores con un respaldo económico que contribuye a reducir la deserción escolar y ampliar las oportunidades educativas. En esta nueva etapa de admisión, la Universidad Intercultural del Estado de Hidalgo ofrece espacios para ingresar a las licenciaturas en Enfermería, Turismo Alternativo, Producción Agropecuaria Sustentable, Derecho Intercultural, Arte y Diseño Digital, Lengua y Cultura, Desarrollo Sustentable e Ingeniería Civil Sustentable. Con el propósito de facilitar el proceso de registro, la UICEH habilitó su plataforma digital, mediante la cual las y los aspirantes pueden realizar su solicitud de ficha a través del portal institucional www.uiceh.edu.mx desde el 14 de julio y hasta el 4 de agosto, para que presenten el examen de admisión presencial el próximo 5 de agosto. La documentación requerida en formato PDF consiste en: acta de nacimiento, certificado de secundaria, certificado de bachillerato o constancia de terminación de estudios con promedio, CURP y comprobante de domicilio. Las personas interesadas pueden consultar la información completa en el portal institucional www.uiceh.edu.mx, así como en las redes sociales oficiales de la universidad. También pueden solicitar informes al correo difusion@uiceh.edu.mx o al teléfono 771 247 4012. Con esta nueva convocatoria, la Universidad Intercultural del Estado de Hidalgo refrenda su compromiso de ampliar las oportunidades de acceso a una educación superior pertinente, inclusiva y de calidad, formando profesionistas capaces de contribuir al desarrollo sostenible de sus comunidades y de la entidad.</t>
  </si>
  <si>
    <t>Oferta educativa</t>
  </si>
  <si>
    <t>Durante la participación de Erika Toledo, titular de la Comisión Estatal de Vivienda, informó que, la institución que encabeza, se ha estado encargando de dar la validación a terrenos propicios en la sierra y la huasteca donde puedan reubicarse las viviendas, de total contemplado de dos mil 800 viviendas, al momento, son dos mil 390 las que continúan en este proceso de reubicación.</t>
  </si>
  <si>
    <t>Como parte del fortalecimiento de la estrategia de seguridad en Pachuca, el alcalde Jorge Reyes impulsa la instalación de 556 cámaras de videovigilancia que permitirán ampliar la cobertura de monitoreo, prevenir delitos y mejorar la capacidad de respuesta de las corporaciones policiales. Del total de equipos, 300 corresponden al sistema de videovigilancia del Gobierno del Estado de Hidalgo, mientras que 256 son instalados por el Gobierno de Pachuca mediante una inversión destinada a modernizar la infraestructura tecnológica del municipio. Los dispositivos estarán distribuidos en puntos estratégicos de la ciudad para reforzar la vigilancia en vialidades, espacios públicos, zonas comerciales y áreas de alta afluencia, lo que permitirá una reacción más oportuna ante cualquier situación de emergencia. Asimismo, esta infraestructura fortalecerá las operaciones del Centro de Comando y Control, al facilitar el monitoreo en tiempo real, mejorar la coordinación entre las corporaciones de seguridad y generar mayores capacidades para la prevención e investigación de hechos delictivos. La incorporación de estas 556 cámaras representa una de las mayores ampliaciones de infraestructura tecnológica en materia de seguridad para Pachuca, al fortalecer de manera sustancial la capacidad de vigilancia del municipio y dotar a las corporaciones de herramientas más eficaces para proteger a la población y preservar el orden público.</t>
  </si>
  <si>
    <t>Videovigilancia</t>
  </si>
  <si>
    <t>Como parte del compromiso permanente por fortalecer la seguridad y brindar mejores condiciones para las y los singuiluquenses, la presidenta municipal, Yazmín Dávila, asistió a la entrega de patrullas realizada por el Gobierno del Estado de Hidalgo, acto en el que el municipio de Singuilucan fue beneficiado con una nueva unidad, que permitirá reforzar las labores de vigilancia, prevención del delito y atención oportuna a la ciudadanía. Además, con la firma de convenio con la Secretaria de Seguridad Pública de Hidalgo, se adquirieron 30 kits de cámaras de videovigilancia, integrados por 90 cámaras. Esta entrega forma parte de la estrategia estatal para el fortalecimiento de las corporaciones policiales municipales, impulsada por el gobernador Julio Menchaca, en coordinación con el secretario de Seguridad Pública de Hidalgo, Salvador Cruz Neri, con el objetivo de dotar a los municipios de mejores herramientas para salvaguardar la integridad y el patrimonio de las familias hidalguenses. Esto permitirá incrementar la capacidad operativa de la Dirección de Seguridad Pública, Vialidad y Tránsito Municipal, mejorando los tiempos de respuesta ante emergencias, fortaleciendo los recorridos de vigilancia y contribuyendo a una mayor presencia policial en las distintas comunidades del municipio, en beneficio de la población. La administración encabezada por la presidenta municipal Yazmín Dávila refrenda su compromiso de continuar gestionando recursos y trabajando de manera coordinada con los diferentes órdenes de gobierno para fortalecer la seguridad pública y construir un municipio más seguro para todas y todos.</t>
  </si>
  <si>
    <t>En un paso decisivo para brindar mejores condiciones de protección a las familias tulancinguenses, el Gobierno de Tulancingo entregó una nueva flotilla de patrullas, vehículos de emergencia, uniformes, equipo táctico y tecnología de última generación para la Secretaría de Seguridad Ciudadana. Durante la entrega del equipamiento se destacó el respaldo permanente del gobernador Julio Menchaca Salazar, a través de la Secretaría de Seguridad Pública de Hidalgo (SSPH), instancia que, además de mantener un acompañamiento operativo y jurídico a la corporación municipal, realizó la donación de dos patrullas que fortalecen el parque vehicular de Tulancingo. El acto fue encabezado por la presidenta municipal, Lorena García Cázares, y contó con la presencia del secretario de Gobierno de Hidalgo, Guillermo Olivares Reyna, así como del secretario de Seguridad Pública del Estado, Salvador Cruz Neri, quienes refrendaron el compromiso del Gobierno de Hidalgo de continuar trabajando de manera coordinada para fortalecer la seguridad, la paz social y la tranquilidad de las familias tulancinguenses.</t>
  </si>
  <si>
    <t>Entrega de patrullas</t>
  </si>
  <si>
    <t>En vivo desde la cobertura de la conferencia matutina del Gobierno del Estado, informó sobre la participación del delegado de la Sedatu, Julio Valera Piedras quien dio a conocer las acciones que desde el gobierno federal se están llevando a cabo en Hidalgo, en apoyo a las familias de las comunidades afectadas por las lluvias. Ha dado a conocer que se determinaron localidades de 23 municipios de la entidad en situación de riesgo, en un primer momento, se hizo un padrón de poco más de dos mil 800 viviendas que sería susceptibles de ser reubicadas. En ese sentido, Julio Valera Piedras comentó, que ha sido muy complicado encontrar terrenos propicios para esta reubicación, sobre todo, en la parte de la sierra y la huasteca hidalguense, sin embargo, dijo, han continuado trabajando en ese tenor, de acuerdo las instrucciones que ha dado la propia presidenta de México, Claudia Sheinbaum Pardo con el respaldo del gobernador Julio Menchaca.</t>
  </si>
  <si>
    <t>Durante su intervención en la conferencia matutina de Gobierno del Estado, Abraham Mendoza Zenteno, delgado de los Programas para Bienestar, informó que, cuando se presentó el momento de la emergencia por las lluvias, fueron más de mil 700 servidores públicos de 14 entidades, quienes, con 240 vehículos se sumaron en auxilio de la población durante la vaguada monzónica.</t>
  </si>
  <si>
    <t>El Instituto Hidalguense de Educación (IHE), a través de la Dirección de Programas Curriculares y el Departamento de Ciencia y Tecnología, realizó durante el ciclo escolar 2025-2026 el taller “Recuperación del medio ambiente con bombas de vida” en escuelas de educación básica de la entidad, con el propósito de fortalecer la conciencia ambiental entre la comunidad escolar. El secretario de Educación Pública de Hidalgo y titular del IHE, Natividad Castrejón Valdez, destacó que esta estrategia responde a la visión del gobernador Julio Menchaca Salazar de impulsar una educación con sentido social, ambiental y humanista, que forme ciudadanas y ciudadanos comprometidos con el desarrollo sostenible y el cuidado de los recursos naturales. Señaló que el taller fo menta la participación de estudiantes y figuras educativas en proyectos interdisciplinarios de educación ambiental mediante actividades teóricas y prácticas para la elaboración de bombas de vida, esferas de arcilla con semillas de especies nativas que favorecen la recuperación de áreas verdes y promueven el equilibrio con el entorno. Asimismo, explicó que esta iniciativa fortalece los principios de la Nueva Escuela Mexicana (NEM) al incorporar la educación ambiental como un eje transversal de la formación integral de niñas, niños y adolescentes, mediante experiencias de aprendizaje con impacto en sus comunidades. El titular del IHE indicó que la técnica utilizada se basa en el método japonés Nendo Dango, que consiste en elaborar esferas de arcilla con semillas de árboles endémicos de la región donde serán dispersadas.</t>
  </si>
  <si>
    <t>Trabajo coordinado permite a Hidalgo alcanzar 40 procuraciones de órganos y tejidos en 2026</t>
  </si>
  <si>
    <t>Donación De Órganos</t>
  </si>
  <si>
    <t>Un fuerte accidente vial registrado la noche del viernes 17 de julio sobre el bulevar de acceso a este municipio, a la altura del Hospital Regional, dejó como saldo múltiples pasajeros lesionados y una intensa movilización de los cuerpos de emergencia. De acuerdo con reportes locales, el incidente consistió en un choque por alcance en el que se vieron involucradas una camioneta particular marca Nissan, color blanco, y una unidad de transporte público tipo Urvan. Debido a la fuerza del impacto, varios de los usuarios que viajaban a bordo de la colectiva resultaron con contusiones en diversas partes del cuerpo. El siniestro generó el despliegue inmediato de elementos de la Policía Municipal, así como de personal de Protección Civil y paramédicos de la región. Los rescatistas brindaron los primeros auxilios en el lugar a los pasajeros afectados. Debido a la naturaleza de sus lesiones, varias personas tuvieron que ser canalizadas a distintos hospitales de la zona para recibir atención médica especializada. Elementos de seguridad pública local quedaron a cargo de la vialidad y del resguardo de los vehículos siniestrados para realizar los peritajes correspondientes y deslindar responsabilidades entre los conductores.</t>
  </si>
  <si>
    <t>Accidente transporte público</t>
  </si>
  <si>
    <t>Una unidad de transporte público de la ruta Xochiatipan–Huejutla protagonizó un aparatoso accidente sobre la carretera que conecta ambos municipios, a la altura del crucero de Ohuatipa. De acuerdo con los primeros reportes, el conductor de una camioneta tipo Urvan perdió el control del vehículo por causas que aún no han sido determinadas y terminó impactándose de frente contra un poste de telefonía ubicado a un costado de la vía. El accidente generó momentos de tensión entre los pasajeros, quienes se llevaron un gran susto tras el fuerte choque. De manera extraoficial, se informó que el poste evitó que la unidad se precipitara hacia un barranco contiguo a la carretera, lo que pudo haber derivado en un accidente de mayores consecuencias. Hasta el momento, las autoridades no han informado las causas que originaron el percance. Será a través de los peritajes correspondientes como se determine la mecánica del accidente y las posibles responsabilidades. Mientras tanto, se exhorta a los automovilistas y operadores del transporte público a conducir con precaución, especialmente en este tramo carretero, caracterizado por sus curvas y pendientes.</t>
  </si>
  <si>
    <t>Cuatro personas resultaron lesionadas la mañana de este sábado 18 de julio, luego de que una unidad del transporte público chocase contra un árbol tras verse involucrada en un accidente con un vehículo particular sobre la avenida Revolución El percance ocurrió a la altura de la estación Manuel Dublán del Tuzobús (Sistema de Transporte Metropolitano), donde estuvieron involucrados un vehículo tipo sedán y una colectiva correspondiente a la ruta 87 PCH C. De acuerdo con la información recabada por la Secretaría de Seguridad Pública, Tránsito y Vialidad de Pachuca, la persona que conducía el automóvil particular habría realizado un corte de circulación a la unidad de transporte público. Esta maniobra provocó que el conductor de la colectiva perdiera el control y terminara impactándose contra un árbol ubicado en la zona; tras el reporte del accidente, elementos de la policía municipal y paramédicos de la Cruz Roja acudieron al lugar para atender a las personas involucradas y realizar la valoración de los pasajeros. Como resultado del choque, cuatro personas presentaron lesiones, entre ellas el conductor de la unidad del servicio público. Según el reporte proporcionado por la Cruz Roja, todos los involucrados presentaban exclusivamente lesiones superficiales y ninguna presentaba heridas consideradas de gravedad. Aunque no fue necesario reportar personas en estado crítico, el personal de emergencia expidió los pases médicos correspondientes para que los afectados pudieran recibir seguimiento y atención en caso de requerirlo. Personal del Sistema de Transporte Convencional de Hidalgo (STCH) también acudió al lugar para dar seguimiento al accidente y recabar información sobre las condiciones en las que operaba la unidad involucrada. Luego de revisar la documentación, la Dirección de Vigilancia y Supervisión del organismo determinó que tanto el conductor como la colectiva contaban con los permisos y documentos requeridos para prestar el servicio. El STCH señaló que proporcionará a las autoridades la información que le sea solicitada durante las investigaciones para establecer cómo ocurrió el accidente y determinar la responsabilidad de las personas involucradas. Por otro lado, tanto el vehiculo particular como la unidad del transporte público fueron retirados del lugar y quedaron bajo resguardo de la Secretaría de Seguridad Pública Municipal de Pachuca. Las unidades permanecerán aseguradas mientras se realizan las diligencias correspondientes y se lleva a cabo el deslinde de responsabilidades. Asimismo, autoridades reiteraron el llamado a conducir con precaución y respetar las condiciones de circulación para reducir el riesgo de nuevos accidentes.</t>
  </si>
  <si>
    <t>Un hombre perdió la vida y otro resultó lesionado durante un enfrentamiento armado registrado en la colonia Salvador Allende, en Ciudad Sahagún, el cual presuntamente se originó durante la compraventa de una camioneta. Los primeros reportes únicamente advertían sobre detonaciones de arma de fuego en ese sector. Sin embargo, información recabada posteriormente señala que las personas involucradas habían acordado reunirse para concretar la compra-venta de un vehículo. De manera preliminar, trascendió que quienes se presentaron como vendedores habrían citado a los posibles compradores con la intención de despojarlos del dinero destinado al pago de la camioneta. La situación derivó en un intercambio de disparos debido a que los compradores también portaban armas, escenario que presuntamente no había sido previsto por las personas señaladas como responsables del intento de robo. Durante el enfrentamiento, uno de los supuestos participantes en el asalto recibió impactos de arma de fuego y perdió la vida en el lugar. Otro hombre quedó lesionado y fue trasladado a un hospital para recibir atención médica; no obstante, hasta ahora no se ha informado cuál es el estado de salud del herido ni se ha dado a conocer la identidad de la persona fallecida. Hasta el momento, tampoco se ha emitido algún reporte oficial por parte de seguridad estatal, ni por parte de la autoridad. Por ello, la versión relacionada con el presunto intento de asalto, así como la participación atribuida a vendedores y compradores, se mantiene en carácter preliminar. Será a partir de las investigaciones que se establecerán las responsabilidades legales.</t>
  </si>
  <si>
    <t>Enfrentamiento</t>
  </si>
  <si>
    <t>Luego de una denuncia ciudadana, elementos de la Secretaría de Seguridad Pública, en conjunto con personal de reglamentos de Pachuca, lograron detener a un grupo de personas acusadas de de vender boletos falsificados para los conciertos del Palenque de la Feria de Pachuca 2026. Los agentes aseguraron cientos de boletos que tras una revisión se determinó que presentaban una mala impresión, así como hologramas de seguridad, códigos QR y de barras duplicados, mala calidad del papel y mala tipografía, lo que confirmó la falsificación. Los implicados fueron puestos a disposición del Ministerio Público, donde se determinará su situación jurídica. Tras el hecho, las autoridades han reforzado los operativos de vigilancia en los diferentes puntos de venta de boletos, además se pide a la ciudadanía a denunciar cualquier actividad sospechosa. Los estafadores ofrecían los boletos a precio más bajo o incluso al doble del precio original; además presumían que los habían conseguido como “cortesía” o que habían salido de última hora y ante la alta demanda por asegurar el ingreso a los eventos, buscaban engañar a las personas. Las investigaciones preliminares revelan que los presuntos estafadores se movían entre los asistentes, identificando a quienes buscaban boletos de último minuto. Aprovechaban la confusión y la emoción del público para ofrecer accesos "exclusivos" o "de cortesía", argumentando que provenían de contactos internos o cancelaciones de último momento. Recientemente, Julio Menchaca Salazar, gobernador de Hidalgo, anunció que analizarán medidas para combatir la reventa de boletos porque desde un día antes del inicio de la comercialización se formaron filas en las taquillas.</t>
  </si>
  <si>
    <t>Palenque Feria Pachuca</t>
  </si>
  <si>
    <t>La delegación de Programas para el Bienestar en Hidalgo publicó la convocatoria 2026 del programa Vivienda para el Bienestar para los municipios de Actopan, Mixquiahuala, Huautla, Zapotlán de Juárez y Zempoala. La inscripción de interesados será del 20 de julio al 2 de agosto en los municipios citados donde se prevén las edificaciones este año por parte de la Comisión Nacional de Vivienda. A través de redes sociales, la dependencia indicó que el programa está dirigido a personas mayores de edad, preferentemente con dependientes económicos, que no cuenten con vivienda propia y no sean derechohabientes de Infonavit, Fovissste u otra institución de vivienda. En otros requisitos se señala que el ingreso familiar en los interesados debe ser menor a dos salarios mínimos; es decir, 17 mil 800 pesos mensuales. Las sedes habilitadas para la inscripción son: el auditorio de la presidencia de Actopan; el gimnasio de usos múltiples de Mixquiahuala de Juárez; la galera del barrio Alto Ejido, en Huautla; la Unidad Deportiva Metropolitana de Acayuca, en Zapotlán de Juárez, y el auditorio ejidal de Tepemazalco, en Zempoala. Los interesados en adquirir una vivienda por medio de un financiamiento accesible y sin intereses deberán acudir a alguno de los módulos de registro con original y copia de identificación vigente con fotografía. Así como con la Clave Única de Registro de Población (CURP) del solicitante y sus dependientes económicos, de impresión reciente; comprobante de domicilio, con antigüedad no mayor a tres meses y comprobante o declaración de ingresos, recibo de pago reciente o formato de declaración de ingresos.</t>
  </si>
  <si>
    <t>Plan Nacional De Vivienda</t>
  </si>
  <si>
    <t>Después de tres días de protesta, este viernes habitantes de Palma Gorda y La Higa en Mineral de la Reforma, decidieron levantar el bloqueo en la avenida San José, que impedía continuar con los trabajos para la construcción de las vías del tren AIFA-Pachuca, esto tras llegar a acuerdos con la Secretaría de la Defensa Nacional (Sedena). Refugio Mendoza Canales, presidente del comité de obras de Palma Gorda, informó que luego de una segunda reunión que tuvieron con representantes de la Defensa Nacional, obtuvieron respuestas a sus peticiones, entre ellas la reparación de la carretera principal de la localidad. Fue después de las 16:30 horas del 17 de julio que empezaron a retirar el bloqueo que impedía el paso de vehículos pesados relacionados con la obra del tren. Protesta que inició el pasado miércoles 15 del mismo mes. En entrevista para El Universal Hidalgo, el también secretario del comité ejidal de Pachuquilla, recordó que la noche del jueves 16 sostuvieron reunión con autoridades federales, donde hubo acuerdos previos, pero se comprometieron a revisar las solicitudes de los inconformes y darles respuesta al día siguiente. La cita estaba programada para alrededor del mediodía del viernes 17, sin embargo fue hasta pasadas las 16:00 horas cuando entablaron la segunda reunión, donde los quejosos quedaron satisfechos con los acuerdos. En entrevista previa, Alejandra Labra Vargas, delegada de Palma Gorda, comentó que la noche del jueves entregaron su pliego petitorio en el que solicitaron arreglar la carretera que resultó afectada por el paso de camiones pesados. Además, dijo, pidieron la obra pendiente del drenaje que ya habían manifestado en mesas anteriores, y que le den mantenimiento a las vías alternas que los encargados de las obras han utilizado. “Firmamos una nota donde estaban los puntos de acuerdo. Haciéndonos la entrega del oficio de manera formal (este viernes), nosotros retiramos el plantón, ya con que nos entreguen el oficio porque ya hicieron lectura de él”, comentó previamente.</t>
  </si>
  <si>
    <t>Tren AIFA</t>
  </si>
  <si>
    <t>El Ayuntamiento de Apan rechazó la propuesta de donar una fracción del recinto ferial a la Secretaría de Educación Pública (SEP) para la construcción de un plantel del Bachillerato Nacional Margarita Maza, al no alcanzarse la mayoría calificada requerida para autorizar la desincorporación y donación del inmueble. Durante la sesión extraordinaria, la presidenta municipal, María Zorayda Robles Barrera, defendió la iniciativa al señalar que el municipio tenía la oportunidad de garantizar el derecho a la educación de jóvenes que actualmente no tienen acceso al nivel medio superior. Argumentó que el recinto ferial fue validado por las instancias federales como un predio viable y advirtió que el plazo otorgado por la SEP para concretar la donación vencía ese mismo día, por lo que, de no aprobarse, se perdería el proyecto educativo. Sin embargo, la mayoría de los integrantes del cabildo de Apan que votaron en contra coincidieron en que no rechazaban la construcción del bachillerato, sino la ubicación propuesta y la forma en que se presentó el asunto. Entre los principales argumentos exp uestos estuvieron que el proyecto llegó "al cuarto para la hora", sin tiempo suficiente para un análisis técnico y jurídico; que el recinto ferial representa un patrimonio municipal adquirido con recursos públicos y destinado a actividades de interés colectivo; y que existen otras alternativas de predios que podrían evaluarse sin sacrificar esa infraestructura. También señalaron que el terreno carece de condiciones óptimas de urbanización, al presentar problemas de drenaje, agua potable, transporte y servicios, además de que no se les entregaron dictámenes técnicos suficientes que acreditaran su viabilidad. La regidora Samantha Alonso Noriega sostuvo que la propia SEP informó en mesas de trabajo que las clases podían iniciar en instalaciones temporales mientras se localizaba un terreno adecuado, por lo que consideró que no existía una urgencia que justificara donar el recinto ferial. Añadió que el municipio sí cuenta con recursos para adquirir otro predio y cuestionó la falta de planeación de la administración municipal. Por su parte, la regidora Gloria Hernández Madrid argumentó que el procedimiento presentaba inconsistencias jurídicas, entre ellas la falta de dictámenes de las comisiones correspondientes, dudas sobre la naturaleza jurídica del inmueble y la ausencia de un procedimiento de desi ncorporación plenamente sustentado. Asimismo, señaló que el valor catastral utilizado en el expediente no reflejaba la inversión realizada en el recinto ferial y pidió analizar otras opciones antes de desprenderse de un bien municipal. El regidor Vicente Maravilla Flores también anunció su voto en contra al considerar que primero debían evaluarse todas las alternativas disponibles, incluso propuestas del ejido de Apan, y cuestionó que el asunto apenas hubiera sido turnado a la comisión correspondiente el mismo día de la sesión.</t>
  </si>
  <si>
    <t>Donación De Predio</t>
  </si>
  <si>
    <t>El gobierno municipal de Pachuca abrió nuevas investigaciones administrativas y penales derivadas de presuntas irregularidades detectadas durante la gestión del exalcalde Sergio Baños Rubio. El secretario general, Eduardo Trejo Lino, informó que, además de las carpetas de investigación ya conocidas, existen otros expedientes en integración relacionados con la administración anterior, aunque evitó revelar detalles para no afectar el debido proceso. "Sí, hay otros eventos, efectivamente, pero no queremos dar información especulativa ni que se politice. La justicia no se debe politizar ni para bien ni para mal", declaró. Las declaraciones se dieron luego de que el Ayuntamiento turnó a las comisiones de Gobernación y de Transparencia y Anticorrupción un punto de acuerdo presentado por la regidora Nadia Reyna Camacho para solicitar a la Fiscalía Anticorrupción agilizar las investigaciones por presuntos delitos de peculado, negociaciones indebidas, uso ilícito de atribuciones, ejercicio indebido del servicio público y otros posibles ilícitos atribuidos a exintegrantes del gobierno de Sergio Baños. El secretario municipal señaló que el Ayuntamiento solicitará un informe actualizado sobre el estado que guardan las carpetas de investigación para conocer si existen diligencias pendientes y dar seguimiento a los procedimientos iniciados contra exfuncionarios de la pasada administración. Entre los exfuncionarios que aún tienen pendientes administrativos y penales con la presidencia se mencionó a Gabriela Morales, quien fungió como secretaria de Administración en la gestión 2020-2024, y quien actualmente desempeña un cargo en el gobierno del estado. El secretario agregó que el gobierno municipal ya hizo del conocimiento de la Procuraduría General de Justicia del Estado las observaciones detectadas, por lo que corresponderá al Ministerio Público determinar si existen conductas constitutivas de delito.</t>
  </si>
  <si>
    <t>Denuncia Exalcalde</t>
  </si>
  <si>
    <t>El sitio arqueológico de Huapalcalco, en no pierde la protección legal, ni la conservación de los vestigios, aseguró Manuel Villarruel Vázquez, director de la delegación en el Estado de Hidalgo del Instituto Nacional de Antropología e Historia (INAH) en Hidalgo. La declaración se ofrece luego de que en conferencia de prensa, integrantes de la asociación civil “Niebla y Tiempo” aseguraran que el Tribunal Colegiado del 29º Distrito Judicial dictó la sentencia en el sentido de revocar en forma definitiva el decreto presidencial que establece a Huapalcalco como Zona de Monumentos Arqueológicos. Villarruel Vázquez dijo al respecto que la sentencia obliga al INAH a responder, de manera fundada y motivada, las observaciones presentadas por un ciudadano dentro del procedimiento administrativo relacionado con la declaratoria de protección del sitio arqueológico. La sentencia citada fue emitida con fecha 8 de junio de este año, dando respuesta al juicio de amparo indirecto bajo el número de expediente 1340/2022-5. Dicho recurso legal fue presentado por un particular, reclamando que de la poligonal, de 20 hectáreas de extensión, establecida en el decreto presidencial publicado el 5 de junio del 2023, 5 hectáreas son de su propiedad, sin ser notificado de que se tomaría como parte de la Zona de Monumentos Arqueológicos. El funcionario federal dijo desconocer sobre las declaraciones ofrecidas por los integrantes de la asociación civil, pero insistió que la sentencia legal no modifica la situación legal hacia Huapalcalco, así como la protección legal con la que cuenta. “Lo que el juez determina es que el Instituto debe atender el derecho constitucional de audiencia de un ciudadano y responder conforme a la ley. No se está combatiendo la declaratoria ni los valores arqueológicos del sitio”, señaló. Enfatizó que la Ley Federal sobre Monumentos y Zonas Arqueológicos, Artísticos e Históricos establece desde 1972 que todos los bienes arqueológicos son propiedad de la nación y cuentan con protección legal, por lo que la resolución del tribunal no elimina el decreto vigente.</t>
  </si>
  <si>
    <t>Daniel Martínez envía sus condolencias al Secretario de Educación de Hidalgo, Natividad Castrejón Valdez por el fallecimiento de su hermano Ignacio Castrejón Valdez en Zacatecas.</t>
  </si>
  <si>
    <t>Vía telefónica Horacio González, corresponsal de W Radio en Zacatecas y titular de noticias en Grupo Platas en este mismo estado informa que en Zacatecas hay un control mu sutil de la delincuencia organizada, aun cuando se ha dicho en las ultimas semanas, las autoridades han dicho que los homicidios dolosos han disminuido en las últimas semanas. Señala que los hechos del pasado sábado con una forma de que la delincuencia organizada dice al gobierno y al pueblo quien manda ahí por la forma en que fueron exhibidos los 10 cuerpos en dos diferentes puentes vehiculares y el otro en una carretera donde encontró el cuerpo de Nacho Castrejón (sic) quien fuera alcalde de Sombrerete habla de un terrorismo y generó temor en la población. en este sentido, dijo que las autoridades han re victimizado a las víctimas de manera innecesaria, pues 5 de esas víctimas eran consumidores de sustancias. Reitera que en este estado la delincuencia organizada sigue controlando muchas cosas.</t>
  </si>
  <si>
    <t>Como fue anunciado en una reciente rueda de prensa y con motivo de la próxima celebración de la festividad patronal en honor a Nuestra Señora de los Ángeles, el Gobierno Municipal de Tulancingo, a través de la Dirección de Bomberos y Protección Civil, impartió una capacitación teórico-práctica sobre el uso y manejo adecuado de extintores a 70 integrantes del gremio feriero. Esta actividad forma parte de la estrategia permanente de la Secretaría de Seguridad Ciudadana para fortalecer la cultura de la protección civil, promoviendo que quienes participan en eventos de concentración masiva cuenten con los conocimientos básicos para prevenir riesgos. Durante la capacitación, realizada en las instalaciones de Bomberos, los asistentes aprendieron los procedimientos correctos para el manejo de extintores portátiles, así como las medidas de seguridad necesarias para atender un conato de incendio. Asimismo, se informó que durante la Feria de los Angelitos se instalarán estratégicamente 10 extintores de 50 kilogramos y ocho de 34 kilogramos. De manera adicional, cada expositor deberá contar en su espacio con un extintor propio de, al menos, 4.5 kilogramos, como parte de las medidas obligatorias de prevención. El director de Bomberos y Protección Civil, Jesús García Ávila, reconoció la disposición y participación de los ferieros, quienes mostraron interés en adquirir herramientas y conocimientos que no solo serán de utilidad durante el desarrollo de la feria. Durante el periodo ferial, la Dirección de Bomberos y Protección Civil mantendrá presencia preventiva mediante recorridos de supervisión, operativos de vigilancia y revisiones de las condiciones de seguridad, incluyendo la verificación de instalaciones eléctricas y de las áreas con mayor concentración de personas, con el propósito de brindar certeza y protección a expositores y visitantes.</t>
  </si>
  <si>
    <t>Capacitación</t>
  </si>
  <si>
    <t>Un Centro de Mando Móvil C2, ocho patrullas, así como ocho patrullas, unidades móviles para la atención de emergencias por parte del cuerpo municipal de Bomberos de Protección Civil, fueron entregados por autoridades del Gobierno del Estado de Hidalgo y de la administración de Tulancingo. La entrega fue realizada este sábado 18 de julio en ceremonia realizada en el jardín La Floresta, en el centro de la ciudad, donde además se entregaron tres mil 634 piezas de uniformes para la corporación local de seguridad pública, junto con 40 chalecos antibalas.En su mensaje, la alcaldesa Lorena García Cázares señaló que la entrega del Centro de Mando Móvil, así como de las unidades y los uniformes son inversiones que responden al reforzamiento de la seguridad en el municipio. Enfatizó que las nuevas patrullas y motocicletas incrementarán la presencia policial en distintos puntos del municipio. Destacó que el C2 móvil permitirá acercar la tecnología de vigilancia a cualquier punto del territorio, facilitando la coordinación y la atención inmediata de incidentes. El Centro de Mando Móvil podrá conectarse directamente con la infraestructura del C4 municipal para monitorear en tiempo real cualquier zona del municipio y fortalecer la coordinación de los operativos Dicha unidad cuenta con un dron con estación de aterrizaje, seis cámaras PTZ, cuatro cámaras fijas, una cámara tipo domo y dos estaciones de trabajo para monitoristas especializados. Así como una sala de monitoreo con capacidad para cuatro personas, un mástil plegable de diez metros equipado con cámaras y un sistema antidrones. Respecto a las patrullas, se trata de ocho camionetas, dos donadas por el gobierno estatal, y las restantes, adquiridas por la administración municipal de Tulancingo. De estas, una es una Patrulla Violeta para la atención de delitos de género y otra más está adaptada para la Unidad Canina de la Dirección de Seguridad Pública de Tulancingo. Para la Dirección de Protección Civil y Bomberos fueron entregadas una camioneta tipo pickup, una unidad minibomba de ataque rápido, un vehículo tipo RZR y cuatro motocicletas destinadas a reducir los tiempos de respuesta ante emergencias. En su intervención, el secretario de Seguridad Pública de Hidalgo, Salvador Cruz Neri, reconoció que aún existen retos importantes como incrementar la plantilla policial, fortalecer la certificación de los elementos y mantener programas permanentes de prevención del delito. Por su parte, el Secretario General de Gobierno estatal, Guillermo Olivares Reyna, destacó que la entrega se realizó en un espacio público, para transparentar las acciones públicas hacia la población.</t>
  </si>
  <si>
    <t>En los exámenes y pruebas a elementos de seguridad pública, así como de tránsito y movilidad que se les realizan en el Centro de Evaluación, Control y Confianza, dependiente de la Secretaría de Seguridad Pública de Hidalgo (SSPH), se detecta si algún elemento o aspirante tiene alguna situación de salud emocional. Lo anterior fue declarado por Salvador Cruz Neri, titular de la SSPH, en el contexto de un elemento de que un elemento de la policía vial que laboraba en León, Guanajuato, atentó contra su propia vida. El oficial tenía su uniforme puesto y se encontraba en servicio al momento de arrojarse el pasado 14 de julio desde la parte alta del distribuidor vial Juan Pablo II, en la salida a Silao al oriente de la ciudad, perdiendo la vida. Previo a este acto, el elemento de la policía vial publicó en sus redes sociales un video donde señaló que tenía tiempo con depresión, haciendo llamado a sus conocidos a que priorizaran su salud mental. “Por favor, siempre tomen como primordial su salud mental y no dejen que nadie juegue con ustedes, que sus emociones dependan de ellos. Quiéranse, cuídense mucho, estén con su familia, valórense”, expresó. Por su parte, en entrevista ofrecida tras participar en la entrega de unidades motoras y equipamiento para elementos policiacos en Tulacingo, Cruz Neri aseguró que es durante las evaluaciones y pruebas que se les hace a los elementos policiacos cuando se puede detectar si alguno presenta una situación de salud emocional y mental que se deba atender. “Por eso es que se llega a evaluar y se atiende con todo gusto; se notifica al presidente o presidenta municipal y se le da seguimiento en la dependencia que se pueda dar y que corresponda (por medio de instancias de salud)”. El mando policiaco estatal no ofreció datos sobre la cantidad de uniformados que fueron detectados con alguna situación de salud emocional o mental, necesaria de atender.</t>
  </si>
  <si>
    <t>Salud Mental</t>
  </si>
  <si>
    <t>En el Arenal, se llevan a cabo congresos de Morena. En estas asambleas se ha notado la presencia de diferentes corrientes internas, haciendo eco de las elecciones anticipadas. Destacaron diversas críticas sobre la situación de algunos miembros de Morena, como Susana Ángeles, que ahora enfrenta el desafío de mantener su apoyo dentro del partido mientras lidia con la presión mediática. El partido está promoviendo proyecciones de un video de López Obrador a nivel nacional, planificado para atraer a los jóvenes, una estrategia que podría ser efectiva para algunos. Estas actividades reflejan una forma de lidiar con la crisis actual del partido y mantener el interés político. Se menciona el caso de un exgobernador procesado por corrupción, lo que resalta el entorno complicado en el que opera el partido. También se habla sobre la trayectoria de una funcionaria que tuvo un papel importante en Tizayuca. Su continuo trabajo sugiere que puede ser un activo valioso para Morena. Tatiana Ángeles Moreno y Susana Ángeles están compitiendo por una posición en Actopan, donde Tatiana podría ser la primera mujer presidenta municipal. La renovación de las seccionales de Morena está en juego, y si Tatiana no gana apoyo, podría beneficiar a Imelda Cuellar, la actual alcaldesa. Tatiana y Susana Ángeles han mostrado interés en participar en las elecciones de 2028 y han mantenido reuniones con líderes del partido, que demuestran una relación cordial. Sin embargo, algunos críticos piensan que Tatiana no ha hecho suficiente trabajo de campo. Se sugiere que en el partido hay diferentes corrientes y que las rivalidades deben mantenerse en privado para no mostrar divisiones ante la militancia y el público. La unidad es necesaria debido a las crisis del partido, y las diferencias entre candidatos probablemente se verán reflejadas en futuras encuestas. Hay especulaciones sobre reformas electorales que podrían cambiar el proceso para elegir a alcaldes, lo que podría afectar las elecciones municipales y de gubernaturas. Se prevé una reforma que podría establecer paridad de género en las candidaturas. Esto plantea dilemas sobre si los próximos candidatos deben ser hombres o mujeres, especialmente en Actopan, donde existe un debate sobre la continuidad de mujeres en el cargo. También se menciona que muchos hombres han expresado sus aspiraciones, y no está claro cómo se manejará esto si cambian las reglas para las candidaturas. Además, el proceso electoral a nivel municipal es delicado. La ley ya aprobó que la próxima gubernatura sea por un periodo de dos años, lo que podría crear conflictos en la lógica de la paridad. Se anticipa que haya negociaciones entre diferentes partidos que afecten a Morena en las elecciones de 2028. Así, el rumbo electoral sigue siendo incierto con varias variables en juego que podrían influir en el futuro político de la región. El Partido del Trabajo El Verde Ecologista está esperando cambios relacionados con la gubernatura de Hidalgo, especialmente para que Cuauhtémoc Ochoa pueda avanzar con su plan B. Ochoa tiene dos opciones: mantener su proyecto actual que dura dos años o lanzarse como candidato. La iniciativa para estas reformas debe estar lista antes del 15 de septiembre, que es 90 días antes del proceso electoral que inicia el 15 de diciembre de 2026. Además, se debe prestar atención a las 17 gubernaturas importantes, ya que Hidalgo tiene una posición privilegiada, aunque su impacto político podría ser limitado.</t>
  </si>
  <si>
    <t>Morena</t>
  </si>
  <si>
    <t>Partidos</t>
  </si>
  <si>
    <t>Con relación al accidente de tránsito ocurrido esta mañana, en el que se vio involucrada una unidad particular tipo sedán y una unidad del servicio de transporte público en la modalidad de colectivo de la ruta 87 PCH C, sobre avenida Revolución, a la altura de la estación Manuel Dublán del Sistema de Transporte Metropolitano, la Secretaría de Movilidad y Transporte (Semot), a través su organismo sectorizado Sistema de Transporte Convencional de Hidalgo (STCH), informa lo siguiente:</t>
  </si>
  <si>
    <t>Para este 20 de julio se pronostican intervalos de chubascos (5 a 25 mm), temperaturas máximas de 30 a 35 °C y rachas de viento de hasta 50 km/h en el estado de Hidalgo. Evita cruzar ríos, arroyos o calles inundadas. Mantente hidratado y evita la exposición prolongada al sol. Asegura objetos que puedan desprenderse por el viento y conduce con precaución.</t>
  </si>
  <si>
    <t>Hay un protesta en San Andrés Daboxtha en la carretera que une El Cardonal con Ixmiquilpan y fue necesario habilitar una vía alterna para que los vehículos puedan transitar entre estas dos localidades. Sigue vigente este bloqueo</t>
  </si>
  <si>
    <t>Andrés Torres envía sus condolencias al Secretario de Educación de Hidalgo, Natividad Castrejón Valdez por el fallecimiento de su hermano Ignacio Castrejón Valdez en Zacatecas.</t>
  </si>
  <si>
    <t>Nueva cancha de frontón en Atitalaquia</t>
  </si>
  <si>
    <t>Iniciativa Cadena de Amor del DIF Hidalgo acerca a niñas y niños de atención prioritaria al campo</t>
  </si>
  <si>
    <t>Cadena de amor</t>
  </si>
  <si>
    <t>Como parte del fortalecimiento de la estrategia de seguridad en Pachuca, el alcalde Jorge Reyes impulsa la instalación de 556 cámaras de videovigilancia que permitirán ampliar la cobertura de monitoreo, prevenir delitos y mejorar la capacidad de respuesta de las corporaciones policiales. Del total de equipos, 300 corresponden al sistema de videovigilancia del Gobierno del Estado de Hidalgo, mientras que 256 son instalados por el Gobierno de Pachuca mediante una inversión destinada a modernizar la infraestructura tecnológica del municipio. Los dispositivos estarán distribuidos en puntos estratégicos de la ciudad para reforzar la vigilancia en vialidades, espacios públicos, zonas comerciales y áreas de alta afluencia, lo que permitirá una reacción más oportuna ante cualquier situación de emergencia. Asimismo, esta infraestructura fortalecerá las operaciones del Centro de Comando y Control, al facilitar el monitoreo en tiempo real, mejorar la coordinación entre las corporaciones de seguridad y generar mayores capacidades para la prevención e investigación de hechos delictivos.</t>
  </si>
  <si>
    <t>Integra IHE 5 mil 910 Consejos de Participación Escolar</t>
  </si>
  <si>
    <t>Intercambio de experiencias</t>
  </si>
  <si>
    <t>El secretario titular de la Unidad de Planeación y Prospectiva de Hidalgo, Miguel Ángel Tello Vargas, explicó a través de sus redes sociales el funcionamiento del Programa de Vivienda para el Bienestar, impulsado por la Comisión Nacional de Vivienda, la CONAVI. El funcionario detalló aspectos relacionados con la operación de este programa, cuyo objetivo es facilitar el acceso a una vivienda para sectores de la población que enfrentan mayores dificultades para adquirir una casa , AUDIO APOYO</t>
  </si>
  <si>
    <t>Gabinete de Seguridad de Hidalgo vigila incremento del río Tamoyón en Huautla.</t>
  </si>
  <si>
    <t>Radio Lobo 96.7 FM</t>
  </si>
  <si>
    <t>Enlace Noticias</t>
  </si>
  <si>
    <t>Con tres nuevos paradores, fortalece gobierno de Hidalgo el Corredor Artesanal de la Huasteca Hidalguense</t>
  </si>
  <si>
    <t>Corredor artesanal</t>
  </si>
  <si>
    <t>Gina Lorenzo</t>
  </si>
  <si>
    <t>Protección Civil mantiene operativo preventivo en Hidalgo</t>
  </si>
  <si>
    <t>Gobierno de México entregó más de mil 802 millones de pesos directamente a familias afectadas en Hidalgo,AUDIO APOYO</t>
  </si>
  <si>
    <t>Huracán Priscilla</t>
  </si>
  <si>
    <t>Gobierno estatal y federal fortalecen trabajo conjunto para apoyar a familias afectadas por la vaguada monzónica ,AUDIO APOYO</t>
  </si>
  <si>
    <t>Brigadas brindarán atención personalizada para agilizar el acceso a apoyos de vivienda en municipios afectados, AUDIO APOYO</t>
  </si>
  <si>
    <t>Bajo el argumento de defender el sustento de las familias locales, transportistas aglutinados de la Confederación Autónoma de Trabajadores y Empleados de México en Tianguistengo levantaron la voz para denunciar públicamente al presidente municipal, Febronio Rodríguez, por presunto acaparamiento de obra pública y prácticas monopolísticas en el municipio. Y es que los camioneros de la región expusieron que mientras ellos han respaldado de manera solidaria al municipio, incluso enviando unidades de forma voluntaria gratis para laborar pues en los desastres causados por las lluvias el año pasado, en octubre del año pasado, hoy la administración municipal les da la espalda, no los toma en cuenta para los trabajos formales de reconstrucción.</t>
  </si>
  <si>
    <t>Irregularidades alcalde</t>
  </si>
  <si>
    <t>Hidalgo tendrá en septiembre uno de sus principales retos deportivos del año al convertirse en sede de la Gimnasiada Nacional 2026, competencia escolar que reunirá a más de mil atletas de todo el país y que pues servirá como una prueba para la infraestructura deportiva de la entidad. El certamen organizado por la Federación Mexicana de Deporte Escolar llegará por primera vez a Hidalgo luego de sus ediciones anteriores en Puebla. Esperarán una participación superior a los 5,000 deportistas quienes competirán en nueve disciplinas: estamos hablando de atletismo, natación, judo, karate, taekwondo, ajedrez, fútbol, béisbol y esgrima. El evento también será una prueba para la renovada Ciudad Deportiva y de Alto Rendimiento, de acuerdo con Óscar Pérez, director del Instituto Hidalguense del Deporte, al considerar que permitirá medir la capacidad del estado rumbo a futuros compromisos, entre ellos —ojalá que sí— la Olimpiada Nacional 2027.Sin duda, ser sede nacional aquí en Hidalgo pues voltea los ojos a nivel nacional e internacional. Ahora con esta Gimnasiada Nacional, si Hidalgo pasa la prueba, estoy completamente seguro que el próximo año 2027 aquí se realizará la Olimpiada Nacional. Veremos qué es lo que sucede, mucho éxito a todos los chicos que llegan a Hidalgo para esta Gimnasiada. AUDIO DE APOYO.</t>
  </si>
  <si>
    <t>Hidalgo tendrá representación en los Juegos Centroamericanos y del Caribe Santo Domingo 2026, muy buenas noticias. El titular del deporte estatal, Óscar Pérez Rojas, acompañó a la presidenta Claudia Sheinbaum Pardo y al director de la CONADE, Rommel Pacheco, durante el abanderamiento de la delegación mexicana. Los atletas hidalguenses que vestirán los colores de México son Uriel Gómez Tagle en taekwondo, Édgar Cadena en ciclismo, Carolina Millán en tenis y Javier Cruz en boxeo; además, Iván Aguilar será suplente en ciclismo de montaña y Uriel Capó integrará la delegación como entrenador de ajedrez. Éxito para estos hidalguenses allá en Santo Domingo, en el Caribe, para este año en los Juegos Centroamericanos.</t>
  </si>
  <si>
    <t>La Secretaría de Seguridad Pública de Hidalgo recuperó un vehículo de alta gama robado en una plaza comercial de Pachuca y detuvo al presunto responsable durante un operativo coordinado con el C5i. Tras el reporte al 911, el seguimiento mediante la red de videovigilancia y los arcos carreteros permitió ubicar la unidad cuando intentaba salir del estado sobre la carretera México-Pachuca, esto a la altura de Tizayuca. Al verificar la identidad del conductor, las autoridades confirmaron que contaba con cinco órdenes de aprehensión vigentes, toda una fichita.Y derivado de una denuncia anónima, la Fiscalía General de la República obtuvo autorización de un juez para ejecutar un cateo en un inmueble ubicado en la colonia San Miguel de los Jagüeyes, municipio de Huehuetoca, en el cual probablemente se llevaba a cabo la comercialización ilícita de hidrocarburo. En el inmueble las autoridades aseguraron aproximadamente 2,805 litros de hidrocarburo, cuatro mangueras de longitudes diversas, una pistola de despacho de gasolina y tres cubitanques con capacidad de mil litros cada uno. A qué tanto llega el cinismo que a veces ya parecen minigasolineras algunas viviendas que comercializan huachicol y que en algunos casos hasta se ven las filas esperando el turno de los ciudadanos, vaya situación.</t>
  </si>
  <si>
    <t>Recuperación De Vehículos Robados</t>
  </si>
  <si>
    <t>En Zempoala también están enojados los transportistas; hicieron un paro pacífico en el fraccionamiento Viñedos. Denunciaron que la empresa constructora les adeuda más de cuatro millones ochocientos mil pesos y que pues no dan una solución. AUDIO DE APOYO</t>
  </si>
  <si>
    <t>Hay una situación en la industria textilera. Mire, las personas, los comerciantes que se dedican a esto, los productores de la industria aquí en Hidalgo de los textiles, se enfrentan a tres factores importantes: número uno, la fayuca, la piratería; número dos, la competencia desleal; y por último, en las últimas fechas, los aranceles. Y es que ante el aumento del contrabando de ropa, siete de cada diez empresas de la industria del vestido en Hidalgo diversificaron su producción para mantenerse en operaciones, casi casi para mantenerse con vida. Así lo informó el presidente de la Cámara Nacional de la Industria del Vestido en la entidad, Guillermo Vera Rodríguez. Explicó que desde 2017 las empresas comenzaron a fabricar uniformes para hospitales, escuelas, gasolineras, restaurantes, tiendas de autoservicio y corporativos, ya que este tipo de prendas especializadas no pueden ser sustituidas fácilmente por mercancía ilegal, por piratas. El dirigente señaló que la medida respondió al impacto del contrabando, la baja en el consumo interno y, ya le decía yo, las dificultades para exportar, obligando al sector a buscar nuevas oportunidades de mercado para preservar su actividad económica.</t>
  </si>
  <si>
    <t>Contrabando</t>
  </si>
  <si>
    <t>Román Bernal Díaz, subsecretario de Protección Civil y Gestión de Riesgos de Hidalgo, confirmó el sismo registrado en el municipio de Mixquiahuala. El movimiento telúrico no requirió atención ciudadana por su ligera magnitud. AUDIO DE APOYO.</t>
  </si>
  <si>
    <t>Sismo</t>
  </si>
  <si>
    <t>La Subsecretaría de Protección Civil y Gestión de Riesgos de Hidalgo mantiene vigilancia permanente por las lluvias y reportó afectaciones atendidas en municipios de la Sierra Alta, Sierra Gorda, Sierra Otomí-Tepehua y la Comarca Minera. Para los próximos días se pronostican lluvias y tormentas eléctricas, por lo que Protección Civil pide evitar cruzar ríos, no resguardarse bajo árboles y mantenerse informado únicamente por canales oficiales. AUDIO DE APOYO</t>
  </si>
  <si>
    <t>Hidalgo se consolidó como uno de los principales representantes nacionales en turismo comunitario durante la segunda edición de la Gran Escapada 2026. Del 18 al 21 de junio participaron 59 establecimientos que generaron una derrama económica de 737 millones de pesos. La secretaria de Turismo, Elizabeth Quintanar Gómez, destacó que el turismo comunitario fue el segmento con mayor presencia en la entidad al ofrecer experiencias ligadas a la cultura, la gastronomía y las tradiciones de las comunidades. En esta edición los giros con mayor participación fueron alimentos y bebidas, hospedaje y agencias de viajes, mientras que Pachuca y Acaxochitlán encabezaron la actividad turística.</t>
  </si>
  <si>
    <t>Turismo Comunitario</t>
  </si>
  <si>
    <t>COMENTARIO LOCUTOR: Sí, esa vía es una de las más complicadas cuando llueve, sobre todo en los tramos de San Agustín Tlaxiaca y también la bajada de San José, ya en territorio del municipio del Arenal. En ambos sentidos siempre se generan grandes baches y esa situación sin duda afecta a los automovilistas que circulan por esa importante vía. Ya lo señaló, sí es una carretera federal, es la México-Laredo, pero sin duda los hoyos, los baches no saben si es de qué instancia municipal, estatal o federal y que se tiene que atender esta situación y que ya lo están haciendo estas brigadas.</t>
  </si>
  <si>
    <t>El Secretario de Infraestructura Pública y Desarrollo Urbano Sostenible de Hidalgo, Alejandro Sánchez García, aseguró que el Estado mantiene un programa permanente de conservación y rehabilitación de carreteras y calles para garantizar la seguridad de las y los usuarios, especialmente durante la temporada de lluvias. El funcionario explicó que las precipitaciones aceleran el deterioro de la carpeta asfáltica, provocando la aparición de baches y afectaciones en diversos tramos, por lo que ya brigadas de la dependencia realizan trabajos continuos de bacheo, reencarpetamiento y atención a puntos críticos en distintos municipios. AUDIO DE APOYO</t>
  </si>
  <si>
    <t>La Comisión Nacional de Vivienda en Hidalgo detectó ya al menos cinco casos en los que delincuentes piden dinero a los afectados para supuestamente realizar los trámites para acceder a los apoyos por las recientes lluvias. Hay que tener mucho cuidado porque también en algunos casos los delincuentes buscan la manera de tener los elementos oficiales, en este caso ilegales, falsos, para seguir engañando a las personas. Tenga mucho cuidado, corrobore la información si es necesario, informarse a través de los canales oficiales, llamar directamente a las instituciones, hágalo para que estas personas no cometan su objetivo. AUDIO DE APOYO</t>
  </si>
  <si>
    <t>El gabinete de seguridad de Hidalgo mantiene vigilancia permanente por las lluvias. En Huautla fue cerrado de manera preventiva el paso vehicular sobre el río Tamoyón 1, debido al incremento en su caudal. Este cierre afecta a siete comunidades, aunque las autoridades aclararon que no están incomunicadas, ya que existen rutas alternas mientras se rehabilita el paso. En la última semana también se atendieron la caída de siete árboles, un encharcamiento y dos deslaves. En materia de seguridad pública, fue recuperado un vehículo de lujo robado en Pachuca. Además, en Atotonilco de Tula y Tizayuca aseguraron dos tractocamiones con reporte de robo. En Tepeapulco, un intento de asalto durante la compra de una camioneta pactada por redes sociales, dejó a una persona sin vida, un lesionado y dos detenidos. También fueron asegurados más de 12,000 litros de combustible ilegal, más de 3,300 dosis de droga y 21 personas detenidas. Finalmente, en Tasquillo rescataron a cuatro personas extraviadas y localizaron a 15 personas, 13 de ellas con ficha de búsqueda.</t>
  </si>
  <si>
    <t>Radioescucha Sr. Fidel reporta muchos baches en Ferrocarril Central en Santa Julia, pide que las autoridades realicé su trabajo, ya se reporto anteriormente y manda fotos y videos</t>
  </si>
  <si>
    <t>Radioescucha reporta alimentadora 15c, que sube de la Central a Punta Azul; traía un tubo zafado solo para detenernos los que veníamos parados.</t>
  </si>
  <si>
    <t>Alimentadoras Tuzobús</t>
  </si>
  <si>
    <t>Radioescucha reporta taxi con número económico 3689 en el Medallón, que cobró 70 pesos de Santa Julia a San Chárbel, ampliación Santa Julia.</t>
  </si>
  <si>
    <t>Alteración tarifa de transporte</t>
  </si>
  <si>
    <t>Radioescucha reporta a una micro con número 44, ruta Centro – San Judas Tadeo; quería atropellarnos en la colonia Carboneras, se bajó y dijo que le pegue a su camioneta y hasta un cabezazo me dio. Pide a las autoridades apoyo, ya que quiere proceder legalmente.</t>
  </si>
  <si>
    <t>Radioescucha pide apoyo para que Cassim deje más tiempo el agua, ya que ayer pusieron el agua a las 6 y solo la dejaron una hora y no dio tiempo de apartar agua, esto en San Juan, colonia Guadalupe, atrás de Prepa 4</t>
  </si>
  <si>
    <t>Radioescucha Sra. Lupita reporta falta de agua en la colonia Santiago Jaltepec desde hace 15 días</t>
  </si>
  <si>
    <t>Radioescucha reporta falta de agua en colonia Felipe Ángeles, llevamos más de 20 dias sin agua</t>
  </si>
  <si>
    <t>Radioescucha reporta falta de agua en Valle del Palmar, llevamos más de 8 días sin agua</t>
  </si>
  <si>
    <t>Radioescucha reporta falta de agua. Ya lleva más de 15 días que no tenemos agua en colonia 11 de Julio en primera y segunda sección.</t>
  </si>
  <si>
    <t>Radioescucha reporta que no tuvo respuesta en su reporte de falta de agua en Rojo Gómez, se tuvo que comprar una pipa privada</t>
  </si>
  <si>
    <t>Participación Roberto Rico con el tema: con el tema creación del nuevo municipio”El municipio metropolitano” . Hoy se ha abierto un debate nuevo aquí en la zona metropolitana de Pachuca con el tema de la creación de un municipio denominado el municipio metropolitano, que se considera como el municipio o la construcción de un municipio, que sería el municipio 85 del estado de Hidalgo. Para mi es la expresión de un enorme problema urbano y administrativo, que se ha acumulado por el paso de algunos años para los miles e habitantes que viven en alrededor de 30 fraccionamientos, cuyos servicios, responsabilidades y trámites se encuentran repartidos entre los municipios de Pachuca , Mineral de la Reforma y en Zempoala y pues parece haber provocado que muchas familias no sepan con claridad, a qué autoridad deben dirigirse para que les pueda responder por diversos problemas.Algunos de los problemas con los cuales se enfrentan son la falta de agua, la falta de drenaje sanitario, falta de drenaje trubial, falta de alumbrado público, falta del servicio de recolección de basura, falta del servicio de vigilancia o de seguridad pública en el municipio y la falta de atención a las vialidades. Las personas no solamente están solicitando una nueva estructura política,sino que están reclamando el derecho a vivir con calidad.No con cantidad.</t>
  </si>
  <si>
    <t>Municipalización</t>
  </si>
  <si>
    <t>Radioescucha agradece a Caasim por ir a reparar las fugas de agua en San Cayetano</t>
  </si>
  <si>
    <t>La presidenta honorífica del Patronato del Sistema Municipal DIF, Samantha Esparza Hernández, y el acalde de Mineral de la Reforma, Eduardo Medécigo Rubio, inauguraron el curso “Un verano DIFerente con Mineralito”, mismo que se desarrollará en la Unidad Deportiva y Centro de Alto Rendimiento Centenario (MIRE) y el Centro Mineralense de las Artes (CEMART).Durante el inicio, el presidente municipal agradeció la confianza de las madres y padres de familia por inscribir a sus hijas e hijos, al mismo tiempo que les dio una cálida bienvenida a las instalaciones. “Nos encanta la idea de que hayan venido. Pásensela muy bien, diviértanse mucho, están en su casa y pueden disfrutar plenamente de todas las actividades programadas”, expresó el edil.Ante la presencia de cientos de infantes, Eduardo Medécigo y Samantha Esparza reconocieron el trabajo de todos los colaboradores que acompañarán a las y los participantes durante el curso, así como de las diversas áreas que colaboraron para la realización de esta actividad. También, confirmaron que en cada uno de los puntos en los que se realiza el curso, se cuenta con médicos y psicólogos.A este curso, el cual concluirá el próximo 14 de agosto, asistieron un total de 400 menores (200 en cada sede) y 60 en los Puntos de Innovación, Libertad, Arte, Educación y Saberes (PILARES). Los grupos están divididos por edades: de 4 – 5 años, de 6 – 9 años y de 10 – 14 años.</t>
  </si>
  <si>
    <t>Curso de verano</t>
  </si>
  <si>
    <t>En cabina, participación de Jorge Hernández, director de Comunicación Social del Ayuntamiento de Pachuca, con el tema: trabajos de reportes de la ciudadania, ayer ya se checaron los semafóros de Prismas, se realizó faena en las colonias, preguntaron radioescuchas en donde se puede sugerir la proxima visita del programa “Colonia x Colonia” y sobre el constante bacheo en todo el municipio</t>
  </si>
  <si>
    <t>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t>
  </si>
  <si>
    <t>Ordenamiento ecológico</t>
  </si>
  <si>
    <t>Avanza la cuarta fase de la reconstrucción en Hidalgo con nuevas obras para recuperar infraestructura y servicios, AUDIO APOYO</t>
  </si>
  <si>
    <t>Gabinete de Seguridad de Hidalgo vigila incremento del río Tamoyón en Huautla</t>
  </si>
  <si>
    <t>El Secretario de Infraestructura Pública y Desarrollo Urbano Sostenible, Alejandro Sánchez, informó que la nueva Estación de Bomberos “José María Morelos y Pavón” , que se construye en lo que era el poliforum del mismo nombre, llevó un avance del 99%, por lo que en breve será inaugurada. Detalló que para esta obra se invirtieron más de 34 millones de pesos y aún faltan adecuaciones para permitir la entrada y salida de vehículos de emergencia. Estas instalaciones también serán sede de la Subsecretaría de Protección Civil y Gestión de Riesgos del Estado de Hidalgo, AUDIO APOYO</t>
  </si>
  <si>
    <t>La presidenta Claudia Sheinbaum Pardo destacó que, con una inversión estimada de 181 mil millones de pesos (mdp), al 2030 se realizarán 152 proyectos como parte del Plan Nacional de Infraestructura Hospitalaria: 50 hospitales nuevos, 47 ampliaciones, así como 55 sustituciones y mejoras mayores; con ello se pasará de 96 mil 966 a 106 mil 105 camas en seis años, lo que representa el número de crecimiento de camas más grande desde que se tienen datos.</t>
  </si>
  <si>
    <t>Infraestructura hospitalaria</t>
  </si>
  <si>
    <t>La Comisión Nacional de Vivienda (Conavi) habilitó módulos presenciales en cinco municipios de Hidalgo para registrar a personas interesadas en acceder al programa Vivienda para el Bienestar, dirigido principalmente a familias que no cuentan con casa propia ni tienen acceso a créditos del Infonavit, Fovissste u otra institución. Los puntos de atención se encuentran en Actopan, Mixquiahuala de Juárez, Huautla, Zapotlán de Juárez y Zempoala. Las personas interesadas deberán acudir al módulo que les corresponda con su documentación completa, debido a que la falta de alguno de los requisitos podría impedir que el trámite sea realizado.</t>
  </si>
  <si>
    <t>Locutor Jesús Riveros da lectura a comentario de radioescucha que señala: Quiero denunciar que somos varios padres de familia que no estamos de acuerdo con el Comité de Padres de Familia de la Escuela Federico A. Corzo porque existe mucha presión para obligarnos a aceptar que se pongan las cámaras de videovigilancia, considerando que la privacidad de nuestros hijos se estaría dañando. Nosotros no queremos que se esté grabando a nuestros hijos, o hay una finalidad clara; Jesús Riveros responde que estará compartiendo el reporte para la investigación pertinente</t>
  </si>
  <si>
    <t>Referente a la nota de la creación de un nuevo municipio en Hidalgo. Irving Sánchez comentó que, independientemente a la respuesta que vaya a dar el Congreso del Estado, generalmente, esto se da en zonas irregulares, en donde la gente por necesidad, por contar con un patrimonio para su familia compra terrenos que no están debidamente legalizados, que no tienen los permisos para poder construir, porque no tienen las condiciones ni los recursos para poder llevar a todos estos lugares los principales servicios, tales como, agua potable, drenaje, pavimentación de calles, electricidad. Entonces, esto es lo que debe analizarse y sobre todo, para que pueda existir una forma digna de vivir.</t>
  </si>
  <si>
    <t>Respecto a la creación de un nuevo municipio en Hidalgo, Irving Sánchez comentó que es aceptable, pero, siempre y cuando haya progreso, haya bienestar, que haya un buen plan de desarrollo, recordemos que los recursos que vienen del Gobierno Federal, del Gobierno del Estado de Hidalgo y por supuesto los que se recaudan de cada uno de los municipios son muy escasos, por lo que todo esto debería de ser abalizado.</t>
  </si>
  <si>
    <t>Integrantes del Comité de Fraccionamientos del Sur anunciaron oficialmente que ya fue entregada ante el Congreso del Estado de Hidalgo la solicitud formal para la creación del municipio número 85 de la entidad, el cual llevaría como primera propuesta el nombre de Felipe Ángeles. La petición fue ingresada el lunes 20 de julio al mediodía y, de acuerdo con los promoventes, la respuesta inicial del Poder Legislativo debería emitirse en un plazo de 72 horas hábiles. El movimiento agrupa a representantes de entre 17 y 20 fraccionamientos ubicados en los municipios de Pachuca, Mineral de la Reforma y Zempoala, localizados en la zona sur de la capital. Durante una conferencia de prensa, los vecinos argumentaron que la creación de un nuevo municipio permitiría atender el rezago urbano y de servicios públicos que, aseguran, padecen desde hace años. “Vivimos como si fuéramos un cinturón de miseria. Tenemos mala calidad del agua, vialidades en pésimas condiciones, tráfico desbordado y una ausencia total de planeación urbana”. Finalmente, el representante legal del movimiento, Francisco Javier Bustos Cortés, indicó que ya se revisaron los requisitos jurídicos para la conformación de un nuevo municipio y que la estrategia contempla trabajar de manera coordinada con el Congreso local y otras instancias de Gobierno.</t>
  </si>
  <si>
    <t>Con tres nuevos paradores, gobierno estatal fortalece el Corredor Artesanal de la Huasteca Hidalguense.</t>
  </si>
  <si>
    <t>La Comisión Nacional del Agua (Conagua), a través de su Dirección Local Hidalgo, mantiene las maniobras programadas y controladas de extracción de la presa Requena de 5 metros cúbicos por segundo (m3/s), destinados al aprovechamiento agrícola de la región. La Comisión informa que, al día de hoy, la presa ubicada en el municipio de Tepeji del Río, cuenta con un porcentaje de almacenamiento de 96.8 por ciento (%). Las labores se realizan de manera programada y vigilada, por lo que no representan riesgos para la población. Asimismo, en cuanto al de las presas de Hidalgo, la presa Taxhimay se encuentra a 80.7 % de su capacidad con 32.225 millones de metros cúbicos (Mm3); la Endhó se encuentra a 96.8 % con 185.173 Mm3 con un derrame de 28.694 m3/s; la presa Rojo Gómez a 76.9 % de su capacidad con 30.762 Mm3; finalmente, la Vicente Aguirre se encuentra a 78.2 % de su capacidad con 13.917 Mm3. En la región del Golfo Norte, la presa La Esperanza se encuentra al 100 % de su capacidad con 3.92 Mm3, mientras que la presa Ing. Fernando Hiriart Balderrama, ubicada en el municipio de Zimapán, registra un 88.2 % de almacenamiento con 1,225.560 Mm3. La Conagua reitera su compromiso de mantener el monitoreo permanente en presas de todo país para contribuir a la protección de la población y sus bienes.</t>
  </si>
  <si>
    <t>Monitoreo De Presas</t>
  </si>
  <si>
    <t>El gobierno de México informó que al cierre de 2026 prevé habilitar 2 mil 637 nuevas camas hospitalarias en distintas instituciones de salud del país, como parte de un programa de ampliación, sustitución y construcción de infraestructura médica, con la que se verá beneficiado el estado de Hidalgo. Durante la presentación del plan, Eduardo Clark García, subsecretario de Integración Sectorial y Coordinación de Servicios de Atención Médica, explicó que las acciones contemplan nuevos espacios para la atención de derechohabientes del Instituto Mexicano del Seguro Social (IMSS), IMSS-Bienestar e Issste.</t>
  </si>
  <si>
    <t>Hospital Tula</t>
  </si>
  <si>
    <t>Fortalece SSH detección oportuna del TDAH con capacitación y coordinación interinstitucional</t>
  </si>
  <si>
    <t>Neurosiversidad</t>
  </si>
  <si>
    <t>Protección Civil de Hidalgo llama a prevenir riesgos por lluvias en zonas urbanas y rurales</t>
  </si>
  <si>
    <t>Gobierno de México entregó más de mil 802 millones de pesos directamente a familias afectadas en Hidalgo. (AUDIO AMZ).</t>
  </si>
  <si>
    <t>Brigadas brindarán atención personalizada para agilizar el acceso a apoyos de vivienda en municipios afectados. (AUDIO EIKA TOLEDO)</t>
  </si>
  <si>
    <t>Gobierno estatal y federal fortalecen trabajo conjunto para apoyar a familias afectadas por la vaguada monzónica. (AUDIO JVP).</t>
  </si>
  <si>
    <t>Avanza la cuarta fase de la reconstrucción en Hidalgo con nuevas obras para recuperar infraestructura y servicios. (AUDIO ASG).</t>
  </si>
  <si>
    <t>Con actividades deportivas, recreativas y educativas, la presidenta municipal de Tulancingo, Lorena García Cázares, inauguró el curso de verano “Transformando tu Verano: Dino Aventura”, en el que participarán 160 niñas, niños y adolescentes de entre 6 y 13 años. El programa, que se desarrolla en la Unidad Deportiva Javier Rojo Gómez, tendrá una duración de dos semanas y busca ofrecer a los menores una opción para aprovechar el periodo vacacional mediante actividades que promuevan el aprendizaje, la convivencia y el desarrollo integral. Durante la apertura, la alcaldesa destacó que este espacio deportivo se mantiene como un punto de encuentro para la niñez y la juventud del municipio, donde además de practicar diversas disciplinas, las y los participantes fortalecen valores como la disciplina, la responsabilidad, el compañerismo y la perseverancia.</t>
  </si>
  <si>
    <t>Locutor Jesús Riveros da lectura a comentario de radioescucha que comenta, a unos días de la Feria y que habrá visitantes, hay calles de Tulancingo con muchos baches, el fin de semana tuvo visitas de Zacatlán y se llevaron una muy mala impresión por los cráteres, dice, se ha reportado esta situación, pero nadie hace nada, que porque le corresponde a autoridades del Estado de Hidalgo</t>
  </si>
  <si>
    <t>Baches</t>
  </si>
  <si>
    <t>Locutor Juan Carlos Santamaría comentó que, en la agenda semanal del Gobierno del Estado, el gobernador Julio Menchaca estará realizando las entregas de apoyos para la reconstrucción en zonas afectadas por las lluvias, en la cancha de usos múltiples de Chapulhuacán.</t>
  </si>
  <si>
    <t>Agenda gobernador</t>
  </si>
  <si>
    <t>Locutor Jesús Riveros da lectura a comentario de radioescucha que reporta al chofer de una micro que da servicio de La Cañada a la clínica del ISSSTE, que se molestó al preguntarle el tiempo que haría para llegar al ISSSTE y le respondió que se fuera en taxi, su enojo fue bastante que la bajo de la unidad, radioescucha señala que le tomó foto a la unidad y la chofer y que le chofer también le tomó fotos, además de que fue grosero, pregunta a donde puede realizar su reporte; Jesús Riveros comparte el teléfono de Movilidad y Transporte para que pueda hacer oficial su queja.</t>
  </si>
  <si>
    <t>Respecto al reporte de la instalación de cámaras de videovigilancia en la escuela Federico A. Corzo, Jesús Riveros comentó que es un tema delicado andar grabando a menores de edad, podría entenderse que es un tema de seguridad, pero, implica otras situaciones.</t>
  </si>
  <si>
    <t>Locutor Jesús Riveros da lectura a comentario de radioescucha que reporta, que en la escuela Primaria Federico A. Corzo existe la preocupación de padres de familia por la intención de colocar cámaras de videovigilancia en el plantel, sin que exista un consenso entre todas las familias, muchos padres de familia, no estamos de acuerdo en que nuestras hijas e hijos sean grabados durante su estancia en la escuela, especialmente porque no se ha explicado el propósito de las cámaras, el tratamiento que recibirán las imágenes y las garantías para proteger los datos personales de los menores. Además, dice, percibimos presión para aceptar esta decisión, cuando debería privilegiarse el diálogo y el respeto a las diferentes opiniones, por lo que solicitan a las autoridades que este tema sea analizado de forma transparente y que cualquier determinación se tome con el consentimiento informado de la comunidad escolar. Concluye diciendo que dicho mensaje se envía de manera anónima por el temor de sufrir represalias por expresare una opinión distinta.</t>
  </si>
  <si>
    <t>Locutor Jesús Riveros informa que se inició con la reparación de las losas que presentaban grietas en la recién pavimentada carretera Cuautepec-Tulancingo. Ayer por la tarde, el Comité de Obra de esta repavimentación informó que este martes 21 de julio se iniciaron los trabajos de reparación en un tramo de dicha carretera, que recientemente fue pavimentada y que reveló el trabajo a medias realizado por la empresa encargada.</t>
  </si>
  <si>
    <t>Rehabilitación carretera</t>
  </si>
  <si>
    <t>Entrevista vía telefónica Mtro. Rufino Demillón Pascual, docente del programa educativo de Energía y Desarrollo Sostenible en la Universidad Tecnológica del Valle del Mezquital y beneficiario del Fondo Hidalgo del Citnova para acondicionar un Laboratorio de Energía Solar - Habló sobre la instalación de un Laboratorio de Energía Solar que es un espacio especializado para la realización de investigación, pruebas y docencia que se va a dedicar a estudiar las características y efectos de los tipos de radiación solar, así como, la captura, transformación y aprovechamiento de la radiación solar que proviene del sol. El principal objetivo es analizar en tiempo real los potenciales de radiación solar y sus beneficios para poder aprovecharlos y poder cubrir las necesidades energéticas y con ello, poder impulsar la economía de la región del Valle del Mezquital.</t>
  </si>
  <si>
    <t>Entrevista vía telefónica Laura Silvia González Quintos, coordinadora Estatal del Inegi en Hidalgo - Habló sobre los resultados de la encuesta Endutih 2025, encuesta que permite al Inegi medir la disponibilidad y el uso de tecnologías de la información en los hogares, está encuesta se realizó en junio de 2025, entre los resultados obtenidos destaca que, del 85.3 por ciento de la población de seis años y más utilizó internet, cifra muy cercana al promedio nacional que fue de 86.1 por ciento; asimismo, se observó que el 73.3 por ciento de los hogares hidalguenses tienes disponibilidad de internet, es decir, prácticamente tres de cada cuatro viviendas cuentan con este servicio. Cabe destacar que esta encuesta no solo mide el uso de tecnologías de información, sino, para que se está utilizando. Para mayor información sobre los resultados de la Endutih 2025, pueden ingresar al portal www.inegi.org,mx en el apartado de programas de información.</t>
  </si>
  <si>
    <t>Conectividad a internet</t>
  </si>
  <si>
    <t>Entrevista pautada</t>
  </si>
  <si>
    <t>Entrevista en cabina Ricardo Suárez, director de Vinculación de la Universidad Intercultural del Estado de Hidalgo - Habló sobre sobre la oferta educativa que se ofrece en la Universidad Intercultural del Estado de Hidalgo, destacando nueve programas educativos en diferentes áreas de conocimiento tales como; Médico Cirujano, Enfermería, siendo la de Médico Cirujano la carrera con más demanda. Informó que, para esta segunda convocatoria de la UICEH se ofertan las carreras en: Desarrollo Sustentable, Turismo Alternativo, Arte y Diseño Digital, Ingeniería Civil, Producción Agropecuaria Sustentable, Derecho Intercultural y Lengua y Cultura, dicha convocatoria estará abierta del 14 julio al 4 agosto; para mayor información pueden ingresar al portal web www.uiceh.edu.mx. El examen se realizará de manera presencial el 5 de agosto, el inicio del semestre será a finales del mismo mes.</t>
  </si>
  <si>
    <t>SSPH recupera vehículo robado en plaza comercial de Pachuca; aseguran a presunto responsable.</t>
  </si>
  <si>
    <t>La Confederación de Cámaras Nacionales de Comercio, Servicios y Turismo, con Canaco Servytur, presentó en conferencia de prensa el balance económico del mundial FIFA 2026 en México, donde informó que hubo una derrama nacional estimada entre 45 mil y 50 mil millones de pesos, impulsada por el turismo y el consumo de las familias mexicanas durante el torneo que proyectó a México Del total, alrededor de 35 mil millones de pesos, correspondieron al gasto turístico generado en Ciudad de México, Guadalajara y Nuevo León, 15 mil millones de pesos al consumo adicional de hogares en alimentos, bebidas, entretenimiento y productos de conveniencia, y cerca de 5 mil millones de pesos adicionales a la venta de boletos. El Fan Fest en Ciudad de México se consolidó como uno de los principales detonadores de actividad económica, 39 fechas, 18 sedes y derrama estimada en 2 mil millones de pesos, de los cuales 1,800 millones ya se habían generado al 6 de julio. En hospedaje la ocupación hotelera promedio en las tres sedes alcanzó 66% con picos de entre 80 y 90% en días de partido y las tarifas aumentaron 120% en promedio, se estima que 2.1 millones de turistas pernoctaron en hoteles y 700 mil utilizaron plataformas de corta estancia. Los viajeros latinoamericanos alcanzaron estancias de 16 días y visitaron otras ciudades fuera de las sedes, la Cámara Nacional de la Industria de Restaurantes y Alimentos Condimentados, reportó incrementos del 15 al 30% en sus ventas los días de los partidos de México y que se generaron 15 mil empleos temporales, la Confederación propuso consolidar la Estrategia Nacional de Turismo Deportivo, que ha sido impulsada por la Secretaria de Turismo, Josefina Rodríguez Zamora, fortalecer la capacitación de las PYMES para atender turismo internacional, digitalizar más comercios y construir un calendario permanente de grandes eventos que genere crecimiento durante todo el año.</t>
  </si>
  <si>
    <t>Nueva cancha de frontón en Atitalaquia impulsa el deporte y fortalece la convivencia social</t>
  </si>
  <si>
    <t>Huasca abraza la inclusión en el Nacional de Pesca de Trucha</t>
  </si>
  <si>
    <t>Turismo inclusivo</t>
  </si>
  <si>
    <t>Juan Carlos Santamaría envía sus condolencias al Secretario de Educación de Hidalgo, Natividad Castrejón Valdez por el fallecimiento de su hermano Ignacio Castrejón Valdez.</t>
  </si>
  <si>
    <t>En el marco de su 50 aniversario, la Escuela Normal Valle del Mezquital celebró la graduación de 150 nuevas maestras y maestros que concluyeron su formación profesional y están listos para incorporarse al sistema educativo. La generación 2022-2026 recibió sus documentos de egreso en una ceremonia realizada en Progreso de Obregón, donde también se conmemoró medio siglo de historia de esta institución dedicada a la formación de docentes en Hidalgo. Las y los egresados concluyeron estudios en las licenciaturas de educación preescolar, educación primaria, así como educación preescolar y primaria intercultural, plurilingüe y comunitaria. Programas enfocados en preparar a profesionales capaces de atender distintos contextos educativos y sociales. Durante el evento, se destacó que esta generación es la primera en concluir completamente su formación bajo el plan de estudios 2022 y los principios de la Nueva Escuela Mexicana, modelo educativo que promueve el trabajo colaborativo, la inclusión, el respeto a la diversidad y una enseñanza centrada en e desarrollo integral de las y los estudiantes. Además del acto de graduación, autoridades educativas reconocieron el esfuerzo realizado por las familias, docentes y personal académico que acompañó a los estudiantes durante su preparación profesional, así como la importancia de continuar fortaleciendo la formación docente en beneficio de la educación pública.</t>
  </si>
  <si>
    <t>Graduación</t>
  </si>
  <si>
    <t>Te comento que hace unos momentos un interno perdió la vida adentro del centro de reinserción social de Ixmiquilpan, luego de ser encontrado desvanecido al interior de su celda. Personal de del penal solicitó de inmediato la intervención de paramédicos de la Cruz Roja. Sin embargo, tras realizar la valoración, confirmaron que el hombre ya no contaba con signos vitales. La persona o el reo fallecido fue identificado mediante las iniciales Luis A.T.T., de 33 años de edad. Esta persona perdió la vida al interior del cerezo de Ixmiquilpan hace apenas unos momentos y de manera preliminar señalaron que un infarto fulminante pudo haber sido las causas de muerte, sin embargo, serán las autoridades de la procuraduría general de justicia del estado de Hidalgo quienes determinen esta situación.</t>
  </si>
  <si>
    <t>Muerte en Cereso</t>
  </si>
  <si>
    <t>Erick Iván Martínez</t>
  </si>
  <si>
    <t>Un taxista nos compartió este video que fue que ocurrió durante la madrugada del domingo 20 de julio cuando abordó a un hombre como cualquier pasajero en el centro de Pachuca, según esto para trasladarlo hacia la zona de El Venado, sin embargo, el servicio presuntamente terminó en este asalto. De acuerdo con el testimonio del conductor Juan Carlos, esto ocurrió alrededor de las 4:30 de la mañana, que al llegar a la zona de la Coca-Cola, el pasajero descendió de la unidad y lo amenazó con un arma de fuego diciendo que lo iba a tumbar. El operador aseguró que al verse en riesgo, utilizó su propia unidad para defenderse y logró ponerse a salvo. Aparte de lo ocurrido habría quedado registrado por las cámaras de vigilancia instaladas al interior del taxi. Tras estos hechos, el conductor solicitó difundir el video para alertar a taxistas, operadores de plataformas y trabajadores que realizan viajes durante la madrugada, principalmente entre el centro de Pachuca y El Venado.</t>
  </si>
  <si>
    <t>Asalto a transporte público</t>
  </si>
  <si>
    <t>Comerciantes de la comunidad de La Otra Banda, en Ixmiquilpan, solicitan el apoyo de la ciudadanía para identificar a una persona que fue captada por cámaras de videovigilancia durante un presunto robo al interior de un establecimiento. Si alguien reconoce a esta persona o cuenta con información que pueda contribuir a su identificación, puede comunicarse por mensaje privado con la página o reportarlo directamente a las autoridades correspondientes. La persona que aparece en las imágenes es señalada de manera presunta. Corresponderá a las autoridades realizar las investigaciones y determinar cualquier responsabilidad.</t>
  </si>
  <si>
    <t>Robo a comercio</t>
  </si>
  <si>
    <t>Erick Iván Martínez.</t>
  </si>
  <si>
    <t>Conmemora Hidalgo el 154° aniversario luctuoso de Benito Juárez</t>
  </si>
  <si>
    <t>Aniversario luctuoso</t>
  </si>
  <si>
    <t>Se impulsa el uso de herramientas tecnológicas para cobro de servicios</t>
  </si>
  <si>
    <t>Como parte del ejercicio informativo que se realiza cada lunes, este 20 de julio de 2026 a las 9 horas. Se llevó a cabo la conferencia matutina del gobierno del estado de Hidalgo en la sala del pueblo del edificio de gobierno. En esta ocasión la sesión estuvo encabezada por Erika Toledo Parra, titular de la Comisión Estatal de Vivienda en Hidalgo. Alejandro Sánchez García, secretario de Infraestructura Pública y Desarrollo Urbano Sostenible, Julio Valera Piedras, titular de la Oficina de Representación de la Secretaría de Desarrollo Agrario, Territorial y Urbano, y Abraham Mendoza Centeno, delegado de los programas de desarrollo en el estado de Hidalgo, quienes presentaron los avances de las acciones implementadas en atención a las afectaciones ocasionadas por la vaguada monzónica. En su intervención, Alejandro Sánchez García, Secretario de Infraestructura Pública y Desarrollo Urbano Sostenible, dio a conocer el progreso de las obras ejecutadas con recursos estatales en los municipios afectados. Detalló que la primera etapa contempla 34 obras con una inversión superior a 336000000 de pesos. La segunda, actualmente en ejecución, integra 18 obras por más de 751000000 de pesos. Una tercera fase se encuentra en proceso de validación y contratación, con 50 proyectos que superan los 601 millones de pesos, mientras que un cuarto de la etapa contemplada con 25 obras tiene una inversión superior a los 241000000 de pesos. Por su parte, Julio Valera Piedras, titular de la oficina de representación de la Secretaría de Desarrollo Agrario, Territorial y Urbano, informó que, tras la atención inmediata brindada en los 28 municipios afectados, se iniciaron los trabajos coordinados entre los 3 órdenes de gobierno para identificar zonas de riesgo y definir las estrategias de relocalización de viviendas que garanticen la seguridad de las familias damnificadas. En tanto, Erika Toledo Parra, titular de la Comisión Estatal de Vivienda en Hidalgo, explicó que el programa de relocalización contempla 23 municipios que presentan mayores necesidades, en materia de reubicación habitacional, para ello se han realizado recorridos técnicos y procesos de validación de predios que permitan ofrecer alternativas seguras y viables para las y los habitantes afectados. Finalmente, Abraham Mendoza Centeno, delegado de los programas para el desarrollo del estado de Hidalgo, señaló que la estrategia de apoyo a la población se desarrolla en 3 etapas.</t>
  </si>
  <si>
    <t>Docentes fortalecen su práctica educativa con taller intensivo</t>
  </si>
  <si>
    <t>Capacitación docente</t>
  </si>
  <si>
    <t>Un maestro de educación primaria fue sentenciado a 10 años de prisión tras ser declarado culpable del delito de violación en agravio de una menor de edad de identidad reservada, por hechos ocurridos en el municipio de Xochiatipan, en la región Huasteca de Hidalgo. El docente, identificado con las iniciales Gilberto H. F., es originario del municipio de Huejutla y permanecía recluido en el Centro de Reinserción Social (Cereso) de La Lima, en el municipio de Jaltocan, desde marzo de 2025, cuando fue detenido por agentes de la División de Investigación del grupo Huejutla en cumplimiento de una orden de aprehensión. De acuerdo con la información proporcionada por familiares de la víctima, el proceso judicial se prolongó durante más de dos años debido a que la defensa del imputado promovió diversos recursos legales, entre ellos apelaciones y juicios de amparo. Los familiares señalaron que durante ese tiempo mantuvieron la exigencia de justicia hasta que el caso llegó a juicio, donde finalmente se emitió una sentencia condenatoria de 10 años de prisión. Tras conocerse la resolución judicial, familiares y personas cercanas al sentenciado manifestaron en redes sociales su inconformidad con el fallo, al asegurar que las acusaciones en su contra son falsas. No obstante, la autoridad judicial determinó que existían elementos de prueba suficientes para acreditar la responsabilidad penal del maestro y dictar la condena correspondiente. Hasta el momento, las autoridades no han informado si la sentencia quedó firme o si la defensa del condenado promoverá algún recurso legal adicional contra la resolución.</t>
  </si>
  <si>
    <t>TSJEH</t>
  </si>
  <si>
    <t>Sentencia</t>
  </si>
  <si>
    <t>Un menor de edad fue localizado sin vida en un tramo carretero de Mineral del Monte, y hasta el momento su identidad permanece bajo análisis. De manera tentativa, autoridades han establecido las iniciales C.S.S.G., de acuerdo con información difundida por el colectivo Madres Buscadoras de Sonora. El caso se encuentra registrado con el folio 20000969 y corresponde a un menor de sexo masculino, con una edad aproximada de entre uno y cinco años. Su cuerpo ingresó al Servicio Médico Forense (Semefo) el pasado 9 de junio de 2026, por lo que han transcurrido más de cinco semanas sin que se confirme plenamente su identidad. Hasta el momento no se han proporcionado detalles sobre las circunstancias en las que fue localizado, el punto exacto del tramo carretero donde ocurrió el hallazgo o la causa de su fallecimiento. Tampoco se ha informado si existe alguna denuncia por desaparición que pudiera estar relacionada con el caso. Como parte de la información que podría contribuir a su reconocimiento, se dio a conocer que el niño vestía una sudadera roja, con mangas y gorro en color azul marino. La prenda llevaba la leyenda en inglés “SKATE LET’S SHAKE KID BOARD”. También portaba un pantalón de mezclilla azul y tines negros con el logotipo de Nike en colores rojo y blanco. Estas características fueron difundidas con la intención de que alguna persona pueda aportar información útil para ubicar a sus familiares o relacionar el caso con una búsqueda activa. Debido a la edad aproximada del menor, cualquier dato sobre un niño de entre uno y cinco años cuya ubicación se desconozca podría resultar relevante. Sin embargo, la información debe entregarse directamente a las autoridades responsables del expediente para que pueda ser verificada e incorporada formalmente a las diligencias. A través de redes sociales, se pidió a la ciudadanía compartir la ficha con respeto y sensibilidad, sin difundir imágenes del cuerpo ni emitir comentarios que puedan revictimizar al niño o causar un daño adicional a sus posibles familiares.</t>
  </si>
  <si>
    <t>Reportan acciones realizadas por corporaciones de seguridad pública en Hidalgo</t>
  </si>
  <si>
    <t>Un grupo de habitantes de la comunidad de Benito Juárez, dentro del municipio de Mixquiahuala, irrumpieron en el edificio de presidencia municipal para exigir obra pública. Los manifestantes, que exigían la presencia de funcionarios municipales, así como del alcalde Miguel Ángel Peña Flores, exigían también cabo el deslinde de esa localidad con la comunidad de Hacienda Vieja. Las personas se colocaron en distintos puntos del edificio de presidencia municipal, insistiendo en la presencia de las autoridades locales para que les dieran respuesta a sus demandas. Señalaron estar hartos de la falta de atención de las autoridades, señalando que “es inaceptable que la obra pública y la atención ciudadana se utilicen como factura política tras un proceso electoral”. Reclamaron que en la comunidad citada no se ha realizado obra pública debido a que no obtuvo votos suficiente en el proceso electoral donde finalmente ganó el actual alcalde Peña Flores. La protesta escaló de nivel cuando los colonos amenazaron con rociar gasolina e incendiar el edificio de presidencia municipal. Lo anterior como presión para la firma de un documento donde se comprometan las obras exigidas, así como el deslinde entre las comunidades de Benito Juárez y Hacienda Vieja. Ante el amago de violencia, elementos de la fuerza pública se desplegaron en los alrededores del edificio público, en tanto funcionarios municipales atendían a los manifestantes. Hasta el momento no se ha dado a conocer los acuerdos que eventualmente se pudieron tomar respecto a las exigencias presentadas.</t>
  </si>
  <si>
    <t>Toma de alcaldía</t>
  </si>
  <si>
    <t>En cuarta fase, reconstrucción de infraestructura pública dañada por lluvias</t>
  </si>
  <si>
    <t>Sólo el 17 por ciento de propietarios de casas censadas y encontradas con necesaria reubicación, cuentan con un terreno para la construcción de una nueva vivienda. El dato fue ofrecido por Julio Valera Piedras, titular de la delegación en Hidalgo Secretaría de Desarrollo Agrario, Territorial y Urbano (Sedatu) del Gobierno Federal. Durante la conferencia de prensa matutina del Gobierno estatal, el funcionario señaló que de las 2 mil 866 viviendas localizadas en zona de riesgo, únicamente 476 damnificados de la vaguada monzónica tienen terreno para construir una nueva construcción de casa habitación. Lo anterior es el resultado encontrado en el censo de casas realizado en 23 municipios, los principales afectados por las torrenciales lluvias de octubre del año pasado. El censo establece que las regiones donde se localizan la mayor parte de viviendas afectadas son Huasteca, Sierra y la región Otomí-Tepehua. Los dictámenes de Protección Civil estatal y municipal determinaron que 2 mil 390 son susceptibles al programa de relocalización. Valera Piedras federal precisó que dicha cifra podría variar según la decisión de los pobladores para cambiarse de domicilio, aunado al cumplimiento de los requisitos. Respecto a la búsqueda del suelo útil para construir las viviendas, reconoció que el proceso es complicado “y prácticamente imposible”. Por ello, el apoyo para las familias afectadas será de dos maneras: dinero o edificación en terrenos de los pobladores.</t>
  </si>
  <si>
    <t>Dos mil viviendas 866 se encuentran en zonas de riesgo inminente, agravado por el paso de las torrenciales lluvias registradas durante el mes de octubre del año pasado en el Estado de Hidalgo. Las viviendas afectadas se localizan en 23 municipios de la entidad; la cantidad se conoce tras evaluación realizada casa por casa durante cinco meses. Las autoridades concluyeron que en el caso de la cantidad de las viviendas encontradas en riesgo inminente, deberán ser relocalizadas de emergencia, debido a los fuertes riesgos que existen en las zonas evaluadas. Para agilizar el proceso de relocalización, evitando situaciones mayores, el Gobierno del Estado de Hidalgo desplegará brigadas en territorio para integrar los expedientes de apoyo e iniciar de inmediato el programa de reconstrucción y reubicación. La titular de la Comisión Estatal de Vivienda, Ericka Toledo Parra, advirtió que la notificación oficial llegará directamente a los hogares afectados a través de los Ayuntamientos, esta misma semana. Posteriormente, los censados deberán presentarse a las asambleas informativas que se realizarán los días 29, 30 y 31 de julio, comenzando de manera prioritaria en la región Otomí-Tepehua. “En esta semana vamos a estarle notificando a la gente directamente que vive en una zona de riesgo. Estas notificaciones las van a hacer los ayuntamientos; ningún otro ente de gobierno o tercero lo realizará”, señaló la funcionaria. Ante la vulnerabilidad de las familias, las autoridades lanzaron una alerta urgente para evitar robos o fraudes, señalando que las autoridades de los tres órdenes de gobierno no tienen intermediarios. Tampoco se cobran comisiones o cantidad alguna de dinero por la gestión de apoyos. Por lo que las autoridades exhortan a la población a no entregar documentación personal ni dinero a gestores ajenos y verificar que todo personal esté debidamente acreditado por la alcaldía o el gobierno estatal. Se insistió que todo aviso o gestión se hará a través de las autoridades, único vínculo para ello.</t>
  </si>
  <si>
    <t>El hallazgo de presuntos restos fósiles de un mamut durante las obras del Tren México-Pachuca despertó el interés de habitantes de la comunidad de Huitzila, en Tizayuca, quienes propusieron crear un museo comunitario para resguardar y exhibir las piezas, en caso de que los especialistas confirmen su origen. Los pobladores consideran que el descubrimiento podría convertirse en un atractivo histórico y turístico para la región. Especialmente porque la localidad contará con una estación del nuevo Tren México-Pachuca. Además de preservar el patrimonio paleontológico, señalaron que un museo de sitio permitiría difundir la historia de la región entre las nuevas generaciones y generar actividad económica mediante la llegada de visitantes. Los habitantes comenzaron a organizarse para impulsar el proyecto. Sin embargo, aclararon que primero esperarán el resultado de las investigaciones que realiza el Instituto Nacional de Antropología e Historia (INAH).</t>
  </si>
  <si>
    <t>Museo comunitario</t>
  </si>
  <si>
    <t>Para el periodo vacacional de verano se prevé el arribo de 800 mil visitantes y una derrama económica superior a los 550 millones de pesos en Hidalgo, siendo balnearios de aguas termales, los nueve Pueblos Mágicos y Pueblos con Sabor, los principales atractivos durante la temporada. La secretaria de Turismo, Elizabeth Quintanar Gómez, compartió que Hidalgo, además de constantes capacitaciones a prestadores de servicios, ha diversificado su oferta turística para atender distintos perfiles de viajeros, desde turismo de aventura, de naturaleza, gastronómico hasta religioso o de romance. “Destinos consolidados como los Prismas Basálticos, las Grutas de Tolantongo y los principales balnearios continúan siendo productos turísticos maduros, preparados para recibir una importante afluencia durante la temporada vacacional”. La funcionaria estatal detalló que destinos como Huasca de Ocampo, Real del Monte, Mineral del Chico, Pachuca y Villa de Tezontepec, además de complejos turísticos especializados orientan al turismo de romance y ahora también el turismo comunitario aprovechando recursos naturales. “En Huasca de Ocampo diversos ejidos han comenzado a desarrollar proyectos turísticos propios, aprovechando sus recursos naturales; algunos de estos ejidos cuentan con infraestructura sustentable, como baños secos y senderos ecoturísticos cercanos a las Dunas Rojas y bosques de oyamel”. En el caso de Mineral del Chico, resaltó la creciente oferta de actividades como vía ferrata diurna y nocturna, rappel, escalada, excursionismo, ciclismo de montaña, cañonismo y observación sideral, son productos que buscan ampliar la estancia promedio de los visitantes. “Uno de los principales retos que tenemos en el sector es lograr que los turistas permanezcan más de una noche en la entidad, y que esto se vea en reflejado en el impacto económico para prestadores de servicios”. Recordó que durante el verano del año pasado el estado recibió alrededor de un millón de visitantes, cifra que sirve como referencia para mantener una temporada positiva, impulsada por la cercanía con la Zona Metropolitana del Valle de México y el acceso desde el Aeropuerto Internacional Felipe Ángeles (AIFA).</t>
  </si>
  <si>
    <t>Afluencia Turística</t>
  </si>
  <si>
    <t>A partir de la detección de dos conexiones irregulares a la red de energía eléctrica, personal de la Dirección municipal de Mantenimiento Urbano en Tulancingo inició la revisión de los sistemas de surtido. Así lo aseguró Juan Alberto Santuario Elías, secretario de Servicios Municipales, a cuyo cargo está el tema de alumbrado público, que obviamente requiere del fluido de energía eléctrica. Hace poco menos de un mes, trabajadores de la dependencia municipal detectaron dos conexiones irregulares tras el reporte de fallas tanto en el alumbrado público como de semáforos en el crucero de Acatlán y en la zona del Fraccionamiento Magisterio. Las fallas registradas fueron apagones constantes, debido a sobrecalentamiento de la línea por exceso de conexiones ilegales. Se hizo el corte de los cables detectados, aunque no se sancionó a ningún responsable de las conexiones irregulares, debido a que no se pudo localizar la línea de inicio de dicho cableado. Pero a partir de la detección de la situación, las brigadas de la dirección municipal de Mantenimiento Urbano, ha intensificado la inspección de las conexiones eléctricas públicas; en los casos necesarios se harán los cortes al cableado irregular. Además, en los casos donde se detecten responsables de dichas conexiones irregulares, serán sancionados, advirtió Santuario Elías.</t>
  </si>
  <si>
    <t>Robo de luz</t>
  </si>
  <si>
    <t>La delegación de Programas para el Bienestar en Hidalgo publicó la convocatoria 2026 del programa Vivienda para el Bienestar para los municipios de Actopan, Mixquiahuala, Huautla, Zapotlán de Juárez y Zempoala. La inscripción de interesados será del 20 de julio al 2 de agosto en los municipios citados donde se prevén las edificaciones este año por parte de la Comisión Nacional de Vivienda.</t>
  </si>
  <si>
    <t>165 cámaras de videovigilancia serán instaladas en calles internas de colonias y comunidades del municipio de Tulancingo, dentro del programa Policía Contigo, a cargo de la Secretaría de Seguridad Pública del Estado de Hidalgo. El anuncio fue realizado por Enrique Romero Alcántar, titular de la Secretaría de Seguridad Ciudadana municipal, durante la entrega del C2 móvil, vehículos y equipo para elementos policiacos, de tránsito y movilidad, así como de Protección Civil. Señaló que las cámaras que serán incorporadas se sumarán a las 581 que ya están en operación por parte del C4 municipal de Tulancingo, por lo que en total se contará con 741 cámaras de videovigilancia ubicadas en distintos puntos del municipio. Sistemas de videovigilancia similares serán instalados en varios municipios del Estado de Hidalgo, con objetivo de reforzar las acciones para combate a delitos, así como atención a denuncias. Las cámaras son instaladas en calles interiores de colonias y comunidades, y en caso de reportarse alguna situación, se le da seguimiento con los sistemas ya instalados previamente, y en funcionamiento. Aunque no se dio a conocer el momento en que iniciará la instalación y posterior funcionamiento de las cámaras, se anunció que el total de los sistemas deberá operar antes de finalizar este año. A su vez, será a partir del inicio del inicio de la Expo Feria, así como de la tradicional feria en honor a nuestra Señora de los Ángeles, cuando inicie el Centro de Mando Móvil.</t>
  </si>
  <si>
    <t>Sueldos adecuados a la responsabilidad, así como prestaciones laborales suficientes, son necesarios para que aumente el número de altas en cuerpos policiacos, consideró Guillermo Olivares Reyna, Secretario General del Gobierno del Estado de Hidalgo. Tras participar el pasado fin de semana en la entrega de vehículos y equipamiento para corporaciones de Seguridad Pública, Protección Civil, así como de Tránsito y Movilidad, señaló que “no está mal el tema de los salarios, pero se necesita fortalecer”. El funcionario estatal reconoció que durante mucho tiempo, incluso décadas, los elementos policiacos no contaron con capacitación, ni equipo, ni preparación y por tanto, sin sueldos dignos. Lo que incluso provocó que se registrara infiltración de grupos criminales en cuerpos policiacos, logrando que algunos elementos colaboraran con delincuentes para obtener ingresos económicos. Olivares Reyna aceptó que se deben mejorar las condiciones y prestaciones laborales, para aumentar las altas en las corporaciones de seguridad pública, tanto a nivel estatal como en los municipios. Señaló como ejemplo el aumento reciente en el monto de la cantidad en los vales para despensa, que pasó de 300 a mil pesos mensuales. Consideró que con ello, y otras acciones de mejora en las condiciones laborales para los integrantes de Seguridad Pública, Tránsito y Movilidad, así como de Protección Civil, se pueden atraer más personas para darse de alta en estas corporaciones. En contraparte, los integrantes de estas corporaciones deberán ser personas con perfiles profesionales, y estar dispuestos a la capacitación y profesionalización constante. Además, para ser confiables, deben contar con su respectivo Certificado Único Policial, requisito exigido por el Gobierno Federal.</t>
  </si>
  <si>
    <t>Salario policías</t>
  </si>
  <si>
    <t>Radioescucha Pérez López Adriana: Ayer viajé en la colectiva de la ruta Ramos Arizpe, Jorge Obispo- Central de la línea Antorcha Campesina, con número de placas 028-116G. A las 8:45 cuando pasamos por el Oxxo de la Peni todas sus ventanas están descompuestas, no abre así lleva operando aproximadamente cinco meses. ¿De qué privilegios gozan estos choferes para no ser supervisados por la Semot? Otras colectivas están muy viejas se les mete el humo del escape y tampoco la supervisan. Expongo mi queja con ustedes a ver si hacen caso las autoridades competentes, porque diario viajo por estas unidades hace tres años y en estas colectivas sus servicios se distinguen por su mala calidad.</t>
  </si>
  <si>
    <t>Vía telefónica informa que 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 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 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 comentan la importancia de participar en esta consulta para evitar que las zonas verdes se pierdan.</t>
  </si>
  <si>
    <t>Vecinos de la colonia Cuauhtémoc tienen el apoyo de la Caasim ya que ya van por casi tres semanas que nos les cae el agua.</t>
  </si>
  <si>
    <t>Todo apunta a que don Jorge Reyes, presidente municipal de Pachuca, no se va a reelegir, no va a buscar la relación. Así que aquellos que ya están haciendo sus encuestas, o que estaban en estos momentos elaborando sus encuestas en Facebook, pues no pongan a don Jorge Reyes como reelección. Todo apunta que don Jorge Reyes irá en pos de otros derroteros políticos.</t>
  </si>
  <si>
    <t>Reelección</t>
  </si>
  <si>
    <t>La Oficialía Mayor del Gobierno del Estado de Hidalgo comenzó ayer el curso de verano para los hijos de los trabajadores del Gobierno. Este curso, que es muy popular, se llenan los lugares antes de su inicio y ofrece cuatro semanas de diversas actividades. Los niños llegan a las ocho de la mañana y participan en actividades lúdicas, deportivas y artísticas durante todo el día. También reciben comida y sus padres los recogen al final de la tarde. Este es el cuarto año del curso, que incluye visitas a museos, zoológicos y actividades recreativas. Además, los niños reciben mochila, uniforme deportivo, pan, chamarra y traje de baño.</t>
  </si>
  <si>
    <t>Oficialía Mayor</t>
  </si>
  <si>
    <t>Gracias a toda la gente que nos escucha a través de la Red de Hidalgo Radio, todas las estaciones que están funcionando, por más que nos sabotean, por más que intentan, intentan que no funcionen, nosotros seguimos trabajando, seguimos produciendo más y más programas. Estoy muy orgulloso de mis compañeros en el 96.5 de Frecuencia Modulada "La voz del pueblo Hñahñú", tenemos cápsulas en Hñahñú, ya tenemos mayor programación y todo esto es gracias al talento y al trabajo de mis compañeras y compañeros allá en la radio. A pesar del acoso laboral, a pesar de la discriminación y a pesar de tantas y tantas situaciones todo el mundo en la radio estatal tiene bien puesto la camiseta y todo el mundo está trabajando lejos de las grillas, lejos de los desplantes, lejos de frivolidades y de cuestiones, yo diría histriónicas de representación, de puestas en escena y de interpretar papeles que ni al caso. Aquí todo el mundo está trabajando y nos sentimos muy orgullosos de poder servir a la población, a la comunidad hidalguense.</t>
  </si>
  <si>
    <t>El coordinador general jurídico del gobierno del estado, el señor Servet (sic), estuvo en el Poder Legislativo de nuestro estado, estuvieron reunidos ahí en el cuarto piso de la torre legislativa, no invitaron a todos los diputados, nada más estaban Andrés Velázquez Vázquez que es presidente de la junta legislativa y por ahí uno que otro diputados. ¿Qué es lo que trataron esta reunión, Pues como viene la reforma, la iniciativa, la reforma electoral, no invitaron a la prensa, fue un asunto muy cerrado, solamente puros amiguitos ¿No? Nosotros pues pudimos acercarnos al congreso y estuvimos conocimiento de este asunto que se está filtrando desde muchas oficinas del palacio de gobierno, lo quieren esconder tanto que lo filtran a todos los medios, pero bueno, ya está lista esta iniciativa de reforma electoral, la están cabildeando antes de presentarla. Están esperando que concluya el periodo binario de sesiones que ya en próximos días va a concluir. Los diputados lo van a revisar, pero los presidentes de los partidos ya se están manifestando, vamos a ver si esta iniciativa pasa tal como la presenten o se le hacen modificaciones, vamos a esperar también porque se habla de municipios exclusivos para candidaturas femeninas, eso es lo que dicen que plantea esta iniciativa de reforma electoral, lo mismo que también trae énfasis ahí en el tema de la reelección.</t>
  </si>
  <si>
    <t>Reforma Electoral</t>
  </si>
  <si>
    <t>Un numeroso grupo de habitantes de la comunidad Benito Juárez tomó la sala de cabildo de la Presidencia Municipal de Mixquiahuala. Exigían que Miguel Ángel Peña Flores, el alcalde, pues cumpla con las obras que comprometió para esa localidad. Dicen que los ha abandonado debido a que en el proceso electoral no fue favorecido con su voto, es decir que el alcalde no ganó en esa localidad y por lo tanto dicen ellos pues no los atiende, bueno, además solicitan la delimitación territorial con la comunidad de Hacienda Vieja. Los manifestantes amenazaron con rociar gasolina y prender fuego dentro de las instalaciones del Palacio Municipal si no eran recibidos, si no eran atendidos por la asamblea y bueno, el asunto se puso de verdad complicado, hubo momentos álgidos, por supuesto empujones, metas de madre, la cosa se puso fea, los vecinos de Benito Juárez se le fueron encima al alcalde y tuvo que ser implementado un operativo por parte de las autoridades de la policía municipal y del estado para evitar cualquier incidente mayor.</t>
  </si>
  <si>
    <t>Tenemos más de tres meses fuera del aire en el 1010 de Amplitud Modulada El Vocero Huasteco</t>
  </si>
  <si>
    <t>Hoy tenemos ruta de la transformación aquí en Chapulhuacán. Allá va está el Gobernador Julio Menchaca con toda la caravana de salud, con toda la caravana de servicios y por supuesto atendiendo, supervisando y por supuesto entregando recursos para la región. Hoy tenemos Rutas las Transformación allá en Cahpulhuacán. Es a medio día, el gobernador Julio Machaque Salazar encabezará las Rutas de la Transformación, eso se va a desarrollar en las canchas de uso de usos múltiples en la calle de Miguel Hidalgo sin número.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</si>
</sst>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0" tableType="queryTable" totalsRowShown="0">
  <autoFilter ref="A1:M21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0"/>
  <sheetViews>
    <sheetView tabSelected="1" topLeftCell="A192" workbookViewId="0">
      <selection activeCell="B210" sqref="B210"/>
    </sheetView>
  </sheetViews>
  <sheetFormatPr baseColWidth="10" defaultRowHeight="14.5" x14ac:dyDescent="0.35"/>
  <cols>
    <col min="1" max="1" width="8.1796875" bestFit="1" customWidth="1"/>
    <col min="2" max="2" width="10.26953125" bestFit="1" customWidth="1"/>
    <col min="3" max="3" width="24.6328125" bestFit="1" customWidth="1"/>
    <col min="4" max="4" width="27.6328125" bestFit="1" customWidth="1"/>
    <col min="5" max="5" width="80.7265625" bestFit="1" customWidth="1"/>
    <col min="6" max="6" width="14.26953125" bestFit="1" customWidth="1"/>
    <col min="7" max="7" width="30.54296875" bestFit="1" customWidth="1"/>
    <col min="8" max="8" width="9.6328125" bestFit="1" customWidth="1"/>
    <col min="9" max="9" width="9.90625" bestFit="1" customWidth="1"/>
    <col min="10" max="10" width="23.08984375" bestFit="1" customWidth="1"/>
    <col min="11" max="11" width="19.81640625" bestFit="1" customWidth="1"/>
    <col min="12" max="12" width="16"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33</v>
      </c>
      <c r="C1" t="s">
        <v>34</v>
      </c>
      <c r="D1" t="s">
        <v>35</v>
      </c>
      <c r="E1" t="s">
        <v>1</v>
      </c>
      <c r="F1" t="s">
        <v>2</v>
      </c>
      <c r="G1" t="s">
        <v>4</v>
      </c>
      <c r="H1" t="s">
        <v>3</v>
      </c>
      <c r="I1" t="s">
        <v>5</v>
      </c>
      <c r="J1" t="s">
        <v>36</v>
      </c>
      <c r="K1" t="s">
        <v>37</v>
      </c>
      <c r="L1" t="s">
        <v>38</v>
      </c>
      <c r="M1" t="s">
        <v>45</v>
      </c>
    </row>
    <row r="2" spans="1:13" x14ac:dyDescent="0.35">
      <c r="A2" s="2">
        <v>46223</v>
      </c>
      <c r="B2" s="1" t="str">
        <f ca="1">IF(Información1[[#This Row],[Fecha]]='Ajuste de fechas'!$A$2,"Día actual","Día anterior")</f>
        <v>Día anterior</v>
      </c>
      <c r="C2" t="s">
        <v>28</v>
      </c>
      <c r="D2" t="s">
        <v>68</v>
      </c>
      <c r="E2" t="s">
        <v>104</v>
      </c>
      <c r="F2" t="s">
        <v>19</v>
      </c>
      <c r="G2" t="s">
        <v>105</v>
      </c>
      <c r="H2" t="s">
        <v>11</v>
      </c>
      <c r="I2" t="s">
        <v>7</v>
      </c>
      <c r="J2" t="s">
        <v>43</v>
      </c>
      <c r="K2" t="s">
        <v>69</v>
      </c>
      <c r="L2" t="s">
        <v>40</v>
      </c>
      <c r="M2">
        <v>1</v>
      </c>
    </row>
    <row r="3" spans="1:13" x14ac:dyDescent="0.35">
      <c r="A3" s="2">
        <v>46223</v>
      </c>
      <c r="B3" s="1" t="str">
        <f ca="1">IF(Información1[[#This Row],[Fecha]]='Ajuste de fechas'!$A$2,"Día actual","Día anterior")</f>
        <v>Día anterior</v>
      </c>
      <c r="C3" t="s">
        <v>8</v>
      </c>
      <c r="D3" t="s">
        <v>10</v>
      </c>
      <c r="E3" t="s">
        <v>106</v>
      </c>
      <c r="F3" t="s">
        <v>6</v>
      </c>
      <c r="G3" t="s">
        <v>107</v>
      </c>
      <c r="H3" t="s">
        <v>11</v>
      </c>
      <c r="I3" t="s">
        <v>25</v>
      </c>
      <c r="J3" t="s">
        <v>39</v>
      </c>
      <c r="K3" t="s">
        <v>9</v>
      </c>
      <c r="L3" t="s">
        <v>41</v>
      </c>
      <c r="M3">
        <v>1</v>
      </c>
    </row>
    <row r="4" spans="1:13" x14ac:dyDescent="0.35">
      <c r="A4" s="2">
        <v>46223</v>
      </c>
      <c r="B4" s="1" t="str">
        <f ca="1">IF(Información1[[#This Row],[Fecha]]='Ajuste de fechas'!$A$2,"Día actual","Día anterior")</f>
        <v>Día anterior</v>
      </c>
      <c r="C4" t="s">
        <v>8</v>
      </c>
      <c r="D4" t="s">
        <v>10</v>
      </c>
      <c r="E4" t="s">
        <v>108</v>
      </c>
      <c r="F4" t="s">
        <v>6</v>
      </c>
      <c r="G4" t="s">
        <v>107</v>
      </c>
      <c r="H4" t="s">
        <v>11</v>
      </c>
      <c r="I4" t="s">
        <v>25</v>
      </c>
      <c r="J4" t="s">
        <v>39</v>
      </c>
      <c r="K4" t="s">
        <v>9</v>
      </c>
      <c r="L4" t="s">
        <v>41</v>
      </c>
      <c r="M4">
        <v>1</v>
      </c>
    </row>
    <row r="5" spans="1:13" x14ac:dyDescent="0.35">
      <c r="A5" s="2">
        <v>46223</v>
      </c>
      <c r="B5" s="1" t="str">
        <f ca="1">IF(Información1[[#This Row],[Fecha]]='Ajuste de fechas'!$A$2,"Día actual","Día anterior")</f>
        <v>Día anterior</v>
      </c>
      <c r="C5" t="s">
        <v>8</v>
      </c>
      <c r="D5" t="s">
        <v>10</v>
      </c>
      <c r="E5" t="s">
        <v>109</v>
      </c>
      <c r="F5" t="s">
        <v>6</v>
      </c>
      <c r="G5" t="s">
        <v>107</v>
      </c>
      <c r="H5" t="s">
        <v>11</v>
      </c>
      <c r="I5" t="s">
        <v>25</v>
      </c>
      <c r="J5" t="s">
        <v>39</v>
      </c>
      <c r="K5" t="s">
        <v>9</v>
      </c>
      <c r="L5" t="s">
        <v>41</v>
      </c>
      <c r="M5">
        <v>1</v>
      </c>
    </row>
    <row r="6" spans="1:13" x14ac:dyDescent="0.35">
      <c r="A6" s="2">
        <v>46223</v>
      </c>
      <c r="B6" s="1" t="str">
        <f ca="1">IF(Información1[[#This Row],[Fecha]]='Ajuste de fechas'!$A$2,"Día actual","Día anterior")</f>
        <v>Día anterior</v>
      </c>
      <c r="C6" t="s">
        <v>8</v>
      </c>
      <c r="D6" t="s">
        <v>10</v>
      </c>
      <c r="E6" t="s">
        <v>110</v>
      </c>
      <c r="F6" t="s">
        <v>6</v>
      </c>
      <c r="G6" t="s">
        <v>107</v>
      </c>
      <c r="H6" t="s">
        <v>11</v>
      </c>
      <c r="I6" t="s">
        <v>25</v>
      </c>
      <c r="J6" t="s">
        <v>39</v>
      </c>
      <c r="K6" t="s">
        <v>9</v>
      </c>
      <c r="L6" t="s">
        <v>41</v>
      </c>
      <c r="M6">
        <v>1</v>
      </c>
    </row>
    <row r="7" spans="1:13" x14ac:dyDescent="0.35">
      <c r="A7" s="2">
        <v>46223</v>
      </c>
      <c r="B7" s="1" t="str">
        <f ca="1">IF(Información1[[#This Row],[Fecha]]='Ajuste de fechas'!$A$2,"Día actual","Día anterior")</f>
        <v>Día anterior</v>
      </c>
      <c r="C7" t="s">
        <v>8</v>
      </c>
      <c r="D7" t="s">
        <v>10</v>
      </c>
      <c r="E7" t="s">
        <v>111</v>
      </c>
      <c r="F7" t="s">
        <v>6</v>
      </c>
      <c r="G7" t="s">
        <v>107</v>
      </c>
      <c r="H7" t="s">
        <v>11</v>
      </c>
      <c r="I7" t="s">
        <v>25</v>
      </c>
      <c r="J7" t="s">
        <v>39</v>
      </c>
      <c r="K7" t="s">
        <v>9</v>
      </c>
      <c r="L7" t="s">
        <v>41</v>
      </c>
      <c r="M7">
        <v>1</v>
      </c>
    </row>
    <row r="8" spans="1:13" x14ac:dyDescent="0.35">
      <c r="A8" s="2">
        <v>46223</v>
      </c>
      <c r="B8" s="1" t="str">
        <f ca="1">IF(Información1[[#This Row],[Fecha]]='Ajuste de fechas'!$A$2,"Día actual","Día anterior")</f>
        <v>Día anterior</v>
      </c>
      <c r="C8" t="s">
        <v>8</v>
      </c>
      <c r="D8" t="s">
        <v>10</v>
      </c>
      <c r="E8" t="s">
        <v>112</v>
      </c>
      <c r="F8" t="s">
        <v>6</v>
      </c>
      <c r="G8" t="s">
        <v>107</v>
      </c>
      <c r="H8" t="s">
        <v>11</v>
      </c>
      <c r="I8" t="s">
        <v>25</v>
      </c>
      <c r="J8" t="s">
        <v>39</v>
      </c>
      <c r="K8" t="s">
        <v>9</v>
      </c>
      <c r="L8" t="s">
        <v>41</v>
      </c>
      <c r="M8">
        <v>1</v>
      </c>
    </row>
    <row r="9" spans="1:13" x14ac:dyDescent="0.35">
      <c r="A9" s="2">
        <v>46223</v>
      </c>
      <c r="B9" s="1" t="str">
        <f ca="1">IF(Información1[[#This Row],[Fecha]]='Ajuste de fechas'!$A$2,"Día actual","Día anterior")</f>
        <v>Día anterior</v>
      </c>
      <c r="C9" t="s">
        <v>8</v>
      </c>
      <c r="D9" t="s">
        <v>10</v>
      </c>
      <c r="E9" t="s">
        <v>113</v>
      </c>
      <c r="F9" t="s">
        <v>17</v>
      </c>
      <c r="G9" t="s">
        <v>114</v>
      </c>
      <c r="H9" t="s">
        <v>11</v>
      </c>
      <c r="I9" t="s">
        <v>7</v>
      </c>
      <c r="J9" t="s">
        <v>39</v>
      </c>
      <c r="K9" t="s">
        <v>14</v>
      </c>
      <c r="L9" t="s">
        <v>42</v>
      </c>
      <c r="M9">
        <v>1</v>
      </c>
    </row>
    <row r="10" spans="1:13" x14ac:dyDescent="0.35">
      <c r="A10" s="2">
        <v>46223</v>
      </c>
      <c r="B10" s="1" t="str">
        <f ca="1">IF(Información1[[#This Row],[Fecha]]='Ajuste de fechas'!$A$2,"Día actual","Día anterior")</f>
        <v>Día anterior</v>
      </c>
      <c r="C10" t="s">
        <v>28</v>
      </c>
      <c r="D10" t="s">
        <v>68</v>
      </c>
      <c r="E10" t="s">
        <v>115</v>
      </c>
      <c r="F10" t="s">
        <v>19</v>
      </c>
      <c r="G10" t="s">
        <v>96</v>
      </c>
      <c r="H10" t="s">
        <v>11</v>
      </c>
      <c r="I10" t="s">
        <v>7</v>
      </c>
      <c r="J10" t="s">
        <v>43</v>
      </c>
      <c r="K10" t="s">
        <v>69</v>
      </c>
      <c r="L10" t="s">
        <v>40</v>
      </c>
      <c r="M10">
        <v>1</v>
      </c>
    </row>
    <row r="11" spans="1:13" x14ac:dyDescent="0.35">
      <c r="A11" s="2">
        <v>46223</v>
      </c>
      <c r="B11" s="1" t="str">
        <f ca="1">IF(Información1[[#This Row],[Fecha]]='Ajuste de fechas'!$A$2,"Día actual","Día anterior")</f>
        <v>Día anterior</v>
      </c>
      <c r="C11" t="s">
        <v>28</v>
      </c>
      <c r="D11" t="s">
        <v>68</v>
      </c>
      <c r="E11" t="s">
        <v>116</v>
      </c>
      <c r="F11" t="s">
        <v>19</v>
      </c>
      <c r="G11" t="s">
        <v>96</v>
      </c>
      <c r="H11" t="s">
        <v>11</v>
      </c>
      <c r="I11" t="s">
        <v>7</v>
      </c>
      <c r="J11" t="s">
        <v>43</v>
      </c>
      <c r="K11" t="s">
        <v>69</v>
      </c>
      <c r="L11" t="s">
        <v>40</v>
      </c>
      <c r="M11">
        <v>1</v>
      </c>
    </row>
    <row r="12" spans="1:13" x14ac:dyDescent="0.35">
      <c r="A12" s="2">
        <v>46223</v>
      </c>
      <c r="B12" s="1" t="str">
        <f ca="1">IF(Información1[[#This Row],[Fecha]]='Ajuste de fechas'!$A$2,"Día actual","Día anterior")</f>
        <v>Día anterior</v>
      </c>
      <c r="C12" t="s">
        <v>28</v>
      </c>
      <c r="D12" t="s">
        <v>68</v>
      </c>
      <c r="E12" t="s">
        <v>117</v>
      </c>
      <c r="F12" t="s">
        <v>24</v>
      </c>
      <c r="G12" t="s">
        <v>118</v>
      </c>
      <c r="H12" t="s">
        <v>11</v>
      </c>
      <c r="I12" t="s">
        <v>7</v>
      </c>
      <c r="J12" t="s">
        <v>24</v>
      </c>
      <c r="K12" t="s">
        <v>69</v>
      </c>
      <c r="L12" t="s">
        <v>40</v>
      </c>
      <c r="M12">
        <v>1</v>
      </c>
    </row>
    <row r="13" spans="1:13" x14ac:dyDescent="0.35">
      <c r="A13" s="2">
        <v>46223</v>
      </c>
      <c r="B13" s="1" t="str">
        <f ca="1">IF(Información1[[#This Row],[Fecha]]='Ajuste de fechas'!$A$2,"Día actual","Día anterior")</f>
        <v>Día anterior</v>
      </c>
      <c r="C13" t="s">
        <v>28</v>
      </c>
      <c r="D13" t="s">
        <v>68</v>
      </c>
      <c r="E13" t="s">
        <v>119</v>
      </c>
      <c r="F13" t="s">
        <v>24</v>
      </c>
      <c r="G13" t="s">
        <v>120</v>
      </c>
      <c r="H13" t="s">
        <v>11</v>
      </c>
      <c r="I13" t="s">
        <v>7</v>
      </c>
      <c r="J13" t="s">
        <v>24</v>
      </c>
      <c r="K13" t="s">
        <v>69</v>
      </c>
      <c r="L13" t="s">
        <v>40</v>
      </c>
      <c r="M13">
        <v>1</v>
      </c>
    </row>
    <row r="14" spans="1:13" x14ac:dyDescent="0.35">
      <c r="A14" s="2">
        <v>46223</v>
      </c>
      <c r="B14" s="1" t="str">
        <f ca="1">IF(Información1[[#This Row],[Fecha]]='Ajuste de fechas'!$A$2,"Día actual","Día anterior")</f>
        <v>Día anterior</v>
      </c>
      <c r="C14" t="s">
        <v>28</v>
      </c>
      <c r="D14" t="s">
        <v>121</v>
      </c>
      <c r="E14" t="s">
        <v>122</v>
      </c>
      <c r="F14" t="s">
        <v>24</v>
      </c>
      <c r="G14" t="s">
        <v>120</v>
      </c>
      <c r="H14" t="s">
        <v>11</v>
      </c>
      <c r="I14" t="s">
        <v>7</v>
      </c>
      <c r="J14" t="s">
        <v>24</v>
      </c>
      <c r="K14" t="s">
        <v>123</v>
      </c>
      <c r="L14" t="s">
        <v>40</v>
      </c>
      <c r="M14">
        <v>1</v>
      </c>
    </row>
    <row r="15" spans="1:13" x14ac:dyDescent="0.35">
      <c r="A15" s="2">
        <v>46223</v>
      </c>
      <c r="B15" s="1" t="str">
        <f ca="1">IF(Información1[[#This Row],[Fecha]]='Ajuste de fechas'!$A$2,"Día actual","Día anterior")</f>
        <v>Día anterior</v>
      </c>
      <c r="C15" t="s">
        <v>8</v>
      </c>
      <c r="D15" t="s">
        <v>10</v>
      </c>
      <c r="E15" t="s">
        <v>124</v>
      </c>
      <c r="F15" t="s">
        <v>19</v>
      </c>
      <c r="G15" t="s">
        <v>32</v>
      </c>
      <c r="H15" t="s">
        <v>11</v>
      </c>
      <c r="I15" t="s">
        <v>7</v>
      </c>
      <c r="J15" t="s">
        <v>43</v>
      </c>
      <c r="K15" t="s">
        <v>14</v>
      </c>
      <c r="L15" t="s">
        <v>125</v>
      </c>
      <c r="M15">
        <v>1</v>
      </c>
    </row>
    <row r="16" spans="1:13" x14ac:dyDescent="0.35">
      <c r="A16" s="2">
        <v>46223</v>
      </c>
      <c r="B16" s="1" t="str">
        <f ca="1">IF(Información1[[#This Row],[Fecha]]='Ajuste de fechas'!$A$2,"Día actual","Día anterior")</f>
        <v>Día anterior</v>
      </c>
      <c r="C16" t="s">
        <v>28</v>
      </c>
      <c r="D16" t="s">
        <v>68</v>
      </c>
      <c r="E16" t="s">
        <v>126</v>
      </c>
      <c r="F16" t="s">
        <v>21</v>
      </c>
      <c r="G16" t="s">
        <v>127</v>
      </c>
      <c r="H16" t="s">
        <v>11</v>
      </c>
      <c r="I16" t="s">
        <v>7</v>
      </c>
      <c r="J16" t="s">
        <v>39</v>
      </c>
      <c r="K16" t="s">
        <v>69</v>
      </c>
      <c r="L16" t="s">
        <v>40</v>
      </c>
      <c r="M16">
        <v>1</v>
      </c>
    </row>
    <row r="17" spans="1:13" x14ac:dyDescent="0.35">
      <c r="A17" s="2">
        <v>46223</v>
      </c>
      <c r="B17" s="1" t="str">
        <f ca="1">IF(Información1[[#This Row],[Fecha]]='Ajuste de fechas'!$A$2,"Día actual","Día anterior")</f>
        <v>Día anterior</v>
      </c>
      <c r="C17" t="s">
        <v>28</v>
      </c>
      <c r="D17" t="s">
        <v>121</v>
      </c>
      <c r="E17" t="s">
        <v>128</v>
      </c>
      <c r="F17" t="s">
        <v>21</v>
      </c>
      <c r="G17" t="s">
        <v>127</v>
      </c>
      <c r="H17" t="s">
        <v>11</v>
      </c>
      <c r="I17" t="s">
        <v>7</v>
      </c>
      <c r="J17" t="s">
        <v>39</v>
      </c>
      <c r="K17" t="s">
        <v>123</v>
      </c>
      <c r="L17" t="s">
        <v>40</v>
      </c>
      <c r="M17">
        <v>1</v>
      </c>
    </row>
    <row r="18" spans="1:13" x14ac:dyDescent="0.35">
      <c r="A18" s="2">
        <v>46223</v>
      </c>
      <c r="B18" s="1" t="str">
        <f ca="1">IF(Información1[[#This Row],[Fecha]]='Ajuste de fechas'!$A$2,"Día actual","Día anterior")</f>
        <v>Día anterior</v>
      </c>
      <c r="C18" t="s">
        <v>28</v>
      </c>
      <c r="D18" t="s">
        <v>68</v>
      </c>
      <c r="E18" t="s">
        <v>129</v>
      </c>
      <c r="F18" t="s">
        <v>23</v>
      </c>
      <c r="G18" t="s">
        <v>130</v>
      </c>
      <c r="H18" t="s">
        <v>11</v>
      </c>
      <c r="I18" t="s">
        <v>7</v>
      </c>
      <c r="J18" t="s">
        <v>39</v>
      </c>
      <c r="K18" t="s">
        <v>69</v>
      </c>
      <c r="L18" t="s">
        <v>42</v>
      </c>
      <c r="M18">
        <v>1</v>
      </c>
    </row>
    <row r="19" spans="1:13" x14ac:dyDescent="0.35">
      <c r="A19" s="2">
        <v>46223</v>
      </c>
      <c r="B19" s="1" t="str">
        <f ca="1">IF(Información1[[#This Row],[Fecha]]='Ajuste de fechas'!$A$2,"Día actual","Día anterior")</f>
        <v>Día anterior</v>
      </c>
      <c r="C19" t="s">
        <v>28</v>
      </c>
      <c r="D19" t="s">
        <v>121</v>
      </c>
      <c r="E19" t="s">
        <v>131</v>
      </c>
      <c r="F19" t="s">
        <v>21</v>
      </c>
      <c r="G19" t="s">
        <v>132</v>
      </c>
      <c r="H19" t="s">
        <v>11</v>
      </c>
      <c r="I19" t="s">
        <v>7</v>
      </c>
      <c r="J19" t="s">
        <v>39</v>
      </c>
      <c r="K19" t="s">
        <v>123</v>
      </c>
      <c r="L19" t="s">
        <v>41</v>
      </c>
      <c r="M19">
        <v>1</v>
      </c>
    </row>
    <row r="20" spans="1:13" x14ac:dyDescent="0.35">
      <c r="A20" s="2">
        <v>46223</v>
      </c>
      <c r="B20" s="1" t="str">
        <f ca="1">IF(Información1[[#This Row],[Fecha]]='Ajuste de fechas'!$A$2,"Día actual","Día anterior")</f>
        <v>Día anterior</v>
      </c>
      <c r="C20" t="s">
        <v>8</v>
      </c>
      <c r="D20" t="s">
        <v>10</v>
      </c>
      <c r="E20" t="s">
        <v>133</v>
      </c>
      <c r="F20" t="s">
        <v>21</v>
      </c>
      <c r="G20" t="s">
        <v>132</v>
      </c>
      <c r="H20" t="s">
        <v>11</v>
      </c>
      <c r="I20" t="s">
        <v>7</v>
      </c>
      <c r="J20" t="s">
        <v>39</v>
      </c>
      <c r="K20" t="s">
        <v>14</v>
      </c>
      <c r="L20" t="s">
        <v>41</v>
      </c>
      <c r="M20">
        <v>1</v>
      </c>
    </row>
    <row r="21" spans="1:13" x14ac:dyDescent="0.35">
      <c r="A21" s="2">
        <v>46223</v>
      </c>
      <c r="B21" s="1" t="str">
        <f ca="1">IF(Información1[[#This Row],[Fecha]]='Ajuste de fechas'!$A$2,"Día actual","Día anterior")</f>
        <v>Día anterior</v>
      </c>
      <c r="C21" t="s">
        <v>28</v>
      </c>
      <c r="D21" t="s">
        <v>68</v>
      </c>
      <c r="E21" t="s">
        <v>134</v>
      </c>
      <c r="F21" t="s">
        <v>21</v>
      </c>
      <c r="G21" t="s">
        <v>135</v>
      </c>
      <c r="H21" t="s">
        <v>11</v>
      </c>
      <c r="I21" t="s">
        <v>7</v>
      </c>
      <c r="J21" t="s">
        <v>39</v>
      </c>
      <c r="K21" t="s">
        <v>69</v>
      </c>
      <c r="L21" t="s">
        <v>40</v>
      </c>
      <c r="M21">
        <v>1</v>
      </c>
    </row>
    <row r="22" spans="1:13" x14ac:dyDescent="0.35">
      <c r="A22" s="2">
        <v>46223</v>
      </c>
      <c r="B22" s="1" t="str">
        <f ca="1">IF(Información1[[#This Row],[Fecha]]='Ajuste de fechas'!$A$2,"Día actual","Día anterior")</f>
        <v>Día anterior</v>
      </c>
      <c r="C22" t="s">
        <v>8</v>
      </c>
      <c r="D22" t="s">
        <v>10</v>
      </c>
      <c r="E22" t="s">
        <v>136</v>
      </c>
      <c r="F22" t="s">
        <v>6</v>
      </c>
      <c r="G22" t="s">
        <v>137</v>
      </c>
      <c r="H22" t="s">
        <v>11</v>
      </c>
      <c r="I22" t="s">
        <v>7</v>
      </c>
      <c r="J22" t="s">
        <v>39</v>
      </c>
      <c r="K22" t="s">
        <v>14</v>
      </c>
      <c r="L22" t="s">
        <v>40</v>
      </c>
      <c r="M22">
        <v>1</v>
      </c>
    </row>
    <row r="23" spans="1:13" x14ac:dyDescent="0.35">
      <c r="A23" s="2">
        <v>46223</v>
      </c>
      <c r="B23" s="1" t="str">
        <f ca="1">IF(Información1[[#This Row],[Fecha]]='Ajuste de fechas'!$A$2,"Día actual","Día anterior")</f>
        <v>Día anterior</v>
      </c>
      <c r="C23" t="s">
        <v>28</v>
      </c>
      <c r="D23" t="s">
        <v>121</v>
      </c>
      <c r="E23" t="s">
        <v>138</v>
      </c>
      <c r="F23" t="s">
        <v>22</v>
      </c>
      <c r="G23" t="s">
        <v>139</v>
      </c>
      <c r="H23" t="s">
        <v>11</v>
      </c>
      <c r="I23" t="s">
        <v>7</v>
      </c>
      <c r="J23" t="s">
        <v>44</v>
      </c>
      <c r="K23" t="s">
        <v>123</v>
      </c>
      <c r="L23" t="s">
        <v>40</v>
      </c>
      <c r="M23">
        <v>1</v>
      </c>
    </row>
    <row r="24" spans="1:13" x14ac:dyDescent="0.35">
      <c r="A24" s="2">
        <v>46223</v>
      </c>
      <c r="B24" s="1" t="str">
        <f ca="1">IF(Información1[[#This Row],[Fecha]]='Ajuste de fechas'!$A$2,"Día actual","Día anterior")</f>
        <v>Día anterior</v>
      </c>
      <c r="C24" t="s">
        <v>28</v>
      </c>
      <c r="D24" t="s">
        <v>68</v>
      </c>
      <c r="E24" t="s">
        <v>140</v>
      </c>
      <c r="F24" t="s">
        <v>19</v>
      </c>
      <c r="G24" t="s">
        <v>101</v>
      </c>
      <c r="H24" t="s">
        <v>11</v>
      </c>
      <c r="I24" t="s">
        <v>7</v>
      </c>
      <c r="J24" t="s">
        <v>43</v>
      </c>
      <c r="K24" t="s">
        <v>69</v>
      </c>
      <c r="L24" t="s">
        <v>40</v>
      </c>
      <c r="M24">
        <v>1</v>
      </c>
    </row>
    <row r="25" spans="1:13" x14ac:dyDescent="0.35">
      <c r="A25" s="2">
        <v>46223</v>
      </c>
      <c r="B25" s="1" t="str">
        <f ca="1">IF(Información1[[#This Row],[Fecha]]='Ajuste de fechas'!$A$2,"Día actual","Día anterior")</f>
        <v>Día anterior</v>
      </c>
      <c r="C25" t="s">
        <v>28</v>
      </c>
      <c r="D25" t="s">
        <v>68</v>
      </c>
      <c r="E25" t="s">
        <v>141</v>
      </c>
      <c r="F25" t="s">
        <v>24</v>
      </c>
      <c r="G25" t="s">
        <v>142</v>
      </c>
      <c r="H25" t="s">
        <v>11</v>
      </c>
      <c r="I25" t="s">
        <v>7</v>
      </c>
      <c r="J25" t="s">
        <v>24</v>
      </c>
      <c r="K25" t="s">
        <v>69</v>
      </c>
      <c r="L25" t="s">
        <v>40</v>
      </c>
      <c r="M25">
        <v>1</v>
      </c>
    </row>
    <row r="26" spans="1:13" x14ac:dyDescent="0.35">
      <c r="A26" s="2">
        <v>46223</v>
      </c>
      <c r="B26" s="1" t="str">
        <f ca="1">IF(Información1[[#This Row],[Fecha]]='Ajuste de fechas'!$A$2,"Día actual","Día anterior")</f>
        <v>Día anterior</v>
      </c>
      <c r="C26" t="s">
        <v>28</v>
      </c>
      <c r="D26" t="s">
        <v>121</v>
      </c>
      <c r="E26" t="s">
        <v>143</v>
      </c>
      <c r="F26" t="s">
        <v>24</v>
      </c>
      <c r="G26" t="s">
        <v>142</v>
      </c>
      <c r="H26" t="s">
        <v>11</v>
      </c>
      <c r="I26" t="s">
        <v>7</v>
      </c>
      <c r="J26" t="s">
        <v>24</v>
      </c>
      <c r="K26" t="s">
        <v>123</v>
      </c>
      <c r="L26" t="s">
        <v>40</v>
      </c>
      <c r="M26">
        <v>1</v>
      </c>
    </row>
    <row r="27" spans="1:13" x14ac:dyDescent="0.35">
      <c r="A27" s="2">
        <v>46223</v>
      </c>
      <c r="B27" s="1" t="str">
        <f ca="1">IF(Información1[[#This Row],[Fecha]]='Ajuste de fechas'!$A$2,"Día actual","Día anterior")</f>
        <v>Día anterior</v>
      </c>
      <c r="C27" t="s">
        <v>28</v>
      </c>
      <c r="D27" t="s">
        <v>68</v>
      </c>
      <c r="E27" t="s">
        <v>144</v>
      </c>
      <c r="F27" t="s">
        <v>55</v>
      </c>
      <c r="G27" t="s">
        <v>145</v>
      </c>
      <c r="H27" t="s">
        <v>11</v>
      </c>
      <c r="I27" t="s">
        <v>7</v>
      </c>
      <c r="J27" t="s">
        <v>24</v>
      </c>
      <c r="K27" t="s">
        <v>69</v>
      </c>
      <c r="L27" t="s">
        <v>40</v>
      </c>
      <c r="M27">
        <v>1</v>
      </c>
    </row>
    <row r="28" spans="1:13" x14ac:dyDescent="0.35">
      <c r="A28" s="2">
        <v>46223</v>
      </c>
      <c r="B28" s="1" t="str">
        <f ca="1">IF(Información1[[#This Row],[Fecha]]='Ajuste de fechas'!$A$2,"Día actual","Día anterior")</f>
        <v>Día anterior</v>
      </c>
      <c r="C28" t="s">
        <v>28</v>
      </c>
      <c r="D28" t="s">
        <v>121</v>
      </c>
      <c r="E28" t="s">
        <v>146</v>
      </c>
      <c r="F28" t="s">
        <v>15</v>
      </c>
      <c r="G28" t="s">
        <v>147</v>
      </c>
      <c r="H28" t="s">
        <v>11</v>
      </c>
      <c r="I28" t="s">
        <v>7</v>
      </c>
      <c r="J28" t="s">
        <v>39</v>
      </c>
      <c r="K28" t="s">
        <v>123</v>
      </c>
      <c r="L28" t="s">
        <v>40</v>
      </c>
      <c r="M28">
        <v>1</v>
      </c>
    </row>
    <row r="29" spans="1:13" x14ac:dyDescent="0.35">
      <c r="A29" s="2">
        <v>46223</v>
      </c>
      <c r="B29" s="1" t="str">
        <f ca="1">IF(Información1[[#This Row],[Fecha]]='Ajuste de fechas'!$A$2,"Día actual","Día anterior")</f>
        <v>Día anterior</v>
      </c>
      <c r="C29" t="s">
        <v>8</v>
      </c>
      <c r="D29" t="s">
        <v>10</v>
      </c>
      <c r="E29" t="s">
        <v>148</v>
      </c>
      <c r="F29" t="s">
        <v>6</v>
      </c>
      <c r="G29" t="s">
        <v>72</v>
      </c>
      <c r="H29" t="s">
        <v>11</v>
      </c>
      <c r="I29" t="s">
        <v>25</v>
      </c>
      <c r="J29" t="s">
        <v>39</v>
      </c>
      <c r="K29" t="s">
        <v>9</v>
      </c>
      <c r="L29" t="s">
        <v>41</v>
      </c>
      <c r="M29">
        <v>1</v>
      </c>
    </row>
    <row r="30" spans="1:13" x14ac:dyDescent="0.35">
      <c r="A30" s="2">
        <v>46223</v>
      </c>
      <c r="B30" s="1" t="str">
        <f ca="1">IF(Información1[[#This Row],[Fecha]]='Ajuste de fechas'!$A$2,"Día actual","Día anterior")</f>
        <v>Día anterior</v>
      </c>
      <c r="C30" t="s">
        <v>28</v>
      </c>
      <c r="D30" t="s">
        <v>121</v>
      </c>
      <c r="E30" t="s">
        <v>149</v>
      </c>
      <c r="F30" t="s">
        <v>22</v>
      </c>
      <c r="G30" t="s">
        <v>150</v>
      </c>
      <c r="H30" t="s">
        <v>11</v>
      </c>
      <c r="I30" t="s">
        <v>7</v>
      </c>
      <c r="J30" t="s">
        <v>44</v>
      </c>
      <c r="K30" t="s">
        <v>123</v>
      </c>
      <c r="L30" t="s">
        <v>40</v>
      </c>
      <c r="M30">
        <v>1</v>
      </c>
    </row>
    <row r="31" spans="1:13" x14ac:dyDescent="0.35">
      <c r="A31" s="2">
        <v>46223</v>
      </c>
      <c r="B31" s="1" t="str">
        <f ca="1">IF(Información1[[#This Row],[Fecha]]='Ajuste de fechas'!$A$2,"Día actual","Día anterior")</f>
        <v>Día anterior</v>
      </c>
      <c r="C31" t="s">
        <v>28</v>
      </c>
      <c r="D31" t="s">
        <v>121</v>
      </c>
      <c r="E31" t="s">
        <v>151</v>
      </c>
      <c r="F31" t="s">
        <v>21</v>
      </c>
      <c r="G31" t="s">
        <v>152</v>
      </c>
      <c r="H31" t="s">
        <v>11</v>
      </c>
      <c r="I31" t="s">
        <v>7</v>
      </c>
      <c r="J31" t="s">
        <v>39</v>
      </c>
      <c r="K31" t="s">
        <v>123</v>
      </c>
      <c r="L31" t="s">
        <v>40</v>
      </c>
      <c r="M31">
        <v>1</v>
      </c>
    </row>
    <row r="32" spans="1:13" x14ac:dyDescent="0.35">
      <c r="A32" s="2">
        <v>46223</v>
      </c>
      <c r="B32" s="1" t="str">
        <f ca="1">IF(Información1[[#This Row],[Fecha]]='Ajuste de fechas'!$A$2,"Día actual","Día anterior")</f>
        <v>Día anterior</v>
      </c>
      <c r="C32" t="s">
        <v>8</v>
      </c>
      <c r="D32" t="s">
        <v>10</v>
      </c>
      <c r="E32" t="s">
        <v>153</v>
      </c>
      <c r="F32" t="s">
        <v>19</v>
      </c>
      <c r="G32" t="s">
        <v>97</v>
      </c>
      <c r="H32" t="s">
        <v>11</v>
      </c>
      <c r="I32" t="s">
        <v>7</v>
      </c>
      <c r="J32" t="s">
        <v>43</v>
      </c>
      <c r="K32" t="s">
        <v>9</v>
      </c>
      <c r="L32" t="s">
        <v>41</v>
      </c>
      <c r="M32">
        <v>1</v>
      </c>
    </row>
    <row r="33" spans="1:13" x14ac:dyDescent="0.35">
      <c r="A33" s="2">
        <v>46223</v>
      </c>
      <c r="B33" s="1" t="str">
        <f ca="1">IF(Información1[[#This Row],[Fecha]]='Ajuste de fechas'!$A$2,"Día actual","Día anterior")</f>
        <v>Día anterior</v>
      </c>
      <c r="C33" t="s">
        <v>8</v>
      </c>
      <c r="D33" t="s">
        <v>10</v>
      </c>
      <c r="E33" t="s">
        <v>154</v>
      </c>
      <c r="F33" t="s">
        <v>19</v>
      </c>
      <c r="G33" t="s">
        <v>88</v>
      </c>
      <c r="H33" t="s">
        <v>11</v>
      </c>
      <c r="I33" t="s">
        <v>7</v>
      </c>
      <c r="J33" t="s">
        <v>43</v>
      </c>
      <c r="K33" t="s">
        <v>14</v>
      </c>
      <c r="L33" t="s">
        <v>40</v>
      </c>
      <c r="M33">
        <v>1</v>
      </c>
    </row>
    <row r="34" spans="1:13" x14ac:dyDescent="0.35">
      <c r="A34" s="2">
        <v>46223</v>
      </c>
      <c r="B34" s="1" t="str">
        <f ca="1">IF(Información1[[#This Row],[Fecha]]='Ajuste de fechas'!$A$2,"Día actual","Día anterior")</f>
        <v>Día anterior</v>
      </c>
      <c r="C34" t="s">
        <v>8</v>
      </c>
      <c r="D34" t="s">
        <v>10</v>
      </c>
      <c r="E34" t="s">
        <v>155</v>
      </c>
      <c r="F34" t="s">
        <v>19</v>
      </c>
      <c r="G34" t="s">
        <v>156</v>
      </c>
      <c r="H34" t="s">
        <v>11</v>
      </c>
      <c r="I34" t="s">
        <v>25</v>
      </c>
      <c r="J34" t="s">
        <v>43</v>
      </c>
      <c r="K34" t="s">
        <v>9</v>
      </c>
      <c r="L34" t="s">
        <v>41</v>
      </c>
      <c r="M34">
        <v>1</v>
      </c>
    </row>
    <row r="35" spans="1:13" x14ac:dyDescent="0.35">
      <c r="A35" s="2">
        <v>46223</v>
      </c>
      <c r="B35" s="1" t="str">
        <f ca="1">IF(Información1[[#This Row],[Fecha]]='Ajuste de fechas'!$A$2,"Día actual","Día anterior")</f>
        <v>Día anterior</v>
      </c>
      <c r="C35" t="s">
        <v>28</v>
      </c>
      <c r="D35" t="s">
        <v>68</v>
      </c>
      <c r="E35" t="s">
        <v>157</v>
      </c>
      <c r="F35" t="s">
        <v>158</v>
      </c>
      <c r="G35" t="s">
        <v>98</v>
      </c>
      <c r="H35" t="s">
        <v>11</v>
      </c>
      <c r="I35" t="s">
        <v>7</v>
      </c>
      <c r="J35" t="s">
        <v>24</v>
      </c>
      <c r="K35" t="s">
        <v>69</v>
      </c>
      <c r="L35" t="s">
        <v>40</v>
      </c>
      <c r="M35">
        <v>1</v>
      </c>
    </row>
    <row r="36" spans="1:13" x14ac:dyDescent="0.35">
      <c r="A36" s="2">
        <v>46223</v>
      </c>
      <c r="B36" s="1" t="str">
        <f ca="1">IF(Información1[[#This Row],[Fecha]]='Ajuste de fechas'!$A$2,"Día actual","Día anterior")</f>
        <v>Día anterior</v>
      </c>
      <c r="C36" t="s">
        <v>28</v>
      </c>
      <c r="D36" t="s">
        <v>68</v>
      </c>
      <c r="E36" t="s">
        <v>159</v>
      </c>
      <c r="F36" t="s">
        <v>22</v>
      </c>
      <c r="G36" t="s">
        <v>98</v>
      </c>
      <c r="H36" t="s">
        <v>11</v>
      </c>
      <c r="I36" t="s">
        <v>7</v>
      </c>
      <c r="J36" t="s">
        <v>44</v>
      </c>
      <c r="K36" t="s">
        <v>69</v>
      </c>
      <c r="L36" t="s">
        <v>40</v>
      </c>
      <c r="M36">
        <v>1</v>
      </c>
    </row>
    <row r="37" spans="1:13" x14ac:dyDescent="0.35">
      <c r="A37" s="2">
        <v>46223</v>
      </c>
      <c r="B37" s="1" t="str">
        <f ca="1">IF(Información1[[#This Row],[Fecha]]='Ajuste de fechas'!$A$2,"Día actual","Día anterior")</f>
        <v>Día anterior</v>
      </c>
      <c r="C37" t="s">
        <v>28</v>
      </c>
      <c r="D37" t="s">
        <v>68</v>
      </c>
      <c r="E37" t="s">
        <v>160</v>
      </c>
      <c r="F37" t="s">
        <v>6</v>
      </c>
      <c r="G37" t="s">
        <v>98</v>
      </c>
      <c r="H37" t="s">
        <v>11</v>
      </c>
      <c r="I37" t="s">
        <v>7</v>
      </c>
      <c r="J37" t="s">
        <v>39</v>
      </c>
      <c r="K37" t="s">
        <v>69</v>
      </c>
      <c r="L37" t="s">
        <v>40</v>
      </c>
      <c r="M37">
        <v>1</v>
      </c>
    </row>
    <row r="38" spans="1:13" x14ac:dyDescent="0.35">
      <c r="A38" s="2">
        <v>46223</v>
      </c>
      <c r="B38" s="1" t="str">
        <f ca="1">IF(Información1[[#This Row],[Fecha]]='Ajuste de fechas'!$A$2,"Día actual","Día anterior")</f>
        <v>Día anterior</v>
      </c>
      <c r="C38" t="s">
        <v>28</v>
      </c>
      <c r="D38" t="s">
        <v>68</v>
      </c>
      <c r="E38" t="s">
        <v>161</v>
      </c>
      <c r="F38" t="s">
        <v>24</v>
      </c>
      <c r="G38" t="s">
        <v>53</v>
      </c>
      <c r="H38" t="s">
        <v>11</v>
      </c>
      <c r="I38" t="s">
        <v>7</v>
      </c>
      <c r="J38" t="s">
        <v>24</v>
      </c>
      <c r="K38" t="s">
        <v>69</v>
      </c>
      <c r="L38" t="s">
        <v>40</v>
      </c>
      <c r="M38">
        <v>1</v>
      </c>
    </row>
    <row r="39" spans="1:13" x14ac:dyDescent="0.35">
      <c r="A39" s="2">
        <v>46223</v>
      </c>
      <c r="B39" s="1" t="str">
        <f ca="1">IF(Información1[[#This Row],[Fecha]]='Ajuste de fechas'!$A$2,"Día actual","Día anterior")</f>
        <v>Día anterior</v>
      </c>
      <c r="C39" t="s">
        <v>28</v>
      </c>
      <c r="D39" t="s">
        <v>68</v>
      </c>
      <c r="E39" t="s">
        <v>162</v>
      </c>
      <c r="F39" t="s">
        <v>19</v>
      </c>
      <c r="G39" t="s">
        <v>163</v>
      </c>
      <c r="H39" t="s">
        <v>11</v>
      </c>
      <c r="I39" t="s">
        <v>7</v>
      </c>
      <c r="J39" t="s">
        <v>43</v>
      </c>
      <c r="K39" t="s">
        <v>69</v>
      </c>
      <c r="L39" t="s">
        <v>40</v>
      </c>
      <c r="M39">
        <v>1</v>
      </c>
    </row>
    <row r="40" spans="1:13" x14ac:dyDescent="0.35">
      <c r="A40" s="2">
        <v>46223</v>
      </c>
      <c r="B40" s="1" t="str">
        <f ca="1">IF(Información1[[#This Row],[Fecha]]='Ajuste de fechas'!$A$2,"Día actual","Día anterior")</f>
        <v>Día anterior</v>
      </c>
      <c r="C40" t="s">
        <v>28</v>
      </c>
      <c r="D40" t="s">
        <v>121</v>
      </c>
      <c r="E40" t="s">
        <v>164</v>
      </c>
      <c r="F40" t="s">
        <v>19</v>
      </c>
      <c r="G40" t="s">
        <v>163</v>
      </c>
      <c r="H40" t="s">
        <v>11</v>
      </c>
      <c r="I40" t="s">
        <v>7</v>
      </c>
      <c r="J40" t="s">
        <v>43</v>
      </c>
      <c r="K40" t="s">
        <v>123</v>
      </c>
      <c r="L40" t="s">
        <v>40</v>
      </c>
      <c r="M40">
        <v>1</v>
      </c>
    </row>
    <row r="41" spans="1:13" x14ac:dyDescent="0.35">
      <c r="A41" s="2">
        <v>46223</v>
      </c>
      <c r="B41" s="1" t="str">
        <f ca="1">IF(Información1[[#This Row],[Fecha]]='Ajuste de fechas'!$A$2,"Día actual","Día anterior")</f>
        <v>Día anterior</v>
      </c>
      <c r="C41" t="s">
        <v>8</v>
      </c>
      <c r="D41" t="s">
        <v>10</v>
      </c>
      <c r="E41" t="s">
        <v>165</v>
      </c>
      <c r="F41" t="s">
        <v>21</v>
      </c>
      <c r="G41" t="s">
        <v>166</v>
      </c>
      <c r="H41" t="s">
        <v>11</v>
      </c>
      <c r="I41" t="s">
        <v>7</v>
      </c>
      <c r="J41" t="s">
        <v>39</v>
      </c>
      <c r="K41" t="s">
        <v>14</v>
      </c>
      <c r="L41" t="s">
        <v>40</v>
      </c>
      <c r="M41">
        <v>1</v>
      </c>
    </row>
    <row r="42" spans="1:13" x14ac:dyDescent="0.35">
      <c r="A42" s="2">
        <v>46223</v>
      </c>
      <c r="B42" s="1" t="str">
        <f ca="1">IF(Información1[[#This Row],[Fecha]]='Ajuste de fechas'!$A$2,"Día actual","Día anterior")</f>
        <v>Día anterior</v>
      </c>
      <c r="C42" t="s">
        <v>8</v>
      </c>
      <c r="D42" t="s">
        <v>10</v>
      </c>
      <c r="E42" t="s">
        <v>167</v>
      </c>
      <c r="F42" t="s">
        <v>19</v>
      </c>
      <c r="G42" t="s">
        <v>168</v>
      </c>
      <c r="H42" t="s">
        <v>11</v>
      </c>
      <c r="I42" t="s">
        <v>7</v>
      </c>
      <c r="J42" t="s">
        <v>43</v>
      </c>
      <c r="K42" t="s">
        <v>14</v>
      </c>
      <c r="L42" t="s">
        <v>40</v>
      </c>
      <c r="M42">
        <v>1</v>
      </c>
    </row>
    <row r="43" spans="1:13" x14ac:dyDescent="0.35">
      <c r="A43" s="2">
        <v>46223</v>
      </c>
      <c r="B43" s="1" t="str">
        <f ca="1">IF(Información1[[#This Row],[Fecha]]='Ajuste de fechas'!$A$2,"Día actual","Día anterior")</f>
        <v>Día anterior</v>
      </c>
      <c r="C43" t="s">
        <v>50</v>
      </c>
      <c r="D43" t="s">
        <v>56</v>
      </c>
      <c r="E43" t="s">
        <v>169</v>
      </c>
      <c r="F43" t="s">
        <v>22</v>
      </c>
      <c r="G43" t="s">
        <v>90</v>
      </c>
      <c r="H43" t="s">
        <v>11</v>
      </c>
      <c r="I43" t="s">
        <v>7</v>
      </c>
      <c r="J43" t="s">
        <v>44</v>
      </c>
      <c r="K43" t="s">
        <v>51</v>
      </c>
      <c r="L43" t="s">
        <v>40</v>
      </c>
      <c r="M43">
        <v>1</v>
      </c>
    </row>
    <row r="44" spans="1:13" x14ac:dyDescent="0.35">
      <c r="A44" s="2">
        <v>46223</v>
      </c>
      <c r="B44" s="1" t="str">
        <f ca="1">IF(Información1[[#This Row],[Fecha]]='Ajuste de fechas'!$A$2,"Día actual","Día anterior")</f>
        <v>Día anterior</v>
      </c>
      <c r="C44" t="s">
        <v>65</v>
      </c>
      <c r="D44" t="s">
        <v>66</v>
      </c>
      <c r="E44" t="s">
        <v>170</v>
      </c>
      <c r="F44" t="s">
        <v>26</v>
      </c>
      <c r="G44" t="s">
        <v>171</v>
      </c>
      <c r="H44" t="s">
        <v>11</v>
      </c>
      <c r="I44" t="s">
        <v>7</v>
      </c>
      <c r="J44" t="s">
        <v>39</v>
      </c>
      <c r="K44" t="s">
        <v>67</v>
      </c>
      <c r="L44" t="s">
        <v>40</v>
      </c>
      <c r="M44">
        <v>1</v>
      </c>
    </row>
    <row r="45" spans="1:13" x14ac:dyDescent="0.35">
      <c r="A45" s="2">
        <v>46223</v>
      </c>
      <c r="B45" s="1" t="str">
        <f ca="1">IF(Información1[[#This Row],[Fecha]]='Ajuste de fechas'!$A$2,"Día actual","Día anterior")</f>
        <v>Día anterior</v>
      </c>
      <c r="C45" t="s">
        <v>65</v>
      </c>
      <c r="D45" t="s">
        <v>66</v>
      </c>
      <c r="E45" t="s">
        <v>172</v>
      </c>
      <c r="F45" t="s">
        <v>21</v>
      </c>
      <c r="G45" t="s">
        <v>152</v>
      </c>
      <c r="H45" t="s">
        <v>11</v>
      </c>
      <c r="I45" t="s">
        <v>7</v>
      </c>
      <c r="J45" t="s">
        <v>39</v>
      </c>
      <c r="K45" t="s">
        <v>67</v>
      </c>
      <c r="L45" t="s">
        <v>42</v>
      </c>
      <c r="M45">
        <v>1</v>
      </c>
    </row>
    <row r="46" spans="1:13" x14ac:dyDescent="0.35">
      <c r="A46" s="2">
        <v>46223</v>
      </c>
      <c r="B46" s="1" t="str">
        <f ca="1">IF(Información1[[#This Row],[Fecha]]='Ajuste de fechas'!$A$2,"Día actual","Día anterior")</f>
        <v>Día anterior</v>
      </c>
      <c r="C46" t="s">
        <v>65</v>
      </c>
      <c r="D46" t="s">
        <v>66</v>
      </c>
      <c r="E46" t="s">
        <v>173</v>
      </c>
      <c r="F46" t="s">
        <v>23</v>
      </c>
      <c r="G46" t="s">
        <v>130</v>
      </c>
      <c r="H46" t="s">
        <v>11</v>
      </c>
      <c r="I46" t="s">
        <v>7</v>
      </c>
      <c r="J46" t="s">
        <v>39</v>
      </c>
      <c r="K46" t="s">
        <v>67</v>
      </c>
      <c r="L46" t="s">
        <v>42</v>
      </c>
      <c r="M46">
        <v>1</v>
      </c>
    </row>
    <row r="47" spans="1:13" x14ac:dyDescent="0.35">
      <c r="A47" s="2">
        <v>46223</v>
      </c>
      <c r="B47" s="1" t="str">
        <f ca="1">IF(Información1[[#This Row],[Fecha]]='Ajuste de fechas'!$A$2,"Día actual","Día anterior")</f>
        <v>Día anterior</v>
      </c>
      <c r="C47" t="s">
        <v>65</v>
      </c>
      <c r="D47" t="s">
        <v>66</v>
      </c>
      <c r="E47" t="s">
        <v>174</v>
      </c>
      <c r="F47" t="s">
        <v>78</v>
      </c>
      <c r="G47" t="s">
        <v>150</v>
      </c>
      <c r="H47" t="s">
        <v>11</v>
      </c>
      <c r="I47" t="s">
        <v>7</v>
      </c>
      <c r="J47" t="s">
        <v>39</v>
      </c>
      <c r="K47" t="s">
        <v>67</v>
      </c>
      <c r="L47" t="s">
        <v>42</v>
      </c>
      <c r="M47">
        <v>1</v>
      </c>
    </row>
    <row r="48" spans="1:13" x14ac:dyDescent="0.35">
      <c r="A48" s="2">
        <v>46223</v>
      </c>
      <c r="B48" s="1" t="str">
        <f ca="1">IF(Información1[[#This Row],[Fecha]]='Ajuste de fechas'!$A$2,"Día actual","Día anterior")</f>
        <v>Día anterior</v>
      </c>
      <c r="C48" t="s">
        <v>65</v>
      </c>
      <c r="D48" t="s">
        <v>66</v>
      </c>
      <c r="E48" t="s">
        <v>175</v>
      </c>
      <c r="F48" t="s">
        <v>55</v>
      </c>
      <c r="G48" t="s">
        <v>176</v>
      </c>
      <c r="H48" t="s">
        <v>11</v>
      </c>
      <c r="I48" t="s">
        <v>7</v>
      </c>
      <c r="J48" t="s">
        <v>24</v>
      </c>
      <c r="K48" t="s">
        <v>67</v>
      </c>
      <c r="L48" t="s">
        <v>40</v>
      </c>
      <c r="M48">
        <v>1</v>
      </c>
    </row>
    <row r="49" spans="1:13" x14ac:dyDescent="0.35">
      <c r="A49" s="2">
        <v>46223</v>
      </c>
      <c r="B49" s="1" t="str">
        <f ca="1">IF(Información1[[#This Row],[Fecha]]='Ajuste de fechas'!$A$2,"Día actual","Día anterior")</f>
        <v>Día anterior</v>
      </c>
      <c r="C49" t="s">
        <v>65</v>
      </c>
      <c r="D49" t="s">
        <v>66</v>
      </c>
      <c r="E49" t="s">
        <v>177</v>
      </c>
      <c r="F49" t="s">
        <v>21</v>
      </c>
      <c r="G49" t="s">
        <v>152</v>
      </c>
      <c r="H49" t="s">
        <v>11</v>
      </c>
      <c r="I49" t="s">
        <v>7</v>
      </c>
      <c r="J49" t="s">
        <v>39</v>
      </c>
      <c r="K49" t="s">
        <v>67</v>
      </c>
      <c r="L49" t="s">
        <v>94</v>
      </c>
      <c r="M49">
        <v>1</v>
      </c>
    </row>
    <row r="50" spans="1:13" x14ac:dyDescent="0.35">
      <c r="A50" s="2">
        <v>46223</v>
      </c>
      <c r="B50" s="1" t="str">
        <f ca="1">IF(Información1[[#This Row],[Fecha]]='Ajuste de fechas'!$A$2,"Día actual","Día anterior")</f>
        <v>Día anterior</v>
      </c>
      <c r="C50" t="s">
        <v>65</v>
      </c>
      <c r="D50" t="s">
        <v>66</v>
      </c>
      <c r="E50" t="s">
        <v>178</v>
      </c>
      <c r="F50" t="s">
        <v>31</v>
      </c>
      <c r="G50" t="s">
        <v>179</v>
      </c>
      <c r="H50" t="s">
        <v>11</v>
      </c>
      <c r="I50" t="s">
        <v>7</v>
      </c>
      <c r="J50" t="s">
        <v>39</v>
      </c>
      <c r="K50" t="s">
        <v>67</v>
      </c>
      <c r="L50" t="s">
        <v>42</v>
      </c>
      <c r="M50">
        <v>1</v>
      </c>
    </row>
    <row r="51" spans="1:13" x14ac:dyDescent="0.35">
      <c r="A51" s="2">
        <v>46223</v>
      </c>
      <c r="B51" s="1" t="str">
        <f ca="1">IF(Información1[[#This Row],[Fecha]]='Ajuste de fechas'!$A$2,"Día actual","Día anterior")</f>
        <v>Día anterior</v>
      </c>
      <c r="C51" t="s">
        <v>65</v>
      </c>
      <c r="D51" t="s">
        <v>66</v>
      </c>
      <c r="E51" t="s">
        <v>180</v>
      </c>
      <c r="F51" t="s">
        <v>21</v>
      </c>
      <c r="G51" t="s">
        <v>152</v>
      </c>
      <c r="H51" t="s">
        <v>11</v>
      </c>
      <c r="I51" t="s">
        <v>7</v>
      </c>
      <c r="J51" t="s">
        <v>39</v>
      </c>
      <c r="K51" t="s">
        <v>67</v>
      </c>
      <c r="L51" t="s">
        <v>42</v>
      </c>
      <c r="M51">
        <v>1</v>
      </c>
    </row>
    <row r="52" spans="1:13" x14ac:dyDescent="0.35">
      <c r="A52" s="2">
        <v>46223</v>
      </c>
      <c r="B52" s="1" t="str">
        <f ca="1">IF(Información1[[#This Row],[Fecha]]='Ajuste de fechas'!$A$2,"Día actual","Día anterior")</f>
        <v>Día anterior</v>
      </c>
      <c r="C52" t="s">
        <v>65</v>
      </c>
      <c r="D52" t="s">
        <v>66</v>
      </c>
      <c r="E52" t="s">
        <v>181</v>
      </c>
      <c r="F52" t="s">
        <v>15</v>
      </c>
      <c r="G52" t="s">
        <v>147</v>
      </c>
      <c r="H52" t="s">
        <v>11</v>
      </c>
      <c r="I52" t="s">
        <v>7</v>
      </c>
      <c r="J52" t="s">
        <v>39</v>
      </c>
      <c r="K52" t="s">
        <v>67</v>
      </c>
      <c r="L52" t="s">
        <v>42</v>
      </c>
      <c r="M52">
        <v>1</v>
      </c>
    </row>
    <row r="53" spans="1:13" x14ac:dyDescent="0.35">
      <c r="A53" s="2">
        <v>46223</v>
      </c>
      <c r="B53" s="1" t="str">
        <f ca="1">IF(Información1[[#This Row],[Fecha]]='Ajuste de fechas'!$A$2,"Día actual","Día anterior")</f>
        <v>Día anterior</v>
      </c>
      <c r="C53" t="s">
        <v>50</v>
      </c>
      <c r="D53" t="s">
        <v>52</v>
      </c>
      <c r="E53" t="s">
        <v>182</v>
      </c>
      <c r="F53" t="s">
        <v>21</v>
      </c>
      <c r="G53" t="s">
        <v>132</v>
      </c>
      <c r="H53" t="s">
        <v>11</v>
      </c>
      <c r="I53" t="s">
        <v>7</v>
      </c>
      <c r="J53" t="s">
        <v>39</v>
      </c>
      <c r="K53" t="s">
        <v>49</v>
      </c>
      <c r="L53" t="s">
        <v>41</v>
      </c>
      <c r="M53">
        <v>1</v>
      </c>
    </row>
    <row r="54" spans="1:13" x14ac:dyDescent="0.35">
      <c r="A54" s="2">
        <v>46223</v>
      </c>
      <c r="B54" s="1" t="str">
        <f ca="1">IF(Información1[[#This Row],[Fecha]]='Ajuste de fechas'!$A$2,"Día actual","Día anterior")</f>
        <v>Día anterior</v>
      </c>
      <c r="C54" t="s">
        <v>50</v>
      </c>
      <c r="D54" t="s">
        <v>52</v>
      </c>
      <c r="E54" t="s">
        <v>183</v>
      </c>
      <c r="F54" t="s">
        <v>21</v>
      </c>
      <c r="G54" t="s">
        <v>152</v>
      </c>
      <c r="H54" t="s">
        <v>11</v>
      </c>
      <c r="I54" t="s">
        <v>7</v>
      </c>
      <c r="J54" t="s">
        <v>39</v>
      </c>
      <c r="K54" t="s">
        <v>49</v>
      </c>
      <c r="L54" t="s">
        <v>42</v>
      </c>
      <c r="M54">
        <v>1</v>
      </c>
    </row>
    <row r="55" spans="1:13" x14ac:dyDescent="0.35">
      <c r="A55" s="2">
        <v>46223</v>
      </c>
      <c r="B55" s="1" t="str">
        <f ca="1">IF(Información1[[#This Row],[Fecha]]='Ajuste de fechas'!$A$2,"Día actual","Día anterior")</f>
        <v>Día anterior</v>
      </c>
      <c r="C55" t="s">
        <v>50</v>
      </c>
      <c r="D55" t="s">
        <v>52</v>
      </c>
      <c r="E55" t="s">
        <v>129</v>
      </c>
      <c r="F55" t="s">
        <v>23</v>
      </c>
      <c r="G55" t="s">
        <v>130</v>
      </c>
      <c r="H55" t="s">
        <v>11</v>
      </c>
      <c r="I55" t="s">
        <v>7</v>
      </c>
      <c r="J55" t="s">
        <v>39</v>
      </c>
      <c r="K55" t="s">
        <v>49</v>
      </c>
      <c r="L55" t="s">
        <v>42</v>
      </c>
      <c r="M55">
        <v>1</v>
      </c>
    </row>
    <row r="56" spans="1:13" x14ac:dyDescent="0.35">
      <c r="A56" s="2">
        <v>46223</v>
      </c>
      <c r="B56" s="1" t="str">
        <f ca="1">IF(Información1[[#This Row],[Fecha]]='Ajuste de fechas'!$A$2,"Día actual","Día anterior")</f>
        <v>Día anterior</v>
      </c>
      <c r="C56" t="s">
        <v>50</v>
      </c>
      <c r="D56" t="s">
        <v>52</v>
      </c>
      <c r="E56" t="s">
        <v>184</v>
      </c>
      <c r="F56" t="s">
        <v>70</v>
      </c>
      <c r="G56" t="s">
        <v>98</v>
      </c>
      <c r="H56" t="s">
        <v>11</v>
      </c>
      <c r="I56" t="s">
        <v>7</v>
      </c>
      <c r="J56" t="s">
        <v>39</v>
      </c>
      <c r="K56" t="s">
        <v>49</v>
      </c>
      <c r="L56" t="s">
        <v>40</v>
      </c>
      <c r="M56">
        <v>1</v>
      </c>
    </row>
    <row r="57" spans="1:13" x14ac:dyDescent="0.35">
      <c r="A57" s="2">
        <v>46223</v>
      </c>
      <c r="B57" s="1" t="str">
        <f ca="1">IF(Información1[[#This Row],[Fecha]]='Ajuste de fechas'!$A$2,"Día actual","Día anterior")</f>
        <v>Día anterior</v>
      </c>
      <c r="C57" t="s">
        <v>50</v>
      </c>
      <c r="D57" t="s">
        <v>52</v>
      </c>
      <c r="E57" t="s">
        <v>185</v>
      </c>
      <c r="F57" t="s">
        <v>6</v>
      </c>
      <c r="G57" t="s">
        <v>98</v>
      </c>
      <c r="H57" t="s">
        <v>11</v>
      </c>
      <c r="I57" t="s">
        <v>7</v>
      </c>
      <c r="J57" t="s">
        <v>39</v>
      </c>
      <c r="K57" t="s">
        <v>49</v>
      </c>
      <c r="L57" t="s">
        <v>40</v>
      </c>
      <c r="M57">
        <v>1</v>
      </c>
    </row>
    <row r="58" spans="1:13" x14ac:dyDescent="0.35">
      <c r="A58" s="2">
        <v>46223</v>
      </c>
      <c r="B58" s="1" t="str">
        <f ca="1">IF(Información1[[#This Row],[Fecha]]='Ajuste de fechas'!$A$2,"Día actual","Día anterior")</f>
        <v>Día anterior</v>
      </c>
      <c r="C58" t="s">
        <v>50</v>
      </c>
      <c r="D58" t="s">
        <v>52</v>
      </c>
      <c r="E58" t="s">
        <v>186</v>
      </c>
      <c r="F58" t="s">
        <v>21</v>
      </c>
      <c r="G58" t="s">
        <v>187</v>
      </c>
      <c r="H58" t="s">
        <v>11</v>
      </c>
      <c r="I58" t="s">
        <v>7</v>
      </c>
      <c r="J58" t="s">
        <v>39</v>
      </c>
      <c r="K58" t="s">
        <v>51</v>
      </c>
      <c r="L58" t="s">
        <v>40</v>
      </c>
      <c r="M58">
        <v>1</v>
      </c>
    </row>
    <row r="59" spans="1:13" x14ac:dyDescent="0.35">
      <c r="A59" s="2">
        <v>46223</v>
      </c>
      <c r="B59" s="1" t="str">
        <f ca="1">IF(Información1[[#This Row],[Fecha]]='Ajuste de fechas'!$A$2,"Día actual","Día anterior")</f>
        <v>Día anterior</v>
      </c>
      <c r="C59" t="s">
        <v>50</v>
      </c>
      <c r="D59" t="s">
        <v>52</v>
      </c>
      <c r="E59" t="s">
        <v>188</v>
      </c>
      <c r="F59" t="s">
        <v>6</v>
      </c>
      <c r="G59" t="s">
        <v>98</v>
      </c>
      <c r="H59" t="s">
        <v>11</v>
      </c>
      <c r="I59" t="s">
        <v>7</v>
      </c>
      <c r="J59" t="s">
        <v>39</v>
      </c>
      <c r="K59" t="s">
        <v>49</v>
      </c>
      <c r="L59" t="s">
        <v>40</v>
      </c>
      <c r="M59">
        <v>1</v>
      </c>
    </row>
    <row r="60" spans="1:13" x14ac:dyDescent="0.35">
      <c r="A60" s="2">
        <v>46223</v>
      </c>
      <c r="B60" s="1" t="str">
        <f ca="1">IF(Información1[[#This Row],[Fecha]]='Ajuste de fechas'!$A$2,"Día actual","Día anterior")</f>
        <v>Día anterior</v>
      </c>
      <c r="C60" t="s">
        <v>50</v>
      </c>
      <c r="D60" t="s">
        <v>52</v>
      </c>
      <c r="E60" t="s">
        <v>189</v>
      </c>
      <c r="F60" t="s">
        <v>19</v>
      </c>
      <c r="G60" t="s">
        <v>190</v>
      </c>
      <c r="H60" t="s">
        <v>11</v>
      </c>
      <c r="I60" t="s">
        <v>7</v>
      </c>
      <c r="J60" t="s">
        <v>43</v>
      </c>
      <c r="K60" t="s">
        <v>49</v>
      </c>
      <c r="L60" t="s">
        <v>40</v>
      </c>
      <c r="M60">
        <v>1</v>
      </c>
    </row>
    <row r="61" spans="1:13" x14ac:dyDescent="0.35">
      <c r="A61" s="2">
        <v>46223</v>
      </c>
      <c r="B61" s="1" t="str">
        <f ca="1">IF(Información1[[#This Row],[Fecha]]='Ajuste de fechas'!$A$2,"Día actual","Día anterior")</f>
        <v>Día anterior</v>
      </c>
      <c r="C61" t="s">
        <v>50</v>
      </c>
      <c r="D61" t="s">
        <v>52</v>
      </c>
      <c r="E61" t="s">
        <v>191</v>
      </c>
      <c r="F61" t="s">
        <v>19</v>
      </c>
      <c r="G61" t="s">
        <v>98</v>
      </c>
      <c r="H61" t="s">
        <v>11</v>
      </c>
      <c r="I61" t="s">
        <v>7</v>
      </c>
      <c r="J61" t="s">
        <v>43</v>
      </c>
      <c r="K61" t="s">
        <v>51</v>
      </c>
      <c r="L61" t="s">
        <v>40</v>
      </c>
      <c r="M61">
        <v>1</v>
      </c>
    </row>
    <row r="62" spans="1:13" x14ac:dyDescent="0.35">
      <c r="A62" s="2">
        <v>46223</v>
      </c>
      <c r="B62" s="1" t="str">
        <f ca="1">IF(Información1[[#This Row],[Fecha]]='Ajuste de fechas'!$A$2,"Día actual","Día anterior")</f>
        <v>Día anterior</v>
      </c>
      <c r="C62" t="s">
        <v>50</v>
      </c>
      <c r="D62" t="s">
        <v>52</v>
      </c>
      <c r="E62" t="s">
        <v>192</v>
      </c>
      <c r="F62" t="s">
        <v>19</v>
      </c>
      <c r="G62" t="s">
        <v>193</v>
      </c>
      <c r="H62" t="s">
        <v>11</v>
      </c>
      <c r="I62" t="s">
        <v>7</v>
      </c>
      <c r="J62" t="s">
        <v>43</v>
      </c>
      <c r="K62" t="s">
        <v>51</v>
      </c>
      <c r="L62" t="s">
        <v>40</v>
      </c>
      <c r="M62">
        <v>1</v>
      </c>
    </row>
    <row r="63" spans="1:13" x14ac:dyDescent="0.35">
      <c r="A63" s="2">
        <v>46223</v>
      </c>
      <c r="B63" s="1" t="str">
        <f ca="1">IF(Información1[[#This Row],[Fecha]]='Ajuste de fechas'!$A$2,"Día actual","Día anterior")</f>
        <v>Día anterior</v>
      </c>
      <c r="C63" t="s">
        <v>50</v>
      </c>
      <c r="D63" t="s">
        <v>52</v>
      </c>
      <c r="E63" t="s">
        <v>194</v>
      </c>
      <c r="F63" t="s">
        <v>22</v>
      </c>
      <c r="G63" t="s">
        <v>98</v>
      </c>
      <c r="H63" t="s">
        <v>11</v>
      </c>
      <c r="I63" t="s">
        <v>7</v>
      </c>
      <c r="J63" t="s">
        <v>44</v>
      </c>
      <c r="K63" t="s">
        <v>49</v>
      </c>
      <c r="L63" t="s">
        <v>40</v>
      </c>
      <c r="M63">
        <v>1</v>
      </c>
    </row>
    <row r="64" spans="1:13" x14ac:dyDescent="0.35">
      <c r="A64" s="2">
        <v>46223</v>
      </c>
      <c r="B64" s="1" t="str">
        <f ca="1">IF(Información1[[#This Row],[Fecha]]='Ajuste de fechas'!$A$2,"Día actual","Día anterior")</f>
        <v>Día anterior</v>
      </c>
      <c r="C64" t="s">
        <v>50</v>
      </c>
      <c r="D64" t="s">
        <v>52</v>
      </c>
      <c r="E64" t="s">
        <v>195</v>
      </c>
      <c r="F64" t="s">
        <v>158</v>
      </c>
      <c r="G64" t="s">
        <v>98</v>
      </c>
      <c r="H64" t="s">
        <v>11</v>
      </c>
      <c r="I64" t="s">
        <v>7</v>
      </c>
      <c r="J64" t="s">
        <v>24</v>
      </c>
      <c r="K64" t="s">
        <v>49</v>
      </c>
      <c r="L64" t="s">
        <v>40</v>
      </c>
      <c r="M64">
        <v>1</v>
      </c>
    </row>
    <row r="65" spans="1:13" x14ac:dyDescent="0.35">
      <c r="A65" s="2">
        <v>46223</v>
      </c>
      <c r="B65" s="1" t="str">
        <f ca="1">IF(Información1[[#This Row],[Fecha]]='Ajuste de fechas'!$A$2,"Día actual","Día anterior")</f>
        <v>Día anterior</v>
      </c>
      <c r="C65" t="s">
        <v>61</v>
      </c>
      <c r="D65" t="s">
        <v>62</v>
      </c>
      <c r="E65" t="s">
        <v>196</v>
      </c>
      <c r="F65" t="s">
        <v>21</v>
      </c>
      <c r="G65" t="s">
        <v>166</v>
      </c>
      <c r="H65" t="s">
        <v>11</v>
      </c>
      <c r="I65" t="s">
        <v>7</v>
      </c>
      <c r="J65" t="s">
        <v>39</v>
      </c>
      <c r="K65" t="s">
        <v>63</v>
      </c>
      <c r="L65" t="s">
        <v>40</v>
      </c>
      <c r="M65">
        <v>1</v>
      </c>
    </row>
    <row r="66" spans="1:13" x14ac:dyDescent="0.35">
      <c r="A66" s="2">
        <v>46223</v>
      </c>
      <c r="B66" s="1" t="str">
        <f ca="1">IF(Información1[[#This Row],[Fecha]]='Ajuste de fechas'!$A$2,"Día actual","Día anterior")</f>
        <v>Día anterior</v>
      </c>
      <c r="C66" t="s">
        <v>61</v>
      </c>
      <c r="D66" t="s">
        <v>62</v>
      </c>
      <c r="E66" t="s">
        <v>197</v>
      </c>
      <c r="F66" t="s">
        <v>102</v>
      </c>
      <c r="G66" t="s">
        <v>198</v>
      </c>
      <c r="H66" t="s">
        <v>11</v>
      </c>
      <c r="I66" t="s">
        <v>7</v>
      </c>
      <c r="J66" t="s">
        <v>39</v>
      </c>
      <c r="K66" t="s">
        <v>63</v>
      </c>
      <c r="L66" t="s">
        <v>42</v>
      </c>
      <c r="M66">
        <v>1</v>
      </c>
    </row>
    <row r="67" spans="1:13" x14ac:dyDescent="0.35">
      <c r="A67" s="2">
        <v>46223</v>
      </c>
      <c r="B67" s="1" t="str">
        <f ca="1">IF(Información1[[#This Row],[Fecha]]='Ajuste de fechas'!$A$2,"Día actual","Día anterior")</f>
        <v>Día anterior</v>
      </c>
      <c r="C67" t="s">
        <v>61</v>
      </c>
      <c r="D67" t="s">
        <v>62</v>
      </c>
      <c r="E67" t="s">
        <v>199</v>
      </c>
      <c r="F67" t="s">
        <v>17</v>
      </c>
      <c r="G67" t="s">
        <v>200</v>
      </c>
      <c r="H67" t="s">
        <v>11</v>
      </c>
      <c r="I67" t="s">
        <v>7</v>
      </c>
      <c r="J67" t="s">
        <v>39</v>
      </c>
      <c r="K67" t="s">
        <v>63</v>
      </c>
      <c r="L67" t="s">
        <v>40</v>
      </c>
      <c r="M67">
        <v>1</v>
      </c>
    </row>
    <row r="68" spans="1:13" x14ac:dyDescent="0.35">
      <c r="A68" s="2">
        <v>46223</v>
      </c>
      <c r="B68" s="1" t="str">
        <f ca="1">IF(Información1[[#This Row],[Fecha]]='Ajuste de fechas'!$A$2,"Día actual","Día anterior")</f>
        <v>Día anterior</v>
      </c>
      <c r="C68" t="s">
        <v>61</v>
      </c>
      <c r="D68" t="s">
        <v>62</v>
      </c>
      <c r="E68" t="s">
        <v>201</v>
      </c>
      <c r="F68" t="s">
        <v>17</v>
      </c>
      <c r="G68" t="s">
        <v>200</v>
      </c>
      <c r="H68" t="s">
        <v>11</v>
      </c>
      <c r="I68" t="s">
        <v>7</v>
      </c>
      <c r="J68" t="s">
        <v>39</v>
      </c>
      <c r="K68" t="s">
        <v>63</v>
      </c>
      <c r="L68" t="s">
        <v>40</v>
      </c>
      <c r="M68">
        <v>1</v>
      </c>
    </row>
    <row r="69" spans="1:13" x14ac:dyDescent="0.35">
      <c r="A69" s="2">
        <v>46223</v>
      </c>
      <c r="B69" s="1" t="str">
        <f ca="1">IF(Información1[[#This Row],[Fecha]]='Ajuste de fechas'!$A$2,"Día actual","Día anterior")</f>
        <v>Día anterior</v>
      </c>
      <c r="C69" t="s">
        <v>61</v>
      </c>
      <c r="D69" t="s">
        <v>62</v>
      </c>
      <c r="E69" t="s">
        <v>202</v>
      </c>
      <c r="F69" t="s">
        <v>17</v>
      </c>
      <c r="G69" t="s">
        <v>200</v>
      </c>
      <c r="H69" t="s">
        <v>11</v>
      </c>
      <c r="I69" t="s">
        <v>7</v>
      </c>
      <c r="J69" t="s">
        <v>39</v>
      </c>
      <c r="K69" t="s">
        <v>63</v>
      </c>
      <c r="L69" t="s">
        <v>40</v>
      </c>
      <c r="M69">
        <v>1</v>
      </c>
    </row>
    <row r="70" spans="1:13" x14ac:dyDescent="0.35">
      <c r="A70" s="2">
        <v>46223</v>
      </c>
      <c r="B70" s="1" t="str">
        <f ca="1">IF(Información1[[#This Row],[Fecha]]='Ajuste de fechas'!$A$2,"Día actual","Día anterior")</f>
        <v>Día anterior</v>
      </c>
      <c r="C70" t="s">
        <v>61</v>
      </c>
      <c r="D70" t="s">
        <v>62</v>
      </c>
      <c r="E70" t="s">
        <v>203</v>
      </c>
      <c r="F70" t="s">
        <v>48</v>
      </c>
      <c r="G70" t="s">
        <v>204</v>
      </c>
      <c r="H70" t="s">
        <v>11</v>
      </c>
      <c r="I70" t="s">
        <v>7</v>
      </c>
      <c r="J70" t="s">
        <v>39</v>
      </c>
      <c r="K70" t="s">
        <v>63</v>
      </c>
      <c r="L70" t="s">
        <v>40</v>
      </c>
      <c r="M70">
        <v>1</v>
      </c>
    </row>
    <row r="71" spans="1:13" x14ac:dyDescent="0.35">
      <c r="A71" s="2">
        <v>46223</v>
      </c>
      <c r="B71" s="1" t="str">
        <f ca="1">IF(Información1[[#This Row],[Fecha]]='Ajuste de fechas'!$A$2,"Día actual","Día anterior")</f>
        <v>Día anterior</v>
      </c>
      <c r="C71" t="s">
        <v>61</v>
      </c>
      <c r="D71" t="s">
        <v>62</v>
      </c>
      <c r="E71" t="s">
        <v>205</v>
      </c>
      <c r="F71" t="s">
        <v>19</v>
      </c>
      <c r="G71" t="s">
        <v>206</v>
      </c>
      <c r="H71" t="s">
        <v>11</v>
      </c>
      <c r="I71" t="s">
        <v>7</v>
      </c>
      <c r="J71" t="s">
        <v>43</v>
      </c>
      <c r="K71" t="s">
        <v>63</v>
      </c>
      <c r="L71" t="s">
        <v>40</v>
      </c>
      <c r="M71">
        <v>1</v>
      </c>
    </row>
    <row r="72" spans="1:13" x14ac:dyDescent="0.35">
      <c r="A72" s="2">
        <v>46223</v>
      </c>
      <c r="B72" s="1" t="str">
        <f ca="1">IF(Información1[[#This Row],[Fecha]]='Ajuste de fechas'!$A$2,"Día actual","Día anterior")</f>
        <v>Día anterior</v>
      </c>
      <c r="C72" t="s">
        <v>61</v>
      </c>
      <c r="D72" t="s">
        <v>62</v>
      </c>
      <c r="E72" t="s">
        <v>207</v>
      </c>
      <c r="F72" t="s">
        <v>158</v>
      </c>
      <c r="G72" t="s">
        <v>208</v>
      </c>
      <c r="H72" t="s">
        <v>11</v>
      </c>
      <c r="I72" t="s">
        <v>7</v>
      </c>
      <c r="J72" t="s">
        <v>24</v>
      </c>
      <c r="K72" t="s">
        <v>63</v>
      </c>
      <c r="L72" t="s">
        <v>40</v>
      </c>
      <c r="M72">
        <v>1</v>
      </c>
    </row>
    <row r="73" spans="1:13" x14ac:dyDescent="0.35">
      <c r="A73" s="2">
        <v>46223</v>
      </c>
      <c r="B73" s="1" t="str">
        <f ca="1">IF(Información1[[#This Row],[Fecha]]='Ajuste de fechas'!$A$2,"Día actual","Día anterior")</f>
        <v>Día anterior</v>
      </c>
      <c r="C73" t="s">
        <v>61</v>
      </c>
      <c r="D73" t="s">
        <v>62</v>
      </c>
      <c r="E73" t="s">
        <v>209</v>
      </c>
      <c r="F73" t="s">
        <v>22</v>
      </c>
      <c r="G73" t="s">
        <v>210</v>
      </c>
      <c r="H73" t="s">
        <v>11</v>
      </c>
      <c r="I73" t="s">
        <v>7</v>
      </c>
      <c r="J73" t="s">
        <v>44</v>
      </c>
      <c r="K73" t="s">
        <v>63</v>
      </c>
      <c r="L73" t="s">
        <v>40</v>
      </c>
      <c r="M73">
        <v>1</v>
      </c>
    </row>
    <row r="74" spans="1:13" x14ac:dyDescent="0.35">
      <c r="A74" s="2">
        <v>46223</v>
      </c>
      <c r="B74" s="1" t="str">
        <f ca="1">IF(Información1[[#This Row],[Fecha]]='Ajuste de fechas'!$A$2,"Día actual","Día anterior")</f>
        <v>Día anterior</v>
      </c>
      <c r="C74" t="s">
        <v>61</v>
      </c>
      <c r="D74" t="s">
        <v>62</v>
      </c>
      <c r="E74" t="s">
        <v>211</v>
      </c>
      <c r="F74" t="s">
        <v>19</v>
      </c>
      <c r="G74" t="s">
        <v>212</v>
      </c>
      <c r="H74" t="s">
        <v>11</v>
      </c>
      <c r="I74" t="s">
        <v>7</v>
      </c>
      <c r="J74" t="s">
        <v>43</v>
      </c>
      <c r="K74" t="s">
        <v>63</v>
      </c>
      <c r="L74" t="s">
        <v>40</v>
      </c>
      <c r="M74">
        <v>1</v>
      </c>
    </row>
    <row r="75" spans="1:13" x14ac:dyDescent="0.35">
      <c r="A75" s="2">
        <v>46223</v>
      </c>
      <c r="B75" s="1" t="str">
        <f ca="1">IF(Información1[[#This Row],[Fecha]]='Ajuste de fechas'!$A$2,"Día actual","Día anterior")</f>
        <v>Día anterior</v>
      </c>
      <c r="C75" t="s">
        <v>61</v>
      </c>
      <c r="D75" t="s">
        <v>62</v>
      </c>
      <c r="E75" t="s">
        <v>213</v>
      </c>
      <c r="F75" t="s">
        <v>19</v>
      </c>
      <c r="G75" t="s">
        <v>214</v>
      </c>
      <c r="H75" t="s">
        <v>11</v>
      </c>
      <c r="I75" t="s">
        <v>7</v>
      </c>
      <c r="J75" t="s">
        <v>43</v>
      </c>
      <c r="K75" t="s">
        <v>63</v>
      </c>
      <c r="L75" t="s">
        <v>40</v>
      </c>
      <c r="M75">
        <v>1</v>
      </c>
    </row>
    <row r="76" spans="1:13" x14ac:dyDescent="0.35">
      <c r="A76" s="2">
        <v>46223</v>
      </c>
      <c r="B76" s="1" t="str">
        <f ca="1">IF(Información1[[#This Row],[Fecha]]='Ajuste de fechas'!$A$2,"Día actual","Día anterior")</f>
        <v>Día anterior</v>
      </c>
      <c r="C76" t="s">
        <v>61</v>
      </c>
      <c r="D76" t="s">
        <v>62</v>
      </c>
      <c r="E76" t="s">
        <v>215</v>
      </c>
      <c r="F76" t="s">
        <v>22</v>
      </c>
      <c r="G76" t="s">
        <v>90</v>
      </c>
      <c r="H76" t="s">
        <v>11</v>
      </c>
      <c r="I76" t="s">
        <v>7</v>
      </c>
      <c r="J76" t="s">
        <v>44</v>
      </c>
      <c r="K76" t="s">
        <v>63</v>
      </c>
      <c r="L76" t="s">
        <v>40</v>
      </c>
      <c r="M76">
        <v>1</v>
      </c>
    </row>
    <row r="77" spans="1:13" x14ac:dyDescent="0.35">
      <c r="A77" s="2">
        <v>46223</v>
      </c>
      <c r="B77" s="1" t="str">
        <f ca="1">IF(Información1[[#This Row],[Fecha]]='Ajuste de fechas'!$A$2,"Día actual","Día anterior")</f>
        <v>Día anterior</v>
      </c>
      <c r="C77" t="s">
        <v>61</v>
      </c>
      <c r="D77" t="s">
        <v>62</v>
      </c>
      <c r="E77" t="s">
        <v>216</v>
      </c>
      <c r="F77" t="s">
        <v>21</v>
      </c>
      <c r="G77" t="s">
        <v>132</v>
      </c>
      <c r="H77" t="s">
        <v>11</v>
      </c>
      <c r="I77" t="s">
        <v>7</v>
      </c>
      <c r="J77" t="s">
        <v>39</v>
      </c>
      <c r="K77" t="s">
        <v>63</v>
      </c>
      <c r="L77" t="s">
        <v>41</v>
      </c>
      <c r="M77">
        <v>1</v>
      </c>
    </row>
    <row r="78" spans="1:13" x14ac:dyDescent="0.35">
      <c r="A78" s="2">
        <v>46223</v>
      </c>
      <c r="B78" s="1" t="str">
        <f ca="1">IF(Información1[[#This Row],[Fecha]]='Ajuste de fechas'!$A$2,"Día actual","Día anterior")</f>
        <v>Día anterior</v>
      </c>
      <c r="C78" t="s">
        <v>61</v>
      </c>
      <c r="D78" t="s">
        <v>62</v>
      </c>
      <c r="E78" t="s">
        <v>217</v>
      </c>
      <c r="F78" t="s">
        <v>24</v>
      </c>
      <c r="G78" t="s">
        <v>142</v>
      </c>
      <c r="H78" t="s">
        <v>11</v>
      </c>
      <c r="I78" t="s">
        <v>7</v>
      </c>
      <c r="J78" t="s">
        <v>24</v>
      </c>
      <c r="K78" t="s">
        <v>63</v>
      </c>
      <c r="L78" t="s">
        <v>125</v>
      </c>
      <c r="M78">
        <v>1</v>
      </c>
    </row>
    <row r="79" spans="1:13" x14ac:dyDescent="0.35">
      <c r="A79" s="2">
        <v>46223</v>
      </c>
      <c r="B79" s="1" t="str">
        <f ca="1">IF(Información1[[#This Row],[Fecha]]='Ajuste de fechas'!$A$2,"Día actual","Día anterior")</f>
        <v>Día anterior</v>
      </c>
      <c r="C79" t="s">
        <v>61</v>
      </c>
      <c r="D79" t="s">
        <v>62</v>
      </c>
      <c r="E79" t="s">
        <v>218</v>
      </c>
      <c r="F79" t="s">
        <v>19</v>
      </c>
      <c r="G79" t="s">
        <v>219</v>
      </c>
      <c r="H79" t="s">
        <v>11</v>
      </c>
      <c r="I79" t="s">
        <v>7</v>
      </c>
      <c r="J79" t="s">
        <v>43</v>
      </c>
      <c r="K79" t="s">
        <v>63</v>
      </c>
      <c r="L79" t="s">
        <v>40</v>
      </c>
      <c r="M79">
        <v>1</v>
      </c>
    </row>
    <row r="80" spans="1:13" x14ac:dyDescent="0.35">
      <c r="A80" s="2">
        <v>46223</v>
      </c>
      <c r="B80" s="1" t="str">
        <f ca="1">IF(Información1[[#This Row],[Fecha]]='Ajuste de fechas'!$A$2,"Día actual","Día anterior")</f>
        <v>Día anterior</v>
      </c>
      <c r="C80" t="s">
        <v>61</v>
      </c>
      <c r="D80" t="s">
        <v>62</v>
      </c>
      <c r="E80" t="s">
        <v>64</v>
      </c>
      <c r="F80" t="s">
        <v>19</v>
      </c>
      <c r="G80" t="s">
        <v>57</v>
      </c>
      <c r="H80" t="s">
        <v>11</v>
      </c>
      <c r="I80" t="s">
        <v>7</v>
      </c>
      <c r="J80" t="s">
        <v>43</v>
      </c>
      <c r="K80" t="s">
        <v>63</v>
      </c>
      <c r="L80" t="s">
        <v>125</v>
      </c>
      <c r="M80">
        <v>1</v>
      </c>
    </row>
    <row r="81" spans="1:13" x14ac:dyDescent="0.35">
      <c r="A81" s="2">
        <v>46223</v>
      </c>
      <c r="B81" s="1" t="str">
        <f ca="1">IF(Información1[[#This Row],[Fecha]]='Ajuste de fechas'!$A$2,"Día actual","Día anterior")</f>
        <v>Día anterior</v>
      </c>
      <c r="C81" t="s">
        <v>61</v>
      </c>
      <c r="D81" t="s">
        <v>62</v>
      </c>
      <c r="E81" t="s">
        <v>220</v>
      </c>
      <c r="F81" t="s">
        <v>19</v>
      </c>
      <c r="G81" t="s">
        <v>193</v>
      </c>
      <c r="H81" t="s">
        <v>11</v>
      </c>
      <c r="I81" t="s">
        <v>7</v>
      </c>
      <c r="J81" t="s">
        <v>43</v>
      </c>
      <c r="K81" t="s">
        <v>63</v>
      </c>
      <c r="L81" t="s">
        <v>40</v>
      </c>
      <c r="M81">
        <v>1</v>
      </c>
    </row>
    <row r="82" spans="1:13" x14ac:dyDescent="0.35">
      <c r="A82" s="2">
        <v>46223</v>
      </c>
      <c r="B82" s="1" t="str">
        <f ca="1">IF(Información1[[#This Row],[Fecha]]='Ajuste de fechas'!$A$2,"Día actual","Día anterior")</f>
        <v>Día anterior</v>
      </c>
      <c r="C82" t="s">
        <v>61</v>
      </c>
      <c r="D82" t="s">
        <v>62</v>
      </c>
      <c r="E82" t="s">
        <v>221</v>
      </c>
      <c r="F82" t="s">
        <v>23</v>
      </c>
      <c r="G82" t="s">
        <v>222</v>
      </c>
      <c r="H82" t="s">
        <v>11</v>
      </c>
      <c r="I82" t="s">
        <v>7</v>
      </c>
      <c r="J82" t="s">
        <v>39</v>
      </c>
      <c r="K82" t="s">
        <v>63</v>
      </c>
      <c r="L82" t="s">
        <v>40</v>
      </c>
      <c r="M82">
        <v>1</v>
      </c>
    </row>
    <row r="83" spans="1:13" x14ac:dyDescent="0.35">
      <c r="A83" s="2">
        <v>46223</v>
      </c>
      <c r="B83" s="1" t="str">
        <f ca="1">IF(Información1[[#This Row],[Fecha]]='Ajuste de fechas'!$A$2,"Día actual","Día anterior")</f>
        <v>Día anterior</v>
      </c>
      <c r="C83" t="s">
        <v>29</v>
      </c>
      <c r="D83" t="s">
        <v>30</v>
      </c>
      <c r="E83" t="s">
        <v>223</v>
      </c>
      <c r="F83" t="s">
        <v>224</v>
      </c>
      <c r="G83" t="s">
        <v>95</v>
      </c>
      <c r="H83" t="s">
        <v>58</v>
      </c>
      <c r="I83" t="s">
        <v>7</v>
      </c>
      <c r="J83" t="s">
        <v>225</v>
      </c>
      <c r="K83" t="s">
        <v>27</v>
      </c>
      <c r="L83" t="s">
        <v>41</v>
      </c>
      <c r="M83">
        <v>1</v>
      </c>
    </row>
    <row r="84" spans="1:13" x14ac:dyDescent="0.35">
      <c r="A84" s="2">
        <v>46223</v>
      </c>
      <c r="B84" s="1" t="str">
        <f ca="1">IF(Información1[[#This Row],[Fecha]]='Ajuste de fechas'!$A$2,"Día actual","Día anterior")</f>
        <v>Día anterior</v>
      </c>
      <c r="C84" t="s">
        <v>29</v>
      </c>
      <c r="D84" t="s">
        <v>30</v>
      </c>
      <c r="E84" t="s">
        <v>226</v>
      </c>
      <c r="F84" t="s">
        <v>17</v>
      </c>
      <c r="G84" t="s">
        <v>200</v>
      </c>
      <c r="H84" t="s">
        <v>58</v>
      </c>
      <c r="I84" t="s">
        <v>7</v>
      </c>
      <c r="J84" t="s">
        <v>39</v>
      </c>
      <c r="K84" t="s">
        <v>27</v>
      </c>
      <c r="L84" t="s">
        <v>42</v>
      </c>
      <c r="M84">
        <v>1</v>
      </c>
    </row>
    <row r="85" spans="1:13" x14ac:dyDescent="0.35">
      <c r="A85" s="2">
        <v>46223</v>
      </c>
      <c r="B85" s="1" t="str">
        <f ca="1">IF(Información1[[#This Row],[Fecha]]='Ajuste de fechas'!$A$2,"Día actual","Día anterior")</f>
        <v>Día anterior</v>
      </c>
      <c r="C85" t="s">
        <v>29</v>
      </c>
      <c r="D85" t="s">
        <v>30</v>
      </c>
      <c r="E85" t="s">
        <v>183</v>
      </c>
      <c r="F85" t="s">
        <v>21</v>
      </c>
      <c r="G85" t="s">
        <v>127</v>
      </c>
      <c r="H85" t="s">
        <v>58</v>
      </c>
      <c r="I85" t="s">
        <v>7</v>
      </c>
      <c r="J85" t="s">
        <v>39</v>
      </c>
      <c r="K85" t="s">
        <v>27</v>
      </c>
      <c r="L85" t="s">
        <v>42</v>
      </c>
      <c r="M85">
        <v>1</v>
      </c>
    </row>
    <row r="86" spans="1:13" x14ac:dyDescent="0.35">
      <c r="A86" s="2">
        <v>46223</v>
      </c>
      <c r="B86" s="1" t="str">
        <f ca="1">IF(Información1[[#This Row],[Fecha]]='Ajuste de fechas'!$A$2,"Día actual","Día anterior")</f>
        <v>Día anterior</v>
      </c>
      <c r="C86" t="s">
        <v>29</v>
      </c>
      <c r="D86" t="s">
        <v>30</v>
      </c>
      <c r="E86" t="s">
        <v>227</v>
      </c>
      <c r="F86" t="s">
        <v>15</v>
      </c>
      <c r="G86" t="s">
        <v>77</v>
      </c>
      <c r="H86" t="s">
        <v>58</v>
      </c>
      <c r="I86" t="s">
        <v>7</v>
      </c>
      <c r="J86" t="s">
        <v>39</v>
      </c>
      <c r="K86" t="s">
        <v>27</v>
      </c>
      <c r="L86" t="s">
        <v>40</v>
      </c>
      <c r="M86">
        <v>1</v>
      </c>
    </row>
    <row r="87" spans="1:13" x14ac:dyDescent="0.35">
      <c r="A87" s="2">
        <v>46223</v>
      </c>
      <c r="B87" s="1" t="str">
        <f ca="1">IF(Información1[[#This Row],[Fecha]]='Ajuste de fechas'!$A$2,"Día actual","Día anterior")</f>
        <v>Día anterior</v>
      </c>
      <c r="C87" t="s">
        <v>29</v>
      </c>
      <c r="D87" t="s">
        <v>30</v>
      </c>
      <c r="E87" t="s">
        <v>228</v>
      </c>
      <c r="F87" t="s">
        <v>19</v>
      </c>
      <c r="G87" t="s">
        <v>92</v>
      </c>
      <c r="H87" t="s">
        <v>58</v>
      </c>
      <c r="I87" t="s">
        <v>7</v>
      </c>
      <c r="J87" t="s">
        <v>43</v>
      </c>
      <c r="K87" t="s">
        <v>27</v>
      </c>
      <c r="L87" t="s">
        <v>40</v>
      </c>
      <c r="M87">
        <v>1</v>
      </c>
    </row>
    <row r="88" spans="1:13" x14ac:dyDescent="0.35">
      <c r="A88" s="2">
        <v>46223</v>
      </c>
      <c r="B88" s="1" t="str">
        <f ca="1">IF(Información1[[#This Row],[Fecha]]='Ajuste de fechas'!$A$2,"Día actual","Día anterior")</f>
        <v>Día anterior</v>
      </c>
      <c r="C88" t="s">
        <v>29</v>
      </c>
      <c r="D88" t="s">
        <v>30</v>
      </c>
      <c r="E88" t="s">
        <v>229</v>
      </c>
      <c r="F88" t="s">
        <v>21</v>
      </c>
      <c r="G88" t="s">
        <v>132</v>
      </c>
      <c r="H88" t="s">
        <v>58</v>
      </c>
      <c r="I88" t="s">
        <v>7</v>
      </c>
      <c r="J88" t="s">
        <v>39</v>
      </c>
      <c r="K88" t="s">
        <v>27</v>
      </c>
      <c r="L88" t="s">
        <v>41</v>
      </c>
      <c r="M88">
        <v>1</v>
      </c>
    </row>
    <row r="89" spans="1:13" x14ac:dyDescent="0.35">
      <c r="A89" s="2">
        <v>46223</v>
      </c>
      <c r="B89" s="1" t="str">
        <f ca="1">IF(Información1[[#This Row],[Fecha]]='Ajuste de fechas'!$A$2,"Día actual","Día anterior")</f>
        <v>Día anterior</v>
      </c>
      <c r="C89" t="s">
        <v>29</v>
      </c>
      <c r="D89" t="s">
        <v>30</v>
      </c>
      <c r="E89" t="s">
        <v>230</v>
      </c>
      <c r="F89" t="s">
        <v>15</v>
      </c>
      <c r="G89" t="s">
        <v>147</v>
      </c>
      <c r="H89" t="s">
        <v>58</v>
      </c>
      <c r="I89" t="s">
        <v>7</v>
      </c>
      <c r="J89" t="s">
        <v>39</v>
      </c>
      <c r="K89" t="s">
        <v>27</v>
      </c>
      <c r="L89" t="s">
        <v>42</v>
      </c>
      <c r="M89">
        <v>1</v>
      </c>
    </row>
    <row r="90" spans="1:13" x14ac:dyDescent="0.35">
      <c r="A90" s="2">
        <v>46223</v>
      </c>
      <c r="B90" s="1" t="str">
        <f ca="1">IF(Información1[[#This Row],[Fecha]]='Ajuste de fechas'!$A$2,"Día actual","Día anterior")</f>
        <v>Día anterior</v>
      </c>
      <c r="C90" t="s">
        <v>29</v>
      </c>
      <c r="D90" t="s">
        <v>30</v>
      </c>
      <c r="E90" t="s">
        <v>231</v>
      </c>
      <c r="F90" t="s">
        <v>60</v>
      </c>
      <c r="G90" t="s">
        <v>232</v>
      </c>
      <c r="H90" t="s">
        <v>58</v>
      </c>
      <c r="I90" t="s">
        <v>7</v>
      </c>
      <c r="J90" t="s">
        <v>39</v>
      </c>
      <c r="K90" t="s">
        <v>27</v>
      </c>
      <c r="L90" t="s">
        <v>42</v>
      </c>
      <c r="M90">
        <v>1</v>
      </c>
    </row>
    <row r="91" spans="1:13" x14ac:dyDescent="0.35">
      <c r="A91" s="2">
        <v>46223</v>
      </c>
      <c r="B91" s="1" t="str">
        <f ca="1">IF(Información1[[#This Row],[Fecha]]='Ajuste de fechas'!$A$2,"Día actual","Día anterior")</f>
        <v>Día anterior</v>
      </c>
      <c r="C91" t="s">
        <v>29</v>
      </c>
      <c r="D91" t="s">
        <v>30</v>
      </c>
      <c r="E91" t="s">
        <v>129</v>
      </c>
      <c r="F91" t="s">
        <v>23</v>
      </c>
      <c r="G91" t="s">
        <v>130</v>
      </c>
      <c r="H91" t="s">
        <v>58</v>
      </c>
      <c r="I91" t="s">
        <v>7</v>
      </c>
      <c r="J91" t="s">
        <v>39</v>
      </c>
      <c r="K91" t="s">
        <v>27</v>
      </c>
      <c r="L91" t="s">
        <v>42</v>
      </c>
      <c r="M91">
        <v>1</v>
      </c>
    </row>
    <row r="92" spans="1:13" x14ac:dyDescent="0.35">
      <c r="A92" s="2">
        <v>46223</v>
      </c>
      <c r="B92" s="1" t="str">
        <f ca="1">IF(Información1[[#This Row],[Fecha]]='Ajuste de fechas'!$A$2,"Día actual","Día anterior")</f>
        <v>Día anterior</v>
      </c>
      <c r="C92" t="s">
        <v>29</v>
      </c>
      <c r="D92" t="s">
        <v>30</v>
      </c>
      <c r="E92" t="s">
        <v>233</v>
      </c>
      <c r="F92" t="s">
        <v>19</v>
      </c>
      <c r="G92" t="s">
        <v>190</v>
      </c>
      <c r="H92" t="s">
        <v>58</v>
      </c>
      <c r="I92" t="s">
        <v>7</v>
      </c>
      <c r="J92" t="s">
        <v>43</v>
      </c>
      <c r="K92" t="s">
        <v>27</v>
      </c>
      <c r="L92" t="s">
        <v>40</v>
      </c>
      <c r="M92">
        <v>1</v>
      </c>
    </row>
    <row r="93" spans="1:13" x14ac:dyDescent="0.35">
      <c r="A93" s="2">
        <v>46223</v>
      </c>
      <c r="B93" s="1" t="str">
        <f ca="1">IF(Información1[[#This Row],[Fecha]]='Ajuste de fechas'!$A$2,"Día actual","Día anterior")</f>
        <v>Día anterior</v>
      </c>
      <c r="C93" t="s">
        <v>29</v>
      </c>
      <c r="D93" t="s">
        <v>30</v>
      </c>
      <c r="E93" t="s">
        <v>234</v>
      </c>
      <c r="F93" t="s">
        <v>21</v>
      </c>
      <c r="G93" t="s">
        <v>235</v>
      </c>
      <c r="H93" t="s">
        <v>58</v>
      </c>
      <c r="I93" t="s">
        <v>7</v>
      </c>
      <c r="J93" t="s">
        <v>39</v>
      </c>
      <c r="K93" t="s">
        <v>27</v>
      </c>
      <c r="L93" t="s">
        <v>42</v>
      </c>
      <c r="M93">
        <v>1</v>
      </c>
    </row>
    <row r="94" spans="1:13" x14ac:dyDescent="0.35">
      <c r="A94" s="2">
        <v>46224</v>
      </c>
      <c r="B94" s="1" t="str">
        <f ca="1">IF(Información1[[#This Row],[Fecha]]='Ajuste de fechas'!$A$2,"Día actual","Día anterior")</f>
        <v>Día anterior</v>
      </c>
      <c r="C94" t="s">
        <v>28</v>
      </c>
      <c r="D94" t="s">
        <v>68</v>
      </c>
      <c r="E94" t="s">
        <v>236</v>
      </c>
      <c r="F94" t="s">
        <v>31</v>
      </c>
      <c r="G94" t="s">
        <v>208</v>
      </c>
      <c r="H94" t="s">
        <v>11</v>
      </c>
      <c r="I94" t="s">
        <v>7</v>
      </c>
      <c r="J94" t="s">
        <v>39</v>
      </c>
      <c r="K94" t="s">
        <v>69</v>
      </c>
      <c r="L94" t="s">
        <v>40</v>
      </c>
      <c r="M94">
        <v>1</v>
      </c>
    </row>
    <row r="95" spans="1:13" x14ac:dyDescent="0.35">
      <c r="A95" s="2">
        <v>46224</v>
      </c>
      <c r="B95" s="1" t="str">
        <f ca="1">IF(Información1[[#This Row],[Fecha]]='Ajuste de fechas'!$A$2,"Día actual","Día anterior")</f>
        <v>Día anterior</v>
      </c>
      <c r="C95" t="s">
        <v>28</v>
      </c>
      <c r="D95" t="s">
        <v>68</v>
      </c>
      <c r="E95" t="s">
        <v>237</v>
      </c>
      <c r="F95" t="s">
        <v>26</v>
      </c>
      <c r="G95" t="s">
        <v>100</v>
      </c>
      <c r="H95" t="s">
        <v>11</v>
      </c>
      <c r="I95" t="s">
        <v>7</v>
      </c>
      <c r="J95" t="s">
        <v>39</v>
      </c>
      <c r="K95" t="s">
        <v>69</v>
      </c>
      <c r="L95" t="s">
        <v>42</v>
      </c>
      <c r="M95">
        <v>1</v>
      </c>
    </row>
    <row r="96" spans="1:13" x14ac:dyDescent="0.35">
      <c r="A96" s="2">
        <v>46224</v>
      </c>
      <c r="B96" s="1" t="str">
        <f ca="1">IF(Información1[[#This Row],[Fecha]]='Ajuste de fechas'!$A$2,"Día actual","Día anterior")</f>
        <v>Día anterior</v>
      </c>
      <c r="C96" t="s">
        <v>238</v>
      </c>
      <c r="D96" t="s">
        <v>239</v>
      </c>
      <c r="E96" t="s">
        <v>240</v>
      </c>
      <c r="F96" t="s">
        <v>31</v>
      </c>
      <c r="G96" t="s">
        <v>241</v>
      </c>
      <c r="H96" t="s">
        <v>11</v>
      </c>
      <c r="I96" t="s">
        <v>7</v>
      </c>
      <c r="J96" t="s">
        <v>39</v>
      </c>
      <c r="K96" t="s">
        <v>242</v>
      </c>
      <c r="L96" t="s">
        <v>42</v>
      </c>
      <c r="M96">
        <v>1</v>
      </c>
    </row>
    <row r="97" spans="1:13" x14ac:dyDescent="0.35">
      <c r="A97" s="2">
        <v>46224</v>
      </c>
      <c r="B97" s="1" t="str">
        <f ca="1">IF(Información1[[#This Row],[Fecha]]='Ajuste de fechas'!$A$2,"Día actual","Día anterior")</f>
        <v>Día anterior</v>
      </c>
      <c r="C97" t="s">
        <v>80</v>
      </c>
      <c r="D97" t="s">
        <v>81</v>
      </c>
      <c r="E97" t="s">
        <v>243</v>
      </c>
      <c r="F97" t="s">
        <v>70</v>
      </c>
      <c r="G97" t="s">
        <v>71</v>
      </c>
      <c r="H97" t="s">
        <v>11</v>
      </c>
      <c r="I97" t="s">
        <v>7</v>
      </c>
      <c r="J97" t="s">
        <v>39</v>
      </c>
      <c r="K97" t="s">
        <v>82</v>
      </c>
      <c r="L97" t="s">
        <v>42</v>
      </c>
      <c r="M97">
        <v>1</v>
      </c>
    </row>
    <row r="98" spans="1:13" x14ac:dyDescent="0.35">
      <c r="A98" s="2">
        <v>46224</v>
      </c>
      <c r="B98" s="1" t="str">
        <f ca="1">IF(Información1[[#This Row],[Fecha]]='Ajuste de fechas'!$A$2,"Día actual","Día anterior")</f>
        <v>Día anterior</v>
      </c>
      <c r="C98" t="s">
        <v>80</v>
      </c>
      <c r="D98" t="s">
        <v>81</v>
      </c>
      <c r="E98" t="s">
        <v>244</v>
      </c>
      <c r="F98" t="s">
        <v>70</v>
      </c>
      <c r="G98" t="s">
        <v>245</v>
      </c>
      <c r="H98" t="s">
        <v>11</v>
      </c>
      <c r="I98" t="s">
        <v>7</v>
      </c>
      <c r="J98" t="s">
        <v>39</v>
      </c>
      <c r="K98" t="s">
        <v>82</v>
      </c>
      <c r="L98" t="s">
        <v>42</v>
      </c>
      <c r="M98">
        <v>1</v>
      </c>
    </row>
    <row r="99" spans="1:13" x14ac:dyDescent="0.35">
      <c r="A99" s="2">
        <v>46224</v>
      </c>
      <c r="B99" s="1" t="str">
        <f ca="1">IF(Información1[[#This Row],[Fecha]]='Ajuste de fechas'!$A$2,"Día actual","Día anterior")</f>
        <v>Día anterior</v>
      </c>
      <c r="C99" t="s">
        <v>80</v>
      </c>
      <c r="D99" t="s">
        <v>81</v>
      </c>
      <c r="E99" t="s">
        <v>246</v>
      </c>
      <c r="F99" t="s">
        <v>70</v>
      </c>
      <c r="G99" t="s">
        <v>86</v>
      </c>
      <c r="H99" t="s">
        <v>11</v>
      </c>
      <c r="I99" t="s">
        <v>7</v>
      </c>
      <c r="J99" t="s">
        <v>39</v>
      </c>
      <c r="K99" t="s">
        <v>82</v>
      </c>
      <c r="L99" t="s">
        <v>42</v>
      </c>
      <c r="M99">
        <v>1</v>
      </c>
    </row>
    <row r="100" spans="1:13" x14ac:dyDescent="0.35">
      <c r="A100" s="2">
        <v>46224</v>
      </c>
      <c r="B100" s="1" t="str">
        <f ca="1">IF(Información1[[#This Row],[Fecha]]='Ajuste de fechas'!$A$2,"Día actual","Día anterior")</f>
        <v>Día anterior</v>
      </c>
      <c r="C100" t="s">
        <v>80</v>
      </c>
      <c r="D100" t="s">
        <v>81</v>
      </c>
      <c r="E100" t="s">
        <v>247</v>
      </c>
      <c r="F100" t="s">
        <v>70</v>
      </c>
      <c r="G100" t="s">
        <v>86</v>
      </c>
      <c r="H100" t="s">
        <v>11</v>
      </c>
      <c r="I100" t="s">
        <v>7</v>
      </c>
      <c r="J100" t="s">
        <v>39</v>
      </c>
      <c r="K100" t="s">
        <v>82</v>
      </c>
      <c r="L100" t="s">
        <v>42</v>
      </c>
      <c r="M100">
        <v>1</v>
      </c>
    </row>
    <row r="101" spans="1:13" x14ac:dyDescent="0.35">
      <c r="A101" s="2">
        <v>46224</v>
      </c>
      <c r="B101" s="1" t="str">
        <f ca="1">IF(Información1[[#This Row],[Fecha]]='Ajuste de fechas'!$A$2,"Día actual","Día anterior")</f>
        <v>Día anterior</v>
      </c>
      <c r="C101" t="s">
        <v>28</v>
      </c>
      <c r="D101" t="s">
        <v>121</v>
      </c>
      <c r="E101" t="s">
        <v>248</v>
      </c>
      <c r="F101" t="s">
        <v>19</v>
      </c>
      <c r="G101" t="s">
        <v>249</v>
      </c>
      <c r="H101" t="s">
        <v>11</v>
      </c>
      <c r="I101" t="s">
        <v>25</v>
      </c>
      <c r="J101" t="s">
        <v>43</v>
      </c>
      <c r="K101" t="s">
        <v>123</v>
      </c>
      <c r="L101" t="s">
        <v>40</v>
      </c>
      <c r="M101">
        <v>1</v>
      </c>
    </row>
    <row r="102" spans="1:13" x14ac:dyDescent="0.35">
      <c r="A102" s="2">
        <v>46224</v>
      </c>
      <c r="B102" s="1" t="str">
        <f ca="1">IF(Información1[[#This Row],[Fecha]]='Ajuste de fechas'!$A$2,"Día actual","Día anterior")</f>
        <v>Día anterior</v>
      </c>
      <c r="C102" t="s">
        <v>28</v>
      </c>
      <c r="D102" t="s">
        <v>121</v>
      </c>
      <c r="E102" t="s">
        <v>250</v>
      </c>
      <c r="F102" t="s">
        <v>21</v>
      </c>
      <c r="G102" t="s">
        <v>91</v>
      </c>
      <c r="H102" t="s">
        <v>11</v>
      </c>
      <c r="I102" t="s">
        <v>7</v>
      </c>
      <c r="J102" t="s">
        <v>39</v>
      </c>
      <c r="K102" t="s">
        <v>123</v>
      </c>
      <c r="L102" t="s">
        <v>40</v>
      </c>
      <c r="M102">
        <v>1</v>
      </c>
    </row>
    <row r="103" spans="1:13" x14ac:dyDescent="0.35">
      <c r="A103" s="2">
        <v>46224</v>
      </c>
      <c r="B103" s="1" t="str">
        <f ca="1">IF(Información1[[#This Row],[Fecha]]='Ajuste de fechas'!$A$2,"Día actual","Día anterior")</f>
        <v>Día anterior</v>
      </c>
      <c r="C103" t="s">
        <v>28</v>
      </c>
      <c r="D103" t="s">
        <v>121</v>
      </c>
      <c r="E103" t="s">
        <v>251</v>
      </c>
      <c r="F103" t="s">
        <v>21</v>
      </c>
      <c r="G103" t="s">
        <v>91</v>
      </c>
      <c r="H103" t="s">
        <v>11</v>
      </c>
      <c r="I103" t="s">
        <v>7</v>
      </c>
      <c r="J103" t="s">
        <v>39</v>
      </c>
      <c r="K103" t="s">
        <v>123</v>
      </c>
      <c r="L103" t="s">
        <v>40</v>
      </c>
      <c r="M103">
        <v>1</v>
      </c>
    </row>
    <row r="104" spans="1:13" x14ac:dyDescent="0.35">
      <c r="A104" s="2">
        <v>46224</v>
      </c>
      <c r="B104" s="1" t="str">
        <f ca="1">IF(Información1[[#This Row],[Fecha]]='Ajuste de fechas'!$A$2,"Día actual","Día anterior")</f>
        <v>Día anterior</v>
      </c>
      <c r="C104" t="s">
        <v>28</v>
      </c>
      <c r="D104" t="s">
        <v>121</v>
      </c>
      <c r="E104" t="s">
        <v>252</v>
      </c>
      <c r="F104" t="s">
        <v>23</v>
      </c>
      <c r="G104" t="s">
        <v>253</v>
      </c>
      <c r="H104" t="s">
        <v>11</v>
      </c>
      <c r="I104" t="s">
        <v>7</v>
      </c>
      <c r="J104" t="s">
        <v>39</v>
      </c>
      <c r="K104" t="s">
        <v>123</v>
      </c>
      <c r="L104" t="s">
        <v>40</v>
      </c>
      <c r="M104">
        <v>1</v>
      </c>
    </row>
    <row r="105" spans="1:13" x14ac:dyDescent="0.35">
      <c r="A105" s="2">
        <v>46224</v>
      </c>
      <c r="B105" s="1" t="str">
        <f ca="1">IF(Información1[[#This Row],[Fecha]]='Ajuste de fechas'!$A$2,"Día actual","Día anterior")</f>
        <v>Día anterior</v>
      </c>
      <c r="C105" t="s">
        <v>28</v>
      </c>
      <c r="D105" t="s">
        <v>121</v>
      </c>
      <c r="E105" t="s">
        <v>254</v>
      </c>
      <c r="F105" t="s">
        <v>24</v>
      </c>
      <c r="G105" t="s">
        <v>93</v>
      </c>
      <c r="H105" t="s">
        <v>11</v>
      </c>
      <c r="I105" t="s">
        <v>7</v>
      </c>
      <c r="J105" t="s">
        <v>24</v>
      </c>
      <c r="K105" t="s">
        <v>123</v>
      </c>
      <c r="L105" t="s">
        <v>40</v>
      </c>
      <c r="M105">
        <v>1</v>
      </c>
    </row>
    <row r="106" spans="1:13" x14ac:dyDescent="0.35">
      <c r="A106" s="2">
        <v>46224</v>
      </c>
      <c r="B106" s="1" t="str">
        <f ca="1">IF(Información1[[#This Row],[Fecha]]='Ajuste de fechas'!$A$2,"Día actual","Día anterior")</f>
        <v>Día anterior</v>
      </c>
      <c r="C106" t="s">
        <v>28</v>
      </c>
      <c r="D106" t="s">
        <v>121</v>
      </c>
      <c r="E106" t="s">
        <v>255</v>
      </c>
      <c r="F106" t="s">
        <v>24</v>
      </c>
      <c r="G106" t="s">
        <v>256</v>
      </c>
      <c r="H106" t="s">
        <v>11</v>
      </c>
      <c r="I106" t="s">
        <v>7</v>
      </c>
      <c r="J106" t="s">
        <v>24</v>
      </c>
      <c r="K106" t="s">
        <v>123</v>
      </c>
      <c r="L106" t="s">
        <v>40</v>
      </c>
      <c r="M106">
        <v>1</v>
      </c>
    </row>
    <row r="107" spans="1:13" x14ac:dyDescent="0.35">
      <c r="A107" s="2">
        <v>46224</v>
      </c>
      <c r="B107" s="1" t="str">
        <f ca="1">IF(Información1[[#This Row],[Fecha]]='Ajuste de fechas'!$A$2,"Día actual","Día anterior")</f>
        <v>Día anterior</v>
      </c>
      <c r="C107" t="s">
        <v>28</v>
      </c>
      <c r="D107" t="s">
        <v>121</v>
      </c>
      <c r="E107" t="s">
        <v>257</v>
      </c>
      <c r="F107" t="s">
        <v>15</v>
      </c>
      <c r="G107" t="s">
        <v>258</v>
      </c>
      <c r="H107" t="s">
        <v>11</v>
      </c>
      <c r="I107" t="s">
        <v>7</v>
      </c>
      <c r="J107" t="s">
        <v>39</v>
      </c>
      <c r="K107" t="s">
        <v>123</v>
      </c>
      <c r="L107" t="s">
        <v>40</v>
      </c>
      <c r="M107">
        <v>1</v>
      </c>
    </row>
    <row r="108" spans="1:13" x14ac:dyDescent="0.35">
      <c r="A108" s="2">
        <v>46224</v>
      </c>
      <c r="B108" s="1" t="str">
        <f ca="1">IF(Información1[[#This Row],[Fecha]]='Ajuste de fechas'!$A$2,"Día actual","Día anterior")</f>
        <v>Día anterior</v>
      </c>
      <c r="C108" t="s">
        <v>28</v>
      </c>
      <c r="D108" t="s">
        <v>121</v>
      </c>
      <c r="E108" t="s">
        <v>259</v>
      </c>
      <c r="F108" t="s">
        <v>15</v>
      </c>
      <c r="G108" t="s">
        <v>71</v>
      </c>
      <c r="H108" t="s">
        <v>11</v>
      </c>
      <c r="I108" t="s">
        <v>7</v>
      </c>
      <c r="J108" t="s">
        <v>39</v>
      </c>
      <c r="K108" t="s">
        <v>123</v>
      </c>
      <c r="L108" t="s">
        <v>40</v>
      </c>
      <c r="M108">
        <v>1</v>
      </c>
    </row>
    <row r="109" spans="1:13" x14ac:dyDescent="0.35">
      <c r="A109" s="2">
        <v>46224</v>
      </c>
      <c r="B109" s="1" t="str">
        <f ca="1">IF(Información1[[#This Row],[Fecha]]='Ajuste de fechas'!$A$2,"Día actual","Día anterior")</f>
        <v>Día anterior</v>
      </c>
      <c r="C109" t="s">
        <v>28</v>
      </c>
      <c r="D109" t="s">
        <v>121</v>
      </c>
      <c r="E109" t="s">
        <v>260</v>
      </c>
      <c r="F109" t="s">
        <v>78</v>
      </c>
      <c r="G109" t="s">
        <v>261</v>
      </c>
      <c r="H109" t="s">
        <v>11</v>
      </c>
      <c r="I109" t="s">
        <v>7</v>
      </c>
      <c r="J109" t="s">
        <v>39</v>
      </c>
      <c r="K109" t="s">
        <v>123</v>
      </c>
      <c r="L109" t="s">
        <v>40</v>
      </c>
      <c r="M109">
        <v>1</v>
      </c>
    </row>
    <row r="110" spans="1:13" x14ac:dyDescent="0.35">
      <c r="A110" s="2">
        <v>46224</v>
      </c>
      <c r="B110" s="1" t="str">
        <f ca="1">IF(Información1[[#This Row],[Fecha]]='Ajuste de fechas'!$A$2,"Día actual","Día anterior")</f>
        <v>Día anterior</v>
      </c>
      <c r="C110" t="s">
        <v>28</v>
      </c>
      <c r="D110" t="s">
        <v>121</v>
      </c>
      <c r="E110" t="s">
        <v>262</v>
      </c>
      <c r="F110" t="s">
        <v>6</v>
      </c>
      <c r="G110" t="s">
        <v>84</v>
      </c>
      <c r="H110" t="s">
        <v>11</v>
      </c>
      <c r="I110" t="s">
        <v>7</v>
      </c>
      <c r="J110" t="s">
        <v>39</v>
      </c>
      <c r="K110" t="s">
        <v>123</v>
      </c>
      <c r="L110" t="s">
        <v>41</v>
      </c>
      <c r="M110">
        <v>1</v>
      </c>
    </row>
    <row r="111" spans="1:13" x14ac:dyDescent="0.35">
      <c r="A111" s="2">
        <v>46224</v>
      </c>
      <c r="B111" s="1" t="str">
        <f ca="1">IF(Información1[[#This Row],[Fecha]]='Ajuste de fechas'!$A$2,"Día actual","Día anterior")</f>
        <v>Día anterior</v>
      </c>
      <c r="C111" t="s">
        <v>28</v>
      </c>
      <c r="D111" t="s">
        <v>121</v>
      </c>
      <c r="E111" t="s">
        <v>263</v>
      </c>
      <c r="F111" t="s">
        <v>6</v>
      </c>
      <c r="G111" t="s">
        <v>245</v>
      </c>
      <c r="H111" t="s">
        <v>11</v>
      </c>
      <c r="I111" t="s">
        <v>7</v>
      </c>
      <c r="J111" t="s">
        <v>39</v>
      </c>
      <c r="K111" t="s">
        <v>123</v>
      </c>
      <c r="L111" t="s">
        <v>40</v>
      </c>
      <c r="M111">
        <v>1</v>
      </c>
    </row>
    <row r="112" spans="1:13" x14ac:dyDescent="0.35">
      <c r="A112" s="2">
        <v>46224</v>
      </c>
      <c r="B112" s="1" t="str">
        <f ca="1">IF(Información1[[#This Row],[Fecha]]='Ajuste de fechas'!$A$2,"Día actual","Día anterior")</f>
        <v>Día anterior</v>
      </c>
      <c r="C112" t="s">
        <v>28</v>
      </c>
      <c r="D112" t="s">
        <v>121</v>
      </c>
      <c r="E112" t="s">
        <v>264</v>
      </c>
      <c r="F112" t="s">
        <v>6</v>
      </c>
      <c r="G112" t="s">
        <v>86</v>
      </c>
      <c r="H112" t="s">
        <v>11</v>
      </c>
      <c r="I112" t="s">
        <v>7</v>
      </c>
      <c r="J112" t="s">
        <v>39</v>
      </c>
      <c r="K112" t="s">
        <v>123</v>
      </c>
      <c r="L112" t="s">
        <v>40</v>
      </c>
      <c r="M112">
        <v>1</v>
      </c>
    </row>
    <row r="113" spans="1:13" x14ac:dyDescent="0.35">
      <c r="A113" s="2">
        <v>46224</v>
      </c>
      <c r="B113" s="1" t="str">
        <f ca="1">IF(Información1[[#This Row],[Fecha]]='Ajuste de fechas'!$A$2,"Día actual","Día anterior")</f>
        <v>Día anterior</v>
      </c>
      <c r="C113" t="s">
        <v>28</v>
      </c>
      <c r="D113" t="s">
        <v>121</v>
      </c>
      <c r="E113" t="s">
        <v>265</v>
      </c>
      <c r="F113" t="s">
        <v>26</v>
      </c>
      <c r="G113" t="s">
        <v>100</v>
      </c>
      <c r="H113" t="s">
        <v>11</v>
      </c>
      <c r="I113" t="s">
        <v>7</v>
      </c>
      <c r="J113" t="s">
        <v>39</v>
      </c>
      <c r="K113" t="s">
        <v>123</v>
      </c>
      <c r="L113" t="s">
        <v>40</v>
      </c>
      <c r="M113">
        <v>1</v>
      </c>
    </row>
    <row r="114" spans="1:13" x14ac:dyDescent="0.35">
      <c r="A114" s="2">
        <v>46224</v>
      </c>
      <c r="B114" s="1" t="str">
        <f ca="1">IF(Información1[[#This Row],[Fecha]]='Ajuste de fechas'!$A$2,"Día actual","Día anterior")</f>
        <v>Día anterior</v>
      </c>
      <c r="C114" t="s">
        <v>8</v>
      </c>
      <c r="D114" t="s">
        <v>10</v>
      </c>
      <c r="E114" t="s">
        <v>266</v>
      </c>
      <c r="F114" t="s">
        <v>19</v>
      </c>
      <c r="G114" t="s">
        <v>176</v>
      </c>
      <c r="H114" t="s">
        <v>11</v>
      </c>
      <c r="I114" t="s">
        <v>25</v>
      </c>
      <c r="J114" t="s">
        <v>43</v>
      </c>
      <c r="K114" t="s">
        <v>9</v>
      </c>
      <c r="L114" t="s">
        <v>41</v>
      </c>
      <c r="M114">
        <v>1</v>
      </c>
    </row>
    <row r="115" spans="1:13" x14ac:dyDescent="0.35">
      <c r="A115" s="2">
        <v>46224</v>
      </c>
      <c r="B115" s="1" t="str">
        <f ca="1">IF(Información1[[#This Row],[Fecha]]='Ajuste de fechas'!$A$2,"Día actual","Día anterior")</f>
        <v>Día anterior</v>
      </c>
      <c r="C115" t="s">
        <v>8</v>
      </c>
      <c r="D115" t="s">
        <v>10</v>
      </c>
      <c r="E115" t="s">
        <v>267</v>
      </c>
      <c r="F115" t="s">
        <v>17</v>
      </c>
      <c r="G115" t="s">
        <v>268</v>
      </c>
      <c r="H115" t="s">
        <v>11</v>
      </c>
      <c r="I115" t="s">
        <v>25</v>
      </c>
      <c r="J115" t="s">
        <v>39</v>
      </c>
      <c r="K115" t="s">
        <v>9</v>
      </c>
      <c r="L115" t="s">
        <v>41</v>
      </c>
      <c r="M115">
        <v>1</v>
      </c>
    </row>
    <row r="116" spans="1:13" x14ac:dyDescent="0.35">
      <c r="A116" s="2">
        <v>46224</v>
      </c>
      <c r="B116" s="1" t="str">
        <f ca="1">IF(Información1[[#This Row],[Fecha]]='Ajuste de fechas'!$A$2,"Día actual","Día anterior")</f>
        <v>Día anterior</v>
      </c>
      <c r="C116" t="s">
        <v>8</v>
      </c>
      <c r="D116" t="s">
        <v>10</v>
      </c>
      <c r="E116" t="s">
        <v>269</v>
      </c>
      <c r="F116" t="s">
        <v>17</v>
      </c>
      <c r="G116" t="s">
        <v>270</v>
      </c>
      <c r="H116" t="s">
        <v>11</v>
      </c>
      <c r="I116" t="s">
        <v>25</v>
      </c>
      <c r="J116" t="s">
        <v>39</v>
      </c>
      <c r="K116" t="s">
        <v>9</v>
      </c>
      <c r="L116" t="s">
        <v>41</v>
      </c>
      <c r="M116">
        <v>1</v>
      </c>
    </row>
    <row r="117" spans="1:13" x14ac:dyDescent="0.35">
      <c r="A117" s="2">
        <v>46224</v>
      </c>
      <c r="B117" s="1" t="str">
        <f ca="1">IF(Información1[[#This Row],[Fecha]]='Ajuste de fechas'!$A$2,"Día actual","Día anterior")</f>
        <v>Día anterior</v>
      </c>
      <c r="C117" t="s">
        <v>8</v>
      </c>
      <c r="D117" t="s">
        <v>10</v>
      </c>
      <c r="E117" t="s">
        <v>271</v>
      </c>
      <c r="F117" t="s">
        <v>17</v>
      </c>
      <c r="G117" t="s">
        <v>79</v>
      </c>
      <c r="H117" t="s">
        <v>11</v>
      </c>
      <c r="I117" t="s">
        <v>25</v>
      </c>
      <c r="J117" t="s">
        <v>39</v>
      </c>
      <c r="K117" t="s">
        <v>9</v>
      </c>
      <c r="L117" t="s">
        <v>41</v>
      </c>
      <c r="M117">
        <v>1</v>
      </c>
    </row>
    <row r="118" spans="1:13" x14ac:dyDescent="0.35">
      <c r="A118" s="2">
        <v>46224</v>
      </c>
      <c r="B118" s="1" t="str">
        <f ca="1">IF(Información1[[#This Row],[Fecha]]='Ajuste de fechas'!$A$2,"Día actual","Día anterior")</f>
        <v>Día anterior</v>
      </c>
      <c r="C118" t="s">
        <v>8</v>
      </c>
      <c r="D118" t="s">
        <v>10</v>
      </c>
      <c r="E118" t="s">
        <v>272</v>
      </c>
      <c r="F118" t="s">
        <v>6</v>
      </c>
      <c r="G118" t="s">
        <v>107</v>
      </c>
      <c r="H118" t="s">
        <v>11</v>
      </c>
      <c r="I118" t="s">
        <v>25</v>
      </c>
      <c r="J118" t="s">
        <v>39</v>
      </c>
      <c r="K118" t="s">
        <v>9</v>
      </c>
      <c r="L118" t="s">
        <v>41</v>
      </c>
      <c r="M118">
        <v>1</v>
      </c>
    </row>
    <row r="119" spans="1:13" x14ac:dyDescent="0.35">
      <c r="A119" s="2">
        <v>46224</v>
      </c>
      <c r="B119" s="1" t="str">
        <f ca="1">IF(Información1[[#This Row],[Fecha]]='Ajuste de fechas'!$A$2,"Día actual","Día anterior")</f>
        <v>Día anterior</v>
      </c>
      <c r="C119" t="s">
        <v>8</v>
      </c>
      <c r="D119" t="s">
        <v>10</v>
      </c>
      <c r="E119" t="s">
        <v>273</v>
      </c>
      <c r="F119" t="s">
        <v>6</v>
      </c>
      <c r="G119" t="s">
        <v>107</v>
      </c>
      <c r="H119" t="s">
        <v>11</v>
      </c>
      <c r="I119" t="s">
        <v>25</v>
      </c>
      <c r="J119" t="s">
        <v>39</v>
      </c>
      <c r="K119" t="s">
        <v>9</v>
      </c>
      <c r="L119" t="s">
        <v>41</v>
      </c>
      <c r="M119">
        <v>1</v>
      </c>
    </row>
    <row r="120" spans="1:13" x14ac:dyDescent="0.35">
      <c r="A120" s="2">
        <v>46224</v>
      </c>
      <c r="B120" s="1" t="str">
        <f ca="1">IF(Información1[[#This Row],[Fecha]]='Ajuste de fechas'!$A$2,"Día actual","Día anterior")</f>
        <v>Día anterior</v>
      </c>
      <c r="C120" t="s">
        <v>8</v>
      </c>
      <c r="D120" t="s">
        <v>10</v>
      </c>
      <c r="E120" t="s">
        <v>110</v>
      </c>
      <c r="F120" t="s">
        <v>6</v>
      </c>
      <c r="G120" t="s">
        <v>107</v>
      </c>
      <c r="H120" t="s">
        <v>11</v>
      </c>
      <c r="I120" t="s">
        <v>25</v>
      </c>
      <c r="J120" t="s">
        <v>39</v>
      </c>
      <c r="K120" t="s">
        <v>9</v>
      </c>
      <c r="L120" t="s">
        <v>41</v>
      </c>
      <c r="M120">
        <v>1</v>
      </c>
    </row>
    <row r="121" spans="1:13" x14ac:dyDescent="0.35">
      <c r="A121" s="2">
        <v>46224</v>
      </c>
      <c r="B121" s="1" t="str">
        <f ca="1">IF(Información1[[#This Row],[Fecha]]='Ajuste de fechas'!$A$2,"Día actual","Día anterior")</f>
        <v>Día anterior</v>
      </c>
      <c r="C121" t="s">
        <v>8</v>
      </c>
      <c r="D121" t="s">
        <v>10</v>
      </c>
      <c r="E121" t="s">
        <v>274</v>
      </c>
      <c r="F121" t="s">
        <v>6</v>
      </c>
      <c r="G121" t="s">
        <v>107</v>
      </c>
      <c r="H121" t="s">
        <v>11</v>
      </c>
      <c r="I121" t="s">
        <v>25</v>
      </c>
      <c r="J121" t="s">
        <v>39</v>
      </c>
      <c r="K121" t="s">
        <v>9</v>
      </c>
      <c r="L121" t="s">
        <v>41</v>
      </c>
      <c r="M121">
        <v>1</v>
      </c>
    </row>
    <row r="122" spans="1:13" x14ac:dyDescent="0.35">
      <c r="A122" s="2">
        <v>46224</v>
      </c>
      <c r="B122" s="1" t="str">
        <f ca="1">IF(Información1[[#This Row],[Fecha]]='Ajuste de fechas'!$A$2,"Día actual","Día anterior")</f>
        <v>Día anterior</v>
      </c>
      <c r="C122" t="s">
        <v>8</v>
      </c>
      <c r="D122" t="s">
        <v>10</v>
      </c>
      <c r="E122" t="s">
        <v>275</v>
      </c>
      <c r="F122" t="s">
        <v>6</v>
      </c>
      <c r="G122" t="s">
        <v>107</v>
      </c>
      <c r="H122" t="s">
        <v>11</v>
      </c>
      <c r="I122" t="s">
        <v>25</v>
      </c>
      <c r="J122" t="s">
        <v>39</v>
      </c>
      <c r="K122" t="s">
        <v>9</v>
      </c>
      <c r="L122" t="s">
        <v>41</v>
      </c>
      <c r="M122">
        <v>1</v>
      </c>
    </row>
    <row r="123" spans="1:13" x14ac:dyDescent="0.35">
      <c r="A123" s="2">
        <v>46224</v>
      </c>
      <c r="B123" s="1" t="str">
        <f ca="1">IF(Información1[[#This Row],[Fecha]]='Ajuste de fechas'!$A$2,"Día actual","Día anterior")</f>
        <v>Día anterior</v>
      </c>
      <c r="C123" t="s">
        <v>8</v>
      </c>
      <c r="D123" t="s">
        <v>10</v>
      </c>
      <c r="E123" t="s">
        <v>276</v>
      </c>
      <c r="F123" t="s">
        <v>6</v>
      </c>
      <c r="G123" t="s">
        <v>107</v>
      </c>
      <c r="H123" t="s">
        <v>11</v>
      </c>
      <c r="I123" t="s">
        <v>25</v>
      </c>
      <c r="J123" t="s">
        <v>39</v>
      </c>
      <c r="K123" t="s">
        <v>9</v>
      </c>
      <c r="L123" t="s">
        <v>41</v>
      </c>
      <c r="M123">
        <v>1</v>
      </c>
    </row>
    <row r="124" spans="1:13" x14ac:dyDescent="0.35">
      <c r="A124" s="2">
        <v>46224</v>
      </c>
      <c r="B124" s="1" t="str">
        <f ca="1">IF(Información1[[#This Row],[Fecha]]='Ajuste de fechas'!$A$2,"Día actual","Día anterior")</f>
        <v>Día anterior</v>
      </c>
      <c r="C124" t="s">
        <v>8</v>
      </c>
      <c r="D124" t="s">
        <v>10</v>
      </c>
      <c r="E124" t="s">
        <v>277</v>
      </c>
      <c r="F124" t="s">
        <v>6</v>
      </c>
      <c r="G124" t="s">
        <v>107</v>
      </c>
      <c r="H124" t="s">
        <v>11</v>
      </c>
      <c r="I124" t="s">
        <v>25</v>
      </c>
      <c r="J124" t="s">
        <v>39</v>
      </c>
      <c r="K124" t="s">
        <v>9</v>
      </c>
      <c r="L124" t="s">
        <v>41</v>
      </c>
      <c r="M124">
        <v>1</v>
      </c>
    </row>
    <row r="125" spans="1:13" x14ac:dyDescent="0.35">
      <c r="A125" s="2">
        <v>46224</v>
      </c>
      <c r="B125" s="1" t="str">
        <f ca="1">IF(Información1[[#This Row],[Fecha]]='Ajuste de fechas'!$A$2,"Día actual","Día anterior")</f>
        <v>Día anterior</v>
      </c>
      <c r="C125" t="s">
        <v>8</v>
      </c>
      <c r="D125" t="s">
        <v>10</v>
      </c>
      <c r="E125" t="s">
        <v>278</v>
      </c>
      <c r="F125" t="s">
        <v>24</v>
      </c>
      <c r="G125" t="s">
        <v>279</v>
      </c>
      <c r="H125" t="s">
        <v>11</v>
      </c>
      <c r="I125" t="s">
        <v>7</v>
      </c>
      <c r="J125" t="s">
        <v>24</v>
      </c>
      <c r="K125" t="s">
        <v>14</v>
      </c>
      <c r="L125" t="s">
        <v>41</v>
      </c>
      <c r="M125">
        <v>1</v>
      </c>
    </row>
    <row r="126" spans="1:13" x14ac:dyDescent="0.35">
      <c r="A126" s="2">
        <v>46224</v>
      </c>
      <c r="B126" s="1" t="str">
        <f ca="1">IF(Información1[[#This Row],[Fecha]]='Ajuste de fechas'!$A$2,"Día actual","Día anterior")</f>
        <v>Día anterior</v>
      </c>
      <c r="C126" t="s">
        <v>8</v>
      </c>
      <c r="D126" t="s">
        <v>10</v>
      </c>
      <c r="E126" t="s">
        <v>280</v>
      </c>
      <c r="F126" t="s">
        <v>6</v>
      </c>
      <c r="G126" t="s">
        <v>72</v>
      </c>
      <c r="H126" t="s">
        <v>11</v>
      </c>
      <c r="I126" t="s">
        <v>12</v>
      </c>
      <c r="J126" t="s">
        <v>39</v>
      </c>
      <c r="K126" t="s">
        <v>9</v>
      </c>
      <c r="L126" t="s">
        <v>41</v>
      </c>
      <c r="M126">
        <v>1</v>
      </c>
    </row>
    <row r="127" spans="1:13" x14ac:dyDescent="0.35">
      <c r="A127" s="2">
        <v>46224</v>
      </c>
      <c r="B127" s="1" t="str">
        <f ca="1">IF(Información1[[#This Row],[Fecha]]='Ajuste de fechas'!$A$2,"Día actual","Día anterior")</f>
        <v>Día anterior</v>
      </c>
      <c r="C127" t="s">
        <v>8</v>
      </c>
      <c r="D127" t="s">
        <v>10</v>
      </c>
      <c r="E127" t="s">
        <v>281</v>
      </c>
      <c r="F127" t="s">
        <v>19</v>
      </c>
      <c r="G127" t="s">
        <v>282</v>
      </c>
      <c r="H127" t="s">
        <v>11</v>
      </c>
      <c r="I127" t="s">
        <v>7</v>
      </c>
      <c r="J127" t="s">
        <v>43</v>
      </c>
      <c r="K127" t="s">
        <v>14</v>
      </c>
      <c r="L127" t="s">
        <v>40</v>
      </c>
      <c r="M127">
        <v>1</v>
      </c>
    </row>
    <row r="128" spans="1:13" x14ac:dyDescent="0.35">
      <c r="A128" s="2">
        <v>46224</v>
      </c>
      <c r="B128" s="1" t="str">
        <f ca="1">IF(Información1[[#This Row],[Fecha]]='Ajuste de fechas'!$A$2,"Día actual","Día anterior")</f>
        <v>Día anterior</v>
      </c>
      <c r="C128" t="s">
        <v>8</v>
      </c>
      <c r="D128" t="s">
        <v>10</v>
      </c>
      <c r="E128" t="s">
        <v>283</v>
      </c>
      <c r="F128" t="s">
        <v>19</v>
      </c>
      <c r="G128" t="s">
        <v>32</v>
      </c>
      <c r="H128" t="s">
        <v>11</v>
      </c>
      <c r="I128" t="s">
        <v>7</v>
      </c>
      <c r="J128" t="s">
        <v>43</v>
      </c>
      <c r="K128" t="s">
        <v>14</v>
      </c>
      <c r="L128" t="s">
        <v>125</v>
      </c>
      <c r="M128">
        <v>1</v>
      </c>
    </row>
    <row r="129" spans="1:13" x14ac:dyDescent="0.35">
      <c r="A129" s="2">
        <v>46224</v>
      </c>
      <c r="B129" s="1" t="str">
        <f ca="1">IF(Información1[[#This Row],[Fecha]]='Ajuste de fechas'!$A$2,"Día actual","Día anterior")</f>
        <v>Día anterior</v>
      </c>
      <c r="C129" t="s">
        <v>8</v>
      </c>
      <c r="D129" t="s">
        <v>10</v>
      </c>
      <c r="E129" t="s">
        <v>284</v>
      </c>
      <c r="F129" t="s">
        <v>19</v>
      </c>
      <c r="G129" t="s">
        <v>285</v>
      </c>
      <c r="H129" t="s">
        <v>11</v>
      </c>
      <c r="I129" t="s">
        <v>7</v>
      </c>
      <c r="J129" t="s">
        <v>43</v>
      </c>
      <c r="K129" t="s">
        <v>14</v>
      </c>
      <c r="L129" t="s">
        <v>40</v>
      </c>
      <c r="M129">
        <v>1</v>
      </c>
    </row>
    <row r="130" spans="1:13" x14ac:dyDescent="0.35">
      <c r="A130" s="2">
        <v>46224</v>
      </c>
      <c r="B130" s="1" t="str">
        <f ca="1">IF(Información1[[#This Row],[Fecha]]='Ajuste de fechas'!$A$2,"Día actual","Día anterior")</f>
        <v>Día anterior</v>
      </c>
      <c r="C130" t="s">
        <v>8</v>
      </c>
      <c r="D130" t="s">
        <v>10</v>
      </c>
      <c r="E130" t="s">
        <v>286</v>
      </c>
      <c r="F130" t="s">
        <v>70</v>
      </c>
      <c r="G130" t="s">
        <v>245</v>
      </c>
      <c r="H130" t="s">
        <v>11</v>
      </c>
      <c r="I130" t="s">
        <v>7</v>
      </c>
      <c r="J130" t="s">
        <v>39</v>
      </c>
      <c r="K130" t="s">
        <v>14</v>
      </c>
      <c r="L130" t="s">
        <v>42</v>
      </c>
      <c r="M130">
        <v>1</v>
      </c>
    </row>
    <row r="131" spans="1:13" x14ac:dyDescent="0.35">
      <c r="A131" s="2">
        <v>46224</v>
      </c>
      <c r="B131" s="1" t="str">
        <f ca="1">IF(Información1[[#This Row],[Fecha]]='Ajuste de fechas'!$A$2,"Día actual","Día anterior")</f>
        <v>Día anterior</v>
      </c>
      <c r="C131" t="s">
        <v>8</v>
      </c>
      <c r="D131" t="s">
        <v>10</v>
      </c>
      <c r="E131" t="s">
        <v>287</v>
      </c>
      <c r="F131" t="s">
        <v>26</v>
      </c>
      <c r="G131" t="s">
        <v>100</v>
      </c>
      <c r="H131" t="s">
        <v>11</v>
      </c>
      <c r="I131" t="s">
        <v>7</v>
      </c>
      <c r="J131" t="s">
        <v>39</v>
      </c>
      <c r="K131" t="s">
        <v>14</v>
      </c>
      <c r="L131" t="s">
        <v>42</v>
      </c>
      <c r="M131">
        <v>1</v>
      </c>
    </row>
    <row r="132" spans="1:13" x14ac:dyDescent="0.35">
      <c r="A132" s="2">
        <v>46224</v>
      </c>
      <c r="B132" s="1" t="str">
        <f ca="1">IF(Información1[[#This Row],[Fecha]]='Ajuste de fechas'!$A$2,"Día actual","Día anterior")</f>
        <v>Día anterior</v>
      </c>
      <c r="C132" t="s">
        <v>8</v>
      </c>
      <c r="D132" t="s">
        <v>10</v>
      </c>
      <c r="E132" t="s">
        <v>288</v>
      </c>
      <c r="F132" t="s">
        <v>6</v>
      </c>
      <c r="G132" t="s">
        <v>89</v>
      </c>
      <c r="H132" t="s">
        <v>11</v>
      </c>
      <c r="I132" t="s">
        <v>7</v>
      </c>
      <c r="J132" t="s">
        <v>39</v>
      </c>
      <c r="K132" t="s">
        <v>14</v>
      </c>
      <c r="L132" t="s">
        <v>40</v>
      </c>
      <c r="M132">
        <v>1</v>
      </c>
    </row>
    <row r="133" spans="1:13" x14ac:dyDescent="0.35">
      <c r="A133" s="2">
        <v>46224</v>
      </c>
      <c r="B133" s="1" t="str">
        <f ca="1">IF(Información1[[#This Row],[Fecha]]='Ajuste de fechas'!$A$2,"Día actual","Día anterior")</f>
        <v>Día anterior</v>
      </c>
      <c r="C133" t="s">
        <v>8</v>
      </c>
      <c r="D133" t="s">
        <v>10</v>
      </c>
      <c r="E133" t="s">
        <v>20</v>
      </c>
      <c r="F133" t="s">
        <v>19</v>
      </c>
      <c r="G133" t="s">
        <v>32</v>
      </c>
      <c r="H133" t="s">
        <v>11</v>
      </c>
      <c r="I133" t="s">
        <v>12</v>
      </c>
      <c r="J133" t="s">
        <v>43</v>
      </c>
      <c r="K133" t="s">
        <v>14</v>
      </c>
      <c r="L133" t="s">
        <v>41</v>
      </c>
      <c r="M133">
        <v>1</v>
      </c>
    </row>
    <row r="134" spans="1:13" x14ac:dyDescent="0.35">
      <c r="A134" s="2">
        <v>46224</v>
      </c>
      <c r="B134" s="1" t="str">
        <f ca="1">IF(Información1[[#This Row],[Fecha]]='Ajuste de fechas'!$A$2,"Día actual","Día anterior")</f>
        <v>Día anterior</v>
      </c>
      <c r="C134" t="s">
        <v>8</v>
      </c>
      <c r="D134" t="s">
        <v>10</v>
      </c>
      <c r="E134" t="s">
        <v>18</v>
      </c>
      <c r="F134" t="s">
        <v>19</v>
      </c>
      <c r="G134" t="s">
        <v>32</v>
      </c>
      <c r="H134" t="s">
        <v>11</v>
      </c>
      <c r="I134" t="s">
        <v>12</v>
      </c>
      <c r="J134" t="s">
        <v>43</v>
      </c>
      <c r="K134" t="s">
        <v>14</v>
      </c>
      <c r="L134" t="s">
        <v>41</v>
      </c>
      <c r="M134">
        <v>1</v>
      </c>
    </row>
    <row r="135" spans="1:13" x14ac:dyDescent="0.35">
      <c r="A135" s="2">
        <v>46224</v>
      </c>
      <c r="B135" s="1" t="str">
        <f ca="1">IF(Información1[[#This Row],[Fecha]]='Ajuste de fechas'!$A$2,"Día actual","Día anterior")</f>
        <v>Día anterior</v>
      </c>
      <c r="C135" t="s">
        <v>8</v>
      </c>
      <c r="D135" t="s">
        <v>10</v>
      </c>
      <c r="E135" t="s">
        <v>73</v>
      </c>
      <c r="F135" t="s">
        <v>55</v>
      </c>
      <c r="G135" t="s">
        <v>32</v>
      </c>
      <c r="H135" t="s">
        <v>11</v>
      </c>
      <c r="I135" t="s">
        <v>12</v>
      </c>
      <c r="J135" t="s">
        <v>24</v>
      </c>
      <c r="K135" t="s">
        <v>14</v>
      </c>
      <c r="L135" t="s">
        <v>41</v>
      </c>
      <c r="M135">
        <v>1</v>
      </c>
    </row>
    <row r="136" spans="1:13" x14ac:dyDescent="0.35">
      <c r="A136" s="2">
        <v>46224</v>
      </c>
      <c r="B136" s="1" t="str">
        <f ca="1">IF(Información1[[#This Row],[Fecha]]='Ajuste de fechas'!$A$2,"Día actual","Día anterior")</f>
        <v>Día anterior</v>
      </c>
      <c r="C136" t="s">
        <v>8</v>
      </c>
      <c r="D136" t="s">
        <v>10</v>
      </c>
      <c r="E136" t="s">
        <v>13</v>
      </c>
      <c r="F136" t="s">
        <v>15</v>
      </c>
      <c r="G136" t="s">
        <v>32</v>
      </c>
      <c r="H136" t="s">
        <v>11</v>
      </c>
      <c r="I136" t="s">
        <v>12</v>
      </c>
      <c r="J136" t="s">
        <v>39</v>
      </c>
      <c r="K136" t="s">
        <v>14</v>
      </c>
      <c r="L136" t="s">
        <v>41</v>
      </c>
      <c r="M136">
        <v>1</v>
      </c>
    </row>
    <row r="137" spans="1:13" x14ac:dyDescent="0.35">
      <c r="A137" s="2">
        <v>46224</v>
      </c>
      <c r="B137" s="1" t="str">
        <f ca="1">IF(Información1[[#This Row],[Fecha]]='Ajuste de fechas'!$A$2,"Día actual","Día anterior")</f>
        <v>Día anterior</v>
      </c>
      <c r="C137" t="s">
        <v>8</v>
      </c>
      <c r="D137" t="s">
        <v>10</v>
      </c>
      <c r="E137" t="s">
        <v>16</v>
      </c>
      <c r="F137" t="s">
        <v>17</v>
      </c>
      <c r="G137" t="s">
        <v>32</v>
      </c>
      <c r="H137" t="s">
        <v>11</v>
      </c>
      <c r="I137" t="s">
        <v>12</v>
      </c>
      <c r="J137" t="s">
        <v>39</v>
      </c>
      <c r="K137" t="s">
        <v>14</v>
      </c>
      <c r="L137" t="s">
        <v>41</v>
      </c>
      <c r="M137">
        <v>1</v>
      </c>
    </row>
    <row r="138" spans="1:13" x14ac:dyDescent="0.35">
      <c r="A138" s="2">
        <v>46224</v>
      </c>
      <c r="B138" s="1" t="str">
        <f ca="1">IF(Información1[[#This Row],[Fecha]]='Ajuste de fechas'!$A$2,"Día actual","Día anterior")</f>
        <v>Día anterior</v>
      </c>
      <c r="C138" t="s">
        <v>8</v>
      </c>
      <c r="D138" t="s">
        <v>10</v>
      </c>
      <c r="E138" t="s">
        <v>54</v>
      </c>
      <c r="F138" t="s">
        <v>6</v>
      </c>
      <c r="G138" t="s">
        <v>32</v>
      </c>
      <c r="H138" t="s">
        <v>11</v>
      </c>
      <c r="I138" t="s">
        <v>12</v>
      </c>
      <c r="J138" t="s">
        <v>39</v>
      </c>
      <c r="K138" t="s">
        <v>14</v>
      </c>
      <c r="L138" t="s">
        <v>41</v>
      </c>
      <c r="M138">
        <v>1</v>
      </c>
    </row>
    <row r="139" spans="1:13" x14ac:dyDescent="0.35">
      <c r="A139" s="2">
        <v>46224</v>
      </c>
      <c r="B139" s="1" t="str">
        <f ca="1">IF(Información1[[#This Row],[Fecha]]='Ajuste de fechas'!$A$2,"Día actual","Día anterior")</f>
        <v>Día anterior</v>
      </c>
      <c r="C139" t="s">
        <v>50</v>
      </c>
      <c r="D139" t="s">
        <v>56</v>
      </c>
      <c r="E139" t="s">
        <v>289</v>
      </c>
      <c r="F139" t="s">
        <v>22</v>
      </c>
      <c r="G139" t="s">
        <v>290</v>
      </c>
      <c r="H139" t="s">
        <v>11</v>
      </c>
      <c r="I139" t="s">
        <v>7</v>
      </c>
      <c r="J139" t="s">
        <v>44</v>
      </c>
      <c r="K139" t="s">
        <v>85</v>
      </c>
      <c r="L139" t="s">
        <v>40</v>
      </c>
      <c r="M139">
        <v>1</v>
      </c>
    </row>
    <row r="140" spans="1:13" x14ac:dyDescent="0.35">
      <c r="A140" s="2">
        <v>46224</v>
      </c>
      <c r="B140" s="1" t="str">
        <f ca="1">IF(Información1[[#This Row],[Fecha]]='Ajuste de fechas'!$A$2,"Día actual","Día anterior")</f>
        <v>Día anterior</v>
      </c>
      <c r="C140" t="s">
        <v>50</v>
      </c>
      <c r="D140" t="s">
        <v>56</v>
      </c>
      <c r="E140" t="s">
        <v>291</v>
      </c>
      <c r="F140" t="s">
        <v>22</v>
      </c>
      <c r="G140" t="s">
        <v>208</v>
      </c>
      <c r="H140" t="s">
        <v>11</v>
      </c>
      <c r="I140" t="s">
        <v>7</v>
      </c>
      <c r="J140" t="s">
        <v>44</v>
      </c>
      <c r="K140" t="s">
        <v>51</v>
      </c>
      <c r="L140" t="s">
        <v>40</v>
      </c>
      <c r="M140">
        <v>1</v>
      </c>
    </row>
    <row r="141" spans="1:13" x14ac:dyDescent="0.35">
      <c r="A141" s="2">
        <v>46224</v>
      </c>
      <c r="B141" s="1" t="str">
        <f ca="1">IF(Información1[[#This Row],[Fecha]]='Ajuste de fechas'!$A$2,"Día actual","Día anterior")</f>
        <v>Día anterior</v>
      </c>
      <c r="C141" t="s">
        <v>50</v>
      </c>
      <c r="D141" t="s">
        <v>56</v>
      </c>
      <c r="E141" t="s">
        <v>292</v>
      </c>
      <c r="F141" t="s">
        <v>21</v>
      </c>
      <c r="G141" t="s">
        <v>103</v>
      </c>
      <c r="H141" t="s">
        <v>11</v>
      </c>
      <c r="I141" t="s">
        <v>25</v>
      </c>
      <c r="J141" t="s">
        <v>39</v>
      </c>
      <c r="K141" t="s">
        <v>9</v>
      </c>
      <c r="L141" t="s">
        <v>41</v>
      </c>
      <c r="M141">
        <v>1</v>
      </c>
    </row>
    <row r="142" spans="1:13" x14ac:dyDescent="0.35">
      <c r="A142" s="2">
        <v>46224</v>
      </c>
      <c r="B142" s="1" t="str">
        <f ca="1">IF(Información1[[#This Row],[Fecha]]='Ajuste de fechas'!$A$2,"Día actual","Día anterior")</f>
        <v>Día anterior</v>
      </c>
      <c r="C142" t="s">
        <v>50</v>
      </c>
      <c r="D142" t="s">
        <v>56</v>
      </c>
      <c r="E142" t="s">
        <v>293</v>
      </c>
      <c r="F142" t="s">
        <v>55</v>
      </c>
      <c r="G142" t="s">
        <v>279</v>
      </c>
      <c r="H142" t="s">
        <v>11</v>
      </c>
      <c r="I142" t="s">
        <v>7</v>
      </c>
      <c r="J142" t="s">
        <v>24</v>
      </c>
      <c r="K142" t="s">
        <v>85</v>
      </c>
      <c r="L142" t="s">
        <v>41</v>
      </c>
      <c r="M142">
        <v>1</v>
      </c>
    </row>
    <row r="143" spans="1:13" x14ac:dyDescent="0.35">
      <c r="A143" s="2">
        <v>46224</v>
      </c>
      <c r="B143" s="1" t="str">
        <f ca="1">IF(Información1[[#This Row],[Fecha]]='Ajuste de fechas'!$A$2,"Día actual","Día anterior")</f>
        <v>Día anterior</v>
      </c>
      <c r="C143" t="s">
        <v>50</v>
      </c>
      <c r="D143" t="s">
        <v>56</v>
      </c>
      <c r="E143" t="s">
        <v>294</v>
      </c>
      <c r="F143" t="s">
        <v>55</v>
      </c>
      <c r="G143" t="s">
        <v>279</v>
      </c>
      <c r="H143" t="s">
        <v>11</v>
      </c>
      <c r="I143" t="s">
        <v>7</v>
      </c>
      <c r="J143" t="s">
        <v>24</v>
      </c>
      <c r="K143" t="s">
        <v>85</v>
      </c>
      <c r="L143" t="s">
        <v>41</v>
      </c>
      <c r="M143">
        <v>1</v>
      </c>
    </row>
    <row r="144" spans="1:13" x14ac:dyDescent="0.35">
      <c r="A144" s="2">
        <v>46224</v>
      </c>
      <c r="B144" s="1" t="str">
        <f ca="1">IF(Información1[[#This Row],[Fecha]]='Ajuste de fechas'!$A$2,"Día actual","Día anterior")</f>
        <v>Día anterior</v>
      </c>
      <c r="C144" t="s">
        <v>50</v>
      </c>
      <c r="D144" t="s">
        <v>56</v>
      </c>
      <c r="E144" t="s">
        <v>295</v>
      </c>
      <c r="F144" t="s">
        <v>55</v>
      </c>
      <c r="G144" t="s">
        <v>279</v>
      </c>
      <c r="H144" t="s">
        <v>11</v>
      </c>
      <c r="I144" t="s">
        <v>7</v>
      </c>
      <c r="J144" t="s">
        <v>24</v>
      </c>
      <c r="K144" t="s">
        <v>51</v>
      </c>
      <c r="L144" t="s">
        <v>40</v>
      </c>
      <c r="M144">
        <v>1</v>
      </c>
    </row>
    <row r="145" spans="1:13" x14ac:dyDescent="0.35">
      <c r="A145" s="2">
        <v>46224</v>
      </c>
      <c r="B145" s="1" t="str">
        <f ca="1">IF(Información1[[#This Row],[Fecha]]='Ajuste de fechas'!$A$2,"Día actual","Día anterior")</f>
        <v>Día anterior</v>
      </c>
      <c r="C145" t="s">
        <v>65</v>
      </c>
      <c r="D145" t="s">
        <v>66</v>
      </c>
      <c r="E145" t="s">
        <v>296</v>
      </c>
      <c r="F145" t="s">
        <v>31</v>
      </c>
      <c r="G145" t="s">
        <v>241</v>
      </c>
      <c r="H145" t="s">
        <v>11</v>
      </c>
      <c r="I145" t="s">
        <v>7</v>
      </c>
      <c r="J145" t="s">
        <v>39</v>
      </c>
      <c r="K145" t="s">
        <v>67</v>
      </c>
      <c r="L145" t="s">
        <v>42</v>
      </c>
      <c r="M145">
        <v>1</v>
      </c>
    </row>
    <row r="146" spans="1:13" x14ac:dyDescent="0.35">
      <c r="A146" s="2">
        <v>46224</v>
      </c>
      <c r="B146" s="1" t="str">
        <f ca="1">IF(Información1[[#This Row],[Fecha]]='Ajuste de fechas'!$A$2,"Día actual","Día anterior")</f>
        <v>Día anterior</v>
      </c>
      <c r="C146" t="s">
        <v>65</v>
      </c>
      <c r="D146" t="s">
        <v>66</v>
      </c>
      <c r="E146" t="s">
        <v>297</v>
      </c>
      <c r="F146" t="s">
        <v>22</v>
      </c>
      <c r="G146" t="s">
        <v>298</v>
      </c>
      <c r="H146" t="s">
        <v>11</v>
      </c>
      <c r="I146" t="s">
        <v>7</v>
      </c>
      <c r="J146" t="s">
        <v>44</v>
      </c>
      <c r="K146" t="s">
        <v>67</v>
      </c>
      <c r="L146" t="s">
        <v>40</v>
      </c>
      <c r="M146">
        <v>1</v>
      </c>
    </row>
    <row r="147" spans="1:13" x14ac:dyDescent="0.35">
      <c r="A147" s="2">
        <v>46224</v>
      </c>
      <c r="B147" s="1" t="str">
        <f ca="1">IF(Información1[[#This Row],[Fecha]]='Ajuste de fechas'!$A$2,"Día actual","Día anterior")</f>
        <v>Día anterior</v>
      </c>
      <c r="C147" t="s">
        <v>65</v>
      </c>
      <c r="D147" t="s">
        <v>66</v>
      </c>
      <c r="E147" t="s">
        <v>299</v>
      </c>
      <c r="F147" t="s">
        <v>22</v>
      </c>
      <c r="G147" t="s">
        <v>300</v>
      </c>
      <c r="H147" t="s">
        <v>11</v>
      </c>
      <c r="I147" t="s">
        <v>7</v>
      </c>
      <c r="J147" t="s">
        <v>44</v>
      </c>
      <c r="K147" t="s">
        <v>67</v>
      </c>
      <c r="L147" t="s">
        <v>40</v>
      </c>
      <c r="M147">
        <v>1</v>
      </c>
    </row>
    <row r="148" spans="1:13" x14ac:dyDescent="0.35">
      <c r="A148" s="2">
        <v>46224</v>
      </c>
      <c r="B148" s="1" t="str">
        <f ca="1">IF(Información1[[#This Row],[Fecha]]='Ajuste de fechas'!$A$2,"Día actual","Día anterior")</f>
        <v>Día anterior</v>
      </c>
      <c r="C148" t="s">
        <v>65</v>
      </c>
      <c r="D148" t="s">
        <v>66</v>
      </c>
      <c r="E148" t="s">
        <v>301</v>
      </c>
      <c r="F148" t="s">
        <v>102</v>
      </c>
      <c r="G148" t="s">
        <v>302</v>
      </c>
      <c r="H148" t="s">
        <v>11</v>
      </c>
      <c r="I148" t="s">
        <v>7</v>
      </c>
      <c r="J148" t="s">
        <v>39</v>
      </c>
      <c r="K148" t="s">
        <v>67</v>
      </c>
      <c r="L148" t="s">
        <v>42</v>
      </c>
      <c r="M148">
        <v>1</v>
      </c>
    </row>
    <row r="149" spans="1:13" x14ac:dyDescent="0.35">
      <c r="A149" s="2">
        <v>46224</v>
      </c>
      <c r="B149" s="1" t="str">
        <f ca="1">IF(Información1[[#This Row],[Fecha]]='Ajuste de fechas'!$A$2,"Día actual","Día anterior")</f>
        <v>Día anterior</v>
      </c>
      <c r="C149" t="s">
        <v>65</v>
      </c>
      <c r="D149" t="s">
        <v>66</v>
      </c>
      <c r="E149" t="s">
        <v>303</v>
      </c>
      <c r="F149" t="s">
        <v>70</v>
      </c>
      <c r="G149" t="s">
        <v>71</v>
      </c>
      <c r="H149" t="s">
        <v>11</v>
      </c>
      <c r="I149" t="s">
        <v>7</v>
      </c>
      <c r="J149" t="s">
        <v>39</v>
      </c>
      <c r="K149" t="s">
        <v>67</v>
      </c>
      <c r="L149" t="s">
        <v>42</v>
      </c>
      <c r="M149">
        <v>1</v>
      </c>
    </row>
    <row r="150" spans="1:13" x14ac:dyDescent="0.35">
      <c r="A150" s="2">
        <v>46224</v>
      </c>
      <c r="B150" s="1" t="str">
        <f ca="1">IF(Información1[[#This Row],[Fecha]]='Ajuste de fechas'!$A$2,"Día actual","Día anterior")</f>
        <v>Día anterior</v>
      </c>
      <c r="C150" t="s">
        <v>65</v>
      </c>
      <c r="D150" t="s">
        <v>66</v>
      </c>
      <c r="E150" t="s">
        <v>304</v>
      </c>
      <c r="F150" t="s">
        <v>70</v>
      </c>
      <c r="G150" t="s">
        <v>245</v>
      </c>
      <c r="H150" t="s">
        <v>11</v>
      </c>
      <c r="I150" t="s">
        <v>7</v>
      </c>
      <c r="J150" t="s">
        <v>39</v>
      </c>
      <c r="K150" t="s">
        <v>67</v>
      </c>
      <c r="L150" t="s">
        <v>42</v>
      </c>
      <c r="M150">
        <v>1</v>
      </c>
    </row>
    <row r="151" spans="1:13" x14ac:dyDescent="0.35">
      <c r="A151" s="2">
        <v>46224</v>
      </c>
      <c r="B151" s="1" t="str">
        <f ca="1">IF(Información1[[#This Row],[Fecha]]='Ajuste de fechas'!$A$2,"Día actual","Día anterior")</f>
        <v>Día anterior</v>
      </c>
      <c r="C151" t="s">
        <v>65</v>
      </c>
      <c r="D151" t="s">
        <v>66</v>
      </c>
      <c r="E151" t="s">
        <v>305</v>
      </c>
      <c r="F151" t="s">
        <v>70</v>
      </c>
      <c r="G151" t="s">
        <v>86</v>
      </c>
      <c r="H151" t="s">
        <v>11</v>
      </c>
      <c r="I151" t="s">
        <v>7</v>
      </c>
      <c r="J151" t="s">
        <v>39</v>
      </c>
      <c r="K151" t="s">
        <v>67</v>
      </c>
      <c r="L151" t="s">
        <v>42</v>
      </c>
      <c r="M151">
        <v>1</v>
      </c>
    </row>
    <row r="152" spans="1:13" x14ac:dyDescent="0.35">
      <c r="A152" s="2">
        <v>46224</v>
      </c>
      <c r="B152" s="1" t="str">
        <f ca="1">IF(Información1[[#This Row],[Fecha]]='Ajuste de fechas'!$A$2,"Día actual","Día anterior")</f>
        <v>Día anterior</v>
      </c>
      <c r="C152" t="s">
        <v>65</v>
      </c>
      <c r="D152" t="s">
        <v>66</v>
      </c>
      <c r="E152" t="s">
        <v>306</v>
      </c>
      <c r="F152" t="s">
        <v>70</v>
      </c>
      <c r="G152" t="s">
        <v>86</v>
      </c>
      <c r="H152" t="s">
        <v>11</v>
      </c>
      <c r="I152" t="s">
        <v>7</v>
      </c>
      <c r="J152" t="s">
        <v>39</v>
      </c>
      <c r="K152" t="s">
        <v>67</v>
      </c>
      <c r="L152" t="s">
        <v>42</v>
      </c>
      <c r="M152">
        <v>1</v>
      </c>
    </row>
    <row r="153" spans="1:13" x14ac:dyDescent="0.35">
      <c r="A153" s="2">
        <v>46224</v>
      </c>
      <c r="B153" s="1" t="str">
        <f ca="1">IF(Información1[[#This Row],[Fecha]]='Ajuste de fechas'!$A$2,"Día actual","Día anterior")</f>
        <v>Día anterior</v>
      </c>
      <c r="C153" t="s">
        <v>65</v>
      </c>
      <c r="D153" t="s">
        <v>66</v>
      </c>
      <c r="E153" t="s">
        <v>307</v>
      </c>
      <c r="F153" t="s">
        <v>70</v>
      </c>
      <c r="G153" t="s">
        <v>245</v>
      </c>
      <c r="H153" t="s">
        <v>11</v>
      </c>
      <c r="I153" t="s">
        <v>7</v>
      </c>
      <c r="J153" t="s">
        <v>39</v>
      </c>
      <c r="K153" t="s">
        <v>67</v>
      </c>
      <c r="L153" t="s">
        <v>42</v>
      </c>
      <c r="M153">
        <v>1</v>
      </c>
    </row>
    <row r="154" spans="1:13" x14ac:dyDescent="0.35">
      <c r="A154" s="2">
        <v>46224</v>
      </c>
      <c r="B154" s="1" t="str">
        <f ca="1">IF(Información1[[#This Row],[Fecha]]='Ajuste de fechas'!$A$2,"Día actual","Día anterior")</f>
        <v>Día anterior</v>
      </c>
      <c r="C154" t="s">
        <v>65</v>
      </c>
      <c r="D154" t="s">
        <v>66</v>
      </c>
      <c r="E154" t="s">
        <v>237</v>
      </c>
      <c r="F154" t="s">
        <v>26</v>
      </c>
      <c r="G154" t="s">
        <v>100</v>
      </c>
      <c r="H154" t="s">
        <v>11</v>
      </c>
      <c r="I154" t="s">
        <v>7</v>
      </c>
      <c r="J154" t="s">
        <v>39</v>
      </c>
      <c r="K154" t="s">
        <v>67</v>
      </c>
      <c r="L154" t="s">
        <v>42</v>
      </c>
      <c r="M154">
        <v>1</v>
      </c>
    </row>
    <row r="155" spans="1:13" x14ac:dyDescent="0.35">
      <c r="A155" s="2">
        <v>46224</v>
      </c>
      <c r="B155" s="1" t="str">
        <f ca="1">IF(Información1[[#This Row],[Fecha]]='Ajuste de fechas'!$A$2,"Día actual","Día anterior")</f>
        <v>Día anterior</v>
      </c>
      <c r="C155" t="s">
        <v>50</v>
      </c>
      <c r="D155" t="s">
        <v>52</v>
      </c>
      <c r="E155" t="s">
        <v>308</v>
      </c>
      <c r="F155" t="s">
        <v>19</v>
      </c>
      <c r="G155" t="s">
        <v>282</v>
      </c>
      <c r="H155" t="s">
        <v>11</v>
      </c>
      <c r="I155" t="s">
        <v>7</v>
      </c>
      <c r="J155" t="s">
        <v>43</v>
      </c>
      <c r="K155" t="s">
        <v>51</v>
      </c>
      <c r="L155" t="s">
        <v>40</v>
      </c>
      <c r="M155">
        <v>1</v>
      </c>
    </row>
    <row r="156" spans="1:13" x14ac:dyDescent="0.35">
      <c r="A156" s="2">
        <v>46224</v>
      </c>
      <c r="B156" s="1" t="str">
        <f ca="1">IF(Información1[[#This Row],[Fecha]]='Ajuste de fechas'!$A$2,"Día actual","Día anterior")</f>
        <v>Día anterior</v>
      </c>
      <c r="C156" t="s">
        <v>50</v>
      </c>
      <c r="D156" t="s">
        <v>52</v>
      </c>
      <c r="E156" t="s">
        <v>309</v>
      </c>
      <c r="F156" t="s">
        <v>6</v>
      </c>
      <c r="G156" t="s">
        <v>310</v>
      </c>
      <c r="H156" t="s">
        <v>11</v>
      </c>
      <c r="I156" t="s">
        <v>25</v>
      </c>
      <c r="J156" t="s">
        <v>39</v>
      </c>
      <c r="K156" t="s">
        <v>9</v>
      </c>
      <c r="L156" t="s">
        <v>41</v>
      </c>
      <c r="M156">
        <v>1</v>
      </c>
    </row>
    <row r="157" spans="1:13" x14ac:dyDescent="0.35">
      <c r="A157" s="2">
        <v>46224</v>
      </c>
      <c r="B157" s="1" t="str">
        <f ca="1">IF(Información1[[#This Row],[Fecha]]='Ajuste de fechas'!$A$2,"Día actual","Día anterior")</f>
        <v>Día anterior</v>
      </c>
      <c r="C157" t="s">
        <v>50</v>
      </c>
      <c r="D157" t="s">
        <v>52</v>
      </c>
      <c r="E157" t="s">
        <v>311</v>
      </c>
      <c r="F157" t="s">
        <v>26</v>
      </c>
      <c r="G157" t="s">
        <v>312</v>
      </c>
      <c r="H157" t="s">
        <v>11</v>
      </c>
      <c r="I157" t="s">
        <v>7</v>
      </c>
      <c r="J157" t="s">
        <v>39</v>
      </c>
      <c r="K157" t="s">
        <v>49</v>
      </c>
      <c r="L157" t="s">
        <v>40</v>
      </c>
      <c r="M157">
        <v>1</v>
      </c>
    </row>
    <row r="158" spans="1:13" x14ac:dyDescent="0.35">
      <c r="A158" s="2">
        <v>46224</v>
      </c>
      <c r="B158" s="1" t="str">
        <f ca="1">IF(Información1[[#This Row],[Fecha]]='Ajuste de fechas'!$A$2,"Día actual","Día anterior")</f>
        <v>Día anterior</v>
      </c>
      <c r="C158" t="s">
        <v>50</v>
      </c>
      <c r="D158" t="s">
        <v>52</v>
      </c>
      <c r="E158" t="s">
        <v>313</v>
      </c>
      <c r="F158" t="s">
        <v>17</v>
      </c>
      <c r="G158" t="s">
        <v>79</v>
      </c>
      <c r="H158" t="s">
        <v>11</v>
      </c>
      <c r="I158" t="s">
        <v>25</v>
      </c>
      <c r="J158" t="s">
        <v>39</v>
      </c>
      <c r="K158" t="s">
        <v>9</v>
      </c>
      <c r="L158" t="s">
        <v>41</v>
      </c>
      <c r="M158">
        <v>1</v>
      </c>
    </row>
    <row r="159" spans="1:13" x14ac:dyDescent="0.35">
      <c r="A159" s="2">
        <v>46224</v>
      </c>
      <c r="B159" s="1" t="str">
        <f ca="1">IF(Información1[[#This Row],[Fecha]]='Ajuste de fechas'!$A$2,"Día actual","Día anterior")</f>
        <v>Día anterior</v>
      </c>
      <c r="C159" t="s">
        <v>50</v>
      </c>
      <c r="D159" t="s">
        <v>52</v>
      </c>
      <c r="E159" t="s">
        <v>314</v>
      </c>
      <c r="F159" t="s">
        <v>21</v>
      </c>
      <c r="G159" t="s">
        <v>103</v>
      </c>
      <c r="H159" t="s">
        <v>11</v>
      </c>
      <c r="I159" t="s">
        <v>25</v>
      </c>
      <c r="J159" t="s">
        <v>39</v>
      </c>
      <c r="K159" t="s">
        <v>51</v>
      </c>
      <c r="L159" t="s">
        <v>41</v>
      </c>
      <c r="M159">
        <v>1</v>
      </c>
    </row>
    <row r="160" spans="1:13" x14ac:dyDescent="0.35">
      <c r="A160" s="2">
        <v>46224</v>
      </c>
      <c r="B160" s="1" t="str">
        <f ca="1">IF(Información1[[#This Row],[Fecha]]='Ajuste de fechas'!$A$2,"Día actual","Día anterior")</f>
        <v>Día anterior</v>
      </c>
      <c r="C160" t="s">
        <v>50</v>
      </c>
      <c r="D160" t="s">
        <v>52</v>
      </c>
      <c r="E160" t="s">
        <v>315</v>
      </c>
      <c r="F160" t="s">
        <v>21</v>
      </c>
      <c r="G160" t="s">
        <v>103</v>
      </c>
      <c r="H160" t="s">
        <v>11</v>
      </c>
      <c r="I160" t="s">
        <v>25</v>
      </c>
      <c r="J160" t="s">
        <v>39</v>
      </c>
      <c r="K160" t="s">
        <v>9</v>
      </c>
      <c r="L160" t="s">
        <v>41</v>
      </c>
      <c r="M160">
        <v>1</v>
      </c>
    </row>
    <row r="161" spans="1:13" x14ac:dyDescent="0.35">
      <c r="A161" s="2">
        <v>46224</v>
      </c>
      <c r="B161" s="1" t="str">
        <f ca="1">IF(Información1[[#This Row],[Fecha]]='Ajuste de fechas'!$A$2,"Día actual","Día anterior")</f>
        <v>Día anterior</v>
      </c>
      <c r="C161" t="s">
        <v>50</v>
      </c>
      <c r="D161" t="s">
        <v>52</v>
      </c>
      <c r="E161" t="s">
        <v>316</v>
      </c>
      <c r="F161" t="s">
        <v>6</v>
      </c>
      <c r="G161" t="s">
        <v>317</v>
      </c>
      <c r="H161" t="s">
        <v>11</v>
      </c>
      <c r="I161" t="s">
        <v>7</v>
      </c>
      <c r="J161" t="s">
        <v>39</v>
      </c>
      <c r="K161" t="s">
        <v>51</v>
      </c>
      <c r="L161" t="s">
        <v>40</v>
      </c>
      <c r="M161">
        <v>1</v>
      </c>
    </row>
    <row r="162" spans="1:13" x14ac:dyDescent="0.35">
      <c r="A162" s="2">
        <v>46224</v>
      </c>
      <c r="B162" s="1" t="str">
        <f ca="1">IF(Información1[[#This Row],[Fecha]]='Ajuste de fechas'!$A$2,"Día actual","Día anterior")</f>
        <v>Día anterior</v>
      </c>
      <c r="C162" t="s">
        <v>50</v>
      </c>
      <c r="D162" t="s">
        <v>52</v>
      </c>
      <c r="E162" t="s">
        <v>318</v>
      </c>
      <c r="F162" t="s">
        <v>21</v>
      </c>
      <c r="G162" t="s">
        <v>99</v>
      </c>
      <c r="H162" t="s">
        <v>11</v>
      </c>
      <c r="I162" t="s">
        <v>12</v>
      </c>
      <c r="J162" t="s">
        <v>39</v>
      </c>
      <c r="K162" t="s">
        <v>49</v>
      </c>
      <c r="L162" t="s">
        <v>94</v>
      </c>
      <c r="M162">
        <v>1</v>
      </c>
    </row>
    <row r="163" spans="1:13" x14ac:dyDescent="0.35">
      <c r="A163" s="2">
        <v>46224</v>
      </c>
      <c r="B163" s="1" t="str">
        <f ca="1">IF(Información1[[#This Row],[Fecha]]='Ajuste de fechas'!$A$2,"Día actual","Día anterior")</f>
        <v>Día anterior</v>
      </c>
      <c r="C163" t="s">
        <v>50</v>
      </c>
      <c r="D163" t="s">
        <v>52</v>
      </c>
      <c r="E163" t="s">
        <v>296</v>
      </c>
      <c r="F163" t="s">
        <v>31</v>
      </c>
      <c r="G163" t="s">
        <v>241</v>
      </c>
      <c r="H163" t="s">
        <v>11</v>
      </c>
      <c r="I163" t="s">
        <v>7</v>
      </c>
      <c r="J163" t="s">
        <v>39</v>
      </c>
      <c r="K163" t="s">
        <v>49</v>
      </c>
      <c r="L163" t="s">
        <v>42</v>
      </c>
      <c r="M163">
        <v>1</v>
      </c>
    </row>
    <row r="164" spans="1:13" x14ac:dyDescent="0.35">
      <c r="A164" s="2">
        <v>46224</v>
      </c>
      <c r="B164" s="1" t="str">
        <f ca="1">IF(Información1[[#This Row],[Fecha]]='Ajuste de fechas'!$A$2,"Día actual","Día anterior")</f>
        <v>Día anterior</v>
      </c>
      <c r="C164" t="s">
        <v>50</v>
      </c>
      <c r="D164" t="s">
        <v>52</v>
      </c>
      <c r="E164" t="s">
        <v>319</v>
      </c>
      <c r="F164" t="s">
        <v>70</v>
      </c>
      <c r="G164" t="s">
        <v>320</v>
      </c>
      <c r="H164" t="s">
        <v>11</v>
      </c>
      <c r="I164" t="s">
        <v>12</v>
      </c>
      <c r="J164" t="s">
        <v>39</v>
      </c>
      <c r="K164" t="s">
        <v>49</v>
      </c>
      <c r="L164" t="s">
        <v>321</v>
      </c>
      <c r="M164">
        <v>1</v>
      </c>
    </row>
    <row r="165" spans="1:13" x14ac:dyDescent="0.35">
      <c r="A165" s="2">
        <v>46224</v>
      </c>
      <c r="B165" s="1" t="str">
        <f ca="1">IF(Información1[[#This Row],[Fecha]]='Ajuste de fechas'!$A$2,"Día actual","Día anterior")</f>
        <v>Día anterior</v>
      </c>
      <c r="C165" t="s">
        <v>50</v>
      </c>
      <c r="D165" t="s">
        <v>52</v>
      </c>
      <c r="E165" t="s">
        <v>322</v>
      </c>
      <c r="F165" t="s">
        <v>21</v>
      </c>
      <c r="G165" t="s">
        <v>187</v>
      </c>
      <c r="H165" t="s">
        <v>11</v>
      </c>
      <c r="I165" t="s">
        <v>7</v>
      </c>
      <c r="J165" t="s">
        <v>39</v>
      </c>
      <c r="K165" t="s">
        <v>51</v>
      </c>
      <c r="L165" t="s">
        <v>94</v>
      </c>
      <c r="M165">
        <v>1</v>
      </c>
    </row>
    <row r="166" spans="1:13" x14ac:dyDescent="0.35">
      <c r="A166" s="2">
        <v>46224</v>
      </c>
      <c r="B166" s="1" t="str">
        <f ca="1">IF(Información1[[#This Row],[Fecha]]='Ajuste de fechas'!$A$2,"Día actual","Día anterior")</f>
        <v>Día anterior</v>
      </c>
      <c r="C166" t="s">
        <v>50</v>
      </c>
      <c r="D166" t="s">
        <v>52</v>
      </c>
      <c r="E166" t="s">
        <v>237</v>
      </c>
      <c r="F166" t="s">
        <v>26</v>
      </c>
      <c r="G166" t="s">
        <v>100</v>
      </c>
      <c r="H166" t="s">
        <v>11</v>
      </c>
      <c r="I166" t="s">
        <v>7</v>
      </c>
      <c r="J166" t="s">
        <v>39</v>
      </c>
      <c r="K166" t="s">
        <v>49</v>
      </c>
      <c r="L166" t="s">
        <v>42</v>
      </c>
      <c r="M166">
        <v>1</v>
      </c>
    </row>
    <row r="167" spans="1:13" x14ac:dyDescent="0.35">
      <c r="A167" s="2">
        <v>46224</v>
      </c>
      <c r="B167" s="1" t="str">
        <f ca="1">IF(Información1[[#This Row],[Fecha]]='Ajuste de fechas'!$A$2,"Día actual","Día anterior")</f>
        <v>Día anterior</v>
      </c>
      <c r="C167" t="s">
        <v>50</v>
      </c>
      <c r="D167" t="s">
        <v>52</v>
      </c>
      <c r="E167" t="s">
        <v>323</v>
      </c>
      <c r="F167" t="s">
        <v>23</v>
      </c>
      <c r="G167" t="s">
        <v>253</v>
      </c>
      <c r="H167" t="s">
        <v>11</v>
      </c>
      <c r="I167" t="s">
        <v>7</v>
      </c>
      <c r="J167" t="s">
        <v>39</v>
      </c>
      <c r="K167" t="s">
        <v>49</v>
      </c>
      <c r="L167" t="s">
        <v>42</v>
      </c>
      <c r="M167">
        <v>1</v>
      </c>
    </row>
    <row r="168" spans="1:13" x14ac:dyDescent="0.35">
      <c r="A168" s="2">
        <v>46223</v>
      </c>
      <c r="B168" s="1" t="str">
        <f ca="1">IF(Información1[[#This Row],[Fecha]]='Ajuste de fechas'!$A$2,"Día actual","Día anterior")</f>
        <v>Día anterior</v>
      </c>
      <c r="C168" t="s">
        <v>74</v>
      </c>
      <c r="D168" t="s">
        <v>75</v>
      </c>
      <c r="E168" t="s">
        <v>129</v>
      </c>
      <c r="F168" t="s">
        <v>23</v>
      </c>
      <c r="G168" t="s">
        <v>130</v>
      </c>
      <c r="H168" t="s">
        <v>58</v>
      </c>
      <c r="I168" t="s">
        <v>7</v>
      </c>
      <c r="J168" t="s">
        <v>39</v>
      </c>
      <c r="K168" t="s">
        <v>49</v>
      </c>
      <c r="L168" t="s">
        <v>42</v>
      </c>
      <c r="M168">
        <v>1</v>
      </c>
    </row>
    <row r="169" spans="1:13" x14ac:dyDescent="0.35">
      <c r="A169" s="2">
        <v>46223</v>
      </c>
      <c r="B169" s="1" t="str">
        <f ca="1">IF(Información1[[#This Row],[Fecha]]='Ajuste de fechas'!$A$2,"Día actual","Día anterior")</f>
        <v>Día anterior</v>
      </c>
      <c r="C169" t="s">
        <v>74</v>
      </c>
      <c r="D169" t="s">
        <v>75</v>
      </c>
      <c r="E169" t="s">
        <v>324</v>
      </c>
      <c r="F169" t="s">
        <v>24</v>
      </c>
      <c r="G169" t="s">
        <v>53</v>
      </c>
      <c r="H169" t="s">
        <v>58</v>
      </c>
      <c r="I169" t="s">
        <v>7</v>
      </c>
      <c r="J169" t="s">
        <v>24</v>
      </c>
      <c r="K169" t="s">
        <v>49</v>
      </c>
      <c r="L169" t="s">
        <v>40</v>
      </c>
      <c r="M169">
        <v>1</v>
      </c>
    </row>
    <row r="170" spans="1:13" x14ac:dyDescent="0.35">
      <c r="A170" s="2">
        <v>46223</v>
      </c>
      <c r="B170" s="1" t="str">
        <f ca="1">IF(Información1[[#This Row],[Fecha]]='Ajuste de fechas'!$A$2,"Día actual","Día anterior")</f>
        <v>Día anterior</v>
      </c>
      <c r="C170" t="s">
        <v>74</v>
      </c>
      <c r="D170" t="s">
        <v>75</v>
      </c>
      <c r="E170" t="s">
        <v>325</v>
      </c>
      <c r="F170" t="s">
        <v>15</v>
      </c>
      <c r="G170" t="s">
        <v>147</v>
      </c>
      <c r="H170" t="s">
        <v>58</v>
      </c>
      <c r="I170" t="s">
        <v>7</v>
      </c>
      <c r="J170" t="s">
        <v>39</v>
      </c>
      <c r="K170" t="s">
        <v>49</v>
      </c>
      <c r="L170" t="s">
        <v>42</v>
      </c>
      <c r="M170">
        <v>1</v>
      </c>
    </row>
    <row r="171" spans="1:13" x14ac:dyDescent="0.35">
      <c r="A171" s="2">
        <v>46223</v>
      </c>
      <c r="B171" s="1" t="str">
        <f ca="1">IF(Información1[[#This Row],[Fecha]]='Ajuste de fechas'!$A$2,"Día actual","Día anterior")</f>
        <v>Día anterior</v>
      </c>
      <c r="C171" t="s">
        <v>74</v>
      </c>
      <c r="D171" t="s">
        <v>75</v>
      </c>
      <c r="E171" t="s">
        <v>326</v>
      </c>
      <c r="F171" t="s">
        <v>78</v>
      </c>
      <c r="G171" t="s">
        <v>327</v>
      </c>
      <c r="H171" t="s">
        <v>58</v>
      </c>
      <c r="I171" t="s">
        <v>7</v>
      </c>
      <c r="J171" t="s">
        <v>39</v>
      </c>
      <c r="K171" t="s">
        <v>49</v>
      </c>
      <c r="L171" t="s">
        <v>42</v>
      </c>
      <c r="M171">
        <v>1</v>
      </c>
    </row>
    <row r="172" spans="1:13" x14ac:dyDescent="0.35">
      <c r="A172" s="2">
        <v>46223</v>
      </c>
      <c r="B172" s="1" t="str">
        <f ca="1">IF(Información1[[#This Row],[Fecha]]='Ajuste de fechas'!$A$2,"Día actual","Día anterior")</f>
        <v>Día anterior</v>
      </c>
      <c r="C172" t="s">
        <v>74</v>
      </c>
      <c r="D172" t="s">
        <v>75</v>
      </c>
      <c r="E172" t="s">
        <v>328</v>
      </c>
      <c r="F172" t="s">
        <v>21</v>
      </c>
      <c r="G172" t="s">
        <v>132</v>
      </c>
      <c r="H172" t="s">
        <v>58</v>
      </c>
      <c r="I172" t="s">
        <v>7</v>
      </c>
      <c r="J172" t="s">
        <v>39</v>
      </c>
      <c r="K172" t="s">
        <v>49</v>
      </c>
      <c r="L172" t="s">
        <v>41</v>
      </c>
      <c r="M172">
        <v>1</v>
      </c>
    </row>
    <row r="173" spans="1:13" x14ac:dyDescent="0.35">
      <c r="A173" s="2">
        <v>46223</v>
      </c>
      <c r="B173" s="1" t="str">
        <f ca="1">IF(Información1[[#This Row],[Fecha]]='Ajuste de fechas'!$A$2,"Día actual","Día anterior")</f>
        <v>Día anterior</v>
      </c>
      <c r="C173" t="s">
        <v>74</v>
      </c>
      <c r="D173" t="s">
        <v>75</v>
      </c>
      <c r="E173" t="s">
        <v>329</v>
      </c>
      <c r="F173" t="s">
        <v>21</v>
      </c>
      <c r="G173" t="s">
        <v>330</v>
      </c>
      <c r="H173" t="s">
        <v>58</v>
      </c>
      <c r="I173" t="s">
        <v>7</v>
      </c>
      <c r="J173" t="s">
        <v>39</v>
      </c>
      <c r="K173" t="s">
        <v>49</v>
      </c>
      <c r="L173" t="s">
        <v>40</v>
      </c>
      <c r="M173">
        <v>1</v>
      </c>
    </row>
    <row r="174" spans="1:13" x14ac:dyDescent="0.35">
      <c r="A174" s="2">
        <v>46223</v>
      </c>
      <c r="B174" s="1" t="str">
        <f ca="1">IF(Información1[[#This Row],[Fecha]]='Ajuste de fechas'!$A$2,"Día actual","Día anterior")</f>
        <v>Día anterior</v>
      </c>
      <c r="C174" t="s">
        <v>74</v>
      </c>
      <c r="D174" t="s">
        <v>75</v>
      </c>
      <c r="E174" t="s">
        <v>331</v>
      </c>
      <c r="F174" t="s">
        <v>23</v>
      </c>
      <c r="G174" t="s">
        <v>332</v>
      </c>
      <c r="H174" t="s">
        <v>58</v>
      </c>
      <c r="I174" t="s">
        <v>7</v>
      </c>
      <c r="J174" t="s">
        <v>39</v>
      </c>
      <c r="K174" t="s">
        <v>333</v>
      </c>
      <c r="L174" t="s">
        <v>125</v>
      </c>
      <c r="M174">
        <v>1</v>
      </c>
    </row>
    <row r="175" spans="1:13" x14ac:dyDescent="0.35">
      <c r="A175" s="2">
        <v>46223</v>
      </c>
      <c r="B175" s="1" t="str">
        <f ca="1">IF(Información1[[#This Row],[Fecha]]='Ajuste de fechas'!$A$2,"Día actual","Día anterior")</f>
        <v>Día anterior</v>
      </c>
      <c r="C175" t="s">
        <v>74</v>
      </c>
      <c r="D175" t="s">
        <v>75</v>
      </c>
      <c r="E175" t="s">
        <v>334</v>
      </c>
      <c r="F175" t="s">
        <v>19</v>
      </c>
      <c r="G175" t="s">
        <v>335</v>
      </c>
      <c r="H175" t="s">
        <v>58</v>
      </c>
      <c r="I175" t="s">
        <v>25</v>
      </c>
      <c r="J175" t="s">
        <v>43</v>
      </c>
      <c r="K175" t="s">
        <v>333</v>
      </c>
      <c r="L175" t="s">
        <v>125</v>
      </c>
      <c r="M175">
        <v>1</v>
      </c>
    </row>
    <row r="176" spans="1:13" x14ac:dyDescent="0.35">
      <c r="A176" s="2">
        <v>46223</v>
      </c>
      <c r="B176" s="1" t="str">
        <f ca="1">IF(Información1[[#This Row],[Fecha]]='Ajuste de fechas'!$A$2,"Día actual","Día anterior")</f>
        <v>Día anterior</v>
      </c>
      <c r="C176" t="s">
        <v>74</v>
      </c>
      <c r="D176" t="s">
        <v>75</v>
      </c>
      <c r="E176" t="s">
        <v>117</v>
      </c>
      <c r="F176" t="s">
        <v>24</v>
      </c>
      <c r="G176" t="s">
        <v>118</v>
      </c>
      <c r="H176" t="s">
        <v>58</v>
      </c>
      <c r="I176" t="s">
        <v>7</v>
      </c>
      <c r="J176" t="s">
        <v>24</v>
      </c>
      <c r="K176" t="s">
        <v>333</v>
      </c>
      <c r="L176" t="s">
        <v>125</v>
      </c>
      <c r="M176">
        <v>1</v>
      </c>
    </row>
    <row r="177" spans="1:13" x14ac:dyDescent="0.35">
      <c r="A177" s="2">
        <v>46223</v>
      </c>
      <c r="B177" s="1" t="str">
        <f ca="1">IF(Información1[[#This Row],[Fecha]]='Ajuste de fechas'!$A$2,"Día actual","Día anterior")</f>
        <v>Día anterior</v>
      </c>
      <c r="C177" t="s">
        <v>74</v>
      </c>
      <c r="D177" t="s">
        <v>75</v>
      </c>
      <c r="E177" t="s">
        <v>336</v>
      </c>
      <c r="F177" t="s">
        <v>24</v>
      </c>
      <c r="G177" t="s">
        <v>337</v>
      </c>
      <c r="H177" t="s">
        <v>58</v>
      </c>
      <c r="I177" t="s">
        <v>7</v>
      </c>
      <c r="J177" t="s">
        <v>24</v>
      </c>
      <c r="K177" t="s">
        <v>338</v>
      </c>
      <c r="L177" t="s">
        <v>125</v>
      </c>
      <c r="M177">
        <v>1</v>
      </c>
    </row>
    <row r="178" spans="1:13" x14ac:dyDescent="0.35">
      <c r="A178" s="2">
        <v>46223</v>
      </c>
      <c r="B178" s="1" t="str">
        <f ca="1">IF(Información1[[#This Row],[Fecha]]='Ajuste de fechas'!$A$2,"Día actual","Día anterior")</f>
        <v>Día anterior</v>
      </c>
      <c r="C178" t="s">
        <v>74</v>
      </c>
      <c r="D178" t="s">
        <v>75</v>
      </c>
      <c r="E178" t="s">
        <v>183</v>
      </c>
      <c r="F178" t="s">
        <v>21</v>
      </c>
      <c r="G178" t="s">
        <v>127</v>
      </c>
      <c r="H178" t="s">
        <v>58</v>
      </c>
      <c r="I178" t="s">
        <v>7</v>
      </c>
      <c r="J178" t="s">
        <v>39</v>
      </c>
      <c r="K178" t="s">
        <v>49</v>
      </c>
      <c r="L178" t="s">
        <v>42</v>
      </c>
      <c r="M178">
        <v>1</v>
      </c>
    </row>
    <row r="179" spans="1:13" x14ac:dyDescent="0.35">
      <c r="A179" s="2">
        <v>46223</v>
      </c>
      <c r="B179" s="1" t="str">
        <f ca="1">IF(Información1[[#This Row],[Fecha]]='Ajuste de fechas'!$A$2,"Día actual","Día anterior")</f>
        <v>Día anterior</v>
      </c>
      <c r="C179" t="s">
        <v>74</v>
      </c>
      <c r="D179" t="s">
        <v>75</v>
      </c>
      <c r="E179" t="s">
        <v>233</v>
      </c>
      <c r="F179" t="s">
        <v>19</v>
      </c>
      <c r="G179" t="s">
        <v>190</v>
      </c>
      <c r="H179" t="s">
        <v>58</v>
      </c>
      <c r="I179" t="s">
        <v>7</v>
      </c>
      <c r="J179" t="s">
        <v>43</v>
      </c>
      <c r="K179" t="s">
        <v>49</v>
      </c>
      <c r="L179" t="s">
        <v>40</v>
      </c>
      <c r="M179">
        <v>1</v>
      </c>
    </row>
    <row r="180" spans="1:13" x14ac:dyDescent="0.35">
      <c r="A180" s="2">
        <v>46223</v>
      </c>
      <c r="B180" s="1" t="str">
        <f ca="1">IF(Información1[[#This Row],[Fecha]]='Ajuste de fechas'!$A$2,"Día actual","Día anterior")</f>
        <v>Día anterior</v>
      </c>
      <c r="C180" t="s">
        <v>74</v>
      </c>
      <c r="D180" t="s">
        <v>75</v>
      </c>
      <c r="E180" t="s">
        <v>339</v>
      </c>
      <c r="F180" t="s">
        <v>48</v>
      </c>
      <c r="G180" t="s">
        <v>340</v>
      </c>
      <c r="H180" t="s">
        <v>58</v>
      </c>
      <c r="I180" t="s">
        <v>7</v>
      </c>
      <c r="J180" t="s">
        <v>39</v>
      </c>
      <c r="K180" t="s">
        <v>49</v>
      </c>
      <c r="L180" t="s">
        <v>42</v>
      </c>
      <c r="M180">
        <v>1</v>
      </c>
    </row>
    <row r="181" spans="1:13" x14ac:dyDescent="0.35">
      <c r="A181" s="2">
        <v>46223</v>
      </c>
      <c r="B181" s="1" t="str">
        <f ca="1">IF(Información1[[#This Row],[Fecha]]='Ajuste de fechas'!$A$2,"Día actual","Día anterior")</f>
        <v>Día anterior</v>
      </c>
      <c r="C181" t="s">
        <v>74</v>
      </c>
      <c r="D181" t="s">
        <v>75</v>
      </c>
      <c r="E181" t="s">
        <v>341</v>
      </c>
      <c r="F181" t="s">
        <v>78</v>
      </c>
      <c r="G181" t="s">
        <v>150</v>
      </c>
      <c r="H181" t="s">
        <v>58</v>
      </c>
      <c r="I181" t="s">
        <v>7</v>
      </c>
      <c r="J181" t="s">
        <v>39</v>
      </c>
      <c r="K181" t="s">
        <v>49</v>
      </c>
      <c r="L181" t="s">
        <v>42</v>
      </c>
      <c r="M181">
        <v>1</v>
      </c>
    </row>
    <row r="182" spans="1:13" x14ac:dyDescent="0.35">
      <c r="A182" s="2">
        <v>46223</v>
      </c>
      <c r="B182" s="1" t="str">
        <f ca="1">IF(Información1[[#This Row],[Fecha]]='Ajuste de fechas'!$A$2,"Día actual","Día anterior")</f>
        <v>Día anterior</v>
      </c>
      <c r="C182" t="s">
        <v>74</v>
      </c>
      <c r="D182" t="s">
        <v>75</v>
      </c>
      <c r="E182" t="s">
        <v>342</v>
      </c>
      <c r="F182" t="s">
        <v>70</v>
      </c>
      <c r="G182" t="s">
        <v>98</v>
      </c>
      <c r="H182" t="s">
        <v>58</v>
      </c>
      <c r="I182" t="s">
        <v>7</v>
      </c>
      <c r="J182" t="s">
        <v>39</v>
      </c>
      <c r="K182" t="s">
        <v>49</v>
      </c>
      <c r="L182" t="s">
        <v>40</v>
      </c>
      <c r="M182">
        <v>1</v>
      </c>
    </row>
    <row r="183" spans="1:13" x14ac:dyDescent="0.35">
      <c r="A183" s="2">
        <v>46223</v>
      </c>
      <c r="B183" s="1" t="str">
        <f ca="1">IF(Información1[[#This Row],[Fecha]]='Ajuste de fechas'!$A$2,"Día actual","Día anterior")</f>
        <v>Día anterior</v>
      </c>
      <c r="C183" t="s">
        <v>74</v>
      </c>
      <c r="D183" t="s">
        <v>75</v>
      </c>
      <c r="E183" t="s">
        <v>231</v>
      </c>
      <c r="F183" t="s">
        <v>60</v>
      </c>
      <c r="G183" t="s">
        <v>232</v>
      </c>
      <c r="H183" t="s">
        <v>58</v>
      </c>
      <c r="I183" t="s">
        <v>7</v>
      </c>
      <c r="J183" t="s">
        <v>39</v>
      </c>
      <c r="K183" t="s">
        <v>49</v>
      </c>
      <c r="L183" t="s">
        <v>42</v>
      </c>
      <c r="M183">
        <v>1</v>
      </c>
    </row>
    <row r="184" spans="1:13" x14ac:dyDescent="0.35">
      <c r="A184" s="2">
        <v>46224</v>
      </c>
      <c r="B184" s="1" t="str">
        <f ca="1">IF(Información1[[#This Row],[Fecha]]='Ajuste de fechas'!$A$2,"Día actual","Día anterior")</f>
        <v>Día anterior</v>
      </c>
      <c r="C184" t="s">
        <v>61</v>
      </c>
      <c r="D184" t="s">
        <v>62</v>
      </c>
      <c r="E184" t="s">
        <v>343</v>
      </c>
      <c r="F184" t="s">
        <v>21</v>
      </c>
      <c r="G184" t="s">
        <v>344</v>
      </c>
      <c r="H184" t="s">
        <v>11</v>
      </c>
      <c r="I184" t="s">
        <v>7</v>
      </c>
      <c r="J184" t="s">
        <v>39</v>
      </c>
      <c r="K184" t="s">
        <v>63</v>
      </c>
      <c r="L184" t="s">
        <v>42</v>
      </c>
      <c r="M184">
        <v>1</v>
      </c>
    </row>
    <row r="185" spans="1:13" x14ac:dyDescent="0.35">
      <c r="A185" s="2">
        <v>46224</v>
      </c>
      <c r="B185" s="1" t="str">
        <f ca="1">IF(Información1[[#This Row],[Fecha]]='Ajuste de fechas'!$A$2,"Día actual","Día anterior")</f>
        <v>Día anterior</v>
      </c>
      <c r="C185" t="s">
        <v>61</v>
      </c>
      <c r="D185" t="s">
        <v>62</v>
      </c>
      <c r="E185" t="s">
        <v>117</v>
      </c>
      <c r="F185" t="s">
        <v>24</v>
      </c>
      <c r="G185" t="s">
        <v>118</v>
      </c>
      <c r="H185" t="s">
        <v>11</v>
      </c>
      <c r="I185" t="s">
        <v>7</v>
      </c>
      <c r="J185" t="s">
        <v>24</v>
      </c>
      <c r="K185" t="s">
        <v>63</v>
      </c>
      <c r="L185" t="s">
        <v>40</v>
      </c>
      <c r="M185">
        <v>1</v>
      </c>
    </row>
    <row r="186" spans="1:13" x14ac:dyDescent="0.35">
      <c r="A186" s="2">
        <v>46224</v>
      </c>
      <c r="B186" s="1" t="str">
        <f ca="1">IF(Información1[[#This Row],[Fecha]]='Ajuste de fechas'!$A$2,"Día actual","Día anterior")</f>
        <v>Día anterior</v>
      </c>
      <c r="C186" t="s">
        <v>61</v>
      </c>
      <c r="D186" t="s">
        <v>62</v>
      </c>
      <c r="E186" t="s">
        <v>345</v>
      </c>
      <c r="F186" t="s">
        <v>346</v>
      </c>
      <c r="G186" t="s">
        <v>347</v>
      </c>
      <c r="H186" t="s">
        <v>11</v>
      </c>
      <c r="I186" t="s">
        <v>7</v>
      </c>
      <c r="J186" t="s">
        <v>24</v>
      </c>
      <c r="K186" t="s">
        <v>63</v>
      </c>
      <c r="L186" t="s">
        <v>40</v>
      </c>
      <c r="M186">
        <v>1</v>
      </c>
    </row>
    <row r="187" spans="1:13" x14ac:dyDescent="0.35">
      <c r="A187" s="2">
        <v>46224</v>
      </c>
      <c r="B187" s="1" t="str">
        <f ca="1">IF(Información1[[#This Row],[Fecha]]='Ajuste de fechas'!$A$2,"Día actual","Día anterior")</f>
        <v>Día anterior</v>
      </c>
      <c r="C187" t="s">
        <v>61</v>
      </c>
      <c r="D187" t="s">
        <v>62</v>
      </c>
      <c r="E187" t="s">
        <v>348</v>
      </c>
      <c r="F187" t="s">
        <v>48</v>
      </c>
      <c r="G187" t="s">
        <v>76</v>
      </c>
      <c r="H187" t="s">
        <v>11</v>
      </c>
      <c r="I187" t="s">
        <v>7</v>
      </c>
      <c r="J187" t="s">
        <v>39</v>
      </c>
      <c r="K187" t="s">
        <v>63</v>
      </c>
      <c r="L187" t="s">
        <v>40</v>
      </c>
      <c r="M187">
        <v>1</v>
      </c>
    </row>
    <row r="188" spans="1:13" x14ac:dyDescent="0.35">
      <c r="A188" s="2">
        <v>46224</v>
      </c>
      <c r="B188" s="1" t="str">
        <f ca="1">IF(Información1[[#This Row],[Fecha]]='Ajuste de fechas'!$A$2,"Día actual","Día anterior")</f>
        <v>Día anterior</v>
      </c>
      <c r="C188" t="s">
        <v>61</v>
      </c>
      <c r="D188" t="s">
        <v>62</v>
      </c>
      <c r="E188" t="s">
        <v>349</v>
      </c>
      <c r="F188" t="s">
        <v>26</v>
      </c>
      <c r="G188" t="s">
        <v>100</v>
      </c>
      <c r="H188" t="s">
        <v>11</v>
      </c>
      <c r="I188" t="s">
        <v>7</v>
      </c>
      <c r="J188" t="s">
        <v>39</v>
      </c>
      <c r="K188" t="s">
        <v>63</v>
      </c>
      <c r="L188" t="s">
        <v>42</v>
      </c>
      <c r="M188">
        <v>1</v>
      </c>
    </row>
    <row r="189" spans="1:13" x14ac:dyDescent="0.35">
      <c r="A189" s="2">
        <v>46224</v>
      </c>
      <c r="B189" s="1" t="str">
        <f ca="1">IF(Información1[[#This Row],[Fecha]]='Ajuste de fechas'!$A$2,"Día actual","Día anterior")</f>
        <v>Día anterior</v>
      </c>
      <c r="C189" t="s">
        <v>61</v>
      </c>
      <c r="D189" t="s">
        <v>62</v>
      </c>
      <c r="E189" t="s">
        <v>350</v>
      </c>
      <c r="F189" t="s">
        <v>19</v>
      </c>
      <c r="G189" t="s">
        <v>351</v>
      </c>
      <c r="H189" t="s">
        <v>11</v>
      </c>
      <c r="I189" t="s">
        <v>25</v>
      </c>
      <c r="J189" t="s">
        <v>43</v>
      </c>
      <c r="K189" t="s">
        <v>63</v>
      </c>
      <c r="L189" t="s">
        <v>40</v>
      </c>
      <c r="M189">
        <v>1</v>
      </c>
    </row>
    <row r="190" spans="1:13" x14ac:dyDescent="0.35">
      <c r="A190" s="2">
        <v>46224</v>
      </c>
      <c r="B190" s="1" t="str">
        <f ca="1">IF(Información1[[#This Row],[Fecha]]='Ajuste de fechas'!$A$2,"Día actual","Día anterior")</f>
        <v>Día anterior</v>
      </c>
      <c r="C190" t="s">
        <v>61</v>
      </c>
      <c r="D190" t="s">
        <v>62</v>
      </c>
      <c r="E190" t="s">
        <v>352</v>
      </c>
      <c r="F190" t="s">
        <v>70</v>
      </c>
      <c r="G190" t="s">
        <v>245</v>
      </c>
      <c r="H190" t="s">
        <v>11</v>
      </c>
      <c r="I190" t="s">
        <v>7</v>
      </c>
      <c r="J190" t="s">
        <v>39</v>
      </c>
      <c r="K190" t="s">
        <v>63</v>
      </c>
      <c r="L190" t="s">
        <v>42</v>
      </c>
      <c r="M190">
        <v>1</v>
      </c>
    </row>
    <row r="191" spans="1:13" x14ac:dyDescent="0.35">
      <c r="A191" s="2">
        <v>46224</v>
      </c>
      <c r="B191" s="1" t="str">
        <f ca="1">IF(Información1[[#This Row],[Fecha]]='Ajuste de fechas'!$A$2,"Día actual","Día anterior")</f>
        <v>Día anterior</v>
      </c>
      <c r="C191" t="s">
        <v>61</v>
      </c>
      <c r="D191" t="s">
        <v>62</v>
      </c>
      <c r="E191" t="s">
        <v>353</v>
      </c>
      <c r="F191" t="s">
        <v>70</v>
      </c>
      <c r="G191" t="s">
        <v>86</v>
      </c>
      <c r="H191" t="s">
        <v>11</v>
      </c>
      <c r="I191" t="s">
        <v>7</v>
      </c>
      <c r="J191" t="s">
        <v>39</v>
      </c>
      <c r="K191" t="s">
        <v>63</v>
      </c>
      <c r="L191" t="s">
        <v>40</v>
      </c>
      <c r="M191">
        <v>1</v>
      </c>
    </row>
    <row r="192" spans="1:13" x14ac:dyDescent="0.35">
      <c r="A192" s="2">
        <v>46224</v>
      </c>
      <c r="B192" s="1" t="str">
        <f ca="1">IF(Información1[[#This Row],[Fecha]]='Ajuste de fechas'!$A$2,"Día actual","Día anterior")</f>
        <v>Día anterior</v>
      </c>
      <c r="C192" t="s">
        <v>61</v>
      </c>
      <c r="D192" t="s">
        <v>62</v>
      </c>
      <c r="E192" t="s">
        <v>354</v>
      </c>
      <c r="F192" t="s">
        <v>15</v>
      </c>
      <c r="G192" t="s">
        <v>86</v>
      </c>
      <c r="H192" t="s">
        <v>11</v>
      </c>
      <c r="I192" t="s">
        <v>7</v>
      </c>
      <c r="J192" t="s">
        <v>39</v>
      </c>
      <c r="K192" t="s">
        <v>63</v>
      </c>
      <c r="L192" t="s">
        <v>40</v>
      </c>
      <c r="M192">
        <v>1</v>
      </c>
    </row>
    <row r="193" spans="1:13" x14ac:dyDescent="0.35">
      <c r="A193" s="2">
        <v>46224</v>
      </c>
      <c r="B193" s="1" t="str">
        <f ca="1">IF(Información1[[#This Row],[Fecha]]='Ajuste de fechas'!$A$2,"Día actual","Día anterior")</f>
        <v>Día anterior</v>
      </c>
      <c r="C193" t="s">
        <v>61</v>
      </c>
      <c r="D193" t="s">
        <v>62</v>
      </c>
      <c r="E193" t="s">
        <v>355</v>
      </c>
      <c r="F193" t="s">
        <v>24</v>
      </c>
      <c r="G193" t="s">
        <v>356</v>
      </c>
      <c r="H193" t="s">
        <v>11</v>
      </c>
      <c r="I193" t="s">
        <v>7</v>
      </c>
      <c r="J193" t="s">
        <v>24</v>
      </c>
      <c r="K193" t="s">
        <v>63</v>
      </c>
      <c r="L193" t="s">
        <v>40</v>
      </c>
      <c r="M193">
        <v>1</v>
      </c>
    </row>
    <row r="194" spans="1:13" x14ac:dyDescent="0.35">
      <c r="A194" s="2">
        <v>46224</v>
      </c>
      <c r="B194" s="1" t="str">
        <f ca="1">IF(Información1[[#This Row],[Fecha]]='Ajuste de fechas'!$A$2,"Día actual","Día anterior")</f>
        <v>Día anterior</v>
      </c>
      <c r="C194" t="s">
        <v>61</v>
      </c>
      <c r="D194" t="s">
        <v>62</v>
      </c>
      <c r="E194" t="s">
        <v>357</v>
      </c>
      <c r="F194" t="s">
        <v>78</v>
      </c>
      <c r="G194" t="s">
        <v>358</v>
      </c>
      <c r="H194" t="s">
        <v>11</v>
      </c>
      <c r="I194" t="s">
        <v>7</v>
      </c>
      <c r="J194" t="s">
        <v>39</v>
      </c>
      <c r="K194" t="s">
        <v>63</v>
      </c>
      <c r="L194" t="s">
        <v>40</v>
      </c>
      <c r="M194">
        <v>1</v>
      </c>
    </row>
    <row r="195" spans="1:13" x14ac:dyDescent="0.35">
      <c r="A195" s="2">
        <v>46224</v>
      </c>
      <c r="B195" s="1" t="str">
        <f ca="1">IF(Información1[[#This Row],[Fecha]]='Ajuste de fechas'!$A$2,"Día actual","Día anterior")</f>
        <v>Día anterior</v>
      </c>
      <c r="C195" t="s">
        <v>61</v>
      </c>
      <c r="D195" t="s">
        <v>62</v>
      </c>
      <c r="E195" t="s">
        <v>64</v>
      </c>
      <c r="F195" t="s">
        <v>19</v>
      </c>
      <c r="G195" t="s">
        <v>57</v>
      </c>
      <c r="H195" t="s">
        <v>11</v>
      </c>
      <c r="I195" t="s">
        <v>7</v>
      </c>
      <c r="J195" t="s">
        <v>43</v>
      </c>
      <c r="K195" t="s">
        <v>63</v>
      </c>
      <c r="L195" t="s">
        <v>125</v>
      </c>
      <c r="M195">
        <v>1</v>
      </c>
    </row>
    <row r="196" spans="1:13" x14ac:dyDescent="0.35">
      <c r="A196" s="2">
        <v>46224</v>
      </c>
      <c r="B196" s="1" t="str">
        <f ca="1">IF(Información1[[#This Row],[Fecha]]='Ajuste de fechas'!$A$2,"Día actual","Día anterior")</f>
        <v>Día anterior</v>
      </c>
      <c r="C196" t="s">
        <v>61</v>
      </c>
      <c r="D196" t="s">
        <v>62</v>
      </c>
      <c r="E196" t="s">
        <v>359</v>
      </c>
      <c r="F196" t="s">
        <v>19</v>
      </c>
      <c r="G196" t="s">
        <v>360</v>
      </c>
      <c r="H196" t="s">
        <v>11</v>
      </c>
      <c r="I196" t="s">
        <v>7</v>
      </c>
      <c r="J196" t="s">
        <v>43</v>
      </c>
      <c r="K196" t="s">
        <v>63</v>
      </c>
      <c r="L196" t="s">
        <v>40</v>
      </c>
      <c r="M196">
        <v>1</v>
      </c>
    </row>
    <row r="197" spans="1:13" x14ac:dyDescent="0.35">
      <c r="A197" s="2">
        <v>46224</v>
      </c>
      <c r="B197" s="1" t="str">
        <f ca="1">IF(Información1[[#This Row],[Fecha]]='Ajuste de fechas'!$A$2,"Día actual","Día anterior")</f>
        <v>Día anterior</v>
      </c>
      <c r="C197" t="s">
        <v>61</v>
      </c>
      <c r="D197" t="s">
        <v>62</v>
      </c>
      <c r="E197" t="s">
        <v>361</v>
      </c>
      <c r="F197" t="s">
        <v>158</v>
      </c>
      <c r="G197" t="s">
        <v>208</v>
      </c>
      <c r="H197" t="s">
        <v>11</v>
      </c>
      <c r="I197" t="s">
        <v>7</v>
      </c>
      <c r="J197" t="s">
        <v>24</v>
      </c>
      <c r="K197" t="s">
        <v>63</v>
      </c>
      <c r="L197" t="s">
        <v>40</v>
      </c>
      <c r="M197">
        <v>1</v>
      </c>
    </row>
    <row r="198" spans="1:13" x14ac:dyDescent="0.35">
      <c r="A198" s="2">
        <v>46224</v>
      </c>
      <c r="B198" s="1" t="str">
        <f ca="1">IF(Información1[[#This Row],[Fecha]]='Ajuste de fechas'!$A$2,"Día actual","Día anterior")</f>
        <v>Día anterior</v>
      </c>
      <c r="C198" t="s">
        <v>61</v>
      </c>
      <c r="D198" t="s">
        <v>62</v>
      </c>
      <c r="E198" t="s">
        <v>362</v>
      </c>
      <c r="F198" t="s">
        <v>19</v>
      </c>
      <c r="G198" t="s">
        <v>190</v>
      </c>
      <c r="H198" t="s">
        <v>11</v>
      </c>
      <c r="I198" t="s">
        <v>7</v>
      </c>
      <c r="J198" t="s">
        <v>43</v>
      </c>
      <c r="K198" t="s">
        <v>63</v>
      </c>
      <c r="L198" t="s">
        <v>40</v>
      </c>
      <c r="M198">
        <v>1</v>
      </c>
    </row>
    <row r="199" spans="1:13" x14ac:dyDescent="0.35">
      <c r="A199" s="2">
        <v>46224</v>
      </c>
      <c r="B199" s="1" t="str">
        <f ca="1">IF(Información1[[#This Row],[Fecha]]='Ajuste de fechas'!$A$2,"Día actual","Día anterior")</f>
        <v>Día anterior</v>
      </c>
      <c r="C199" t="s">
        <v>61</v>
      </c>
      <c r="D199" t="s">
        <v>62</v>
      </c>
      <c r="E199" t="s">
        <v>363</v>
      </c>
      <c r="F199" t="s">
        <v>15</v>
      </c>
      <c r="G199" t="s">
        <v>364</v>
      </c>
      <c r="H199" t="s">
        <v>11</v>
      </c>
      <c r="I199" t="s">
        <v>7</v>
      </c>
      <c r="J199" t="s">
        <v>39</v>
      </c>
      <c r="K199" t="s">
        <v>63</v>
      </c>
      <c r="L199" t="s">
        <v>40</v>
      </c>
      <c r="M199">
        <v>1</v>
      </c>
    </row>
    <row r="200" spans="1:13" x14ac:dyDescent="0.35">
      <c r="A200" s="2">
        <v>46224</v>
      </c>
      <c r="B200" s="1" t="str">
        <f ca="1">IF(Información1[[#This Row],[Fecha]]='Ajuste de fechas'!$A$2,"Día actual","Día anterior")</f>
        <v>Día anterior</v>
      </c>
      <c r="C200" t="s">
        <v>29</v>
      </c>
      <c r="D200" t="s">
        <v>30</v>
      </c>
      <c r="E200" t="s">
        <v>365</v>
      </c>
      <c r="F200" t="s">
        <v>17</v>
      </c>
      <c r="G200" t="s">
        <v>79</v>
      </c>
      <c r="H200" t="s">
        <v>58</v>
      </c>
      <c r="I200" t="s">
        <v>25</v>
      </c>
      <c r="J200" t="s">
        <v>39</v>
      </c>
      <c r="K200" t="s">
        <v>9</v>
      </c>
      <c r="L200" t="s">
        <v>41</v>
      </c>
      <c r="M200">
        <v>1</v>
      </c>
    </row>
    <row r="201" spans="1:13" x14ac:dyDescent="0.35">
      <c r="A201" s="2">
        <v>46224</v>
      </c>
      <c r="B201" s="1" t="str">
        <f ca="1">IF(Información1[[#This Row],[Fecha]]='Ajuste de fechas'!$A$2,"Día actual","Día anterior")</f>
        <v>Día anterior</v>
      </c>
      <c r="C201" t="s">
        <v>29</v>
      </c>
      <c r="D201" t="s">
        <v>30</v>
      </c>
      <c r="E201" t="s">
        <v>366</v>
      </c>
      <c r="F201" t="s">
        <v>19</v>
      </c>
      <c r="G201" t="s">
        <v>285</v>
      </c>
      <c r="H201" t="s">
        <v>58</v>
      </c>
      <c r="I201" t="s">
        <v>7</v>
      </c>
      <c r="J201" t="s">
        <v>43</v>
      </c>
      <c r="K201" t="s">
        <v>83</v>
      </c>
      <c r="L201" t="s">
        <v>125</v>
      </c>
      <c r="M201">
        <v>1</v>
      </c>
    </row>
    <row r="202" spans="1:13" x14ac:dyDescent="0.35">
      <c r="A202" s="2">
        <v>46224</v>
      </c>
      <c r="B202" s="1" t="str">
        <f ca="1">IF(Información1[[#This Row],[Fecha]]='Ajuste de fechas'!$A$2,"Día actual","Día anterior")</f>
        <v>Día anterior</v>
      </c>
      <c r="C202" t="s">
        <v>29</v>
      </c>
      <c r="D202" t="s">
        <v>30</v>
      </c>
      <c r="E202" t="s">
        <v>367</v>
      </c>
      <c r="F202" t="s">
        <v>6</v>
      </c>
      <c r="G202" t="s">
        <v>107</v>
      </c>
      <c r="H202" t="s">
        <v>58</v>
      </c>
      <c r="I202" t="s">
        <v>25</v>
      </c>
      <c r="J202" t="s">
        <v>39</v>
      </c>
      <c r="K202" t="s">
        <v>27</v>
      </c>
      <c r="L202" t="s">
        <v>40</v>
      </c>
      <c r="M202">
        <v>1</v>
      </c>
    </row>
    <row r="203" spans="1:13" x14ac:dyDescent="0.35">
      <c r="A203" s="2">
        <v>46224</v>
      </c>
      <c r="B203" s="1" t="str">
        <f ca="1">IF(Información1[[#This Row],[Fecha]]='Ajuste de fechas'!$A$2,"Día actual","Día anterior")</f>
        <v>Día anterior</v>
      </c>
      <c r="C203" t="s">
        <v>29</v>
      </c>
      <c r="D203" t="s">
        <v>30</v>
      </c>
      <c r="E203" t="s">
        <v>368</v>
      </c>
      <c r="F203" t="s">
        <v>19</v>
      </c>
      <c r="G203" t="s">
        <v>369</v>
      </c>
      <c r="H203" t="s">
        <v>58</v>
      </c>
      <c r="I203" t="s">
        <v>7</v>
      </c>
      <c r="J203" t="s">
        <v>43</v>
      </c>
      <c r="K203" t="s">
        <v>27</v>
      </c>
      <c r="L203" t="s">
        <v>40</v>
      </c>
      <c r="M203">
        <v>1</v>
      </c>
    </row>
    <row r="204" spans="1:13" x14ac:dyDescent="0.35">
      <c r="A204" s="2">
        <v>46224</v>
      </c>
      <c r="B204" s="1" t="str">
        <f ca="1">IF(Información1[[#This Row],[Fecha]]='Ajuste de fechas'!$A$2,"Día actual","Día anterior")</f>
        <v>Día anterior</v>
      </c>
      <c r="C204" t="s">
        <v>29</v>
      </c>
      <c r="D204" t="s">
        <v>30</v>
      </c>
      <c r="E204" t="s">
        <v>370</v>
      </c>
      <c r="F204" t="s">
        <v>371</v>
      </c>
      <c r="G204" t="s">
        <v>282</v>
      </c>
      <c r="H204" t="s">
        <v>58</v>
      </c>
      <c r="I204" t="s">
        <v>7</v>
      </c>
      <c r="J204" t="s">
        <v>39</v>
      </c>
      <c r="K204" t="s">
        <v>27</v>
      </c>
      <c r="L204" t="s">
        <v>40</v>
      </c>
      <c r="M204">
        <v>1</v>
      </c>
    </row>
    <row r="205" spans="1:13" x14ac:dyDescent="0.35">
      <c r="A205" s="2">
        <v>46224</v>
      </c>
      <c r="B205" s="1" t="str">
        <f ca="1">IF(Información1[[#This Row],[Fecha]]='Ajuste de fechas'!$A$2,"Día actual","Día anterior")</f>
        <v>Día anterior</v>
      </c>
      <c r="C205" t="s">
        <v>29</v>
      </c>
      <c r="D205" t="s">
        <v>30</v>
      </c>
      <c r="E205" t="s">
        <v>372</v>
      </c>
      <c r="F205" t="s">
        <v>15</v>
      </c>
      <c r="G205" t="s">
        <v>59</v>
      </c>
      <c r="H205" t="s">
        <v>58</v>
      </c>
      <c r="I205" t="s">
        <v>7</v>
      </c>
      <c r="J205" t="s">
        <v>39</v>
      </c>
      <c r="K205" t="s">
        <v>27</v>
      </c>
      <c r="L205" t="s">
        <v>41</v>
      </c>
      <c r="M205">
        <v>1</v>
      </c>
    </row>
    <row r="206" spans="1:13" x14ac:dyDescent="0.35">
      <c r="A206" s="2">
        <v>46224</v>
      </c>
      <c r="B206" s="1" t="str">
        <f ca="1">IF(Información1[[#This Row],[Fecha]]='Ajuste de fechas'!$A$2,"Día actual","Día anterior")</f>
        <v>Día anterior</v>
      </c>
      <c r="C206" t="s">
        <v>29</v>
      </c>
      <c r="D206" t="s">
        <v>30</v>
      </c>
      <c r="E206" t="s">
        <v>373</v>
      </c>
      <c r="F206" t="s">
        <v>15</v>
      </c>
      <c r="G206" t="s">
        <v>374</v>
      </c>
      <c r="H206" t="s">
        <v>58</v>
      </c>
      <c r="I206" t="s">
        <v>7</v>
      </c>
      <c r="J206" t="s">
        <v>39</v>
      </c>
      <c r="K206" t="s">
        <v>27</v>
      </c>
      <c r="L206" t="s">
        <v>41</v>
      </c>
      <c r="M206">
        <v>1</v>
      </c>
    </row>
    <row r="207" spans="1:13" x14ac:dyDescent="0.35">
      <c r="A207" s="2">
        <v>46224</v>
      </c>
      <c r="B207" s="1" t="str">
        <f ca="1">IF(Información1[[#This Row],[Fecha]]='Ajuste de fechas'!$A$2,"Día actual","Día anterior")</f>
        <v>Día anterior</v>
      </c>
      <c r="C207" t="s">
        <v>29</v>
      </c>
      <c r="D207" t="s">
        <v>30</v>
      </c>
      <c r="E207" t="s">
        <v>375</v>
      </c>
      <c r="F207" t="s">
        <v>19</v>
      </c>
      <c r="G207" t="s">
        <v>351</v>
      </c>
      <c r="H207" t="s">
        <v>58</v>
      </c>
      <c r="I207" t="s">
        <v>25</v>
      </c>
      <c r="J207" t="s">
        <v>43</v>
      </c>
      <c r="K207" t="s">
        <v>27</v>
      </c>
      <c r="L207" t="s">
        <v>40</v>
      </c>
      <c r="M207">
        <v>1</v>
      </c>
    </row>
    <row r="208" spans="1:13" x14ac:dyDescent="0.35">
      <c r="A208" s="2">
        <v>46224</v>
      </c>
      <c r="B208" s="1" t="str">
        <f ca="1">IF(Información1[[#This Row],[Fecha]]='Ajuste de fechas'!$A$2,"Día actual","Día anterior")</f>
        <v>Día anterior</v>
      </c>
      <c r="C208" t="s">
        <v>29</v>
      </c>
      <c r="D208" t="s">
        <v>30</v>
      </c>
      <c r="E208" t="s">
        <v>376</v>
      </c>
      <c r="F208" t="s">
        <v>15</v>
      </c>
      <c r="G208" t="s">
        <v>59</v>
      </c>
      <c r="H208" t="s">
        <v>58</v>
      </c>
      <c r="I208" t="s">
        <v>7</v>
      </c>
      <c r="J208" t="s">
        <v>39</v>
      </c>
      <c r="K208" t="s">
        <v>27</v>
      </c>
      <c r="L208" t="s">
        <v>40</v>
      </c>
      <c r="M208">
        <v>1</v>
      </c>
    </row>
    <row r="209" spans="1:13" x14ac:dyDescent="0.35">
      <c r="A209" s="2">
        <v>46224</v>
      </c>
      <c r="B209" s="1" t="str">
        <f ca="1">IF(Información1[[#This Row],[Fecha]]='Ajuste de fechas'!$A$2,"Día actual","Día anterior")</f>
        <v>Día anterior</v>
      </c>
      <c r="C209" t="s">
        <v>29</v>
      </c>
      <c r="D209" t="s">
        <v>30</v>
      </c>
      <c r="E209" t="s">
        <v>287</v>
      </c>
      <c r="F209" t="s">
        <v>26</v>
      </c>
      <c r="G209" t="s">
        <v>100</v>
      </c>
      <c r="H209" t="s">
        <v>58</v>
      </c>
      <c r="I209" t="s">
        <v>7</v>
      </c>
      <c r="J209" t="s">
        <v>39</v>
      </c>
      <c r="K209" t="s">
        <v>27</v>
      </c>
      <c r="L209" t="s">
        <v>42</v>
      </c>
      <c r="M209">
        <v>1</v>
      </c>
    </row>
    <row r="210" spans="1:13" x14ac:dyDescent="0.35">
      <c r="A210" s="2">
        <v>46224</v>
      </c>
      <c r="B210" s="1" t="str">
        <f ca="1">IF(Información1[[#This Row],[Fecha]]='Ajuste de fechas'!$A$2,"Día actual","Día anterior")</f>
        <v>Día anterior</v>
      </c>
      <c r="C210" t="s">
        <v>29</v>
      </c>
      <c r="D210" t="s">
        <v>30</v>
      </c>
      <c r="E210" t="s">
        <v>377</v>
      </c>
      <c r="F210" t="s">
        <v>26</v>
      </c>
      <c r="G210" t="s">
        <v>87</v>
      </c>
      <c r="H210" t="s">
        <v>58</v>
      </c>
      <c r="I210" t="s">
        <v>7</v>
      </c>
      <c r="J210" t="s">
        <v>39</v>
      </c>
      <c r="K210" t="s">
        <v>27</v>
      </c>
      <c r="L210" t="s">
        <v>40</v>
      </c>
      <c r="M2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46</v>
      </c>
      <c r="B1" t="s">
        <v>47</v>
      </c>
    </row>
    <row r="2" spans="1:2" x14ac:dyDescent="0.35">
      <c r="A2" s="2">
        <f ca="1">TODAY()</f>
        <v>46225</v>
      </c>
      <c r="B2" s="2">
        <f ca="1">A2-1</f>
        <v>46224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2026-07-22T15:46:42Z</dcterms:modified>
</cp:coreProperties>
</file>